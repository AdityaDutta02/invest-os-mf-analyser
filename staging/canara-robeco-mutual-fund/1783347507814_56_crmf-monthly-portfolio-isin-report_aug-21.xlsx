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650" tabRatio="807"/>
  </bookViews>
  <sheets>
    <sheet name="Riskometer" sheetId="24" r:id="rId1"/>
    <sheet name="IN" sheetId="1" r:id="rId2"/>
    <sheet name="DV" sheetId="2" r:id="rId3"/>
    <sheet name="ET" sheetId="3" r:id="rId4"/>
    <sheet name="EQ" sheetId="4" r:id="rId5"/>
    <sheet name="CF" sheetId="5" r:id="rId6"/>
    <sheet name="LC" sheetId="6" r:id="rId7"/>
    <sheet name="SC" sheetId="7" r:id="rId8"/>
    <sheet name="FE" sheetId="8" r:id="rId9"/>
    <sheet name="GB" sheetId="10" r:id="rId10"/>
    <sheet name="DB" sheetId="11" r:id="rId11"/>
    <sheet name="GL" sheetId="12" r:id="rId12"/>
    <sheet name="IF" sheetId="13" r:id="rId13"/>
    <sheet name="FR" sheetId="14" r:id="rId14"/>
    <sheet name="MI" sheetId="15" r:id="rId15"/>
    <sheet name="GI" sheetId="16" r:id="rId16"/>
    <sheet name="LI" sheetId="17" r:id="rId17"/>
    <sheet name="TA" sheetId="18" r:id="rId18"/>
    <sheet name="OF" sheetId="19" r:id="rId19"/>
    <sheet name="CY" sheetId="20" r:id="rId20"/>
    <sheet name="MO" sheetId="21" r:id="rId21"/>
    <sheet name="F8" sheetId="22" r:id="rId22"/>
    <sheet name="CX" sheetId="23" r:id="rId23"/>
  </sheets>
  <calcPr calcId="162913"/>
</workbook>
</file>

<file path=xl/calcChain.xml><?xml version="1.0" encoding="utf-8"?>
<calcChain xmlns="http://schemas.openxmlformats.org/spreadsheetml/2006/main">
  <c r="G61" i="23" l="1"/>
  <c r="F61" i="23"/>
  <c r="G60" i="23"/>
  <c r="F60" i="23"/>
  <c r="G59" i="23"/>
  <c r="F59" i="23"/>
  <c r="G56" i="23"/>
  <c r="F56" i="23"/>
  <c r="G50" i="23"/>
  <c r="F50" i="23"/>
  <c r="G49" i="23"/>
  <c r="F49" i="23"/>
  <c r="G39" i="23"/>
  <c r="F39" i="23"/>
  <c r="G38" i="23"/>
  <c r="F38" i="23"/>
  <c r="G27" i="22"/>
  <c r="F27" i="22"/>
  <c r="G26" i="22"/>
  <c r="F26" i="22"/>
  <c r="G25" i="22"/>
  <c r="F25" i="22"/>
  <c r="G22" i="22"/>
  <c r="F22" i="22"/>
  <c r="G18" i="22"/>
  <c r="F18" i="22"/>
  <c r="G17" i="22"/>
  <c r="F17" i="22"/>
  <c r="G12" i="22"/>
  <c r="F12" i="22"/>
  <c r="G11" i="22"/>
  <c r="F11" i="22"/>
  <c r="G49" i="21"/>
  <c r="F49" i="21"/>
  <c r="G48" i="21"/>
  <c r="F48" i="21"/>
  <c r="G47" i="21"/>
  <c r="F47" i="21"/>
  <c r="G44" i="21"/>
  <c r="F44" i="21"/>
  <c r="G33" i="21"/>
  <c r="F33" i="21"/>
  <c r="G32" i="21"/>
  <c r="F32" i="21"/>
  <c r="G72" i="20"/>
  <c r="F72" i="20"/>
  <c r="G71" i="20"/>
  <c r="F71" i="20"/>
  <c r="G70" i="20"/>
  <c r="F70" i="20"/>
  <c r="G67" i="20"/>
  <c r="F67" i="20"/>
  <c r="G51" i="20"/>
  <c r="F51" i="20"/>
  <c r="G50" i="20"/>
  <c r="F50" i="20"/>
  <c r="G44" i="20"/>
  <c r="F44" i="20"/>
  <c r="G43" i="20"/>
  <c r="F43" i="20"/>
  <c r="F9" i="19"/>
  <c r="G8" i="19"/>
  <c r="G9" i="19"/>
  <c r="F8" i="19"/>
  <c r="G7" i="19"/>
  <c r="F7" i="19"/>
  <c r="G48" i="18"/>
  <c r="F48" i="18"/>
  <c r="G47" i="18"/>
  <c r="F47" i="18"/>
  <c r="G46" i="18"/>
  <c r="F46" i="18"/>
  <c r="G43" i="18"/>
  <c r="F43" i="18"/>
  <c r="G39" i="18"/>
  <c r="F39" i="18"/>
  <c r="G38" i="18"/>
  <c r="F38" i="18"/>
  <c r="G30" i="18"/>
  <c r="F30" i="18"/>
  <c r="G24" i="18"/>
  <c r="F24" i="18"/>
  <c r="G17" i="18"/>
  <c r="F17" i="18"/>
  <c r="G16" i="18"/>
  <c r="F16" i="18"/>
  <c r="G37" i="17"/>
  <c r="F37" i="17"/>
  <c r="G36" i="17"/>
  <c r="F36" i="17"/>
  <c r="G35" i="17"/>
  <c r="F35" i="17"/>
  <c r="G32" i="17"/>
  <c r="F32" i="17"/>
  <c r="G31" i="17"/>
  <c r="F31" i="17"/>
  <c r="G21" i="17"/>
  <c r="F21" i="17"/>
  <c r="G8" i="17"/>
  <c r="F8" i="17"/>
  <c r="G13" i="16"/>
  <c r="F13" i="16"/>
  <c r="G12" i="16"/>
  <c r="F12" i="16"/>
  <c r="G11" i="16"/>
  <c r="F11" i="16"/>
  <c r="G8" i="16"/>
  <c r="F8" i="16"/>
  <c r="G82" i="15"/>
  <c r="F82" i="15"/>
  <c r="G81" i="15"/>
  <c r="F81" i="15"/>
  <c r="G80" i="15"/>
  <c r="F80" i="15"/>
  <c r="G77" i="15"/>
  <c r="F77" i="15"/>
  <c r="G62" i="15"/>
  <c r="F62" i="15"/>
  <c r="G61" i="15"/>
  <c r="F61" i="15"/>
  <c r="G57" i="15"/>
  <c r="F57" i="15"/>
  <c r="G56" i="15"/>
  <c r="F56" i="15"/>
  <c r="G42" i="15"/>
  <c r="F42" i="15"/>
  <c r="G41" i="15"/>
  <c r="F41" i="15"/>
  <c r="G64" i="14"/>
  <c r="F64" i="14"/>
  <c r="G63" i="14"/>
  <c r="F63" i="14"/>
  <c r="G62" i="14"/>
  <c r="F62" i="14"/>
  <c r="G59" i="14"/>
  <c r="F59" i="14"/>
  <c r="G50" i="14"/>
  <c r="F50" i="14"/>
  <c r="G49" i="14"/>
  <c r="F49" i="14"/>
  <c r="G42" i="14"/>
  <c r="F42" i="14"/>
  <c r="G38" i="14"/>
  <c r="F38" i="14"/>
  <c r="G31" i="14"/>
  <c r="F31" i="14"/>
  <c r="G30" i="14"/>
  <c r="F30" i="14"/>
  <c r="G34" i="13"/>
  <c r="F34" i="13"/>
  <c r="G33" i="13"/>
  <c r="F33" i="13"/>
  <c r="G32" i="13"/>
  <c r="F32" i="13"/>
  <c r="G29" i="13"/>
  <c r="F29" i="13"/>
  <c r="G14" i="13"/>
  <c r="F14" i="13"/>
  <c r="G13" i="13"/>
  <c r="F13" i="13"/>
  <c r="G20" i="12"/>
  <c r="F20" i="12"/>
  <c r="G19" i="12"/>
  <c r="F19" i="12"/>
  <c r="G18" i="12"/>
  <c r="F18" i="12"/>
  <c r="G15" i="12"/>
  <c r="F15" i="12"/>
  <c r="G30" i="11"/>
  <c r="F30" i="11"/>
  <c r="G29" i="11"/>
  <c r="F29" i="11"/>
  <c r="G28" i="11"/>
  <c r="F28" i="11"/>
  <c r="G25" i="11"/>
  <c r="F25" i="11"/>
  <c r="G15" i="11"/>
  <c r="F15" i="11"/>
  <c r="G14" i="11"/>
  <c r="F14" i="11"/>
  <c r="G10" i="11"/>
  <c r="F10" i="11"/>
  <c r="G9" i="11"/>
  <c r="F9" i="11"/>
  <c r="G123" i="10"/>
  <c r="F123" i="10"/>
  <c r="G122" i="10"/>
  <c r="F122" i="10"/>
  <c r="G121" i="10"/>
  <c r="F121" i="10"/>
  <c r="G118" i="10"/>
  <c r="F118" i="10"/>
  <c r="G102" i="10"/>
  <c r="F102" i="10"/>
  <c r="G101" i="10"/>
  <c r="F101" i="10"/>
  <c r="G97" i="10"/>
  <c r="F97" i="10"/>
  <c r="G96" i="10"/>
  <c r="F96" i="10"/>
  <c r="G65" i="10"/>
  <c r="F65" i="10"/>
  <c r="G64" i="10"/>
  <c r="F64" i="10"/>
  <c r="F42" i="8"/>
  <c r="G41" i="8"/>
  <c r="G42" i="8" s="1"/>
  <c r="F41" i="8"/>
  <c r="G37" i="8"/>
  <c r="G38" i="8" s="1"/>
  <c r="G43" i="8" s="1"/>
  <c r="F37" i="8"/>
  <c r="F38" i="8" s="1"/>
  <c r="F43" i="8" s="1"/>
  <c r="G64" i="7"/>
  <c r="G65" i="7" s="1"/>
  <c r="F64" i="7"/>
  <c r="F65" i="7" s="1"/>
  <c r="G60" i="7"/>
  <c r="G61" i="7" s="1"/>
  <c r="G66" i="7" s="1"/>
  <c r="F60" i="7"/>
  <c r="F61" i="7" s="1"/>
  <c r="G60" i="6"/>
  <c r="G61" i="6" s="1"/>
  <c r="F60" i="6"/>
  <c r="F61" i="6" s="1"/>
  <c r="G56" i="6"/>
  <c r="G57" i="6" s="1"/>
  <c r="F56" i="6"/>
  <c r="F57" i="6" s="1"/>
  <c r="F62" i="6" s="1"/>
  <c r="G56" i="5"/>
  <c r="G57" i="5" s="1"/>
  <c r="F56" i="5"/>
  <c r="F57" i="5" s="1"/>
  <c r="G52" i="5"/>
  <c r="G53" i="5" s="1"/>
  <c r="F52" i="5"/>
  <c r="F53" i="5" s="1"/>
  <c r="F71" i="4"/>
  <c r="G70" i="4"/>
  <c r="G71" i="4" s="1"/>
  <c r="F70" i="4"/>
  <c r="F67" i="4"/>
  <c r="F72" i="4" s="1"/>
  <c r="G66" i="4"/>
  <c r="G67" i="4" s="1"/>
  <c r="G72" i="4" s="1"/>
  <c r="F66" i="4"/>
  <c r="G70" i="3"/>
  <c r="G71" i="3" s="1"/>
  <c r="F70" i="3"/>
  <c r="F71" i="3" s="1"/>
  <c r="G66" i="3"/>
  <c r="G67" i="3" s="1"/>
  <c r="F66" i="3"/>
  <c r="F67" i="3" s="1"/>
  <c r="G72" i="2"/>
  <c r="F72" i="2"/>
  <c r="G71" i="2"/>
  <c r="F71" i="2"/>
  <c r="G68" i="2"/>
  <c r="G73" i="2" s="1"/>
  <c r="F68" i="2"/>
  <c r="F73" i="2" s="1"/>
  <c r="G67" i="2"/>
  <c r="F67" i="2"/>
  <c r="G41" i="1"/>
  <c r="G42" i="1" s="1"/>
  <c r="F41" i="1"/>
  <c r="F42" i="1" s="1"/>
  <c r="G37" i="1"/>
  <c r="G38" i="1" s="1"/>
  <c r="F37" i="1"/>
  <c r="F38" i="1" s="1"/>
  <c r="F66" i="7" l="1"/>
  <c r="G62" i="6"/>
  <c r="F58" i="5"/>
  <c r="G58" i="5"/>
  <c r="F72" i="3"/>
  <c r="G72" i="3"/>
  <c r="F43" i="1"/>
  <c r="G43" i="1"/>
</calcChain>
</file>

<file path=xl/sharedStrings.xml><?xml version="1.0" encoding="utf-8"?>
<sst xmlns="http://schemas.openxmlformats.org/spreadsheetml/2006/main" count="2962" uniqueCount="784">
  <si>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</si>
  <si>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</si>
  <si>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</si>
  <si>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</si>
  <si>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</si>
  <si>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</si>
  <si>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</si>
  <si>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August 31, 2021</t>
  </si>
  <si>
    <t>CANARA ROBECO INFRASTRUCTURE</t>
  </si>
  <si>
    <t>CANARA ROBECO FLEXICAP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</si>
  <si>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</si>
  <si>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</si>
  <si>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</si>
  <si>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</si>
  <si>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</si>
  <si>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FOCUSED EQUITY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</si>
  <si>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</si>
  <si>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</si>
  <si>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</si>
  <si>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</si>
  <si>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</si>
  <si>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</si>
  <si>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</si>
  <si>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</si>
  <si>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</si>
  <si>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</si>
  <si>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</si>
  <si>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</si>
  <si>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</si>
  <si>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</si>
  <si>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</si>
  <si>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</si>
  <si>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</si>
  <si>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</si>
  <si>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</si>
  <si>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KNR Constructions Ltd</t>
  </si>
  <si>
    <t>INE634I01029</t>
  </si>
  <si>
    <t>Construction</t>
  </si>
  <si>
    <t>ICICI Bank Ltd</t>
  </si>
  <si>
    <t>INE090A01021</t>
  </si>
  <si>
    <t>Banks</t>
  </si>
  <si>
    <t>Siemens Ltd</t>
  </si>
  <si>
    <t>INE003A01024</t>
  </si>
  <si>
    <t>Industrial Capital Goods</t>
  </si>
  <si>
    <t>Bharat Electronics Ltd</t>
  </si>
  <si>
    <t>INE263A01024</t>
  </si>
  <si>
    <t>Aerospace &amp; Defense</t>
  </si>
  <si>
    <t>PNC Infratech Ltd</t>
  </si>
  <si>
    <t>INE195J01029</t>
  </si>
  <si>
    <t>Sobha Ltd</t>
  </si>
  <si>
    <t>INE671H01015</t>
  </si>
  <si>
    <t>TCI Express Ltd</t>
  </si>
  <si>
    <t>INE586V01016</t>
  </si>
  <si>
    <t>Transportation</t>
  </si>
  <si>
    <t>State Bank of India</t>
  </si>
  <si>
    <t>INE062A01020</t>
  </si>
  <si>
    <t>Schaeffler India Ltd</t>
  </si>
  <si>
    <t>INE513A01014</t>
  </si>
  <si>
    <t>Industrial Products</t>
  </si>
  <si>
    <t>Honeywell Automation India Ltd</t>
  </si>
  <si>
    <t>INE671A01010</t>
  </si>
  <si>
    <t>Ultratech Cement Ltd</t>
  </si>
  <si>
    <t>INE481G01011</t>
  </si>
  <si>
    <t>Cement &amp; Cement Products</t>
  </si>
  <si>
    <t>Tata Steel Ltd</t>
  </si>
  <si>
    <t>INE081A01012</t>
  </si>
  <si>
    <t>Ferrous Metals</t>
  </si>
  <si>
    <t>Grindwell Norton Ltd</t>
  </si>
  <si>
    <t>INE536A01023</t>
  </si>
  <si>
    <t>Ahluwalia Contracts (India) Ltd</t>
  </si>
  <si>
    <t>INE758C01029</t>
  </si>
  <si>
    <t>ABB India Ltd</t>
  </si>
  <si>
    <t>INE117A01022</t>
  </si>
  <si>
    <t>Dalmia Bharat Ltd</t>
  </si>
  <si>
    <t>INE00R701025</t>
  </si>
  <si>
    <t>Gujarat Gas Ltd</t>
  </si>
  <si>
    <t>INE844O01030</t>
  </si>
  <si>
    <t>Gas</t>
  </si>
  <si>
    <t>Bosch Ltd</t>
  </si>
  <si>
    <t>INE323A01026</t>
  </si>
  <si>
    <t>Auto Ancillaries</t>
  </si>
  <si>
    <t>Timken India Ltd</t>
  </si>
  <si>
    <t>INE325A01013</t>
  </si>
  <si>
    <t>Mahindra Lifespace Developers Ltd</t>
  </si>
  <si>
    <t>INE813A01018</t>
  </si>
  <si>
    <t>Thermax Ltd</t>
  </si>
  <si>
    <t>INE152A01029</t>
  </si>
  <si>
    <t>Indian Oil Corporation Ltd</t>
  </si>
  <si>
    <t>INE242A01010</t>
  </si>
  <si>
    <t>Petroleum Products</t>
  </si>
  <si>
    <t>J.K. Cement Ltd</t>
  </si>
  <si>
    <t>INE823G01014</t>
  </si>
  <si>
    <t>Ambuja Cements Ltd</t>
  </si>
  <si>
    <t>INE079A01024</t>
  </si>
  <si>
    <t>Hindalco Industries Ltd</t>
  </si>
  <si>
    <t>INE038A01020</t>
  </si>
  <si>
    <t>Non - Ferrous Metals</t>
  </si>
  <si>
    <t>GAIL (India) Ltd</t>
  </si>
  <si>
    <t>INE129A01019</t>
  </si>
  <si>
    <t>Cummins India Ltd</t>
  </si>
  <si>
    <t>INE298A01020</t>
  </si>
  <si>
    <t>Power Grid Corporation of India Ltd</t>
  </si>
  <si>
    <t>INE752E01010</t>
  </si>
  <si>
    <t>Power</t>
  </si>
  <si>
    <t>NTPC Ltd</t>
  </si>
  <si>
    <t>INE733E01010</t>
  </si>
  <si>
    <t>Sub Total</t>
  </si>
  <si>
    <t>Total</t>
  </si>
  <si>
    <t>TREPS</t>
  </si>
  <si>
    <t>Grand Total</t>
  </si>
  <si>
    <t>Net Receivables / (Payables)</t>
  </si>
  <si>
    <t>HDFC Bank Ltd</t>
  </si>
  <si>
    <t>INE040A01034</t>
  </si>
  <si>
    <t>Infosys Ltd</t>
  </si>
  <si>
    <t>INE009A01021</t>
  </si>
  <si>
    <t>Software</t>
  </si>
  <si>
    <t>Tata Consultancy Services Ltd</t>
  </si>
  <si>
    <t>INE467B01029</t>
  </si>
  <si>
    <t>Reliance Industries Ltd</t>
  </si>
  <si>
    <t>INE002A01018</t>
  </si>
  <si>
    <t>Bajaj Finance Ltd</t>
  </si>
  <si>
    <t>INE296A01024</t>
  </si>
  <si>
    <t>Finance</t>
  </si>
  <si>
    <t>Housing Development Finance Corporation Ltd</t>
  </si>
  <si>
    <t>INE001A01036</t>
  </si>
  <si>
    <t>Axis Bank Ltd</t>
  </si>
  <si>
    <t>INE238A01034</t>
  </si>
  <si>
    <t>Hindustan Unilever Ltd</t>
  </si>
  <si>
    <t>INE030A01027</t>
  </si>
  <si>
    <t>Consumer Non Durables</t>
  </si>
  <si>
    <t>Max Healthcare Institute Ltd</t>
  </si>
  <si>
    <t>INE027H01010</t>
  </si>
  <si>
    <t>Healthcare Services</t>
  </si>
  <si>
    <t>HCL Technologies Ltd</t>
  </si>
  <si>
    <t>INE860A01027</t>
  </si>
  <si>
    <t>Avenue Supermarts Ltd</t>
  </si>
  <si>
    <t>INE192R01011</t>
  </si>
  <si>
    <t>Retailing</t>
  </si>
  <si>
    <t>Mphasis Ltd</t>
  </si>
  <si>
    <t>INE356A01018</t>
  </si>
  <si>
    <t>Max Financial Services Ltd</t>
  </si>
  <si>
    <t>INE180A01020</t>
  </si>
  <si>
    <t>Insurance</t>
  </si>
  <si>
    <t>Bharti Airtel Ltd</t>
  </si>
  <si>
    <t>INE397D01024</t>
  </si>
  <si>
    <t>Telecom - Services</t>
  </si>
  <si>
    <t>Sona Blw Precision Forgings Ltd</t>
  </si>
  <si>
    <t>INE073K01018</t>
  </si>
  <si>
    <t>Kotak Mahindra Bank Ltd</t>
  </si>
  <si>
    <t>INE237A01028</t>
  </si>
  <si>
    <t>Divi's Laboratories Ltd</t>
  </si>
  <si>
    <t>INE361B01024</t>
  </si>
  <si>
    <t>Pharmaceuticals</t>
  </si>
  <si>
    <t>Polycab India Ltd</t>
  </si>
  <si>
    <t>INE455K01017</t>
  </si>
  <si>
    <t>Sun Pharmaceutical Industries Ltd</t>
  </si>
  <si>
    <t>INE044A01036</t>
  </si>
  <si>
    <t>Asian Paints Ltd</t>
  </si>
  <si>
    <t>INE021A01026</t>
  </si>
  <si>
    <t>Indraprastha Gas Ltd</t>
  </si>
  <si>
    <t>INE203G01027</t>
  </si>
  <si>
    <t>Tata Consumer Products Ltd</t>
  </si>
  <si>
    <t>INE192A01025</t>
  </si>
  <si>
    <t>Voltas Ltd</t>
  </si>
  <si>
    <t>INE226A01021</t>
  </si>
  <si>
    <t>Consumer Durables</t>
  </si>
  <si>
    <t>Bata India Ltd</t>
  </si>
  <si>
    <t>INE176A01028</t>
  </si>
  <si>
    <t>Minda Industries Ltd</t>
  </si>
  <si>
    <t>INE405E01023</t>
  </si>
  <si>
    <t>Havells India Ltd</t>
  </si>
  <si>
    <t>INE176B01034</t>
  </si>
  <si>
    <t>Jubilant Foodworks Ltd</t>
  </si>
  <si>
    <t>INE797F01012</t>
  </si>
  <si>
    <t>Leisure Services</t>
  </si>
  <si>
    <t>Bharat Forge Ltd</t>
  </si>
  <si>
    <t>INE465A01025</t>
  </si>
  <si>
    <t>PI Industries Ltd</t>
  </si>
  <si>
    <t>INE603J01030</t>
  </si>
  <si>
    <t>Pesticides</t>
  </si>
  <si>
    <t>Cholamandalam Investment and Finance Co Ltd</t>
  </si>
  <si>
    <t>INE121A01024</t>
  </si>
  <si>
    <t>Atul Ltd</t>
  </si>
  <si>
    <t>INE100A01010</t>
  </si>
  <si>
    <t>Chemicals</t>
  </si>
  <si>
    <t>Can Fin Homes Ltd</t>
  </si>
  <si>
    <t>INE477A01020</t>
  </si>
  <si>
    <t>Titan Co Ltd</t>
  </si>
  <si>
    <t>INE280A01028</t>
  </si>
  <si>
    <t>HDFC Life Insurance Co Ltd</t>
  </si>
  <si>
    <t>INE795G01014</t>
  </si>
  <si>
    <t>Navin Fluorine International Ltd</t>
  </si>
  <si>
    <t>INE048G01026</t>
  </si>
  <si>
    <t>Cipla Ltd</t>
  </si>
  <si>
    <t>INE059A01026</t>
  </si>
  <si>
    <t>TVS Motor Co Ltd</t>
  </si>
  <si>
    <t>INE494B01023</t>
  </si>
  <si>
    <t>Auto</t>
  </si>
  <si>
    <t>Vinati Organics Ltd</t>
  </si>
  <si>
    <t>INE410B01037</t>
  </si>
  <si>
    <t>Abbott India Ltd</t>
  </si>
  <si>
    <t>INE358A01014</t>
  </si>
  <si>
    <t>SBI Cards and Payment Services Ltd</t>
  </si>
  <si>
    <t>INE018E01016</t>
  </si>
  <si>
    <t>Balkrishna Industries Ltd</t>
  </si>
  <si>
    <t>INE787D01026</t>
  </si>
  <si>
    <t>Ashok Leyland Ltd</t>
  </si>
  <si>
    <t>INE208A01029</t>
  </si>
  <si>
    <t>Maruti Suzuki India Ltd</t>
  </si>
  <si>
    <t>INE585B01010</t>
  </si>
  <si>
    <t>IPCA Laboratories Ltd</t>
  </si>
  <si>
    <t>INE571A01020</t>
  </si>
  <si>
    <t>Tata Motors Ltd</t>
  </si>
  <si>
    <t>INE155A01022</t>
  </si>
  <si>
    <t>Britannia Industries Ltd</t>
  </si>
  <si>
    <t>INE216A01030</t>
  </si>
  <si>
    <t>Whirlpool Of India Ltd</t>
  </si>
  <si>
    <t>INE716A01013</t>
  </si>
  <si>
    <t>Dr. Lal Path Labs Ltd</t>
  </si>
  <si>
    <t>INE600L01024</t>
  </si>
  <si>
    <t>Shree Cement Ltd</t>
  </si>
  <si>
    <t>INE070A01015</t>
  </si>
  <si>
    <t>Persistent Systems Ltd</t>
  </si>
  <si>
    <t>INE262H01013</t>
  </si>
  <si>
    <t>Gland Pharma Ltd</t>
  </si>
  <si>
    <t>INE068V01023</t>
  </si>
  <si>
    <t>Motherson Sumi Systems Ltd</t>
  </si>
  <si>
    <t>INE775A01035</t>
  </si>
  <si>
    <t>WABCO India Ltd</t>
  </si>
  <si>
    <t>INE342J01019</t>
  </si>
  <si>
    <t>PVR Ltd</t>
  </si>
  <si>
    <t>INE191H01014</t>
  </si>
  <si>
    <t>Entertainment</t>
  </si>
  <si>
    <t>Crompton Greaves Consumer Electricals Ltd</t>
  </si>
  <si>
    <t>INE299U01018</t>
  </si>
  <si>
    <t>Zomato Ltd</t>
  </si>
  <si>
    <t>INE758T01015</t>
  </si>
  <si>
    <t>Dr. Reddy's Laboratories Ltd</t>
  </si>
  <si>
    <t>INE089A01023</t>
  </si>
  <si>
    <t>Godrej Consumer Products Ltd</t>
  </si>
  <si>
    <t>INE102D01028</t>
  </si>
  <si>
    <t>SBI Life Insurance Co Ltd</t>
  </si>
  <si>
    <t>INE123W01016</t>
  </si>
  <si>
    <t>Dixon Technologies (India) Ltd</t>
  </si>
  <si>
    <t>INE935N01020</t>
  </si>
  <si>
    <t>Info Edge (India) Ltd</t>
  </si>
  <si>
    <t>INE663F01024</t>
  </si>
  <si>
    <t>Tata Communications Ltd</t>
  </si>
  <si>
    <t>INE151A01013</t>
  </si>
  <si>
    <t>Indian Railway Catering And Tourism Corp Ltd</t>
  </si>
  <si>
    <t>INE335Y01012</t>
  </si>
  <si>
    <t>Aditya Birla Fashion and Retail Ltd</t>
  </si>
  <si>
    <t>INE647O01011</t>
  </si>
  <si>
    <t>LIC Housing Finance Ltd</t>
  </si>
  <si>
    <t>INE115A01026</t>
  </si>
  <si>
    <t>The Ramco Cements Ltd</t>
  </si>
  <si>
    <t>INE331A01037</t>
  </si>
  <si>
    <t>Kansai Nerolac Paints Ltd</t>
  </si>
  <si>
    <t>INE531A01024</t>
  </si>
  <si>
    <t>Century Textile &amp; Industries Ltd</t>
  </si>
  <si>
    <t>INE055A01016</t>
  </si>
  <si>
    <t>Paper</t>
  </si>
  <si>
    <t>Muthoot Finance Ltd</t>
  </si>
  <si>
    <t>INE414G01012</t>
  </si>
  <si>
    <t>AIA Engineering Ltd</t>
  </si>
  <si>
    <t>INE212H01026</t>
  </si>
  <si>
    <t>City Union Bank Ltd</t>
  </si>
  <si>
    <t>INE491A01021</t>
  </si>
  <si>
    <t>Multi Commodity Exchange Of India Ltd</t>
  </si>
  <si>
    <t>INE745G01035</t>
  </si>
  <si>
    <t>Capital Markets</t>
  </si>
  <si>
    <t>Procter &amp; Gamble Hygiene and Health Care Ltd</t>
  </si>
  <si>
    <t>INE179A01014</t>
  </si>
  <si>
    <t>Page Industries Ltd</t>
  </si>
  <si>
    <t>INE761H01022</t>
  </si>
  <si>
    <t>Textile Products</t>
  </si>
  <si>
    <t>Orient Electric Ltd</t>
  </si>
  <si>
    <t>INE142Z01019</t>
  </si>
  <si>
    <t>UTI Asset Management Co Ltd</t>
  </si>
  <si>
    <t>INE094J01016</t>
  </si>
  <si>
    <t>Berger Paints India Ltd</t>
  </si>
  <si>
    <t>INE463A01038</t>
  </si>
  <si>
    <t>V.I.P. Industries Ltd</t>
  </si>
  <si>
    <t>INE054A01027</t>
  </si>
  <si>
    <t>Bajaj Auto Ltd</t>
  </si>
  <si>
    <t>INE917I01010</t>
  </si>
  <si>
    <t>Finolex Industries Ltd</t>
  </si>
  <si>
    <t>INE183A01024</t>
  </si>
  <si>
    <t>Dabur India Ltd</t>
  </si>
  <si>
    <t>INE016A01026</t>
  </si>
  <si>
    <t>ICICI Lombard General Insurance Co Ltd</t>
  </si>
  <si>
    <t>INE765G01017</t>
  </si>
  <si>
    <t>Grasim Industries Ltd</t>
  </si>
  <si>
    <t>INE047A01021</t>
  </si>
  <si>
    <t>Computer Age Management Services Ltd</t>
  </si>
  <si>
    <t>INE596I01012</t>
  </si>
  <si>
    <t>National Aluminium Co Ltd</t>
  </si>
  <si>
    <t>INE139A01034</t>
  </si>
  <si>
    <t>Angel Broking Ltd</t>
  </si>
  <si>
    <t>INE732I01013</t>
  </si>
  <si>
    <t>K.P.R. Mill Ltd</t>
  </si>
  <si>
    <t>INE930H01023</t>
  </si>
  <si>
    <t>Cera Sanitaryware Ltd</t>
  </si>
  <si>
    <t>INE739E01017</t>
  </si>
  <si>
    <t>Equitas Holdings Ltd</t>
  </si>
  <si>
    <t>INE988K01017</t>
  </si>
  <si>
    <t>Central Depository Services (India) Ltd</t>
  </si>
  <si>
    <t>INE736A01011</t>
  </si>
  <si>
    <t>Great Eastern Shipping Co Ltd</t>
  </si>
  <si>
    <t>INE017A01032</t>
  </si>
  <si>
    <t>Rhi Magnesita India Ltd</t>
  </si>
  <si>
    <t>INE743M01012</t>
  </si>
  <si>
    <t>VRL Logistics Ltd</t>
  </si>
  <si>
    <t>INE366I01010</t>
  </si>
  <si>
    <t>EPL Ltd</t>
  </si>
  <si>
    <t>INE255A01020</t>
  </si>
  <si>
    <t>BSE Ltd</t>
  </si>
  <si>
    <t>INE118H01025</t>
  </si>
  <si>
    <t>Rallis India Ltd</t>
  </si>
  <si>
    <t>INE613A01020</t>
  </si>
  <si>
    <t>KEC International Ltd</t>
  </si>
  <si>
    <t>INE389H01022</t>
  </si>
  <si>
    <t>Galaxy Surfactants Ltd</t>
  </si>
  <si>
    <t>INE600K01018</t>
  </si>
  <si>
    <t>Greenply Industries Ltd</t>
  </si>
  <si>
    <t>INE461C01038</t>
  </si>
  <si>
    <t>Balrampur Chini Mills Ltd</t>
  </si>
  <si>
    <t>INE119A01028</t>
  </si>
  <si>
    <t>Indian Energy Exchange Ltd</t>
  </si>
  <si>
    <t>INE022Q01020</t>
  </si>
  <si>
    <t>NOCIL Ltd</t>
  </si>
  <si>
    <t>INE163A01018</t>
  </si>
  <si>
    <t>V-Mart Retail Ltd</t>
  </si>
  <si>
    <t>INE665J01013</t>
  </si>
  <si>
    <t>Indian Bank</t>
  </si>
  <si>
    <t>INE562A01011</t>
  </si>
  <si>
    <t>Clean Science And Technology Ltd</t>
  </si>
  <si>
    <t>INE227W01023</t>
  </si>
  <si>
    <t>Mold Tek Packaging Ltd</t>
  </si>
  <si>
    <t>INE893J01029</t>
  </si>
  <si>
    <t>Creditaccess Grameen Ltd</t>
  </si>
  <si>
    <t>INE741K01010</t>
  </si>
  <si>
    <t>Teamlease Services Ltd</t>
  </si>
  <si>
    <t>INE985S01024</t>
  </si>
  <si>
    <t>Commercial Services</t>
  </si>
  <si>
    <t>Subros Ltd</t>
  </si>
  <si>
    <t>INE287B01021</t>
  </si>
  <si>
    <t>Deepak Nitrite Ltd</t>
  </si>
  <si>
    <t>INE288B01029</t>
  </si>
  <si>
    <t>Greenpanel Industries Ltd</t>
  </si>
  <si>
    <t>INE08ZM01014</t>
  </si>
  <si>
    <t>EID Parry India Ltd</t>
  </si>
  <si>
    <t>INE126A01031</t>
  </si>
  <si>
    <t>Shriram City Union Finance Ltd</t>
  </si>
  <si>
    <t>INE722A01011</t>
  </si>
  <si>
    <t>DCB Bank Ltd</t>
  </si>
  <si>
    <t>INE503A01015</t>
  </si>
  <si>
    <t>Fine Organic Industries Ltd</t>
  </si>
  <si>
    <t>INE686Y01026</t>
  </si>
  <si>
    <t>Greenlam Industries Ltd</t>
  </si>
  <si>
    <t>INE544R01013</t>
  </si>
  <si>
    <t>ICRA Ltd</t>
  </si>
  <si>
    <t>INE725G01011</t>
  </si>
  <si>
    <t>Gulf Oil Lubricants India Ltd</t>
  </si>
  <si>
    <t>INE635Q01029</t>
  </si>
  <si>
    <t>Debt Instruments</t>
  </si>
  <si>
    <t>4.96% LIC Housing Finance Ltd (14/09/2023) **</t>
  </si>
  <si>
    <t>INE115A07OZ3</t>
  </si>
  <si>
    <t>CARE AAA</t>
  </si>
  <si>
    <t>7.87% Housing Development Finance Corporation Ltd (18/07/2022) **</t>
  </si>
  <si>
    <t>INE001A07RW5</t>
  </si>
  <si>
    <t>CRISIL AAA</t>
  </si>
  <si>
    <t>7.40% Power Finance Corporation Ltd (30/09/2021)</t>
  </si>
  <si>
    <t>INE134E08IM4</t>
  </si>
  <si>
    <t>8.30% Reliance Industries Ltd (08/03/2022) **</t>
  </si>
  <si>
    <t>INE002A08575</t>
  </si>
  <si>
    <t>7.00% Reliance Industries Ltd (31/08/2022) **</t>
  </si>
  <si>
    <t>INE002A08476</t>
  </si>
  <si>
    <t>7.21% Housing Development Finance Corporation Ltd (30/12/2022) **</t>
  </si>
  <si>
    <t>INE001A07SD3</t>
  </si>
  <si>
    <t>7.17% Reliance Industries Ltd (08/11/2022) **</t>
  </si>
  <si>
    <t>INE002A08500</t>
  </si>
  <si>
    <t>7.10% Power Finance Corporation Ltd (08/08/2022) **</t>
  </si>
  <si>
    <t>INE134E08JD1</t>
  </si>
  <si>
    <t>5.35% LIC Housing Finance Ltd (20/03/2023) **</t>
  </si>
  <si>
    <t>INE115A07PC9</t>
  </si>
  <si>
    <t>7.22% LIC Housing Finance Ltd (19/11/2021) **</t>
  </si>
  <si>
    <t>INE115A07OP4</t>
  </si>
  <si>
    <t>6.22% Housing Development Finance Corporation Ltd (10/12/2021) **</t>
  </si>
  <si>
    <t>INE001A07SN2</t>
  </si>
  <si>
    <t>7.15% Housing Development Finance Corporation Ltd (16/09/2021) **</t>
  </si>
  <si>
    <t>INE001A07RY1</t>
  </si>
  <si>
    <t>7.99% Housing Development Finance Corporation Ltd (11/07/2024) **</t>
  </si>
  <si>
    <t>INE001A07RV7</t>
  </si>
  <si>
    <t>7.39% LIC Housing Finance Ltd (30/08/2022) **</t>
  </si>
  <si>
    <t>INE115A07MJ1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</si>
  <si>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</si>
  <si>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</si>
  <si>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</si>
  <si>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</si>
  <si>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7.45% REC Ltd (30/11/2022) **</t>
  </si>
  <si>
    <t>INE020B08AP1</t>
  </si>
  <si>
    <t>8.18% Power Finance Corporation Ltd (19/03/2022) **</t>
  </si>
  <si>
    <t>INE134E08JW1</t>
  </si>
  <si>
    <t>8.22% National Bank For Agriculture &amp; Rural Development (13/12/2028) **</t>
  </si>
  <si>
    <t>INE261F08AV0</t>
  </si>
  <si>
    <t>8.33% LIC Housing Finance Ltd (31/05/2024) **</t>
  </si>
  <si>
    <t>INE115A07OE8</t>
  </si>
  <si>
    <t>7.79% LIC Housing Finance Ltd (18/10/2024)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</si>
  <si>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</si>
  <si>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</si>
  <si>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</si>
  <si>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</si>
  <si>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</si>
  <si>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ICRA AAA</t>
  </si>
  <si>
    <t>7.47% Power Finance Corporation Ltd (16/09/2021) **</t>
  </si>
  <si>
    <t>INE134E08IJ0</t>
  </si>
  <si>
    <t>8.13% Power Grid Corporation of India Ltd (25/04/2024) **</t>
  </si>
  <si>
    <t>INE752E07NQ6</t>
  </si>
  <si>
    <t>7.75% LIC Housing Finance Ltd (23/07/2024)</t>
  </si>
  <si>
    <t>INE115A07OL3</t>
  </si>
  <si>
    <t>7.85% Power Finance Corporation Ltd (03/04/2028) **</t>
  </si>
  <si>
    <t>INE134E08JP5</t>
  </si>
  <si>
    <t>8.60% National Bank For Agriculture &amp; Rural Development (31/01/2022) **</t>
  </si>
  <si>
    <t>INE261F08AI7</t>
  </si>
  <si>
    <t>Money Market Instruments</t>
  </si>
  <si>
    <t>Commercial Paper</t>
  </si>
  <si>
    <t>INE115A14CZ4</t>
  </si>
  <si>
    <t>CRISIL A1+</t>
  </si>
  <si>
    <t>Government Bonds</t>
  </si>
  <si>
    <t>3.96% GOI (09/11/2022)</t>
  </si>
  <si>
    <t>IN0020200260</t>
  </si>
  <si>
    <t>Sovereign</t>
  </si>
  <si>
    <t>4.48% GOI (02/11/2023)</t>
  </si>
  <si>
    <t>IN0020200211</t>
  </si>
  <si>
    <t>4.26% INDIA GOVERNMENT 17-MAY-23</t>
  </si>
  <si>
    <t>IN0020210046</t>
  </si>
  <si>
    <t>5.22% GOI (15/06/2025)</t>
  </si>
  <si>
    <t>IN0020200112</t>
  </si>
  <si>
    <t>8.15% GOI (11/06/2022)</t>
  </si>
  <si>
    <t>IN0020120013</t>
  </si>
  <si>
    <t>8.79% GOI (08/11/2021)</t>
  </si>
  <si>
    <t>IN0020110030</t>
  </si>
  <si>
    <t>6.10% INDIA GOVERNMENT 12-JUL-31</t>
  </si>
  <si>
    <t>IN0020210095</t>
  </si>
  <si>
    <t>8.20% GOI (15/02/2022)</t>
  </si>
  <si>
    <t>IN0020060037</t>
  </si>
  <si>
    <t>5.09% GOI (13/04/2022)</t>
  </si>
  <si>
    <t>IN0020200021</t>
  </si>
  <si>
    <t>8.01% TAMILNADU SDL 11-MAY-26</t>
  </si>
  <si>
    <t>IN3120160038</t>
  </si>
  <si>
    <t>6.97% GOI (06/09/2026)</t>
  </si>
  <si>
    <t>IN0020160035</t>
  </si>
  <si>
    <t>8.24% GOI (15/02/2027)</t>
  </si>
  <si>
    <t>IN0020060078</t>
  </si>
  <si>
    <t>8.15% GOI (24/11/2026)</t>
  </si>
  <si>
    <t>IN0020140060</t>
  </si>
  <si>
    <t>7.42% Maharashtra SDL 11-May-22</t>
  </si>
  <si>
    <t>IN2220170012</t>
  </si>
  <si>
    <t>#  Unlisted Security</t>
  </si>
  <si>
    <t>8.81% Small Industries Development Bank Of India (25/01/2022) **</t>
  </si>
  <si>
    <t>INE556F08JI1</t>
  </si>
  <si>
    <t>Treasury Bill</t>
  </si>
  <si>
    <t>91 DAYS INDIA TREASURY BILLS 16-SEP-21</t>
  </si>
  <si>
    <t>IN002021X116</t>
  </si>
  <si>
    <t xml:space="preserve"> Sovereign</t>
  </si>
  <si>
    <t>7.27% GOI (08/04/2026)</t>
  </si>
  <si>
    <t>IN0020190016</t>
  </si>
  <si>
    <t>7.57% GOI (17/06/2033)</t>
  </si>
  <si>
    <t>IN0020190065</t>
  </si>
  <si>
    <t>7.37% TAMILNADU SDL 14-SEP-26</t>
  </si>
  <si>
    <t>IN3120160103</t>
  </si>
  <si>
    <t>6.68% GOI (17/09/2031)</t>
  </si>
  <si>
    <t>IN0020170042</t>
  </si>
  <si>
    <t>6.97% TAMIL NADU SDL 28-JUL-31</t>
  </si>
  <si>
    <t>IN3120210148</t>
  </si>
  <si>
    <t>6.64% GOI (16/06/2035)</t>
  </si>
  <si>
    <t>IN0020210020</t>
  </si>
  <si>
    <t>7.17% GOI (08/01/2028)</t>
  </si>
  <si>
    <t>IN0020170174</t>
  </si>
  <si>
    <t>6.22% GOI (16/03/2035)</t>
  </si>
  <si>
    <t>IN0020200245</t>
  </si>
  <si>
    <t>8.13% GOI (22/06/2045)</t>
  </si>
  <si>
    <t>IN0020150044</t>
  </si>
  <si>
    <t>8.70% Power Finance Corporation Ltd (14/05/2025) **</t>
  </si>
  <si>
    <t>INE134E08CY2</t>
  </si>
  <si>
    <t>8.79% LIC Housing Finance Ltd (05/03/2024) **</t>
  </si>
  <si>
    <t>INE115A07NY8</t>
  </si>
  <si>
    <t>7.50% Housing Development Finance Corporation Ltd (08/01/2025)</t>
  </si>
  <si>
    <t>INE001A07SE1</t>
  </si>
  <si>
    <t>8.13% Power Grid Corporation of India Ltd (25/04/2023) **</t>
  </si>
  <si>
    <t>INE752E07NP8</t>
  </si>
  <si>
    <t>5.63% GOI (12/04/2026)</t>
  </si>
  <si>
    <t>IN0020210012</t>
  </si>
  <si>
    <t>6.67% GOI (17/12/2050)</t>
  </si>
  <si>
    <t>IN0020200252</t>
  </si>
  <si>
    <t>7.39% Maharashtra SDL 09-Nov-26</t>
  </si>
  <si>
    <t>IN2220160104</t>
  </si>
  <si>
    <t>7.16% TAMIL NADU SDL 11-JAN-27</t>
  </si>
  <si>
    <t>IN3120160178</t>
  </si>
  <si>
    <t>7.19% KERALA SDL 26-JUL-27</t>
  </si>
  <si>
    <t>IN2020170063</t>
  </si>
  <si>
    <t>8.47% Maharashtra SDL 10-Feb-26</t>
  </si>
  <si>
    <t>IN2220150188</t>
  </si>
  <si>
    <t>7.35% Power Finance Corporation Ltd (15/10/2022) **</t>
  </si>
  <si>
    <t>INE134E08KG2</t>
  </si>
  <si>
    <t>7.00% Larsen &amp; Toubro Ltd (25/04/2022) **</t>
  </si>
  <si>
    <t>INE018A08AX1</t>
  </si>
  <si>
    <t>6.60% REC Ltd (21/03/2022) **</t>
  </si>
  <si>
    <t>INE020B08CV5</t>
  </si>
  <si>
    <t>6.32% REC Ltd (31/12/2021) **</t>
  </si>
  <si>
    <t>INE020B08CL6</t>
  </si>
  <si>
    <t>4.95% Housing Development Finance Corporation Ltd (09/09/2022) **</t>
  </si>
  <si>
    <t>INE001A07SQ5</t>
  </si>
  <si>
    <t>7.66% LIC Housing Finance Ltd (21/10/2021) **</t>
  </si>
  <si>
    <t>INE115A07KR8</t>
  </si>
  <si>
    <t>6.99% Housing Development Finance Corporation Ltd (25/11/2021) **</t>
  </si>
  <si>
    <t>INE001A07SC5</t>
  </si>
  <si>
    <t>4.58% Small Industries Development Bank Of India (18/12/2023) **</t>
  </si>
  <si>
    <t>INE556F08JR2</t>
  </si>
  <si>
    <t>7.49% Power Grid Corporation of India Ltd (25/10/2024) **</t>
  </si>
  <si>
    <t>INE752E08593</t>
  </si>
  <si>
    <t>6.75% Power Finance Corporation Ltd (22/05/2023) **</t>
  </si>
  <si>
    <t>INE134E08KS7</t>
  </si>
  <si>
    <t>8.02% Larsen &amp; Toubro Ltd (22/05/2022) **</t>
  </si>
  <si>
    <t>INE018A08AS1</t>
  </si>
  <si>
    <t>7.24% REC Ltd (31/12/2022) **</t>
  </si>
  <si>
    <t>INE020B08CG6</t>
  </si>
  <si>
    <t>6.98% National Bank For Agriculture &amp; Rural Development (19/09/2022) **</t>
  </si>
  <si>
    <t>INE261F08BO3</t>
  </si>
  <si>
    <t>6.99% Small Industries Development Bank Of India (08/08/2022) **</t>
  </si>
  <si>
    <t>INE556F08JN1</t>
  </si>
  <si>
    <t>8.13% Power Grid Corporation of India Ltd (25/04/2022) **</t>
  </si>
  <si>
    <t>INE752E07NO1</t>
  </si>
  <si>
    <t>8.44% REC Ltd (04/12/2021) **</t>
  </si>
  <si>
    <t>INE020B08872</t>
  </si>
  <si>
    <t>Certificate of Deposit</t>
  </si>
  <si>
    <t>Axis Bank Ltd (22/10/2021) ** #</t>
  </si>
  <si>
    <t>INE238A166U3</t>
  </si>
  <si>
    <t>Small Industries Development Bank of India (18/03/2022) ** #</t>
  </si>
  <si>
    <t>INE556F16853</t>
  </si>
  <si>
    <t>CARE A1+</t>
  </si>
  <si>
    <t>Axis Bank Ltd (28/04/2022) ** #</t>
  </si>
  <si>
    <t>INE238A167W7</t>
  </si>
  <si>
    <t>Small Industries Development Bank of India (02/06/2022) ** #</t>
  </si>
  <si>
    <t>INE556F16879</t>
  </si>
  <si>
    <t>INE115A14CU5</t>
  </si>
  <si>
    <t>INE115A14DE7</t>
  </si>
  <si>
    <t>182 DAYS INDIA TREASURY BILLS 16-DEC-21</t>
  </si>
  <si>
    <t>IN002021Y114</t>
  </si>
  <si>
    <t>182 DAYS INDIA TREASURY BILLS 23-DEC-21</t>
  </si>
  <si>
    <t>IN002021Y122</t>
  </si>
  <si>
    <t>364 DAYS INDIA TREASURY BILLS 05-MAY-22</t>
  </si>
  <si>
    <t>IN002021Z053</t>
  </si>
  <si>
    <t>364 DAYS INDIA TREASURY BILLS 30-MAR-22</t>
  </si>
  <si>
    <t>IN002020Z527</t>
  </si>
  <si>
    <t>364 DAYS INDIA TREASURY BILLS 09-SEP-21</t>
  </si>
  <si>
    <t>IN002020Z238</t>
  </si>
  <si>
    <t>5.54% MADHYA PRADESH SDL 15-OCT-21</t>
  </si>
  <si>
    <t>IN2120200059</t>
  </si>
  <si>
    <t>8.08% GOI (02/08/2022)</t>
  </si>
  <si>
    <t>IN0020070028</t>
  </si>
  <si>
    <t>6.84% GOI (19/12/2022)</t>
  </si>
  <si>
    <t>IN0020160050</t>
  </si>
  <si>
    <t>8.35% GOI (14/05/2022)</t>
  </si>
  <si>
    <t>IN0020020072</t>
  </si>
  <si>
    <t>9.23% GUJARAT SDL 23-NOV-21</t>
  </si>
  <si>
    <t>IN1520110090</t>
  </si>
  <si>
    <t>7.14% REC Ltd (09/12/2021) **</t>
  </si>
  <si>
    <t>INE020B08AB1</t>
  </si>
  <si>
    <t>7.40% LIC Housing Finance Ltd (06/09/2024)</t>
  </si>
  <si>
    <t>INE115A07ML7</t>
  </si>
  <si>
    <t>364 DAYS INDIA TREASURY BILLS 23-SEP-21</t>
  </si>
  <si>
    <t>IN002020Z253</t>
  </si>
  <si>
    <t>8.49% Punjab SDL Uday 31-Mar-22</t>
  </si>
  <si>
    <t>IN2820150273</t>
  </si>
  <si>
    <t>9.25% MAHARASHTRA SDL 09-OCT-23</t>
  </si>
  <si>
    <t>IN2220130099</t>
  </si>
  <si>
    <t>7.72% GOI (26/10/2055)</t>
  </si>
  <si>
    <t>IN0020150077</t>
  </si>
  <si>
    <t>6.79% GOI (15/05/2027)</t>
  </si>
  <si>
    <t>IN0020170026</t>
  </si>
  <si>
    <t>7.59% GOI (11/01/2026)</t>
  </si>
  <si>
    <t>IN0020150093</t>
  </si>
  <si>
    <t>Axis Bank Ltd (07/09/2021) ** #</t>
  </si>
  <si>
    <t>INE238A169U7</t>
  </si>
  <si>
    <t>INE514E14PK4</t>
  </si>
  <si>
    <t>INE002A14IH9</t>
  </si>
  <si>
    <t>INE053F14211</t>
  </si>
  <si>
    <t>INE242A14UM6</t>
  </si>
  <si>
    <t>ICRA A1+</t>
  </si>
  <si>
    <t>INE094A14HH8</t>
  </si>
  <si>
    <t>INE001A14WZ4</t>
  </si>
  <si>
    <t>INE733E14914</t>
  </si>
  <si>
    <t>INE891K14KK4</t>
  </si>
  <si>
    <t>INE916D14Y31</t>
  </si>
  <si>
    <t>INE001A14WX9</t>
  </si>
  <si>
    <t>364 DAYS INDIA TREASURY BILLS 16-SEP-21</t>
  </si>
  <si>
    <t>IN002020Z246</t>
  </si>
  <si>
    <t>364 DAYS INDIA TREASURY BILLS 02-SEP-21</t>
  </si>
  <si>
    <t>IN002020Z220</t>
  </si>
  <si>
    <t>182 DAYS INDIA TREASURY BILLS 14-OCT-21</t>
  </si>
  <si>
    <t>IN002021Y023</t>
  </si>
  <si>
    <t>91 DAYS INDIA TREASURY BILLS 09-SEP-21</t>
  </si>
  <si>
    <t>IN002021X108</t>
  </si>
  <si>
    <t>182 DAYS INDIA TREASURY BILLS 02-SEP-21</t>
  </si>
  <si>
    <t>IN002020Y488</t>
  </si>
  <si>
    <t>91 DAYS INDIA TREASURY BILLS 23-SEP-21</t>
  </si>
  <si>
    <t>IN002021X124</t>
  </si>
  <si>
    <t>182 DAYS INDIA TREASURY BILLS 21-OCT-21</t>
  </si>
  <si>
    <t>IN002021Y031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</si>
  <si>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</si>
  <si>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</si>
  <si>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</si>
  <si>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</si>
  <si>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9.4041% L&amp;T Housing Finance Ltd (11/10/2021) **</t>
  </si>
  <si>
    <t>INE476M07BQ0</t>
  </si>
  <si>
    <t>Axis Bank Ltd (17/09/2021) ** #</t>
  </si>
  <si>
    <t>INE238A168V7</t>
  </si>
  <si>
    <t>INE261F14IC1</t>
  </si>
  <si>
    <t>INE002A14HT6</t>
  </si>
  <si>
    <t>INE115A14CS9</t>
  </si>
  <si>
    <t>182 DAYS INDIA TREASURY BILLS 18-FEB-22</t>
  </si>
  <si>
    <t>IN002021Y213</t>
  </si>
  <si>
    <t>364 DAYS INDIA TREASURY BILLS 11-MAR-22</t>
  </si>
  <si>
    <t>IN002020Z493</t>
  </si>
  <si>
    <t>182 DAYS INDIA TREASURY BILLS 18-NOV-21</t>
  </si>
  <si>
    <t>IN002021Y072</t>
  </si>
  <si>
    <t>182 DAYS INDIA TREASURY BILLS 25-NOV-21</t>
  </si>
  <si>
    <t>IN002021Y080</t>
  </si>
  <si>
    <t>5.05% Indian Oil Corporation Ltd (25/11/2022)</t>
  </si>
  <si>
    <t>INE242A08460</t>
  </si>
  <si>
    <t>6.59% Indian Railway Finance Corporation Ltd (14/04/2023) **</t>
  </si>
  <si>
    <t>INE053F07BZ2</t>
  </si>
  <si>
    <t>7.20% Housing Development Finance Corporation Ltd (13/04/2023) **</t>
  </si>
  <si>
    <t>INE001A07SJ0</t>
  </si>
  <si>
    <t>7.4450% LIC HOUSING FINANCE LTD13-JAN-23</t>
  </si>
  <si>
    <t>INE115A07OJ7</t>
  </si>
  <si>
    <t>6.70% National Bank For Agriculture &amp; Rural Development (11/11/2022) **</t>
  </si>
  <si>
    <t>INE261F08BQ8</t>
  </si>
  <si>
    <t>6.50% Power Finance Corporation Ltd (17/09/2025) **</t>
  </si>
  <si>
    <t>INE134E08LD7</t>
  </si>
  <si>
    <t>5.32% National Housing Bank (01/09/2023)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</si>
  <si>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</si>
  <si>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</si>
  <si>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</si>
  <si>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</si>
  <si>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</si>
  <si>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8.15% REC Ltd (10/06/2022) **</t>
  </si>
  <si>
    <t>INE020B08BT1</t>
  </si>
  <si>
    <t>6.80% Small Industries Development Bank Of India (29/09/2022) **</t>
  </si>
  <si>
    <t>INE556F08JO9</t>
  </si>
  <si>
    <t>7.87% Larsen &amp; Toubro Ltd (18/04/2022) **</t>
  </si>
  <si>
    <t>INE018A08AR3</t>
  </si>
  <si>
    <t>5.40% Housing Development Finance Corporation Ltd (11/08/2023) **</t>
  </si>
  <si>
    <t>INE001A07SP7</t>
  </si>
  <si>
    <t>7.05% National Housing Bank (18/12/2024) **</t>
  </si>
  <si>
    <t>INE557F08FG1</t>
  </si>
  <si>
    <t>7.85% National Bank For Agriculture &amp; Rural Development (23/05/2022) **</t>
  </si>
  <si>
    <t>INE261F08BJ3</t>
  </si>
  <si>
    <t>6.93% UltraTech Cement Ltd (25/11/2021) **</t>
  </si>
  <si>
    <t>INE481G08032</t>
  </si>
  <si>
    <t>8.40% Power Grid Corporation of India Ltd (14/09/2021) **</t>
  </si>
  <si>
    <t>INE752E07MZ9</t>
  </si>
  <si>
    <t>8.40% Power Grid Corporation of India Ltd (27/05/2026) **</t>
  </si>
  <si>
    <t>INE752E07MS4</t>
  </si>
  <si>
    <t>8.40% Power Grid Corporation of India Ltd (27/05/2027) **</t>
  </si>
  <si>
    <t>INE752E07MT2</t>
  </si>
  <si>
    <t>8.50% National Bank For Agriculture &amp; Rural Development (31/01/2023)</t>
  </si>
  <si>
    <t>INE261F08AT4</t>
  </si>
  <si>
    <t>8.50% LIC Housing Finance Ltd (20/06/2022) **</t>
  </si>
  <si>
    <t>INE115A07OD0</t>
  </si>
  <si>
    <t>6.72% NTPC Ltd (24/11/2021) **</t>
  </si>
  <si>
    <t>INE733E07KH1</t>
  </si>
  <si>
    <t>8.58% Housing Development Finance Corporation Ltd (18/03/2022) **</t>
  </si>
  <si>
    <t>INE001A07RS3</t>
  </si>
  <si>
    <t>364 DAYS INDIA TREASURY BILLS 23-DEC-21</t>
  </si>
  <si>
    <t>IN002020Z386</t>
  </si>
  <si>
    <t>5.15% GOI (09/11/2025)</t>
  </si>
  <si>
    <t>IN0020200278</t>
  </si>
  <si>
    <t>7.35% GOI (22/06/2024)</t>
  </si>
  <si>
    <t>IN0020090034</t>
  </si>
  <si>
    <t>7.32% GOI (28/01/2024)</t>
  </si>
  <si>
    <t>IN0020180488</t>
  </si>
  <si>
    <t>8.75% UTTAR PRADESH SDL 11-JAN-22</t>
  </si>
  <si>
    <t>IN3320110130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</si>
  <si>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</si>
  <si>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</si>
  <si>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</si>
  <si>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</si>
  <si>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</si>
  <si>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</si>
  <si>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</si>
  <si>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</si>
  <si>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</si>
  <si>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</si>
  <si>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</si>
  <si>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</si>
  <si>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</si>
  <si>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</si>
  <si>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7.24% Indian Railway Finance Corporation Ltd (08/11/2021) **</t>
  </si>
  <si>
    <t>INE053F07934</t>
  </si>
  <si>
    <t>8.73% NTPC Ltd (07/03/2023) **</t>
  </si>
  <si>
    <t>INE733E07JC4</t>
  </si>
  <si>
    <t>6.72% Power Finance Corporation Ltd (09/06/2023)</t>
  </si>
  <si>
    <t>INE134E08KW9</t>
  </si>
  <si>
    <t>9.35% Power Grid Corporation of India Ltd (29/08/2023) **</t>
  </si>
  <si>
    <t>INE752E07IT0</t>
  </si>
  <si>
    <t>7.60% Grasim Industries Ltd (04/06/2024) **</t>
  </si>
  <si>
    <t>INE047A08158</t>
  </si>
  <si>
    <t>7.28% Housing Development Finance Corporation Ltd (26/09/2022) **</t>
  </si>
  <si>
    <t>INE001A07RZ8</t>
  </si>
  <si>
    <t>7.80% LIC Housing Finance Ltd (03/05/2022) **</t>
  </si>
  <si>
    <t>INE115A07LQ8</t>
  </si>
  <si>
    <t>5.10% Sundaram Finance Ltd (01/12/2023) **</t>
  </si>
  <si>
    <t>INE660A07QQ2</t>
  </si>
  <si>
    <t>0.00% Aditya Birla Finance Ltd (12/10/2021) **</t>
  </si>
  <si>
    <t>INE860H07GD2</t>
  </si>
  <si>
    <t>8.84% MAHARASHTRA SDL 17-OCT-22</t>
  </si>
  <si>
    <t>IN2220120058</t>
  </si>
  <si>
    <t>8.72% MAHARASHTRA SDL 11-JAN-22</t>
  </si>
  <si>
    <t>IN2220110083</t>
  </si>
  <si>
    <t>9.25% UTTAR PRADESH SDL 23-NOV-21</t>
  </si>
  <si>
    <t>IN3320110106</t>
  </si>
  <si>
    <t>8.65% GUJARAT SDL 21-SEP-21</t>
  </si>
  <si>
    <t>IN1520110074</t>
  </si>
  <si>
    <t>8.62% GUJARAT SDL 07-SEP-21</t>
  </si>
  <si>
    <t>IN1520110066</t>
  </si>
  <si>
    <t>Alkem Laboratories Ltd</t>
  </si>
  <si>
    <t>INE540L01014</t>
  </si>
  <si>
    <t>Mahindra &amp; Mahindra Ltd</t>
  </si>
  <si>
    <t>INE101A01026</t>
  </si>
  <si>
    <t>7.95% LIC Housing Finance Ltd (24/03/2022) **</t>
  </si>
  <si>
    <t>INE115A07LM7</t>
  </si>
  <si>
    <t>9.43% LIC Housing Finance Ltd (10/02/2022) **</t>
  </si>
  <si>
    <t>INE115A07CA1</t>
  </si>
  <si>
    <t>8.99% GUJARAT SDL 14-MAR-22</t>
  </si>
  <si>
    <t>IN1520110132</t>
  </si>
  <si>
    <t>**  Non Traded Security</t>
  </si>
  <si>
    <t>LIC Housing Finance Ltd (14/12/2021) **</t>
  </si>
  <si>
    <t>LIC Housing Finance Ltd (07/07/2022) **</t>
  </si>
  <si>
    <t>LIC Housing Finance Ltd (08/09/2021) **</t>
  </si>
  <si>
    <t>Export-Import Bank Of India (14/09/2021) **</t>
  </si>
  <si>
    <t>Reliance Industries Ltd (29/09/2021) **</t>
  </si>
  <si>
    <t>Indian Railway Finance Corporation Ltd (22/10/2021) **</t>
  </si>
  <si>
    <t>Indian Oil Corporation Ltd (13/09/2021) **</t>
  </si>
  <si>
    <t>Hindustan Petroleum Corporation Ltd (28/09/2021)</t>
  </si>
  <si>
    <t>Housing Development Finance Corporation Ltd (28/10/2021)</t>
  </si>
  <si>
    <t>NTPC Ltd (14/09/2021)</t>
  </si>
  <si>
    <t>Axis Finance Ltd (24/09/2021) **</t>
  </si>
  <si>
    <t>Kotak Mahindra Prime Ltd (05/10/2021)</t>
  </si>
  <si>
    <t>Housing Development Finance Corporation Ltd (11/10/2021) **</t>
  </si>
  <si>
    <t>National Bank For Agriculture &amp; Rural Development (31/01/2022) **</t>
  </si>
  <si>
    <t>Reliance Industries Ltd (09/09/2021)</t>
  </si>
  <si>
    <t>LIC Housing Finance Ltd (25/10/2021) **</t>
  </si>
  <si>
    <t>Product Labeling ( Risk-o-meter) in Canara Robeco Mutual Fund schemes</t>
  </si>
  <si>
    <t>Sr No.</t>
  </si>
  <si>
    <t>Fund Name</t>
  </si>
  <si>
    <r>
      <t xml:space="preserve">Product Labelling
</t>
    </r>
    <r>
      <rPr>
        <sz val="12"/>
        <color theme="1"/>
        <rFont val="Taz SemiLight"/>
        <family val="2"/>
      </rPr>
      <t>This product is suitable for investors who are seeking*:</t>
    </r>
  </si>
  <si>
    <t>Revised Risk-o-meter Level- Jul'21</t>
  </si>
  <si>
    <t>Revised Risk-o-meter Level- Aug'21</t>
  </si>
  <si>
    <t>• Capital appreciation over long term
• Investing predominantly in equities and equity related instruments of large cap companies</t>
  </si>
  <si>
    <t>• Capital appreciation over long term
• Investment in equity and equity related instruments across large cap, mid cap, small cap stocks</t>
  </si>
  <si>
    <t>• Capital appreciation over long term
• Investing predominantly in equities and equity related instruments of both large cap and mid cap companies</t>
  </si>
  <si>
    <t>• Capital appreciation over long term
• Investment in equity and equity related securities with a statutory lock in of 3 years and tax benefit</t>
  </si>
  <si>
    <t>• Capital appreciation over long term
• Investing predominantly in equities and equity
related instruments of small cap companies</t>
  </si>
  <si>
    <t>• Capital appreciation over long term
• Investing in equities and equity related instruments of companies following the Infrastructure Theme</t>
  </si>
  <si>
    <t>• Capital appreciation over long term
• Investing in equity and equity related securities of companies following the Consumption and Financial Theme</t>
  </si>
  <si>
    <t>•  Regular income over short  term that may be in line with the overnight call rates
•  Investment in Overnight Securities</t>
  </si>
  <si>
    <t>•  Income/ Capital appreciation while maintaining a level of high liquidity
• Investment in a mix of Debt and Money Market instruments with maturity of upto 91 days only</t>
  </si>
  <si>
    <t>• Income/ Capital appreciation over ultra-short term through a low risk strategy
• Investment in a mix of Debt and Money Market instruments such that the Macaulay duration of the portfolio is between 3 months and 6 months</t>
  </si>
  <si>
    <t xml:space="preserve">• Income / Capital appreciation through a low duration strategy
• Investment in debt &amp; money market instruments such that the Macaulay duration of the portfolio is between 6 months and 12 months </t>
  </si>
  <si>
    <t>• Income / capital appreciation over short term
•Investment in debt &amp; money market instruments such that the Macaulay duration of the portfolio is between 1 year and 3 years</t>
  </si>
  <si>
    <t>• Income / capital appreciation through a low credit risk strategy
• Investment in a portfolio constituted predominantly of AA+ and above rated corporate bonds</t>
  </si>
  <si>
    <t>• Income/ Capital appreciation by dynamically managing duration
• Investment in Debt and Money Market securities across duration</t>
  </si>
  <si>
    <t>• Income / Capital appreciation over Medium to Long term
• Investment in debt &amp; money market instruments such that the Macaulay duration of the portfolio is between 4 years and 7 years (Portfolio Macaulay duration under anticipated adverse situation is 1 year to 7 years)</t>
  </si>
  <si>
    <t>• Risk free return (except interest rate risk) and long term capital appreciation
•  Investment in government securities across maturity</t>
  </si>
  <si>
    <t xml:space="preserve">• Income / Capital appreciation over medium term to long term.
• Investment predominantly in debt and money market instruments and small portion in equity </t>
  </si>
  <si>
    <t>•  Income/capital appreciation over long term
•  Investment predominantly in equity and equity related instruments and a small portion in debt and money market instruments</t>
  </si>
  <si>
    <t>CANARA ROBECO CAPITAL PROTECTION ORIENTED FUND– SERIES 10</t>
  </si>
  <si>
    <t>• Capital protection at maturity and capital appreciation over medium term
• Investment in debt and money market securities (70%-100%) and equity and equity related instruments (0%-30%)</t>
  </si>
  <si>
    <t>• Generate income over the tenure of the scheme
• Generate income by investing in debt and money market instruments</t>
  </si>
  <si>
    <t>• Long term capital appreciation
• Investment in equity and equity related securities across market capitalisation in maximum 30 stocks.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</si>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</sst>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az SemiLight"/>
      <family val="2"/>
    </font>
    <font>
      <sz val="10"/>
      <color theme="1"/>
      <name val="Taz SemiLight"/>
      <family val="2"/>
    </font>
    <font>
      <b/>
      <sz val="12"/>
      <color theme="1"/>
      <name val="Taz SemiLight"/>
      <family val="2"/>
    </font>
    <font>
      <sz val="12"/>
      <color theme="1"/>
      <name val="Taz SemiLight"/>
      <family val="2"/>
    </font>
    <font>
      <b/>
      <sz val="10"/>
      <color theme="1"/>
      <name val="Taz SemiLight"/>
      <family val="2"/>
    </font>
    <font>
      <sz val="10"/>
      <color rgb="FFFF0000"/>
      <name val="Taz SemiLight"/>
      <family val="2"/>
    </font>
    <font>
      <i/>
      <sz val="10"/>
      <color theme="1"/>
      <name val="Taz SemiLight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81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19" xfId="0" applyFont="1" applyFill="1" applyBorder="1"/>
    <xf numFmtId="0" fontId="7" fillId="2" borderId="19" xfId="0" applyNumberFormat="1" applyFont="1" applyFill="1" applyBorder="1"/>
    <xf numFmtId="4" fontId="7" fillId="2" borderId="19" xfId="0" applyNumberFormat="1" applyFont="1" applyFill="1" applyBorder="1"/>
    <xf numFmtId="0" fontId="6" fillId="2" borderId="20" xfId="0" applyFont="1" applyFill="1" applyBorder="1"/>
    <xf numFmtId="3" fontId="6" fillId="2" borderId="20" xfId="0" applyNumberFormat="1" applyFont="1" applyFill="1" applyBorder="1"/>
    <xf numFmtId="4" fontId="6" fillId="2" borderId="20" xfId="0" applyNumberFormat="1" applyFont="1" applyFill="1" applyBorder="1"/>
    <xf numFmtId="0" fontId="7" fillId="2" borderId="21" xfId="0" applyFont="1" applyFill="1" applyBorder="1"/>
    <xf numFmtId="0" fontId="7" fillId="2" borderId="21" xfId="0" applyNumberFormat="1" applyFont="1" applyFill="1" applyBorder="1"/>
    <xf numFmtId="4" fontId="7" fillId="2" borderId="21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justify" vertical="center" wrapText="1"/>
    </xf>
    <xf numFmtId="2" fontId="14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0" fillId="0" borderId="4" xfId="1" applyFont="1" applyFill="1" applyBorder="1" applyAlignment="1">
      <alignment horizontal="justify" vertical="center" wrapText="1"/>
    </xf>
    <xf numFmtId="0" fontId="14" fillId="0" borderId="0" xfId="0" applyFont="1"/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2</xdr:row>
      <xdr:rowOff>19050</xdr:rowOff>
    </xdr:from>
    <xdr:to>
      <xdr:col>3</xdr:col>
      <xdr:colOff>1876425</xdr:colOff>
      <xdr:row>3</xdr:row>
      <xdr:rowOff>3487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CFB478-06E3-49A6-96F3-171A5480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85725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28575</xdr:rowOff>
    </xdr:from>
    <xdr:to>
      <xdr:col>3</xdr:col>
      <xdr:colOff>1809750</xdr:colOff>
      <xdr:row>3</xdr:row>
      <xdr:rowOff>1270312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9D267-CDBC-4EA7-BDF2-5DDD416F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2124075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</xdr:row>
      <xdr:rowOff>19050</xdr:rowOff>
    </xdr:from>
    <xdr:to>
      <xdr:col>3</xdr:col>
      <xdr:colOff>1809750</xdr:colOff>
      <xdr:row>4</xdr:row>
      <xdr:rowOff>1285875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A6F56F-B752-4122-8452-7F307BAC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33909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</xdr:row>
      <xdr:rowOff>28575</xdr:rowOff>
    </xdr:from>
    <xdr:to>
      <xdr:col>3</xdr:col>
      <xdr:colOff>1809750</xdr:colOff>
      <xdr:row>5</xdr:row>
      <xdr:rowOff>1295400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36DBFF-C5EF-4570-BE12-CAC3FC14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47244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6</xdr:row>
      <xdr:rowOff>28575</xdr:rowOff>
    </xdr:from>
    <xdr:to>
      <xdr:col>3</xdr:col>
      <xdr:colOff>1838325</xdr:colOff>
      <xdr:row>6</xdr:row>
      <xdr:rowOff>1295400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B18D38-0FB8-421F-9317-9F6C1895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60388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</xdr:row>
      <xdr:rowOff>19050</xdr:rowOff>
    </xdr:from>
    <xdr:to>
      <xdr:col>3</xdr:col>
      <xdr:colOff>1809750</xdr:colOff>
      <xdr:row>7</xdr:row>
      <xdr:rowOff>1238249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E961AF-68EE-4D83-B7F5-77B33DEE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7343775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8</xdr:row>
      <xdr:rowOff>28575</xdr:rowOff>
    </xdr:from>
    <xdr:to>
      <xdr:col>3</xdr:col>
      <xdr:colOff>1819275</xdr:colOff>
      <xdr:row>9</xdr:row>
      <xdr:rowOff>1587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23F30D-3464-433A-B6EF-B98E15CB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8610600"/>
          <a:ext cx="1771650" cy="1220787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9</xdr:row>
      <xdr:rowOff>28574</xdr:rowOff>
    </xdr:from>
    <xdr:to>
      <xdr:col>3</xdr:col>
      <xdr:colOff>1849870</xdr:colOff>
      <xdr:row>9</xdr:row>
      <xdr:rowOff>1219199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854270-9C5B-4C2E-8CCD-9798BFB3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9858374"/>
          <a:ext cx="1792720" cy="119062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28574</xdr:rowOff>
    </xdr:from>
    <xdr:to>
      <xdr:col>3</xdr:col>
      <xdr:colOff>1838325</xdr:colOff>
      <xdr:row>10</xdr:row>
      <xdr:rowOff>1228725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084AB83-4244-4DE4-A20A-6DB638C2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11106149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19050</xdr:rowOff>
    </xdr:from>
    <xdr:to>
      <xdr:col>3</xdr:col>
      <xdr:colOff>1828800</xdr:colOff>
      <xdr:row>11</xdr:row>
      <xdr:rowOff>1219201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70AE55-F03C-45EC-8D47-F95D027F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12334875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12</xdr:row>
      <xdr:rowOff>28575</xdr:rowOff>
    </xdr:from>
    <xdr:to>
      <xdr:col>3</xdr:col>
      <xdr:colOff>1866900</xdr:colOff>
      <xdr:row>12</xdr:row>
      <xdr:rowOff>1228726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819020-0338-4EEA-92B2-BA5DFA94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1358265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13</xdr:row>
      <xdr:rowOff>28575</xdr:rowOff>
    </xdr:from>
    <xdr:to>
      <xdr:col>3</xdr:col>
      <xdr:colOff>1819275</xdr:colOff>
      <xdr:row>13</xdr:row>
      <xdr:rowOff>1228726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77DE2D3-5B1E-4573-9A39-841BE69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1482090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19</xdr:row>
      <xdr:rowOff>19049</xdr:rowOff>
    </xdr:from>
    <xdr:to>
      <xdr:col>3</xdr:col>
      <xdr:colOff>1871451</xdr:colOff>
      <xdr:row>20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55E06E5-9281-4D23-B1B3-E2D9FE3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22393274"/>
          <a:ext cx="1766676" cy="1323976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20</xdr:row>
      <xdr:rowOff>19050</xdr:rowOff>
    </xdr:from>
    <xdr:to>
      <xdr:col>3</xdr:col>
      <xdr:colOff>1895475</xdr:colOff>
      <xdr:row>20</xdr:row>
      <xdr:rowOff>1228724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1E1CED-1925-4A98-9A3C-9E6D0952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237363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</xdr:row>
      <xdr:rowOff>28575</xdr:rowOff>
    </xdr:from>
    <xdr:to>
      <xdr:col>3</xdr:col>
      <xdr:colOff>1819275</xdr:colOff>
      <xdr:row>16</xdr:row>
      <xdr:rowOff>1238249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5D74E0-20C2-4FC0-90F1-E8954060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185737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15</xdr:row>
      <xdr:rowOff>28575</xdr:rowOff>
    </xdr:from>
    <xdr:to>
      <xdr:col>3</xdr:col>
      <xdr:colOff>1828800</xdr:colOff>
      <xdr:row>15</xdr:row>
      <xdr:rowOff>1238249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AF62437-6623-449D-B14F-93FCDC5F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17306925"/>
          <a:ext cx="1771650" cy="120967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14</xdr:row>
      <xdr:rowOff>28575</xdr:rowOff>
    </xdr:from>
    <xdr:ext cx="1790700" cy="1200151"/>
    <xdr:pic>
      <xdr:nvPicPr>
        <xdr:cNvPr id="18" name="Picture 17">
          <a:extLst>
            <a:ext uri="{FF2B5EF4-FFF2-40B4-BE49-F238E27FC236}">
              <a16:creationId xmlns:a16="http://schemas.microsoft.com/office/drawing/2014/main" id="{B840CF41-392C-4513-A361-4E23D1E8D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16068675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3</xdr:col>
      <xdr:colOff>114300</xdr:colOff>
      <xdr:row>22</xdr:row>
      <xdr:rowOff>28575</xdr:rowOff>
    </xdr:from>
    <xdr:to>
      <xdr:col>3</xdr:col>
      <xdr:colOff>1885950</xdr:colOff>
      <xdr:row>23</xdr:row>
      <xdr:rowOff>3487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4408DA-3260-4BAF-85AD-FD723DB70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2626995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18</xdr:row>
      <xdr:rowOff>28575</xdr:rowOff>
    </xdr:from>
    <xdr:to>
      <xdr:col>3</xdr:col>
      <xdr:colOff>1905000</xdr:colOff>
      <xdr:row>18</xdr:row>
      <xdr:rowOff>1333501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289DB26-BC49-4B36-A80C-E0CFDDC8B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21059775"/>
          <a:ext cx="1771650" cy="1304926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21</xdr:row>
      <xdr:rowOff>19049</xdr:rowOff>
    </xdr:from>
    <xdr:ext cx="1771651" cy="1228726"/>
    <xdr:pic>
      <xdr:nvPicPr>
        <xdr:cNvPr id="21" name="Picture 20">
          <a:extLst>
            <a:ext uri="{FF2B5EF4-FFF2-40B4-BE49-F238E27FC236}">
              <a16:creationId xmlns:a16="http://schemas.microsoft.com/office/drawing/2014/main" id="{D032CEA7-79B9-49F1-951A-4620DDD44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24993599"/>
          <a:ext cx="1771651" cy="1228726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2</xdr:row>
      <xdr:rowOff>9525</xdr:rowOff>
    </xdr:from>
    <xdr:ext cx="1771650" cy="1241737"/>
    <xdr:pic>
      <xdr:nvPicPr>
        <xdr:cNvPr id="22" name="Picture 21">
          <a:extLst>
            <a:ext uri="{FF2B5EF4-FFF2-40B4-BE49-F238E27FC236}">
              <a16:creationId xmlns:a16="http://schemas.microsoft.com/office/drawing/2014/main" id="{A657A970-1BE1-48BA-9D1A-15E70E1DC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47725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3</xdr:row>
      <xdr:rowOff>38100</xdr:rowOff>
    </xdr:from>
    <xdr:ext cx="1771650" cy="1241737"/>
    <xdr:pic>
      <xdr:nvPicPr>
        <xdr:cNvPr id="23" name="Picture 22">
          <a:extLst>
            <a:ext uri="{FF2B5EF4-FFF2-40B4-BE49-F238E27FC236}">
              <a16:creationId xmlns:a16="http://schemas.microsoft.com/office/drawing/2014/main" id="{C9970239-65AA-4FAA-99A6-EB0B1349C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213360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4</xdr:row>
      <xdr:rowOff>38100</xdr:rowOff>
    </xdr:from>
    <xdr:ext cx="1771650" cy="1266825"/>
    <xdr:pic>
      <xdr:nvPicPr>
        <xdr:cNvPr id="24" name="Picture 23">
          <a:extLst>
            <a:ext uri="{FF2B5EF4-FFF2-40B4-BE49-F238E27FC236}">
              <a16:creationId xmlns:a16="http://schemas.microsoft.com/office/drawing/2014/main" id="{298F1F62-2EA9-42BE-A3A1-3A6DC9BE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340995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5</xdr:row>
      <xdr:rowOff>19050</xdr:rowOff>
    </xdr:from>
    <xdr:ext cx="1771650" cy="1266825"/>
    <xdr:pic>
      <xdr:nvPicPr>
        <xdr:cNvPr id="25" name="Picture 24">
          <a:extLst>
            <a:ext uri="{FF2B5EF4-FFF2-40B4-BE49-F238E27FC236}">
              <a16:creationId xmlns:a16="http://schemas.microsoft.com/office/drawing/2014/main" id="{9058F191-2C9C-4138-BE3D-92E0E0C87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4714875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</xdr:row>
      <xdr:rowOff>47625</xdr:rowOff>
    </xdr:from>
    <xdr:ext cx="1771650" cy="1266825"/>
    <xdr:pic>
      <xdr:nvPicPr>
        <xdr:cNvPr id="26" name="Picture 25">
          <a:extLst>
            <a:ext uri="{FF2B5EF4-FFF2-40B4-BE49-F238E27FC236}">
              <a16:creationId xmlns:a16="http://schemas.microsoft.com/office/drawing/2014/main" id="{2857670F-2A1B-41FF-AD88-B4BB3C10F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60579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7</xdr:row>
      <xdr:rowOff>19050</xdr:rowOff>
    </xdr:from>
    <xdr:ext cx="1771650" cy="1219199"/>
    <xdr:pic>
      <xdr:nvPicPr>
        <xdr:cNvPr id="27" name="Picture 26">
          <a:extLst>
            <a:ext uri="{FF2B5EF4-FFF2-40B4-BE49-F238E27FC236}">
              <a16:creationId xmlns:a16="http://schemas.microsoft.com/office/drawing/2014/main" id="{6F1EECAC-FC91-4DBF-B666-BB35A5FA6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7343775"/>
          <a:ext cx="1771650" cy="1219199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8</xdr:row>
      <xdr:rowOff>28575</xdr:rowOff>
    </xdr:from>
    <xdr:ext cx="1771650" cy="1220787"/>
    <xdr:pic>
      <xdr:nvPicPr>
        <xdr:cNvPr id="28" name="Picture 27">
          <a:extLst>
            <a:ext uri="{FF2B5EF4-FFF2-40B4-BE49-F238E27FC236}">
              <a16:creationId xmlns:a16="http://schemas.microsoft.com/office/drawing/2014/main" id="{5AD5FC44-487C-4500-9AF9-37A15E9EF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1475" y="8610600"/>
          <a:ext cx="1771650" cy="122078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9</xdr:row>
      <xdr:rowOff>47624</xdr:rowOff>
    </xdr:from>
    <xdr:ext cx="1792720" cy="1190625"/>
    <xdr:pic>
      <xdr:nvPicPr>
        <xdr:cNvPr id="29" name="Picture 28">
          <a:extLst>
            <a:ext uri="{FF2B5EF4-FFF2-40B4-BE49-F238E27FC236}">
              <a16:creationId xmlns:a16="http://schemas.microsoft.com/office/drawing/2014/main" id="{4ED0F552-BAEA-4731-B109-B1ABBB8E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9877424"/>
          <a:ext cx="1792720" cy="1190625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10</xdr:row>
      <xdr:rowOff>28574</xdr:rowOff>
    </xdr:from>
    <xdr:ext cx="1790700" cy="1200151"/>
    <xdr:pic>
      <xdr:nvPicPr>
        <xdr:cNvPr id="30" name="Picture 29">
          <a:extLst>
            <a:ext uri="{FF2B5EF4-FFF2-40B4-BE49-F238E27FC236}">
              <a16:creationId xmlns:a16="http://schemas.microsoft.com/office/drawing/2014/main" id="{1A09BB94-913A-478A-8C68-7D49E6EEA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11106149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11</xdr:row>
      <xdr:rowOff>19050</xdr:rowOff>
    </xdr:from>
    <xdr:ext cx="1790700" cy="1200151"/>
    <xdr:pic>
      <xdr:nvPicPr>
        <xdr:cNvPr id="31" name="Picture 30">
          <a:extLst>
            <a:ext uri="{FF2B5EF4-FFF2-40B4-BE49-F238E27FC236}">
              <a16:creationId xmlns:a16="http://schemas.microsoft.com/office/drawing/2014/main" id="{1C555760-FDA4-45E9-B44C-72AAFCE3F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1233487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12</xdr:row>
      <xdr:rowOff>38100</xdr:rowOff>
    </xdr:from>
    <xdr:ext cx="1790700" cy="1200151"/>
    <xdr:pic>
      <xdr:nvPicPr>
        <xdr:cNvPr id="32" name="Picture 31">
          <a:extLst>
            <a:ext uri="{FF2B5EF4-FFF2-40B4-BE49-F238E27FC236}">
              <a16:creationId xmlns:a16="http://schemas.microsoft.com/office/drawing/2014/main" id="{872F1A3E-CED3-49CA-823B-54D8216AF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1359217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13</xdr:row>
      <xdr:rowOff>28575</xdr:rowOff>
    </xdr:from>
    <xdr:ext cx="1790700" cy="1200151"/>
    <xdr:pic>
      <xdr:nvPicPr>
        <xdr:cNvPr id="33" name="Picture 32">
          <a:extLst>
            <a:ext uri="{FF2B5EF4-FFF2-40B4-BE49-F238E27FC236}">
              <a16:creationId xmlns:a16="http://schemas.microsoft.com/office/drawing/2014/main" id="{0C5710A1-6FC4-4FD3-88F2-1E47D7EA6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50" y="1482090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19</xdr:row>
      <xdr:rowOff>9524</xdr:rowOff>
    </xdr:from>
    <xdr:ext cx="1766676" cy="1323976"/>
    <xdr:pic>
      <xdr:nvPicPr>
        <xdr:cNvPr id="34" name="Picture 33">
          <a:extLst>
            <a:ext uri="{FF2B5EF4-FFF2-40B4-BE49-F238E27FC236}">
              <a16:creationId xmlns:a16="http://schemas.microsoft.com/office/drawing/2014/main" id="{D325BDA4-BFE7-4EC3-B7A1-88C6E1EF9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22383749"/>
          <a:ext cx="1766676" cy="1323976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20</xdr:row>
      <xdr:rowOff>38100</xdr:rowOff>
    </xdr:from>
    <xdr:ext cx="1771650" cy="1209674"/>
    <xdr:pic>
      <xdr:nvPicPr>
        <xdr:cNvPr id="35" name="Picture 34">
          <a:extLst>
            <a:ext uri="{FF2B5EF4-FFF2-40B4-BE49-F238E27FC236}">
              <a16:creationId xmlns:a16="http://schemas.microsoft.com/office/drawing/2014/main" id="{6E8EDA70-B2C0-4E4A-9353-D2E8C674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23755350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16</xdr:row>
      <xdr:rowOff>28575</xdr:rowOff>
    </xdr:from>
    <xdr:ext cx="1771650" cy="1209674"/>
    <xdr:pic>
      <xdr:nvPicPr>
        <xdr:cNvPr id="36" name="Picture 35">
          <a:extLst>
            <a:ext uri="{FF2B5EF4-FFF2-40B4-BE49-F238E27FC236}">
              <a16:creationId xmlns:a16="http://schemas.microsoft.com/office/drawing/2014/main" id="{68A7A5FB-0811-4E81-B7CB-AEB86F863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2425" y="18573750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28575</xdr:rowOff>
    </xdr:from>
    <xdr:ext cx="1771650" cy="1209674"/>
    <xdr:pic>
      <xdr:nvPicPr>
        <xdr:cNvPr id="37" name="Picture 36">
          <a:extLst>
            <a:ext uri="{FF2B5EF4-FFF2-40B4-BE49-F238E27FC236}">
              <a16:creationId xmlns:a16="http://schemas.microsoft.com/office/drawing/2014/main" id="{B4322AF7-ED91-472A-956F-E7C5B2DFE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17306925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14</xdr:row>
      <xdr:rowOff>28575</xdr:rowOff>
    </xdr:from>
    <xdr:ext cx="1790700" cy="1200151"/>
    <xdr:pic>
      <xdr:nvPicPr>
        <xdr:cNvPr id="38" name="Picture 37">
          <a:extLst>
            <a:ext uri="{FF2B5EF4-FFF2-40B4-BE49-F238E27FC236}">
              <a16:creationId xmlns:a16="http://schemas.microsoft.com/office/drawing/2014/main" id="{2BF191C3-2781-49E0-952A-70A90A44F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1606867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22</xdr:row>
      <xdr:rowOff>28575</xdr:rowOff>
    </xdr:from>
    <xdr:ext cx="1771650" cy="1241737"/>
    <xdr:pic>
      <xdr:nvPicPr>
        <xdr:cNvPr id="39" name="Picture 38">
          <a:extLst>
            <a:ext uri="{FF2B5EF4-FFF2-40B4-BE49-F238E27FC236}">
              <a16:creationId xmlns:a16="http://schemas.microsoft.com/office/drawing/2014/main" id="{A3E24D52-3B72-4B21-BF34-7F358A2CD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2626995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18</xdr:row>
      <xdr:rowOff>28575</xdr:rowOff>
    </xdr:from>
    <xdr:ext cx="1771650" cy="1304926"/>
    <xdr:pic>
      <xdr:nvPicPr>
        <xdr:cNvPr id="40" name="Picture 39">
          <a:extLst>
            <a:ext uri="{FF2B5EF4-FFF2-40B4-BE49-F238E27FC236}">
              <a16:creationId xmlns:a16="http://schemas.microsoft.com/office/drawing/2014/main" id="{BCF8546D-53DE-4E44-9EF7-C2A0AADC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21059775"/>
          <a:ext cx="1771650" cy="1304926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21</xdr:row>
      <xdr:rowOff>38099</xdr:rowOff>
    </xdr:from>
    <xdr:ext cx="1771651" cy="1228726"/>
    <xdr:pic>
      <xdr:nvPicPr>
        <xdr:cNvPr id="41" name="Picture 40">
          <a:extLst>
            <a:ext uri="{FF2B5EF4-FFF2-40B4-BE49-F238E27FC236}">
              <a16:creationId xmlns:a16="http://schemas.microsoft.com/office/drawing/2014/main" id="{93E0AFC6-F67A-4794-B06C-B6EBD79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25012649"/>
          <a:ext cx="1771651" cy="1228726"/>
        </a:xfrm>
        <a:prstGeom prst="rect">
          <a:avLst/>
        </a:prstGeom>
      </xdr:spPr>
    </xdr:pic>
    <xdr:clientData/>
  </xdr:oneCellAnchor>
  <xdr:oneCellAnchor>
    <xdr:from>
      <xdr:col>3</xdr:col>
      <xdr:colOff>66675</xdr:colOff>
      <xdr:row>17</xdr:row>
      <xdr:rowOff>38100</xdr:rowOff>
    </xdr:from>
    <xdr:ext cx="1790700" cy="1200151"/>
    <xdr:pic>
      <xdr:nvPicPr>
        <xdr:cNvPr id="42" name="Picture 41">
          <a:extLst>
            <a:ext uri="{FF2B5EF4-FFF2-40B4-BE49-F238E27FC236}">
              <a16:creationId xmlns:a16="http://schemas.microsoft.com/office/drawing/2014/main" id="{FD446B3D-3561-4A40-B0A0-10822BB1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198310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17</xdr:row>
      <xdr:rowOff>19050</xdr:rowOff>
    </xdr:from>
    <xdr:ext cx="1790700" cy="1200151"/>
    <xdr:pic>
      <xdr:nvPicPr>
        <xdr:cNvPr id="43" name="Picture 42">
          <a:extLst>
            <a:ext uri="{FF2B5EF4-FFF2-40B4-BE49-F238E27FC236}">
              <a16:creationId xmlns:a16="http://schemas.microsoft.com/office/drawing/2014/main" id="{E7119404-56F9-4E27-A471-74FAEE6CE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19812000"/>
          <a:ext cx="1790700" cy="12001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21" zoomScaleNormal="100" workbookViewId="0">
      <selection activeCell="A24" sqref="A24:D24"/>
    </sheetView>
  </sheetViews>
  <sheetFormatPr defaultRowHeight="12.75"/>
  <cols>
    <col min="1" max="1" width="7.7109375" style="79" customWidth="1"/>
    <col min="2" max="2" width="32.28515625" style="80" customWidth="1"/>
    <col min="3" max="3" width="50" style="65" customWidth="1"/>
    <col min="4" max="5" width="28.85546875" style="65" customWidth="1"/>
    <col min="6" max="16384" width="9.140625" style="65"/>
  </cols>
  <sheetData>
    <row r="1" spans="1:5" ht="20.25">
      <c r="A1" s="63" t="s">
        <v>755</v>
      </c>
      <c r="B1" s="63"/>
      <c r="C1" s="63"/>
      <c r="D1" s="63"/>
      <c r="E1" s="64"/>
    </row>
    <row r="2" spans="1:5" ht="45.75">
      <c r="A2" s="66" t="s">
        <v>756</v>
      </c>
      <c r="B2" s="66" t="s">
        <v>757</v>
      </c>
      <c r="C2" s="67" t="s">
        <v>758</v>
      </c>
      <c r="D2" s="66" t="s">
        <v>759</v>
      </c>
      <c r="E2" s="66" t="s">
        <v>760</v>
      </c>
    </row>
    <row r="3" spans="1:5" ht="99" customHeight="1">
      <c r="A3" s="68">
        <v>1</v>
      </c>
      <c r="B3" s="69" t="s">
        <v>13</v>
      </c>
      <c r="C3" s="69" t="s">
        <v>761</v>
      </c>
      <c r="D3" s="70"/>
      <c r="E3" s="70"/>
    </row>
    <row r="4" spans="1:5" ht="100.5" customHeight="1">
      <c r="A4" s="68">
        <v>2</v>
      </c>
      <c r="B4" s="69" t="s">
        <v>9</v>
      </c>
      <c r="C4" s="69" t="s">
        <v>762</v>
      </c>
      <c r="D4" s="70"/>
      <c r="E4" s="70"/>
    </row>
    <row r="5" spans="1:5" ht="104.25" customHeight="1">
      <c r="A5" s="68">
        <v>3</v>
      </c>
      <c r="B5" s="69" t="s">
        <v>11</v>
      </c>
      <c r="C5" s="69" t="s">
        <v>763</v>
      </c>
      <c r="D5" s="70"/>
      <c r="E5" s="70"/>
    </row>
    <row r="6" spans="1:5" ht="103.5" customHeight="1">
      <c r="A6" s="68">
        <v>4</v>
      </c>
      <c r="B6" s="69" t="s">
        <v>10</v>
      </c>
      <c r="C6" s="69" t="s">
        <v>764</v>
      </c>
      <c r="D6" s="70"/>
      <c r="E6" s="70"/>
    </row>
    <row r="7" spans="1:5" ht="103.5" customHeight="1">
      <c r="A7" s="68">
        <v>5</v>
      </c>
      <c r="B7" s="69" t="s">
        <v>14</v>
      </c>
      <c r="C7" s="69" t="s">
        <v>765</v>
      </c>
      <c r="D7" s="70"/>
      <c r="E7" s="70"/>
    </row>
    <row r="8" spans="1:5" ht="99" customHeight="1">
      <c r="A8" s="68">
        <v>6</v>
      </c>
      <c r="B8" s="69" t="s">
        <v>8</v>
      </c>
      <c r="C8" s="69" t="s">
        <v>766</v>
      </c>
      <c r="D8" s="70"/>
      <c r="E8" s="70"/>
    </row>
    <row r="9" spans="1:5" ht="98.25" customHeight="1">
      <c r="A9" s="68">
        <v>7</v>
      </c>
      <c r="B9" s="69" t="s">
        <v>12</v>
      </c>
      <c r="C9" s="69" t="s">
        <v>767</v>
      </c>
      <c r="D9" s="70"/>
      <c r="E9" s="70"/>
    </row>
    <row r="10" spans="1:5" ht="98.25" customHeight="1">
      <c r="A10" s="68">
        <v>8</v>
      </c>
      <c r="B10" s="69" t="s">
        <v>25</v>
      </c>
      <c r="C10" s="69" t="s">
        <v>768</v>
      </c>
      <c r="D10" s="71"/>
      <c r="E10" s="71"/>
    </row>
    <row r="11" spans="1:5" ht="97.5" customHeight="1">
      <c r="A11" s="68">
        <v>9</v>
      </c>
      <c r="B11" s="69" t="s">
        <v>23</v>
      </c>
      <c r="C11" s="69" t="s">
        <v>769</v>
      </c>
      <c r="D11" s="70"/>
      <c r="E11" s="70"/>
    </row>
    <row r="12" spans="1:5" ht="97.5" customHeight="1">
      <c r="A12" s="68">
        <v>10</v>
      </c>
      <c r="B12" s="69" t="s">
        <v>24</v>
      </c>
      <c r="C12" s="69" t="s">
        <v>770</v>
      </c>
      <c r="D12" s="70"/>
      <c r="E12" s="70"/>
    </row>
    <row r="13" spans="1:5" ht="97.5" customHeight="1">
      <c r="A13" s="68">
        <v>11</v>
      </c>
      <c r="B13" s="69" t="s">
        <v>20</v>
      </c>
      <c r="C13" s="69" t="s">
        <v>771</v>
      </c>
      <c r="D13" s="70"/>
      <c r="E13" s="70"/>
    </row>
    <row r="14" spans="1:5" ht="98.25" customHeight="1">
      <c r="A14" s="68">
        <v>12</v>
      </c>
      <c r="B14" s="69" t="s">
        <v>26</v>
      </c>
      <c r="C14" s="69" t="s">
        <v>772</v>
      </c>
      <c r="D14" s="70"/>
      <c r="E14" s="70"/>
    </row>
    <row r="15" spans="1:5" ht="97.5" customHeight="1">
      <c r="A15" s="68">
        <v>13</v>
      </c>
      <c r="B15" s="69" t="s">
        <v>27</v>
      </c>
      <c r="C15" s="69" t="s">
        <v>773</v>
      </c>
      <c r="D15" s="71"/>
      <c r="E15" s="71"/>
    </row>
    <row r="16" spans="1:5" ht="99.75" customHeight="1">
      <c r="A16" s="68">
        <v>14</v>
      </c>
      <c r="B16" s="69" t="s">
        <v>17</v>
      </c>
      <c r="C16" s="69" t="s">
        <v>774</v>
      </c>
      <c r="D16" s="71"/>
      <c r="E16" s="71"/>
    </row>
    <row r="17" spans="1:7" ht="98.25" customHeight="1">
      <c r="A17" s="68">
        <v>15</v>
      </c>
      <c r="B17" s="69" t="s">
        <v>19</v>
      </c>
      <c r="C17" s="69" t="s">
        <v>775</v>
      </c>
      <c r="D17" s="71"/>
      <c r="E17" s="71"/>
    </row>
    <row r="18" spans="1:7" ht="97.5" customHeight="1">
      <c r="A18" s="68">
        <v>16</v>
      </c>
      <c r="B18" s="72" t="s">
        <v>18</v>
      </c>
      <c r="C18" s="69" t="s">
        <v>776</v>
      </c>
      <c r="D18" s="71"/>
      <c r="E18" s="71"/>
    </row>
    <row r="19" spans="1:7" ht="105.75" customHeight="1">
      <c r="A19" s="68">
        <v>17</v>
      </c>
      <c r="B19" s="72" t="s">
        <v>21</v>
      </c>
      <c r="C19" s="69" t="s">
        <v>777</v>
      </c>
      <c r="D19" s="71"/>
      <c r="E19" s="71"/>
    </row>
    <row r="20" spans="1:7" ht="105.75" customHeight="1">
      <c r="A20" s="68">
        <v>18</v>
      </c>
      <c r="B20" s="69" t="s">
        <v>16</v>
      </c>
      <c r="C20" s="69" t="s">
        <v>778</v>
      </c>
      <c r="D20" s="70"/>
      <c r="E20" s="70"/>
    </row>
    <row r="21" spans="1:7" ht="99" customHeight="1">
      <c r="A21" s="68">
        <v>19</v>
      </c>
      <c r="B21" s="69" t="s">
        <v>779</v>
      </c>
      <c r="C21" s="69" t="s">
        <v>780</v>
      </c>
      <c r="D21" s="70"/>
      <c r="E21" s="70"/>
    </row>
    <row r="22" spans="1:7" s="73" customFormat="1" ht="99.75" customHeight="1">
      <c r="A22" s="68">
        <v>20</v>
      </c>
      <c r="B22" s="69" t="s">
        <v>28</v>
      </c>
      <c r="C22" s="69" t="s">
        <v>781</v>
      </c>
      <c r="D22" s="70"/>
      <c r="E22" s="70"/>
      <c r="F22" s="65"/>
      <c r="G22" s="65"/>
    </row>
    <row r="23" spans="1:7" ht="99.75" customHeight="1">
      <c r="A23" s="68">
        <v>21</v>
      </c>
      <c r="B23" s="69" t="s">
        <v>15</v>
      </c>
      <c r="C23" s="69" t="s">
        <v>782</v>
      </c>
      <c r="D23" s="70"/>
      <c r="E23" s="70"/>
    </row>
    <row r="24" spans="1:7" ht="25.5" customHeight="1">
      <c r="A24" s="74" t="s">
        <v>783</v>
      </c>
      <c r="B24" s="75"/>
      <c r="C24" s="75"/>
      <c r="D24" s="75"/>
      <c r="E24" s="76"/>
    </row>
    <row r="25" spans="1:7">
      <c r="A25" s="77"/>
      <c r="B25" s="77"/>
      <c r="C25" s="77"/>
      <c r="D25" s="77"/>
      <c r="E25" s="78"/>
    </row>
  </sheetData>
  <mergeCells count="3">
    <mergeCell ref="A1:D1"/>
    <mergeCell ref="A24:D24"/>
    <mergeCell ref="A25:D2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workbookViewId="0">
      <selection activeCell="B3" sqref="B3"/>
    </sheetView>
  </sheetViews>
  <sheetFormatPr defaultRowHeight="12"/>
  <cols>
    <col min="1" max="1" width="9.140625" style="1"/>
    <col min="2" max="2" width="57.42578125" style="1" bestFit="1" customWidth="1"/>
    <col min="3" max="3" width="13.28515625" style="1" bestFit="1" customWidth="1"/>
    <col min="4" max="4" width="23.425781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8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32</v>
      </c>
      <c r="C7" s="23" t="s">
        <v>33</v>
      </c>
      <c r="D7" s="23" t="s">
        <v>34</v>
      </c>
      <c r="E7" s="28">
        <v>87800</v>
      </c>
      <c r="F7" s="25">
        <v>1468.19</v>
      </c>
      <c r="G7" s="25">
        <v>9.18</v>
      </c>
    </row>
    <row r="8" spans="2:7">
      <c r="B8" s="27" t="s">
        <v>35</v>
      </c>
      <c r="C8" s="23" t="s">
        <v>36</v>
      </c>
      <c r="D8" s="23" t="s">
        <v>37</v>
      </c>
      <c r="E8" s="28">
        <v>367874</v>
      </c>
      <c r="F8" s="25">
        <v>1222.81</v>
      </c>
      <c r="G8" s="25">
        <v>7.65</v>
      </c>
    </row>
    <row r="9" spans="2:7">
      <c r="B9" s="27" t="s">
        <v>38</v>
      </c>
      <c r="C9" s="23" t="s">
        <v>39</v>
      </c>
      <c r="D9" s="23" t="s">
        <v>40</v>
      </c>
      <c r="E9" s="28">
        <v>149500</v>
      </c>
      <c r="F9" s="25">
        <v>1074.98</v>
      </c>
      <c r="G9" s="25">
        <v>6.72</v>
      </c>
    </row>
    <row r="10" spans="2:7">
      <c r="B10" s="27" t="s">
        <v>41</v>
      </c>
      <c r="C10" s="23" t="s">
        <v>42</v>
      </c>
      <c r="D10" s="23" t="s">
        <v>43</v>
      </c>
      <c r="E10" s="28">
        <v>35750</v>
      </c>
      <c r="F10" s="25">
        <v>812.38</v>
      </c>
      <c r="G10" s="25">
        <v>5.08</v>
      </c>
    </row>
    <row r="11" spans="2:7">
      <c r="B11" s="27" t="s">
        <v>44</v>
      </c>
      <c r="C11" s="23" t="s">
        <v>45</v>
      </c>
      <c r="D11" s="23" t="s">
        <v>46</v>
      </c>
      <c r="E11" s="28">
        <v>406000</v>
      </c>
      <c r="F11" s="25">
        <v>757.8</v>
      </c>
      <c r="G11" s="25">
        <v>4.74</v>
      </c>
    </row>
    <row r="12" spans="2:7">
      <c r="B12" s="27" t="s">
        <v>47</v>
      </c>
      <c r="C12" s="23" t="s">
        <v>48</v>
      </c>
      <c r="D12" s="23" t="s">
        <v>37</v>
      </c>
      <c r="E12" s="28">
        <v>220000</v>
      </c>
      <c r="F12" s="25">
        <v>691.13</v>
      </c>
      <c r="G12" s="25">
        <v>4.32</v>
      </c>
    </row>
    <row r="13" spans="2:7">
      <c r="B13" s="27" t="s">
        <v>49</v>
      </c>
      <c r="C13" s="23" t="s">
        <v>50</v>
      </c>
      <c r="D13" s="23" t="s">
        <v>37</v>
      </c>
      <c r="E13" s="28">
        <v>106000</v>
      </c>
      <c r="F13" s="25">
        <v>660.43</v>
      </c>
      <c r="G13" s="25">
        <v>4.13</v>
      </c>
    </row>
    <row r="14" spans="2:7">
      <c r="B14" s="27" t="s">
        <v>51</v>
      </c>
      <c r="C14" s="23" t="s">
        <v>52</v>
      </c>
      <c r="D14" s="23" t="s">
        <v>53</v>
      </c>
      <c r="E14" s="28">
        <v>44243</v>
      </c>
      <c r="F14" s="25">
        <v>647.14</v>
      </c>
      <c r="G14" s="25">
        <v>4.05</v>
      </c>
    </row>
    <row r="15" spans="2:7">
      <c r="B15" s="27" t="s">
        <v>54</v>
      </c>
      <c r="C15" s="23" t="s">
        <v>55</v>
      </c>
      <c r="D15" s="23" t="s">
        <v>40</v>
      </c>
      <c r="E15" s="28">
        <v>137000</v>
      </c>
      <c r="F15" s="25">
        <v>583.69000000000005</v>
      </c>
      <c r="G15" s="25">
        <v>3.65</v>
      </c>
    </row>
    <row r="16" spans="2:7">
      <c r="B16" s="27" t="s">
        <v>56</v>
      </c>
      <c r="C16" s="23" t="s">
        <v>57</v>
      </c>
      <c r="D16" s="23" t="s">
        <v>58</v>
      </c>
      <c r="E16" s="28">
        <v>7700</v>
      </c>
      <c r="F16" s="25">
        <v>558.29999999999995</v>
      </c>
      <c r="G16" s="25">
        <v>3.49</v>
      </c>
    </row>
    <row r="17" spans="2:7">
      <c r="B17" s="27" t="s">
        <v>59</v>
      </c>
      <c r="C17" s="23" t="s">
        <v>60</v>
      </c>
      <c r="D17" s="23" t="s">
        <v>43</v>
      </c>
      <c r="E17" s="28">
        <v>1395</v>
      </c>
      <c r="F17" s="25">
        <v>552.49</v>
      </c>
      <c r="G17" s="25">
        <v>3.46</v>
      </c>
    </row>
    <row r="18" spans="2:7">
      <c r="B18" s="27" t="s">
        <v>61</v>
      </c>
      <c r="C18" s="23" t="s">
        <v>62</v>
      </c>
      <c r="D18" s="23" t="s">
        <v>63</v>
      </c>
      <c r="E18" s="28">
        <v>6750</v>
      </c>
      <c r="F18" s="25">
        <v>528.69000000000005</v>
      </c>
      <c r="G18" s="25">
        <v>3.31</v>
      </c>
    </row>
    <row r="19" spans="2:7">
      <c r="B19" s="27" t="s">
        <v>64</v>
      </c>
      <c r="C19" s="23" t="s">
        <v>65</v>
      </c>
      <c r="D19" s="23" t="s">
        <v>66</v>
      </c>
      <c r="E19" s="28">
        <v>35750</v>
      </c>
      <c r="F19" s="25">
        <v>518.46</v>
      </c>
      <c r="G19" s="25">
        <v>3.24</v>
      </c>
    </row>
    <row r="20" spans="2:7">
      <c r="B20" s="27" t="s">
        <v>67</v>
      </c>
      <c r="C20" s="23" t="s">
        <v>68</v>
      </c>
      <c r="D20" s="23" t="s">
        <v>58</v>
      </c>
      <c r="E20" s="28">
        <v>37500</v>
      </c>
      <c r="F20" s="25">
        <v>484.11</v>
      </c>
      <c r="G20" s="25">
        <v>3.03</v>
      </c>
    </row>
    <row r="21" spans="2:7">
      <c r="B21" s="27" t="s">
        <v>69</v>
      </c>
      <c r="C21" s="23" t="s">
        <v>70</v>
      </c>
      <c r="D21" s="23" t="s">
        <v>37</v>
      </c>
      <c r="E21" s="28">
        <v>121772</v>
      </c>
      <c r="F21" s="25">
        <v>464.86</v>
      </c>
      <c r="G21" s="25">
        <v>2.91</v>
      </c>
    </row>
    <row r="22" spans="2:7">
      <c r="B22" s="27" t="s">
        <v>71</v>
      </c>
      <c r="C22" s="23" t="s">
        <v>72</v>
      </c>
      <c r="D22" s="23" t="s">
        <v>43</v>
      </c>
      <c r="E22" s="28">
        <v>22750</v>
      </c>
      <c r="F22" s="25">
        <v>431.28</v>
      </c>
      <c r="G22" s="25">
        <v>2.7</v>
      </c>
    </row>
    <row r="23" spans="2:7">
      <c r="B23" s="27" t="s">
        <v>73</v>
      </c>
      <c r="C23" s="23" t="s">
        <v>74</v>
      </c>
      <c r="D23" s="23" t="s">
        <v>63</v>
      </c>
      <c r="E23" s="28">
        <v>18500</v>
      </c>
      <c r="F23" s="25">
        <v>406.96</v>
      </c>
      <c r="G23" s="25">
        <v>2.5499999999999998</v>
      </c>
    </row>
    <row r="24" spans="2:7">
      <c r="B24" s="27" t="s">
        <v>75</v>
      </c>
      <c r="C24" s="23" t="s">
        <v>76</v>
      </c>
      <c r="D24" s="23" t="s">
        <v>77</v>
      </c>
      <c r="E24" s="28">
        <v>54342</v>
      </c>
      <c r="F24" s="25">
        <v>392.78</v>
      </c>
      <c r="G24" s="25">
        <v>2.46</v>
      </c>
    </row>
    <row r="25" spans="2:7">
      <c r="B25" s="27" t="s">
        <v>78</v>
      </c>
      <c r="C25" s="23" t="s">
        <v>79</v>
      </c>
      <c r="D25" s="23" t="s">
        <v>80</v>
      </c>
      <c r="E25" s="28">
        <v>2650</v>
      </c>
      <c r="F25" s="25">
        <v>367.27</v>
      </c>
      <c r="G25" s="25">
        <v>2.2999999999999998</v>
      </c>
    </row>
    <row r="26" spans="2:7">
      <c r="B26" s="27" t="s">
        <v>81</v>
      </c>
      <c r="C26" s="23" t="s">
        <v>82</v>
      </c>
      <c r="D26" s="23" t="s">
        <v>58</v>
      </c>
      <c r="E26" s="28">
        <v>20500</v>
      </c>
      <c r="F26" s="25">
        <v>340.43</v>
      </c>
      <c r="G26" s="25">
        <v>2.13</v>
      </c>
    </row>
    <row r="27" spans="2:7">
      <c r="B27" s="27" t="s">
        <v>83</v>
      </c>
      <c r="C27" s="23" t="s">
        <v>84</v>
      </c>
      <c r="D27" s="23" t="s">
        <v>37</v>
      </c>
      <c r="E27" s="28">
        <v>44000</v>
      </c>
      <c r="F27" s="25">
        <v>334.69</v>
      </c>
      <c r="G27" s="25">
        <v>2.09</v>
      </c>
    </row>
    <row r="28" spans="2:7">
      <c r="B28" s="27" t="s">
        <v>85</v>
      </c>
      <c r="C28" s="23" t="s">
        <v>86</v>
      </c>
      <c r="D28" s="23" t="s">
        <v>43</v>
      </c>
      <c r="E28" s="28">
        <v>22544</v>
      </c>
      <c r="F28" s="25">
        <v>317.32</v>
      </c>
      <c r="G28" s="25">
        <v>1.98</v>
      </c>
    </row>
    <row r="29" spans="2:7">
      <c r="B29" s="27" t="s">
        <v>87</v>
      </c>
      <c r="C29" s="23" t="s">
        <v>88</v>
      </c>
      <c r="D29" s="23" t="s">
        <v>89</v>
      </c>
      <c r="E29" s="28">
        <v>285000</v>
      </c>
      <c r="F29" s="25">
        <v>315.92</v>
      </c>
      <c r="G29" s="25">
        <v>1.98</v>
      </c>
    </row>
    <row r="30" spans="2:7">
      <c r="B30" s="27" t="s">
        <v>90</v>
      </c>
      <c r="C30" s="23" t="s">
        <v>91</v>
      </c>
      <c r="D30" s="23" t="s">
        <v>63</v>
      </c>
      <c r="E30" s="28">
        <v>9500</v>
      </c>
      <c r="F30" s="25">
        <v>310.77999999999997</v>
      </c>
      <c r="G30" s="25">
        <v>1.94</v>
      </c>
    </row>
    <row r="31" spans="2:7">
      <c r="B31" s="27" t="s">
        <v>92</v>
      </c>
      <c r="C31" s="23" t="s">
        <v>93</v>
      </c>
      <c r="D31" s="23" t="s">
        <v>63</v>
      </c>
      <c r="E31" s="28">
        <v>72500</v>
      </c>
      <c r="F31" s="25">
        <v>305.26</v>
      </c>
      <c r="G31" s="25">
        <v>1.91</v>
      </c>
    </row>
    <row r="32" spans="2:7">
      <c r="B32" s="27" t="s">
        <v>94</v>
      </c>
      <c r="C32" s="23" t="s">
        <v>95</v>
      </c>
      <c r="D32" s="23" t="s">
        <v>96</v>
      </c>
      <c r="E32" s="28">
        <v>59800</v>
      </c>
      <c r="F32" s="25">
        <v>280.04000000000002</v>
      </c>
      <c r="G32" s="25">
        <v>1.75</v>
      </c>
    </row>
    <row r="33" spans="2:9">
      <c r="B33" s="27" t="s">
        <v>97</v>
      </c>
      <c r="C33" s="23" t="s">
        <v>98</v>
      </c>
      <c r="D33" s="23" t="s">
        <v>77</v>
      </c>
      <c r="E33" s="28">
        <v>175000</v>
      </c>
      <c r="F33" s="25">
        <v>255.76</v>
      </c>
      <c r="G33" s="25">
        <v>1.6</v>
      </c>
    </row>
    <row r="34" spans="2:9">
      <c r="B34" s="27" t="s">
        <v>99</v>
      </c>
      <c r="C34" s="23" t="s">
        <v>100</v>
      </c>
      <c r="D34" s="23" t="s">
        <v>58</v>
      </c>
      <c r="E34" s="28">
        <v>22500</v>
      </c>
      <c r="F34" s="25">
        <v>224.81</v>
      </c>
      <c r="G34" s="25">
        <v>1.41</v>
      </c>
    </row>
    <row r="35" spans="2:9">
      <c r="B35" s="27" t="s">
        <v>101</v>
      </c>
      <c r="C35" s="23" t="s">
        <v>102</v>
      </c>
      <c r="D35" s="23" t="s">
        <v>103</v>
      </c>
      <c r="E35" s="28">
        <v>99410</v>
      </c>
      <c r="F35" s="25">
        <v>174.32</v>
      </c>
      <c r="G35" s="25">
        <v>1.0900000000000001</v>
      </c>
    </row>
    <row r="36" spans="2:9">
      <c r="B36" s="27" t="s">
        <v>104</v>
      </c>
      <c r="C36" s="23" t="s">
        <v>105</v>
      </c>
      <c r="D36" s="23" t="s">
        <v>103</v>
      </c>
      <c r="E36" s="28">
        <v>127600</v>
      </c>
      <c r="F36" s="25">
        <v>147.94999999999999</v>
      </c>
      <c r="G36" s="25">
        <v>0.93</v>
      </c>
    </row>
    <row r="37" spans="2:9">
      <c r="B37" s="29" t="s">
        <v>106</v>
      </c>
      <c r="C37" s="30"/>
      <c r="D37" s="30"/>
      <c r="E37" s="31"/>
      <c r="F37" s="32">
        <f>SUM(F7:F36)</f>
        <v>15631.030000000006</v>
      </c>
      <c r="G37" s="32">
        <f>SUM(G7:G36)</f>
        <v>97.779999999999987</v>
      </c>
      <c r="H37" s="14"/>
      <c r="I37" s="14"/>
    </row>
    <row r="38" spans="2:9">
      <c r="B38" s="37" t="s">
        <v>107</v>
      </c>
      <c r="C38" s="37"/>
      <c r="D38" s="37"/>
      <c r="E38" s="38"/>
      <c r="F38" s="39">
        <f>F37</f>
        <v>15631.030000000006</v>
      </c>
      <c r="G38" s="39">
        <f>G37</f>
        <v>97.779999999999987</v>
      </c>
      <c r="H38" s="14"/>
      <c r="I38" s="14"/>
    </row>
    <row r="39" spans="2:9">
      <c r="B39" s="40" t="s">
        <v>108</v>
      </c>
      <c r="C39" s="41"/>
      <c r="D39" s="41"/>
      <c r="E39" s="42"/>
      <c r="F39" s="43"/>
      <c r="G39" s="43"/>
    </row>
    <row r="40" spans="2:9">
      <c r="B40" s="27" t="s">
        <v>108</v>
      </c>
      <c r="C40" s="23"/>
      <c r="D40" s="23"/>
      <c r="E40" s="24"/>
      <c r="F40" s="25">
        <v>522.14</v>
      </c>
      <c r="G40" s="25">
        <v>3.27</v>
      </c>
    </row>
    <row r="41" spans="2:9">
      <c r="B41" s="29" t="s">
        <v>106</v>
      </c>
      <c r="C41" s="30"/>
      <c r="D41" s="30"/>
      <c r="E41" s="31"/>
      <c r="F41" s="32">
        <f>SUM(F39:F40)</f>
        <v>522.14</v>
      </c>
      <c r="G41" s="32">
        <f>SUM(G39:G40)</f>
        <v>3.27</v>
      </c>
      <c r="H41" s="14"/>
      <c r="I41" s="14"/>
    </row>
    <row r="42" spans="2:9">
      <c r="B42" s="34" t="s">
        <v>107</v>
      </c>
      <c r="C42" s="34"/>
      <c r="D42" s="34"/>
      <c r="E42" s="35"/>
      <c r="F42" s="36">
        <f>F41</f>
        <v>522.14</v>
      </c>
      <c r="G42" s="36">
        <f>G41</f>
        <v>3.27</v>
      </c>
      <c r="H42" s="14"/>
      <c r="I42" s="14"/>
    </row>
    <row r="43" spans="2:9">
      <c r="B43" s="44" t="s">
        <v>110</v>
      </c>
      <c r="C43" s="44"/>
      <c r="D43" s="44"/>
      <c r="E43" s="45"/>
      <c r="F43" s="16">
        <f>F44-(+F38+F42)</f>
        <v>-163.13000000000466</v>
      </c>
      <c r="G43" s="16">
        <f>G44-(+G38+G42)</f>
        <v>-1.0499999999999829</v>
      </c>
      <c r="H43" s="14"/>
      <c r="I43" s="14"/>
    </row>
    <row r="44" spans="2:9">
      <c r="B44" s="44" t="s">
        <v>109</v>
      </c>
      <c r="C44" s="44"/>
      <c r="D44" s="44"/>
      <c r="E44" s="45"/>
      <c r="F44" s="16">
        <v>15990.04</v>
      </c>
      <c r="G44" s="16">
        <v>100</v>
      </c>
      <c r="H44" s="14"/>
      <c r="I44" s="14"/>
    </row>
    <row r="46" spans="2:9">
      <c r="B46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6"/>
  <sheetViews>
    <sheetView workbookViewId="0">
      <selection activeCell="B19" sqref="B19"/>
    </sheetView>
  </sheetViews>
  <sheetFormatPr defaultRowHeight="12"/>
  <cols>
    <col min="1" max="1" width="9.140625" style="1"/>
    <col min="2" max="2" width="57.4257812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9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38</v>
      </c>
      <c r="C7" s="23" t="s">
        <v>39</v>
      </c>
      <c r="D7" s="23" t="s">
        <v>40</v>
      </c>
      <c r="E7" s="28">
        <v>5115550</v>
      </c>
      <c r="F7" s="25">
        <v>36783.360000000001</v>
      </c>
      <c r="G7" s="25">
        <v>6.42</v>
      </c>
    </row>
    <row r="8" spans="2:7">
      <c r="B8" s="27" t="s">
        <v>111</v>
      </c>
      <c r="C8" s="23" t="s">
        <v>112</v>
      </c>
      <c r="D8" s="23" t="s">
        <v>40</v>
      </c>
      <c r="E8" s="28">
        <v>2272340</v>
      </c>
      <c r="F8" s="25">
        <v>35934.78</v>
      </c>
      <c r="G8" s="25">
        <v>6.27</v>
      </c>
    </row>
    <row r="9" spans="2:7">
      <c r="B9" s="27" t="s">
        <v>113</v>
      </c>
      <c r="C9" s="23" t="s">
        <v>114</v>
      </c>
      <c r="D9" s="23" t="s">
        <v>115</v>
      </c>
      <c r="E9" s="28">
        <v>1952188</v>
      </c>
      <c r="F9" s="25">
        <v>33313.11</v>
      </c>
      <c r="G9" s="25">
        <v>5.81</v>
      </c>
    </row>
    <row r="10" spans="2:7">
      <c r="B10" s="27" t="s">
        <v>116</v>
      </c>
      <c r="C10" s="23" t="s">
        <v>117</v>
      </c>
      <c r="D10" s="23" t="s">
        <v>115</v>
      </c>
      <c r="E10" s="28">
        <v>584428</v>
      </c>
      <c r="F10" s="25">
        <v>22129.07</v>
      </c>
      <c r="G10" s="25">
        <v>3.86</v>
      </c>
    </row>
    <row r="11" spans="2:7">
      <c r="B11" s="27" t="s">
        <v>118</v>
      </c>
      <c r="C11" s="23" t="s">
        <v>119</v>
      </c>
      <c r="D11" s="23" t="s">
        <v>89</v>
      </c>
      <c r="E11" s="28">
        <v>907400</v>
      </c>
      <c r="F11" s="25">
        <v>20490.45</v>
      </c>
      <c r="G11" s="25">
        <v>3.58</v>
      </c>
    </row>
    <row r="12" spans="2:7">
      <c r="B12" s="27" t="s">
        <v>120</v>
      </c>
      <c r="C12" s="23" t="s">
        <v>121</v>
      </c>
      <c r="D12" s="23" t="s">
        <v>122</v>
      </c>
      <c r="E12" s="28">
        <v>268535</v>
      </c>
      <c r="F12" s="25">
        <v>20205.919999999998</v>
      </c>
      <c r="G12" s="25">
        <v>3.53</v>
      </c>
    </row>
    <row r="13" spans="2:7">
      <c r="B13" s="27" t="s">
        <v>123</v>
      </c>
      <c r="C13" s="23" t="s">
        <v>124</v>
      </c>
      <c r="D13" s="23" t="s">
        <v>122</v>
      </c>
      <c r="E13" s="28">
        <v>655900</v>
      </c>
      <c r="F13" s="25">
        <v>18355.36</v>
      </c>
      <c r="G13" s="25">
        <v>3.2</v>
      </c>
    </row>
    <row r="14" spans="2:7">
      <c r="B14" s="27" t="s">
        <v>125</v>
      </c>
      <c r="C14" s="23" t="s">
        <v>126</v>
      </c>
      <c r="D14" s="23" t="s">
        <v>40</v>
      </c>
      <c r="E14" s="28">
        <v>2233600</v>
      </c>
      <c r="F14" s="25">
        <v>17567.259999999998</v>
      </c>
      <c r="G14" s="25">
        <v>3.07</v>
      </c>
    </row>
    <row r="15" spans="2:7">
      <c r="B15" s="27" t="s">
        <v>32</v>
      </c>
      <c r="C15" s="23" t="s">
        <v>33</v>
      </c>
      <c r="D15" s="23" t="s">
        <v>34</v>
      </c>
      <c r="E15" s="28">
        <v>1035657</v>
      </c>
      <c r="F15" s="25">
        <v>17318.259999999998</v>
      </c>
      <c r="G15" s="25">
        <v>3.02</v>
      </c>
    </row>
    <row r="16" spans="2:7">
      <c r="B16" s="27" t="s">
        <v>54</v>
      </c>
      <c r="C16" s="23" t="s">
        <v>55</v>
      </c>
      <c r="D16" s="23" t="s">
        <v>40</v>
      </c>
      <c r="E16" s="28">
        <v>3900000</v>
      </c>
      <c r="F16" s="25">
        <v>16615.95</v>
      </c>
      <c r="G16" s="25">
        <v>2.9</v>
      </c>
    </row>
    <row r="17" spans="2:7">
      <c r="B17" s="27" t="s">
        <v>127</v>
      </c>
      <c r="C17" s="23" t="s">
        <v>128</v>
      </c>
      <c r="D17" s="23" t="s">
        <v>129</v>
      </c>
      <c r="E17" s="28">
        <v>510400</v>
      </c>
      <c r="F17" s="25">
        <v>13903.81</v>
      </c>
      <c r="G17" s="25">
        <v>2.4300000000000002</v>
      </c>
    </row>
    <row r="18" spans="2:7">
      <c r="B18" s="27" t="s">
        <v>61</v>
      </c>
      <c r="C18" s="23" t="s">
        <v>62</v>
      </c>
      <c r="D18" s="23" t="s">
        <v>63</v>
      </c>
      <c r="E18" s="28">
        <v>136971</v>
      </c>
      <c r="F18" s="25">
        <v>10728.19</v>
      </c>
      <c r="G18" s="25">
        <v>1.87</v>
      </c>
    </row>
    <row r="19" spans="2:7">
      <c r="B19" s="27" t="s">
        <v>130</v>
      </c>
      <c r="C19" s="23" t="s">
        <v>131</v>
      </c>
      <c r="D19" s="23" t="s">
        <v>132</v>
      </c>
      <c r="E19" s="28">
        <v>2729533</v>
      </c>
      <c r="F19" s="25">
        <v>10522.35</v>
      </c>
      <c r="G19" s="25">
        <v>1.84</v>
      </c>
    </row>
    <row r="20" spans="2:7">
      <c r="B20" s="27" t="s">
        <v>133</v>
      </c>
      <c r="C20" s="23" t="s">
        <v>134</v>
      </c>
      <c r="D20" s="23" t="s">
        <v>115</v>
      </c>
      <c r="E20" s="28">
        <v>870000</v>
      </c>
      <c r="F20" s="25">
        <v>10286.01</v>
      </c>
      <c r="G20" s="25">
        <v>1.8</v>
      </c>
    </row>
    <row r="21" spans="2:7">
      <c r="B21" s="27" t="s">
        <v>135</v>
      </c>
      <c r="C21" s="23" t="s">
        <v>136</v>
      </c>
      <c r="D21" s="23" t="s">
        <v>137</v>
      </c>
      <c r="E21" s="28">
        <v>228500</v>
      </c>
      <c r="F21" s="25">
        <v>9036.7199999999993</v>
      </c>
      <c r="G21" s="25">
        <v>1.58</v>
      </c>
    </row>
    <row r="22" spans="2:7">
      <c r="B22" s="27" t="s">
        <v>138</v>
      </c>
      <c r="C22" s="23" t="s">
        <v>139</v>
      </c>
      <c r="D22" s="23" t="s">
        <v>115</v>
      </c>
      <c r="E22" s="28">
        <v>305000</v>
      </c>
      <c r="F22" s="25">
        <v>8839.2099999999991</v>
      </c>
      <c r="G22" s="25">
        <v>1.54</v>
      </c>
    </row>
    <row r="23" spans="2:7">
      <c r="B23" s="27" t="s">
        <v>140</v>
      </c>
      <c r="C23" s="23" t="s">
        <v>141</v>
      </c>
      <c r="D23" s="23" t="s">
        <v>142</v>
      </c>
      <c r="E23" s="28">
        <v>795000</v>
      </c>
      <c r="F23" s="25">
        <v>8650.7900000000009</v>
      </c>
      <c r="G23" s="25">
        <v>1.51</v>
      </c>
    </row>
    <row r="24" spans="2:7">
      <c r="B24" s="27" t="s">
        <v>143</v>
      </c>
      <c r="C24" s="23" t="s">
        <v>144</v>
      </c>
      <c r="D24" s="23" t="s">
        <v>145</v>
      </c>
      <c r="E24" s="28">
        <v>1222334</v>
      </c>
      <c r="F24" s="25">
        <v>8116.91</v>
      </c>
      <c r="G24" s="25">
        <v>1.42</v>
      </c>
    </row>
    <row r="25" spans="2:7">
      <c r="B25" s="27" t="s">
        <v>146</v>
      </c>
      <c r="C25" s="23" t="s">
        <v>147</v>
      </c>
      <c r="D25" s="23" t="s">
        <v>80</v>
      </c>
      <c r="E25" s="28">
        <v>1613991</v>
      </c>
      <c r="F25" s="25">
        <v>8071.57</v>
      </c>
      <c r="G25" s="25">
        <v>1.41</v>
      </c>
    </row>
    <row r="26" spans="2:7">
      <c r="B26" s="27" t="s">
        <v>148</v>
      </c>
      <c r="C26" s="23" t="s">
        <v>149</v>
      </c>
      <c r="D26" s="23" t="s">
        <v>40</v>
      </c>
      <c r="E26" s="28">
        <v>456651</v>
      </c>
      <c r="F26" s="25">
        <v>8008.29</v>
      </c>
      <c r="G26" s="25">
        <v>1.4</v>
      </c>
    </row>
    <row r="27" spans="2:7">
      <c r="B27" s="27" t="s">
        <v>150</v>
      </c>
      <c r="C27" s="23" t="s">
        <v>151</v>
      </c>
      <c r="D27" s="23" t="s">
        <v>152</v>
      </c>
      <c r="E27" s="28">
        <v>154032</v>
      </c>
      <c r="F27" s="25">
        <v>7969</v>
      </c>
      <c r="G27" s="25">
        <v>1.39</v>
      </c>
    </row>
    <row r="28" spans="2:7">
      <c r="B28" s="27" t="s">
        <v>153</v>
      </c>
      <c r="C28" s="23" t="s">
        <v>154</v>
      </c>
      <c r="D28" s="23" t="s">
        <v>58</v>
      </c>
      <c r="E28" s="28">
        <v>375000</v>
      </c>
      <c r="F28" s="25">
        <v>7753.13</v>
      </c>
      <c r="G28" s="25">
        <v>1.35</v>
      </c>
    </row>
    <row r="29" spans="2:7">
      <c r="B29" s="27" t="s">
        <v>155</v>
      </c>
      <c r="C29" s="23" t="s">
        <v>156</v>
      </c>
      <c r="D29" s="23" t="s">
        <v>152</v>
      </c>
      <c r="E29" s="28">
        <v>945000</v>
      </c>
      <c r="F29" s="25">
        <v>7503.77</v>
      </c>
      <c r="G29" s="25">
        <v>1.31</v>
      </c>
    </row>
    <row r="30" spans="2:7">
      <c r="B30" s="27" t="s">
        <v>94</v>
      </c>
      <c r="C30" s="23" t="s">
        <v>95</v>
      </c>
      <c r="D30" s="23" t="s">
        <v>96</v>
      </c>
      <c r="E30" s="28">
        <v>1600000</v>
      </c>
      <c r="F30" s="25">
        <v>7492.8</v>
      </c>
      <c r="G30" s="25">
        <v>1.31</v>
      </c>
    </row>
    <row r="31" spans="2:7">
      <c r="B31" s="27" t="s">
        <v>51</v>
      </c>
      <c r="C31" s="23" t="s">
        <v>52</v>
      </c>
      <c r="D31" s="23" t="s">
        <v>53</v>
      </c>
      <c r="E31" s="28">
        <v>502512</v>
      </c>
      <c r="F31" s="25">
        <v>7350.24</v>
      </c>
      <c r="G31" s="25">
        <v>1.28</v>
      </c>
    </row>
    <row r="32" spans="2:7">
      <c r="B32" s="27" t="s">
        <v>64</v>
      </c>
      <c r="C32" s="23" t="s">
        <v>65</v>
      </c>
      <c r="D32" s="23" t="s">
        <v>66</v>
      </c>
      <c r="E32" s="28">
        <v>505000</v>
      </c>
      <c r="F32" s="25">
        <v>7323.76</v>
      </c>
      <c r="G32" s="25">
        <v>1.28</v>
      </c>
    </row>
    <row r="33" spans="2:7">
      <c r="B33" s="27" t="s">
        <v>157</v>
      </c>
      <c r="C33" s="23" t="s">
        <v>158</v>
      </c>
      <c r="D33" s="23" t="s">
        <v>129</v>
      </c>
      <c r="E33" s="28">
        <v>224500</v>
      </c>
      <c r="F33" s="25">
        <v>7187.03</v>
      </c>
      <c r="G33" s="25">
        <v>1.25</v>
      </c>
    </row>
    <row r="34" spans="2:7">
      <c r="B34" s="27" t="s">
        <v>159</v>
      </c>
      <c r="C34" s="23" t="s">
        <v>160</v>
      </c>
      <c r="D34" s="23" t="s">
        <v>77</v>
      </c>
      <c r="E34" s="28">
        <v>1258000</v>
      </c>
      <c r="F34" s="25">
        <v>6866.79</v>
      </c>
      <c r="G34" s="25">
        <v>1.2</v>
      </c>
    </row>
    <row r="35" spans="2:7">
      <c r="B35" s="27" t="s">
        <v>161</v>
      </c>
      <c r="C35" s="23" t="s">
        <v>162</v>
      </c>
      <c r="D35" s="23" t="s">
        <v>129</v>
      </c>
      <c r="E35" s="28">
        <v>765000</v>
      </c>
      <c r="F35" s="25">
        <v>6616.87</v>
      </c>
      <c r="G35" s="25">
        <v>1.1499999999999999</v>
      </c>
    </row>
    <row r="36" spans="2:7">
      <c r="B36" s="27" t="s">
        <v>75</v>
      </c>
      <c r="C36" s="23" t="s">
        <v>76</v>
      </c>
      <c r="D36" s="23" t="s">
        <v>77</v>
      </c>
      <c r="E36" s="28">
        <v>901413</v>
      </c>
      <c r="F36" s="25">
        <v>6515.41</v>
      </c>
      <c r="G36" s="25">
        <v>1.1399999999999999</v>
      </c>
    </row>
    <row r="37" spans="2:7">
      <c r="B37" s="27" t="s">
        <v>163</v>
      </c>
      <c r="C37" s="23" t="s">
        <v>164</v>
      </c>
      <c r="D37" s="23" t="s">
        <v>165</v>
      </c>
      <c r="E37" s="28">
        <v>645429</v>
      </c>
      <c r="F37" s="25">
        <v>6427.5</v>
      </c>
      <c r="G37" s="25">
        <v>1.1200000000000001</v>
      </c>
    </row>
    <row r="38" spans="2:7">
      <c r="B38" s="27" t="s">
        <v>166</v>
      </c>
      <c r="C38" s="23" t="s">
        <v>167</v>
      </c>
      <c r="D38" s="23" t="s">
        <v>165</v>
      </c>
      <c r="E38" s="28">
        <v>360000</v>
      </c>
      <c r="F38" s="25">
        <v>6378.48</v>
      </c>
      <c r="G38" s="25">
        <v>1.1100000000000001</v>
      </c>
    </row>
    <row r="39" spans="2:7">
      <c r="B39" s="27" t="s">
        <v>168</v>
      </c>
      <c r="C39" s="23" t="s">
        <v>169</v>
      </c>
      <c r="D39" s="23" t="s">
        <v>80</v>
      </c>
      <c r="E39" s="28">
        <v>890690</v>
      </c>
      <c r="F39" s="25">
        <v>6350.62</v>
      </c>
      <c r="G39" s="25">
        <v>1.1100000000000001</v>
      </c>
    </row>
    <row r="40" spans="2:7">
      <c r="B40" s="27" t="s">
        <v>170</v>
      </c>
      <c r="C40" s="23" t="s">
        <v>171</v>
      </c>
      <c r="D40" s="23" t="s">
        <v>165</v>
      </c>
      <c r="E40" s="28">
        <v>500000</v>
      </c>
      <c r="F40" s="25">
        <v>6342.25</v>
      </c>
      <c r="G40" s="25">
        <v>1.1100000000000001</v>
      </c>
    </row>
    <row r="41" spans="2:7">
      <c r="B41" s="27" t="s">
        <v>172</v>
      </c>
      <c r="C41" s="23" t="s">
        <v>173</v>
      </c>
      <c r="D41" s="23" t="s">
        <v>174</v>
      </c>
      <c r="E41" s="28">
        <v>157700</v>
      </c>
      <c r="F41" s="25">
        <v>6300.12</v>
      </c>
      <c r="G41" s="25">
        <v>1.1000000000000001</v>
      </c>
    </row>
    <row r="42" spans="2:7">
      <c r="B42" s="27" t="s">
        <v>175</v>
      </c>
      <c r="C42" s="23" t="s">
        <v>176</v>
      </c>
      <c r="D42" s="23" t="s">
        <v>58</v>
      </c>
      <c r="E42" s="28">
        <v>786750</v>
      </c>
      <c r="F42" s="25">
        <v>6035.95</v>
      </c>
      <c r="G42" s="25">
        <v>1.05</v>
      </c>
    </row>
    <row r="43" spans="2:7">
      <c r="B43" s="27" t="s">
        <v>177</v>
      </c>
      <c r="C43" s="23" t="s">
        <v>178</v>
      </c>
      <c r="D43" s="23" t="s">
        <v>179</v>
      </c>
      <c r="E43" s="28">
        <v>176375</v>
      </c>
      <c r="F43" s="25">
        <v>5986.17</v>
      </c>
      <c r="G43" s="25">
        <v>1.04</v>
      </c>
    </row>
    <row r="44" spans="2:7">
      <c r="B44" s="27" t="s">
        <v>180</v>
      </c>
      <c r="C44" s="23" t="s">
        <v>181</v>
      </c>
      <c r="D44" s="23" t="s">
        <v>122</v>
      </c>
      <c r="E44" s="28">
        <v>1075000</v>
      </c>
      <c r="F44" s="25">
        <v>5956.04</v>
      </c>
      <c r="G44" s="25">
        <v>1.04</v>
      </c>
    </row>
    <row r="45" spans="2:7">
      <c r="B45" s="27" t="s">
        <v>90</v>
      </c>
      <c r="C45" s="23" t="s">
        <v>91</v>
      </c>
      <c r="D45" s="23" t="s">
        <v>63</v>
      </c>
      <c r="E45" s="28">
        <v>179240</v>
      </c>
      <c r="F45" s="25">
        <v>5863.66</v>
      </c>
      <c r="G45" s="25">
        <v>1.02</v>
      </c>
    </row>
    <row r="46" spans="2:7">
      <c r="B46" s="27" t="s">
        <v>182</v>
      </c>
      <c r="C46" s="23" t="s">
        <v>183</v>
      </c>
      <c r="D46" s="23" t="s">
        <v>184</v>
      </c>
      <c r="E46" s="28">
        <v>63952</v>
      </c>
      <c r="F46" s="25">
        <v>5837.63</v>
      </c>
      <c r="G46" s="25">
        <v>1.02</v>
      </c>
    </row>
    <row r="47" spans="2:7">
      <c r="B47" s="27" t="s">
        <v>185</v>
      </c>
      <c r="C47" s="23" t="s">
        <v>186</v>
      </c>
      <c r="D47" s="23" t="s">
        <v>122</v>
      </c>
      <c r="E47" s="28">
        <v>992113</v>
      </c>
      <c r="F47" s="25">
        <v>5664.47</v>
      </c>
      <c r="G47" s="25">
        <v>0.99</v>
      </c>
    </row>
    <row r="48" spans="2:7">
      <c r="B48" s="27" t="s">
        <v>187</v>
      </c>
      <c r="C48" s="23" t="s">
        <v>188</v>
      </c>
      <c r="D48" s="23" t="s">
        <v>165</v>
      </c>
      <c r="E48" s="28">
        <v>288800</v>
      </c>
      <c r="F48" s="25">
        <v>5549.58</v>
      </c>
      <c r="G48" s="25">
        <v>0.97</v>
      </c>
    </row>
    <row r="49" spans="2:7">
      <c r="B49" s="27" t="s">
        <v>189</v>
      </c>
      <c r="C49" s="23" t="s">
        <v>190</v>
      </c>
      <c r="D49" s="23" t="s">
        <v>142</v>
      </c>
      <c r="E49" s="28">
        <v>770000</v>
      </c>
      <c r="F49" s="25">
        <v>5526.68</v>
      </c>
      <c r="G49" s="25">
        <v>0.96</v>
      </c>
    </row>
    <row r="50" spans="2:7">
      <c r="B50" s="27" t="s">
        <v>191</v>
      </c>
      <c r="C50" s="23" t="s">
        <v>192</v>
      </c>
      <c r="D50" s="23" t="s">
        <v>184</v>
      </c>
      <c r="E50" s="28">
        <v>136780</v>
      </c>
      <c r="F50" s="25">
        <v>5508.95</v>
      </c>
      <c r="G50" s="25">
        <v>0.96</v>
      </c>
    </row>
    <row r="51" spans="2:7">
      <c r="B51" s="27" t="s">
        <v>193</v>
      </c>
      <c r="C51" s="23" t="s">
        <v>194</v>
      </c>
      <c r="D51" s="23" t="s">
        <v>152</v>
      </c>
      <c r="E51" s="28">
        <v>575000</v>
      </c>
      <c r="F51" s="25">
        <v>5449.85</v>
      </c>
      <c r="G51" s="25">
        <v>0.95</v>
      </c>
    </row>
    <row r="52" spans="2:7">
      <c r="B52" s="27" t="s">
        <v>71</v>
      </c>
      <c r="C52" s="23" t="s">
        <v>72</v>
      </c>
      <c r="D52" s="23" t="s">
        <v>43</v>
      </c>
      <c r="E52" s="28">
        <v>278500</v>
      </c>
      <c r="F52" s="25">
        <v>5279.66</v>
      </c>
      <c r="G52" s="25">
        <v>0.92</v>
      </c>
    </row>
    <row r="53" spans="2:7">
      <c r="B53" s="27" t="s">
        <v>195</v>
      </c>
      <c r="C53" s="23" t="s">
        <v>196</v>
      </c>
      <c r="D53" s="23" t="s">
        <v>197</v>
      </c>
      <c r="E53" s="28">
        <v>1000000</v>
      </c>
      <c r="F53" s="25">
        <v>5251.5</v>
      </c>
      <c r="G53" s="25">
        <v>0.92</v>
      </c>
    </row>
    <row r="54" spans="2:7">
      <c r="B54" s="27" t="s">
        <v>198</v>
      </c>
      <c r="C54" s="23" t="s">
        <v>199</v>
      </c>
      <c r="D54" s="23" t="s">
        <v>184</v>
      </c>
      <c r="E54" s="28">
        <v>288909</v>
      </c>
      <c r="F54" s="25">
        <v>5199.0600000000004</v>
      </c>
      <c r="G54" s="25">
        <v>0.91</v>
      </c>
    </row>
    <row r="55" spans="2:7">
      <c r="B55" s="27" t="s">
        <v>200</v>
      </c>
      <c r="C55" s="23" t="s">
        <v>201</v>
      </c>
      <c r="D55" s="23" t="s">
        <v>152</v>
      </c>
      <c r="E55" s="28">
        <v>26860</v>
      </c>
      <c r="F55" s="25">
        <v>5176.49</v>
      </c>
      <c r="G55" s="25">
        <v>0.9</v>
      </c>
    </row>
    <row r="56" spans="2:7">
      <c r="B56" s="27" t="s">
        <v>202</v>
      </c>
      <c r="C56" s="23" t="s">
        <v>203</v>
      </c>
      <c r="D56" s="23" t="s">
        <v>122</v>
      </c>
      <c r="E56" s="28">
        <v>453000</v>
      </c>
      <c r="F56" s="25">
        <v>5166.6899999999996</v>
      </c>
      <c r="G56" s="25">
        <v>0.9</v>
      </c>
    </row>
    <row r="57" spans="2:7">
      <c r="B57" s="27" t="s">
        <v>204</v>
      </c>
      <c r="C57" s="23" t="s">
        <v>205</v>
      </c>
      <c r="D57" s="23" t="s">
        <v>80</v>
      </c>
      <c r="E57" s="28">
        <v>212500</v>
      </c>
      <c r="F57" s="25">
        <v>4876.66</v>
      </c>
      <c r="G57" s="25">
        <v>0.85</v>
      </c>
    </row>
    <row r="58" spans="2:7">
      <c r="B58" s="27" t="s">
        <v>206</v>
      </c>
      <c r="C58" s="23" t="s">
        <v>207</v>
      </c>
      <c r="D58" s="23" t="s">
        <v>197</v>
      </c>
      <c r="E58" s="28">
        <v>3950000</v>
      </c>
      <c r="F58" s="25">
        <v>4848.63</v>
      </c>
      <c r="G58" s="25">
        <v>0.85</v>
      </c>
    </row>
    <row r="59" spans="2:7">
      <c r="B59" s="27" t="s">
        <v>59</v>
      </c>
      <c r="C59" s="23" t="s">
        <v>60</v>
      </c>
      <c r="D59" s="23" t="s">
        <v>43</v>
      </c>
      <c r="E59" s="28">
        <v>11775</v>
      </c>
      <c r="F59" s="25">
        <v>4663.4799999999996</v>
      </c>
      <c r="G59" s="25">
        <v>0.81</v>
      </c>
    </row>
    <row r="60" spans="2:7">
      <c r="B60" s="27" t="s">
        <v>208</v>
      </c>
      <c r="C60" s="23" t="s">
        <v>209</v>
      </c>
      <c r="D60" s="23" t="s">
        <v>197</v>
      </c>
      <c r="E60" s="28">
        <v>66326</v>
      </c>
      <c r="F60" s="25">
        <v>4540.74</v>
      </c>
      <c r="G60" s="25">
        <v>0.79</v>
      </c>
    </row>
    <row r="61" spans="2:7">
      <c r="B61" s="27" t="s">
        <v>210</v>
      </c>
      <c r="C61" s="23" t="s">
        <v>211</v>
      </c>
      <c r="D61" s="23" t="s">
        <v>152</v>
      </c>
      <c r="E61" s="28">
        <v>163393</v>
      </c>
      <c r="F61" s="25">
        <v>4207.8599999999997</v>
      </c>
      <c r="G61" s="25">
        <v>0.73</v>
      </c>
    </row>
    <row r="62" spans="2:7">
      <c r="B62" s="27" t="s">
        <v>212</v>
      </c>
      <c r="C62" s="23" t="s">
        <v>213</v>
      </c>
      <c r="D62" s="23" t="s">
        <v>197</v>
      </c>
      <c r="E62" s="28">
        <v>1442500</v>
      </c>
      <c r="F62" s="25">
        <v>4144.3</v>
      </c>
      <c r="G62" s="25">
        <v>0.72</v>
      </c>
    </row>
    <row r="63" spans="2:7">
      <c r="B63" s="27" t="s">
        <v>214</v>
      </c>
      <c r="C63" s="23" t="s">
        <v>215</v>
      </c>
      <c r="D63" s="23" t="s">
        <v>129</v>
      </c>
      <c r="E63" s="28">
        <v>63690</v>
      </c>
      <c r="F63" s="25">
        <v>2546.0100000000002</v>
      </c>
      <c r="G63" s="25">
        <v>0.44</v>
      </c>
    </row>
    <row r="64" spans="2:7">
      <c r="B64" s="27" t="s">
        <v>216</v>
      </c>
      <c r="C64" s="23" t="s">
        <v>217</v>
      </c>
      <c r="D64" s="23" t="s">
        <v>165</v>
      </c>
      <c r="E64" s="28">
        <v>66282</v>
      </c>
      <c r="F64" s="25">
        <v>1411.94</v>
      </c>
      <c r="G64" s="25">
        <v>0.25</v>
      </c>
    </row>
    <row r="65" spans="2:9">
      <c r="B65" s="27" t="s">
        <v>218</v>
      </c>
      <c r="C65" s="23" t="s">
        <v>219</v>
      </c>
      <c r="D65" s="23" t="s">
        <v>132</v>
      </c>
      <c r="E65" s="28">
        <v>30394</v>
      </c>
      <c r="F65" s="25">
        <v>1231.43</v>
      </c>
      <c r="G65" s="25">
        <v>0.21</v>
      </c>
    </row>
    <row r="66" spans="2:9">
      <c r="B66" s="27" t="s">
        <v>220</v>
      </c>
      <c r="C66" s="23" t="s">
        <v>221</v>
      </c>
      <c r="D66" s="23" t="s">
        <v>63</v>
      </c>
      <c r="E66" s="28">
        <v>2940</v>
      </c>
      <c r="F66" s="25">
        <v>831.66</v>
      </c>
      <c r="G66" s="25">
        <v>0.15</v>
      </c>
    </row>
    <row r="67" spans="2:9">
      <c r="B67" s="29" t="s">
        <v>106</v>
      </c>
      <c r="C67" s="30"/>
      <c r="D67" s="30"/>
      <c r="E67" s="31"/>
      <c r="F67" s="32">
        <f>SUM(F7:F66)</f>
        <v>556010.22999999986</v>
      </c>
      <c r="G67" s="32">
        <f>SUM(G7:G66)</f>
        <v>97.02</v>
      </c>
      <c r="H67" s="14"/>
      <c r="I67" s="14"/>
    </row>
    <row r="68" spans="2:9">
      <c r="B68" s="37" t="s">
        <v>107</v>
      </c>
      <c r="C68" s="37"/>
      <c r="D68" s="37"/>
      <c r="E68" s="38"/>
      <c r="F68" s="39">
        <f>F67</f>
        <v>556010.22999999986</v>
      </c>
      <c r="G68" s="39">
        <f>G67</f>
        <v>97.02</v>
      </c>
      <c r="H68" s="14"/>
      <c r="I68" s="14"/>
    </row>
    <row r="69" spans="2:9">
      <c r="B69" s="40" t="s">
        <v>108</v>
      </c>
      <c r="C69" s="41"/>
      <c r="D69" s="41"/>
      <c r="E69" s="42"/>
      <c r="F69" s="43"/>
      <c r="G69" s="43"/>
    </row>
    <row r="70" spans="2:9">
      <c r="B70" s="27" t="s">
        <v>108</v>
      </c>
      <c r="C70" s="23"/>
      <c r="D70" s="23"/>
      <c r="E70" s="24"/>
      <c r="F70" s="25">
        <v>19922.22</v>
      </c>
      <c r="G70" s="25">
        <v>3.48</v>
      </c>
    </row>
    <row r="71" spans="2:9">
      <c r="B71" s="29" t="s">
        <v>106</v>
      </c>
      <c r="C71" s="30"/>
      <c r="D71" s="30"/>
      <c r="E71" s="31"/>
      <c r="F71" s="32">
        <f>SUM(F69:F70)</f>
        <v>19922.22</v>
      </c>
      <c r="G71" s="32">
        <f>SUM(G69:G70)</f>
        <v>3.48</v>
      </c>
      <c r="H71" s="14"/>
      <c r="I71" s="14"/>
    </row>
    <row r="72" spans="2:9">
      <c r="B72" s="34" t="s">
        <v>107</v>
      </c>
      <c r="C72" s="34"/>
      <c r="D72" s="34"/>
      <c r="E72" s="35"/>
      <c r="F72" s="36">
        <f>F71</f>
        <v>19922.22</v>
      </c>
      <c r="G72" s="36">
        <f>G71</f>
        <v>3.48</v>
      </c>
      <c r="H72" s="14"/>
      <c r="I72" s="14"/>
    </row>
    <row r="73" spans="2:9">
      <c r="B73" s="44" t="s">
        <v>110</v>
      </c>
      <c r="C73" s="44"/>
      <c r="D73" s="44"/>
      <c r="E73" s="45"/>
      <c r="F73" s="16">
        <f>F74-(+F68+F72)</f>
        <v>-2917.2399999998743</v>
      </c>
      <c r="G73" s="16">
        <f>G74-(+G68+G72)</f>
        <v>-0.5</v>
      </c>
      <c r="H73" s="14"/>
      <c r="I73" s="14"/>
    </row>
    <row r="74" spans="2:9">
      <c r="B74" s="44" t="s">
        <v>109</v>
      </c>
      <c r="C74" s="44"/>
      <c r="D74" s="44"/>
      <c r="E74" s="45"/>
      <c r="F74" s="16">
        <v>573015.21</v>
      </c>
      <c r="G74" s="16">
        <v>100</v>
      </c>
      <c r="H74" s="14"/>
      <c r="I74" s="14"/>
    </row>
    <row r="76" spans="2:9">
      <c r="B76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5"/>
  <sheetViews>
    <sheetView workbookViewId="0">
      <selection activeCell="B23" sqref="B23"/>
    </sheetView>
  </sheetViews>
  <sheetFormatPr defaultRowHeight="12"/>
  <cols>
    <col min="1" max="1" width="9.140625" style="1"/>
    <col min="2" max="2" width="57.42578125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10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113</v>
      </c>
      <c r="C7" s="23" t="s">
        <v>114</v>
      </c>
      <c r="D7" s="23" t="s">
        <v>115</v>
      </c>
      <c r="E7" s="28">
        <v>1281310</v>
      </c>
      <c r="F7" s="25">
        <v>21864.91</v>
      </c>
      <c r="G7" s="25">
        <v>8.16</v>
      </c>
    </row>
    <row r="8" spans="2:7">
      <c r="B8" s="27" t="s">
        <v>111</v>
      </c>
      <c r="C8" s="23" t="s">
        <v>112</v>
      </c>
      <c r="D8" s="23" t="s">
        <v>40</v>
      </c>
      <c r="E8" s="28">
        <v>1322184</v>
      </c>
      <c r="F8" s="25">
        <v>20909.02</v>
      </c>
      <c r="G8" s="25">
        <v>7.8</v>
      </c>
    </row>
    <row r="9" spans="2:7">
      <c r="B9" s="27" t="s">
        <v>38</v>
      </c>
      <c r="C9" s="23" t="s">
        <v>39</v>
      </c>
      <c r="D9" s="23" t="s">
        <v>40</v>
      </c>
      <c r="E9" s="28">
        <v>2506000</v>
      </c>
      <c r="F9" s="25">
        <v>18019.39</v>
      </c>
      <c r="G9" s="25">
        <v>6.72</v>
      </c>
    </row>
    <row r="10" spans="2:7">
      <c r="B10" s="27" t="s">
        <v>32</v>
      </c>
      <c r="C10" s="23" t="s">
        <v>33</v>
      </c>
      <c r="D10" s="23" t="s">
        <v>34</v>
      </c>
      <c r="E10" s="28">
        <v>680000</v>
      </c>
      <c r="F10" s="25">
        <v>11370.96</v>
      </c>
      <c r="G10" s="25">
        <v>4.24</v>
      </c>
    </row>
    <row r="11" spans="2:7">
      <c r="B11" s="27" t="s">
        <v>116</v>
      </c>
      <c r="C11" s="23" t="s">
        <v>117</v>
      </c>
      <c r="D11" s="23" t="s">
        <v>115</v>
      </c>
      <c r="E11" s="28">
        <v>288815</v>
      </c>
      <c r="F11" s="25">
        <v>10935.84</v>
      </c>
      <c r="G11" s="25">
        <v>4.08</v>
      </c>
    </row>
    <row r="12" spans="2:7">
      <c r="B12" s="27" t="s">
        <v>120</v>
      </c>
      <c r="C12" s="23" t="s">
        <v>121</v>
      </c>
      <c r="D12" s="23" t="s">
        <v>122</v>
      </c>
      <c r="E12" s="28">
        <v>132450</v>
      </c>
      <c r="F12" s="25">
        <v>9966.2000000000007</v>
      </c>
      <c r="G12" s="25">
        <v>3.72</v>
      </c>
    </row>
    <row r="13" spans="2:7">
      <c r="B13" s="27" t="s">
        <v>123</v>
      </c>
      <c r="C13" s="23" t="s">
        <v>124</v>
      </c>
      <c r="D13" s="23" t="s">
        <v>122</v>
      </c>
      <c r="E13" s="28">
        <v>287500</v>
      </c>
      <c r="F13" s="25">
        <v>8045.69</v>
      </c>
      <c r="G13" s="25">
        <v>3</v>
      </c>
    </row>
    <row r="14" spans="2:7">
      <c r="B14" s="27" t="s">
        <v>54</v>
      </c>
      <c r="C14" s="23" t="s">
        <v>55</v>
      </c>
      <c r="D14" s="23" t="s">
        <v>40</v>
      </c>
      <c r="E14" s="28">
        <v>1750000</v>
      </c>
      <c r="F14" s="25">
        <v>7455.88</v>
      </c>
      <c r="G14" s="25">
        <v>2.78</v>
      </c>
    </row>
    <row r="15" spans="2:7">
      <c r="B15" s="27" t="s">
        <v>125</v>
      </c>
      <c r="C15" s="23" t="s">
        <v>126</v>
      </c>
      <c r="D15" s="23" t="s">
        <v>40</v>
      </c>
      <c r="E15" s="28">
        <v>928000</v>
      </c>
      <c r="F15" s="25">
        <v>7298.72</v>
      </c>
      <c r="G15" s="25">
        <v>2.72</v>
      </c>
    </row>
    <row r="16" spans="2:7">
      <c r="B16" s="27" t="s">
        <v>127</v>
      </c>
      <c r="C16" s="23" t="s">
        <v>128</v>
      </c>
      <c r="D16" s="23" t="s">
        <v>129</v>
      </c>
      <c r="E16" s="28">
        <v>194690</v>
      </c>
      <c r="F16" s="25">
        <v>5303.55</v>
      </c>
      <c r="G16" s="25">
        <v>1.98</v>
      </c>
    </row>
    <row r="17" spans="2:7">
      <c r="B17" s="27" t="s">
        <v>150</v>
      </c>
      <c r="C17" s="23" t="s">
        <v>151</v>
      </c>
      <c r="D17" s="23" t="s">
        <v>152</v>
      </c>
      <c r="E17" s="28">
        <v>101500</v>
      </c>
      <c r="F17" s="25">
        <v>5251.2</v>
      </c>
      <c r="G17" s="25">
        <v>1.96</v>
      </c>
    </row>
    <row r="18" spans="2:7">
      <c r="B18" s="27" t="s">
        <v>172</v>
      </c>
      <c r="C18" s="23" t="s">
        <v>173</v>
      </c>
      <c r="D18" s="23" t="s">
        <v>174</v>
      </c>
      <c r="E18" s="28">
        <v>131200</v>
      </c>
      <c r="F18" s="25">
        <v>5241.4399999999996</v>
      </c>
      <c r="G18" s="25">
        <v>1.96</v>
      </c>
    </row>
    <row r="19" spans="2:7">
      <c r="B19" s="27" t="s">
        <v>118</v>
      </c>
      <c r="C19" s="23" t="s">
        <v>119</v>
      </c>
      <c r="D19" s="23" t="s">
        <v>89</v>
      </c>
      <c r="E19" s="28">
        <v>210500</v>
      </c>
      <c r="F19" s="25">
        <v>4753.41</v>
      </c>
      <c r="G19" s="25">
        <v>1.77</v>
      </c>
    </row>
    <row r="20" spans="2:7">
      <c r="B20" s="27" t="s">
        <v>168</v>
      </c>
      <c r="C20" s="23" t="s">
        <v>169</v>
      </c>
      <c r="D20" s="23" t="s">
        <v>80</v>
      </c>
      <c r="E20" s="28">
        <v>612358</v>
      </c>
      <c r="F20" s="25">
        <v>4366.1099999999997</v>
      </c>
      <c r="G20" s="25">
        <v>1.63</v>
      </c>
    </row>
    <row r="21" spans="2:7">
      <c r="B21" s="27" t="s">
        <v>161</v>
      </c>
      <c r="C21" s="23" t="s">
        <v>162</v>
      </c>
      <c r="D21" s="23" t="s">
        <v>129</v>
      </c>
      <c r="E21" s="28">
        <v>493000</v>
      </c>
      <c r="F21" s="25">
        <v>4264.2</v>
      </c>
      <c r="G21" s="25">
        <v>1.59</v>
      </c>
    </row>
    <row r="22" spans="2:7">
      <c r="B22" s="27" t="s">
        <v>222</v>
      </c>
      <c r="C22" s="23" t="s">
        <v>223</v>
      </c>
      <c r="D22" s="23" t="s">
        <v>115</v>
      </c>
      <c r="E22" s="28">
        <v>128000</v>
      </c>
      <c r="F22" s="25">
        <v>4252.22</v>
      </c>
      <c r="G22" s="25">
        <v>1.59</v>
      </c>
    </row>
    <row r="23" spans="2:7">
      <c r="B23" s="27" t="s">
        <v>148</v>
      </c>
      <c r="C23" s="23" t="s">
        <v>149</v>
      </c>
      <c r="D23" s="23" t="s">
        <v>40</v>
      </c>
      <c r="E23" s="28">
        <v>222500</v>
      </c>
      <c r="F23" s="25">
        <v>3901.98</v>
      </c>
      <c r="G23" s="25">
        <v>1.46</v>
      </c>
    </row>
    <row r="24" spans="2:7">
      <c r="B24" s="27" t="s">
        <v>130</v>
      </c>
      <c r="C24" s="23" t="s">
        <v>131</v>
      </c>
      <c r="D24" s="23" t="s">
        <v>132</v>
      </c>
      <c r="E24" s="28">
        <v>1000000</v>
      </c>
      <c r="F24" s="25">
        <v>3855</v>
      </c>
      <c r="G24" s="25">
        <v>1.44</v>
      </c>
    </row>
    <row r="25" spans="2:7">
      <c r="B25" s="27" t="s">
        <v>180</v>
      </c>
      <c r="C25" s="23" t="s">
        <v>181</v>
      </c>
      <c r="D25" s="23" t="s">
        <v>122</v>
      </c>
      <c r="E25" s="28">
        <v>670000</v>
      </c>
      <c r="F25" s="25">
        <v>3712.14</v>
      </c>
      <c r="G25" s="25">
        <v>1.39</v>
      </c>
    </row>
    <row r="26" spans="2:7">
      <c r="B26" s="27" t="s">
        <v>157</v>
      </c>
      <c r="C26" s="23" t="s">
        <v>158</v>
      </c>
      <c r="D26" s="23" t="s">
        <v>129</v>
      </c>
      <c r="E26" s="28">
        <v>110700</v>
      </c>
      <c r="F26" s="25">
        <v>3543.89</v>
      </c>
      <c r="G26" s="25">
        <v>1.32</v>
      </c>
    </row>
    <row r="27" spans="2:7">
      <c r="B27" s="27" t="s">
        <v>170</v>
      </c>
      <c r="C27" s="23" t="s">
        <v>171</v>
      </c>
      <c r="D27" s="23" t="s">
        <v>165</v>
      </c>
      <c r="E27" s="28">
        <v>265000</v>
      </c>
      <c r="F27" s="25">
        <v>3361.39</v>
      </c>
      <c r="G27" s="25">
        <v>1.25</v>
      </c>
    </row>
    <row r="28" spans="2:7">
      <c r="B28" s="27" t="s">
        <v>59</v>
      </c>
      <c r="C28" s="23" t="s">
        <v>60</v>
      </c>
      <c r="D28" s="23" t="s">
        <v>43</v>
      </c>
      <c r="E28" s="28">
        <v>8266</v>
      </c>
      <c r="F28" s="25">
        <v>3273.74</v>
      </c>
      <c r="G28" s="25">
        <v>1.22</v>
      </c>
    </row>
    <row r="29" spans="2:7">
      <c r="B29" s="27" t="s">
        <v>135</v>
      </c>
      <c r="C29" s="23" t="s">
        <v>136</v>
      </c>
      <c r="D29" s="23" t="s">
        <v>137</v>
      </c>
      <c r="E29" s="28">
        <v>81500</v>
      </c>
      <c r="F29" s="25">
        <v>3223.16</v>
      </c>
      <c r="G29" s="25">
        <v>1.2</v>
      </c>
    </row>
    <row r="30" spans="2:7">
      <c r="B30" s="27" t="s">
        <v>71</v>
      </c>
      <c r="C30" s="23" t="s">
        <v>72</v>
      </c>
      <c r="D30" s="23" t="s">
        <v>43</v>
      </c>
      <c r="E30" s="28">
        <v>167500</v>
      </c>
      <c r="F30" s="25">
        <v>3175.38</v>
      </c>
      <c r="G30" s="25">
        <v>1.18</v>
      </c>
    </row>
    <row r="31" spans="2:7">
      <c r="B31" s="27" t="s">
        <v>193</v>
      </c>
      <c r="C31" s="23" t="s">
        <v>194</v>
      </c>
      <c r="D31" s="23" t="s">
        <v>152</v>
      </c>
      <c r="E31" s="28">
        <v>335000</v>
      </c>
      <c r="F31" s="25">
        <v>3175.13</v>
      </c>
      <c r="G31" s="25">
        <v>1.18</v>
      </c>
    </row>
    <row r="32" spans="2:7">
      <c r="B32" s="27" t="s">
        <v>224</v>
      </c>
      <c r="C32" s="23" t="s">
        <v>225</v>
      </c>
      <c r="D32" s="23" t="s">
        <v>152</v>
      </c>
      <c r="E32" s="28">
        <v>75000</v>
      </c>
      <c r="F32" s="25">
        <v>2920.43</v>
      </c>
      <c r="G32" s="25">
        <v>1.0900000000000001</v>
      </c>
    </row>
    <row r="33" spans="2:7">
      <c r="B33" s="27" t="s">
        <v>177</v>
      </c>
      <c r="C33" s="23" t="s">
        <v>178</v>
      </c>
      <c r="D33" s="23" t="s">
        <v>179</v>
      </c>
      <c r="E33" s="28">
        <v>85500</v>
      </c>
      <c r="F33" s="25">
        <v>2901.87</v>
      </c>
      <c r="G33" s="25">
        <v>1.08</v>
      </c>
    </row>
    <row r="34" spans="2:7">
      <c r="B34" s="27" t="s">
        <v>187</v>
      </c>
      <c r="C34" s="23" t="s">
        <v>188</v>
      </c>
      <c r="D34" s="23" t="s">
        <v>165</v>
      </c>
      <c r="E34" s="28">
        <v>150000</v>
      </c>
      <c r="F34" s="25">
        <v>2882.4</v>
      </c>
      <c r="G34" s="25">
        <v>1.08</v>
      </c>
    </row>
    <row r="35" spans="2:7">
      <c r="B35" s="27" t="s">
        <v>64</v>
      </c>
      <c r="C35" s="23" t="s">
        <v>65</v>
      </c>
      <c r="D35" s="23" t="s">
        <v>66</v>
      </c>
      <c r="E35" s="28">
        <v>196500</v>
      </c>
      <c r="F35" s="25">
        <v>2849.74</v>
      </c>
      <c r="G35" s="25">
        <v>1.06</v>
      </c>
    </row>
    <row r="36" spans="2:7">
      <c r="B36" s="27" t="s">
        <v>153</v>
      </c>
      <c r="C36" s="23" t="s">
        <v>154</v>
      </c>
      <c r="D36" s="23" t="s">
        <v>58</v>
      </c>
      <c r="E36" s="28">
        <v>135000</v>
      </c>
      <c r="F36" s="25">
        <v>2791.13</v>
      </c>
      <c r="G36" s="25">
        <v>1.04</v>
      </c>
    </row>
    <row r="37" spans="2:7">
      <c r="B37" s="27" t="s">
        <v>138</v>
      </c>
      <c r="C37" s="23" t="s">
        <v>139</v>
      </c>
      <c r="D37" s="23" t="s">
        <v>115</v>
      </c>
      <c r="E37" s="28">
        <v>96000</v>
      </c>
      <c r="F37" s="25">
        <v>2782.18</v>
      </c>
      <c r="G37" s="25">
        <v>1.04</v>
      </c>
    </row>
    <row r="38" spans="2:7">
      <c r="B38" s="27" t="s">
        <v>94</v>
      </c>
      <c r="C38" s="23" t="s">
        <v>95</v>
      </c>
      <c r="D38" s="23" t="s">
        <v>96</v>
      </c>
      <c r="E38" s="28">
        <v>593000</v>
      </c>
      <c r="F38" s="25">
        <v>2777.02</v>
      </c>
      <c r="G38" s="25">
        <v>1.04</v>
      </c>
    </row>
    <row r="39" spans="2:7">
      <c r="B39" s="27" t="s">
        <v>202</v>
      </c>
      <c r="C39" s="23" t="s">
        <v>203</v>
      </c>
      <c r="D39" s="23" t="s">
        <v>122</v>
      </c>
      <c r="E39" s="28">
        <v>236000</v>
      </c>
      <c r="F39" s="25">
        <v>2691.7</v>
      </c>
      <c r="G39" s="25">
        <v>1</v>
      </c>
    </row>
    <row r="40" spans="2:7">
      <c r="B40" s="27" t="s">
        <v>41</v>
      </c>
      <c r="C40" s="23" t="s">
        <v>42</v>
      </c>
      <c r="D40" s="23" t="s">
        <v>43</v>
      </c>
      <c r="E40" s="28">
        <v>117500</v>
      </c>
      <c r="F40" s="25">
        <v>2670.07</v>
      </c>
      <c r="G40" s="25">
        <v>1</v>
      </c>
    </row>
    <row r="41" spans="2:7">
      <c r="B41" s="27" t="s">
        <v>159</v>
      </c>
      <c r="C41" s="23" t="s">
        <v>160</v>
      </c>
      <c r="D41" s="23" t="s">
        <v>77</v>
      </c>
      <c r="E41" s="28">
        <v>485000</v>
      </c>
      <c r="F41" s="25">
        <v>2647.37</v>
      </c>
      <c r="G41" s="25">
        <v>0.99</v>
      </c>
    </row>
    <row r="42" spans="2:7">
      <c r="B42" s="27" t="s">
        <v>206</v>
      </c>
      <c r="C42" s="23" t="s">
        <v>207</v>
      </c>
      <c r="D42" s="23" t="s">
        <v>197</v>
      </c>
      <c r="E42" s="28">
        <v>2155000</v>
      </c>
      <c r="F42" s="25">
        <v>2645.26</v>
      </c>
      <c r="G42" s="25">
        <v>0.99</v>
      </c>
    </row>
    <row r="43" spans="2:7">
      <c r="B43" s="27" t="s">
        <v>73</v>
      </c>
      <c r="C43" s="23" t="s">
        <v>74</v>
      </c>
      <c r="D43" s="23" t="s">
        <v>63</v>
      </c>
      <c r="E43" s="28">
        <v>120000</v>
      </c>
      <c r="F43" s="25">
        <v>2639.76</v>
      </c>
      <c r="G43" s="25">
        <v>0.99</v>
      </c>
    </row>
    <row r="44" spans="2:7">
      <c r="B44" s="27" t="s">
        <v>75</v>
      </c>
      <c r="C44" s="23" t="s">
        <v>76</v>
      </c>
      <c r="D44" s="23" t="s">
        <v>77</v>
      </c>
      <c r="E44" s="28">
        <v>365000</v>
      </c>
      <c r="F44" s="25">
        <v>2638.22</v>
      </c>
      <c r="G44" s="25">
        <v>0.98</v>
      </c>
    </row>
    <row r="45" spans="2:7">
      <c r="B45" s="27" t="s">
        <v>226</v>
      </c>
      <c r="C45" s="23" t="s">
        <v>227</v>
      </c>
      <c r="D45" s="23" t="s">
        <v>80</v>
      </c>
      <c r="E45" s="28">
        <v>1193334</v>
      </c>
      <c r="F45" s="25">
        <v>2608.63</v>
      </c>
      <c r="G45" s="25">
        <v>0.97</v>
      </c>
    </row>
    <row r="46" spans="2:7">
      <c r="B46" s="27" t="s">
        <v>228</v>
      </c>
      <c r="C46" s="23" t="s">
        <v>229</v>
      </c>
      <c r="D46" s="23" t="s">
        <v>80</v>
      </c>
      <c r="E46" s="28">
        <v>37000</v>
      </c>
      <c r="F46" s="25">
        <v>2585.12</v>
      </c>
      <c r="G46" s="25">
        <v>0.96</v>
      </c>
    </row>
    <row r="47" spans="2:7">
      <c r="B47" s="27" t="s">
        <v>140</v>
      </c>
      <c r="C47" s="23" t="s">
        <v>141</v>
      </c>
      <c r="D47" s="23" t="s">
        <v>142</v>
      </c>
      <c r="E47" s="28">
        <v>235000</v>
      </c>
      <c r="F47" s="25">
        <v>2557.15</v>
      </c>
      <c r="G47" s="25">
        <v>0.95</v>
      </c>
    </row>
    <row r="48" spans="2:7">
      <c r="B48" s="27" t="s">
        <v>51</v>
      </c>
      <c r="C48" s="23" t="s">
        <v>52</v>
      </c>
      <c r="D48" s="23" t="s">
        <v>53</v>
      </c>
      <c r="E48" s="28">
        <v>171575</v>
      </c>
      <c r="F48" s="25">
        <v>2509.63</v>
      </c>
      <c r="G48" s="25">
        <v>0.94</v>
      </c>
    </row>
    <row r="49" spans="2:7">
      <c r="B49" s="27" t="s">
        <v>230</v>
      </c>
      <c r="C49" s="23" t="s">
        <v>231</v>
      </c>
      <c r="D49" s="23" t="s">
        <v>232</v>
      </c>
      <c r="E49" s="28">
        <v>185000</v>
      </c>
      <c r="F49" s="25">
        <v>2456.71</v>
      </c>
      <c r="G49" s="25">
        <v>0.92</v>
      </c>
    </row>
    <row r="50" spans="2:7">
      <c r="B50" s="27" t="s">
        <v>233</v>
      </c>
      <c r="C50" s="23" t="s">
        <v>234</v>
      </c>
      <c r="D50" s="23" t="s">
        <v>165</v>
      </c>
      <c r="E50" s="28">
        <v>514272</v>
      </c>
      <c r="F50" s="25">
        <v>2434.8200000000002</v>
      </c>
      <c r="G50" s="25">
        <v>0.91</v>
      </c>
    </row>
    <row r="51" spans="2:7">
      <c r="B51" s="27" t="s">
        <v>61</v>
      </c>
      <c r="C51" s="23" t="s">
        <v>62</v>
      </c>
      <c r="D51" s="23" t="s">
        <v>63</v>
      </c>
      <c r="E51" s="28">
        <v>31000</v>
      </c>
      <c r="F51" s="25">
        <v>2428.06</v>
      </c>
      <c r="G51" s="25">
        <v>0.91</v>
      </c>
    </row>
    <row r="52" spans="2:7">
      <c r="B52" s="27" t="s">
        <v>166</v>
      </c>
      <c r="C52" s="23" t="s">
        <v>167</v>
      </c>
      <c r="D52" s="23" t="s">
        <v>165</v>
      </c>
      <c r="E52" s="28">
        <v>125000</v>
      </c>
      <c r="F52" s="25">
        <v>2214.75</v>
      </c>
      <c r="G52" s="25">
        <v>0.83</v>
      </c>
    </row>
    <row r="53" spans="2:7">
      <c r="B53" s="27" t="s">
        <v>163</v>
      </c>
      <c r="C53" s="23" t="s">
        <v>164</v>
      </c>
      <c r="D53" s="23" t="s">
        <v>165</v>
      </c>
      <c r="E53" s="28">
        <v>220000</v>
      </c>
      <c r="F53" s="25">
        <v>2190.87</v>
      </c>
      <c r="G53" s="25">
        <v>0.82</v>
      </c>
    </row>
    <row r="54" spans="2:7">
      <c r="B54" s="27" t="s">
        <v>90</v>
      </c>
      <c r="C54" s="23" t="s">
        <v>91</v>
      </c>
      <c r="D54" s="23" t="s">
        <v>63</v>
      </c>
      <c r="E54" s="28">
        <v>63000</v>
      </c>
      <c r="F54" s="25">
        <v>2060.98</v>
      </c>
      <c r="G54" s="25">
        <v>0.77</v>
      </c>
    </row>
    <row r="55" spans="2:7">
      <c r="B55" s="27" t="s">
        <v>235</v>
      </c>
      <c r="C55" s="23" t="s">
        <v>236</v>
      </c>
      <c r="D55" s="23" t="s">
        <v>137</v>
      </c>
      <c r="E55" s="28">
        <v>1500000</v>
      </c>
      <c r="F55" s="25">
        <v>2018.25</v>
      </c>
      <c r="G55" s="25">
        <v>0.75</v>
      </c>
    </row>
    <row r="56" spans="2:7">
      <c r="B56" s="27" t="s">
        <v>237</v>
      </c>
      <c r="C56" s="23" t="s">
        <v>238</v>
      </c>
      <c r="D56" s="23" t="s">
        <v>152</v>
      </c>
      <c r="E56" s="28">
        <v>42000</v>
      </c>
      <c r="F56" s="25">
        <v>1975.7</v>
      </c>
      <c r="G56" s="25">
        <v>0.74</v>
      </c>
    </row>
    <row r="57" spans="2:7">
      <c r="B57" s="27" t="s">
        <v>195</v>
      </c>
      <c r="C57" s="23" t="s">
        <v>196</v>
      </c>
      <c r="D57" s="23" t="s">
        <v>197</v>
      </c>
      <c r="E57" s="28">
        <v>375000</v>
      </c>
      <c r="F57" s="25">
        <v>1969.31</v>
      </c>
      <c r="G57" s="25">
        <v>0.73</v>
      </c>
    </row>
    <row r="58" spans="2:7">
      <c r="B58" s="27" t="s">
        <v>191</v>
      </c>
      <c r="C58" s="23" t="s">
        <v>192</v>
      </c>
      <c r="D58" s="23" t="s">
        <v>184</v>
      </c>
      <c r="E58" s="28">
        <v>47849</v>
      </c>
      <c r="F58" s="25">
        <v>1927.17</v>
      </c>
      <c r="G58" s="25">
        <v>0.72</v>
      </c>
    </row>
    <row r="59" spans="2:7">
      <c r="B59" s="27" t="s">
        <v>239</v>
      </c>
      <c r="C59" s="23" t="s">
        <v>240</v>
      </c>
      <c r="D59" s="23" t="s">
        <v>129</v>
      </c>
      <c r="E59" s="28">
        <v>165000</v>
      </c>
      <c r="F59" s="25">
        <v>1813.85</v>
      </c>
      <c r="G59" s="25">
        <v>0.68</v>
      </c>
    </row>
    <row r="60" spans="2:7">
      <c r="B60" s="27" t="s">
        <v>241</v>
      </c>
      <c r="C60" s="23" t="s">
        <v>242</v>
      </c>
      <c r="D60" s="23" t="s">
        <v>142</v>
      </c>
      <c r="E60" s="28">
        <v>150000</v>
      </c>
      <c r="F60" s="25">
        <v>1788.08</v>
      </c>
      <c r="G60" s="25">
        <v>0.67</v>
      </c>
    </row>
    <row r="61" spans="2:7">
      <c r="B61" s="27" t="s">
        <v>204</v>
      </c>
      <c r="C61" s="23" t="s">
        <v>205</v>
      </c>
      <c r="D61" s="23" t="s">
        <v>80</v>
      </c>
      <c r="E61" s="28">
        <v>76500</v>
      </c>
      <c r="F61" s="25">
        <v>1755.6</v>
      </c>
      <c r="G61" s="25">
        <v>0.66</v>
      </c>
    </row>
    <row r="62" spans="2:7">
      <c r="B62" s="27" t="s">
        <v>243</v>
      </c>
      <c r="C62" s="23" t="s">
        <v>244</v>
      </c>
      <c r="D62" s="23" t="s">
        <v>165</v>
      </c>
      <c r="E62" s="28">
        <v>39820</v>
      </c>
      <c r="F62" s="25">
        <v>1656.67</v>
      </c>
      <c r="G62" s="25">
        <v>0.62</v>
      </c>
    </row>
    <row r="63" spans="2:7">
      <c r="B63" s="27" t="s">
        <v>200</v>
      </c>
      <c r="C63" s="23" t="s">
        <v>201</v>
      </c>
      <c r="D63" s="23" t="s">
        <v>152</v>
      </c>
      <c r="E63" s="28">
        <v>7000</v>
      </c>
      <c r="F63" s="25">
        <v>1349.05</v>
      </c>
      <c r="G63" s="25">
        <v>0.5</v>
      </c>
    </row>
    <row r="64" spans="2:7">
      <c r="B64" s="27" t="s">
        <v>245</v>
      </c>
      <c r="C64" s="23" t="s">
        <v>246</v>
      </c>
      <c r="D64" s="23" t="s">
        <v>137</v>
      </c>
      <c r="E64" s="28">
        <v>21500</v>
      </c>
      <c r="F64" s="25">
        <v>1329.21</v>
      </c>
      <c r="G64" s="25">
        <v>0.5</v>
      </c>
    </row>
    <row r="65" spans="2:9">
      <c r="B65" s="27" t="s">
        <v>212</v>
      </c>
      <c r="C65" s="23" t="s">
        <v>213</v>
      </c>
      <c r="D65" s="23" t="s">
        <v>197</v>
      </c>
      <c r="E65" s="28">
        <v>455000</v>
      </c>
      <c r="F65" s="25">
        <v>1307.22</v>
      </c>
      <c r="G65" s="25">
        <v>0.49</v>
      </c>
    </row>
    <row r="66" spans="2:9">
      <c r="B66" s="29" t="s">
        <v>106</v>
      </c>
      <c r="C66" s="30"/>
      <c r="D66" s="30"/>
      <c r="E66" s="31"/>
      <c r="F66" s="32">
        <f>SUM(F7:F65)</f>
        <v>259294.53000000006</v>
      </c>
      <c r="G66" s="32">
        <f>SUM(G7:G65)</f>
        <v>96.76</v>
      </c>
      <c r="H66" s="14"/>
      <c r="I66" s="14"/>
    </row>
    <row r="67" spans="2:9">
      <c r="B67" s="37" t="s">
        <v>107</v>
      </c>
      <c r="C67" s="37"/>
      <c r="D67" s="37"/>
      <c r="E67" s="38"/>
      <c r="F67" s="39">
        <f>F66</f>
        <v>259294.53000000006</v>
      </c>
      <c r="G67" s="39">
        <f>G66</f>
        <v>96.76</v>
      </c>
      <c r="H67" s="14"/>
      <c r="I67" s="14"/>
    </row>
    <row r="68" spans="2:9">
      <c r="B68" s="40" t="s">
        <v>108</v>
      </c>
      <c r="C68" s="41"/>
      <c r="D68" s="41"/>
      <c r="E68" s="42"/>
      <c r="F68" s="43"/>
      <c r="G68" s="43"/>
    </row>
    <row r="69" spans="2:9">
      <c r="B69" s="27" t="s">
        <v>108</v>
      </c>
      <c r="C69" s="23"/>
      <c r="D69" s="23"/>
      <c r="E69" s="24"/>
      <c r="F69" s="25">
        <v>10410.68</v>
      </c>
      <c r="G69" s="25">
        <v>3.88</v>
      </c>
    </row>
    <row r="70" spans="2:9">
      <c r="B70" s="29" t="s">
        <v>106</v>
      </c>
      <c r="C70" s="30"/>
      <c r="D70" s="30"/>
      <c r="E70" s="31"/>
      <c r="F70" s="32">
        <f>SUM(F68:F69)</f>
        <v>10410.68</v>
      </c>
      <c r="G70" s="32">
        <f>SUM(G68:G69)</f>
        <v>3.88</v>
      </c>
      <c r="H70" s="14"/>
      <c r="I70" s="14"/>
    </row>
    <row r="71" spans="2:9">
      <c r="B71" s="34" t="s">
        <v>107</v>
      </c>
      <c r="C71" s="34"/>
      <c r="D71" s="34"/>
      <c r="E71" s="35"/>
      <c r="F71" s="36">
        <f>F70</f>
        <v>10410.68</v>
      </c>
      <c r="G71" s="36">
        <f>G70</f>
        <v>3.88</v>
      </c>
      <c r="H71" s="14"/>
      <c r="I71" s="14"/>
    </row>
    <row r="72" spans="2:9">
      <c r="B72" s="44" t="s">
        <v>110</v>
      </c>
      <c r="C72" s="44"/>
      <c r="D72" s="44"/>
      <c r="E72" s="45"/>
      <c r="F72" s="16">
        <f>F73-(+F67+F71)</f>
        <v>-1739.5100000000675</v>
      </c>
      <c r="G72" s="16">
        <f>G73-(+G67+G71)</f>
        <v>-0.64000000000000057</v>
      </c>
      <c r="H72" s="14"/>
      <c r="I72" s="14"/>
    </row>
    <row r="73" spans="2:9">
      <c r="B73" s="44" t="s">
        <v>109</v>
      </c>
      <c r="C73" s="44"/>
      <c r="D73" s="44"/>
      <c r="E73" s="45"/>
      <c r="F73" s="16">
        <v>267965.7</v>
      </c>
      <c r="G73" s="16">
        <v>100</v>
      </c>
      <c r="H73" s="14"/>
      <c r="I73" s="14"/>
    </row>
    <row r="75" spans="2:9">
      <c r="B75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5"/>
  <sheetViews>
    <sheetView workbookViewId="0">
      <selection activeCell="B18" sqref="B18"/>
    </sheetView>
  </sheetViews>
  <sheetFormatPr defaultRowHeight="12"/>
  <cols>
    <col min="1" max="1" width="9.140625" style="1"/>
    <col min="2" max="2" width="57.4257812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11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111</v>
      </c>
      <c r="C7" s="23" t="s">
        <v>112</v>
      </c>
      <c r="D7" s="23" t="s">
        <v>40</v>
      </c>
      <c r="E7" s="28">
        <v>3816000</v>
      </c>
      <c r="F7" s="25">
        <v>60346.22</v>
      </c>
      <c r="G7" s="25">
        <v>5.49</v>
      </c>
    </row>
    <row r="8" spans="2:7">
      <c r="B8" s="27" t="s">
        <v>38</v>
      </c>
      <c r="C8" s="23" t="s">
        <v>39</v>
      </c>
      <c r="D8" s="23" t="s">
        <v>40</v>
      </c>
      <c r="E8" s="28">
        <v>7598000</v>
      </c>
      <c r="F8" s="25">
        <v>54633.42</v>
      </c>
      <c r="G8" s="25">
        <v>4.97</v>
      </c>
    </row>
    <row r="9" spans="2:7">
      <c r="B9" s="27" t="s">
        <v>113</v>
      </c>
      <c r="C9" s="23" t="s">
        <v>114</v>
      </c>
      <c r="D9" s="23" t="s">
        <v>115</v>
      </c>
      <c r="E9" s="28">
        <v>2760000</v>
      </c>
      <c r="F9" s="25">
        <v>47098.02</v>
      </c>
      <c r="G9" s="25">
        <v>4.29</v>
      </c>
    </row>
    <row r="10" spans="2:7">
      <c r="B10" s="27" t="s">
        <v>120</v>
      </c>
      <c r="C10" s="23" t="s">
        <v>121</v>
      </c>
      <c r="D10" s="23" t="s">
        <v>122</v>
      </c>
      <c r="E10" s="28">
        <v>548000</v>
      </c>
      <c r="F10" s="25">
        <v>41234.26</v>
      </c>
      <c r="G10" s="25">
        <v>3.75</v>
      </c>
    </row>
    <row r="11" spans="2:7">
      <c r="B11" s="27" t="s">
        <v>125</v>
      </c>
      <c r="C11" s="23" t="s">
        <v>126</v>
      </c>
      <c r="D11" s="23" t="s">
        <v>40</v>
      </c>
      <c r="E11" s="28">
        <v>4863090</v>
      </c>
      <c r="F11" s="25">
        <v>38248.199999999997</v>
      </c>
      <c r="G11" s="25">
        <v>3.48</v>
      </c>
    </row>
    <row r="12" spans="2:7">
      <c r="B12" s="27" t="s">
        <v>118</v>
      </c>
      <c r="C12" s="23" t="s">
        <v>119</v>
      </c>
      <c r="D12" s="23" t="s">
        <v>89</v>
      </c>
      <c r="E12" s="28">
        <v>1483000</v>
      </c>
      <c r="F12" s="25">
        <v>33488.36</v>
      </c>
      <c r="G12" s="25">
        <v>3.05</v>
      </c>
    </row>
    <row r="13" spans="2:7">
      <c r="B13" s="27" t="s">
        <v>54</v>
      </c>
      <c r="C13" s="23" t="s">
        <v>55</v>
      </c>
      <c r="D13" s="23" t="s">
        <v>40</v>
      </c>
      <c r="E13" s="28">
        <v>6950000</v>
      </c>
      <c r="F13" s="25">
        <v>29610.48</v>
      </c>
      <c r="G13" s="25">
        <v>2.7</v>
      </c>
    </row>
    <row r="14" spans="2:7">
      <c r="B14" s="27" t="s">
        <v>130</v>
      </c>
      <c r="C14" s="23" t="s">
        <v>131</v>
      </c>
      <c r="D14" s="23" t="s">
        <v>132</v>
      </c>
      <c r="E14" s="28">
        <v>7177801</v>
      </c>
      <c r="F14" s="25">
        <v>27670.42</v>
      </c>
      <c r="G14" s="25">
        <v>2.52</v>
      </c>
    </row>
    <row r="15" spans="2:7">
      <c r="B15" s="27" t="s">
        <v>168</v>
      </c>
      <c r="C15" s="23" t="s">
        <v>169</v>
      </c>
      <c r="D15" s="23" t="s">
        <v>80</v>
      </c>
      <c r="E15" s="28">
        <v>3659476</v>
      </c>
      <c r="F15" s="25">
        <v>26092.06</v>
      </c>
      <c r="G15" s="25">
        <v>2.38</v>
      </c>
    </row>
    <row r="16" spans="2:7">
      <c r="B16" s="27" t="s">
        <v>135</v>
      </c>
      <c r="C16" s="23" t="s">
        <v>136</v>
      </c>
      <c r="D16" s="23" t="s">
        <v>137</v>
      </c>
      <c r="E16" s="28">
        <v>593005</v>
      </c>
      <c r="F16" s="25">
        <v>23452.16</v>
      </c>
      <c r="G16" s="25">
        <v>2.13</v>
      </c>
    </row>
    <row r="17" spans="2:7">
      <c r="B17" s="27" t="s">
        <v>116</v>
      </c>
      <c r="C17" s="23" t="s">
        <v>117</v>
      </c>
      <c r="D17" s="23" t="s">
        <v>115</v>
      </c>
      <c r="E17" s="28">
        <v>585264</v>
      </c>
      <c r="F17" s="25">
        <v>22160.73</v>
      </c>
      <c r="G17" s="25">
        <v>2.02</v>
      </c>
    </row>
    <row r="18" spans="2:7">
      <c r="B18" s="27" t="s">
        <v>224</v>
      </c>
      <c r="C18" s="23" t="s">
        <v>225</v>
      </c>
      <c r="D18" s="23" t="s">
        <v>152</v>
      </c>
      <c r="E18" s="28">
        <v>550709</v>
      </c>
      <c r="F18" s="25">
        <v>21444.06</v>
      </c>
      <c r="G18" s="25">
        <v>1.95</v>
      </c>
    </row>
    <row r="19" spans="2:7">
      <c r="B19" s="27" t="s">
        <v>64</v>
      </c>
      <c r="C19" s="23" t="s">
        <v>65</v>
      </c>
      <c r="D19" s="23" t="s">
        <v>66</v>
      </c>
      <c r="E19" s="28">
        <v>1450000</v>
      </c>
      <c r="F19" s="25">
        <v>21028.63</v>
      </c>
      <c r="G19" s="25">
        <v>1.91</v>
      </c>
    </row>
    <row r="20" spans="2:7">
      <c r="B20" s="27" t="s">
        <v>140</v>
      </c>
      <c r="C20" s="23" t="s">
        <v>141</v>
      </c>
      <c r="D20" s="23" t="s">
        <v>142</v>
      </c>
      <c r="E20" s="28">
        <v>1927802</v>
      </c>
      <c r="F20" s="25">
        <v>20977.38</v>
      </c>
      <c r="G20" s="25">
        <v>1.91</v>
      </c>
    </row>
    <row r="21" spans="2:7">
      <c r="B21" s="27" t="s">
        <v>182</v>
      </c>
      <c r="C21" s="23" t="s">
        <v>183</v>
      </c>
      <c r="D21" s="23" t="s">
        <v>184</v>
      </c>
      <c r="E21" s="28">
        <v>228427</v>
      </c>
      <c r="F21" s="25">
        <v>20851.16</v>
      </c>
      <c r="G21" s="25">
        <v>1.9</v>
      </c>
    </row>
    <row r="22" spans="2:7">
      <c r="B22" s="27" t="s">
        <v>180</v>
      </c>
      <c r="C22" s="23" t="s">
        <v>181</v>
      </c>
      <c r="D22" s="23" t="s">
        <v>122</v>
      </c>
      <c r="E22" s="28">
        <v>3699707</v>
      </c>
      <c r="F22" s="25">
        <v>20498.23</v>
      </c>
      <c r="G22" s="25">
        <v>1.87</v>
      </c>
    </row>
    <row r="23" spans="2:7">
      <c r="B23" s="27" t="s">
        <v>75</v>
      </c>
      <c r="C23" s="23" t="s">
        <v>76</v>
      </c>
      <c r="D23" s="23" t="s">
        <v>77</v>
      </c>
      <c r="E23" s="28">
        <v>2834300</v>
      </c>
      <c r="F23" s="25">
        <v>20486.32</v>
      </c>
      <c r="G23" s="25">
        <v>1.86</v>
      </c>
    </row>
    <row r="24" spans="2:7">
      <c r="B24" s="27" t="s">
        <v>163</v>
      </c>
      <c r="C24" s="23" t="s">
        <v>164</v>
      </c>
      <c r="D24" s="23" t="s">
        <v>165</v>
      </c>
      <c r="E24" s="28">
        <v>2021175</v>
      </c>
      <c r="F24" s="25">
        <v>20127.87</v>
      </c>
      <c r="G24" s="25">
        <v>1.83</v>
      </c>
    </row>
    <row r="25" spans="2:7">
      <c r="B25" s="27" t="s">
        <v>153</v>
      </c>
      <c r="C25" s="23" t="s">
        <v>154</v>
      </c>
      <c r="D25" s="23" t="s">
        <v>58</v>
      </c>
      <c r="E25" s="28">
        <v>965180</v>
      </c>
      <c r="F25" s="25">
        <v>19955.099999999999</v>
      </c>
      <c r="G25" s="25">
        <v>1.82</v>
      </c>
    </row>
    <row r="26" spans="2:7">
      <c r="B26" s="27" t="s">
        <v>138</v>
      </c>
      <c r="C26" s="23" t="s">
        <v>139</v>
      </c>
      <c r="D26" s="23" t="s">
        <v>115</v>
      </c>
      <c r="E26" s="28">
        <v>677587</v>
      </c>
      <c r="F26" s="25">
        <v>19637.150000000001</v>
      </c>
      <c r="G26" s="25">
        <v>1.79</v>
      </c>
    </row>
    <row r="27" spans="2:7">
      <c r="B27" s="27" t="s">
        <v>155</v>
      </c>
      <c r="C27" s="23" t="s">
        <v>156</v>
      </c>
      <c r="D27" s="23" t="s">
        <v>152</v>
      </c>
      <c r="E27" s="28">
        <v>2300000</v>
      </c>
      <c r="F27" s="25">
        <v>18263.150000000001</v>
      </c>
      <c r="G27" s="25">
        <v>1.66</v>
      </c>
    </row>
    <row r="28" spans="2:7">
      <c r="B28" s="27" t="s">
        <v>191</v>
      </c>
      <c r="C28" s="23" t="s">
        <v>192</v>
      </c>
      <c r="D28" s="23" t="s">
        <v>184</v>
      </c>
      <c r="E28" s="28">
        <v>427964</v>
      </c>
      <c r="F28" s="25">
        <v>17236.68</v>
      </c>
      <c r="G28" s="25">
        <v>1.57</v>
      </c>
    </row>
    <row r="29" spans="2:7">
      <c r="B29" s="27" t="s">
        <v>247</v>
      </c>
      <c r="C29" s="23" t="s">
        <v>248</v>
      </c>
      <c r="D29" s="23" t="s">
        <v>145</v>
      </c>
      <c r="E29" s="28">
        <v>1200000</v>
      </c>
      <c r="F29" s="25">
        <v>17029.8</v>
      </c>
      <c r="G29" s="25">
        <v>1.55</v>
      </c>
    </row>
    <row r="30" spans="2:7">
      <c r="B30" s="27" t="s">
        <v>249</v>
      </c>
      <c r="C30" s="23" t="s">
        <v>250</v>
      </c>
      <c r="D30" s="23" t="s">
        <v>53</v>
      </c>
      <c r="E30" s="28">
        <v>618028</v>
      </c>
      <c r="F30" s="25">
        <v>17008.13</v>
      </c>
      <c r="G30" s="25">
        <v>1.55</v>
      </c>
    </row>
    <row r="31" spans="2:7">
      <c r="B31" s="27" t="s">
        <v>159</v>
      </c>
      <c r="C31" s="23" t="s">
        <v>160</v>
      </c>
      <c r="D31" s="23" t="s">
        <v>77</v>
      </c>
      <c r="E31" s="28">
        <v>3020534</v>
      </c>
      <c r="F31" s="25">
        <v>16487.580000000002</v>
      </c>
      <c r="G31" s="25">
        <v>1.5</v>
      </c>
    </row>
    <row r="32" spans="2:7">
      <c r="B32" s="27" t="s">
        <v>32</v>
      </c>
      <c r="C32" s="23" t="s">
        <v>33</v>
      </c>
      <c r="D32" s="23" t="s">
        <v>34</v>
      </c>
      <c r="E32" s="28">
        <v>975000</v>
      </c>
      <c r="F32" s="25">
        <v>16303.95</v>
      </c>
      <c r="G32" s="25">
        <v>1.48</v>
      </c>
    </row>
    <row r="33" spans="2:7">
      <c r="B33" s="27" t="s">
        <v>146</v>
      </c>
      <c r="C33" s="23" t="s">
        <v>147</v>
      </c>
      <c r="D33" s="23" t="s">
        <v>80</v>
      </c>
      <c r="E33" s="28">
        <v>3199998</v>
      </c>
      <c r="F33" s="25">
        <v>16003.19</v>
      </c>
      <c r="G33" s="25">
        <v>1.46</v>
      </c>
    </row>
    <row r="34" spans="2:7">
      <c r="B34" s="27" t="s">
        <v>210</v>
      </c>
      <c r="C34" s="23" t="s">
        <v>211</v>
      </c>
      <c r="D34" s="23" t="s">
        <v>152</v>
      </c>
      <c r="E34" s="28">
        <v>611438</v>
      </c>
      <c r="F34" s="25">
        <v>15746.36</v>
      </c>
      <c r="G34" s="25">
        <v>1.43</v>
      </c>
    </row>
    <row r="35" spans="2:7">
      <c r="B35" s="27" t="s">
        <v>143</v>
      </c>
      <c r="C35" s="23" t="s">
        <v>144</v>
      </c>
      <c r="D35" s="23" t="s">
        <v>145</v>
      </c>
      <c r="E35" s="28">
        <v>2300000</v>
      </c>
      <c r="F35" s="25">
        <v>15273.15</v>
      </c>
      <c r="G35" s="25">
        <v>1.39</v>
      </c>
    </row>
    <row r="36" spans="2:7">
      <c r="B36" s="27" t="s">
        <v>251</v>
      </c>
      <c r="C36" s="23" t="s">
        <v>252</v>
      </c>
      <c r="D36" s="23" t="s">
        <v>137</v>
      </c>
      <c r="E36" s="28">
        <v>6923869</v>
      </c>
      <c r="F36" s="25">
        <v>14408.57</v>
      </c>
      <c r="G36" s="25">
        <v>1.31</v>
      </c>
    </row>
    <row r="37" spans="2:7">
      <c r="B37" s="27" t="s">
        <v>198</v>
      </c>
      <c r="C37" s="23" t="s">
        <v>199</v>
      </c>
      <c r="D37" s="23" t="s">
        <v>184</v>
      </c>
      <c r="E37" s="28">
        <v>797176</v>
      </c>
      <c r="F37" s="25">
        <v>14345.58</v>
      </c>
      <c r="G37" s="25">
        <v>1.31</v>
      </c>
    </row>
    <row r="38" spans="2:7">
      <c r="B38" s="27" t="s">
        <v>61</v>
      </c>
      <c r="C38" s="23" t="s">
        <v>62</v>
      </c>
      <c r="D38" s="23" t="s">
        <v>63</v>
      </c>
      <c r="E38" s="28">
        <v>180000</v>
      </c>
      <c r="F38" s="25">
        <v>14098.41</v>
      </c>
      <c r="G38" s="25">
        <v>1.28</v>
      </c>
    </row>
    <row r="39" spans="2:7">
      <c r="B39" s="27" t="s">
        <v>161</v>
      </c>
      <c r="C39" s="23" t="s">
        <v>162</v>
      </c>
      <c r="D39" s="23" t="s">
        <v>129</v>
      </c>
      <c r="E39" s="28">
        <v>1605000</v>
      </c>
      <c r="F39" s="25">
        <v>13882.45</v>
      </c>
      <c r="G39" s="25">
        <v>1.26</v>
      </c>
    </row>
    <row r="40" spans="2:7">
      <c r="B40" s="27" t="s">
        <v>150</v>
      </c>
      <c r="C40" s="23" t="s">
        <v>151</v>
      </c>
      <c r="D40" s="23" t="s">
        <v>152</v>
      </c>
      <c r="E40" s="28">
        <v>265378</v>
      </c>
      <c r="F40" s="25">
        <v>13729.6</v>
      </c>
      <c r="G40" s="25">
        <v>1.25</v>
      </c>
    </row>
    <row r="41" spans="2:7">
      <c r="B41" s="27" t="s">
        <v>214</v>
      </c>
      <c r="C41" s="23" t="s">
        <v>215</v>
      </c>
      <c r="D41" s="23" t="s">
        <v>129</v>
      </c>
      <c r="E41" s="28">
        <v>343012</v>
      </c>
      <c r="F41" s="25">
        <v>13711.9</v>
      </c>
      <c r="G41" s="25">
        <v>1.25</v>
      </c>
    </row>
    <row r="42" spans="2:7">
      <c r="B42" s="27" t="s">
        <v>44</v>
      </c>
      <c r="C42" s="23" t="s">
        <v>45</v>
      </c>
      <c r="D42" s="23" t="s">
        <v>46</v>
      </c>
      <c r="E42" s="28">
        <v>7300000</v>
      </c>
      <c r="F42" s="25">
        <v>13625.45</v>
      </c>
      <c r="G42" s="25">
        <v>1.24</v>
      </c>
    </row>
    <row r="43" spans="2:7">
      <c r="B43" s="27" t="s">
        <v>200</v>
      </c>
      <c r="C43" s="23" t="s">
        <v>201</v>
      </c>
      <c r="D43" s="23" t="s">
        <v>152</v>
      </c>
      <c r="E43" s="28">
        <v>68776</v>
      </c>
      <c r="F43" s="25">
        <v>13254.58</v>
      </c>
      <c r="G43" s="25">
        <v>1.21</v>
      </c>
    </row>
    <row r="44" spans="2:7">
      <c r="B44" s="27" t="s">
        <v>253</v>
      </c>
      <c r="C44" s="23" t="s">
        <v>254</v>
      </c>
      <c r="D44" s="23" t="s">
        <v>122</v>
      </c>
      <c r="E44" s="28">
        <v>3250000</v>
      </c>
      <c r="F44" s="25">
        <v>13073.13</v>
      </c>
      <c r="G44" s="25">
        <v>1.19</v>
      </c>
    </row>
    <row r="45" spans="2:7">
      <c r="B45" s="27" t="s">
        <v>204</v>
      </c>
      <c r="C45" s="23" t="s">
        <v>205</v>
      </c>
      <c r="D45" s="23" t="s">
        <v>80</v>
      </c>
      <c r="E45" s="28">
        <v>561072</v>
      </c>
      <c r="F45" s="25">
        <v>12876.04</v>
      </c>
      <c r="G45" s="25">
        <v>1.17</v>
      </c>
    </row>
    <row r="46" spans="2:7">
      <c r="B46" s="27" t="s">
        <v>255</v>
      </c>
      <c r="C46" s="23" t="s">
        <v>256</v>
      </c>
      <c r="D46" s="23" t="s">
        <v>63</v>
      </c>
      <c r="E46" s="28">
        <v>1224043</v>
      </c>
      <c r="F46" s="25">
        <v>12348.15</v>
      </c>
      <c r="G46" s="25">
        <v>1.1200000000000001</v>
      </c>
    </row>
    <row r="47" spans="2:7">
      <c r="B47" s="27" t="s">
        <v>257</v>
      </c>
      <c r="C47" s="23" t="s">
        <v>258</v>
      </c>
      <c r="D47" s="23" t="s">
        <v>129</v>
      </c>
      <c r="E47" s="28">
        <v>1908216</v>
      </c>
      <c r="F47" s="25">
        <v>11822.35</v>
      </c>
      <c r="G47" s="25">
        <v>1.08</v>
      </c>
    </row>
    <row r="48" spans="2:7">
      <c r="B48" s="27" t="s">
        <v>235</v>
      </c>
      <c r="C48" s="23" t="s">
        <v>236</v>
      </c>
      <c r="D48" s="23" t="s">
        <v>137</v>
      </c>
      <c r="E48" s="28">
        <v>8785000</v>
      </c>
      <c r="F48" s="25">
        <v>11820.22</v>
      </c>
      <c r="G48" s="25">
        <v>1.08</v>
      </c>
    </row>
    <row r="49" spans="2:7">
      <c r="B49" s="27" t="s">
        <v>202</v>
      </c>
      <c r="C49" s="23" t="s">
        <v>203</v>
      </c>
      <c r="D49" s="23" t="s">
        <v>122</v>
      </c>
      <c r="E49" s="28">
        <v>998508</v>
      </c>
      <c r="F49" s="25">
        <v>11388.48</v>
      </c>
      <c r="G49" s="25">
        <v>1.04</v>
      </c>
    </row>
    <row r="50" spans="2:7">
      <c r="B50" s="27" t="s">
        <v>216</v>
      </c>
      <c r="C50" s="23" t="s">
        <v>217</v>
      </c>
      <c r="D50" s="23" t="s">
        <v>165</v>
      </c>
      <c r="E50" s="28">
        <v>532336</v>
      </c>
      <c r="F50" s="25">
        <v>11339.82</v>
      </c>
      <c r="G50" s="25">
        <v>1.03</v>
      </c>
    </row>
    <row r="51" spans="2:7">
      <c r="B51" s="27" t="s">
        <v>177</v>
      </c>
      <c r="C51" s="23" t="s">
        <v>178</v>
      </c>
      <c r="D51" s="23" t="s">
        <v>179</v>
      </c>
      <c r="E51" s="28">
        <v>331287</v>
      </c>
      <c r="F51" s="25">
        <v>11243.88</v>
      </c>
      <c r="G51" s="25">
        <v>1.02</v>
      </c>
    </row>
    <row r="52" spans="2:7">
      <c r="B52" s="27" t="s">
        <v>172</v>
      </c>
      <c r="C52" s="23" t="s">
        <v>173</v>
      </c>
      <c r="D52" s="23" t="s">
        <v>174</v>
      </c>
      <c r="E52" s="28">
        <v>277253</v>
      </c>
      <c r="F52" s="25">
        <v>11076.26</v>
      </c>
      <c r="G52" s="25">
        <v>1.01</v>
      </c>
    </row>
    <row r="53" spans="2:7">
      <c r="B53" s="27" t="s">
        <v>127</v>
      </c>
      <c r="C53" s="23" t="s">
        <v>128</v>
      </c>
      <c r="D53" s="23" t="s">
        <v>129</v>
      </c>
      <c r="E53" s="28">
        <v>400000</v>
      </c>
      <c r="F53" s="25">
        <v>10896.4</v>
      </c>
      <c r="G53" s="25">
        <v>0.99</v>
      </c>
    </row>
    <row r="54" spans="2:7">
      <c r="B54" s="27" t="s">
        <v>259</v>
      </c>
      <c r="C54" s="23" t="s">
        <v>260</v>
      </c>
      <c r="D54" s="23" t="s">
        <v>261</v>
      </c>
      <c r="E54" s="28">
        <v>1396805</v>
      </c>
      <c r="F54" s="25">
        <v>10860.16</v>
      </c>
      <c r="G54" s="25">
        <v>0.99</v>
      </c>
    </row>
    <row r="55" spans="2:7">
      <c r="B55" s="27" t="s">
        <v>195</v>
      </c>
      <c r="C55" s="23" t="s">
        <v>196</v>
      </c>
      <c r="D55" s="23" t="s">
        <v>197</v>
      </c>
      <c r="E55" s="28">
        <v>2050000</v>
      </c>
      <c r="F55" s="25">
        <v>10765.58</v>
      </c>
      <c r="G55" s="25">
        <v>0.98</v>
      </c>
    </row>
    <row r="56" spans="2:7">
      <c r="B56" s="27" t="s">
        <v>212</v>
      </c>
      <c r="C56" s="23" t="s">
        <v>213</v>
      </c>
      <c r="D56" s="23" t="s">
        <v>197</v>
      </c>
      <c r="E56" s="28">
        <v>3700000</v>
      </c>
      <c r="F56" s="25">
        <v>10630.1</v>
      </c>
      <c r="G56" s="25">
        <v>0.97</v>
      </c>
    </row>
    <row r="57" spans="2:7">
      <c r="B57" s="27" t="s">
        <v>175</v>
      </c>
      <c r="C57" s="23" t="s">
        <v>176</v>
      </c>
      <c r="D57" s="23" t="s">
        <v>58</v>
      </c>
      <c r="E57" s="28">
        <v>1306703</v>
      </c>
      <c r="F57" s="25">
        <v>10025.030000000001</v>
      </c>
      <c r="G57" s="25">
        <v>0.91</v>
      </c>
    </row>
    <row r="58" spans="2:7">
      <c r="B58" s="27" t="s">
        <v>262</v>
      </c>
      <c r="C58" s="23" t="s">
        <v>263</v>
      </c>
      <c r="D58" s="23" t="s">
        <v>122</v>
      </c>
      <c r="E58" s="28">
        <v>650000</v>
      </c>
      <c r="F58" s="25">
        <v>9841</v>
      </c>
      <c r="G58" s="25">
        <v>0.9</v>
      </c>
    </row>
    <row r="59" spans="2:7">
      <c r="B59" s="27" t="s">
        <v>264</v>
      </c>
      <c r="C59" s="23" t="s">
        <v>265</v>
      </c>
      <c r="D59" s="23" t="s">
        <v>58</v>
      </c>
      <c r="E59" s="28">
        <v>436085</v>
      </c>
      <c r="F59" s="25">
        <v>8815.4599999999991</v>
      </c>
      <c r="G59" s="25">
        <v>0.8</v>
      </c>
    </row>
    <row r="60" spans="2:7">
      <c r="B60" s="27" t="s">
        <v>148</v>
      </c>
      <c r="C60" s="23" t="s">
        <v>149</v>
      </c>
      <c r="D60" s="23" t="s">
        <v>40</v>
      </c>
      <c r="E60" s="28">
        <v>474657</v>
      </c>
      <c r="F60" s="25">
        <v>8324.06</v>
      </c>
      <c r="G60" s="25">
        <v>0.76</v>
      </c>
    </row>
    <row r="61" spans="2:7">
      <c r="B61" s="27" t="s">
        <v>266</v>
      </c>
      <c r="C61" s="23" t="s">
        <v>267</v>
      </c>
      <c r="D61" s="23" t="s">
        <v>40</v>
      </c>
      <c r="E61" s="28">
        <v>5397674</v>
      </c>
      <c r="F61" s="25">
        <v>8190.97</v>
      </c>
      <c r="G61" s="25">
        <v>0.75</v>
      </c>
    </row>
    <row r="62" spans="2:7">
      <c r="B62" s="27" t="s">
        <v>51</v>
      </c>
      <c r="C62" s="23" t="s">
        <v>52</v>
      </c>
      <c r="D62" s="23" t="s">
        <v>53</v>
      </c>
      <c r="E62" s="28">
        <v>502642</v>
      </c>
      <c r="F62" s="25">
        <v>7352.14</v>
      </c>
      <c r="G62" s="25">
        <v>0.67</v>
      </c>
    </row>
    <row r="63" spans="2:7">
      <c r="B63" s="27" t="s">
        <v>218</v>
      </c>
      <c r="C63" s="23" t="s">
        <v>219</v>
      </c>
      <c r="D63" s="23" t="s">
        <v>132</v>
      </c>
      <c r="E63" s="28">
        <v>162390</v>
      </c>
      <c r="F63" s="25">
        <v>6579.31</v>
      </c>
      <c r="G63" s="25">
        <v>0.6</v>
      </c>
    </row>
    <row r="64" spans="2:7">
      <c r="B64" s="27" t="s">
        <v>268</v>
      </c>
      <c r="C64" s="23" t="s">
        <v>269</v>
      </c>
      <c r="D64" s="23" t="s">
        <v>270</v>
      </c>
      <c r="E64" s="28">
        <v>369500</v>
      </c>
      <c r="F64" s="25">
        <v>5607.35</v>
      </c>
      <c r="G64" s="25">
        <v>0.51</v>
      </c>
    </row>
    <row r="65" spans="2:9">
      <c r="B65" s="27" t="s">
        <v>59</v>
      </c>
      <c r="C65" s="23" t="s">
        <v>60</v>
      </c>
      <c r="D65" s="23" t="s">
        <v>43</v>
      </c>
      <c r="E65" s="28">
        <v>12070</v>
      </c>
      <c r="F65" s="25">
        <v>4780.3100000000004</v>
      </c>
      <c r="G65" s="25">
        <v>0.44</v>
      </c>
    </row>
    <row r="66" spans="2:9">
      <c r="B66" s="29" t="s">
        <v>106</v>
      </c>
      <c r="C66" s="30"/>
      <c r="D66" s="30"/>
      <c r="E66" s="31"/>
      <c r="F66" s="32">
        <f>SUM(F7:F65)</f>
        <v>1069104.9599999997</v>
      </c>
      <c r="G66" s="32">
        <f>SUM(G7:G65)</f>
        <v>97.33</v>
      </c>
      <c r="H66" s="14"/>
      <c r="I66" s="14"/>
    </row>
    <row r="67" spans="2:9">
      <c r="B67" s="37" t="s">
        <v>107</v>
      </c>
      <c r="C67" s="37"/>
      <c r="D67" s="37"/>
      <c r="E67" s="38"/>
      <c r="F67" s="39">
        <f>F66</f>
        <v>1069104.9599999997</v>
      </c>
      <c r="G67" s="39">
        <f>G66</f>
        <v>97.33</v>
      </c>
      <c r="H67" s="14"/>
      <c r="I67" s="14"/>
    </row>
    <row r="68" spans="2:9">
      <c r="B68" s="40" t="s">
        <v>108</v>
      </c>
      <c r="C68" s="41"/>
      <c r="D68" s="41"/>
      <c r="E68" s="42"/>
      <c r="F68" s="43"/>
      <c r="G68" s="43"/>
    </row>
    <row r="69" spans="2:9">
      <c r="B69" s="27" t="s">
        <v>108</v>
      </c>
      <c r="C69" s="23"/>
      <c r="D69" s="23"/>
      <c r="E69" s="24"/>
      <c r="F69" s="25">
        <v>33698.22</v>
      </c>
      <c r="G69" s="25">
        <v>3.07</v>
      </c>
    </row>
    <row r="70" spans="2:9">
      <c r="B70" s="29" t="s">
        <v>106</v>
      </c>
      <c r="C70" s="30"/>
      <c r="D70" s="30"/>
      <c r="E70" s="31"/>
      <c r="F70" s="32">
        <f>SUM(F68:F69)</f>
        <v>33698.22</v>
      </c>
      <c r="G70" s="32">
        <f>SUM(G68:G69)</f>
        <v>3.07</v>
      </c>
      <c r="H70" s="14"/>
      <c r="I70" s="14"/>
    </row>
    <row r="71" spans="2:9">
      <c r="B71" s="34" t="s">
        <v>107</v>
      </c>
      <c r="C71" s="34"/>
      <c r="D71" s="34"/>
      <c r="E71" s="35"/>
      <c r="F71" s="36">
        <f>F70</f>
        <v>33698.22</v>
      </c>
      <c r="G71" s="36">
        <f>G70</f>
        <v>3.07</v>
      </c>
      <c r="H71" s="14"/>
      <c r="I71" s="14"/>
    </row>
    <row r="72" spans="2:9">
      <c r="B72" s="44" t="s">
        <v>110</v>
      </c>
      <c r="C72" s="44"/>
      <c r="D72" s="44"/>
      <c r="E72" s="45"/>
      <c r="F72" s="16">
        <f>F73-(+F67+F71)</f>
        <v>-4276.3899999996647</v>
      </c>
      <c r="G72" s="16">
        <f>G73-(+G67+G71)</f>
        <v>-0.39999999999999147</v>
      </c>
      <c r="H72" s="14"/>
      <c r="I72" s="14"/>
    </row>
    <row r="73" spans="2:9">
      <c r="B73" s="44" t="s">
        <v>109</v>
      </c>
      <c r="C73" s="44"/>
      <c r="D73" s="44"/>
      <c r="E73" s="45"/>
      <c r="F73" s="16">
        <v>1098526.79</v>
      </c>
      <c r="G73" s="16">
        <v>100</v>
      </c>
      <c r="H73" s="14"/>
      <c r="I73" s="14"/>
    </row>
    <row r="75" spans="2:9">
      <c r="B75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1"/>
  <sheetViews>
    <sheetView workbookViewId="0">
      <selection activeCell="A22" sqref="A22"/>
    </sheetView>
  </sheetViews>
  <sheetFormatPr defaultRowHeight="12"/>
  <cols>
    <col min="1" max="1" width="9.140625" style="1"/>
    <col min="2" max="2" width="57.42578125" style="1" bestFit="1" customWidth="1"/>
    <col min="3" max="3" width="13.570312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12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38</v>
      </c>
      <c r="C7" s="23" t="s">
        <v>39</v>
      </c>
      <c r="D7" s="23" t="s">
        <v>40</v>
      </c>
      <c r="E7" s="28">
        <v>707000</v>
      </c>
      <c r="F7" s="25">
        <v>5083.68</v>
      </c>
      <c r="G7" s="25">
        <v>7.22</v>
      </c>
    </row>
    <row r="8" spans="2:7">
      <c r="B8" s="27" t="s">
        <v>111</v>
      </c>
      <c r="C8" s="23" t="s">
        <v>112</v>
      </c>
      <c r="D8" s="23" t="s">
        <v>40</v>
      </c>
      <c r="E8" s="28">
        <v>295800</v>
      </c>
      <c r="F8" s="25">
        <v>4677.78</v>
      </c>
      <c r="G8" s="25">
        <v>6.65</v>
      </c>
    </row>
    <row r="9" spans="2:7">
      <c r="B9" s="27" t="s">
        <v>120</v>
      </c>
      <c r="C9" s="23" t="s">
        <v>121</v>
      </c>
      <c r="D9" s="23" t="s">
        <v>122</v>
      </c>
      <c r="E9" s="28">
        <v>53175</v>
      </c>
      <c r="F9" s="25">
        <v>4001.15</v>
      </c>
      <c r="G9" s="25">
        <v>5.69</v>
      </c>
    </row>
    <row r="10" spans="2:7">
      <c r="B10" s="27" t="s">
        <v>157</v>
      </c>
      <c r="C10" s="23" t="s">
        <v>158</v>
      </c>
      <c r="D10" s="23" t="s">
        <v>129</v>
      </c>
      <c r="E10" s="28">
        <v>111675</v>
      </c>
      <c r="F10" s="25">
        <v>3575.11</v>
      </c>
      <c r="G10" s="25">
        <v>5.08</v>
      </c>
    </row>
    <row r="11" spans="2:7">
      <c r="B11" s="27" t="s">
        <v>172</v>
      </c>
      <c r="C11" s="23" t="s">
        <v>173</v>
      </c>
      <c r="D11" s="23" t="s">
        <v>174</v>
      </c>
      <c r="E11" s="28">
        <v>80000</v>
      </c>
      <c r="F11" s="25">
        <v>3196</v>
      </c>
      <c r="G11" s="25">
        <v>4.54</v>
      </c>
    </row>
    <row r="12" spans="2:7">
      <c r="B12" s="27" t="s">
        <v>127</v>
      </c>
      <c r="C12" s="23" t="s">
        <v>128</v>
      </c>
      <c r="D12" s="23" t="s">
        <v>129</v>
      </c>
      <c r="E12" s="28">
        <v>115030</v>
      </c>
      <c r="F12" s="25">
        <v>3133.53</v>
      </c>
      <c r="G12" s="25">
        <v>4.45</v>
      </c>
    </row>
    <row r="13" spans="2:7">
      <c r="B13" s="27" t="s">
        <v>161</v>
      </c>
      <c r="C13" s="23" t="s">
        <v>162</v>
      </c>
      <c r="D13" s="23" t="s">
        <v>129</v>
      </c>
      <c r="E13" s="28">
        <v>350000</v>
      </c>
      <c r="F13" s="25">
        <v>3027.33</v>
      </c>
      <c r="G13" s="25">
        <v>4.3</v>
      </c>
    </row>
    <row r="14" spans="2:7">
      <c r="B14" s="27" t="s">
        <v>187</v>
      </c>
      <c r="C14" s="23" t="s">
        <v>188</v>
      </c>
      <c r="D14" s="23" t="s">
        <v>165</v>
      </c>
      <c r="E14" s="28">
        <v>135000</v>
      </c>
      <c r="F14" s="25">
        <v>2594.16</v>
      </c>
      <c r="G14" s="25">
        <v>3.69</v>
      </c>
    </row>
    <row r="15" spans="2:7">
      <c r="B15" s="27" t="s">
        <v>170</v>
      </c>
      <c r="C15" s="23" t="s">
        <v>171</v>
      </c>
      <c r="D15" s="23" t="s">
        <v>165</v>
      </c>
      <c r="E15" s="28">
        <v>180000</v>
      </c>
      <c r="F15" s="25">
        <v>2283.21</v>
      </c>
      <c r="G15" s="25">
        <v>3.24</v>
      </c>
    </row>
    <row r="16" spans="2:7">
      <c r="B16" s="27" t="s">
        <v>135</v>
      </c>
      <c r="C16" s="23" t="s">
        <v>136</v>
      </c>
      <c r="D16" s="23" t="s">
        <v>137</v>
      </c>
      <c r="E16" s="28">
        <v>50250</v>
      </c>
      <c r="F16" s="25">
        <v>1987.29</v>
      </c>
      <c r="G16" s="25">
        <v>2.82</v>
      </c>
    </row>
    <row r="17" spans="2:7">
      <c r="B17" s="27" t="s">
        <v>125</v>
      </c>
      <c r="C17" s="23" t="s">
        <v>126</v>
      </c>
      <c r="D17" s="23" t="s">
        <v>40</v>
      </c>
      <c r="E17" s="28">
        <v>231500</v>
      </c>
      <c r="F17" s="25">
        <v>1820.75</v>
      </c>
      <c r="G17" s="25">
        <v>2.59</v>
      </c>
    </row>
    <row r="18" spans="2:7">
      <c r="B18" s="27" t="s">
        <v>153</v>
      </c>
      <c r="C18" s="23" t="s">
        <v>154</v>
      </c>
      <c r="D18" s="23" t="s">
        <v>58</v>
      </c>
      <c r="E18" s="28">
        <v>75000</v>
      </c>
      <c r="F18" s="25">
        <v>1550.63</v>
      </c>
      <c r="G18" s="25">
        <v>2.2000000000000002</v>
      </c>
    </row>
    <row r="19" spans="2:7">
      <c r="B19" s="27" t="s">
        <v>123</v>
      </c>
      <c r="C19" s="23" t="s">
        <v>124</v>
      </c>
      <c r="D19" s="23" t="s">
        <v>122</v>
      </c>
      <c r="E19" s="28">
        <v>53500</v>
      </c>
      <c r="F19" s="25">
        <v>1497.2</v>
      </c>
      <c r="G19" s="25">
        <v>2.13</v>
      </c>
    </row>
    <row r="20" spans="2:7">
      <c r="B20" s="27" t="s">
        <v>233</v>
      </c>
      <c r="C20" s="23" t="s">
        <v>234</v>
      </c>
      <c r="D20" s="23" t="s">
        <v>165</v>
      </c>
      <c r="E20" s="28">
        <v>305791</v>
      </c>
      <c r="F20" s="25">
        <v>1447.77</v>
      </c>
      <c r="G20" s="25">
        <v>2.06</v>
      </c>
    </row>
    <row r="21" spans="2:7">
      <c r="B21" s="27" t="s">
        <v>243</v>
      </c>
      <c r="C21" s="23" t="s">
        <v>244</v>
      </c>
      <c r="D21" s="23" t="s">
        <v>165</v>
      </c>
      <c r="E21" s="28">
        <v>34505</v>
      </c>
      <c r="F21" s="25">
        <v>1435.55</v>
      </c>
      <c r="G21" s="25">
        <v>2.04</v>
      </c>
    </row>
    <row r="22" spans="2:7">
      <c r="B22" s="27" t="s">
        <v>241</v>
      </c>
      <c r="C22" s="23" t="s">
        <v>242</v>
      </c>
      <c r="D22" s="23" t="s">
        <v>142</v>
      </c>
      <c r="E22" s="28">
        <v>120000</v>
      </c>
      <c r="F22" s="25">
        <v>1430.46</v>
      </c>
      <c r="G22" s="25">
        <v>2.0299999999999998</v>
      </c>
    </row>
    <row r="23" spans="2:7">
      <c r="B23" s="27" t="s">
        <v>166</v>
      </c>
      <c r="C23" s="23" t="s">
        <v>167</v>
      </c>
      <c r="D23" s="23" t="s">
        <v>165</v>
      </c>
      <c r="E23" s="28">
        <v>80000</v>
      </c>
      <c r="F23" s="25">
        <v>1417.44</v>
      </c>
      <c r="G23" s="25">
        <v>2.0099999999999998</v>
      </c>
    </row>
    <row r="24" spans="2:7">
      <c r="B24" s="27" t="s">
        <v>245</v>
      </c>
      <c r="C24" s="23" t="s">
        <v>246</v>
      </c>
      <c r="D24" s="23" t="s">
        <v>137</v>
      </c>
      <c r="E24" s="28">
        <v>22499</v>
      </c>
      <c r="F24" s="25">
        <v>1390.97</v>
      </c>
      <c r="G24" s="25">
        <v>1.98</v>
      </c>
    </row>
    <row r="25" spans="2:7">
      <c r="B25" s="27" t="s">
        <v>228</v>
      </c>
      <c r="C25" s="23" t="s">
        <v>229</v>
      </c>
      <c r="D25" s="23" t="s">
        <v>80</v>
      </c>
      <c r="E25" s="28">
        <v>18524</v>
      </c>
      <c r="F25" s="25">
        <v>1294.23</v>
      </c>
      <c r="G25" s="25">
        <v>1.84</v>
      </c>
    </row>
    <row r="26" spans="2:7">
      <c r="B26" s="27" t="s">
        <v>271</v>
      </c>
      <c r="C26" s="23" t="s">
        <v>272</v>
      </c>
      <c r="D26" s="23" t="s">
        <v>129</v>
      </c>
      <c r="E26" s="28">
        <v>9200</v>
      </c>
      <c r="F26" s="25">
        <v>1276.3699999999999</v>
      </c>
      <c r="G26" s="25">
        <v>1.81</v>
      </c>
    </row>
    <row r="27" spans="2:7">
      <c r="B27" s="27" t="s">
        <v>54</v>
      </c>
      <c r="C27" s="23" t="s">
        <v>55</v>
      </c>
      <c r="D27" s="23" t="s">
        <v>40</v>
      </c>
      <c r="E27" s="28">
        <v>297755</v>
      </c>
      <c r="F27" s="25">
        <v>1268.5899999999999</v>
      </c>
      <c r="G27" s="25">
        <v>1.8</v>
      </c>
    </row>
    <row r="28" spans="2:7">
      <c r="B28" s="27" t="s">
        <v>239</v>
      </c>
      <c r="C28" s="23" t="s">
        <v>240</v>
      </c>
      <c r="D28" s="23" t="s">
        <v>129</v>
      </c>
      <c r="E28" s="28">
        <v>115000</v>
      </c>
      <c r="F28" s="25">
        <v>1264.2</v>
      </c>
      <c r="G28" s="25">
        <v>1.8</v>
      </c>
    </row>
    <row r="29" spans="2:7">
      <c r="B29" s="27" t="s">
        <v>273</v>
      </c>
      <c r="C29" s="23" t="s">
        <v>274</v>
      </c>
      <c r="D29" s="23" t="s">
        <v>275</v>
      </c>
      <c r="E29" s="28">
        <v>4000</v>
      </c>
      <c r="F29" s="25">
        <v>1259.96</v>
      </c>
      <c r="G29" s="25">
        <v>1.79</v>
      </c>
    </row>
    <row r="30" spans="2:7">
      <c r="B30" s="27" t="s">
        <v>276</v>
      </c>
      <c r="C30" s="23" t="s">
        <v>277</v>
      </c>
      <c r="D30" s="23" t="s">
        <v>165</v>
      </c>
      <c r="E30" s="28">
        <v>373087</v>
      </c>
      <c r="F30" s="25">
        <v>1233.99</v>
      </c>
      <c r="G30" s="25">
        <v>1.75</v>
      </c>
    </row>
    <row r="31" spans="2:7">
      <c r="B31" s="27" t="s">
        <v>195</v>
      </c>
      <c r="C31" s="23" t="s">
        <v>196</v>
      </c>
      <c r="D31" s="23" t="s">
        <v>197</v>
      </c>
      <c r="E31" s="28">
        <v>225000</v>
      </c>
      <c r="F31" s="25">
        <v>1181.5899999999999</v>
      </c>
      <c r="G31" s="25">
        <v>1.68</v>
      </c>
    </row>
    <row r="32" spans="2:7">
      <c r="B32" s="27" t="s">
        <v>168</v>
      </c>
      <c r="C32" s="23" t="s">
        <v>169</v>
      </c>
      <c r="D32" s="23" t="s">
        <v>80</v>
      </c>
      <c r="E32" s="28">
        <v>155000</v>
      </c>
      <c r="F32" s="25">
        <v>1105.1500000000001</v>
      </c>
      <c r="G32" s="25">
        <v>1.57</v>
      </c>
    </row>
    <row r="33" spans="2:7">
      <c r="B33" s="27" t="s">
        <v>163</v>
      </c>
      <c r="C33" s="23" t="s">
        <v>164</v>
      </c>
      <c r="D33" s="23" t="s">
        <v>165</v>
      </c>
      <c r="E33" s="28">
        <v>102500</v>
      </c>
      <c r="F33" s="25">
        <v>1020.75</v>
      </c>
      <c r="G33" s="25">
        <v>1.45</v>
      </c>
    </row>
    <row r="34" spans="2:7">
      <c r="B34" s="27" t="s">
        <v>150</v>
      </c>
      <c r="C34" s="23" t="s">
        <v>151</v>
      </c>
      <c r="D34" s="23" t="s">
        <v>152</v>
      </c>
      <c r="E34" s="28">
        <v>18125</v>
      </c>
      <c r="F34" s="25">
        <v>937.72</v>
      </c>
      <c r="G34" s="25">
        <v>1.33</v>
      </c>
    </row>
    <row r="35" spans="2:7">
      <c r="B35" s="27" t="s">
        <v>278</v>
      </c>
      <c r="C35" s="23" t="s">
        <v>279</v>
      </c>
      <c r="D35" s="23" t="s">
        <v>270</v>
      </c>
      <c r="E35" s="28">
        <v>75000</v>
      </c>
      <c r="F35" s="25">
        <v>896.51</v>
      </c>
      <c r="G35" s="25">
        <v>1.27</v>
      </c>
    </row>
    <row r="36" spans="2:7">
      <c r="B36" s="27" t="s">
        <v>230</v>
      </c>
      <c r="C36" s="23" t="s">
        <v>231</v>
      </c>
      <c r="D36" s="23" t="s">
        <v>232</v>
      </c>
      <c r="E36" s="28">
        <v>65000</v>
      </c>
      <c r="F36" s="25">
        <v>863.17</v>
      </c>
      <c r="G36" s="25">
        <v>1.23</v>
      </c>
    </row>
    <row r="37" spans="2:7">
      <c r="B37" s="27" t="s">
        <v>180</v>
      </c>
      <c r="C37" s="23" t="s">
        <v>181</v>
      </c>
      <c r="D37" s="23" t="s">
        <v>122</v>
      </c>
      <c r="E37" s="28">
        <v>151000</v>
      </c>
      <c r="F37" s="25">
        <v>836.62</v>
      </c>
      <c r="G37" s="25">
        <v>1.19</v>
      </c>
    </row>
    <row r="38" spans="2:7">
      <c r="B38" s="27" t="s">
        <v>206</v>
      </c>
      <c r="C38" s="23" t="s">
        <v>207</v>
      </c>
      <c r="D38" s="23" t="s">
        <v>197</v>
      </c>
      <c r="E38" s="28">
        <v>650000</v>
      </c>
      <c r="F38" s="25">
        <v>797.88</v>
      </c>
      <c r="G38" s="25">
        <v>1.1299999999999999</v>
      </c>
    </row>
    <row r="39" spans="2:7">
      <c r="B39" s="27" t="s">
        <v>75</v>
      </c>
      <c r="C39" s="23" t="s">
        <v>76</v>
      </c>
      <c r="D39" s="23" t="s">
        <v>77</v>
      </c>
      <c r="E39" s="28">
        <v>107000</v>
      </c>
      <c r="F39" s="25">
        <v>773.4</v>
      </c>
      <c r="G39" s="25">
        <v>1.1000000000000001</v>
      </c>
    </row>
    <row r="40" spans="2:7">
      <c r="B40" s="27" t="s">
        <v>280</v>
      </c>
      <c r="C40" s="23" t="s">
        <v>281</v>
      </c>
      <c r="D40" s="23" t="s">
        <v>129</v>
      </c>
      <c r="E40" s="28">
        <v>91000</v>
      </c>
      <c r="F40" s="25">
        <v>746.93</v>
      </c>
      <c r="G40" s="25">
        <v>1.06</v>
      </c>
    </row>
    <row r="41" spans="2:7">
      <c r="B41" s="27" t="s">
        <v>202</v>
      </c>
      <c r="C41" s="23" t="s">
        <v>203</v>
      </c>
      <c r="D41" s="23" t="s">
        <v>122</v>
      </c>
      <c r="E41" s="28">
        <v>62500</v>
      </c>
      <c r="F41" s="25">
        <v>712.84</v>
      </c>
      <c r="G41" s="25">
        <v>1.01</v>
      </c>
    </row>
    <row r="42" spans="2:7">
      <c r="B42" s="27" t="s">
        <v>235</v>
      </c>
      <c r="C42" s="23" t="s">
        <v>236</v>
      </c>
      <c r="D42" s="23" t="s">
        <v>137</v>
      </c>
      <c r="E42" s="28">
        <v>525000</v>
      </c>
      <c r="F42" s="25">
        <v>706.39</v>
      </c>
      <c r="G42" s="25">
        <v>1</v>
      </c>
    </row>
    <row r="43" spans="2:7">
      <c r="B43" s="27" t="s">
        <v>204</v>
      </c>
      <c r="C43" s="23" t="s">
        <v>205</v>
      </c>
      <c r="D43" s="23" t="s">
        <v>80</v>
      </c>
      <c r="E43" s="28">
        <v>27500</v>
      </c>
      <c r="F43" s="25">
        <v>631.1</v>
      </c>
      <c r="G43" s="25">
        <v>0.9</v>
      </c>
    </row>
    <row r="44" spans="2:7">
      <c r="B44" s="27" t="s">
        <v>226</v>
      </c>
      <c r="C44" s="23" t="s">
        <v>227</v>
      </c>
      <c r="D44" s="23" t="s">
        <v>80</v>
      </c>
      <c r="E44" s="28">
        <v>275000</v>
      </c>
      <c r="F44" s="25">
        <v>601.15</v>
      </c>
      <c r="G44" s="25">
        <v>0.85</v>
      </c>
    </row>
    <row r="45" spans="2:7">
      <c r="B45" s="27" t="s">
        <v>282</v>
      </c>
      <c r="C45" s="23" t="s">
        <v>283</v>
      </c>
      <c r="D45" s="23" t="s">
        <v>165</v>
      </c>
      <c r="E45" s="28">
        <v>109999</v>
      </c>
      <c r="F45" s="25">
        <v>512.16</v>
      </c>
      <c r="G45" s="25">
        <v>0.73</v>
      </c>
    </row>
    <row r="46" spans="2:7">
      <c r="B46" s="27" t="s">
        <v>140</v>
      </c>
      <c r="C46" s="23" t="s">
        <v>141</v>
      </c>
      <c r="D46" s="23" t="s">
        <v>142</v>
      </c>
      <c r="E46" s="28">
        <v>45000</v>
      </c>
      <c r="F46" s="25">
        <v>489.67</v>
      </c>
      <c r="G46" s="25">
        <v>0.7</v>
      </c>
    </row>
    <row r="47" spans="2:7">
      <c r="B47" s="27" t="s">
        <v>284</v>
      </c>
      <c r="C47" s="23" t="s">
        <v>285</v>
      </c>
      <c r="D47" s="23" t="s">
        <v>197</v>
      </c>
      <c r="E47" s="28">
        <v>12500</v>
      </c>
      <c r="F47" s="25">
        <v>465.98</v>
      </c>
      <c r="G47" s="25">
        <v>0.66</v>
      </c>
    </row>
    <row r="48" spans="2:7">
      <c r="B48" s="27" t="s">
        <v>257</v>
      </c>
      <c r="C48" s="23" t="s">
        <v>258</v>
      </c>
      <c r="D48" s="23" t="s">
        <v>129</v>
      </c>
      <c r="E48" s="28">
        <v>75000</v>
      </c>
      <c r="F48" s="25">
        <v>464.66</v>
      </c>
      <c r="G48" s="25">
        <v>0.66</v>
      </c>
    </row>
    <row r="49" spans="2:9">
      <c r="B49" s="27" t="s">
        <v>286</v>
      </c>
      <c r="C49" s="23" t="s">
        <v>287</v>
      </c>
      <c r="D49" s="23" t="s">
        <v>58</v>
      </c>
      <c r="E49" s="28">
        <v>250000</v>
      </c>
      <c r="F49" s="25">
        <v>419.88</v>
      </c>
      <c r="G49" s="25">
        <v>0.6</v>
      </c>
    </row>
    <row r="50" spans="2:9">
      <c r="B50" s="27" t="s">
        <v>288</v>
      </c>
      <c r="C50" s="23" t="s">
        <v>289</v>
      </c>
      <c r="D50" s="23" t="s">
        <v>129</v>
      </c>
      <c r="E50" s="28">
        <v>32500</v>
      </c>
      <c r="F50" s="25">
        <v>201.99</v>
      </c>
      <c r="G50" s="25">
        <v>0.28999999999999998</v>
      </c>
    </row>
    <row r="51" spans="2:9">
      <c r="B51" s="27" t="s">
        <v>177</v>
      </c>
      <c r="C51" s="23" t="s">
        <v>178</v>
      </c>
      <c r="D51" s="23" t="s">
        <v>179</v>
      </c>
      <c r="E51" s="28">
        <v>2082</v>
      </c>
      <c r="F51" s="25">
        <v>70.66</v>
      </c>
      <c r="G51" s="25">
        <v>0.1</v>
      </c>
    </row>
    <row r="52" spans="2:9">
      <c r="B52" s="29" t="s">
        <v>106</v>
      </c>
      <c r="C52" s="30"/>
      <c r="D52" s="30"/>
      <c r="E52" s="31"/>
      <c r="F52" s="32">
        <f>SUM(F7:F51)</f>
        <v>67583.55</v>
      </c>
      <c r="G52" s="32">
        <f>SUM(G7:G51)</f>
        <v>96.02</v>
      </c>
      <c r="H52" s="14"/>
      <c r="I52" s="14"/>
    </row>
    <row r="53" spans="2:9">
      <c r="B53" s="37" t="s">
        <v>107</v>
      </c>
      <c r="C53" s="37"/>
      <c r="D53" s="37"/>
      <c r="E53" s="38"/>
      <c r="F53" s="39">
        <f>F52</f>
        <v>67583.55</v>
      </c>
      <c r="G53" s="39">
        <f>G52</f>
        <v>96.02</v>
      </c>
      <c r="H53" s="14"/>
      <c r="I53" s="14"/>
    </row>
    <row r="54" spans="2:9">
      <c r="B54" s="40" t="s">
        <v>108</v>
      </c>
      <c r="C54" s="41"/>
      <c r="D54" s="41"/>
      <c r="E54" s="42"/>
      <c r="F54" s="43"/>
      <c r="G54" s="43"/>
    </row>
    <row r="55" spans="2:9">
      <c r="B55" s="27" t="s">
        <v>108</v>
      </c>
      <c r="C55" s="23"/>
      <c r="D55" s="23"/>
      <c r="E55" s="24"/>
      <c r="F55" s="25">
        <v>3092.59</v>
      </c>
      <c r="G55" s="25">
        <v>4.3899999999999997</v>
      </c>
    </row>
    <row r="56" spans="2:9">
      <c r="B56" s="29" t="s">
        <v>106</v>
      </c>
      <c r="C56" s="30"/>
      <c r="D56" s="30"/>
      <c r="E56" s="31"/>
      <c r="F56" s="32">
        <f>SUM(F54:F55)</f>
        <v>3092.59</v>
      </c>
      <c r="G56" s="32">
        <f>SUM(G54:G55)</f>
        <v>4.3899999999999997</v>
      </c>
      <c r="H56" s="14"/>
      <c r="I56" s="14"/>
    </row>
    <row r="57" spans="2:9">
      <c r="B57" s="34" t="s">
        <v>107</v>
      </c>
      <c r="C57" s="34"/>
      <c r="D57" s="34"/>
      <c r="E57" s="35"/>
      <c r="F57" s="36">
        <f>F56</f>
        <v>3092.59</v>
      </c>
      <c r="G57" s="36">
        <f>G56</f>
        <v>4.3899999999999997</v>
      </c>
      <c r="H57" s="14"/>
      <c r="I57" s="14"/>
    </row>
    <row r="58" spans="2:9">
      <c r="B58" s="44" t="s">
        <v>110</v>
      </c>
      <c r="C58" s="44"/>
      <c r="D58" s="44"/>
      <c r="E58" s="45"/>
      <c r="F58" s="16">
        <f>F59-(+F53+F57)</f>
        <v>-311.74000000000524</v>
      </c>
      <c r="G58" s="16">
        <f>G59-(+G53+G57)</f>
        <v>-0.40999999999999659</v>
      </c>
      <c r="H58" s="14"/>
      <c r="I58" s="14"/>
    </row>
    <row r="59" spans="2:9">
      <c r="B59" s="44" t="s">
        <v>109</v>
      </c>
      <c r="C59" s="44"/>
      <c r="D59" s="44"/>
      <c r="E59" s="45"/>
      <c r="F59" s="16">
        <v>70364.399999999994</v>
      </c>
      <c r="G59" s="16">
        <v>100</v>
      </c>
      <c r="H59" s="14"/>
      <c r="I59" s="14"/>
    </row>
    <row r="61" spans="2:9">
      <c r="B61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5"/>
  <sheetViews>
    <sheetView workbookViewId="0">
      <selection activeCell="B12" sqref="B12"/>
    </sheetView>
  </sheetViews>
  <sheetFormatPr defaultRowHeight="12"/>
  <cols>
    <col min="1" max="1" width="9.140625" style="1"/>
    <col min="2" max="2" width="57.4257812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13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111</v>
      </c>
      <c r="C7" s="23" t="s">
        <v>112</v>
      </c>
      <c r="D7" s="23" t="s">
        <v>40</v>
      </c>
      <c r="E7" s="28">
        <v>2124700</v>
      </c>
      <c r="F7" s="25">
        <v>33600.01</v>
      </c>
      <c r="G7" s="25">
        <v>7.87</v>
      </c>
    </row>
    <row r="8" spans="2:7">
      <c r="B8" s="27" t="s">
        <v>38</v>
      </c>
      <c r="C8" s="23" t="s">
        <v>39</v>
      </c>
      <c r="D8" s="23" t="s">
        <v>40</v>
      </c>
      <c r="E8" s="28">
        <v>4185600</v>
      </c>
      <c r="F8" s="25">
        <v>30096.560000000001</v>
      </c>
      <c r="G8" s="25">
        <v>7.05</v>
      </c>
    </row>
    <row r="9" spans="2:7">
      <c r="B9" s="27" t="s">
        <v>113</v>
      </c>
      <c r="C9" s="23" t="s">
        <v>114</v>
      </c>
      <c r="D9" s="23" t="s">
        <v>115</v>
      </c>
      <c r="E9" s="28">
        <v>1739142</v>
      </c>
      <c r="F9" s="25">
        <v>29677.59</v>
      </c>
      <c r="G9" s="25">
        <v>6.95</v>
      </c>
    </row>
    <row r="10" spans="2:7">
      <c r="B10" s="27" t="s">
        <v>118</v>
      </c>
      <c r="C10" s="23" t="s">
        <v>119</v>
      </c>
      <c r="D10" s="23" t="s">
        <v>89</v>
      </c>
      <c r="E10" s="28">
        <v>1188250</v>
      </c>
      <c r="F10" s="25">
        <v>26832.47</v>
      </c>
      <c r="G10" s="25">
        <v>6.28</v>
      </c>
    </row>
    <row r="11" spans="2:7">
      <c r="B11" s="27" t="s">
        <v>123</v>
      </c>
      <c r="C11" s="23" t="s">
        <v>124</v>
      </c>
      <c r="D11" s="23" t="s">
        <v>122</v>
      </c>
      <c r="E11" s="28">
        <v>720450</v>
      </c>
      <c r="F11" s="25">
        <v>20161.79</v>
      </c>
      <c r="G11" s="25">
        <v>4.72</v>
      </c>
    </row>
    <row r="12" spans="2:7">
      <c r="B12" s="27" t="s">
        <v>116</v>
      </c>
      <c r="C12" s="23" t="s">
        <v>117</v>
      </c>
      <c r="D12" s="23" t="s">
        <v>115</v>
      </c>
      <c r="E12" s="28">
        <v>513461</v>
      </c>
      <c r="F12" s="25">
        <v>19441.939999999999</v>
      </c>
      <c r="G12" s="25">
        <v>4.55</v>
      </c>
    </row>
    <row r="13" spans="2:7">
      <c r="B13" s="27" t="s">
        <v>32</v>
      </c>
      <c r="C13" s="23" t="s">
        <v>33</v>
      </c>
      <c r="D13" s="23" t="s">
        <v>34</v>
      </c>
      <c r="E13" s="28">
        <v>980685</v>
      </c>
      <c r="F13" s="25">
        <v>16399.009999999998</v>
      </c>
      <c r="G13" s="25">
        <v>3.84</v>
      </c>
    </row>
    <row r="14" spans="2:7">
      <c r="B14" s="27" t="s">
        <v>120</v>
      </c>
      <c r="C14" s="23" t="s">
        <v>121</v>
      </c>
      <c r="D14" s="23" t="s">
        <v>122</v>
      </c>
      <c r="E14" s="28">
        <v>192934</v>
      </c>
      <c r="F14" s="25">
        <v>14517.32</v>
      </c>
      <c r="G14" s="25">
        <v>3.4</v>
      </c>
    </row>
    <row r="15" spans="2:7">
      <c r="B15" s="27" t="s">
        <v>54</v>
      </c>
      <c r="C15" s="23" t="s">
        <v>55</v>
      </c>
      <c r="D15" s="23" t="s">
        <v>40</v>
      </c>
      <c r="E15" s="28">
        <v>3280000</v>
      </c>
      <c r="F15" s="25">
        <v>13974.44</v>
      </c>
      <c r="G15" s="25">
        <v>3.27</v>
      </c>
    </row>
    <row r="16" spans="2:7">
      <c r="B16" s="27" t="s">
        <v>125</v>
      </c>
      <c r="C16" s="23" t="s">
        <v>126</v>
      </c>
      <c r="D16" s="23" t="s">
        <v>40</v>
      </c>
      <c r="E16" s="28">
        <v>1584200</v>
      </c>
      <c r="F16" s="25">
        <v>12459.73</v>
      </c>
      <c r="G16" s="25">
        <v>2.92</v>
      </c>
    </row>
    <row r="17" spans="2:7">
      <c r="B17" s="27" t="s">
        <v>127</v>
      </c>
      <c r="C17" s="23" t="s">
        <v>128</v>
      </c>
      <c r="D17" s="23" t="s">
        <v>129</v>
      </c>
      <c r="E17" s="28">
        <v>422800</v>
      </c>
      <c r="F17" s="25">
        <v>11517.49</v>
      </c>
      <c r="G17" s="25">
        <v>2.7</v>
      </c>
    </row>
    <row r="18" spans="2:7">
      <c r="B18" s="27" t="s">
        <v>143</v>
      </c>
      <c r="C18" s="23" t="s">
        <v>144</v>
      </c>
      <c r="D18" s="23" t="s">
        <v>145</v>
      </c>
      <c r="E18" s="28">
        <v>1508316</v>
      </c>
      <c r="F18" s="25">
        <v>10015.969999999999</v>
      </c>
      <c r="G18" s="25">
        <v>2.34</v>
      </c>
    </row>
    <row r="19" spans="2:7">
      <c r="B19" s="27" t="s">
        <v>133</v>
      </c>
      <c r="C19" s="23" t="s">
        <v>134</v>
      </c>
      <c r="D19" s="23" t="s">
        <v>115</v>
      </c>
      <c r="E19" s="28">
        <v>827000</v>
      </c>
      <c r="F19" s="25">
        <v>9777.6200000000008</v>
      </c>
      <c r="G19" s="25">
        <v>2.29</v>
      </c>
    </row>
    <row r="20" spans="2:7">
      <c r="B20" s="27" t="s">
        <v>61</v>
      </c>
      <c r="C20" s="23" t="s">
        <v>62</v>
      </c>
      <c r="D20" s="23" t="s">
        <v>63</v>
      </c>
      <c r="E20" s="28">
        <v>111652</v>
      </c>
      <c r="F20" s="25">
        <v>8745.09</v>
      </c>
      <c r="G20" s="25">
        <v>2.0499999999999998</v>
      </c>
    </row>
    <row r="21" spans="2:7">
      <c r="B21" s="27" t="s">
        <v>148</v>
      </c>
      <c r="C21" s="23" t="s">
        <v>149</v>
      </c>
      <c r="D21" s="23" t="s">
        <v>40</v>
      </c>
      <c r="E21" s="28">
        <v>453750</v>
      </c>
      <c r="F21" s="25">
        <v>7957.41</v>
      </c>
      <c r="G21" s="25">
        <v>1.86</v>
      </c>
    </row>
    <row r="22" spans="2:7">
      <c r="B22" s="27" t="s">
        <v>155</v>
      </c>
      <c r="C22" s="23" t="s">
        <v>156</v>
      </c>
      <c r="D22" s="23" t="s">
        <v>152</v>
      </c>
      <c r="E22" s="28">
        <v>794500</v>
      </c>
      <c r="F22" s="25">
        <v>6308.73</v>
      </c>
      <c r="G22" s="25">
        <v>1.48</v>
      </c>
    </row>
    <row r="23" spans="2:7">
      <c r="B23" s="27" t="s">
        <v>135</v>
      </c>
      <c r="C23" s="23" t="s">
        <v>136</v>
      </c>
      <c r="D23" s="23" t="s">
        <v>137</v>
      </c>
      <c r="E23" s="28">
        <v>155300</v>
      </c>
      <c r="F23" s="25">
        <v>6141.8</v>
      </c>
      <c r="G23" s="25">
        <v>1.44</v>
      </c>
    </row>
    <row r="24" spans="2:7">
      <c r="B24" s="27" t="s">
        <v>138</v>
      </c>
      <c r="C24" s="23" t="s">
        <v>139</v>
      </c>
      <c r="D24" s="23" t="s">
        <v>115</v>
      </c>
      <c r="E24" s="28">
        <v>200000</v>
      </c>
      <c r="F24" s="25">
        <v>5796.2</v>
      </c>
      <c r="G24" s="25">
        <v>1.36</v>
      </c>
    </row>
    <row r="25" spans="2:7">
      <c r="B25" s="27" t="s">
        <v>94</v>
      </c>
      <c r="C25" s="23" t="s">
        <v>95</v>
      </c>
      <c r="D25" s="23" t="s">
        <v>96</v>
      </c>
      <c r="E25" s="28">
        <v>1220000</v>
      </c>
      <c r="F25" s="25">
        <v>5713.26</v>
      </c>
      <c r="G25" s="25">
        <v>1.34</v>
      </c>
    </row>
    <row r="26" spans="2:7">
      <c r="B26" s="27" t="s">
        <v>64</v>
      </c>
      <c r="C26" s="23" t="s">
        <v>65</v>
      </c>
      <c r="D26" s="23" t="s">
        <v>66</v>
      </c>
      <c r="E26" s="28">
        <v>390000</v>
      </c>
      <c r="F26" s="25">
        <v>5655.98</v>
      </c>
      <c r="G26" s="25">
        <v>1.32</v>
      </c>
    </row>
    <row r="27" spans="2:7">
      <c r="B27" s="27" t="s">
        <v>161</v>
      </c>
      <c r="C27" s="23" t="s">
        <v>162</v>
      </c>
      <c r="D27" s="23" t="s">
        <v>129</v>
      </c>
      <c r="E27" s="28">
        <v>636324</v>
      </c>
      <c r="F27" s="25">
        <v>5503.88</v>
      </c>
      <c r="G27" s="25">
        <v>1.29</v>
      </c>
    </row>
    <row r="28" spans="2:7">
      <c r="B28" s="27" t="s">
        <v>92</v>
      </c>
      <c r="C28" s="23" t="s">
        <v>93</v>
      </c>
      <c r="D28" s="23" t="s">
        <v>63</v>
      </c>
      <c r="E28" s="28">
        <v>1200000</v>
      </c>
      <c r="F28" s="25">
        <v>5052.6000000000004</v>
      </c>
      <c r="G28" s="25">
        <v>1.18</v>
      </c>
    </row>
    <row r="29" spans="2:7">
      <c r="B29" s="27" t="s">
        <v>172</v>
      </c>
      <c r="C29" s="23" t="s">
        <v>173</v>
      </c>
      <c r="D29" s="23" t="s">
        <v>174</v>
      </c>
      <c r="E29" s="28">
        <v>124500</v>
      </c>
      <c r="F29" s="25">
        <v>4973.78</v>
      </c>
      <c r="G29" s="25">
        <v>1.1599999999999999</v>
      </c>
    </row>
    <row r="30" spans="2:7">
      <c r="B30" s="27" t="s">
        <v>150</v>
      </c>
      <c r="C30" s="23" t="s">
        <v>151</v>
      </c>
      <c r="D30" s="23" t="s">
        <v>152</v>
      </c>
      <c r="E30" s="28">
        <v>95981</v>
      </c>
      <c r="F30" s="25">
        <v>4965.67</v>
      </c>
      <c r="G30" s="25">
        <v>1.1599999999999999</v>
      </c>
    </row>
    <row r="31" spans="2:7">
      <c r="B31" s="27" t="s">
        <v>159</v>
      </c>
      <c r="C31" s="23" t="s">
        <v>160</v>
      </c>
      <c r="D31" s="23" t="s">
        <v>77</v>
      </c>
      <c r="E31" s="28">
        <v>870000</v>
      </c>
      <c r="F31" s="25">
        <v>4748.8999999999996</v>
      </c>
      <c r="G31" s="25">
        <v>1.1100000000000001</v>
      </c>
    </row>
    <row r="32" spans="2:7">
      <c r="B32" s="27" t="s">
        <v>140</v>
      </c>
      <c r="C32" s="23" t="s">
        <v>141</v>
      </c>
      <c r="D32" s="23" t="s">
        <v>142</v>
      </c>
      <c r="E32" s="28">
        <v>435000</v>
      </c>
      <c r="F32" s="25">
        <v>4733.45</v>
      </c>
      <c r="G32" s="25">
        <v>1.1100000000000001</v>
      </c>
    </row>
    <row r="33" spans="2:7">
      <c r="B33" s="27" t="s">
        <v>157</v>
      </c>
      <c r="C33" s="23" t="s">
        <v>158</v>
      </c>
      <c r="D33" s="23" t="s">
        <v>129</v>
      </c>
      <c r="E33" s="28">
        <v>144600</v>
      </c>
      <c r="F33" s="25">
        <v>4629.1499999999996</v>
      </c>
      <c r="G33" s="25">
        <v>1.08</v>
      </c>
    </row>
    <row r="34" spans="2:7">
      <c r="B34" s="27" t="s">
        <v>99</v>
      </c>
      <c r="C34" s="23" t="s">
        <v>100</v>
      </c>
      <c r="D34" s="23" t="s">
        <v>58</v>
      </c>
      <c r="E34" s="28">
        <v>425000</v>
      </c>
      <c r="F34" s="25">
        <v>4246.3900000000003</v>
      </c>
      <c r="G34" s="25">
        <v>0.99</v>
      </c>
    </row>
    <row r="35" spans="2:7">
      <c r="B35" s="27" t="s">
        <v>163</v>
      </c>
      <c r="C35" s="23" t="s">
        <v>164</v>
      </c>
      <c r="D35" s="23" t="s">
        <v>165</v>
      </c>
      <c r="E35" s="28">
        <v>426200</v>
      </c>
      <c r="F35" s="25">
        <v>4244.3100000000004</v>
      </c>
      <c r="G35" s="25">
        <v>0.99</v>
      </c>
    </row>
    <row r="36" spans="2:7">
      <c r="B36" s="27" t="s">
        <v>224</v>
      </c>
      <c r="C36" s="23" t="s">
        <v>225</v>
      </c>
      <c r="D36" s="23" t="s">
        <v>152</v>
      </c>
      <c r="E36" s="28">
        <v>107500</v>
      </c>
      <c r="F36" s="25">
        <v>4185.9399999999996</v>
      </c>
      <c r="G36" s="25">
        <v>0.98</v>
      </c>
    </row>
    <row r="37" spans="2:7">
      <c r="B37" s="27" t="s">
        <v>273</v>
      </c>
      <c r="C37" s="23" t="s">
        <v>274</v>
      </c>
      <c r="D37" s="23" t="s">
        <v>275</v>
      </c>
      <c r="E37" s="28">
        <v>13250</v>
      </c>
      <c r="F37" s="25">
        <v>4173.63</v>
      </c>
      <c r="G37" s="25">
        <v>0.98</v>
      </c>
    </row>
    <row r="38" spans="2:7">
      <c r="B38" s="27" t="s">
        <v>262</v>
      </c>
      <c r="C38" s="23" t="s">
        <v>263</v>
      </c>
      <c r="D38" s="23" t="s">
        <v>122</v>
      </c>
      <c r="E38" s="28">
        <v>275000</v>
      </c>
      <c r="F38" s="25">
        <v>4163.5</v>
      </c>
      <c r="G38" s="25">
        <v>0.97</v>
      </c>
    </row>
    <row r="39" spans="2:7">
      <c r="B39" s="27" t="s">
        <v>189</v>
      </c>
      <c r="C39" s="23" t="s">
        <v>190</v>
      </c>
      <c r="D39" s="23" t="s">
        <v>142</v>
      </c>
      <c r="E39" s="28">
        <v>580000</v>
      </c>
      <c r="F39" s="25">
        <v>4162.95</v>
      </c>
      <c r="G39" s="25">
        <v>0.97</v>
      </c>
    </row>
    <row r="40" spans="2:7">
      <c r="B40" s="27" t="s">
        <v>180</v>
      </c>
      <c r="C40" s="23" t="s">
        <v>181</v>
      </c>
      <c r="D40" s="23" t="s">
        <v>122</v>
      </c>
      <c r="E40" s="28">
        <v>750000</v>
      </c>
      <c r="F40" s="25">
        <v>4155.38</v>
      </c>
      <c r="G40" s="25">
        <v>0.97</v>
      </c>
    </row>
    <row r="41" spans="2:7">
      <c r="B41" s="27" t="s">
        <v>193</v>
      </c>
      <c r="C41" s="23" t="s">
        <v>194</v>
      </c>
      <c r="D41" s="23" t="s">
        <v>152</v>
      </c>
      <c r="E41" s="28">
        <v>432000</v>
      </c>
      <c r="F41" s="25">
        <v>4094.5</v>
      </c>
      <c r="G41" s="25">
        <v>0.96</v>
      </c>
    </row>
    <row r="42" spans="2:7">
      <c r="B42" s="27" t="s">
        <v>233</v>
      </c>
      <c r="C42" s="23" t="s">
        <v>234</v>
      </c>
      <c r="D42" s="23" t="s">
        <v>165</v>
      </c>
      <c r="E42" s="28">
        <v>845000</v>
      </c>
      <c r="F42" s="25">
        <v>4000.65</v>
      </c>
      <c r="G42" s="25">
        <v>0.94</v>
      </c>
    </row>
    <row r="43" spans="2:7">
      <c r="B43" s="27" t="s">
        <v>226</v>
      </c>
      <c r="C43" s="23" t="s">
        <v>227</v>
      </c>
      <c r="D43" s="23" t="s">
        <v>80</v>
      </c>
      <c r="E43" s="28">
        <v>1825000</v>
      </c>
      <c r="F43" s="25">
        <v>3989.45</v>
      </c>
      <c r="G43" s="25">
        <v>0.93</v>
      </c>
    </row>
    <row r="44" spans="2:7">
      <c r="B44" s="27" t="s">
        <v>75</v>
      </c>
      <c r="C44" s="23" t="s">
        <v>76</v>
      </c>
      <c r="D44" s="23" t="s">
        <v>77</v>
      </c>
      <c r="E44" s="28">
        <v>540994</v>
      </c>
      <c r="F44" s="25">
        <v>3910.3</v>
      </c>
      <c r="G44" s="25">
        <v>0.92</v>
      </c>
    </row>
    <row r="45" spans="2:7">
      <c r="B45" s="27" t="s">
        <v>284</v>
      </c>
      <c r="C45" s="23" t="s">
        <v>285</v>
      </c>
      <c r="D45" s="23" t="s">
        <v>197</v>
      </c>
      <c r="E45" s="28">
        <v>104000</v>
      </c>
      <c r="F45" s="25">
        <v>3876.96</v>
      </c>
      <c r="G45" s="25">
        <v>0.91</v>
      </c>
    </row>
    <row r="46" spans="2:7">
      <c r="B46" s="27" t="s">
        <v>187</v>
      </c>
      <c r="C46" s="23" t="s">
        <v>188</v>
      </c>
      <c r="D46" s="23" t="s">
        <v>165</v>
      </c>
      <c r="E46" s="28">
        <v>192200</v>
      </c>
      <c r="F46" s="25">
        <v>3693.32</v>
      </c>
      <c r="G46" s="25">
        <v>0.86</v>
      </c>
    </row>
    <row r="47" spans="2:7">
      <c r="B47" s="27" t="s">
        <v>200</v>
      </c>
      <c r="C47" s="23" t="s">
        <v>201</v>
      </c>
      <c r="D47" s="23" t="s">
        <v>152</v>
      </c>
      <c r="E47" s="28">
        <v>19035</v>
      </c>
      <c r="F47" s="25">
        <v>3668.44</v>
      </c>
      <c r="G47" s="25">
        <v>0.86</v>
      </c>
    </row>
    <row r="48" spans="2:7">
      <c r="B48" s="27" t="s">
        <v>212</v>
      </c>
      <c r="C48" s="23" t="s">
        <v>213</v>
      </c>
      <c r="D48" s="23" t="s">
        <v>197</v>
      </c>
      <c r="E48" s="28">
        <v>1275000</v>
      </c>
      <c r="F48" s="25">
        <v>3663.08</v>
      </c>
      <c r="G48" s="25">
        <v>0.86</v>
      </c>
    </row>
    <row r="49" spans="2:9">
      <c r="B49" s="27" t="s">
        <v>237</v>
      </c>
      <c r="C49" s="23" t="s">
        <v>238</v>
      </c>
      <c r="D49" s="23" t="s">
        <v>152</v>
      </c>
      <c r="E49" s="28">
        <v>75900</v>
      </c>
      <c r="F49" s="25">
        <v>3570.37</v>
      </c>
      <c r="G49" s="25">
        <v>0.84</v>
      </c>
    </row>
    <row r="50" spans="2:9">
      <c r="B50" s="27" t="s">
        <v>208</v>
      </c>
      <c r="C50" s="23" t="s">
        <v>209</v>
      </c>
      <c r="D50" s="23" t="s">
        <v>197</v>
      </c>
      <c r="E50" s="28">
        <v>50400</v>
      </c>
      <c r="F50" s="25">
        <v>3450.43</v>
      </c>
      <c r="G50" s="25">
        <v>0.81</v>
      </c>
    </row>
    <row r="51" spans="2:9">
      <c r="B51" s="27" t="s">
        <v>177</v>
      </c>
      <c r="C51" s="23" t="s">
        <v>178</v>
      </c>
      <c r="D51" s="23" t="s">
        <v>179</v>
      </c>
      <c r="E51" s="28">
        <v>87055</v>
      </c>
      <c r="F51" s="25">
        <v>2954.65</v>
      </c>
      <c r="G51" s="25">
        <v>0.69</v>
      </c>
    </row>
    <row r="52" spans="2:9">
      <c r="B52" s="27" t="s">
        <v>214</v>
      </c>
      <c r="C52" s="23" t="s">
        <v>215</v>
      </c>
      <c r="D52" s="23" t="s">
        <v>129</v>
      </c>
      <c r="E52" s="28">
        <v>67594</v>
      </c>
      <c r="F52" s="25">
        <v>2702.07</v>
      </c>
      <c r="G52" s="25">
        <v>0.63</v>
      </c>
    </row>
    <row r="53" spans="2:9">
      <c r="B53" s="27" t="s">
        <v>290</v>
      </c>
      <c r="C53" s="23" t="s">
        <v>291</v>
      </c>
      <c r="D53" s="23" t="s">
        <v>142</v>
      </c>
      <c r="E53" s="28">
        <v>154786</v>
      </c>
      <c r="F53" s="25">
        <v>2468.2199999999998</v>
      </c>
      <c r="G53" s="25">
        <v>0.57999999999999996</v>
      </c>
    </row>
    <row r="54" spans="2:9">
      <c r="B54" s="27" t="s">
        <v>239</v>
      </c>
      <c r="C54" s="23" t="s">
        <v>240</v>
      </c>
      <c r="D54" s="23" t="s">
        <v>129</v>
      </c>
      <c r="E54" s="28">
        <v>155000</v>
      </c>
      <c r="F54" s="25">
        <v>1703.92</v>
      </c>
      <c r="G54" s="25">
        <v>0.4</v>
      </c>
    </row>
    <row r="55" spans="2:9">
      <c r="B55" s="27" t="s">
        <v>292</v>
      </c>
      <c r="C55" s="23" t="s">
        <v>293</v>
      </c>
      <c r="D55" s="23" t="s">
        <v>63</v>
      </c>
      <c r="E55" s="28">
        <v>50000</v>
      </c>
      <c r="F55" s="25">
        <v>750.2</v>
      </c>
      <c r="G55" s="25">
        <v>0.18</v>
      </c>
    </row>
    <row r="56" spans="2:9">
      <c r="B56" s="29" t="s">
        <v>106</v>
      </c>
      <c r="C56" s="30"/>
      <c r="D56" s="30"/>
      <c r="E56" s="31"/>
      <c r="F56" s="32">
        <f>SUM(F7:F55)</f>
        <v>407226.50000000012</v>
      </c>
      <c r="G56" s="32">
        <f>SUM(G7:G55)</f>
        <v>95.34</v>
      </c>
      <c r="H56" s="14"/>
      <c r="I56" s="14"/>
    </row>
    <row r="57" spans="2:9">
      <c r="B57" s="37" t="s">
        <v>107</v>
      </c>
      <c r="C57" s="37"/>
      <c r="D57" s="37"/>
      <c r="E57" s="38"/>
      <c r="F57" s="39">
        <f>F56</f>
        <v>407226.50000000012</v>
      </c>
      <c r="G57" s="39">
        <f>G56</f>
        <v>95.34</v>
      </c>
      <c r="H57" s="14"/>
      <c r="I57" s="14"/>
    </row>
    <row r="58" spans="2:9">
      <c r="B58" s="40" t="s">
        <v>108</v>
      </c>
      <c r="C58" s="41"/>
      <c r="D58" s="41"/>
      <c r="E58" s="42"/>
      <c r="F58" s="43"/>
      <c r="G58" s="43"/>
    </row>
    <row r="59" spans="2:9">
      <c r="B59" s="27" t="s">
        <v>108</v>
      </c>
      <c r="C59" s="23"/>
      <c r="D59" s="23"/>
      <c r="E59" s="24"/>
      <c r="F59" s="25">
        <v>23177.279999999999</v>
      </c>
      <c r="G59" s="25">
        <v>5.43</v>
      </c>
    </row>
    <row r="60" spans="2:9">
      <c r="B60" s="29" t="s">
        <v>106</v>
      </c>
      <c r="C60" s="30"/>
      <c r="D60" s="30"/>
      <c r="E60" s="31"/>
      <c r="F60" s="32">
        <f>SUM(F58:F59)</f>
        <v>23177.279999999999</v>
      </c>
      <c r="G60" s="32">
        <f>SUM(G58:G59)</f>
        <v>5.43</v>
      </c>
      <c r="H60" s="14"/>
      <c r="I60" s="14"/>
    </row>
    <row r="61" spans="2:9">
      <c r="B61" s="34" t="s">
        <v>107</v>
      </c>
      <c r="C61" s="34"/>
      <c r="D61" s="34"/>
      <c r="E61" s="35"/>
      <c r="F61" s="36">
        <f>F60</f>
        <v>23177.279999999999</v>
      </c>
      <c r="G61" s="36">
        <f>G60</f>
        <v>5.43</v>
      </c>
      <c r="H61" s="14"/>
      <c r="I61" s="14"/>
    </row>
    <row r="62" spans="2:9">
      <c r="B62" s="44" t="s">
        <v>110</v>
      </c>
      <c r="C62" s="44"/>
      <c r="D62" s="44"/>
      <c r="E62" s="45"/>
      <c r="F62" s="16">
        <f>F63-(+F57+F61)</f>
        <v>-3236.590000000142</v>
      </c>
      <c r="G62" s="16">
        <f>G63-(+G57+G61)</f>
        <v>-0.77000000000001023</v>
      </c>
      <c r="H62" s="14"/>
      <c r="I62" s="14"/>
    </row>
    <row r="63" spans="2:9">
      <c r="B63" s="44" t="s">
        <v>109</v>
      </c>
      <c r="C63" s="44"/>
      <c r="D63" s="44"/>
      <c r="E63" s="45"/>
      <c r="F63" s="16">
        <v>427167.19</v>
      </c>
      <c r="G63" s="16">
        <v>100</v>
      </c>
      <c r="H63" s="14"/>
      <c r="I63" s="14"/>
    </row>
    <row r="65" spans="2:2">
      <c r="B65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9"/>
  <sheetViews>
    <sheetView workbookViewId="0">
      <selection activeCell="B19" sqref="B19"/>
    </sheetView>
  </sheetViews>
  <sheetFormatPr defaultRowHeight="12"/>
  <cols>
    <col min="1" max="1" width="9.140625" style="1"/>
    <col min="2" max="2" width="57.425781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14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35</v>
      </c>
      <c r="C7" s="23" t="s">
        <v>36</v>
      </c>
      <c r="D7" s="23" t="s">
        <v>37</v>
      </c>
      <c r="E7" s="28">
        <v>1574310</v>
      </c>
      <c r="F7" s="25">
        <v>5233.01</v>
      </c>
      <c r="G7" s="25">
        <v>3.53</v>
      </c>
    </row>
    <row r="8" spans="2:7">
      <c r="B8" s="27" t="s">
        <v>56</v>
      </c>
      <c r="C8" s="23" t="s">
        <v>57</v>
      </c>
      <c r="D8" s="23" t="s">
        <v>58</v>
      </c>
      <c r="E8" s="28">
        <v>67520</v>
      </c>
      <c r="F8" s="25">
        <v>4895.6099999999997</v>
      </c>
      <c r="G8" s="25">
        <v>3.31</v>
      </c>
    </row>
    <row r="9" spans="2:7">
      <c r="B9" s="27" t="s">
        <v>278</v>
      </c>
      <c r="C9" s="23" t="s">
        <v>279</v>
      </c>
      <c r="D9" s="23" t="s">
        <v>270</v>
      </c>
      <c r="E9" s="28">
        <v>382881</v>
      </c>
      <c r="F9" s="25">
        <v>4576.7700000000004</v>
      </c>
      <c r="G9" s="25">
        <v>3.09</v>
      </c>
    </row>
    <row r="10" spans="2:7">
      <c r="B10" s="27" t="s">
        <v>294</v>
      </c>
      <c r="C10" s="23" t="s">
        <v>295</v>
      </c>
      <c r="D10" s="23" t="s">
        <v>270</v>
      </c>
      <c r="E10" s="28">
        <v>119496</v>
      </c>
      <c r="F10" s="25">
        <v>4560.8599999999997</v>
      </c>
      <c r="G10" s="25">
        <v>3.08</v>
      </c>
    </row>
    <row r="11" spans="2:7">
      <c r="B11" s="27" t="s">
        <v>296</v>
      </c>
      <c r="C11" s="23" t="s">
        <v>297</v>
      </c>
      <c r="D11" s="23" t="s">
        <v>96</v>
      </c>
      <c r="E11" s="28">
        <v>4610000</v>
      </c>
      <c r="F11" s="25">
        <v>4183.58</v>
      </c>
      <c r="G11" s="25">
        <v>2.83</v>
      </c>
    </row>
    <row r="12" spans="2:7">
      <c r="B12" s="27" t="s">
        <v>47</v>
      </c>
      <c r="C12" s="23" t="s">
        <v>48</v>
      </c>
      <c r="D12" s="23" t="s">
        <v>37</v>
      </c>
      <c r="E12" s="28">
        <v>1327658</v>
      </c>
      <c r="F12" s="25">
        <v>4170.84</v>
      </c>
      <c r="G12" s="25">
        <v>2.82</v>
      </c>
    </row>
    <row r="13" spans="2:7">
      <c r="B13" s="27" t="s">
        <v>67</v>
      </c>
      <c r="C13" s="23" t="s">
        <v>68</v>
      </c>
      <c r="D13" s="23" t="s">
        <v>58</v>
      </c>
      <c r="E13" s="28">
        <v>322736</v>
      </c>
      <c r="F13" s="25">
        <v>4166.3599999999997</v>
      </c>
      <c r="G13" s="25">
        <v>2.81</v>
      </c>
    </row>
    <row r="14" spans="2:7">
      <c r="B14" s="27" t="s">
        <v>298</v>
      </c>
      <c r="C14" s="23" t="s">
        <v>299</v>
      </c>
      <c r="D14" s="23" t="s">
        <v>270</v>
      </c>
      <c r="E14" s="28">
        <v>334897</v>
      </c>
      <c r="F14" s="25">
        <v>4043.55</v>
      </c>
      <c r="G14" s="25">
        <v>2.73</v>
      </c>
    </row>
    <row r="15" spans="2:7">
      <c r="B15" s="27" t="s">
        <v>300</v>
      </c>
      <c r="C15" s="23" t="s">
        <v>301</v>
      </c>
      <c r="D15" s="23" t="s">
        <v>275</v>
      </c>
      <c r="E15" s="28">
        <v>219716</v>
      </c>
      <c r="F15" s="25">
        <v>3895.45</v>
      </c>
      <c r="G15" s="25">
        <v>2.63</v>
      </c>
    </row>
    <row r="16" spans="2:7">
      <c r="B16" s="27" t="s">
        <v>302</v>
      </c>
      <c r="C16" s="23" t="s">
        <v>303</v>
      </c>
      <c r="D16" s="23" t="s">
        <v>165</v>
      </c>
      <c r="E16" s="28">
        <v>84783</v>
      </c>
      <c r="F16" s="25">
        <v>3765.51</v>
      </c>
      <c r="G16" s="25">
        <v>2.54</v>
      </c>
    </row>
    <row r="17" spans="2:7">
      <c r="B17" s="27" t="s">
        <v>222</v>
      </c>
      <c r="C17" s="23" t="s">
        <v>223</v>
      </c>
      <c r="D17" s="23" t="s">
        <v>115</v>
      </c>
      <c r="E17" s="28">
        <v>111530</v>
      </c>
      <c r="F17" s="25">
        <v>3705.08</v>
      </c>
      <c r="G17" s="25">
        <v>2.5</v>
      </c>
    </row>
    <row r="18" spans="2:7">
      <c r="B18" s="27" t="s">
        <v>304</v>
      </c>
      <c r="C18" s="23" t="s">
        <v>305</v>
      </c>
      <c r="D18" s="23" t="s">
        <v>122</v>
      </c>
      <c r="E18" s="28">
        <v>3138793</v>
      </c>
      <c r="F18" s="25">
        <v>3700.64</v>
      </c>
      <c r="G18" s="25">
        <v>2.5</v>
      </c>
    </row>
    <row r="19" spans="2:7">
      <c r="B19" s="27" t="s">
        <v>185</v>
      </c>
      <c r="C19" s="23" t="s">
        <v>186</v>
      </c>
      <c r="D19" s="23" t="s">
        <v>122</v>
      </c>
      <c r="E19" s="28">
        <v>626000</v>
      </c>
      <c r="F19" s="25">
        <v>3574.15</v>
      </c>
      <c r="G19" s="25">
        <v>2.41</v>
      </c>
    </row>
    <row r="20" spans="2:7">
      <c r="B20" s="27" t="s">
        <v>306</v>
      </c>
      <c r="C20" s="23" t="s">
        <v>307</v>
      </c>
      <c r="D20" s="23" t="s">
        <v>270</v>
      </c>
      <c r="E20" s="28">
        <v>293016</v>
      </c>
      <c r="F20" s="25">
        <v>3481.47</v>
      </c>
      <c r="G20" s="25">
        <v>2.35</v>
      </c>
    </row>
    <row r="21" spans="2:7">
      <c r="B21" s="27" t="s">
        <v>308</v>
      </c>
      <c r="C21" s="23" t="s">
        <v>309</v>
      </c>
      <c r="D21" s="23" t="s">
        <v>53</v>
      </c>
      <c r="E21" s="28">
        <v>947528</v>
      </c>
      <c r="F21" s="25">
        <v>3409.68</v>
      </c>
      <c r="G21" s="25">
        <v>2.2999999999999998</v>
      </c>
    </row>
    <row r="22" spans="2:7">
      <c r="B22" s="27" t="s">
        <v>310</v>
      </c>
      <c r="C22" s="23" t="s">
        <v>311</v>
      </c>
      <c r="D22" s="23" t="s">
        <v>58</v>
      </c>
      <c r="E22" s="28">
        <v>833505</v>
      </c>
      <c r="F22" s="25">
        <v>3024.79</v>
      </c>
      <c r="G22" s="25">
        <v>2.04</v>
      </c>
    </row>
    <row r="23" spans="2:7">
      <c r="B23" s="27" t="s">
        <v>312</v>
      </c>
      <c r="C23" s="23" t="s">
        <v>313</v>
      </c>
      <c r="D23" s="23" t="s">
        <v>53</v>
      </c>
      <c r="E23" s="28">
        <v>953817</v>
      </c>
      <c r="F23" s="25">
        <v>3015.97</v>
      </c>
      <c r="G23" s="25">
        <v>2.04</v>
      </c>
    </row>
    <row r="24" spans="2:7">
      <c r="B24" s="27" t="s">
        <v>314</v>
      </c>
      <c r="C24" s="23" t="s">
        <v>315</v>
      </c>
      <c r="D24" s="23" t="s">
        <v>58</v>
      </c>
      <c r="E24" s="28">
        <v>1279685</v>
      </c>
      <c r="F24" s="25">
        <v>2979.75</v>
      </c>
      <c r="G24" s="25">
        <v>2.0099999999999998</v>
      </c>
    </row>
    <row r="25" spans="2:7">
      <c r="B25" s="27" t="s">
        <v>316</v>
      </c>
      <c r="C25" s="23" t="s">
        <v>317</v>
      </c>
      <c r="D25" s="23" t="s">
        <v>270</v>
      </c>
      <c r="E25" s="28">
        <v>233142</v>
      </c>
      <c r="F25" s="25">
        <v>2793.97</v>
      </c>
      <c r="G25" s="25">
        <v>1.89</v>
      </c>
    </row>
    <row r="26" spans="2:7">
      <c r="B26" s="27" t="s">
        <v>318</v>
      </c>
      <c r="C26" s="23" t="s">
        <v>319</v>
      </c>
      <c r="D26" s="23" t="s">
        <v>179</v>
      </c>
      <c r="E26" s="28">
        <v>989404</v>
      </c>
      <c r="F26" s="25">
        <v>2789.13</v>
      </c>
      <c r="G26" s="25">
        <v>1.88</v>
      </c>
    </row>
    <row r="27" spans="2:7">
      <c r="B27" s="27" t="s">
        <v>259</v>
      </c>
      <c r="C27" s="23" t="s">
        <v>260</v>
      </c>
      <c r="D27" s="23" t="s">
        <v>261</v>
      </c>
      <c r="E27" s="28">
        <v>355000</v>
      </c>
      <c r="F27" s="25">
        <v>2760.13</v>
      </c>
      <c r="G27" s="25">
        <v>1.86</v>
      </c>
    </row>
    <row r="28" spans="2:7">
      <c r="B28" s="27" t="s">
        <v>320</v>
      </c>
      <c r="C28" s="23" t="s">
        <v>321</v>
      </c>
      <c r="D28" s="23" t="s">
        <v>103</v>
      </c>
      <c r="E28" s="28">
        <v>647068</v>
      </c>
      <c r="F28" s="25">
        <v>2754.89</v>
      </c>
      <c r="G28" s="25">
        <v>1.86</v>
      </c>
    </row>
    <row r="29" spans="2:7">
      <c r="B29" s="27" t="s">
        <v>322</v>
      </c>
      <c r="C29" s="23" t="s">
        <v>323</v>
      </c>
      <c r="D29" s="23" t="s">
        <v>184</v>
      </c>
      <c r="E29" s="28">
        <v>86351</v>
      </c>
      <c r="F29" s="25">
        <v>2721.74</v>
      </c>
      <c r="G29" s="25">
        <v>1.84</v>
      </c>
    </row>
    <row r="30" spans="2:7">
      <c r="B30" s="27" t="s">
        <v>324</v>
      </c>
      <c r="C30" s="23" t="s">
        <v>325</v>
      </c>
      <c r="D30" s="23" t="s">
        <v>165</v>
      </c>
      <c r="E30" s="28">
        <v>1431976</v>
      </c>
      <c r="F30" s="25">
        <v>2563.9499999999998</v>
      </c>
      <c r="G30" s="25">
        <v>1.73</v>
      </c>
    </row>
    <row r="31" spans="2:7">
      <c r="B31" s="27" t="s">
        <v>326</v>
      </c>
      <c r="C31" s="23" t="s">
        <v>327</v>
      </c>
      <c r="D31" s="23" t="s">
        <v>129</v>
      </c>
      <c r="E31" s="28">
        <v>690000</v>
      </c>
      <c r="F31" s="25">
        <v>2546.4499999999998</v>
      </c>
      <c r="G31" s="25">
        <v>1.72</v>
      </c>
    </row>
    <row r="32" spans="2:7">
      <c r="B32" s="27" t="s">
        <v>328</v>
      </c>
      <c r="C32" s="23" t="s">
        <v>329</v>
      </c>
      <c r="D32" s="23" t="s">
        <v>270</v>
      </c>
      <c r="E32" s="28">
        <v>500489</v>
      </c>
      <c r="F32" s="25">
        <v>2526.7199999999998</v>
      </c>
      <c r="G32" s="25">
        <v>1.71</v>
      </c>
    </row>
    <row r="33" spans="2:7">
      <c r="B33" s="27" t="s">
        <v>83</v>
      </c>
      <c r="C33" s="23" t="s">
        <v>84</v>
      </c>
      <c r="D33" s="23" t="s">
        <v>37</v>
      </c>
      <c r="E33" s="28">
        <v>328150</v>
      </c>
      <c r="F33" s="25">
        <v>2496.0700000000002</v>
      </c>
      <c r="G33" s="25">
        <v>1.69</v>
      </c>
    </row>
    <row r="34" spans="2:7">
      <c r="B34" s="27" t="s">
        <v>282</v>
      </c>
      <c r="C34" s="23" t="s">
        <v>283</v>
      </c>
      <c r="D34" s="23" t="s">
        <v>165</v>
      </c>
      <c r="E34" s="28">
        <v>529682</v>
      </c>
      <c r="F34" s="25">
        <v>2466.1999999999998</v>
      </c>
      <c r="G34" s="25">
        <v>1.67</v>
      </c>
    </row>
    <row r="35" spans="2:7">
      <c r="B35" s="27" t="s">
        <v>330</v>
      </c>
      <c r="C35" s="23" t="s">
        <v>331</v>
      </c>
      <c r="D35" s="23" t="s">
        <v>184</v>
      </c>
      <c r="E35" s="28">
        <v>879870</v>
      </c>
      <c r="F35" s="25">
        <v>2434.6</v>
      </c>
      <c r="G35" s="25">
        <v>1.64</v>
      </c>
    </row>
    <row r="36" spans="2:7">
      <c r="B36" s="27" t="s">
        <v>332</v>
      </c>
      <c r="C36" s="23" t="s">
        <v>333</v>
      </c>
      <c r="D36" s="23" t="s">
        <v>137</v>
      </c>
      <c r="E36" s="28">
        <v>66922</v>
      </c>
      <c r="F36" s="25">
        <v>2404.94</v>
      </c>
      <c r="G36" s="25">
        <v>1.62</v>
      </c>
    </row>
    <row r="37" spans="2:7">
      <c r="B37" s="27" t="s">
        <v>81</v>
      </c>
      <c r="C37" s="23" t="s">
        <v>82</v>
      </c>
      <c r="D37" s="23" t="s">
        <v>58</v>
      </c>
      <c r="E37" s="28">
        <v>140771</v>
      </c>
      <c r="F37" s="25">
        <v>2337.71</v>
      </c>
      <c r="G37" s="25">
        <v>1.58</v>
      </c>
    </row>
    <row r="38" spans="2:7">
      <c r="B38" s="27" t="s">
        <v>49</v>
      </c>
      <c r="C38" s="23" t="s">
        <v>50</v>
      </c>
      <c r="D38" s="23" t="s">
        <v>37</v>
      </c>
      <c r="E38" s="28">
        <v>362124</v>
      </c>
      <c r="F38" s="25">
        <v>2256.21</v>
      </c>
      <c r="G38" s="25">
        <v>1.52</v>
      </c>
    </row>
    <row r="39" spans="2:7">
      <c r="B39" s="27" t="s">
        <v>334</v>
      </c>
      <c r="C39" s="23" t="s">
        <v>335</v>
      </c>
      <c r="D39" s="23" t="s">
        <v>40</v>
      </c>
      <c r="E39" s="28">
        <v>1768743</v>
      </c>
      <c r="F39" s="25">
        <v>2210.9299999999998</v>
      </c>
      <c r="G39" s="25">
        <v>1.49</v>
      </c>
    </row>
    <row r="40" spans="2:7">
      <c r="B40" s="27" t="s">
        <v>336</v>
      </c>
      <c r="C40" s="23" t="s">
        <v>337</v>
      </c>
      <c r="D40" s="23" t="s">
        <v>184</v>
      </c>
      <c r="E40" s="28">
        <v>145000</v>
      </c>
      <c r="F40" s="25">
        <v>2207.63</v>
      </c>
      <c r="G40" s="25">
        <v>1.49</v>
      </c>
    </row>
    <row r="41" spans="2:7">
      <c r="B41" s="27" t="s">
        <v>338</v>
      </c>
      <c r="C41" s="23" t="s">
        <v>339</v>
      </c>
      <c r="D41" s="23" t="s">
        <v>58</v>
      </c>
      <c r="E41" s="28">
        <v>465306</v>
      </c>
      <c r="F41" s="25">
        <v>2202.29</v>
      </c>
      <c r="G41" s="25">
        <v>1.49</v>
      </c>
    </row>
    <row r="42" spans="2:7">
      <c r="B42" s="27" t="s">
        <v>59</v>
      </c>
      <c r="C42" s="23" t="s">
        <v>60</v>
      </c>
      <c r="D42" s="23" t="s">
        <v>43</v>
      </c>
      <c r="E42" s="28">
        <v>5425</v>
      </c>
      <c r="F42" s="25">
        <v>2148.5700000000002</v>
      </c>
      <c r="G42" s="25">
        <v>1.45</v>
      </c>
    </row>
    <row r="43" spans="2:7">
      <c r="B43" s="27" t="s">
        <v>340</v>
      </c>
      <c r="C43" s="23" t="s">
        <v>341</v>
      </c>
      <c r="D43" s="23" t="s">
        <v>122</v>
      </c>
      <c r="E43" s="28">
        <v>305411</v>
      </c>
      <c r="F43" s="25">
        <v>2144.44</v>
      </c>
      <c r="G43" s="25">
        <v>1.45</v>
      </c>
    </row>
    <row r="44" spans="2:7">
      <c r="B44" s="27" t="s">
        <v>342</v>
      </c>
      <c r="C44" s="23" t="s">
        <v>343</v>
      </c>
      <c r="D44" s="23" t="s">
        <v>344</v>
      </c>
      <c r="E44" s="28">
        <v>51700</v>
      </c>
      <c r="F44" s="25">
        <v>2128</v>
      </c>
      <c r="G44" s="25">
        <v>1.44</v>
      </c>
    </row>
    <row r="45" spans="2:7">
      <c r="B45" s="27" t="s">
        <v>51</v>
      </c>
      <c r="C45" s="23" t="s">
        <v>52</v>
      </c>
      <c r="D45" s="23" t="s">
        <v>53</v>
      </c>
      <c r="E45" s="28">
        <v>143353</v>
      </c>
      <c r="F45" s="25">
        <v>2096.8200000000002</v>
      </c>
      <c r="G45" s="25">
        <v>1.42</v>
      </c>
    </row>
    <row r="46" spans="2:7">
      <c r="B46" s="27" t="s">
        <v>345</v>
      </c>
      <c r="C46" s="23" t="s">
        <v>346</v>
      </c>
      <c r="D46" s="23" t="s">
        <v>80</v>
      </c>
      <c r="E46" s="28">
        <v>648968</v>
      </c>
      <c r="F46" s="25">
        <v>2032.89</v>
      </c>
      <c r="G46" s="25">
        <v>1.37</v>
      </c>
    </row>
    <row r="47" spans="2:7">
      <c r="B47" s="27" t="s">
        <v>347</v>
      </c>
      <c r="C47" s="23" t="s">
        <v>348</v>
      </c>
      <c r="D47" s="23" t="s">
        <v>184</v>
      </c>
      <c r="E47" s="28">
        <v>87175</v>
      </c>
      <c r="F47" s="25">
        <v>1990.73</v>
      </c>
      <c r="G47" s="25">
        <v>1.34</v>
      </c>
    </row>
    <row r="48" spans="2:7">
      <c r="B48" s="27" t="s">
        <v>349</v>
      </c>
      <c r="C48" s="23" t="s">
        <v>350</v>
      </c>
      <c r="D48" s="23" t="s">
        <v>165</v>
      </c>
      <c r="E48" s="28">
        <v>748046</v>
      </c>
      <c r="F48" s="25">
        <v>1937.44</v>
      </c>
      <c r="G48" s="25">
        <v>1.31</v>
      </c>
    </row>
    <row r="49" spans="2:9">
      <c r="B49" s="27" t="s">
        <v>351</v>
      </c>
      <c r="C49" s="23" t="s">
        <v>352</v>
      </c>
      <c r="D49" s="23" t="s">
        <v>129</v>
      </c>
      <c r="E49" s="28">
        <v>478000</v>
      </c>
      <c r="F49" s="25">
        <v>1929.93</v>
      </c>
      <c r="G49" s="25">
        <v>1.3</v>
      </c>
    </row>
    <row r="50" spans="2:9">
      <c r="B50" s="27" t="s">
        <v>253</v>
      </c>
      <c r="C50" s="23" t="s">
        <v>254</v>
      </c>
      <c r="D50" s="23" t="s">
        <v>122</v>
      </c>
      <c r="E50" s="28">
        <v>471000</v>
      </c>
      <c r="F50" s="25">
        <v>1894.6</v>
      </c>
      <c r="G50" s="25">
        <v>1.28</v>
      </c>
    </row>
    <row r="51" spans="2:9">
      <c r="B51" s="27" t="s">
        <v>251</v>
      </c>
      <c r="C51" s="23" t="s">
        <v>252</v>
      </c>
      <c r="D51" s="23" t="s">
        <v>137</v>
      </c>
      <c r="E51" s="28">
        <v>892941</v>
      </c>
      <c r="F51" s="25">
        <v>1858.21</v>
      </c>
      <c r="G51" s="25">
        <v>1.26</v>
      </c>
    </row>
    <row r="52" spans="2:9">
      <c r="B52" s="27" t="s">
        <v>353</v>
      </c>
      <c r="C52" s="23" t="s">
        <v>354</v>
      </c>
      <c r="D52" s="23" t="s">
        <v>122</v>
      </c>
      <c r="E52" s="28">
        <v>78780</v>
      </c>
      <c r="F52" s="25">
        <v>1651.82</v>
      </c>
      <c r="G52" s="25">
        <v>1.1200000000000001</v>
      </c>
    </row>
    <row r="53" spans="2:9">
      <c r="B53" s="27" t="s">
        <v>355</v>
      </c>
      <c r="C53" s="23" t="s">
        <v>356</v>
      </c>
      <c r="D53" s="23" t="s">
        <v>40</v>
      </c>
      <c r="E53" s="28">
        <v>1786283</v>
      </c>
      <c r="F53" s="25">
        <v>1646.06</v>
      </c>
      <c r="G53" s="25">
        <v>1.1100000000000001</v>
      </c>
    </row>
    <row r="54" spans="2:9">
      <c r="B54" s="27" t="s">
        <v>357</v>
      </c>
      <c r="C54" s="23" t="s">
        <v>358</v>
      </c>
      <c r="D54" s="23" t="s">
        <v>184</v>
      </c>
      <c r="E54" s="28">
        <v>53712</v>
      </c>
      <c r="F54" s="25">
        <v>1527.3</v>
      </c>
      <c r="G54" s="25">
        <v>1.03</v>
      </c>
    </row>
    <row r="55" spans="2:9">
      <c r="B55" s="27" t="s">
        <v>69</v>
      </c>
      <c r="C55" s="23" t="s">
        <v>70</v>
      </c>
      <c r="D55" s="23" t="s">
        <v>37</v>
      </c>
      <c r="E55" s="28">
        <v>393000</v>
      </c>
      <c r="F55" s="25">
        <v>1500.28</v>
      </c>
      <c r="G55" s="25">
        <v>1.01</v>
      </c>
    </row>
    <row r="56" spans="2:9">
      <c r="B56" s="27" t="s">
        <v>359</v>
      </c>
      <c r="C56" s="23" t="s">
        <v>360</v>
      </c>
      <c r="D56" s="23" t="s">
        <v>165</v>
      </c>
      <c r="E56" s="28">
        <v>106297</v>
      </c>
      <c r="F56" s="25">
        <v>1446.33</v>
      </c>
      <c r="G56" s="25">
        <v>0.98</v>
      </c>
    </row>
    <row r="57" spans="2:9">
      <c r="B57" s="27" t="s">
        <v>361</v>
      </c>
      <c r="C57" s="23" t="s">
        <v>362</v>
      </c>
      <c r="D57" s="23" t="s">
        <v>270</v>
      </c>
      <c r="E57" s="28">
        <v>39077</v>
      </c>
      <c r="F57" s="25">
        <v>1379.24</v>
      </c>
      <c r="G57" s="25">
        <v>0.93</v>
      </c>
    </row>
    <row r="58" spans="2:9">
      <c r="B58" s="27" t="s">
        <v>85</v>
      </c>
      <c r="C58" s="23" t="s">
        <v>86</v>
      </c>
      <c r="D58" s="23" t="s">
        <v>43</v>
      </c>
      <c r="E58" s="28">
        <v>73669</v>
      </c>
      <c r="F58" s="25">
        <v>1036.93</v>
      </c>
      <c r="G58" s="25">
        <v>0.7</v>
      </c>
    </row>
    <row r="59" spans="2:9">
      <c r="B59" s="27" t="s">
        <v>363</v>
      </c>
      <c r="C59" s="23" t="s">
        <v>364</v>
      </c>
      <c r="D59" s="23" t="s">
        <v>89</v>
      </c>
      <c r="E59" s="28">
        <v>75494</v>
      </c>
      <c r="F59" s="25">
        <v>460.02</v>
      </c>
      <c r="G59" s="25">
        <v>0.31</v>
      </c>
    </row>
    <row r="60" spans="2:9">
      <c r="B60" s="29" t="s">
        <v>106</v>
      </c>
      <c r="C60" s="30"/>
      <c r="D60" s="30"/>
      <c r="E60" s="31"/>
      <c r="F60" s="32">
        <f>SUM(F7:F59)</f>
        <v>143666.23999999999</v>
      </c>
      <c r="G60" s="32">
        <f>SUM(G7:G59)</f>
        <v>97.010000000000019</v>
      </c>
      <c r="H60" s="14"/>
      <c r="I60" s="14"/>
    </row>
    <row r="61" spans="2:9">
      <c r="B61" s="37" t="s">
        <v>107</v>
      </c>
      <c r="C61" s="37"/>
      <c r="D61" s="37"/>
      <c r="E61" s="38"/>
      <c r="F61" s="39">
        <f>F60</f>
        <v>143666.23999999999</v>
      </c>
      <c r="G61" s="39">
        <f>G60</f>
        <v>97.010000000000019</v>
      </c>
      <c r="H61" s="14"/>
      <c r="I61" s="14"/>
    </row>
    <row r="62" spans="2:9">
      <c r="B62" s="40" t="s">
        <v>108</v>
      </c>
      <c r="C62" s="41"/>
      <c r="D62" s="41"/>
      <c r="E62" s="42"/>
      <c r="F62" s="43"/>
      <c r="G62" s="43"/>
    </row>
    <row r="63" spans="2:9">
      <c r="B63" s="27" t="s">
        <v>108</v>
      </c>
      <c r="C63" s="23"/>
      <c r="D63" s="23"/>
      <c r="E63" s="24"/>
      <c r="F63" s="25">
        <v>5197.33</v>
      </c>
      <c r="G63" s="25">
        <v>3.51</v>
      </c>
    </row>
    <row r="64" spans="2:9">
      <c r="B64" s="29" t="s">
        <v>106</v>
      </c>
      <c r="C64" s="30"/>
      <c r="D64" s="30"/>
      <c r="E64" s="31"/>
      <c r="F64" s="32">
        <f>SUM(F62:F63)</f>
        <v>5197.33</v>
      </c>
      <c r="G64" s="32">
        <f>SUM(G62:G63)</f>
        <v>3.51</v>
      </c>
      <c r="H64" s="14"/>
      <c r="I64" s="14"/>
    </row>
    <row r="65" spans="2:9">
      <c r="B65" s="34" t="s">
        <v>107</v>
      </c>
      <c r="C65" s="34"/>
      <c r="D65" s="34"/>
      <c r="E65" s="35"/>
      <c r="F65" s="36">
        <f>F64</f>
        <v>5197.33</v>
      </c>
      <c r="G65" s="36">
        <f>G64</f>
        <v>3.51</v>
      </c>
      <c r="H65" s="14"/>
      <c r="I65" s="14"/>
    </row>
    <row r="66" spans="2:9">
      <c r="B66" s="44" t="s">
        <v>110</v>
      </c>
      <c r="C66" s="44"/>
      <c r="D66" s="44"/>
      <c r="E66" s="45"/>
      <c r="F66" s="16">
        <f>F67-(+F61+F65)</f>
        <v>-825.35999999998603</v>
      </c>
      <c r="G66" s="16">
        <f>G67-(+G61+G65)</f>
        <v>-0.52000000000002444</v>
      </c>
      <c r="H66" s="14"/>
      <c r="I66" s="14"/>
    </row>
    <row r="67" spans="2:9">
      <c r="B67" s="44" t="s">
        <v>109</v>
      </c>
      <c r="C67" s="44"/>
      <c r="D67" s="44"/>
      <c r="E67" s="45"/>
      <c r="F67" s="16">
        <v>148038.21</v>
      </c>
      <c r="G67" s="16">
        <v>100</v>
      </c>
      <c r="H67" s="14"/>
      <c r="I67" s="14"/>
    </row>
    <row r="69" spans="2:9">
      <c r="B69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workbookViewId="0">
      <selection activeCell="F5" sqref="F5"/>
    </sheetView>
  </sheetViews>
  <sheetFormatPr defaultRowHeight="12"/>
  <cols>
    <col min="1" max="1" width="9.140625" style="1"/>
    <col min="2" max="2" width="57.42578125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15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30</v>
      </c>
      <c r="C5" s="18"/>
      <c r="D5" s="18"/>
      <c r="E5" s="19"/>
      <c r="F5" s="20"/>
      <c r="G5" s="20"/>
    </row>
    <row r="6" spans="2:7">
      <c r="B6" s="22" t="s">
        <v>31</v>
      </c>
      <c r="C6" s="23"/>
      <c r="D6" s="23"/>
      <c r="E6" s="24"/>
      <c r="F6" s="25"/>
      <c r="G6" s="25"/>
    </row>
    <row r="7" spans="2:7">
      <c r="B7" s="27" t="s">
        <v>111</v>
      </c>
      <c r="C7" s="23" t="s">
        <v>112</v>
      </c>
      <c r="D7" s="23" t="s">
        <v>40</v>
      </c>
      <c r="E7" s="28">
        <v>565000</v>
      </c>
      <c r="F7" s="25">
        <v>8934.91</v>
      </c>
      <c r="G7" s="25">
        <v>8.24</v>
      </c>
    </row>
    <row r="8" spans="2:7">
      <c r="B8" s="27" t="s">
        <v>38</v>
      </c>
      <c r="C8" s="23" t="s">
        <v>39</v>
      </c>
      <c r="D8" s="23" t="s">
        <v>40</v>
      </c>
      <c r="E8" s="28">
        <v>1140000</v>
      </c>
      <c r="F8" s="25">
        <v>8197.17</v>
      </c>
      <c r="G8" s="25">
        <v>7.56</v>
      </c>
    </row>
    <row r="9" spans="2:7">
      <c r="B9" s="27" t="s">
        <v>113</v>
      </c>
      <c r="C9" s="23" t="s">
        <v>114</v>
      </c>
      <c r="D9" s="23" t="s">
        <v>115</v>
      </c>
      <c r="E9" s="28">
        <v>422000</v>
      </c>
      <c r="F9" s="25">
        <v>7201.22</v>
      </c>
      <c r="G9" s="25">
        <v>6.64</v>
      </c>
    </row>
    <row r="10" spans="2:7">
      <c r="B10" s="27" t="s">
        <v>120</v>
      </c>
      <c r="C10" s="23" t="s">
        <v>121</v>
      </c>
      <c r="D10" s="23" t="s">
        <v>122</v>
      </c>
      <c r="E10" s="28">
        <v>71500</v>
      </c>
      <c r="F10" s="25">
        <v>5380.02</v>
      </c>
      <c r="G10" s="25">
        <v>4.96</v>
      </c>
    </row>
    <row r="11" spans="2:7">
      <c r="B11" s="27" t="s">
        <v>116</v>
      </c>
      <c r="C11" s="23" t="s">
        <v>117</v>
      </c>
      <c r="D11" s="23" t="s">
        <v>115</v>
      </c>
      <c r="E11" s="28">
        <v>140000</v>
      </c>
      <c r="F11" s="25">
        <v>5301.03</v>
      </c>
      <c r="G11" s="25">
        <v>4.8899999999999997</v>
      </c>
    </row>
    <row r="12" spans="2:7">
      <c r="B12" s="27" t="s">
        <v>32</v>
      </c>
      <c r="C12" s="23" t="s">
        <v>33</v>
      </c>
      <c r="D12" s="23" t="s">
        <v>34</v>
      </c>
      <c r="E12" s="28">
        <v>290000</v>
      </c>
      <c r="F12" s="25">
        <v>4849.38</v>
      </c>
      <c r="G12" s="25">
        <v>4.47</v>
      </c>
    </row>
    <row r="13" spans="2:7">
      <c r="B13" s="27" t="s">
        <v>54</v>
      </c>
      <c r="C13" s="23" t="s">
        <v>55</v>
      </c>
      <c r="D13" s="23" t="s">
        <v>40</v>
      </c>
      <c r="E13" s="28">
        <v>1095000</v>
      </c>
      <c r="F13" s="25">
        <v>4665.25</v>
      </c>
      <c r="G13" s="25">
        <v>4.3</v>
      </c>
    </row>
    <row r="14" spans="2:7">
      <c r="B14" s="27" t="s">
        <v>135</v>
      </c>
      <c r="C14" s="23" t="s">
        <v>136</v>
      </c>
      <c r="D14" s="23" t="s">
        <v>137</v>
      </c>
      <c r="E14" s="28">
        <v>117500</v>
      </c>
      <c r="F14" s="25">
        <v>4646.8900000000003</v>
      </c>
      <c r="G14" s="25">
        <v>4.28</v>
      </c>
    </row>
    <row r="15" spans="2:7">
      <c r="B15" s="27" t="s">
        <v>125</v>
      </c>
      <c r="C15" s="23" t="s">
        <v>126</v>
      </c>
      <c r="D15" s="23" t="s">
        <v>40</v>
      </c>
      <c r="E15" s="28">
        <v>570000</v>
      </c>
      <c r="F15" s="25">
        <v>4483.05</v>
      </c>
      <c r="G15" s="25">
        <v>4.13</v>
      </c>
    </row>
    <row r="16" spans="2:7">
      <c r="B16" s="27" t="s">
        <v>61</v>
      </c>
      <c r="C16" s="23" t="s">
        <v>62</v>
      </c>
      <c r="D16" s="23" t="s">
        <v>63</v>
      </c>
      <c r="E16" s="28">
        <v>44000</v>
      </c>
      <c r="F16" s="25">
        <v>3446.28</v>
      </c>
      <c r="G16" s="25">
        <v>3.18</v>
      </c>
    </row>
    <row r="17" spans="2:7">
      <c r="B17" s="27" t="s">
        <v>130</v>
      </c>
      <c r="C17" s="23" t="s">
        <v>131</v>
      </c>
      <c r="D17" s="23" t="s">
        <v>132</v>
      </c>
      <c r="E17" s="28">
        <v>835000</v>
      </c>
      <c r="F17" s="25">
        <v>3218.93</v>
      </c>
      <c r="G17" s="25">
        <v>2.97</v>
      </c>
    </row>
    <row r="18" spans="2:7">
      <c r="B18" s="27" t="s">
        <v>241</v>
      </c>
      <c r="C18" s="23" t="s">
        <v>242</v>
      </c>
      <c r="D18" s="23" t="s">
        <v>142</v>
      </c>
      <c r="E18" s="28">
        <v>270000</v>
      </c>
      <c r="F18" s="25">
        <v>3218.54</v>
      </c>
      <c r="G18" s="25">
        <v>2.97</v>
      </c>
    </row>
    <row r="19" spans="2:7">
      <c r="B19" s="27" t="s">
        <v>161</v>
      </c>
      <c r="C19" s="23" t="s">
        <v>162</v>
      </c>
      <c r="D19" s="23" t="s">
        <v>129</v>
      </c>
      <c r="E19" s="28">
        <v>355000</v>
      </c>
      <c r="F19" s="25">
        <v>3070.57</v>
      </c>
      <c r="G19" s="25">
        <v>2.83</v>
      </c>
    </row>
    <row r="20" spans="2:7">
      <c r="B20" s="27" t="s">
        <v>59</v>
      </c>
      <c r="C20" s="23" t="s">
        <v>60</v>
      </c>
      <c r="D20" s="23" t="s">
        <v>43</v>
      </c>
      <c r="E20" s="28">
        <v>6900</v>
      </c>
      <c r="F20" s="25">
        <v>2732.74</v>
      </c>
      <c r="G20" s="25">
        <v>2.52</v>
      </c>
    </row>
    <row r="21" spans="2:7">
      <c r="B21" s="27" t="s">
        <v>153</v>
      </c>
      <c r="C21" s="23" t="s">
        <v>154</v>
      </c>
      <c r="D21" s="23" t="s">
        <v>58</v>
      </c>
      <c r="E21" s="28">
        <v>127500</v>
      </c>
      <c r="F21" s="25">
        <v>2636.06</v>
      </c>
      <c r="G21" s="25">
        <v>2.4300000000000002</v>
      </c>
    </row>
    <row r="22" spans="2:7">
      <c r="B22" s="27" t="s">
        <v>228</v>
      </c>
      <c r="C22" s="23" t="s">
        <v>229</v>
      </c>
      <c r="D22" s="23" t="s">
        <v>80</v>
      </c>
      <c r="E22" s="28">
        <v>35684</v>
      </c>
      <c r="F22" s="25">
        <v>2493.17</v>
      </c>
      <c r="G22" s="25">
        <v>2.2999999999999998</v>
      </c>
    </row>
    <row r="23" spans="2:7">
      <c r="B23" s="27" t="s">
        <v>172</v>
      </c>
      <c r="C23" s="23" t="s">
        <v>173</v>
      </c>
      <c r="D23" s="23" t="s">
        <v>174</v>
      </c>
      <c r="E23" s="28">
        <v>62000</v>
      </c>
      <c r="F23" s="25">
        <v>2476.9</v>
      </c>
      <c r="G23" s="25">
        <v>2.2799999999999998</v>
      </c>
    </row>
    <row r="24" spans="2:7">
      <c r="B24" s="27" t="s">
        <v>180</v>
      </c>
      <c r="C24" s="23" t="s">
        <v>181</v>
      </c>
      <c r="D24" s="23" t="s">
        <v>122</v>
      </c>
      <c r="E24" s="28">
        <v>445000</v>
      </c>
      <c r="F24" s="25">
        <v>2465.52</v>
      </c>
      <c r="G24" s="25">
        <v>2.27</v>
      </c>
    </row>
    <row r="25" spans="2:7">
      <c r="B25" s="27" t="s">
        <v>168</v>
      </c>
      <c r="C25" s="23" t="s">
        <v>169</v>
      </c>
      <c r="D25" s="23" t="s">
        <v>80</v>
      </c>
      <c r="E25" s="28">
        <v>316499</v>
      </c>
      <c r="F25" s="25">
        <v>2256.64</v>
      </c>
      <c r="G25" s="25">
        <v>2.08</v>
      </c>
    </row>
    <row r="26" spans="2:7">
      <c r="B26" s="27" t="s">
        <v>200</v>
      </c>
      <c r="C26" s="23" t="s">
        <v>201</v>
      </c>
      <c r="D26" s="23" t="s">
        <v>152</v>
      </c>
      <c r="E26" s="28">
        <v>11500</v>
      </c>
      <c r="F26" s="25">
        <v>2216.29</v>
      </c>
      <c r="G26" s="25">
        <v>2.04</v>
      </c>
    </row>
    <row r="27" spans="2:7">
      <c r="B27" s="27" t="s">
        <v>159</v>
      </c>
      <c r="C27" s="23" t="s">
        <v>160</v>
      </c>
      <c r="D27" s="23" t="s">
        <v>77</v>
      </c>
      <c r="E27" s="28">
        <v>400000</v>
      </c>
      <c r="F27" s="25">
        <v>2183.4</v>
      </c>
      <c r="G27" s="25">
        <v>2.0099999999999998</v>
      </c>
    </row>
    <row r="28" spans="2:7">
      <c r="B28" s="27" t="s">
        <v>224</v>
      </c>
      <c r="C28" s="23" t="s">
        <v>225</v>
      </c>
      <c r="D28" s="23" t="s">
        <v>152</v>
      </c>
      <c r="E28" s="28">
        <v>55000</v>
      </c>
      <c r="F28" s="25">
        <v>2141.65</v>
      </c>
      <c r="G28" s="25">
        <v>1.97</v>
      </c>
    </row>
    <row r="29" spans="2:7">
      <c r="B29" s="27" t="s">
        <v>191</v>
      </c>
      <c r="C29" s="23" t="s">
        <v>192</v>
      </c>
      <c r="D29" s="23" t="s">
        <v>184</v>
      </c>
      <c r="E29" s="28">
        <v>52600</v>
      </c>
      <c r="F29" s="25">
        <v>2118.52</v>
      </c>
      <c r="G29" s="25">
        <v>1.95</v>
      </c>
    </row>
    <row r="30" spans="2:7">
      <c r="B30" s="27" t="s">
        <v>150</v>
      </c>
      <c r="C30" s="23" t="s">
        <v>151</v>
      </c>
      <c r="D30" s="23" t="s">
        <v>152</v>
      </c>
      <c r="E30" s="28">
        <v>40500</v>
      </c>
      <c r="F30" s="25">
        <v>2095.31</v>
      </c>
      <c r="G30" s="25">
        <v>1.93</v>
      </c>
    </row>
    <row r="31" spans="2:7">
      <c r="B31" s="27" t="s">
        <v>318</v>
      </c>
      <c r="C31" s="23" t="s">
        <v>319</v>
      </c>
      <c r="D31" s="23" t="s">
        <v>179</v>
      </c>
      <c r="E31" s="28">
        <v>735000</v>
      </c>
      <c r="F31" s="25">
        <v>2071.9699999999998</v>
      </c>
      <c r="G31" s="25">
        <v>1.91</v>
      </c>
    </row>
    <row r="32" spans="2:7">
      <c r="B32" s="27" t="s">
        <v>170</v>
      </c>
      <c r="C32" s="23" t="s">
        <v>171</v>
      </c>
      <c r="D32" s="23" t="s">
        <v>165</v>
      </c>
      <c r="E32" s="28">
        <v>150000</v>
      </c>
      <c r="F32" s="25">
        <v>1902.68</v>
      </c>
      <c r="G32" s="25">
        <v>1.75</v>
      </c>
    </row>
    <row r="33" spans="2:9">
      <c r="B33" s="27" t="s">
        <v>177</v>
      </c>
      <c r="C33" s="23" t="s">
        <v>178</v>
      </c>
      <c r="D33" s="23" t="s">
        <v>179</v>
      </c>
      <c r="E33" s="28">
        <v>55000</v>
      </c>
      <c r="F33" s="25">
        <v>1866.7</v>
      </c>
      <c r="G33" s="25">
        <v>1.72</v>
      </c>
    </row>
    <row r="34" spans="2:9">
      <c r="B34" s="27" t="s">
        <v>187</v>
      </c>
      <c r="C34" s="23" t="s">
        <v>188</v>
      </c>
      <c r="D34" s="23" t="s">
        <v>165</v>
      </c>
      <c r="E34" s="28">
        <v>95000</v>
      </c>
      <c r="F34" s="25">
        <v>1825.52</v>
      </c>
      <c r="G34" s="25">
        <v>1.68</v>
      </c>
    </row>
    <row r="35" spans="2:9">
      <c r="B35" s="27" t="s">
        <v>75</v>
      </c>
      <c r="C35" s="23" t="s">
        <v>76</v>
      </c>
      <c r="D35" s="23" t="s">
        <v>77</v>
      </c>
      <c r="E35" s="28">
        <v>235000</v>
      </c>
      <c r="F35" s="25">
        <v>1698.58</v>
      </c>
      <c r="G35" s="25">
        <v>1.57</v>
      </c>
    </row>
    <row r="36" spans="2:9">
      <c r="B36" s="27" t="s">
        <v>51</v>
      </c>
      <c r="C36" s="23" t="s">
        <v>52</v>
      </c>
      <c r="D36" s="23" t="s">
        <v>53</v>
      </c>
      <c r="E36" s="28">
        <v>105057</v>
      </c>
      <c r="F36" s="25">
        <v>1536.67</v>
      </c>
      <c r="G36" s="25">
        <v>1.42</v>
      </c>
    </row>
    <row r="37" spans="2:9">
      <c r="B37" s="29" t="s">
        <v>106</v>
      </c>
      <c r="C37" s="30"/>
      <c r="D37" s="30"/>
      <c r="E37" s="31"/>
      <c r="F37" s="32">
        <f>SUM(F7:F36)</f>
        <v>103331.55999999998</v>
      </c>
      <c r="G37" s="32">
        <f>SUM(G7:G36)</f>
        <v>95.250000000000014</v>
      </c>
      <c r="H37" s="14"/>
      <c r="I37" s="14"/>
    </row>
    <row r="38" spans="2:9">
      <c r="B38" s="37" t="s">
        <v>107</v>
      </c>
      <c r="C38" s="37"/>
      <c r="D38" s="37"/>
      <c r="E38" s="38"/>
      <c r="F38" s="39">
        <f>F37</f>
        <v>103331.55999999998</v>
      </c>
      <c r="G38" s="39">
        <f>G37</f>
        <v>95.250000000000014</v>
      </c>
      <c r="H38" s="14"/>
      <c r="I38" s="14"/>
    </row>
    <row r="39" spans="2:9">
      <c r="B39" s="40" t="s">
        <v>108</v>
      </c>
      <c r="C39" s="41"/>
      <c r="D39" s="41"/>
      <c r="E39" s="42"/>
      <c r="F39" s="43"/>
      <c r="G39" s="43"/>
    </row>
    <row r="40" spans="2:9">
      <c r="B40" s="27" t="s">
        <v>108</v>
      </c>
      <c r="C40" s="23"/>
      <c r="D40" s="23"/>
      <c r="E40" s="24"/>
      <c r="F40" s="25">
        <v>6134.51</v>
      </c>
      <c r="G40" s="25">
        <v>5.65</v>
      </c>
    </row>
    <row r="41" spans="2:9">
      <c r="B41" s="29" t="s">
        <v>106</v>
      </c>
      <c r="C41" s="30"/>
      <c r="D41" s="30"/>
      <c r="E41" s="31"/>
      <c r="F41" s="32">
        <f>SUM(F39:F40)</f>
        <v>6134.51</v>
      </c>
      <c r="G41" s="32">
        <f>SUM(G39:G40)</f>
        <v>5.65</v>
      </c>
      <c r="H41" s="14"/>
      <c r="I41" s="14"/>
    </row>
    <row r="42" spans="2:9">
      <c r="B42" s="34" t="s">
        <v>107</v>
      </c>
      <c r="C42" s="34"/>
      <c r="D42" s="34"/>
      <c r="E42" s="35"/>
      <c r="F42" s="36">
        <f>F41</f>
        <v>6134.51</v>
      </c>
      <c r="G42" s="36">
        <f>G41</f>
        <v>5.65</v>
      </c>
      <c r="H42" s="14"/>
      <c r="I42" s="14"/>
    </row>
    <row r="43" spans="2:9">
      <c r="B43" s="44" t="s">
        <v>110</v>
      </c>
      <c r="C43" s="44"/>
      <c r="D43" s="44"/>
      <c r="E43" s="45"/>
      <c r="F43" s="16">
        <f>F44-(+F38+F42)</f>
        <v>-988.4999999999709</v>
      </c>
      <c r="G43" s="16">
        <f>G44-(+G38+G42)</f>
        <v>-0.9000000000000199</v>
      </c>
      <c r="H43" s="14"/>
      <c r="I43" s="14"/>
    </row>
    <row r="44" spans="2:9">
      <c r="B44" s="44" t="s">
        <v>109</v>
      </c>
      <c r="C44" s="44"/>
      <c r="D44" s="44"/>
      <c r="E44" s="45"/>
      <c r="F44" s="16">
        <v>108477.57</v>
      </c>
      <c r="G44" s="16">
        <v>100</v>
      </c>
      <c r="H44" s="14"/>
      <c r="I44" s="14"/>
    </row>
    <row r="46" spans="2:9">
      <c r="B46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7"/>
  <sheetViews>
    <sheetView workbookViewId="0">
      <selection activeCell="B1" sqref="B1:H1"/>
    </sheetView>
  </sheetViews>
  <sheetFormatPr defaultRowHeight="12"/>
  <cols>
    <col min="1" max="1" width="9.140625" style="1"/>
    <col min="2" max="2" width="60.28515625" style="1" bestFit="1" customWidth="1"/>
    <col min="3" max="3" width="13.85546875" style="1" bestFit="1" customWidth="1"/>
    <col min="4" max="4" width="23.425781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16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30</v>
      </c>
      <c r="C5" s="18"/>
      <c r="D5" s="18"/>
      <c r="E5" s="19"/>
      <c r="F5" s="20"/>
      <c r="G5" s="20"/>
      <c r="H5" s="21"/>
    </row>
    <row r="6" spans="2:8">
      <c r="B6" s="22" t="s">
        <v>31</v>
      </c>
      <c r="C6" s="23"/>
      <c r="D6" s="23"/>
      <c r="E6" s="24"/>
      <c r="F6" s="25"/>
      <c r="G6" s="25"/>
      <c r="H6" s="26"/>
    </row>
    <row r="7" spans="2:8">
      <c r="B7" s="27" t="s">
        <v>111</v>
      </c>
      <c r="C7" s="23" t="s">
        <v>112</v>
      </c>
      <c r="D7" s="23" t="s">
        <v>40</v>
      </c>
      <c r="E7" s="28">
        <v>2154950</v>
      </c>
      <c r="F7" s="25">
        <v>34078.379999999997</v>
      </c>
      <c r="G7" s="25">
        <v>5.25</v>
      </c>
      <c r="H7" s="26"/>
    </row>
    <row r="8" spans="2:8">
      <c r="B8" s="27" t="s">
        <v>38</v>
      </c>
      <c r="C8" s="23" t="s">
        <v>39</v>
      </c>
      <c r="D8" s="23" t="s">
        <v>40</v>
      </c>
      <c r="E8" s="28">
        <v>4732600</v>
      </c>
      <c r="F8" s="25">
        <v>34029.760000000002</v>
      </c>
      <c r="G8" s="25">
        <v>5.24</v>
      </c>
      <c r="H8" s="26"/>
    </row>
    <row r="9" spans="2:8">
      <c r="B9" s="27" t="s">
        <v>113</v>
      </c>
      <c r="C9" s="23" t="s">
        <v>114</v>
      </c>
      <c r="D9" s="23" t="s">
        <v>115</v>
      </c>
      <c r="E9" s="28">
        <v>1965472</v>
      </c>
      <c r="F9" s="25">
        <v>33539.800000000003</v>
      </c>
      <c r="G9" s="25">
        <v>5.17</v>
      </c>
      <c r="H9" s="26"/>
    </row>
    <row r="10" spans="2:8">
      <c r="B10" s="27" t="s">
        <v>118</v>
      </c>
      <c r="C10" s="23" t="s">
        <v>119</v>
      </c>
      <c r="D10" s="23" t="s">
        <v>89</v>
      </c>
      <c r="E10" s="28">
        <v>873900</v>
      </c>
      <c r="F10" s="25">
        <v>19733.97</v>
      </c>
      <c r="G10" s="25">
        <v>3.04</v>
      </c>
      <c r="H10" s="26"/>
    </row>
    <row r="11" spans="2:8">
      <c r="B11" s="27" t="s">
        <v>120</v>
      </c>
      <c r="C11" s="23" t="s">
        <v>121</v>
      </c>
      <c r="D11" s="23" t="s">
        <v>122</v>
      </c>
      <c r="E11" s="28">
        <v>258908</v>
      </c>
      <c r="F11" s="25">
        <v>19481.53</v>
      </c>
      <c r="G11" s="25">
        <v>3</v>
      </c>
      <c r="H11" s="26"/>
    </row>
    <row r="12" spans="2:8">
      <c r="B12" s="27" t="s">
        <v>116</v>
      </c>
      <c r="C12" s="23" t="s">
        <v>117</v>
      </c>
      <c r="D12" s="23" t="s">
        <v>115</v>
      </c>
      <c r="E12" s="28">
        <v>502165</v>
      </c>
      <c r="F12" s="25">
        <v>19014.23</v>
      </c>
      <c r="G12" s="25">
        <v>2.93</v>
      </c>
      <c r="H12" s="26"/>
    </row>
    <row r="13" spans="2:8">
      <c r="B13" s="27" t="s">
        <v>125</v>
      </c>
      <c r="C13" s="23" t="s">
        <v>126</v>
      </c>
      <c r="D13" s="23" t="s">
        <v>40</v>
      </c>
      <c r="E13" s="28">
        <v>2148100</v>
      </c>
      <c r="F13" s="25">
        <v>16894.810000000001</v>
      </c>
      <c r="G13" s="25">
        <v>2.6</v>
      </c>
      <c r="H13" s="26"/>
    </row>
    <row r="14" spans="2:8">
      <c r="B14" s="27" t="s">
        <v>123</v>
      </c>
      <c r="C14" s="23" t="s">
        <v>124</v>
      </c>
      <c r="D14" s="23" t="s">
        <v>122</v>
      </c>
      <c r="E14" s="28">
        <v>598000</v>
      </c>
      <c r="F14" s="25">
        <v>16735.03</v>
      </c>
      <c r="G14" s="25">
        <v>2.58</v>
      </c>
      <c r="H14" s="26"/>
    </row>
    <row r="15" spans="2:8">
      <c r="B15" s="27" t="s">
        <v>54</v>
      </c>
      <c r="C15" s="23" t="s">
        <v>55</v>
      </c>
      <c r="D15" s="23" t="s">
        <v>40</v>
      </c>
      <c r="E15" s="28">
        <v>3850000</v>
      </c>
      <c r="F15" s="25">
        <v>16402.93</v>
      </c>
      <c r="G15" s="25">
        <v>2.5299999999999998</v>
      </c>
      <c r="H15" s="26"/>
    </row>
    <row r="16" spans="2:8">
      <c r="B16" s="27" t="s">
        <v>32</v>
      </c>
      <c r="C16" s="23" t="s">
        <v>33</v>
      </c>
      <c r="D16" s="23" t="s">
        <v>34</v>
      </c>
      <c r="E16" s="28">
        <v>971418</v>
      </c>
      <c r="F16" s="25">
        <v>16244.05</v>
      </c>
      <c r="G16" s="25">
        <v>2.5</v>
      </c>
      <c r="H16" s="26"/>
    </row>
    <row r="17" spans="2:8">
      <c r="B17" s="27" t="s">
        <v>133</v>
      </c>
      <c r="C17" s="23" t="s">
        <v>134</v>
      </c>
      <c r="D17" s="23" t="s">
        <v>115</v>
      </c>
      <c r="E17" s="28">
        <v>955000</v>
      </c>
      <c r="F17" s="25">
        <v>11290.97</v>
      </c>
      <c r="G17" s="25">
        <v>1.74</v>
      </c>
      <c r="H17" s="26"/>
    </row>
    <row r="18" spans="2:8">
      <c r="B18" s="27" t="s">
        <v>127</v>
      </c>
      <c r="C18" s="23" t="s">
        <v>128</v>
      </c>
      <c r="D18" s="23" t="s">
        <v>129</v>
      </c>
      <c r="E18" s="28">
        <v>406800</v>
      </c>
      <c r="F18" s="25">
        <v>11081.64</v>
      </c>
      <c r="G18" s="25">
        <v>1.71</v>
      </c>
      <c r="H18" s="26"/>
    </row>
    <row r="19" spans="2:8">
      <c r="B19" s="27" t="s">
        <v>130</v>
      </c>
      <c r="C19" s="23" t="s">
        <v>131</v>
      </c>
      <c r="D19" s="23" t="s">
        <v>132</v>
      </c>
      <c r="E19" s="28">
        <v>2481393</v>
      </c>
      <c r="F19" s="25">
        <v>9565.77</v>
      </c>
      <c r="G19" s="25">
        <v>1.47</v>
      </c>
      <c r="H19" s="26"/>
    </row>
    <row r="20" spans="2:8">
      <c r="B20" s="27" t="s">
        <v>135</v>
      </c>
      <c r="C20" s="23" t="s">
        <v>136</v>
      </c>
      <c r="D20" s="23" t="s">
        <v>137</v>
      </c>
      <c r="E20" s="28">
        <v>195840</v>
      </c>
      <c r="F20" s="25">
        <v>7745.08</v>
      </c>
      <c r="G20" s="25">
        <v>1.19</v>
      </c>
      <c r="H20" s="26"/>
    </row>
    <row r="21" spans="2:8">
      <c r="B21" s="27" t="s">
        <v>153</v>
      </c>
      <c r="C21" s="23" t="s">
        <v>154</v>
      </c>
      <c r="D21" s="23" t="s">
        <v>58</v>
      </c>
      <c r="E21" s="28">
        <v>372305</v>
      </c>
      <c r="F21" s="25">
        <v>7697.41</v>
      </c>
      <c r="G21" s="25">
        <v>1.19</v>
      </c>
      <c r="H21" s="26"/>
    </row>
    <row r="22" spans="2:8">
      <c r="B22" s="27" t="s">
        <v>148</v>
      </c>
      <c r="C22" s="23" t="s">
        <v>149</v>
      </c>
      <c r="D22" s="23" t="s">
        <v>40</v>
      </c>
      <c r="E22" s="28">
        <v>437829</v>
      </c>
      <c r="F22" s="25">
        <v>7678.21</v>
      </c>
      <c r="G22" s="25">
        <v>1.18</v>
      </c>
      <c r="H22" s="26"/>
    </row>
    <row r="23" spans="2:8">
      <c r="B23" s="27" t="s">
        <v>61</v>
      </c>
      <c r="C23" s="23" t="s">
        <v>62</v>
      </c>
      <c r="D23" s="23" t="s">
        <v>63</v>
      </c>
      <c r="E23" s="28">
        <v>97621</v>
      </c>
      <c r="F23" s="25">
        <v>7646.12</v>
      </c>
      <c r="G23" s="25">
        <v>1.18</v>
      </c>
      <c r="H23" s="26"/>
    </row>
    <row r="24" spans="2:8">
      <c r="B24" s="27" t="s">
        <v>224</v>
      </c>
      <c r="C24" s="23" t="s">
        <v>225</v>
      </c>
      <c r="D24" s="23" t="s">
        <v>152</v>
      </c>
      <c r="E24" s="28">
        <v>184610</v>
      </c>
      <c r="F24" s="25">
        <v>7188.53</v>
      </c>
      <c r="G24" s="25">
        <v>1.1100000000000001</v>
      </c>
      <c r="H24" s="26"/>
    </row>
    <row r="25" spans="2:8">
      <c r="B25" s="27" t="s">
        <v>143</v>
      </c>
      <c r="C25" s="23" t="s">
        <v>144</v>
      </c>
      <c r="D25" s="23" t="s">
        <v>145</v>
      </c>
      <c r="E25" s="28">
        <v>1071515</v>
      </c>
      <c r="F25" s="25">
        <v>7115.4</v>
      </c>
      <c r="G25" s="25">
        <v>1.1000000000000001</v>
      </c>
      <c r="H25" s="26"/>
    </row>
    <row r="26" spans="2:8">
      <c r="B26" s="27" t="s">
        <v>64</v>
      </c>
      <c r="C26" s="23" t="s">
        <v>65</v>
      </c>
      <c r="D26" s="23" t="s">
        <v>66</v>
      </c>
      <c r="E26" s="28">
        <v>475000</v>
      </c>
      <c r="F26" s="25">
        <v>6888.69</v>
      </c>
      <c r="G26" s="25">
        <v>1.06</v>
      </c>
      <c r="H26" s="26"/>
    </row>
    <row r="27" spans="2:8">
      <c r="B27" s="27" t="s">
        <v>163</v>
      </c>
      <c r="C27" s="23" t="s">
        <v>164</v>
      </c>
      <c r="D27" s="23" t="s">
        <v>165</v>
      </c>
      <c r="E27" s="28">
        <v>672573</v>
      </c>
      <c r="F27" s="25">
        <v>6697.82</v>
      </c>
      <c r="G27" s="25">
        <v>1.03</v>
      </c>
      <c r="H27" s="26"/>
    </row>
    <row r="28" spans="2:8">
      <c r="B28" s="27" t="s">
        <v>140</v>
      </c>
      <c r="C28" s="23" t="s">
        <v>141</v>
      </c>
      <c r="D28" s="23" t="s">
        <v>142</v>
      </c>
      <c r="E28" s="28">
        <v>610000</v>
      </c>
      <c r="F28" s="25">
        <v>6637.72</v>
      </c>
      <c r="G28" s="25">
        <v>1.02</v>
      </c>
      <c r="H28" s="26"/>
    </row>
    <row r="29" spans="2:8">
      <c r="B29" s="27" t="s">
        <v>155</v>
      </c>
      <c r="C29" s="23" t="s">
        <v>156</v>
      </c>
      <c r="D29" s="23" t="s">
        <v>152</v>
      </c>
      <c r="E29" s="28">
        <v>830000</v>
      </c>
      <c r="F29" s="25">
        <v>6590.62</v>
      </c>
      <c r="G29" s="25">
        <v>1.02</v>
      </c>
      <c r="H29" s="26"/>
    </row>
    <row r="30" spans="2:8">
      <c r="B30" s="27" t="s">
        <v>182</v>
      </c>
      <c r="C30" s="23" t="s">
        <v>183</v>
      </c>
      <c r="D30" s="23" t="s">
        <v>184</v>
      </c>
      <c r="E30" s="28">
        <v>71709</v>
      </c>
      <c r="F30" s="25">
        <v>6545.71</v>
      </c>
      <c r="G30" s="25">
        <v>1.01</v>
      </c>
      <c r="H30" s="26"/>
    </row>
    <row r="31" spans="2:8">
      <c r="B31" s="27" t="s">
        <v>94</v>
      </c>
      <c r="C31" s="23" t="s">
        <v>95</v>
      </c>
      <c r="D31" s="23" t="s">
        <v>96</v>
      </c>
      <c r="E31" s="28">
        <v>1350000</v>
      </c>
      <c r="F31" s="25">
        <v>6322.05</v>
      </c>
      <c r="G31" s="25">
        <v>0.97</v>
      </c>
      <c r="H31" s="26"/>
    </row>
    <row r="32" spans="2:8">
      <c r="B32" s="27" t="s">
        <v>150</v>
      </c>
      <c r="C32" s="23" t="s">
        <v>151</v>
      </c>
      <c r="D32" s="23" t="s">
        <v>152</v>
      </c>
      <c r="E32" s="28">
        <v>119608</v>
      </c>
      <c r="F32" s="25">
        <v>6188.04</v>
      </c>
      <c r="G32" s="25">
        <v>0.95</v>
      </c>
      <c r="H32" s="26"/>
    </row>
    <row r="33" spans="2:8">
      <c r="B33" s="27" t="s">
        <v>75</v>
      </c>
      <c r="C33" s="23" t="s">
        <v>76</v>
      </c>
      <c r="D33" s="23" t="s">
        <v>77</v>
      </c>
      <c r="E33" s="28">
        <v>854914</v>
      </c>
      <c r="F33" s="25">
        <v>6179.32</v>
      </c>
      <c r="G33" s="25">
        <v>0.95</v>
      </c>
      <c r="H33" s="26"/>
    </row>
    <row r="34" spans="2:8">
      <c r="B34" s="27" t="s">
        <v>241</v>
      </c>
      <c r="C34" s="23" t="s">
        <v>242</v>
      </c>
      <c r="D34" s="23" t="s">
        <v>142</v>
      </c>
      <c r="E34" s="28">
        <v>510000</v>
      </c>
      <c r="F34" s="25">
        <v>6079.46</v>
      </c>
      <c r="G34" s="25">
        <v>0.94</v>
      </c>
      <c r="H34" s="26"/>
    </row>
    <row r="35" spans="2:8">
      <c r="B35" s="27" t="s">
        <v>168</v>
      </c>
      <c r="C35" s="23" t="s">
        <v>169</v>
      </c>
      <c r="D35" s="23" t="s">
        <v>80</v>
      </c>
      <c r="E35" s="28">
        <v>840281</v>
      </c>
      <c r="F35" s="25">
        <v>5991.2</v>
      </c>
      <c r="G35" s="25">
        <v>0.92</v>
      </c>
      <c r="H35" s="26"/>
    </row>
    <row r="36" spans="2:8">
      <c r="B36" s="27" t="s">
        <v>159</v>
      </c>
      <c r="C36" s="23" t="s">
        <v>160</v>
      </c>
      <c r="D36" s="23" t="s">
        <v>77</v>
      </c>
      <c r="E36" s="28">
        <v>1065000</v>
      </c>
      <c r="F36" s="25">
        <v>5813.3</v>
      </c>
      <c r="G36" s="25">
        <v>0.9</v>
      </c>
      <c r="H36" s="26"/>
    </row>
    <row r="37" spans="2:8">
      <c r="B37" s="27" t="s">
        <v>161</v>
      </c>
      <c r="C37" s="23" t="s">
        <v>162</v>
      </c>
      <c r="D37" s="23" t="s">
        <v>129</v>
      </c>
      <c r="E37" s="28">
        <v>655000</v>
      </c>
      <c r="F37" s="25">
        <v>5665.42</v>
      </c>
      <c r="G37" s="25">
        <v>0.87</v>
      </c>
      <c r="H37" s="26"/>
    </row>
    <row r="38" spans="2:8">
      <c r="B38" s="27" t="s">
        <v>157</v>
      </c>
      <c r="C38" s="23" t="s">
        <v>158</v>
      </c>
      <c r="D38" s="23" t="s">
        <v>129</v>
      </c>
      <c r="E38" s="28">
        <v>170100</v>
      </c>
      <c r="F38" s="25">
        <v>5445.5</v>
      </c>
      <c r="G38" s="25">
        <v>0.84</v>
      </c>
      <c r="H38" s="26"/>
    </row>
    <row r="39" spans="2:8">
      <c r="B39" s="27" t="s">
        <v>175</v>
      </c>
      <c r="C39" s="23" t="s">
        <v>176</v>
      </c>
      <c r="D39" s="23" t="s">
        <v>58</v>
      </c>
      <c r="E39" s="28">
        <v>705000</v>
      </c>
      <c r="F39" s="25">
        <v>5408.76</v>
      </c>
      <c r="G39" s="25">
        <v>0.83</v>
      </c>
      <c r="H39" s="26"/>
    </row>
    <row r="40" spans="2:8">
      <c r="B40" s="27" t="s">
        <v>191</v>
      </c>
      <c r="C40" s="23" t="s">
        <v>192</v>
      </c>
      <c r="D40" s="23" t="s">
        <v>184</v>
      </c>
      <c r="E40" s="28">
        <v>131968</v>
      </c>
      <c r="F40" s="25">
        <v>5315.14</v>
      </c>
      <c r="G40" s="25">
        <v>0.82</v>
      </c>
      <c r="H40" s="26"/>
    </row>
    <row r="41" spans="2:8">
      <c r="B41" s="27" t="s">
        <v>180</v>
      </c>
      <c r="C41" s="23" t="s">
        <v>181</v>
      </c>
      <c r="D41" s="23" t="s">
        <v>122</v>
      </c>
      <c r="E41" s="28">
        <v>950000</v>
      </c>
      <c r="F41" s="25">
        <v>5263.48</v>
      </c>
      <c r="G41" s="25">
        <v>0.81</v>
      </c>
      <c r="H41" s="26"/>
    </row>
    <row r="42" spans="2:8">
      <c r="B42" s="27" t="s">
        <v>172</v>
      </c>
      <c r="C42" s="23" t="s">
        <v>173</v>
      </c>
      <c r="D42" s="23" t="s">
        <v>174</v>
      </c>
      <c r="E42" s="28">
        <v>131117</v>
      </c>
      <c r="F42" s="25">
        <v>5238.12</v>
      </c>
      <c r="G42" s="25">
        <v>0.81</v>
      </c>
      <c r="H42" s="26"/>
    </row>
    <row r="43" spans="2:8">
      <c r="B43" s="27" t="s">
        <v>235</v>
      </c>
      <c r="C43" s="23" t="s">
        <v>236</v>
      </c>
      <c r="D43" s="23" t="s">
        <v>137</v>
      </c>
      <c r="E43" s="28">
        <v>3892000</v>
      </c>
      <c r="F43" s="25">
        <v>5236.6899999999996</v>
      </c>
      <c r="G43" s="25">
        <v>0.81</v>
      </c>
      <c r="H43" s="26"/>
    </row>
    <row r="44" spans="2:8">
      <c r="B44" s="27" t="s">
        <v>200</v>
      </c>
      <c r="C44" s="23" t="s">
        <v>201</v>
      </c>
      <c r="D44" s="23" t="s">
        <v>152</v>
      </c>
      <c r="E44" s="28">
        <v>25696</v>
      </c>
      <c r="F44" s="25">
        <v>4952.16</v>
      </c>
      <c r="G44" s="25">
        <v>0.76</v>
      </c>
      <c r="H44" s="26"/>
    </row>
    <row r="45" spans="2:8">
      <c r="B45" s="27" t="s">
        <v>177</v>
      </c>
      <c r="C45" s="23" t="s">
        <v>178</v>
      </c>
      <c r="D45" s="23" t="s">
        <v>179</v>
      </c>
      <c r="E45" s="28">
        <v>145564</v>
      </c>
      <c r="F45" s="25">
        <v>4940.4399999999996</v>
      </c>
      <c r="G45" s="25">
        <v>0.76</v>
      </c>
      <c r="H45" s="26"/>
    </row>
    <row r="46" spans="2:8">
      <c r="B46" s="27" t="s">
        <v>208</v>
      </c>
      <c r="C46" s="23" t="s">
        <v>209</v>
      </c>
      <c r="D46" s="23" t="s">
        <v>197</v>
      </c>
      <c r="E46" s="28">
        <v>71348</v>
      </c>
      <c r="F46" s="25">
        <v>4884.5600000000004</v>
      </c>
      <c r="G46" s="25">
        <v>0.75</v>
      </c>
      <c r="H46" s="26"/>
    </row>
    <row r="47" spans="2:8">
      <c r="B47" s="27" t="s">
        <v>187</v>
      </c>
      <c r="C47" s="23" t="s">
        <v>188</v>
      </c>
      <c r="D47" s="23" t="s">
        <v>165</v>
      </c>
      <c r="E47" s="28">
        <v>251700</v>
      </c>
      <c r="F47" s="25">
        <v>4836.67</v>
      </c>
      <c r="G47" s="25">
        <v>0.74</v>
      </c>
      <c r="H47" s="26"/>
    </row>
    <row r="48" spans="2:8">
      <c r="B48" s="27" t="s">
        <v>73</v>
      </c>
      <c r="C48" s="23" t="s">
        <v>74</v>
      </c>
      <c r="D48" s="23" t="s">
        <v>63</v>
      </c>
      <c r="E48" s="28">
        <v>219768</v>
      </c>
      <c r="F48" s="25">
        <v>4834.46</v>
      </c>
      <c r="G48" s="25">
        <v>0.74</v>
      </c>
      <c r="H48" s="26"/>
    </row>
    <row r="49" spans="2:10">
      <c r="B49" s="27" t="s">
        <v>233</v>
      </c>
      <c r="C49" s="23" t="s">
        <v>234</v>
      </c>
      <c r="D49" s="23" t="s">
        <v>165</v>
      </c>
      <c r="E49" s="28">
        <v>997707</v>
      </c>
      <c r="F49" s="25">
        <v>4723.6400000000003</v>
      </c>
      <c r="G49" s="25">
        <v>0.73</v>
      </c>
      <c r="H49" s="26"/>
    </row>
    <row r="50" spans="2:10">
      <c r="B50" s="27" t="s">
        <v>284</v>
      </c>
      <c r="C50" s="23" t="s">
        <v>285</v>
      </c>
      <c r="D50" s="23" t="s">
        <v>197</v>
      </c>
      <c r="E50" s="28">
        <v>125000</v>
      </c>
      <c r="F50" s="25">
        <v>4659.8100000000004</v>
      </c>
      <c r="G50" s="25">
        <v>0.72</v>
      </c>
      <c r="H50" s="26"/>
    </row>
    <row r="51" spans="2:10">
      <c r="B51" s="27" t="s">
        <v>206</v>
      </c>
      <c r="C51" s="23" t="s">
        <v>207</v>
      </c>
      <c r="D51" s="23" t="s">
        <v>197</v>
      </c>
      <c r="E51" s="28">
        <v>3700000</v>
      </c>
      <c r="F51" s="25">
        <v>4541.75</v>
      </c>
      <c r="G51" s="25">
        <v>0.7</v>
      </c>
      <c r="H51" s="26"/>
    </row>
    <row r="52" spans="2:10">
      <c r="B52" s="27" t="s">
        <v>228</v>
      </c>
      <c r="C52" s="23" t="s">
        <v>229</v>
      </c>
      <c r="D52" s="23" t="s">
        <v>80</v>
      </c>
      <c r="E52" s="28">
        <v>64907</v>
      </c>
      <c r="F52" s="25">
        <v>4534.92</v>
      </c>
      <c r="G52" s="25">
        <v>0.7</v>
      </c>
      <c r="H52" s="26"/>
    </row>
    <row r="53" spans="2:10">
      <c r="B53" s="27" t="s">
        <v>204</v>
      </c>
      <c r="C53" s="23" t="s">
        <v>205</v>
      </c>
      <c r="D53" s="23" t="s">
        <v>80</v>
      </c>
      <c r="E53" s="28">
        <v>187946</v>
      </c>
      <c r="F53" s="25">
        <v>4313.17</v>
      </c>
      <c r="G53" s="25">
        <v>0.66</v>
      </c>
      <c r="H53" s="26"/>
    </row>
    <row r="54" spans="2:10">
      <c r="B54" s="27" t="s">
        <v>193</v>
      </c>
      <c r="C54" s="23" t="s">
        <v>194</v>
      </c>
      <c r="D54" s="23" t="s">
        <v>152</v>
      </c>
      <c r="E54" s="28">
        <v>455000</v>
      </c>
      <c r="F54" s="25">
        <v>4312.49</v>
      </c>
      <c r="G54" s="25">
        <v>0.66</v>
      </c>
      <c r="H54" s="26"/>
    </row>
    <row r="55" spans="2:10">
      <c r="B55" s="27" t="s">
        <v>210</v>
      </c>
      <c r="C55" s="23" t="s">
        <v>211</v>
      </c>
      <c r="D55" s="23" t="s">
        <v>152</v>
      </c>
      <c r="E55" s="28">
        <v>162416</v>
      </c>
      <c r="F55" s="25">
        <v>4182.7</v>
      </c>
      <c r="G55" s="25">
        <v>0.64</v>
      </c>
      <c r="H55" s="26"/>
    </row>
    <row r="56" spans="2:10">
      <c r="B56" s="27" t="s">
        <v>255</v>
      </c>
      <c r="C56" s="23" t="s">
        <v>256</v>
      </c>
      <c r="D56" s="23" t="s">
        <v>63</v>
      </c>
      <c r="E56" s="28">
        <v>375000</v>
      </c>
      <c r="F56" s="25">
        <v>3783</v>
      </c>
      <c r="G56" s="25">
        <v>0.57999999999999996</v>
      </c>
      <c r="H56" s="26"/>
    </row>
    <row r="57" spans="2:10">
      <c r="B57" s="27" t="s">
        <v>251</v>
      </c>
      <c r="C57" s="23" t="s">
        <v>252</v>
      </c>
      <c r="D57" s="23" t="s">
        <v>137</v>
      </c>
      <c r="E57" s="28">
        <v>1685947</v>
      </c>
      <c r="F57" s="25">
        <v>3508.46</v>
      </c>
      <c r="G57" s="25">
        <v>0.54</v>
      </c>
      <c r="H57" s="26"/>
    </row>
    <row r="58" spans="2:10">
      <c r="B58" s="27" t="s">
        <v>59</v>
      </c>
      <c r="C58" s="23" t="s">
        <v>60</v>
      </c>
      <c r="D58" s="23" t="s">
        <v>43</v>
      </c>
      <c r="E58" s="28">
        <v>8404</v>
      </c>
      <c r="F58" s="25">
        <v>3328.4</v>
      </c>
      <c r="G58" s="25">
        <v>0.51</v>
      </c>
      <c r="H58" s="26"/>
    </row>
    <row r="59" spans="2:10">
      <c r="B59" s="27" t="s">
        <v>216</v>
      </c>
      <c r="C59" s="23" t="s">
        <v>217</v>
      </c>
      <c r="D59" s="23" t="s">
        <v>165</v>
      </c>
      <c r="E59" s="28">
        <v>120256</v>
      </c>
      <c r="F59" s="25">
        <v>2561.69</v>
      </c>
      <c r="G59" s="25">
        <v>0.39</v>
      </c>
      <c r="H59" s="26"/>
    </row>
    <row r="60" spans="2:10">
      <c r="B60" s="27" t="s">
        <v>214</v>
      </c>
      <c r="C60" s="23" t="s">
        <v>215</v>
      </c>
      <c r="D60" s="23" t="s">
        <v>129</v>
      </c>
      <c r="E60" s="28">
        <v>62266</v>
      </c>
      <c r="F60" s="25">
        <v>2489.08</v>
      </c>
      <c r="G60" s="25">
        <v>0.38</v>
      </c>
      <c r="H60" s="26"/>
    </row>
    <row r="61" spans="2:10">
      <c r="B61" s="27" t="s">
        <v>198</v>
      </c>
      <c r="C61" s="23" t="s">
        <v>199</v>
      </c>
      <c r="D61" s="23" t="s">
        <v>184</v>
      </c>
      <c r="E61" s="28">
        <v>100000</v>
      </c>
      <c r="F61" s="25">
        <v>1799.55</v>
      </c>
      <c r="G61" s="25">
        <v>0.28000000000000003</v>
      </c>
      <c r="H61" s="26"/>
    </row>
    <row r="62" spans="2:10">
      <c r="B62" s="27" t="s">
        <v>220</v>
      </c>
      <c r="C62" s="23" t="s">
        <v>221</v>
      </c>
      <c r="D62" s="23" t="s">
        <v>63</v>
      </c>
      <c r="E62" s="28">
        <v>4517</v>
      </c>
      <c r="F62" s="25">
        <v>1277.76</v>
      </c>
      <c r="G62" s="25">
        <v>0.2</v>
      </c>
      <c r="H62" s="26"/>
    </row>
    <row r="63" spans="2:10">
      <c r="B63" s="27" t="s">
        <v>218</v>
      </c>
      <c r="C63" s="23" t="s">
        <v>219</v>
      </c>
      <c r="D63" s="23" t="s">
        <v>132</v>
      </c>
      <c r="E63" s="28">
        <v>30721</v>
      </c>
      <c r="F63" s="25">
        <v>1244.68</v>
      </c>
      <c r="G63" s="25">
        <v>0.19</v>
      </c>
      <c r="H63" s="26"/>
    </row>
    <row r="64" spans="2:10">
      <c r="B64" s="29" t="s">
        <v>106</v>
      </c>
      <c r="C64" s="30"/>
      <c r="D64" s="30"/>
      <c r="E64" s="31"/>
      <c r="F64" s="32">
        <f>SUM(F7:F63)</f>
        <v>486380.05</v>
      </c>
      <c r="G64" s="32">
        <f>SUM(G7:G63)</f>
        <v>74.90000000000002</v>
      </c>
      <c r="H64" s="33"/>
      <c r="I64" s="14"/>
      <c r="J64" s="14"/>
    </row>
    <row r="65" spans="2:10">
      <c r="B65" s="37" t="s">
        <v>107</v>
      </c>
      <c r="C65" s="37"/>
      <c r="D65" s="37"/>
      <c r="E65" s="38"/>
      <c r="F65" s="39">
        <f>F64</f>
        <v>486380.05</v>
      </c>
      <c r="G65" s="39">
        <f>G64</f>
        <v>74.90000000000002</v>
      </c>
      <c r="H65" s="15"/>
      <c r="I65" s="14"/>
      <c r="J65" s="14"/>
    </row>
    <row r="66" spans="2:10">
      <c r="B66" s="46" t="s">
        <v>365</v>
      </c>
      <c r="C66" s="41"/>
      <c r="D66" s="41"/>
      <c r="E66" s="42"/>
      <c r="F66" s="43"/>
      <c r="G66" s="43"/>
      <c r="H66" s="43"/>
    </row>
    <row r="67" spans="2:10">
      <c r="B67" s="47" t="s">
        <v>31</v>
      </c>
      <c r="C67" s="23"/>
      <c r="D67" s="23"/>
      <c r="E67" s="24"/>
      <c r="F67" s="25"/>
      <c r="G67" s="25"/>
      <c r="H67" s="25"/>
    </row>
    <row r="68" spans="2:10">
      <c r="B68" s="23" t="s">
        <v>366</v>
      </c>
      <c r="C68" s="23" t="s">
        <v>367</v>
      </c>
      <c r="D68" s="23" t="s">
        <v>368</v>
      </c>
      <c r="E68" s="28">
        <v>500</v>
      </c>
      <c r="F68" s="25">
        <v>5014.62</v>
      </c>
      <c r="G68" s="25">
        <v>0.77</v>
      </c>
      <c r="H68" s="25">
        <v>4.8099999999999996</v>
      </c>
    </row>
    <row r="69" spans="2:10">
      <c r="B69" s="23" t="s">
        <v>369</v>
      </c>
      <c r="C69" s="23" t="s">
        <v>370</v>
      </c>
      <c r="D69" s="23" t="s">
        <v>371</v>
      </c>
      <c r="E69" s="28">
        <v>450</v>
      </c>
      <c r="F69" s="25">
        <v>4637.8999999999996</v>
      </c>
      <c r="G69" s="25">
        <v>0.71</v>
      </c>
      <c r="H69" s="25">
        <v>4.22</v>
      </c>
    </row>
    <row r="70" spans="2:10">
      <c r="B70" s="23" t="s">
        <v>372</v>
      </c>
      <c r="C70" s="23" t="s">
        <v>373</v>
      </c>
      <c r="D70" s="23" t="s">
        <v>371</v>
      </c>
      <c r="E70" s="28">
        <v>350</v>
      </c>
      <c r="F70" s="25">
        <v>3511.03</v>
      </c>
      <c r="G70" s="25">
        <v>0.54</v>
      </c>
      <c r="H70" s="25">
        <v>3.33</v>
      </c>
    </row>
    <row r="71" spans="2:10">
      <c r="B71" s="23" t="s">
        <v>374</v>
      </c>
      <c r="C71" s="23" t="s">
        <v>375</v>
      </c>
      <c r="D71" s="23" t="s">
        <v>371</v>
      </c>
      <c r="E71" s="28">
        <v>310</v>
      </c>
      <c r="F71" s="25">
        <v>3170.33</v>
      </c>
      <c r="G71" s="25">
        <v>0.49</v>
      </c>
      <c r="H71" s="25">
        <v>3.69</v>
      </c>
    </row>
    <row r="72" spans="2:10">
      <c r="B72" s="23" t="s">
        <v>376</v>
      </c>
      <c r="C72" s="23" t="s">
        <v>377</v>
      </c>
      <c r="D72" s="23" t="s">
        <v>371</v>
      </c>
      <c r="E72" s="28">
        <v>300</v>
      </c>
      <c r="F72" s="25">
        <v>3087.33</v>
      </c>
      <c r="G72" s="25">
        <v>0.48</v>
      </c>
      <c r="H72" s="25">
        <v>3.97</v>
      </c>
    </row>
    <row r="73" spans="2:10">
      <c r="B73" s="23" t="s">
        <v>378</v>
      </c>
      <c r="C73" s="23" t="s">
        <v>379</v>
      </c>
      <c r="D73" s="23" t="s">
        <v>371</v>
      </c>
      <c r="E73" s="28">
        <v>250</v>
      </c>
      <c r="F73" s="25">
        <v>2591.21</v>
      </c>
      <c r="G73" s="25">
        <v>0.4</v>
      </c>
      <c r="H73" s="25">
        <v>4.3</v>
      </c>
    </row>
    <row r="74" spans="2:10">
      <c r="B74" s="23" t="s">
        <v>380</v>
      </c>
      <c r="C74" s="23" t="s">
        <v>381</v>
      </c>
      <c r="D74" s="23" t="s">
        <v>371</v>
      </c>
      <c r="E74" s="28">
        <v>250</v>
      </c>
      <c r="F74" s="25">
        <v>2583.8000000000002</v>
      </c>
      <c r="G74" s="25">
        <v>0.4</v>
      </c>
      <c r="H74" s="25">
        <v>4.2</v>
      </c>
    </row>
    <row r="75" spans="2:10">
      <c r="B75" s="23" t="s">
        <v>382</v>
      </c>
      <c r="C75" s="23" t="s">
        <v>383</v>
      </c>
      <c r="D75" s="23" t="s">
        <v>371</v>
      </c>
      <c r="E75" s="28">
        <v>250</v>
      </c>
      <c r="F75" s="25">
        <v>2569.0300000000002</v>
      </c>
      <c r="G75" s="25">
        <v>0.4</v>
      </c>
      <c r="H75" s="25">
        <v>4.0199999999999996</v>
      </c>
    </row>
    <row r="76" spans="2:10">
      <c r="B76" s="23" t="s">
        <v>384</v>
      </c>
      <c r="C76" s="23" t="s">
        <v>385</v>
      </c>
      <c r="D76" s="23" t="s">
        <v>368</v>
      </c>
      <c r="E76" s="28">
        <v>250</v>
      </c>
      <c r="F76" s="25">
        <v>2527.6799999999998</v>
      </c>
      <c r="G76" s="25">
        <v>0.39</v>
      </c>
      <c r="H76" s="25">
        <v>4.57</v>
      </c>
    </row>
    <row r="77" spans="2:10">
      <c r="B77" s="23" t="s">
        <v>386</v>
      </c>
      <c r="C77" s="23" t="s">
        <v>387</v>
      </c>
      <c r="D77" s="23" t="s">
        <v>368</v>
      </c>
      <c r="E77" s="28">
        <v>250</v>
      </c>
      <c r="F77" s="25">
        <v>2519.17</v>
      </c>
      <c r="G77" s="25">
        <v>0.39</v>
      </c>
      <c r="H77" s="25">
        <v>3.5</v>
      </c>
    </row>
    <row r="78" spans="2:10">
      <c r="B78" s="23" t="s">
        <v>388</v>
      </c>
      <c r="C78" s="23" t="s">
        <v>389</v>
      </c>
      <c r="D78" s="23" t="s">
        <v>371</v>
      </c>
      <c r="E78" s="28">
        <v>250</v>
      </c>
      <c r="F78" s="25">
        <v>2517.38</v>
      </c>
      <c r="G78" s="25">
        <v>0.39</v>
      </c>
      <c r="H78" s="25">
        <v>3.52</v>
      </c>
    </row>
    <row r="79" spans="2:10">
      <c r="B79" s="23" t="s">
        <v>390</v>
      </c>
      <c r="C79" s="23" t="s">
        <v>391</v>
      </c>
      <c r="D79" s="23" t="s">
        <v>371</v>
      </c>
      <c r="E79" s="28">
        <v>250</v>
      </c>
      <c r="F79" s="25">
        <v>2503.7399999999998</v>
      </c>
      <c r="G79" s="25">
        <v>0.39</v>
      </c>
      <c r="H79" s="25">
        <v>3.5</v>
      </c>
    </row>
    <row r="80" spans="2:10">
      <c r="B80" s="23" t="s">
        <v>392</v>
      </c>
      <c r="C80" s="23" t="s">
        <v>393</v>
      </c>
      <c r="D80" s="23" t="s">
        <v>371</v>
      </c>
      <c r="E80" s="28">
        <v>200</v>
      </c>
      <c r="F80" s="25">
        <v>2142.58</v>
      </c>
      <c r="G80" s="25">
        <v>0.33</v>
      </c>
      <c r="H80" s="25">
        <v>5.23</v>
      </c>
    </row>
    <row r="81" spans="2:10">
      <c r="B81" s="23" t="s">
        <v>394</v>
      </c>
      <c r="C81" s="23" t="s">
        <v>395</v>
      </c>
      <c r="D81" s="23" t="s">
        <v>371</v>
      </c>
      <c r="E81" s="28">
        <v>200</v>
      </c>
      <c r="F81" s="25">
        <v>2060.09</v>
      </c>
      <c r="G81" s="25">
        <v>0.32</v>
      </c>
      <c r="H81" s="25">
        <v>4.25</v>
      </c>
    </row>
    <row r="82" spans="2:10">
      <c r="B82" s="23" t="s">
        <v>396</v>
      </c>
      <c r="C82" s="23" t="s">
        <v>397</v>
      </c>
      <c r="D82" s="23" t="s">
        <v>371</v>
      </c>
      <c r="E82" s="28">
        <v>150</v>
      </c>
      <c r="F82" s="25">
        <v>1642.11</v>
      </c>
      <c r="G82" s="25">
        <v>0.25</v>
      </c>
      <c r="H82" s="25">
        <v>6.73</v>
      </c>
    </row>
    <row r="83" spans="2:10">
      <c r="B83" s="23" t="s">
        <v>398</v>
      </c>
      <c r="C83" s="23" t="s">
        <v>399</v>
      </c>
      <c r="D83" s="23" t="s">
        <v>371</v>
      </c>
      <c r="E83" s="28">
        <v>150</v>
      </c>
      <c r="F83" s="25">
        <v>1599.06</v>
      </c>
      <c r="G83" s="25">
        <v>0.25</v>
      </c>
      <c r="H83" s="25">
        <v>5.04</v>
      </c>
    </row>
    <row r="84" spans="2:10">
      <c r="B84" s="23" t="s">
        <v>400</v>
      </c>
      <c r="C84" s="23" t="s">
        <v>401</v>
      </c>
      <c r="D84" s="23" t="s">
        <v>371</v>
      </c>
      <c r="E84" s="28">
        <v>150</v>
      </c>
      <c r="F84" s="25">
        <v>1555.93</v>
      </c>
      <c r="G84" s="25">
        <v>0.24</v>
      </c>
      <c r="H84" s="25">
        <v>4.29</v>
      </c>
    </row>
    <row r="85" spans="2:10">
      <c r="B85" s="23" t="s">
        <v>402</v>
      </c>
      <c r="C85" s="23" t="s">
        <v>403</v>
      </c>
      <c r="D85" s="23" t="s">
        <v>371</v>
      </c>
      <c r="E85" s="28">
        <v>150</v>
      </c>
      <c r="F85" s="25">
        <v>1535.45</v>
      </c>
      <c r="G85" s="25">
        <v>0.24</v>
      </c>
      <c r="H85" s="25">
        <v>3.65</v>
      </c>
    </row>
    <row r="86" spans="2:10">
      <c r="B86" s="23" t="s">
        <v>404</v>
      </c>
      <c r="C86" s="23" t="s">
        <v>405</v>
      </c>
      <c r="D86" s="23" t="s">
        <v>371</v>
      </c>
      <c r="E86" s="28">
        <v>112</v>
      </c>
      <c r="F86" s="25">
        <v>1219.4100000000001</v>
      </c>
      <c r="G86" s="25">
        <v>0.19</v>
      </c>
      <c r="H86" s="25">
        <v>6.77</v>
      </c>
    </row>
    <row r="87" spans="2:10">
      <c r="B87" s="23" t="s">
        <v>406</v>
      </c>
      <c r="C87" s="23" t="s">
        <v>407</v>
      </c>
      <c r="D87" s="23" t="s">
        <v>371</v>
      </c>
      <c r="E87" s="28">
        <v>100</v>
      </c>
      <c r="F87" s="25">
        <v>1074.9000000000001</v>
      </c>
      <c r="G87" s="25">
        <v>0.17</v>
      </c>
      <c r="H87" s="25">
        <v>5.31</v>
      </c>
    </row>
    <row r="88" spans="2:10">
      <c r="B88" s="23" t="s">
        <v>408</v>
      </c>
      <c r="C88" s="23" t="s">
        <v>409</v>
      </c>
      <c r="D88" s="23" t="s">
        <v>371</v>
      </c>
      <c r="E88" s="28">
        <v>100</v>
      </c>
      <c r="F88" s="25">
        <v>1063.27</v>
      </c>
      <c r="G88" s="25">
        <v>0.16</v>
      </c>
      <c r="H88" s="25">
        <v>5.52</v>
      </c>
    </row>
    <row r="89" spans="2:10">
      <c r="B89" s="23" t="s">
        <v>410</v>
      </c>
      <c r="C89" s="23" t="s">
        <v>411</v>
      </c>
      <c r="D89" s="23" t="s">
        <v>371</v>
      </c>
      <c r="E89" s="28">
        <v>100</v>
      </c>
      <c r="F89" s="25">
        <v>1033.92</v>
      </c>
      <c r="G89" s="25">
        <v>0.16</v>
      </c>
      <c r="H89" s="25">
        <v>4.29</v>
      </c>
    </row>
    <row r="90" spans="2:10">
      <c r="B90" s="23" t="s">
        <v>412</v>
      </c>
      <c r="C90" s="23" t="s">
        <v>413</v>
      </c>
      <c r="D90" s="23" t="s">
        <v>414</v>
      </c>
      <c r="E90" s="28">
        <v>100</v>
      </c>
      <c r="F90" s="25">
        <v>1027.75</v>
      </c>
      <c r="G90" s="25">
        <v>0.16</v>
      </c>
      <c r="H90" s="25">
        <v>4.29</v>
      </c>
    </row>
    <row r="91" spans="2:10">
      <c r="B91" s="23" t="s">
        <v>415</v>
      </c>
      <c r="C91" s="23" t="s">
        <v>416</v>
      </c>
      <c r="D91" s="23" t="s">
        <v>371</v>
      </c>
      <c r="E91" s="28">
        <v>69</v>
      </c>
      <c r="F91" s="25">
        <v>691.14</v>
      </c>
      <c r="G91" s="25">
        <v>0.11</v>
      </c>
      <c r="H91" s="25">
        <v>3.44</v>
      </c>
    </row>
    <row r="92" spans="2:10">
      <c r="B92" s="23" t="s">
        <v>417</v>
      </c>
      <c r="C92" s="23" t="s">
        <v>418</v>
      </c>
      <c r="D92" s="23" t="s">
        <v>371</v>
      </c>
      <c r="E92" s="28">
        <v>50</v>
      </c>
      <c r="F92" s="25">
        <v>539.04</v>
      </c>
      <c r="G92" s="25">
        <v>0.08</v>
      </c>
      <c r="H92" s="25">
        <v>4.8899999999999997</v>
      </c>
    </row>
    <row r="93" spans="2:10">
      <c r="B93" s="23" t="s">
        <v>419</v>
      </c>
      <c r="C93" s="23" t="s">
        <v>420</v>
      </c>
      <c r="D93" s="23" t="s">
        <v>371</v>
      </c>
      <c r="E93" s="28">
        <v>50</v>
      </c>
      <c r="F93" s="25">
        <v>530.30999999999995</v>
      </c>
      <c r="G93" s="25">
        <v>0.08</v>
      </c>
      <c r="H93" s="25">
        <v>5.42</v>
      </c>
    </row>
    <row r="94" spans="2:10">
      <c r="B94" s="23" t="s">
        <v>421</v>
      </c>
      <c r="C94" s="23" t="s">
        <v>422</v>
      </c>
      <c r="D94" s="23" t="s">
        <v>371</v>
      </c>
      <c r="E94" s="28">
        <v>50</v>
      </c>
      <c r="F94" s="25">
        <v>528.62</v>
      </c>
      <c r="G94" s="25">
        <v>0.08</v>
      </c>
      <c r="H94" s="25">
        <v>6.87</v>
      </c>
    </row>
    <row r="95" spans="2:10">
      <c r="B95" s="23" t="s">
        <v>423</v>
      </c>
      <c r="C95" s="23" t="s">
        <v>424</v>
      </c>
      <c r="D95" s="23" t="s">
        <v>371</v>
      </c>
      <c r="E95" s="28">
        <v>10</v>
      </c>
      <c r="F95" s="25">
        <v>101.99</v>
      </c>
      <c r="G95" s="25">
        <v>0.02</v>
      </c>
      <c r="H95" s="25">
        <v>3.59</v>
      </c>
    </row>
    <row r="96" spans="2:10">
      <c r="B96" s="30" t="s">
        <v>106</v>
      </c>
      <c r="C96" s="30"/>
      <c r="D96" s="30"/>
      <c r="E96" s="31"/>
      <c r="F96" s="32">
        <f>SUM(F67:F95)</f>
        <v>55578.789999999994</v>
      </c>
      <c r="G96" s="32">
        <f>SUM(G67:G95)</f>
        <v>8.5899999999999981</v>
      </c>
      <c r="H96" s="48"/>
      <c r="I96" s="14"/>
      <c r="J96" s="14"/>
    </row>
    <row r="97" spans="2:10">
      <c r="B97" s="49" t="s">
        <v>107</v>
      </c>
      <c r="C97" s="49"/>
      <c r="D97" s="49"/>
      <c r="E97" s="50"/>
      <c r="F97" s="51">
        <f>F96</f>
        <v>55578.789999999994</v>
      </c>
      <c r="G97" s="51">
        <f>G96</f>
        <v>8.5899999999999981</v>
      </c>
      <c r="H97" s="51"/>
      <c r="I97" s="14"/>
      <c r="J97" s="14"/>
    </row>
    <row r="98" spans="2:10">
      <c r="B98" s="47" t="s">
        <v>425</v>
      </c>
      <c r="C98" s="23"/>
      <c r="D98" s="23"/>
      <c r="E98" s="24"/>
      <c r="F98" s="25"/>
      <c r="G98" s="25"/>
      <c r="H98" s="25"/>
    </row>
    <row r="99" spans="2:10">
      <c r="B99" s="47" t="s">
        <v>426</v>
      </c>
      <c r="C99" s="23"/>
      <c r="D99" s="23"/>
      <c r="E99" s="24"/>
      <c r="F99" s="25"/>
      <c r="G99" s="25"/>
      <c r="H99" s="25"/>
    </row>
    <row r="100" spans="2:10">
      <c r="B100" s="23" t="s">
        <v>741</v>
      </c>
      <c r="C100" s="23" t="s">
        <v>427</v>
      </c>
      <c r="D100" s="23" t="s">
        <v>428</v>
      </c>
      <c r="E100" s="28">
        <v>1000</v>
      </c>
      <c r="F100" s="25">
        <v>4996.92</v>
      </c>
      <c r="G100" s="25">
        <v>0.77</v>
      </c>
      <c r="H100" s="25">
        <v>3.22</v>
      </c>
    </row>
    <row r="101" spans="2:10">
      <c r="B101" s="30" t="s">
        <v>106</v>
      </c>
      <c r="C101" s="30"/>
      <c r="D101" s="30"/>
      <c r="E101" s="31"/>
      <c r="F101" s="32">
        <f>SUM(F99:F100)</f>
        <v>4996.92</v>
      </c>
      <c r="G101" s="32">
        <f>SUM(G99:G100)</f>
        <v>0.77</v>
      </c>
      <c r="H101" s="48"/>
      <c r="I101" s="14"/>
      <c r="J101" s="14"/>
    </row>
    <row r="102" spans="2:10">
      <c r="B102" s="49" t="s">
        <v>107</v>
      </c>
      <c r="C102" s="49"/>
      <c r="D102" s="49"/>
      <c r="E102" s="50"/>
      <c r="F102" s="51">
        <f>+F101</f>
        <v>4996.92</v>
      </c>
      <c r="G102" s="51">
        <f>+G101</f>
        <v>0.77</v>
      </c>
      <c r="H102" s="51"/>
      <c r="I102" s="14"/>
      <c r="J102" s="14"/>
    </row>
    <row r="103" spans="2:10">
      <c r="B103" s="47" t="s">
        <v>429</v>
      </c>
      <c r="C103" s="23"/>
      <c r="D103" s="23"/>
      <c r="E103" s="24"/>
      <c r="F103" s="25"/>
      <c r="G103" s="25"/>
      <c r="H103" s="25"/>
    </row>
    <row r="104" spans="2:10">
      <c r="B104" s="23" t="s">
        <v>430</v>
      </c>
      <c r="C104" s="23" t="s">
        <v>431</v>
      </c>
      <c r="D104" s="23" t="s">
        <v>432</v>
      </c>
      <c r="E104" s="28">
        <v>20500000</v>
      </c>
      <c r="F104" s="25">
        <v>20529.990000000002</v>
      </c>
      <c r="G104" s="25">
        <v>3.16</v>
      </c>
      <c r="H104" s="25">
        <v>3.83</v>
      </c>
    </row>
    <row r="105" spans="2:10">
      <c r="B105" s="23" t="s">
        <v>433</v>
      </c>
      <c r="C105" s="23" t="s">
        <v>434</v>
      </c>
      <c r="D105" s="23" t="s">
        <v>432</v>
      </c>
      <c r="E105" s="28">
        <v>18500000</v>
      </c>
      <c r="F105" s="25">
        <v>18542.55</v>
      </c>
      <c r="G105" s="25">
        <v>2.86</v>
      </c>
      <c r="H105" s="25">
        <v>4.37</v>
      </c>
    </row>
    <row r="106" spans="2:10">
      <c r="B106" s="23" t="s">
        <v>435</v>
      </c>
      <c r="C106" s="23" t="s">
        <v>436</v>
      </c>
      <c r="D106" s="23" t="s">
        <v>432</v>
      </c>
      <c r="E106" s="28">
        <v>12750000</v>
      </c>
      <c r="F106" s="25">
        <v>12779.4</v>
      </c>
      <c r="G106" s="25">
        <v>1.97</v>
      </c>
      <c r="H106" s="25">
        <v>4.12</v>
      </c>
    </row>
    <row r="107" spans="2:10">
      <c r="B107" s="23" t="s">
        <v>437</v>
      </c>
      <c r="C107" s="23" t="s">
        <v>438</v>
      </c>
      <c r="D107" s="23" t="s">
        <v>432</v>
      </c>
      <c r="E107" s="28">
        <v>6000000</v>
      </c>
      <c r="F107" s="25">
        <v>5990.03</v>
      </c>
      <c r="G107" s="25">
        <v>0.92</v>
      </c>
      <c r="H107" s="25">
        <v>5.27</v>
      </c>
    </row>
    <row r="108" spans="2:10">
      <c r="B108" s="23" t="s">
        <v>439</v>
      </c>
      <c r="C108" s="23" t="s">
        <v>440</v>
      </c>
      <c r="D108" s="23" t="s">
        <v>432</v>
      </c>
      <c r="E108" s="28">
        <v>5000000</v>
      </c>
      <c r="F108" s="25">
        <v>5167.22</v>
      </c>
      <c r="G108" s="25">
        <v>0.8</v>
      </c>
      <c r="H108" s="25">
        <v>3.74</v>
      </c>
    </row>
    <row r="109" spans="2:10">
      <c r="B109" s="23" t="s">
        <v>441</v>
      </c>
      <c r="C109" s="23" t="s">
        <v>442</v>
      </c>
      <c r="D109" s="23" t="s">
        <v>432</v>
      </c>
      <c r="E109" s="28">
        <v>5000000</v>
      </c>
      <c r="F109" s="25">
        <v>5050.25</v>
      </c>
      <c r="G109" s="25">
        <v>0.78</v>
      </c>
      <c r="H109" s="25">
        <v>3.31</v>
      </c>
    </row>
    <row r="110" spans="2:10">
      <c r="B110" s="23" t="s">
        <v>443</v>
      </c>
      <c r="C110" s="23" t="s">
        <v>444</v>
      </c>
      <c r="D110" s="23" t="s">
        <v>432</v>
      </c>
      <c r="E110" s="28">
        <v>5000000</v>
      </c>
      <c r="F110" s="25">
        <v>4957.58</v>
      </c>
      <c r="G110" s="25">
        <v>0.76</v>
      </c>
      <c r="H110" s="25">
        <v>6.22</v>
      </c>
    </row>
    <row r="111" spans="2:10">
      <c r="B111" s="23" t="s">
        <v>445</v>
      </c>
      <c r="C111" s="23" t="s">
        <v>446</v>
      </c>
      <c r="D111" s="23" t="s">
        <v>432</v>
      </c>
      <c r="E111" s="28">
        <v>3000000</v>
      </c>
      <c r="F111" s="25">
        <v>3062.59</v>
      </c>
      <c r="G111" s="25">
        <v>0.47</v>
      </c>
      <c r="H111" s="25">
        <v>3.54</v>
      </c>
    </row>
    <row r="112" spans="2:10">
      <c r="B112" s="23" t="s">
        <v>447</v>
      </c>
      <c r="C112" s="23" t="s">
        <v>448</v>
      </c>
      <c r="D112" s="23" t="s">
        <v>432</v>
      </c>
      <c r="E112" s="28">
        <v>2500000</v>
      </c>
      <c r="F112" s="25">
        <v>2522.65</v>
      </c>
      <c r="G112" s="25">
        <v>0.39</v>
      </c>
      <c r="H112" s="25">
        <v>3.59</v>
      </c>
    </row>
    <row r="113" spans="2:10">
      <c r="B113" s="23" t="s">
        <v>449</v>
      </c>
      <c r="C113" s="23" t="s">
        <v>450</v>
      </c>
      <c r="D113" s="23" t="s">
        <v>432</v>
      </c>
      <c r="E113" s="28">
        <v>1500000</v>
      </c>
      <c r="F113" s="25">
        <v>1621.5</v>
      </c>
      <c r="G113" s="25">
        <v>0.25</v>
      </c>
      <c r="H113" s="25">
        <v>6</v>
      </c>
    </row>
    <row r="114" spans="2:10">
      <c r="B114" s="23" t="s">
        <v>451</v>
      </c>
      <c r="C114" s="23" t="s">
        <v>452</v>
      </c>
      <c r="D114" s="23" t="s">
        <v>432</v>
      </c>
      <c r="E114" s="28">
        <v>1500000</v>
      </c>
      <c r="F114" s="25">
        <v>1573.46</v>
      </c>
      <c r="G114" s="25">
        <v>0.24</v>
      </c>
      <c r="H114" s="25">
        <v>5.83</v>
      </c>
    </row>
    <row r="115" spans="2:10">
      <c r="B115" s="23" t="s">
        <v>453</v>
      </c>
      <c r="C115" s="23" t="s">
        <v>454</v>
      </c>
      <c r="D115" s="23" t="s">
        <v>432</v>
      </c>
      <c r="E115" s="28">
        <v>500000</v>
      </c>
      <c r="F115" s="25">
        <v>553.45000000000005</v>
      </c>
      <c r="G115" s="25">
        <v>0.09</v>
      </c>
      <c r="H115" s="25">
        <v>5.92</v>
      </c>
    </row>
    <row r="116" spans="2:10">
      <c r="B116" s="23" t="s">
        <v>455</v>
      </c>
      <c r="C116" s="23" t="s">
        <v>456</v>
      </c>
      <c r="D116" s="23" t="s">
        <v>432</v>
      </c>
      <c r="E116" s="28">
        <v>500000</v>
      </c>
      <c r="F116" s="25">
        <v>550.75</v>
      </c>
      <c r="G116" s="25">
        <v>0.08</v>
      </c>
      <c r="H116" s="25">
        <v>5.87</v>
      </c>
    </row>
    <row r="117" spans="2:10">
      <c r="B117" s="52" t="s">
        <v>457</v>
      </c>
      <c r="C117" s="52" t="s">
        <v>458</v>
      </c>
      <c r="D117" s="52" t="s">
        <v>432</v>
      </c>
      <c r="E117" s="53">
        <v>191700</v>
      </c>
      <c r="F117" s="54">
        <v>196.37</v>
      </c>
      <c r="G117" s="54">
        <v>0.03</v>
      </c>
      <c r="H117" s="54">
        <v>3.82</v>
      </c>
    </row>
    <row r="118" spans="2:10">
      <c r="B118" s="55" t="s">
        <v>107</v>
      </c>
      <c r="C118" s="55"/>
      <c r="D118" s="55"/>
      <c r="E118" s="56"/>
      <c r="F118" s="57">
        <f>SUM(F104:F117)</f>
        <v>83097.789999999994</v>
      </c>
      <c r="G118" s="57">
        <f>SUM(G104:G117)</f>
        <v>12.8</v>
      </c>
      <c r="H118" s="57"/>
      <c r="I118" s="14"/>
      <c r="J118" s="14"/>
    </row>
    <row r="119" spans="2:10">
      <c r="B119" s="47" t="s">
        <v>108</v>
      </c>
      <c r="C119" s="23"/>
      <c r="D119" s="23"/>
      <c r="E119" s="24"/>
      <c r="F119" s="25"/>
      <c r="G119" s="25"/>
      <c r="H119" s="25"/>
    </row>
    <row r="120" spans="2:10">
      <c r="B120" s="23" t="s">
        <v>108</v>
      </c>
      <c r="C120" s="23"/>
      <c r="D120" s="23"/>
      <c r="E120" s="24"/>
      <c r="F120" s="25">
        <v>19565.37</v>
      </c>
      <c r="G120" s="25">
        <v>3.01</v>
      </c>
      <c r="H120" s="25"/>
    </row>
    <row r="121" spans="2:10">
      <c r="B121" s="30" t="s">
        <v>106</v>
      </c>
      <c r="C121" s="30"/>
      <c r="D121" s="30"/>
      <c r="E121" s="31"/>
      <c r="F121" s="32">
        <f>SUM(F119:F120)</f>
        <v>19565.37</v>
      </c>
      <c r="G121" s="32">
        <f>SUM(G119:G120)</f>
        <v>3.01</v>
      </c>
      <c r="H121" s="48"/>
      <c r="I121" s="14"/>
      <c r="J121" s="14"/>
    </row>
    <row r="122" spans="2:10">
      <c r="B122" s="34" t="s">
        <v>107</v>
      </c>
      <c r="C122" s="34"/>
      <c r="D122" s="34"/>
      <c r="E122" s="35"/>
      <c r="F122" s="36">
        <f>F121</f>
        <v>19565.37</v>
      </c>
      <c r="G122" s="36">
        <f>G121</f>
        <v>3.01</v>
      </c>
      <c r="H122" s="36"/>
      <c r="I122" s="14"/>
      <c r="J122" s="14"/>
    </row>
    <row r="123" spans="2:10">
      <c r="B123" s="44" t="s">
        <v>110</v>
      </c>
      <c r="C123" s="44"/>
      <c r="D123" s="44"/>
      <c r="E123" s="45"/>
      <c r="F123" s="16">
        <f>F124-(+F65+F97+F102+F118+F122)</f>
        <v>-340.60999999998603</v>
      </c>
      <c r="G123" s="16">
        <f>G124-(+G65+G97+G102+G118+G122)</f>
        <v>-7.00000000000216E-2</v>
      </c>
      <c r="H123" s="16"/>
      <c r="I123" s="14"/>
      <c r="J123" s="14"/>
    </row>
    <row r="124" spans="2:10">
      <c r="B124" s="44" t="s">
        <v>109</v>
      </c>
      <c r="C124" s="44"/>
      <c r="D124" s="44"/>
      <c r="E124" s="45"/>
      <c r="F124" s="16">
        <v>649278.31000000006</v>
      </c>
      <c r="G124" s="16">
        <v>100</v>
      </c>
      <c r="H124" s="16"/>
      <c r="I124" s="14"/>
      <c r="J124" s="14"/>
    </row>
    <row r="126" spans="2:10">
      <c r="B126" s="14" t="s">
        <v>738</v>
      </c>
    </row>
    <row r="127" spans="2:10">
      <c r="B127" s="14" t="s">
        <v>459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3"/>
  <sheetViews>
    <sheetView workbookViewId="0"/>
  </sheetViews>
  <sheetFormatPr defaultRowHeight="12"/>
  <cols>
    <col min="1" max="1" width="9.140625" style="1"/>
    <col min="2" max="2" width="57.42578125" style="1" bestFit="1" customWidth="1"/>
    <col min="3" max="3" width="13.42578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17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365</v>
      </c>
      <c r="C5" s="18"/>
      <c r="D5" s="18"/>
      <c r="E5" s="19"/>
      <c r="F5" s="20"/>
      <c r="G5" s="20"/>
      <c r="H5" s="20"/>
    </row>
    <row r="6" spans="2:10">
      <c r="B6" s="47" t="s">
        <v>31</v>
      </c>
      <c r="C6" s="23"/>
      <c r="D6" s="23"/>
      <c r="E6" s="24"/>
      <c r="F6" s="25"/>
      <c r="G6" s="25"/>
      <c r="H6" s="25"/>
    </row>
    <row r="7" spans="2:10">
      <c r="B7" s="23" t="s">
        <v>378</v>
      </c>
      <c r="C7" s="23" t="s">
        <v>379</v>
      </c>
      <c r="D7" s="23" t="s">
        <v>371</v>
      </c>
      <c r="E7" s="28">
        <v>50</v>
      </c>
      <c r="F7" s="25">
        <v>518.24</v>
      </c>
      <c r="G7" s="25">
        <v>4.3</v>
      </c>
      <c r="H7" s="25">
        <v>4.3</v>
      </c>
    </row>
    <row r="8" spans="2:10">
      <c r="B8" s="23" t="s">
        <v>460</v>
      </c>
      <c r="C8" s="23" t="s">
        <v>461</v>
      </c>
      <c r="D8" s="23" t="s">
        <v>368</v>
      </c>
      <c r="E8" s="28">
        <v>50</v>
      </c>
      <c r="F8" s="25">
        <v>510.02</v>
      </c>
      <c r="G8" s="25">
        <v>4.24</v>
      </c>
      <c r="H8" s="25">
        <v>3.57</v>
      </c>
    </row>
    <row r="9" spans="2:10">
      <c r="B9" s="30" t="s">
        <v>106</v>
      </c>
      <c r="C9" s="30"/>
      <c r="D9" s="30"/>
      <c r="E9" s="31"/>
      <c r="F9" s="32">
        <f>SUM(F6:F8)</f>
        <v>1028.26</v>
      </c>
      <c r="G9" s="32">
        <f>SUM(G6:G8)</f>
        <v>8.5399999999999991</v>
      </c>
      <c r="H9" s="48"/>
      <c r="I9" s="14"/>
      <c r="J9" s="14"/>
    </row>
    <row r="10" spans="2:10">
      <c r="B10" s="49" t="s">
        <v>107</v>
      </c>
      <c r="C10" s="49"/>
      <c r="D10" s="49"/>
      <c r="E10" s="50"/>
      <c r="F10" s="51">
        <f>F9</f>
        <v>1028.26</v>
      </c>
      <c r="G10" s="51">
        <f>G9</f>
        <v>8.5399999999999991</v>
      </c>
      <c r="H10" s="51"/>
      <c r="I10" s="14"/>
      <c r="J10" s="14"/>
    </row>
    <row r="11" spans="2:10">
      <c r="B11" s="47" t="s">
        <v>425</v>
      </c>
      <c r="C11" s="23"/>
      <c r="D11" s="23"/>
      <c r="E11" s="24"/>
      <c r="F11" s="25"/>
      <c r="G11" s="25"/>
      <c r="H11" s="25"/>
    </row>
    <row r="12" spans="2:10">
      <c r="B12" s="47" t="s">
        <v>462</v>
      </c>
      <c r="C12" s="23"/>
      <c r="D12" s="23"/>
      <c r="E12" s="24"/>
      <c r="F12" s="25"/>
      <c r="G12" s="25"/>
      <c r="H12" s="25"/>
    </row>
    <row r="13" spans="2:10">
      <c r="B13" s="23" t="s">
        <v>463</v>
      </c>
      <c r="C13" s="23" t="s">
        <v>464</v>
      </c>
      <c r="D13" s="23" t="s">
        <v>465</v>
      </c>
      <c r="E13" s="28">
        <v>5000000</v>
      </c>
      <c r="F13" s="25">
        <v>4993.75</v>
      </c>
      <c r="G13" s="25">
        <v>41.47</v>
      </c>
      <c r="H13" s="25">
        <v>3.05</v>
      </c>
    </row>
    <row r="14" spans="2:10">
      <c r="B14" s="30" t="s">
        <v>106</v>
      </c>
      <c r="C14" s="30"/>
      <c r="D14" s="30"/>
      <c r="E14" s="31"/>
      <c r="F14" s="32">
        <f>SUM(F12:F13)</f>
        <v>4993.75</v>
      </c>
      <c r="G14" s="32">
        <f>SUM(G12:G13)</f>
        <v>41.47</v>
      </c>
      <c r="H14" s="48"/>
      <c r="I14" s="14"/>
      <c r="J14" s="14"/>
    </row>
    <row r="15" spans="2:10">
      <c r="B15" s="49" t="s">
        <v>107</v>
      </c>
      <c r="C15" s="49"/>
      <c r="D15" s="49"/>
      <c r="E15" s="50"/>
      <c r="F15" s="51">
        <f>+F14</f>
        <v>4993.75</v>
      </c>
      <c r="G15" s="51">
        <f>+G14</f>
        <v>41.47</v>
      </c>
      <c r="H15" s="51"/>
      <c r="I15" s="14"/>
      <c r="J15" s="14"/>
    </row>
    <row r="16" spans="2:10">
      <c r="B16" s="47" t="s">
        <v>429</v>
      </c>
      <c r="C16" s="23"/>
      <c r="D16" s="23"/>
      <c r="E16" s="24"/>
      <c r="F16" s="25"/>
      <c r="G16" s="25"/>
      <c r="H16" s="25"/>
    </row>
    <row r="17" spans="2:10">
      <c r="B17" s="23" t="s">
        <v>466</v>
      </c>
      <c r="C17" s="23" t="s">
        <v>467</v>
      </c>
      <c r="D17" s="23" t="s">
        <v>432</v>
      </c>
      <c r="E17" s="28">
        <v>1500000</v>
      </c>
      <c r="F17" s="25">
        <v>1590.75</v>
      </c>
      <c r="G17" s="25">
        <v>13.21</v>
      </c>
      <c r="H17" s="25">
        <v>5.75</v>
      </c>
    </row>
    <row r="18" spans="2:10">
      <c r="B18" s="23" t="s">
        <v>443</v>
      </c>
      <c r="C18" s="23" t="s">
        <v>444</v>
      </c>
      <c r="D18" s="23" t="s">
        <v>432</v>
      </c>
      <c r="E18" s="28">
        <v>1000000</v>
      </c>
      <c r="F18" s="25">
        <v>991.52</v>
      </c>
      <c r="G18" s="25">
        <v>8.23</v>
      </c>
      <c r="H18" s="25">
        <v>6.22</v>
      </c>
    </row>
    <row r="19" spans="2:10">
      <c r="B19" s="23" t="s">
        <v>468</v>
      </c>
      <c r="C19" s="23" t="s">
        <v>469</v>
      </c>
      <c r="D19" s="23" t="s">
        <v>432</v>
      </c>
      <c r="E19" s="28">
        <v>600000</v>
      </c>
      <c r="F19" s="25">
        <v>643.53</v>
      </c>
      <c r="G19" s="25">
        <v>5.34</v>
      </c>
      <c r="H19" s="25">
        <v>6.67</v>
      </c>
    </row>
    <row r="20" spans="2:10">
      <c r="B20" s="23" t="s">
        <v>470</v>
      </c>
      <c r="C20" s="23" t="s">
        <v>471</v>
      </c>
      <c r="D20" s="23" t="s">
        <v>432</v>
      </c>
      <c r="E20" s="28">
        <v>600000</v>
      </c>
      <c r="F20" s="25">
        <v>633.91999999999996</v>
      </c>
      <c r="G20" s="25">
        <v>5.26</v>
      </c>
      <c r="H20" s="25">
        <v>6.05</v>
      </c>
    </row>
    <row r="21" spans="2:10">
      <c r="B21" s="23" t="s">
        <v>472</v>
      </c>
      <c r="C21" s="23" t="s">
        <v>473</v>
      </c>
      <c r="D21" s="23" t="s">
        <v>432</v>
      </c>
      <c r="E21" s="28">
        <v>523200</v>
      </c>
      <c r="F21" s="25">
        <v>533.07000000000005</v>
      </c>
      <c r="G21" s="25">
        <v>4.43</v>
      </c>
      <c r="H21" s="25">
        <v>6.42</v>
      </c>
    </row>
    <row r="22" spans="2:10">
      <c r="B22" s="23" t="s">
        <v>474</v>
      </c>
      <c r="C22" s="23" t="s">
        <v>475</v>
      </c>
      <c r="D22" s="23" t="s">
        <v>432</v>
      </c>
      <c r="E22" s="28">
        <v>500000</v>
      </c>
      <c r="F22" s="25">
        <v>503.3</v>
      </c>
      <c r="G22" s="25">
        <v>4.18</v>
      </c>
      <c r="H22" s="25">
        <v>6.88</v>
      </c>
    </row>
    <row r="23" spans="2:10">
      <c r="B23" s="23" t="s">
        <v>476</v>
      </c>
      <c r="C23" s="23" t="s">
        <v>477</v>
      </c>
      <c r="D23" s="23" t="s">
        <v>432</v>
      </c>
      <c r="E23" s="28">
        <v>500000</v>
      </c>
      <c r="F23" s="25">
        <v>493.97</v>
      </c>
      <c r="G23" s="25">
        <v>4.0999999999999996</v>
      </c>
      <c r="H23" s="25">
        <v>6.77</v>
      </c>
    </row>
    <row r="24" spans="2:10">
      <c r="B24" s="52" t="s">
        <v>478</v>
      </c>
      <c r="C24" s="52" t="s">
        <v>479</v>
      </c>
      <c r="D24" s="52" t="s">
        <v>432</v>
      </c>
      <c r="E24" s="53">
        <v>100000</v>
      </c>
      <c r="F24" s="54">
        <v>105.65</v>
      </c>
      <c r="G24" s="54">
        <v>0.88</v>
      </c>
      <c r="H24" s="54">
        <v>6.08</v>
      </c>
    </row>
    <row r="25" spans="2:10">
      <c r="B25" s="55" t="s">
        <v>107</v>
      </c>
      <c r="C25" s="55"/>
      <c r="D25" s="55"/>
      <c r="E25" s="56"/>
      <c r="F25" s="57">
        <f>SUM(F17:F24)</f>
        <v>5495.71</v>
      </c>
      <c r="G25" s="57">
        <f>SUM(G17:G24)</f>
        <v>45.63</v>
      </c>
      <c r="H25" s="57"/>
      <c r="I25" s="14"/>
      <c r="J25" s="14"/>
    </row>
    <row r="26" spans="2:10">
      <c r="B26" s="47" t="s">
        <v>108</v>
      </c>
      <c r="C26" s="23"/>
      <c r="D26" s="23"/>
      <c r="E26" s="24"/>
      <c r="F26" s="25"/>
      <c r="G26" s="25"/>
      <c r="H26" s="25"/>
    </row>
    <row r="27" spans="2:10">
      <c r="B27" s="23" t="s">
        <v>108</v>
      </c>
      <c r="C27" s="23"/>
      <c r="D27" s="23"/>
      <c r="E27" s="24"/>
      <c r="F27" s="25">
        <v>332.52</v>
      </c>
      <c r="G27" s="25">
        <v>2.76</v>
      </c>
      <c r="H27" s="25"/>
    </row>
    <row r="28" spans="2:10">
      <c r="B28" s="30" t="s">
        <v>106</v>
      </c>
      <c r="C28" s="30"/>
      <c r="D28" s="30"/>
      <c r="E28" s="31"/>
      <c r="F28" s="32">
        <f>SUM(F26:F27)</f>
        <v>332.52</v>
      </c>
      <c r="G28" s="32">
        <f>SUM(G26:G27)</f>
        <v>2.76</v>
      </c>
      <c r="H28" s="48"/>
      <c r="I28" s="14"/>
      <c r="J28" s="14"/>
    </row>
    <row r="29" spans="2:10">
      <c r="B29" s="34" t="s">
        <v>107</v>
      </c>
      <c r="C29" s="34"/>
      <c r="D29" s="34"/>
      <c r="E29" s="35"/>
      <c r="F29" s="36">
        <f>F28</f>
        <v>332.52</v>
      </c>
      <c r="G29" s="36">
        <f>G28</f>
        <v>2.76</v>
      </c>
      <c r="H29" s="36"/>
      <c r="I29" s="14"/>
      <c r="J29" s="14"/>
    </row>
    <row r="30" spans="2:10">
      <c r="B30" s="44" t="s">
        <v>110</v>
      </c>
      <c r="C30" s="44"/>
      <c r="D30" s="44"/>
      <c r="E30" s="45"/>
      <c r="F30" s="16">
        <f>F31-(+F10+F15+F25+F29)</f>
        <v>192.7599999999984</v>
      </c>
      <c r="G30" s="16">
        <f>G31-(+G10+G15+G25+G29)</f>
        <v>1.5999999999999943</v>
      </c>
      <c r="H30" s="16"/>
      <c r="I30" s="14"/>
      <c r="J30" s="14"/>
    </row>
    <row r="31" spans="2:10">
      <c r="B31" s="44" t="s">
        <v>109</v>
      </c>
      <c r="C31" s="44"/>
      <c r="D31" s="44"/>
      <c r="E31" s="45"/>
      <c r="F31" s="16">
        <v>12043</v>
      </c>
      <c r="G31" s="16">
        <v>100</v>
      </c>
      <c r="H31" s="16"/>
      <c r="I31" s="14"/>
      <c r="J31" s="14"/>
    </row>
    <row r="33" spans="2:2">
      <c r="B33" s="14" t="s">
        <v>738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/>
  </sheetViews>
  <sheetFormatPr defaultRowHeight="12"/>
  <cols>
    <col min="1" max="1" width="9.140625" style="1"/>
    <col min="2" max="2" width="57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18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429</v>
      </c>
      <c r="C5" s="18"/>
      <c r="D5" s="18"/>
      <c r="E5" s="19"/>
      <c r="F5" s="20"/>
      <c r="G5" s="20"/>
      <c r="H5" s="20"/>
    </row>
    <row r="6" spans="2:10">
      <c r="B6" s="23" t="s">
        <v>441</v>
      </c>
      <c r="C6" s="23" t="s">
        <v>442</v>
      </c>
      <c r="D6" s="23" t="s">
        <v>432</v>
      </c>
      <c r="E6" s="28">
        <v>3500000</v>
      </c>
      <c r="F6" s="25">
        <v>3535.18</v>
      </c>
      <c r="G6" s="25">
        <v>40.92</v>
      </c>
      <c r="H6" s="25">
        <v>3.31</v>
      </c>
    </row>
    <row r="7" spans="2:10">
      <c r="B7" s="23" t="s">
        <v>466</v>
      </c>
      <c r="C7" s="23" t="s">
        <v>467</v>
      </c>
      <c r="D7" s="23" t="s">
        <v>432</v>
      </c>
      <c r="E7" s="28">
        <v>1500000</v>
      </c>
      <c r="F7" s="25">
        <v>1590.75</v>
      </c>
      <c r="G7" s="25">
        <v>18.41</v>
      </c>
      <c r="H7" s="25">
        <v>5.75</v>
      </c>
    </row>
    <row r="8" spans="2:10">
      <c r="B8" s="23" t="s">
        <v>470</v>
      </c>
      <c r="C8" s="23" t="s">
        <v>471</v>
      </c>
      <c r="D8" s="23" t="s">
        <v>432</v>
      </c>
      <c r="E8" s="28">
        <v>600000</v>
      </c>
      <c r="F8" s="25">
        <v>633.91999999999996</v>
      </c>
      <c r="G8" s="25">
        <v>7.34</v>
      </c>
      <c r="H8" s="25">
        <v>6.05</v>
      </c>
    </row>
    <row r="9" spans="2:10">
      <c r="B9" s="23" t="s">
        <v>451</v>
      </c>
      <c r="C9" s="23" t="s">
        <v>452</v>
      </c>
      <c r="D9" s="23" t="s">
        <v>432</v>
      </c>
      <c r="E9" s="28">
        <v>500000</v>
      </c>
      <c r="F9" s="25">
        <v>524.49</v>
      </c>
      <c r="G9" s="25">
        <v>6.07</v>
      </c>
      <c r="H9" s="25">
        <v>5.83</v>
      </c>
    </row>
    <row r="10" spans="2:10">
      <c r="B10" s="23" t="s">
        <v>476</v>
      </c>
      <c r="C10" s="23" t="s">
        <v>477</v>
      </c>
      <c r="D10" s="23" t="s">
        <v>432</v>
      </c>
      <c r="E10" s="28">
        <v>500000</v>
      </c>
      <c r="F10" s="25">
        <v>493.97</v>
      </c>
      <c r="G10" s="25">
        <v>5.72</v>
      </c>
      <c r="H10" s="25">
        <v>6.77</v>
      </c>
    </row>
    <row r="11" spans="2:10">
      <c r="B11" s="23" t="s">
        <v>468</v>
      </c>
      <c r="C11" s="23" t="s">
        <v>469</v>
      </c>
      <c r="D11" s="23" t="s">
        <v>432</v>
      </c>
      <c r="E11" s="28">
        <v>400000</v>
      </c>
      <c r="F11" s="25">
        <v>429.02</v>
      </c>
      <c r="G11" s="25">
        <v>4.97</v>
      </c>
      <c r="H11" s="25">
        <v>6.67</v>
      </c>
    </row>
    <row r="12" spans="2:10">
      <c r="B12" s="23" t="s">
        <v>480</v>
      </c>
      <c r="C12" s="23" t="s">
        <v>481</v>
      </c>
      <c r="D12" s="23" t="s">
        <v>432</v>
      </c>
      <c r="E12" s="28">
        <v>420100</v>
      </c>
      <c r="F12" s="25">
        <v>399.75</v>
      </c>
      <c r="G12" s="25">
        <v>4.63</v>
      </c>
      <c r="H12" s="25">
        <v>6.77</v>
      </c>
    </row>
    <row r="13" spans="2:10">
      <c r="B13" s="23" t="s">
        <v>478</v>
      </c>
      <c r="C13" s="23" t="s">
        <v>479</v>
      </c>
      <c r="D13" s="23" t="s">
        <v>432</v>
      </c>
      <c r="E13" s="28">
        <v>73300</v>
      </c>
      <c r="F13" s="25">
        <v>77.44</v>
      </c>
      <c r="G13" s="25">
        <v>0.9</v>
      </c>
      <c r="H13" s="25">
        <v>6.08</v>
      </c>
    </row>
    <row r="14" spans="2:10">
      <c r="B14" s="52" t="s">
        <v>482</v>
      </c>
      <c r="C14" s="52" t="s">
        <v>483</v>
      </c>
      <c r="D14" s="52" t="s">
        <v>432</v>
      </c>
      <c r="E14" s="53">
        <v>10000</v>
      </c>
      <c r="F14" s="54">
        <v>11.25</v>
      </c>
      <c r="G14" s="54">
        <v>0.13</v>
      </c>
      <c r="H14" s="54">
        <v>7.04</v>
      </c>
    </row>
    <row r="15" spans="2:10">
      <c r="B15" s="55" t="s">
        <v>107</v>
      </c>
      <c r="C15" s="55"/>
      <c r="D15" s="55"/>
      <c r="E15" s="56"/>
      <c r="F15" s="57">
        <f>SUM(F6:F14)</f>
        <v>7695.7699999999995</v>
      </c>
      <c r="G15" s="57">
        <f>SUM(G6:G14)</f>
        <v>89.09</v>
      </c>
      <c r="H15" s="57"/>
      <c r="I15" s="14"/>
      <c r="J15" s="14"/>
    </row>
    <row r="16" spans="2:10">
      <c r="B16" s="47" t="s">
        <v>108</v>
      </c>
      <c r="C16" s="23"/>
      <c r="D16" s="23"/>
      <c r="E16" s="24"/>
      <c r="F16" s="25"/>
      <c r="G16" s="25"/>
      <c r="H16" s="25"/>
    </row>
    <row r="17" spans="2:10">
      <c r="B17" s="23" t="s">
        <v>108</v>
      </c>
      <c r="C17" s="23"/>
      <c r="D17" s="23"/>
      <c r="E17" s="24"/>
      <c r="F17" s="25">
        <v>224.59</v>
      </c>
      <c r="G17" s="25">
        <v>2.6</v>
      </c>
      <c r="H17" s="25"/>
    </row>
    <row r="18" spans="2:10">
      <c r="B18" s="30" t="s">
        <v>106</v>
      </c>
      <c r="C18" s="30"/>
      <c r="D18" s="30"/>
      <c r="E18" s="31"/>
      <c r="F18" s="32">
        <f>SUM(F16:F17)</f>
        <v>224.59</v>
      </c>
      <c r="G18" s="32">
        <f>SUM(G16:G17)</f>
        <v>2.6</v>
      </c>
      <c r="H18" s="48"/>
      <c r="I18" s="14"/>
      <c r="J18" s="14"/>
    </row>
    <row r="19" spans="2:10">
      <c r="B19" s="34" t="s">
        <v>107</v>
      </c>
      <c r="C19" s="34"/>
      <c r="D19" s="34"/>
      <c r="E19" s="35"/>
      <c r="F19" s="36">
        <f>F18</f>
        <v>224.59</v>
      </c>
      <c r="G19" s="36">
        <f>G18</f>
        <v>2.6</v>
      </c>
      <c r="H19" s="36"/>
      <c r="I19" s="14"/>
      <c r="J19" s="14"/>
    </row>
    <row r="20" spans="2:10">
      <c r="B20" s="44" t="s">
        <v>110</v>
      </c>
      <c r="C20" s="44"/>
      <c r="D20" s="44"/>
      <c r="E20" s="45"/>
      <c r="F20" s="16">
        <f>F21-(+F15+F19)</f>
        <v>719.60999999999967</v>
      </c>
      <c r="G20" s="16">
        <f>G21-(+G15+G19)</f>
        <v>8.3100000000000023</v>
      </c>
      <c r="H20" s="16"/>
      <c r="I20" s="14"/>
      <c r="J20" s="14"/>
    </row>
    <row r="21" spans="2:10">
      <c r="B21" s="44" t="s">
        <v>109</v>
      </c>
      <c r="C21" s="44"/>
      <c r="D21" s="44"/>
      <c r="E21" s="45"/>
      <c r="F21" s="16">
        <v>8639.9699999999993</v>
      </c>
      <c r="G21" s="16">
        <v>100</v>
      </c>
      <c r="H21" s="16"/>
      <c r="I21" s="14"/>
      <c r="J21" s="14"/>
    </row>
    <row r="23" spans="2:10">
      <c r="B23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7"/>
  <sheetViews>
    <sheetView workbookViewId="0"/>
  </sheetViews>
  <sheetFormatPr defaultRowHeight="12"/>
  <cols>
    <col min="1" max="1" width="9.140625" style="1"/>
    <col min="2" max="2" width="57.425781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19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365</v>
      </c>
      <c r="C5" s="18"/>
      <c r="D5" s="18"/>
      <c r="E5" s="19"/>
      <c r="F5" s="20"/>
      <c r="G5" s="20"/>
      <c r="H5" s="20"/>
    </row>
    <row r="6" spans="2:10">
      <c r="B6" s="47" t="s">
        <v>31</v>
      </c>
      <c r="C6" s="23"/>
      <c r="D6" s="23"/>
      <c r="E6" s="24"/>
      <c r="F6" s="25"/>
      <c r="G6" s="25"/>
      <c r="H6" s="25"/>
    </row>
    <row r="7" spans="2:10">
      <c r="B7" s="23" t="s">
        <v>484</v>
      </c>
      <c r="C7" s="23" t="s">
        <v>485</v>
      </c>
      <c r="D7" s="23" t="s">
        <v>371</v>
      </c>
      <c r="E7" s="28">
        <v>50</v>
      </c>
      <c r="F7" s="25">
        <v>548.88</v>
      </c>
      <c r="G7" s="25">
        <v>3.74</v>
      </c>
      <c r="H7" s="25">
        <v>5.68</v>
      </c>
    </row>
    <row r="8" spans="2:10">
      <c r="B8" s="23" t="s">
        <v>486</v>
      </c>
      <c r="C8" s="23" t="s">
        <v>487</v>
      </c>
      <c r="D8" s="23" t="s">
        <v>371</v>
      </c>
      <c r="E8" s="28">
        <v>50</v>
      </c>
      <c r="F8" s="25">
        <v>540.98</v>
      </c>
      <c r="G8" s="25">
        <v>3.69</v>
      </c>
      <c r="H8" s="25">
        <v>5.2</v>
      </c>
    </row>
    <row r="9" spans="2:10">
      <c r="B9" s="23" t="s">
        <v>392</v>
      </c>
      <c r="C9" s="23" t="s">
        <v>393</v>
      </c>
      <c r="D9" s="23" t="s">
        <v>371</v>
      </c>
      <c r="E9" s="28">
        <v>50</v>
      </c>
      <c r="F9" s="25">
        <v>535.65</v>
      </c>
      <c r="G9" s="25">
        <v>3.65</v>
      </c>
      <c r="H9" s="25">
        <v>5.23</v>
      </c>
    </row>
    <row r="10" spans="2:10">
      <c r="B10" s="23" t="s">
        <v>488</v>
      </c>
      <c r="C10" s="23" t="s">
        <v>489</v>
      </c>
      <c r="D10" s="23" t="s">
        <v>371</v>
      </c>
      <c r="E10" s="28">
        <v>50</v>
      </c>
      <c r="F10" s="25">
        <v>529.66</v>
      </c>
      <c r="G10" s="25">
        <v>3.61</v>
      </c>
      <c r="H10" s="25">
        <v>5.5</v>
      </c>
    </row>
    <row r="11" spans="2:10">
      <c r="B11" s="23" t="s">
        <v>490</v>
      </c>
      <c r="C11" s="23" t="s">
        <v>491</v>
      </c>
      <c r="D11" s="23" t="s">
        <v>371</v>
      </c>
      <c r="E11" s="28">
        <v>50</v>
      </c>
      <c r="F11" s="25">
        <v>529.14</v>
      </c>
      <c r="G11" s="25">
        <v>3.61</v>
      </c>
      <c r="H11" s="25">
        <v>4.3600000000000003</v>
      </c>
    </row>
    <row r="12" spans="2:10">
      <c r="B12" s="23" t="s">
        <v>380</v>
      </c>
      <c r="C12" s="23" t="s">
        <v>381</v>
      </c>
      <c r="D12" s="23" t="s">
        <v>371</v>
      </c>
      <c r="E12" s="28">
        <v>50</v>
      </c>
      <c r="F12" s="25">
        <v>516.76</v>
      </c>
      <c r="G12" s="25">
        <v>3.52</v>
      </c>
      <c r="H12" s="25">
        <v>4.2</v>
      </c>
    </row>
    <row r="13" spans="2:10">
      <c r="B13" s="30" t="s">
        <v>106</v>
      </c>
      <c r="C13" s="30"/>
      <c r="D13" s="30"/>
      <c r="E13" s="31"/>
      <c r="F13" s="32">
        <f>SUM(F6:F12)</f>
        <v>3201.0699999999997</v>
      </c>
      <c r="G13" s="32">
        <f>SUM(G6:G12)</f>
        <v>21.82</v>
      </c>
      <c r="H13" s="48"/>
      <c r="I13" s="14"/>
      <c r="J13" s="14"/>
    </row>
    <row r="14" spans="2:10">
      <c r="B14" s="49" t="s">
        <v>107</v>
      </c>
      <c r="C14" s="49"/>
      <c r="D14" s="49"/>
      <c r="E14" s="50"/>
      <c r="F14" s="51">
        <f>F13</f>
        <v>3201.0699999999997</v>
      </c>
      <c r="G14" s="51">
        <f>G13</f>
        <v>21.82</v>
      </c>
      <c r="H14" s="51"/>
      <c r="I14" s="14"/>
      <c r="J14" s="14"/>
    </row>
    <row r="15" spans="2:10">
      <c r="B15" s="47" t="s">
        <v>429</v>
      </c>
      <c r="C15" s="23"/>
      <c r="D15" s="23"/>
      <c r="E15" s="24"/>
      <c r="F15" s="25"/>
      <c r="G15" s="25"/>
      <c r="H15" s="25"/>
    </row>
    <row r="16" spans="2:10">
      <c r="B16" s="23" t="s">
        <v>437</v>
      </c>
      <c r="C16" s="23" t="s">
        <v>438</v>
      </c>
      <c r="D16" s="23" t="s">
        <v>432</v>
      </c>
      <c r="E16" s="28">
        <v>1500000</v>
      </c>
      <c r="F16" s="25">
        <v>1497.51</v>
      </c>
      <c r="G16" s="25">
        <v>10.210000000000001</v>
      </c>
      <c r="H16" s="25">
        <v>5.27</v>
      </c>
    </row>
    <row r="17" spans="2:10">
      <c r="B17" s="23" t="s">
        <v>443</v>
      </c>
      <c r="C17" s="23" t="s">
        <v>444</v>
      </c>
      <c r="D17" s="23" t="s">
        <v>432</v>
      </c>
      <c r="E17" s="28">
        <v>1500000</v>
      </c>
      <c r="F17" s="25">
        <v>1487.27</v>
      </c>
      <c r="G17" s="25">
        <v>10.14</v>
      </c>
      <c r="H17" s="25">
        <v>6.22</v>
      </c>
    </row>
    <row r="18" spans="2:10">
      <c r="B18" s="23" t="s">
        <v>435</v>
      </c>
      <c r="C18" s="23" t="s">
        <v>436</v>
      </c>
      <c r="D18" s="23" t="s">
        <v>432</v>
      </c>
      <c r="E18" s="28">
        <v>1000000</v>
      </c>
      <c r="F18" s="25">
        <v>1002.31</v>
      </c>
      <c r="G18" s="25">
        <v>6.83</v>
      </c>
      <c r="H18" s="25">
        <v>4.12</v>
      </c>
    </row>
    <row r="19" spans="2:10">
      <c r="B19" s="23" t="s">
        <v>433</v>
      </c>
      <c r="C19" s="23" t="s">
        <v>434</v>
      </c>
      <c r="D19" s="23" t="s">
        <v>432</v>
      </c>
      <c r="E19" s="28">
        <v>1000000</v>
      </c>
      <c r="F19" s="25">
        <v>1002.3</v>
      </c>
      <c r="G19" s="25">
        <v>6.83</v>
      </c>
      <c r="H19" s="25">
        <v>4.37</v>
      </c>
    </row>
    <row r="20" spans="2:10">
      <c r="B20" s="23" t="s">
        <v>492</v>
      </c>
      <c r="C20" s="23" t="s">
        <v>493</v>
      </c>
      <c r="D20" s="23" t="s">
        <v>432</v>
      </c>
      <c r="E20" s="28">
        <v>1000000</v>
      </c>
      <c r="F20" s="25">
        <v>999.13</v>
      </c>
      <c r="G20" s="25">
        <v>6.81</v>
      </c>
      <c r="H20" s="25">
        <v>5.65</v>
      </c>
    </row>
    <row r="21" spans="2:10">
      <c r="B21" s="23" t="s">
        <v>476</v>
      </c>
      <c r="C21" s="23" t="s">
        <v>477</v>
      </c>
      <c r="D21" s="23" t="s">
        <v>432</v>
      </c>
      <c r="E21" s="28">
        <v>1000000</v>
      </c>
      <c r="F21" s="25">
        <v>987.94</v>
      </c>
      <c r="G21" s="25">
        <v>6.74</v>
      </c>
      <c r="H21" s="25">
        <v>6.77</v>
      </c>
    </row>
    <row r="22" spans="2:10">
      <c r="B22" s="23" t="s">
        <v>494</v>
      </c>
      <c r="C22" s="23" t="s">
        <v>495</v>
      </c>
      <c r="D22" s="23" t="s">
        <v>432</v>
      </c>
      <c r="E22" s="28">
        <v>750000</v>
      </c>
      <c r="F22" s="25">
        <v>710.73</v>
      </c>
      <c r="G22" s="25">
        <v>4.8499999999999996</v>
      </c>
      <c r="H22" s="25">
        <v>7.1</v>
      </c>
    </row>
    <row r="23" spans="2:10">
      <c r="B23" s="23" t="s">
        <v>496</v>
      </c>
      <c r="C23" s="23" t="s">
        <v>497</v>
      </c>
      <c r="D23" s="23" t="s">
        <v>432</v>
      </c>
      <c r="E23" s="28">
        <v>500000</v>
      </c>
      <c r="F23" s="25">
        <v>528.59</v>
      </c>
      <c r="G23" s="25">
        <v>3.6</v>
      </c>
      <c r="H23" s="25">
        <v>6.09</v>
      </c>
    </row>
    <row r="24" spans="2:10">
      <c r="B24" s="23" t="s">
        <v>451</v>
      </c>
      <c r="C24" s="23" t="s">
        <v>452</v>
      </c>
      <c r="D24" s="23" t="s">
        <v>432</v>
      </c>
      <c r="E24" s="28">
        <v>500000</v>
      </c>
      <c r="F24" s="25">
        <v>524.49</v>
      </c>
      <c r="G24" s="25">
        <v>3.58</v>
      </c>
      <c r="H24" s="25">
        <v>5.83</v>
      </c>
    </row>
    <row r="25" spans="2:10">
      <c r="B25" s="23" t="s">
        <v>498</v>
      </c>
      <c r="C25" s="23" t="s">
        <v>499</v>
      </c>
      <c r="D25" s="23" t="s">
        <v>432</v>
      </c>
      <c r="E25" s="28">
        <v>500000</v>
      </c>
      <c r="F25" s="25">
        <v>521.25</v>
      </c>
      <c r="G25" s="25">
        <v>3.55</v>
      </c>
      <c r="H25" s="25">
        <v>6.21</v>
      </c>
    </row>
    <row r="26" spans="2:10">
      <c r="B26" s="23" t="s">
        <v>500</v>
      </c>
      <c r="C26" s="23" t="s">
        <v>501</v>
      </c>
      <c r="D26" s="23" t="s">
        <v>432</v>
      </c>
      <c r="E26" s="28">
        <v>500000</v>
      </c>
      <c r="F26" s="25">
        <v>520.5</v>
      </c>
      <c r="G26" s="25">
        <v>3.55</v>
      </c>
      <c r="H26" s="25">
        <v>6.34</v>
      </c>
    </row>
    <row r="27" spans="2:10">
      <c r="B27" s="23" t="s">
        <v>474</v>
      </c>
      <c r="C27" s="23" t="s">
        <v>475</v>
      </c>
      <c r="D27" s="23" t="s">
        <v>432</v>
      </c>
      <c r="E27" s="28">
        <v>500000</v>
      </c>
      <c r="F27" s="25">
        <v>503.3</v>
      </c>
      <c r="G27" s="25">
        <v>3.43</v>
      </c>
      <c r="H27" s="25">
        <v>6.88</v>
      </c>
    </row>
    <row r="28" spans="2:10">
      <c r="B28" s="52" t="s">
        <v>502</v>
      </c>
      <c r="C28" s="52" t="s">
        <v>503</v>
      </c>
      <c r="D28" s="52" t="s">
        <v>432</v>
      </c>
      <c r="E28" s="53">
        <v>28000</v>
      </c>
      <c r="F28" s="54">
        <v>30.76</v>
      </c>
      <c r="G28" s="54">
        <v>0.21</v>
      </c>
      <c r="H28" s="54">
        <v>5.91</v>
      </c>
    </row>
    <row r="29" spans="2:10">
      <c r="B29" s="55" t="s">
        <v>107</v>
      </c>
      <c r="C29" s="55"/>
      <c r="D29" s="55"/>
      <c r="E29" s="56"/>
      <c r="F29" s="57">
        <f>SUM(F16:F28)</f>
        <v>10316.079999999998</v>
      </c>
      <c r="G29" s="57">
        <f>SUM(G16:G28)</f>
        <v>70.33</v>
      </c>
      <c r="H29" s="57"/>
      <c r="I29" s="14"/>
      <c r="J29" s="14"/>
    </row>
    <row r="30" spans="2:10">
      <c r="B30" s="47" t="s">
        <v>108</v>
      </c>
      <c r="C30" s="23"/>
      <c r="D30" s="23"/>
      <c r="E30" s="24"/>
      <c r="F30" s="25"/>
      <c r="G30" s="25"/>
      <c r="H30" s="25"/>
    </row>
    <row r="31" spans="2:10">
      <c r="B31" s="23" t="s">
        <v>108</v>
      </c>
      <c r="C31" s="23"/>
      <c r="D31" s="23"/>
      <c r="E31" s="24"/>
      <c r="F31" s="25">
        <v>547.82000000000005</v>
      </c>
      <c r="G31" s="25">
        <v>3.73</v>
      </c>
      <c r="H31" s="25"/>
    </row>
    <row r="32" spans="2:10">
      <c r="B32" s="30" t="s">
        <v>106</v>
      </c>
      <c r="C32" s="30"/>
      <c r="D32" s="30"/>
      <c r="E32" s="31"/>
      <c r="F32" s="32">
        <f>SUM(F30:F31)</f>
        <v>547.82000000000005</v>
      </c>
      <c r="G32" s="32">
        <f>SUM(G30:G31)</f>
        <v>3.73</v>
      </c>
      <c r="H32" s="48"/>
      <c r="I32" s="14"/>
      <c r="J32" s="14"/>
    </row>
    <row r="33" spans="2:10">
      <c r="B33" s="34" t="s">
        <v>107</v>
      </c>
      <c r="C33" s="34"/>
      <c r="D33" s="34"/>
      <c r="E33" s="35"/>
      <c r="F33" s="36">
        <f>F32</f>
        <v>547.82000000000005</v>
      </c>
      <c r="G33" s="36">
        <f>G32</f>
        <v>3.73</v>
      </c>
      <c r="H33" s="36"/>
      <c r="I33" s="14"/>
      <c r="J33" s="14"/>
    </row>
    <row r="34" spans="2:10">
      <c r="B34" s="44" t="s">
        <v>110</v>
      </c>
      <c r="C34" s="44"/>
      <c r="D34" s="44"/>
      <c r="E34" s="45"/>
      <c r="F34" s="16">
        <f>F35-(+F14+F29+F33)</f>
        <v>601.07000000000335</v>
      </c>
      <c r="G34" s="16">
        <f>G35-(+G14+G29+G33)</f>
        <v>4.1199999999999903</v>
      </c>
      <c r="H34" s="16"/>
      <c r="I34" s="14"/>
      <c r="J34" s="14"/>
    </row>
    <row r="35" spans="2:10">
      <c r="B35" s="44" t="s">
        <v>109</v>
      </c>
      <c r="C35" s="44"/>
      <c r="D35" s="44"/>
      <c r="E35" s="45"/>
      <c r="F35" s="16">
        <v>14666.04</v>
      </c>
      <c r="G35" s="16">
        <v>100</v>
      </c>
      <c r="H35" s="16"/>
      <c r="I35" s="14"/>
      <c r="J35" s="14"/>
    </row>
    <row r="37" spans="2:10">
      <c r="B37" s="14" t="s">
        <v>738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8"/>
  <sheetViews>
    <sheetView workbookViewId="0"/>
  </sheetViews>
  <sheetFormatPr defaultRowHeight="1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20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365</v>
      </c>
      <c r="C5" s="18"/>
      <c r="D5" s="18"/>
      <c r="E5" s="19"/>
      <c r="F5" s="20"/>
      <c r="G5" s="20"/>
      <c r="H5" s="20"/>
    </row>
    <row r="6" spans="2:8">
      <c r="B6" s="47" t="s">
        <v>31</v>
      </c>
      <c r="C6" s="23"/>
      <c r="D6" s="23"/>
      <c r="E6" s="24"/>
      <c r="F6" s="25"/>
      <c r="G6" s="25"/>
      <c r="H6" s="25"/>
    </row>
    <row r="7" spans="2:8">
      <c r="B7" s="23" t="s">
        <v>376</v>
      </c>
      <c r="C7" s="23" t="s">
        <v>377</v>
      </c>
      <c r="D7" s="23" t="s">
        <v>371</v>
      </c>
      <c r="E7" s="28">
        <v>500</v>
      </c>
      <c r="F7" s="25">
        <v>5145.55</v>
      </c>
      <c r="G7" s="25">
        <v>3.58</v>
      </c>
      <c r="H7" s="25">
        <v>3.97</v>
      </c>
    </row>
    <row r="8" spans="2:8">
      <c r="B8" s="23" t="s">
        <v>400</v>
      </c>
      <c r="C8" s="23" t="s">
        <v>401</v>
      </c>
      <c r="D8" s="23" t="s">
        <v>371</v>
      </c>
      <c r="E8" s="28">
        <v>300</v>
      </c>
      <c r="F8" s="25">
        <v>3111.86</v>
      </c>
      <c r="G8" s="25">
        <v>2.16</v>
      </c>
      <c r="H8" s="25">
        <v>4.29</v>
      </c>
    </row>
    <row r="9" spans="2:8">
      <c r="B9" s="23" t="s">
        <v>504</v>
      </c>
      <c r="C9" s="23" t="s">
        <v>505</v>
      </c>
      <c r="D9" s="23" t="s">
        <v>371</v>
      </c>
      <c r="E9" s="28">
        <v>300</v>
      </c>
      <c r="F9" s="25">
        <v>3099.89</v>
      </c>
      <c r="G9" s="25">
        <v>2.16</v>
      </c>
      <c r="H9" s="25">
        <v>4.2300000000000004</v>
      </c>
    </row>
    <row r="10" spans="2:8">
      <c r="B10" s="23" t="s">
        <v>382</v>
      </c>
      <c r="C10" s="23" t="s">
        <v>383</v>
      </c>
      <c r="D10" s="23" t="s">
        <v>371</v>
      </c>
      <c r="E10" s="28">
        <v>250</v>
      </c>
      <c r="F10" s="25">
        <v>2569.0300000000002</v>
      </c>
      <c r="G10" s="25">
        <v>1.79</v>
      </c>
      <c r="H10" s="25">
        <v>4.0199999999999996</v>
      </c>
    </row>
    <row r="11" spans="2:8">
      <c r="B11" s="23" t="s">
        <v>402</v>
      </c>
      <c r="C11" s="23" t="s">
        <v>403</v>
      </c>
      <c r="D11" s="23" t="s">
        <v>371</v>
      </c>
      <c r="E11" s="28">
        <v>250</v>
      </c>
      <c r="F11" s="25">
        <v>2559.08</v>
      </c>
      <c r="G11" s="25">
        <v>1.78</v>
      </c>
      <c r="H11" s="25">
        <v>3.65</v>
      </c>
    </row>
    <row r="12" spans="2:8">
      <c r="B12" s="23" t="s">
        <v>506</v>
      </c>
      <c r="C12" s="23" t="s">
        <v>507</v>
      </c>
      <c r="D12" s="23" t="s">
        <v>371</v>
      </c>
      <c r="E12" s="28">
        <v>250</v>
      </c>
      <c r="F12" s="25">
        <v>2548.3200000000002</v>
      </c>
      <c r="G12" s="25">
        <v>1.77</v>
      </c>
      <c r="H12" s="25">
        <v>3.85</v>
      </c>
    </row>
    <row r="13" spans="2:8">
      <c r="B13" s="23" t="s">
        <v>508</v>
      </c>
      <c r="C13" s="23" t="s">
        <v>509</v>
      </c>
      <c r="D13" s="23" t="s">
        <v>371</v>
      </c>
      <c r="E13" s="28">
        <v>250</v>
      </c>
      <c r="F13" s="25">
        <v>2538.56</v>
      </c>
      <c r="G13" s="25">
        <v>1.76</v>
      </c>
      <c r="H13" s="25">
        <v>3.65</v>
      </c>
    </row>
    <row r="14" spans="2:8">
      <c r="B14" s="23" t="s">
        <v>510</v>
      </c>
      <c r="C14" s="23" t="s">
        <v>511</v>
      </c>
      <c r="D14" s="23" t="s">
        <v>371</v>
      </c>
      <c r="E14" s="28">
        <v>250</v>
      </c>
      <c r="F14" s="25">
        <v>2522.5700000000002</v>
      </c>
      <c r="G14" s="25">
        <v>1.75</v>
      </c>
      <c r="H14" s="25">
        <v>3.48</v>
      </c>
    </row>
    <row r="15" spans="2:8">
      <c r="B15" s="23" t="s">
        <v>512</v>
      </c>
      <c r="C15" s="23" t="s">
        <v>513</v>
      </c>
      <c r="D15" s="23" t="s">
        <v>371</v>
      </c>
      <c r="E15" s="28">
        <v>250</v>
      </c>
      <c r="F15" s="25">
        <v>2517.83</v>
      </c>
      <c r="G15" s="25">
        <v>1.75</v>
      </c>
      <c r="H15" s="25">
        <v>4.22</v>
      </c>
    </row>
    <row r="16" spans="2:8">
      <c r="B16" s="23" t="s">
        <v>388</v>
      </c>
      <c r="C16" s="23" t="s">
        <v>389</v>
      </c>
      <c r="D16" s="23" t="s">
        <v>371</v>
      </c>
      <c r="E16" s="28">
        <v>250</v>
      </c>
      <c r="F16" s="25">
        <v>2517.38</v>
      </c>
      <c r="G16" s="25">
        <v>1.75</v>
      </c>
      <c r="H16" s="25">
        <v>3.52</v>
      </c>
    </row>
    <row r="17" spans="2:10">
      <c r="B17" s="23" t="s">
        <v>514</v>
      </c>
      <c r="C17" s="23" t="s">
        <v>515</v>
      </c>
      <c r="D17" s="23" t="s">
        <v>368</v>
      </c>
      <c r="E17" s="28">
        <v>250</v>
      </c>
      <c r="F17" s="25">
        <v>2513.67</v>
      </c>
      <c r="G17" s="25">
        <v>1.75</v>
      </c>
      <c r="H17" s="25">
        <v>3.5</v>
      </c>
    </row>
    <row r="18" spans="2:10">
      <c r="B18" s="23" t="s">
        <v>380</v>
      </c>
      <c r="C18" s="23" t="s">
        <v>381</v>
      </c>
      <c r="D18" s="23" t="s">
        <v>371</v>
      </c>
      <c r="E18" s="28">
        <v>200</v>
      </c>
      <c r="F18" s="25">
        <v>2067.04</v>
      </c>
      <c r="G18" s="25">
        <v>1.44</v>
      </c>
      <c r="H18" s="25">
        <v>4.2</v>
      </c>
    </row>
    <row r="19" spans="2:10">
      <c r="B19" s="23" t="s">
        <v>516</v>
      </c>
      <c r="C19" s="23" t="s">
        <v>517</v>
      </c>
      <c r="D19" s="23" t="s">
        <v>371</v>
      </c>
      <c r="E19" s="28">
        <v>200</v>
      </c>
      <c r="F19" s="25">
        <v>2015.77</v>
      </c>
      <c r="G19" s="25">
        <v>1.4</v>
      </c>
      <c r="H19" s="25">
        <v>3.43</v>
      </c>
    </row>
    <row r="20" spans="2:10">
      <c r="B20" s="23" t="s">
        <v>369</v>
      </c>
      <c r="C20" s="23" t="s">
        <v>370</v>
      </c>
      <c r="D20" s="23" t="s">
        <v>371</v>
      </c>
      <c r="E20" s="28">
        <v>150</v>
      </c>
      <c r="F20" s="25">
        <v>1545.97</v>
      </c>
      <c r="G20" s="25">
        <v>1.07</v>
      </c>
      <c r="H20" s="25">
        <v>4.22</v>
      </c>
    </row>
    <row r="21" spans="2:10">
      <c r="B21" s="23" t="s">
        <v>518</v>
      </c>
      <c r="C21" s="23" t="s">
        <v>519</v>
      </c>
      <c r="D21" s="23" t="s">
        <v>414</v>
      </c>
      <c r="E21" s="28">
        <v>150</v>
      </c>
      <c r="F21" s="25">
        <v>1501.92</v>
      </c>
      <c r="G21" s="25">
        <v>1.04</v>
      </c>
      <c r="H21" s="25">
        <v>4.51</v>
      </c>
    </row>
    <row r="22" spans="2:10">
      <c r="B22" s="23" t="s">
        <v>520</v>
      </c>
      <c r="C22" s="23" t="s">
        <v>521</v>
      </c>
      <c r="D22" s="23" t="s">
        <v>371</v>
      </c>
      <c r="E22" s="28">
        <v>400</v>
      </c>
      <c r="F22" s="25">
        <v>1282.3</v>
      </c>
      <c r="G22" s="25">
        <v>0.89</v>
      </c>
      <c r="H22" s="25">
        <v>5.07</v>
      </c>
    </row>
    <row r="23" spans="2:10">
      <c r="B23" s="23" t="s">
        <v>522</v>
      </c>
      <c r="C23" s="23" t="s">
        <v>523</v>
      </c>
      <c r="D23" s="23" t="s">
        <v>371</v>
      </c>
      <c r="E23" s="28">
        <v>100</v>
      </c>
      <c r="F23" s="25">
        <v>1036.3399999999999</v>
      </c>
      <c r="G23" s="25">
        <v>0.72</v>
      </c>
      <c r="H23" s="25">
        <v>4.49</v>
      </c>
    </row>
    <row r="24" spans="2:10">
      <c r="B24" s="23" t="s">
        <v>524</v>
      </c>
      <c r="C24" s="23" t="s">
        <v>525</v>
      </c>
      <c r="D24" s="23" t="s">
        <v>371</v>
      </c>
      <c r="E24" s="28">
        <v>100</v>
      </c>
      <c r="F24" s="25">
        <v>1028.71</v>
      </c>
      <c r="G24" s="25">
        <v>0.72</v>
      </c>
      <c r="H24" s="25">
        <v>3.86</v>
      </c>
    </row>
    <row r="25" spans="2:10">
      <c r="B25" s="23" t="s">
        <v>526</v>
      </c>
      <c r="C25" s="23" t="s">
        <v>527</v>
      </c>
      <c r="D25" s="23" t="s">
        <v>371</v>
      </c>
      <c r="E25" s="28">
        <v>50</v>
      </c>
      <c r="F25" s="25">
        <v>518.53</v>
      </c>
      <c r="G25" s="25">
        <v>0.36</v>
      </c>
      <c r="H25" s="25">
        <v>4.29</v>
      </c>
    </row>
    <row r="26" spans="2:10">
      <c r="B26" s="23" t="s">
        <v>528</v>
      </c>
      <c r="C26" s="23" t="s">
        <v>529</v>
      </c>
      <c r="D26" s="23" t="s">
        <v>371</v>
      </c>
      <c r="E26" s="28">
        <v>50</v>
      </c>
      <c r="F26" s="25">
        <v>514.91</v>
      </c>
      <c r="G26" s="25">
        <v>0.36</v>
      </c>
      <c r="H26" s="25">
        <v>4.0199999999999996</v>
      </c>
    </row>
    <row r="27" spans="2:10">
      <c r="B27" s="23" t="s">
        <v>530</v>
      </c>
      <c r="C27" s="23" t="s">
        <v>531</v>
      </c>
      <c r="D27" s="23" t="s">
        <v>368</v>
      </c>
      <c r="E27" s="28">
        <v>50</v>
      </c>
      <c r="F27" s="25">
        <v>513.96</v>
      </c>
      <c r="G27" s="25">
        <v>0.36</v>
      </c>
      <c r="H27" s="25">
        <v>3.88</v>
      </c>
    </row>
    <row r="28" spans="2:10">
      <c r="B28" s="23" t="s">
        <v>532</v>
      </c>
      <c r="C28" s="23" t="s">
        <v>533</v>
      </c>
      <c r="D28" s="23" t="s">
        <v>371</v>
      </c>
      <c r="E28" s="28">
        <v>50</v>
      </c>
      <c r="F28" s="25">
        <v>513.54999999999995</v>
      </c>
      <c r="G28" s="25">
        <v>0.36</v>
      </c>
      <c r="H28" s="25">
        <v>3.75</v>
      </c>
    </row>
    <row r="29" spans="2:10">
      <c r="B29" s="23" t="s">
        <v>534</v>
      </c>
      <c r="C29" s="23" t="s">
        <v>535</v>
      </c>
      <c r="D29" s="23" t="s">
        <v>371</v>
      </c>
      <c r="E29" s="28">
        <v>20</v>
      </c>
      <c r="F29" s="25">
        <v>202.5</v>
      </c>
      <c r="G29" s="25">
        <v>0.14000000000000001</v>
      </c>
      <c r="H29" s="25">
        <v>3.5</v>
      </c>
    </row>
    <row r="30" spans="2:10">
      <c r="B30" s="30" t="s">
        <v>106</v>
      </c>
      <c r="C30" s="30"/>
      <c r="D30" s="30"/>
      <c r="E30" s="31"/>
      <c r="F30" s="32">
        <f>SUM(F6:F29)</f>
        <v>44385.240000000005</v>
      </c>
      <c r="G30" s="32">
        <f>SUM(G6:G29)</f>
        <v>30.859999999999996</v>
      </c>
      <c r="H30" s="48"/>
      <c r="I30" s="14"/>
      <c r="J30" s="14"/>
    </row>
    <row r="31" spans="2:10">
      <c r="B31" s="49" t="s">
        <v>107</v>
      </c>
      <c r="C31" s="49"/>
      <c r="D31" s="49"/>
      <c r="E31" s="50"/>
      <c r="F31" s="51">
        <f>F30</f>
        <v>44385.240000000005</v>
      </c>
      <c r="G31" s="51">
        <f>G30</f>
        <v>30.859999999999996</v>
      </c>
      <c r="H31" s="51"/>
      <c r="I31" s="14"/>
      <c r="J31" s="14"/>
    </row>
    <row r="32" spans="2:10">
      <c r="B32" s="47" t="s">
        <v>425</v>
      </c>
      <c r="C32" s="23"/>
      <c r="D32" s="23"/>
      <c r="E32" s="24"/>
      <c r="F32" s="25"/>
      <c r="G32" s="25"/>
      <c r="H32" s="25"/>
    </row>
    <row r="33" spans="2:10">
      <c r="B33" s="47" t="s">
        <v>536</v>
      </c>
      <c r="C33" s="23"/>
      <c r="D33" s="23"/>
      <c r="E33" s="24"/>
      <c r="F33" s="25"/>
      <c r="G33" s="25"/>
      <c r="H33" s="25"/>
    </row>
    <row r="34" spans="2:10">
      <c r="B34" s="23" t="s">
        <v>537</v>
      </c>
      <c r="C34" s="23" t="s">
        <v>538</v>
      </c>
      <c r="D34" s="23" t="s">
        <v>428</v>
      </c>
      <c r="E34" s="28">
        <v>7500</v>
      </c>
      <c r="F34" s="25">
        <v>7466.2</v>
      </c>
      <c r="G34" s="25">
        <v>5.19</v>
      </c>
      <c r="H34" s="25">
        <v>3.24</v>
      </c>
    </row>
    <row r="35" spans="2:10">
      <c r="B35" s="23" t="s">
        <v>539</v>
      </c>
      <c r="C35" s="23" t="s">
        <v>540</v>
      </c>
      <c r="D35" s="23" t="s">
        <v>541</v>
      </c>
      <c r="E35" s="28">
        <v>5000</v>
      </c>
      <c r="F35" s="25">
        <v>4905.53</v>
      </c>
      <c r="G35" s="25">
        <v>3.41</v>
      </c>
      <c r="H35" s="25">
        <v>3.55</v>
      </c>
    </row>
    <row r="36" spans="2:10">
      <c r="B36" s="23" t="s">
        <v>542</v>
      </c>
      <c r="C36" s="23" t="s">
        <v>543</v>
      </c>
      <c r="D36" s="23" t="s">
        <v>428</v>
      </c>
      <c r="E36" s="28">
        <v>500</v>
      </c>
      <c r="F36" s="25">
        <v>2440.87</v>
      </c>
      <c r="G36" s="25">
        <v>1.7</v>
      </c>
      <c r="H36" s="25">
        <v>3.7</v>
      </c>
    </row>
    <row r="37" spans="2:10">
      <c r="B37" s="23" t="s">
        <v>544</v>
      </c>
      <c r="C37" s="23" t="s">
        <v>545</v>
      </c>
      <c r="D37" s="23" t="s">
        <v>541</v>
      </c>
      <c r="E37" s="28">
        <v>2500</v>
      </c>
      <c r="F37" s="25">
        <v>2432.62</v>
      </c>
      <c r="G37" s="25">
        <v>1.69</v>
      </c>
      <c r="H37" s="25">
        <v>3.69</v>
      </c>
    </row>
    <row r="38" spans="2:10">
      <c r="B38" s="47" t="s">
        <v>106</v>
      </c>
      <c r="C38" s="47"/>
      <c r="D38" s="47"/>
      <c r="E38" s="59"/>
      <c r="F38" s="57">
        <f>SUM(F33:F37)</f>
        <v>17245.219999999998</v>
      </c>
      <c r="G38" s="57">
        <f>SUM(G33:G37)</f>
        <v>11.99</v>
      </c>
      <c r="H38" s="60"/>
      <c r="I38" s="14"/>
      <c r="J38" s="14"/>
    </row>
    <row r="39" spans="2:10">
      <c r="B39" s="47" t="s">
        <v>426</v>
      </c>
      <c r="C39" s="23"/>
      <c r="D39" s="23"/>
      <c r="E39" s="24"/>
      <c r="F39" s="25"/>
      <c r="G39" s="25"/>
      <c r="H39" s="25"/>
    </row>
    <row r="40" spans="2:10">
      <c r="B40" s="23" t="s">
        <v>739</v>
      </c>
      <c r="C40" s="23" t="s">
        <v>546</v>
      </c>
      <c r="D40" s="23" t="s">
        <v>428</v>
      </c>
      <c r="E40" s="28">
        <v>1000</v>
      </c>
      <c r="F40" s="25">
        <v>4950.9799999999996</v>
      </c>
      <c r="G40" s="25">
        <v>3.44</v>
      </c>
      <c r="H40" s="25">
        <v>3.47</v>
      </c>
    </row>
    <row r="41" spans="2:10">
      <c r="B41" s="23" t="s">
        <v>740</v>
      </c>
      <c r="C41" s="23" t="s">
        <v>547</v>
      </c>
      <c r="D41" s="23" t="s">
        <v>428</v>
      </c>
      <c r="E41" s="28">
        <v>500</v>
      </c>
      <c r="F41" s="25">
        <v>2414.7600000000002</v>
      </c>
      <c r="G41" s="25">
        <v>1.68</v>
      </c>
      <c r="H41" s="25">
        <v>4.17</v>
      </c>
    </row>
    <row r="42" spans="2:10">
      <c r="B42" s="47" t="s">
        <v>106</v>
      </c>
      <c r="C42" s="47"/>
      <c r="D42" s="47"/>
      <c r="E42" s="59"/>
      <c r="F42" s="57">
        <f>SUM(F39:F41)</f>
        <v>7365.74</v>
      </c>
      <c r="G42" s="57">
        <f>SUM(G39:G41)</f>
        <v>5.12</v>
      </c>
      <c r="H42" s="60"/>
      <c r="I42" s="14"/>
      <c r="J42" s="14"/>
    </row>
    <row r="43" spans="2:10">
      <c r="B43" s="47" t="s">
        <v>462</v>
      </c>
      <c r="C43" s="23"/>
      <c r="D43" s="23"/>
      <c r="E43" s="24"/>
      <c r="F43" s="25"/>
      <c r="G43" s="25"/>
      <c r="H43" s="25"/>
    </row>
    <row r="44" spans="2:10">
      <c r="B44" s="23" t="s">
        <v>548</v>
      </c>
      <c r="C44" s="23" t="s">
        <v>549</v>
      </c>
      <c r="D44" s="23" t="s">
        <v>465</v>
      </c>
      <c r="E44" s="28">
        <v>10000000</v>
      </c>
      <c r="F44" s="25">
        <v>9904.9699999999993</v>
      </c>
      <c r="G44" s="25">
        <v>6.89</v>
      </c>
      <c r="H44" s="25">
        <v>3.3</v>
      </c>
    </row>
    <row r="45" spans="2:10">
      <c r="B45" s="23" t="s">
        <v>550</v>
      </c>
      <c r="C45" s="23" t="s">
        <v>551</v>
      </c>
      <c r="D45" s="23" t="s">
        <v>465</v>
      </c>
      <c r="E45" s="28">
        <v>10000000</v>
      </c>
      <c r="F45" s="25">
        <v>9898.57</v>
      </c>
      <c r="G45" s="25">
        <v>6.88</v>
      </c>
      <c r="H45" s="25">
        <v>3.31</v>
      </c>
    </row>
    <row r="46" spans="2:10">
      <c r="B46" s="23" t="s">
        <v>552</v>
      </c>
      <c r="C46" s="23" t="s">
        <v>553</v>
      </c>
      <c r="D46" s="23" t="s">
        <v>465</v>
      </c>
      <c r="E46" s="28">
        <v>10000000</v>
      </c>
      <c r="F46" s="25">
        <v>9767.2199999999993</v>
      </c>
      <c r="G46" s="25">
        <v>6.79</v>
      </c>
      <c r="H46" s="25">
        <v>3.54</v>
      </c>
    </row>
    <row r="47" spans="2:10">
      <c r="B47" s="23" t="s">
        <v>554</v>
      </c>
      <c r="C47" s="23" t="s">
        <v>555</v>
      </c>
      <c r="D47" s="23" t="s">
        <v>465</v>
      </c>
      <c r="E47" s="28">
        <v>8000000</v>
      </c>
      <c r="F47" s="25">
        <v>7844.3</v>
      </c>
      <c r="G47" s="25">
        <v>5.45</v>
      </c>
      <c r="H47" s="25">
        <v>3.45</v>
      </c>
    </row>
    <row r="48" spans="2:10">
      <c r="B48" s="23" t="s">
        <v>556</v>
      </c>
      <c r="C48" s="23" t="s">
        <v>557</v>
      </c>
      <c r="D48" s="23" t="s">
        <v>465</v>
      </c>
      <c r="E48" s="28">
        <v>5000000</v>
      </c>
      <c r="F48" s="25">
        <v>4996.71</v>
      </c>
      <c r="G48" s="25">
        <v>3.47</v>
      </c>
      <c r="H48" s="25">
        <v>3.01</v>
      </c>
    </row>
    <row r="49" spans="2:10">
      <c r="B49" s="30" t="s">
        <v>106</v>
      </c>
      <c r="C49" s="30"/>
      <c r="D49" s="30"/>
      <c r="E49" s="31"/>
      <c r="F49" s="32">
        <f>SUM(F43:F48)</f>
        <v>42411.770000000004</v>
      </c>
      <c r="G49" s="32">
        <f>SUM(G43:G48)</f>
        <v>29.479999999999997</v>
      </c>
      <c r="H49" s="48"/>
      <c r="I49" s="14"/>
      <c r="J49" s="14"/>
    </row>
    <row r="50" spans="2:10">
      <c r="B50" s="49" t="s">
        <v>107</v>
      </c>
      <c r="C50" s="49"/>
      <c r="D50" s="49"/>
      <c r="E50" s="50"/>
      <c r="F50" s="51">
        <f>F38+F42+F49</f>
        <v>67022.73000000001</v>
      </c>
      <c r="G50" s="51">
        <f>G38+G42+G49</f>
        <v>46.589999999999996</v>
      </c>
      <c r="H50" s="51"/>
      <c r="I50" s="14"/>
      <c r="J50" s="14"/>
    </row>
    <row r="51" spans="2:10">
      <c r="B51" s="47" t="s">
        <v>429</v>
      </c>
      <c r="C51" s="23"/>
      <c r="D51" s="23"/>
      <c r="E51" s="24"/>
      <c r="F51" s="25"/>
      <c r="G51" s="25"/>
      <c r="H51" s="25"/>
    </row>
    <row r="52" spans="2:10">
      <c r="B52" s="23" t="s">
        <v>558</v>
      </c>
      <c r="C52" s="23" t="s">
        <v>559</v>
      </c>
      <c r="D52" s="23" t="s">
        <v>432</v>
      </c>
      <c r="E52" s="28">
        <v>6500000</v>
      </c>
      <c r="F52" s="25">
        <v>6517.25</v>
      </c>
      <c r="G52" s="25">
        <v>4.53</v>
      </c>
      <c r="H52" s="25">
        <v>3.3</v>
      </c>
    </row>
    <row r="53" spans="2:10">
      <c r="B53" s="23" t="s">
        <v>560</v>
      </c>
      <c r="C53" s="23" t="s">
        <v>561</v>
      </c>
      <c r="D53" s="23" t="s">
        <v>432</v>
      </c>
      <c r="E53" s="28">
        <v>5000000</v>
      </c>
      <c r="F53" s="25">
        <v>5191.78</v>
      </c>
      <c r="G53" s="25">
        <v>3.61</v>
      </c>
      <c r="H53" s="25">
        <v>3.8</v>
      </c>
    </row>
    <row r="54" spans="2:10">
      <c r="B54" s="23" t="s">
        <v>430</v>
      </c>
      <c r="C54" s="23" t="s">
        <v>431</v>
      </c>
      <c r="D54" s="23" t="s">
        <v>432</v>
      </c>
      <c r="E54" s="28">
        <v>5000000</v>
      </c>
      <c r="F54" s="25">
        <v>5007.32</v>
      </c>
      <c r="G54" s="25">
        <v>3.48</v>
      </c>
      <c r="H54" s="25">
        <v>3.83</v>
      </c>
    </row>
    <row r="55" spans="2:10">
      <c r="B55" s="23" t="s">
        <v>562</v>
      </c>
      <c r="C55" s="23" t="s">
        <v>563</v>
      </c>
      <c r="D55" s="23" t="s">
        <v>432</v>
      </c>
      <c r="E55" s="28">
        <v>3500000</v>
      </c>
      <c r="F55" s="25">
        <v>3631.47</v>
      </c>
      <c r="G55" s="25">
        <v>2.52</v>
      </c>
      <c r="H55" s="25">
        <v>3.85</v>
      </c>
    </row>
    <row r="56" spans="2:10">
      <c r="B56" s="23" t="s">
        <v>564</v>
      </c>
      <c r="C56" s="23" t="s">
        <v>565</v>
      </c>
      <c r="D56" s="23" t="s">
        <v>432</v>
      </c>
      <c r="E56" s="28">
        <v>2500000</v>
      </c>
      <c r="F56" s="25">
        <v>2580.5700000000002</v>
      </c>
      <c r="G56" s="25">
        <v>1.79</v>
      </c>
      <c r="H56" s="25">
        <v>3.66</v>
      </c>
    </row>
    <row r="57" spans="2:10">
      <c r="B57" s="23" t="s">
        <v>441</v>
      </c>
      <c r="C57" s="23" t="s">
        <v>442</v>
      </c>
      <c r="D57" s="23" t="s">
        <v>432</v>
      </c>
      <c r="E57" s="28">
        <v>2500000</v>
      </c>
      <c r="F57" s="25">
        <v>2525.13</v>
      </c>
      <c r="G57" s="25">
        <v>1.76</v>
      </c>
      <c r="H57" s="25">
        <v>3.31</v>
      </c>
    </row>
    <row r="58" spans="2:10">
      <c r="B58" s="52" t="s">
        <v>566</v>
      </c>
      <c r="C58" s="52" t="s">
        <v>567</v>
      </c>
      <c r="D58" s="52" t="s">
        <v>432</v>
      </c>
      <c r="E58" s="53">
        <v>700000</v>
      </c>
      <c r="F58" s="54">
        <v>709.17</v>
      </c>
      <c r="G58" s="54">
        <v>0.49</v>
      </c>
      <c r="H58" s="54">
        <v>3.36</v>
      </c>
    </row>
    <row r="59" spans="2:10">
      <c r="B59" s="55" t="s">
        <v>107</v>
      </c>
      <c r="C59" s="55"/>
      <c r="D59" s="55"/>
      <c r="E59" s="56"/>
      <c r="F59" s="57">
        <f>SUM(F52:F58)</f>
        <v>26162.69</v>
      </c>
      <c r="G59" s="57">
        <f>SUM(G52:G58)</f>
        <v>18.18</v>
      </c>
      <c r="H59" s="57"/>
      <c r="I59" s="14"/>
      <c r="J59" s="14"/>
    </row>
    <row r="60" spans="2:10">
      <c r="B60" s="47" t="s">
        <v>108</v>
      </c>
      <c r="C60" s="23"/>
      <c r="D60" s="23"/>
      <c r="E60" s="24"/>
      <c r="F60" s="25"/>
      <c r="G60" s="25"/>
      <c r="H60" s="25"/>
    </row>
    <row r="61" spans="2:10">
      <c r="B61" s="23" t="s">
        <v>108</v>
      </c>
      <c r="C61" s="23"/>
      <c r="D61" s="23"/>
      <c r="E61" s="24"/>
      <c r="F61" s="25">
        <v>4311.2299999999996</v>
      </c>
      <c r="G61" s="25">
        <v>3</v>
      </c>
      <c r="H61" s="25"/>
    </row>
    <row r="62" spans="2:10">
      <c r="B62" s="30" t="s">
        <v>106</v>
      </c>
      <c r="C62" s="30"/>
      <c r="D62" s="30"/>
      <c r="E62" s="31"/>
      <c r="F62" s="32">
        <f>SUM(F60:F61)</f>
        <v>4311.2299999999996</v>
      </c>
      <c r="G62" s="32">
        <f>SUM(G60:G61)</f>
        <v>3</v>
      </c>
      <c r="H62" s="48"/>
      <c r="I62" s="14"/>
      <c r="J62" s="14"/>
    </row>
    <row r="63" spans="2:10">
      <c r="B63" s="34" t="s">
        <v>107</v>
      </c>
      <c r="C63" s="34"/>
      <c r="D63" s="34"/>
      <c r="E63" s="35"/>
      <c r="F63" s="36">
        <f>F62</f>
        <v>4311.2299999999996</v>
      </c>
      <c r="G63" s="36">
        <f>G62</f>
        <v>3</v>
      </c>
      <c r="H63" s="36"/>
      <c r="I63" s="14"/>
      <c r="J63" s="14"/>
    </row>
    <row r="64" spans="2:10">
      <c r="B64" s="44" t="s">
        <v>110</v>
      </c>
      <c r="C64" s="44"/>
      <c r="D64" s="44"/>
      <c r="E64" s="45"/>
      <c r="F64" s="16">
        <f>F65-(+F31+F50+F59+F63)</f>
        <v>1948.9899999999907</v>
      </c>
      <c r="G64" s="16">
        <f>G65-(+G31+G50+G59+G63)</f>
        <v>1.3700000000000045</v>
      </c>
      <c r="H64" s="16"/>
      <c r="I64" s="14"/>
      <c r="J64" s="14"/>
    </row>
    <row r="65" spans="2:10">
      <c r="B65" s="44" t="s">
        <v>109</v>
      </c>
      <c r="C65" s="44"/>
      <c r="D65" s="44"/>
      <c r="E65" s="45"/>
      <c r="F65" s="16">
        <v>143830.88</v>
      </c>
      <c r="G65" s="16">
        <v>100</v>
      </c>
      <c r="H65" s="16"/>
      <c r="I65" s="14"/>
      <c r="J65" s="14"/>
    </row>
    <row r="67" spans="2:10">
      <c r="B67" s="14" t="s">
        <v>738</v>
      </c>
    </row>
    <row r="68" spans="2:10">
      <c r="B68" s="14" t="s">
        <v>459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5"/>
  <sheetViews>
    <sheetView workbookViewId="0">
      <selection activeCell="B1" sqref="B1:H1"/>
    </sheetView>
  </sheetViews>
  <sheetFormatPr defaultRowHeight="1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21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30</v>
      </c>
      <c r="C5" s="18"/>
      <c r="D5" s="18"/>
      <c r="E5" s="19"/>
      <c r="F5" s="20"/>
      <c r="G5" s="20"/>
      <c r="H5" s="21"/>
    </row>
    <row r="6" spans="2:8">
      <c r="B6" s="22" t="s">
        <v>31</v>
      </c>
      <c r="C6" s="23"/>
      <c r="D6" s="23"/>
      <c r="E6" s="24"/>
      <c r="F6" s="25"/>
      <c r="G6" s="25"/>
      <c r="H6" s="26"/>
    </row>
    <row r="7" spans="2:8">
      <c r="B7" s="27" t="s">
        <v>111</v>
      </c>
      <c r="C7" s="23" t="s">
        <v>112</v>
      </c>
      <c r="D7" s="23" t="s">
        <v>40</v>
      </c>
      <c r="E7" s="28">
        <v>77032</v>
      </c>
      <c r="F7" s="25">
        <v>1218.18</v>
      </c>
      <c r="G7" s="25">
        <v>1.49</v>
      </c>
      <c r="H7" s="26"/>
    </row>
    <row r="8" spans="2:8">
      <c r="B8" s="27" t="s">
        <v>120</v>
      </c>
      <c r="C8" s="23" t="s">
        <v>121</v>
      </c>
      <c r="D8" s="23" t="s">
        <v>122</v>
      </c>
      <c r="E8" s="28">
        <v>15000</v>
      </c>
      <c r="F8" s="25">
        <v>1128.68</v>
      </c>
      <c r="G8" s="25">
        <v>1.38</v>
      </c>
      <c r="H8" s="26"/>
    </row>
    <row r="9" spans="2:8">
      <c r="B9" s="27" t="s">
        <v>125</v>
      </c>
      <c r="C9" s="23" t="s">
        <v>126</v>
      </c>
      <c r="D9" s="23" t="s">
        <v>40</v>
      </c>
      <c r="E9" s="28">
        <v>131062</v>
      </c>
      <c r="F9" s="25">
        <v>1030.8</v>
      </c>
      <c r="G9" s="25">
        <v>1.26</v>
      </c>
      <c r="H9" s="26"/>
    </row>
    <row r="10" spans="2:8">
      <c r="B10" s="27" t="s">
        <v>38</v>
      </c>
      <c r="C10" s="23" t="s">
        <v>39</v>
      </c>
      <c r="D10" s="23" t="s">
        <v>40</v>
      </c>
      <c r="E10" s="28">
        <v>112914</v>
      </c>
      <c r="F10" s="25">
        <v>811.91</v>
      </c>
      <c r="G10" s="25">
        <v>0.99</v>
      </c>
      <c r="H10" s="26"/>
    </row>
    <row r="11" spans="2:8">
      <c r="B11" s="27" t="s">
        <v>113</v>
      </c>
      <c r="C11" s="23" t="s">
        <v>114</v>
      </c>
      <c r="D11" s="23" t="s">
        <v>115</v>
      </c>
      <c r="E11" s="28">
        <v>46920</v>
      </c>
      <c r="F11" s="25">
        <v>800.67</v>
      </c>
      <c r="G11" s="25">
        <v>0.98</v>
      </c>
      <c r="H11" s="26"/>
    </row>
    <row r="12" spans="2:8">
      <c r="B12" s="27" t="s">
        <v>262</v>
      </c>
      <c r="C12" s="23" t="s">
        <v>263</v>
      </c>
      <c r="D12" s="23" t="s">
        <v>122</v>
      </c>
      <c r="E12" s="28">
        <v>45000</v>
      </c>
      <c r="F12" s="25">
        <v>681.3</v>
      </c>
      <c r="G12" s="25">
        <v>0.83</v>
      </c>
      <c r="H12" s="26"/>
    </row>
    <row r="13" spans="2:8">
      <c r="B13" s="27" t="s">
        <v>140</v>
      </c>
      <c r="C13" s="23" t="s">
        <v>141</v>
      </c>
      <c r="D13" s="23" t="s">
        <v>142</v>
      </c>
      <c r="E13" s="28">
        <v>60000</v>
      </c>
      <c r="F13" s="25">
        <v>652.89</v>
      </c>
      <c r="G13" s="25">
        <v>0.8</v>
      </c>
      <c r="H13" s="26"/>
    </row>
    <row r="14" spans="2:8">
      <c r="B14" s="27" t="s">
        <v>210</v>
      </c>
      <c r="C14" s="23" t="s">
        <v>211</v>
      </c>
      <c r="D14" s="23" t="s">
        <v>152</v>
      </c>
      <c r="E14" s="28">
        <v>25000</v>
      </c>
      <c r="F14" s="25">
        <v>643.83000000000004</v>
      </c>
      <c r="G14" s="25">
        <v>0.79</v>
      </c>
      <c r="H14" s="26"/>
    </row>
    <row r="15" spans="2:8">
      <c r="B15" s="27" t="s">
        <v>159</v>
      </c>
      <c r="C15" s="23" t="s">
        <v>160</v>
      </c>
      <c r="D15" s="23" t="s">
        <v>77</v>
      </c>
      <c r="E15" s="28">
        <v>115000</v>
      </c>
      <c r="F15" s="25">
        <v>627.73</v>
      </c>
      <c r="G15" s="25">
        <v>0.77</v>
      </c>
      <c r="H15" s="26"/>
    </row>
    <row r="16" spans="2:8">
      <c r="B16" s="27" t="s">
        <v>202</v>
      </c>
      <c r="C16" s="23" t="s">
        <v>203</v>
      </c>
      <c r="D16" s="23" t="s">
        <v>122</v>
      </c>
      <c r="E16" s="28">
        <v>54736</v>
      </c>
      <c r="F16" s="25">
        <v>624.29</v>
      </c>
      <c r="G16" s="25">
        <v>0.76</v>
      </c>
      <c r="H16" s="26"/>
    </row>
    <row r="17" spans="2:8">
      <c r="B17" s="27" t="s">
        <v>135</v>
      </c>
      <c r="C17" s="23" t="s">
        <v>136</v>
      </c>
      <c r="D17" s="23" t="s">
        <v>137</v>
      </c>
      <c r="E17" s="28">
        <v>15000</v>
      </c>
      <c r="F17" s="25">
        <v>593.22</v>
      </c>
      <c r="G17" s="25">
        <v>0.73</v>
      </c>
      <c r="H17" s="26"/>
    </row>
    <row r="18" spans="2:8">
      <c r="B18" s="27" t="s">
        <v>118</v>
      </c>
      <c r="C18" s="23" t="s">
        <v>119</v>
      </c>
      <c r="D18" s="23" t="s">
        <v>89</v>
      </c>
      <c r="E18" s="28">
        <v>26154</v>
      </c>
      <c r="F18" s="25">
        <v>590.6</v>
      </c>
      <c r="G18" s="25">
        <v>0.72</v>
      </c>
      <c r="H18" s="26"/>
    </row>
    <row r="19" spans="2:8">
      <c r="B19" s="27" t="s">
        <v>168</v>
      </c>
      <c r="C19" s="23" t="s">
        <v>169</v>
      </c>
      <c r="D19" s="23" t="s">
        <v>80</v>
      </c>
      <c r="E19" s="28">
        <v>79500</v>
      </c>
      <c r="F19" s="25">
        <v>566.84</v>
      </c>
      <c r="G19" s="25">
        <v>0.69</v>
      </c>
      <c r="H19" s="26"/>
    </row>
    <row r="20" spans="2:8">
      <c r="B20" s="27" t="s">
        <v>180</v>
      </c>
      <c r="C20" s="23" t="s">
        <v>181</v>
      </c>
      <c r="D20" s="23" t="s">
        <v>122</v>
      </c>
      <c r="E20" s="28">
        <v>100000</v>
      </c>
      <c r="F20" s="25">
        <v>554.04999999999995</v>
      </c>
      <c r="G20" s="25">
        <v>0.68</v>
      </c>
      <c r="H20" s="26"/>
    </row>
    <row r="21" spans="2:8">
      <c r="B21" s="27" t="s">
        <v>198</v>
      </c>
      <c r="C21" s="23" t="s">
        <v>199</v>
      </c>
      <c r="D21" s="23" t="s">
        <v>184</v>
      </c>
      <c r="E21" s="28">
        <v>30000</v>
      </c>
      <c r="F21" s="25">
        <v>539.87</v>
      </c>
      <c r="G21" s="25">
        <v>0.66</v>
      </c>
      <c r="H21" s="26"/>
    </row>
    <row r="22" spans="2:8">
      <c r="B22" s="27" t="s">
        <v>235</v>
      </c>
      <c r="C22" s="23" t="s">
        <v>236</v>
      </c>
      <c r="D22" s="23" t="s">
        <v>137</v>
      </c>
      <c r="E22" s="28">
        <v>400000</v>
      </c>
      <c r="F22" s="25">
        <v>538.20000000000005</v>
      </c>
      <c r="G22" s="25">
        <v>0.66</v>
      </c>
      <c r="H22" s="26"/>
    </row>
    <row r="23" spans="2:8">
      <c r="B23" s="27" t="s">
        <v>116</v>
      </c>
      <c r="C23" s="23" t="s">
        <v>117</v>
      </c>
      <c r="D23" s="23" t="s">
        <v>115</v>
      </c>
      <c r="E23" s="28">
        <v>14130</v>
      </c>
      <c r="F23" s="25">
        <v>535.03</v>
      </c>
      <c r="G23" s="25">
        <v>0.66</v>
      </c>
      <c r="H23" s="26"/>
    </row>
    <row r="24" spans="2:8">
      <c r="B24" s="27" t="s">
        <v>146</v>
      </c>
      <c r="C24" s="23" t="s">
        <v>147</v>
      </c>
      <c r="D24" s="23" t="s">
        <v>80</v>
      </c>
      <c r="E24" s="28">
        <v>105588</v>
      </c>
      <c r="F24" s="25">
        <v>528.04999999999995</v>
      </c>
      <c r="G24" s="25">
        <v>0.65</v>
      </c>
      <c r="H24" s="26"/>
    </row>
    <row r="25" spans="2:8">
      <c r="B25" s="27" t="s">
        <v>195</v>
      </c>
      <c r="C25" s="23" t="s">
        <v>196</v>
      </c>
      <c r="D25" s="23" t="s">
        <v>197</v>
      </c>
      <c r="E25" s="28">
        <v>100000</v>
      </c>
      <c r="F25" s="25">
        <v>525.15</v>
      </c>
      <c r="G25" s="25">
        <v>0.64</v>
      </c>
      <c r="H25" s="26"/>
    </row>
    <row r="26" spans="2:8">
      <c r="B26" s="27" t="s">
        <v>214</v>
      </c>
      <c r="C26" s="23" t="s">
        <v>215</v>
      </c>
      <c r="D26" s="23" t="s">
        <v>129</v>
      </c>
      <c r="E26" s="28">
        <v>13000</v>
      </c>
      <c r="F26" s="25">
        <v>519.67999999999995</v>
      </c>
      <c r="G26" s="25">
        <v>0.64</v>
      </c>
      <c r="H26" s="26"/>
    </row>
    <row r="27" spans="2:8">
      <c r="B27" s="27" t="s">
        <v>153</v>
      </c>
      <c r="C27" s="23" t="s">
        <v>154</v>
      </c>
      <c r="D27" s="23" t="s">
        <v>58</v>
      </c>
      <c r="E27" s="28">
        <v>24000</v>
      </c>
      <c r="F27" s="25">
        <v>496.2</v>
      </c>
      <c r="G27" s="25">
        <v>0.61</v>
      </c>
      <c r="H27" s="26"/>
    </row>
    <row r="28" spans="2:8">
      <c r="B28" s="27" t="s">
        <v>150</v>
      </c>
      <c r="C28" s="23" t="s">
        <v>151</v>
      </c>
      <c r="D28" s="23" t="s">
        <v>152</v>
      </c>
      <c r="E28" s="28">
        <v>9000</v>
      </c>
      <c r="F28" s="25">
        <v>465.62</v>
      </c>
      <c r="G28" s="25">
        <v>0.56999999999999995</v>
      </c>
      <c r="H28" s="26"/>
    </row>
    <row r="29" spans="2:8">
      <c r="B29" s="27" t="s">
        <v>216</v>
      </c>
      <c r="C29" s="23" t="s">
        <v>217</v>
      </c>
      <c r="D29" s="23" t="s">
        <v>165</v>
      </c>
      <c r="E29" s="28">
        <v>20000</v>
      </c>
      <c r="F29" s="25">
        <v>426.04</v>
      </c>
      <c r="G29" s="25">
        <v>0.52</v>
      </c>
      <c r="H29" s="26"/>
    </row>
    <row r="30" spans="2:8">
      <c r="B30" s="27" t="s">
        <v>249</v>
      </c>
      <c r="C30" s="23" t="s">
        <v>250</v>
      </c>
      <c r="D30" s="23" t="s">
        <v>53</v>
      </c>
      <c r="E30" s="28">
        <v>15000</v>
      </c>
      <c r="F30" s="25">
        <v>412.8</v>
      </c>
      <c r="G30" s="25">
        <v>0.51</v>
      </c>
      <c r="H30" s="26"/>
    </row>
    <row r="31" spans="2:8">
      <c r="B31" s="27" t="s">
        <v>51</v>
      </c>
      <c r="C31" s="23" t="s">
        <v>52</v>
      </c>
      <c r="D31" s="23" t="s">
        <v>53</v>
      </c>
      <c r="E31" s="28">
        <v>27966</v>
      </c>
      <c r="F31" s="25">
        <v>409.06</v>
      </c>
      <c r="G31" s="25">
        <v>0.5</v>
      </c>
      <c r="H31" s="26"/>
    </row>
    <row r="32" spans="2:8">
      <c r="B32" s="27" t="s">
        <v>224</v>
      </c>
      <c r="C32" s="23" t="s">
        <v>225</v>
      </c>
      <c r="D32" s="23" t="s">
        <v>152</v>
      </c>
      <c r="E32" s="28">
        <v>10370</v>
      </c>
      <c r="F32" s="25">
        <v>403.8</v>
      </c>
      <c r="G32" s="25">
        <v>0.49</v>
      </c>
      <c r="H32" s="26"/>
    </row>
    <row r="33" spans="2:10">
      <c r="B33" s="27" t="s">
        <v>259</v>
      </c>
      <c r="C33" s="23" t="s">
        <v>260</v>
      </c>
      <c r="D33" s="23" t="s">
        <v>261</v>
      </c>
      <c r="E33" s="28">
        <v>50000</v>
      </c>
      <c r="F33" s="25">
        <v>388.75</v>
      </c>
      <c r="G33" s="25">
        <v>0.48</v>
      </c>
      <c r="H33" s="26"/>
    </row>
    <row r="34" spans="2:10">
      <c r="B34" s="27" t="s">
        <v>130</v>
      </c>
      <c r="C34" s="23" t="s">
        <v>131</v>
      </c>
      <c r="D34" s="23" t="s">
        <v>132</v>
      </c>
      <c r="E34" s="28">
        <v>100000</v>
      </c>
      <c r="F34" s="25">
        <v>385.5</v>
      </c>
      <c r="G34" s="25">
        <v>0.47</v>
      </c>
      <c r="H34" s="26"/>
    </row>
    <row r="35" spans="2:10">
      <c r="B35" s="27" t="s">
        <v>161</v>
      </c>
      <c r="C35" s="23" t="s">
        <v>162</v>
      </c>
      <c r="D35" s="23" t="s">
        <v>129</v>
      </c>
      <c r="E35" s="28">
        <v>40000</v>
      </c>
      <c r="F35" s="25">
        <v>345.98</v>
      </c>
      <c r="G35" s="25">
        <v>0.42</v>
      </c>
      <c r="H35" s="26"/>
    </row>
    <row r="36" spans="2:10">
      <c r="B36" s="27" t="s">
        <v>143</v>
      </c>
      <c r="C36" s="23" t="s">
        <v>144</v>
      </c>
      <c r="D36" s="23" t="s">
        <v>145</v>
      </c>
      <c r="E36" s="28">
        <v>50000</v>
      </c>
      <c r="F36" s="25">
        <v>332.03</v>
      </c>
      <c r="G36" s="25">
        <v>0.41</v>
      </c>
      <c r="H36" s="26"/>
    </row>
    <row r="37" spans="2:10">
      <c r="B37" s="27" t="s">
        <v>148</v>
      </c>
      <c r="C37" s="23" t="s">
        <v>149</v>
      </c>
      <c r="D37" s="23" t="s">
        <v>40</v>
      </c>
      <c r="E37" s="28">
        <v>17450</v>
      </c>
      <c r="F37" s="25">
        <v>306.02</v>
      </c>
      <c r="G37" s="25">
        <v>0.37</v>
      </c>
      <c r="H37" s="26"/>
    </row>
    <row r="38" spans="2:10">
      <c r="B38" s="27" t="s">
        <v>204</v>
      </c>
      <c r="C38" s="23" t="s">
        <v>205</v>
      </c>
      <c r="D38" s="23" t="s">
        <v>80</v>
      </c>
      <c r="E38" s="28">
        <v>11400</v>
      </c>
      <c r="F38" s="25">
        <v>261.62</v>
      </c>
      <c r="G38" s="25">
        <v>0.32</v>
      </c>
      <c r="H38" s="26"/>
    </row>
    <row r="39" spans="2:10">
      <c r="B39" s="27" t="s">
        <v>127</v>
      </c>
      <c r="C39" s="23" t="s">
        <v>128</v>
      </c>
      <c r="D39" s="23" t="s">
        <v>129</v>
      </c>
      <c r="E39" s="28">
        <v>9597</v>
      </c>
      <c r="F39" s="25">
        <v>261.43</v>
      </c>
      <c r="G39" s="25">
        <v>0.32</v>
      </c>
      <c r="H39" s="26"/>
    </row>
    <row r="40" spans="2:10">
      <c r="B40" s="27" t="s">
        <v>182</v>
      </c>
      <c r="C40" s="23" t="s">
        <v>183</v>
      </c>
      <c r="D40" s="23" t="s">
        <v>184</v>
      </c>
      <c r="E40" s="28">
        <v>1715</v>
      </c>
      <c r="F40" s="25">
        <v>156.55000000000001</v>
      </c>
      <c r="G40" s="25">
        <v>0.19</v>
      </c>
      <c r="H40" s="26"/>
    </row>
    <row r="41" spans="2:10">
      <c r="B41" s="29" t="s">
        <v>106</v>
      </c>
      <c r="C41" s="30"/>
      <c r="D41" s="30"/>
      <c r="E41" s="31"/>
      <c r="F41" s="32">
        <f>SUM(F7:F40)</f>
        <v>18762.369999999995</v>
      </c>
      <c r="G41" s="32">
        <f>SUM(G7:G40)</f>
        <v>22.960000000000004</v>
      </c>
      <c r="H41" s="33"/>
      <c r="I41" s="14"/>
      <c r="J41" s="14"/>
    </row>
    <row r="42" spans="2:10">
      <c r="B42" s="37" t="s">
        <v>107</v>
      </c>
      <c r="C42" s="37"/>
      <c r="D42" s="37"/>
      <c r="E42" s="38"/>
      <c r="F42" s="39">
        <f>F41</f>
        <v>18762.369999999995</v>
      </c>
      <c r="G42" s="39">
        <f>G41</f>
        <v>22.960000000000004</v>
      </c>
      <c r="H42" s="15"/>
      <c r="I42" s="14"/>
      <c r="J42" s="14"/>
    </row>
    <row r="43" spans="2:10">
      <c r="B43" s="46" t="s">
        <v>365</v>
      </c>
      <c r="C43" s="41"/>
      <c r="D43" s="41"/>
      <c r="E43" s="42"/>
      <c r="F43" s="43"/>
      <c r="G43" s="43"/>
      <c r="H43" s="43"/>
    </row>
    <row r="44" spans="2:10">
      <c r="B44" s="47" t="s">
        <v>31</v>
      </c>
      <c r="C44" s="23"/>
      <c r="D44" s="23"/>
      <c r="E44" s="24"/>
      <c r="F44" s="25"/>
      <c r="G44" s="25"/>
      <c r="H44" s="25"/>
    </row>
    <row r="45" spans="2:10">
      <c r="B45" s="23" t="s">
        <v>398</v>
      </c>
      <c r="C45" s="23" t="s">
        <v>399</v>
      </c>
      <c r="D45" s="23" t="s">
        <v>371</v>
      </c>
      <c r="E45" s="28">
        <v>300</v>
      </c>
      <c r="F45" s="25">
        <v>3198.11</v>
      </c>
      <c r="G45" s="25">
        <v>3.92</v>
      </c>
      <c r="H45" s="25">
        <v>5.04</v>
      </c>
    </row>
    <row r="46" spans="2:10">
      <c r="B46" s="23" t="s">
        <v>512</v>
      </c>
      <c r="C46" s="23" t="s">
        <v>513</v>
      </c>
      <c r="D46" s="23" t="s">
        <v>371</v>
      </c>
      <c r="E46" s="28">
        <v>250</v>
      </c>
      <c r="F46" s="25">
        <v>2517.83</v>
      </c>
      <c r="G46" s="25">
        <v>3.08</v>
      </c>
      <c r="H46" s="25">
        <v>4.22</v>
      </c>
    </row>
    <row r="47" spans="2:10">
      <c r="B47" s="23" t="s">
        <v>568</v>
      </c>
      <c r="C47" s="23" t="s">
        <v>569</v>
      </c>
      <c r="D47" s="23" t="s">
        <v>371</v>
      </c>
      <c r="E47" s="28">
        <v>150</v>
      </c>
      <c r="F47" s="25">
        <v>1514.19</v>
      </c>
      <c r="G47" s="25">
        <v>1.85</v>
      </c>
      <c r="H47" s="25">
        <v>3.49</v>
      </c>
    </row>
    <row r="48" spans="2:10">
      <c r="B48" s="23" t="s">
        <v>392</v>
      </c>
      <c r="C48" s="23" t="s">
        <v>393</v>
      </c>
      <c r="D48" s="23" t="s">
        <v>371</v>
      </c>
      <c r="E48" s="28">
        <v>100</v>
      </c>
      <c r="F48" s="25">
        <v>1071.29</v>
      </c>
      <c r="G48" s="25">
        <v>1.31</v>
      </c>
      <c r="H48" s="25">
        <v>5.23</v>
      </c>
    </row>
    <row r="49" spans="2:10">
      <c r="B49" s="23" t="s">
        <v>488</v>
      </c>
      <c r="C49" s="23" t="s">
        <v>489</v>
      </c>
      <c r="D49" s="23" t="s">
        <v>371</v>
      </c>
      <c r="E49" s="28">
        <v>100</v>
      </c>
      <c r="F49" s="25">
        <v>1059.31</v>
      </c>
      <c r="G49" s="25">
        <v>1.3</v>
      </c>
      <c r="H49" s="25">
        <v>5.5</v>
      </c>
    </row>
    <row r="50" spans="2:10">
      <c r="B50" s="23" t="s">
        <v>570</v>
      </c>
      <c r="C50" s="23" t="s">
        <v>571</v>
      </c>
      <c r="D50" s="23" t="s">
        <v>371</v>
      </c>
      <c r="E50" s="28">
        <v>100</v>
      </c>
      <c r="F50" s="25">
        <v>1053.8599999999999</v>
      </c>
      <c r="G50" s="25">
        <v>1.29</v>
      </c>
      <c r="H50" s="25">
        <v>5.41</v>
      </c>
    </row>
    <row r="51" spans="2:10">
      <c r="B51" s="23" t="s">
        <v>400</v>
      </c>
      <c r="C51" s="23" t="s">
        <v>401</v>
      </c>
      <c r="D51" s="23" t="s">
        <v>371</v>
      </c>
      <c r="E51" s="28">
        <v>100</v>
      </c>
      <c r="F51" s="25">
        <v>1037.29</v>
      </c>
      <c r="G51" s="25">
        <v>1.27</v>
      </c>
      <c r="H51" s="25">
        <v>4.29</v>
      </c>
    </row>
    <row r="52" spans="2:10">
      <c r="B52" s="23" t="s">
        <v>376</v>
      </c>
      <c r="C52" s="23" t="s">
        <v>377</v>
      </c>
      <c r="D52" s="23" t="s">
        <v>371</v>
      </c>
      <c r="E52" s="28">
        <v>100</v>
      </c>
      <c r="F52" s="25">
        <v>1029.1099999999999</v>
      </c>
      <c r="G52" s="25">
        <v>1.26</v>
      </c>
      <c r="H52" s="25">
        <v>3.97</v>
      </c>
    </row>
    <row r="53" spans="2:10">
      <c r="B53" s="23" t="s">
        <v>402</v>
      </c>
      <c r="C53" s="23" t="s">
        <v>403</v>
      </c>
      <c r="D53" s="23" t="s">
        <v>371</v>
      </c>
      <c r="E53" s="28">
        <v>100</v>
      </c>
      <c r="F53" s="25">
        <v>1023.63</v>
      </c>
      <c r="G53" s="25">
        <v>1.25</v>
      </c>
      <c r="H53" s="25">
        <v>3.65</v>
      </c>
    </row>
    <row r="54" spans="2:10">
      <c r="B54" s="23" t="s">
        <v>486</v>
      </c>
      <c r="C54" s="23" t="s">
        <v>487</v>
      </c>
      <c r="D54" s="23" t="s">
        <v>371</v>
      </c>
      <c r="E54" s="28">
        <v>50</v>
      </c>
      <c r="F54" s="25">
        <v>540.98</v>
      </c>
      <c r="G54" s="25">
        <v>0.66</v>
      </c>
      <c r="H54" s="25">
        <v>5.2</v>
      </c>
    </row>
    <row r="55" spans="2:10">
      <c r="B55" s="23" t="s">
        <v>372</v>
      </c>
      <c r="C55" s="23" t="s">
        <v>373</v>
      </c>
      <c r="D55" s="23" t="s">
        <v>371</v>
      </c>
      <c r="E55" s="28">
        <v>50</v>
      </c>
      <c r="F55" s="25">
        <v>501.58</v>
      </c>
      <c r="G55" s="25">
        <v>0.61</v>
      </c>
      <c r="H55" s="25">
        <v>3.33</v>
      </c>
    </row>
    <row r="56" spans="2:10">
      <c r="B56" s="30" t="s">
        <v>106</v>
      </c>
      <c r="C56" s="30"/>
      <c r="D56" s="30"/>
      <c r="E56" s="31"/>
      <c r="F56" s="32">
        <f>SUM(F44:F55)</f>
        <v>14547.18</v>
      </c>
      <c r="G56" s="32">
        <f>SUM(G44:G55)</f>
        <v>17.8</v>
      </c>
      <c r="H56" s="48"/>
      <c r="I56" s="14"/>
      <c r="J56" s="14"/>
    </row>
    <row r="57" spans="2:10">
      <c r="B57" s="49" t="s">
        <v>107</v>
      </c>
      <c r="C57" s="49"/>
      <c r="D57" s="49"/>
      <c r="E57" s="50"/>
      <c r="F57" s="51">
        <f>F56</f>
        <v>14547.18</v>
      </c>
      <c r="G57" s="51">
        <f>G56</f>
        <v>17.8</v>
      </c>
      <c r="H57" s="51"/>
      <c r="I57" s="14"/>
      <c r="J57" s="14"/>
    </row>
    <row r="58" spans="2:10">
      <c r="B58" s="47" t="s">
        <v>425</v>
      </c>
      <c r="C58" s="23"/>
      <c r="D58" s="23"/>
      <c r="E58" s="24"/>
      <c r="F58" s="25"/>
      <c r="G58" s="25"/>
      <c r="H58" s="25"/>
    </row>
    <row r="59" spans="2:10">
      <c r="B59" s="47" t="s">
        <v>462</v>
      </c>
      <c r="C59" s="23"/>
      <c r="D59" s="23"/>
      <c r="E59" s="24"/>
      <c r="F59" s="25"/>
      <c r="G59" s="25"/>
      <c r="H59" s="25"/>
    </row>
    <row r="60" spans="2:10">
      <c r="B60" s="23" t="s">
        <v>572</v>
      </c>
      <c r="C60" s="23" t="s">
        <v>573</v>
      </c>
      <c r="D60" s="23" t="s">
        <v>465</v>
      </c>
      <c r="E60" s="28">
        <v>750000</v>
      </c>
      <c r="F60" s="25">
        <v>748.6</v>
      </c>
      <c r="G60" s="25">
        <v>0.92</v>
      </c>
      <c r="H60" s="25">
        <v>3.1</v>
      </c>
    </row>
    <row r="61" spans="2:10">
      <c r="B61" s="30" t="s">
        <v>106</v>
      </c>
      <c r="C61" s="30"/>
      <c r="D61" s="30"/>
      <c r="E61" s="31"/>
      <c r="F61" s="32">
        <f>SUM(F59:F60)</f>
        <v>748.6</v>
      </c>
      <c r="G61" s="32">
        <f>SUM(G59:G60)</f>
        <v>0.92</v>
      </c>
      <c r="H61" s="48"/>
      <c r="I61" s="14"/>
      <c r="J61" s="14"/>
    </row>
    <row r="62" spans="2:10">
      <c r="B62" s="49" t="s">
        <v>107</v>
      </c>
      <c r="C62" s="49"/>
      <c r="D62" s="49"/>
      <c r="E62" s="50"/>
      <c r="F62" s="51">
        <f>+F61</f>
        <v>748.6</v>
      </c>
      <c r="G62" s="51">
        <f>+G61</f>
        <v>0.92</v>
      </c>
      <c r="H62" s="51"/>
      <c r="I62" s="14"/>
      <c r="J62" s="14"/>
    </row>
    <row r="63" spans="2:10">
      <c r="B63" s="47" t="s">
        <v>429</v>
      </c>
      <c r="C63" s="23"/>
      <c r="D63" s="23"/>
      <c r="E63" s="24"/>
      <c r="F63" s="25"/>
      <c r="G63" s="25"/>
      <c r="H63" s="25"/>
    </row>
    <row r="64" spans="2:10">
      <c r="B64" s="23" t="s">
        <v>433</v>
      </c>
      <c r="C64" s="23" t="s">
        <v>434</v>
      </c>
      <c r="D64" s="23" t="s">
        <v>432</v>
      </c>
      <c r="E64" s="28">
        <v>10500000</v>
      </c>
      <c r="F64" s="25">
        <v>10524.15</v>
      </c>
      <c r="G64" s="25">
        <v>12.89</v>
      </c>
      <c r="H64" s="25">
        <v>4.37</v>
      </c>
    </row>
    <row r="65" spans="2:10">
      <c r="B65" s="23" t="s">
        <v>435</v>
      </c>
      <c r="C65" s="23" t="s">
        <v>436</v>
      </c>
      <c r="D65" s="23" t="s">
        <v>432</v>
      </c>
      <c r="E65" s="28">
        <v>10250000</v>
      </c>
      <c r="F65" s="25">
        <v>10273.64</v>
      </c>
      <c r="G65" s="25">
        <v>12.58</v>
      </c>
      <c r="H65" s="25">
        <v>4.12</v>
      </c>
    </row>
    <row r="66" spans="2:10">
      <c r="B66" s="23" t="s">
        <v>430</v>
      </c>
      <c r="C66" s="23" t="s">
        <v>431</v>
      </c>
      <c r="D66" s="23" t="s">
        <v>432</v>
      </c>
      <c r="E66" s="28">
        <v>7000000</v>
      </c>
      <c r="F66" s="25">
        <v>7010.24</v>
      </c>
      <c r="G66" s="25">
        <v>8.58</v>
      </c>
      <c r="H66" s="25">
        <v>3.83</v>
      </c>
    </row>
    <row r="67" spans="2:10">
      <c r="B67" s="23" t="s">
        <v>443</v>
      </c>
      <c r="C67" s="23" t="s">
        <v>444</v>
      </c>
      <c r="D67" s="23" t="s">
        <v>432</v>
      </c>
      <c r="E67" s="28">
        <v>4000000</v>
      </c>
      <c r="F67" s="25">
        <v>3966.06</v>
      </c>
      <c r="G67" s="25">
        <v>4.8600000000000003</v>
      </c>
      <c r="H67" s="25">
        <v>6.22</v>
      </c>
    </row>
    <row r="68" spans="2:10">
      <c r="B68" s="23" t="s">
        <v>437</v>
      </c>
      <c r="C68" s="23" t="s">
        <v>438</v>
      </c>
      <c r="D68" s="23" t="s">
        <v>432</v>
      </c>
      <c r="E68" s="28">
        <v>3500000</v>
      </c>
      <c r="F68" s="25">
        <v>3494.18</v>
      </c>
      <c r="G68" s="25">
        <v>4.28</v>
      </c>
      <c r="H68" s="25">
        <v>5.27</v>
      </c>
    </row>
    <row r="69" spans="2:10">
      <c r="B69" s="23" t="s">
        <v>445</v>
      </c>
      <c r="C69" s="23" t="s">
        <v>446</v>
      </c>
      <c r="D69" s="23" t="s">
        <v>432</v>
      </c>
      <c r="E69" s="28">
        <v>1500000</v>
      </c>
      <c r="F69" s="25">
        <v>1531.29</v>
      </c>
      <c r="G69" s="25">
        <v>1.88</v>
      </c>
      <c r="H69" s="25">
        <v>3.54</v>
      </c>
    </row>
    <row r="70" spans="2:10">
      <c r="B70" s="23" t="s">
        <v>441</v>
      </c>
      <c r="C70" s="23" t="s">
        <v>442</v>
      </c>
      <c r="D70" s="23" t="s">
        <v>432</v>
      </c>
      <c r="E70" s="28">
        <v>1500000</v>
      </c>
      <c r="F70" s="25">
        <v>1515.08</v>
      </c>
      <c r="G70" s="25">
        <v>1.86</v>
      </c>
      <c r="H70" s="25">
        <v>3.31</v>
      </c>
    </row>
    <row r="71" spans="2:10">
      <c r="B71" s="23" t="s">
        <v>449</v>
      </c>
      <c r="C71" s="23" t="s">
        <v>450</v>
      </c>
      <c r="D71" s="23" t="s">
        <v>432</v>
      </c>
      <c r="E71" s="28">
        <v>1000000</v>
      </c>
      <c r="F71" s="25">
        <v>1081</v>
      </c>
      <c r="G71" s="25">
        <v>1.32</v>
      </c>
      <c r="H71" s="25">
        <v>6</v>
      </c>
    </row>
    <row r="72" spans="2:10">
      <c r="B72" s="23" t="s">
        <v>474</v>
      </c>
      <c r="C72" s="23" t="s">
        <v>475</v>
      </c>
      <c r="D72" s="23" t="s">
        <v>432</v>
      </c>
      <c r="E72" s="28">
        <v>1000000</v>
      </c>
      <c r="F72" s="25">
        <v>1006.61</v>
      </c>
      <c r="G72" s="25">
        <v>1.23</v>
      </c>
      <c r="H72" s="25">
        <v>6.88</v>
      </c>
    </row>
    <row r="73" spans="2:10">
      <c r="B73" s="23" t="s">
        <v>574</v>
      </c>
      <c r="C73" s="23" t="s">
        <v>575</v>
      </c>
      <c r="D73" s="23" t="s">
        <v>432</v>
      </c>
      <c r="E73" s="28">
        <v>800000</v>
      </c>
      <c r="F73" s="25">
        <v>821.85</v>
      </c>
      <c r="G73" s="25">
        <v>1.01</v>
      </c>
      <c r="H73" s="25">
        <v>3.69</v>
      </c>
    </row>
    <row r="74" spans="2:10">
      <c r="B74" s="23" t="s">
        <v>576</v>
      </c>
      <c r="C74" s="23" t="s">
        <v>577</v>
      </c>
      <c r="D74" s="23" t="s">
        <v>432</v>
      </c>
      <c r="E74" s="28">
        <v>500000</v>
      </c>
      <c r="F74" s="25">
        <v>545.85</v>
      </c>
      <c r="G74" s="25">
        <v>0.67</v>
      </c>
      <c r="H74" s="25">
        <v>4.63</v>
      </c>
    </row>
    <row r="75" spans="2:10">
      <c r="B75" s="23" t="s">
        <v>494</v>
      </c>
      <c r="C75" s="23" t="s">
        <v>495</v>
      </c>
      <c r="D75" s="23" t="s">
        <v>432</v>
      </c>
      <c r="E75" s="28">
        <v>250000</v>
      </c>
      <c r="F75" s="25">
        <v>236.91</v>
      </c>
      <c r="G75" s="25">
        <v>0.28999999999999998</v>
      </c>
      <c r="H75" s="25">
        <v>7.1</v>
      </c>
    </row>
    <row r="76" spans="2:10">
      <c r="B76" s="52" t="s">
        <v>578</v>
      </c>
      <c r="C76" s="52" t="s">
        <v>579</v>
      </c>
      <c r="D76" s="52" t="s">
        <v>432</v>
      </c>
      <c r="E76" s="53">
        <v>800</v>
      </c>
      <c r="F76" s="54">
        <v>0.86</v>
      </c>
      <c r="G76" s="54">
        <v>0</v>
      </c>
      <c r="H76" s="54">
        <v>7.11</v>
      </c>
    </row>
    <row r="77" spans="2:10">
      <c r="B77" s="55" t="s">
        <v>107</v>
      </c>
      <c r="C77" s="55"/>
      <c r="D77" s="55"/>
      <c r="E77" s="56"/>
      <c r="F77" s="57">
        <f>SUM(F64:F76)</f>
        <v>42007.72</v>
      </c>
      <c r="G77" s="57">
        <f>SUM(G64:G76)</f>
        <v>51.449999999999996</v>
      </c>
      <c r="H77" s="57"/>
      <c r="I77" s="14"/>
      <c r="J77" s="14"/>
    </row>
    <row r="78" spans="2:10">
      <c r="B78" s="47" t="s">
        <v>108</v>
      </c>
      <c r="C78" s="23"/>
      <c r="D78" s="23"/>
      <c r="E78" s="24"/>
      <c r="F78" s="25"/>
      <c r="G78" s="25"/>
      <c r="H78" s="25"/>
    </row>
    <row r="79" spans="2:10">
      <c r="B79" s="23" t="s">
        <v>108</v>
      </c>
      <c r="C79" s="23"/>
      <c r="D79" s="23"/>
      <c r="E79" s="24"/>
      <c r="F79" s="25">
        <v>5558.29</v>
      </c>
      <c r="G79" s="25">
        <v>6.81</v>
      </c>
      <c r="H79" s="25"/>
    </row>
    <row r="80" spans="2:10">
      <c r="B80" s="30" t="s">
        <v>106</v>
      </c>
      <c r="C80" s="30"/>
      <c r="D80" s="30"/>
      <c r="E80" s="31"/>
      <c r="F80" s="32">
        <f>SUM(F78:F79)</f>
        <v>5558.29</v>
      </c>
      <c r="G80" s="32">
        <f>SUM(G78:G79)</f>
        <v>6.81</v>
      </c>
      <c r="H80" s="48"/>
      <c r="I80" s="14"/>
      <c r="J80" s="14"/>
    </row>
    <row r="81" spans="2:10">
      <c r="B81" s="34" t="s">
        <v>107</v>
      </c>
      <c r="C81" s="34"/>
      <c r="D81" s="34"/>
      <c r="E81" s="35"/>
      <c r="F81" s="36">
        <f>F80</f>
        <v>5558.29</v>
      </c>
      <c r="G81" s="36">
        <f>G80</f>
        <v>6.81</v>
      </c>
      <c r="H81" s="36"/>
      <c r="I81" s="14"/>
      <c r="J81" s="14"/>
    </row>
    <row r="82" spans="2:10">
      <c r="B82" s="44" t="s">
        <v>110</v>
      </c>
      <c r="C82" s="44"/>
      <c r="D82" s="44"/>
      <c r="E82" s="45"/>
      <c r="F82" s="16">
        <f>F83-(+F42+F57+F62+F77+F81)</f>
        <v>35.260000000009313</v>
      </c>
      <c r="G82" s="16">
        <f>G83-(+G42+G57+G62+G77+G81)</f>
        <v>6.0000000000002274E-2</v>
      </c>
      <c r="H82" s="16"/>
      <c r="I82" s="14"/>
      <c r="J82" s="14"/>
    </row>
    <row r="83" spans="2:10">
      <c r="B83" s="44" t="s">
        <v>109</v>
      </c>
      <c r="C83" s="44"/>
      <c r="D83" s="44"/>
      <c r="E83" s="45"/>
      <c r="F83" s="16">
        <v>81659.42</v>
      </c>
      <c r="G83" s="16">
        <v>100</v>
      </c>
      <c r="H83" s="16"/>
      <c r="I83" s="14"/>
      <c r="J83" s="14"/>
    </row>
    <row r="85" spans="2:10">
      <c r="B85" s="14" t="s">
        <v>738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/>
  </sheetViews>
  <sheetFormatPr defaultRowHeight="12"/>
  <cols>
    <col min="1" max="1" width="9.140625" style="1"/>
    <col min="2" max="2" width="57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22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429</v>
      </c>
      <c r="C5" s="18"/>
      <c r="D5" s="18"/>
      <c r="E5" s="19"/>
      <c r="F5" s="20"/>
      <c r="G5" s="20"/>
      <c r="H5" s="20"/>
    </row>
    <row r="6" spans="2:10">
      <c r="B6" s="23" t="s">
        <v>580</v>
      </c>
      <c r="C6" s="23" t="s">
        <v>581</v>
      </c>
      <c r="D6" s="23" t="s">
        <v>432</v>
      </c>
      <c r="E6" s="28">
        <v>1500000</v>
      </c>
      <c r="F6" s="25">
        <v>1560.04</v>
      </c>
      <c r="G6" s="25">
        <v>48.48</v>
      </c>
      <c r="H6" s="25">
        <v>5.95</v>
      </c>
    </row>
    <row r="7" spans="2:10">
      <c r="B7" s="52" t="s">
        <v>582</v>
      </c>
      <c r="C7" s="52" t="s">
        <v>583</v>
      </c>
      <c r="D7" s="52" t="s">
        <v>432</v>
      </c>
      <c r="E7" s="53">
        <v>1000000</v>
      </c>
      <c r="F7" s="54">
        <v>1074.42</v>
      </c>
      <c r="G7" s="54">
        <v>33.39</v>
      </c>
      <c r="H7" s="54">
        <v>5.64</v>
      </c>
    </row>
    <row r="8" spans="2:10">
      <c r="B8" s="55" t="s">
        <v>107</v>
      </c>
      <c r="C8" s="55"/>
      <c r="D8" s="55"/>
      <c r="E8" s="56"/>
      <c r="F8" s="57">
        <f>SUM(F6:F7)</f>
        <v>2634.46</v>
      </c>
      <c r="G8" s="57">
        <f>SUM(G6:G7)</f>
        <v>81.87</v>
      </c>
      <c r="H8" s="57"/>
      <c r="I8" s="14"/>
      <c r="J8" s="14"/>
    </row>
    <row r="9" spans="2:10">
      <c r="B9" s="47" t="s">
        <v>108</v>
      </c>
      <c r="C9" s="23"/>
      <c r="D9" s="23"/>
      <c r="E9" s="24"/>
      <c r="F9" s="25"/>
      <c r="G9" s="25"/>
      <c r="H9" s="25"/>
    </row>
    <row r="10" spans="2:10">
      <c r="B10" s="23" t="s">
        <v>108</v>
      </c>
      <c r="C10" s="23"/>
      <c r="D10" s="23"/>
      <c r="E10" s="24"/>
      <c r="F10" s="25">
        <v>538.22</v>
      </c>
      <c r="G10" s="25">
        <v>16.72</v>
      </c>
      <c r="H10" s="25"/>
    </row>
    <row r="11" spans="2:10">
      <c r="B11" s="30" t="s">
        <v>106</v>
      </c>
      <c r="C11" s="30"/>
      <c r="D11" s="30"/>
      <c r="E11" s="31"/>
      <c r="F11" s="32">
        <f>SUM(F9:F10)</f>
        <v>538.22</v>
      </c>
      <c r="G11" s="32">
        <f>SUM(G9:G10)</f>
        <v>16.72</v>
      </c>
      <c r="H11" s="48"/>
      <c r="I11" s="14"/>
      <c r="J11" s="14"/>
    </row>
    <row r="12" spans="2:10">
      <c r="B12" s="34" t="s">
        <v>107</v>
      </c>
      <c r="C12" s="34"/>
      <c r="D12" s="34"/>
      <c r="E12" s="35"/>
      <c r="F12" s="36">
        <f>F11</f>
        <v>538.22</v>
      </c>
      <c r="G12" s="36">
        <f>G11</f>
        <v>16.72</v>
      </c>
      <c r="H12" s="36"/>
      <c r="I12" s="14"/>
      <c r="J12" s="14"/>
    </row>
    <row r="13" spans="2:10">
      <c r="B13" s="44" t="s">
        <v>110</v>
      </c>
      <c r="C13" s="44"/>
      <c r="D13" s="44"/>
      <c r="E13" s="45"/>
      <c r="F13" s="16">
        <f>F14-(+F8+F12)</f>
        <v>45.379999999999654</v>
      </c>
      <c r="G13" s="16">
        <f>G14-(+G8+G12)</f>
        <v>1.4099999999999966</v>
      </c>
      <c r="H13" s="16"/>
      <c r="I13" s="14"/>
      <c r="J13" s="14"/>
    </row>
    <row r="14" spans="2:10">
      <c r="B14" s="44" t="s">
        <v>109</v>
      </c>
      <c r="C14" s="44"/>
      <c r="D14" s="44"/>
      <c r="E14" s="45"/>
      <c r="F14" s="16">
        <v>3218.06</v>
      </c>
      <c r="G14" s="16">
        <v>100</v>
      </c>
      <c r="H14" s="16"/>
      <c r="I14" s="14"/>
      <c r="J14" s="14"/>
    </row>
    <row r="16" spans="2:10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/>
  </sheetViews>
  <sheetFormatPr defaultRowHeight="12"/>
  <cols>
    <col min="1" max="1" width="9.140625" style="1"/>
    <col min="2" max="2" width="57.42578125" style="1" bestFit="1" customWidth="1"/>
    <col min="3" max="3" width="13.570312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23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425</v>
      </c>
      <c r="C5" s="18"/>
      <c r="D5" s="18"/>
      <c r="E5" s="19"/>
      <c r="F5" s="20"/>
      <c r="G5" s="20"/>
      <c r="H5" s="20"/>
    </row>
    <row r="6" spans="2:10">
      <c r="B6" s="47" t="s">
        <v>536</v>
      </c>
      <c r="C6" s="23"/>
      <c r="D6" s="23"/>
      <c r="E6" s="24"/>
      <c r="F6" s="25"/>
      <c r="G6" s="25"/>
      <c r="H6" s="25"/>
    </row>
    <row r="7" spans="2:10">
      <c r="B7" s="23" t="s">
        <v>584</v>
      </c>
      <c r="C7" s="23" t="s">
        <v>585</v>
      </c>
      <c r="D7" s="23" t="s">
        <v>428</v>
      </c>
      <c r="E7" s="28">
        <v>7500</v>
      </c>
      <c r="F7" s="25">
        <v>7496.15</v>
      </c>
      <c r="G7" s="25">
        <v>3.87</v>
      </c>
      <c r="H7" s="25">
        <v>3.12</v>
      </c>
    </row>
    <row r="8" spans="2:10">
      <c r="B8" s="47" t="s">
        <v>106</v>
      </c>
      <c r="C8" s="47"/>
      <c r="D8" s="47"/>
      <c r="E8" s="59"/>
      <c r="F8" s="57">
        <f>SUM(F6:F7)</f>
        <v>7496.15</v>
      </c>
      <c r="G8" s="57">
        <f>SUM(G6:G7)</f>
        <v>3.87</v>
      </c>
      <c r="H8" s="60"/>
      <c r="I8" s="14"/>
      <c r="J8" s="14"/>
    </row>
    <row r="9" spans="2:10">
      <c r="B9" s="47" t="s">
        <v>426</v>
      </c>
      <c r="C9" s="23"/>
      <c r="D9" s="23"/>
      <c r="E9" s="24"/>
      <c r="F9" s="25"/>
      <c r="G9" s="25"/>
      <c r="H9" s="25"/>
    </row>
    <row r="10" spans="2:10">
      <c r="B10" s="23" t="s">
        <v>741</v>
      </c>
      <c r="C10" s="23" t="s">
        <v>427</v>
      </c>
      <c r="D10" s="23" t="s">
        <v>428</v>
      </c>
      <c r="E10" s="28">
        <v>3000</v>
      </c>
      <c r="F10" s="25">
        <v>14990.75</v>
      </c>
      <c r="G10" s="25">
        <v>7.74</v>
      </c>
      <c r="H10" s="25">
        <v>3.22</v>
      </c>
    </row>
    <row r="11" spans="2:10">
      <c r="B11" s="23" t="s">
        <v>742</v>
      </c>
      <c r="C11" s="23" t="s">
        <v>586</v>
      </c>
      <c r="D11" s="23" t="s">
        <v>428</v>
      </c>
      <c r="E11" s="28">
        <v>3000</v>
      </c>
      <c r="F11" s="25">
        <v>14983.19</v>
      </c>
      <c r="G11" s="25">
        <v>7.74</v>
      </c>
      <c r="H11" s="25">
        <v>3.15</v>
      </c>
    </row>
    <row r="12" spans="2:10">
      <c r="B12" s="23" t="s">
        <v>743</v>
      </c>
      <c r="C12" s="23" t="s">
        <v>587</v>
      </c>
      <c r="D12" s="23" t="s">
        <v>541</v>
      </c>
      <c r="E12" s="28">
        <v>2500</v>
      </c>
      <c r="F12" s="25">
        <v>12468.83</v>
      </c>
      <c r="G12" s="25">
        <v>6.44</v>
      </c>
      <c r="H12" s="25">
        <v>3.26</v>
      </c>
    </row>
    <row r="13" spans="2:10">
      <c r="B13" s="23" t="s">
        <v>744</v>
      </c>
      <c r="C13" s="23" t="s">
        <v>588</v>
      </c>
      <c r="D13" s="23" t="s">
        <v>428</v>
      </c>
      <c r="E13" s="28">
        <v>2100</v>
      </c>
      <c r="F13" s="25">
        <v>10452.68</v>
      </c>
      <c r="G13" s="25">
        <v>5.4</v>
      </c>
      <c r="H13" s="25">
        <v>3.24</v>
      </c>
    </row>
    <row r="14" spans="2:10">
      <c r="B14" s="23" t="s">
        <v>745</v>
      </c>
      <c r="C14" s="23" t="s">
        <v>589</v>
      </c>
      <c r="D14" s="23" t="s">
        <v>590</v>
      </c>
      <c r="E14" s="28">
        <v>2000</v>
      </c>
      <c r="F14" s="25">
        <v>9989.61</v>
      </c>
      <c r="G14" s="25">
        <v>5.16</v>
      </c>
      <c r="H14" s="25">
        <v>3.16</v>
      </c>
    </row>
    <row r="15" spans="2:10">
      <c r="B15" s="23" t="s">
        <v>746</v>
      </c>
      <c r="C15" s="23" t="s">
        <v>591</v>
      </c>
      <c r="D15" s="23" t="s">
        <v>428</v>
      </c>
      <c r="E15" s="28">
        <v>2000</v>
      </c>
      <c r="F15" s="25">
        <v>9976.6</v>
      </c>
      <c r="G15" s="25">
        <v>5.15</v>
      </c>
      <c r="H15" s="25">
        <v>3.17</v>
      </c>
    </row>
    <row r="16" spans="2:10">
      <c r="B16" s="23" t="s">
        <v>747</v>
      </c>
      <c r="C16" s="23" t="s">
        <v>592</v>
      </c>
      <c r="D16" s="23" t="s">
        <v>590</v>
      </c>
      <c r="E16" s="28">
        <v>2000</v>
      </c>
      <c r="F16" s="25">
        <v>9948</v>
      </c>
      <c r="G16" s="25">
        <v>5.14</v>
      </c>
      <c r="H16" s="25">
        <v>3.35</v>
      </c>
    </row>
    <row r="17" spans="2:10">
      <c r="B17" s="23" t="s">
        <v>748</v>
      </c>
      <c r="C17" s="23" t="s">
        <v>593</v>
      </c>
      <c r="D17" s="23" t="s">
        <v>590</v>
      </c>
      <c r="E17" s="28">
        <v>500</v>
      </c>
      <c r="F17" s="25">
        <v>2497.1999999999998</v>
      </c>
      <c r="G17" s="25">
        <v>1.29</v>
      </c>
      <c r="H17" s="25">
        <v>3.15</v>
      </c>
    </row>
    <row r="18" spans="2:10">
      <c r="B18" s="23" t="s">
        <v>749</v>
      </c>
      <c r="C18" s="23" t="s">
        <v>594</v>
      </c>
      <c r="D18" s="23" t="s">
        <v>428</v>
      </c>
      <c r="E18" s="28">
        <v>500</v>
      </c>
      <c r="F18" s="25">
        <v>2494.66</v>
      </c>
      <c r="G18" s="25">
        <v>1.29</v>
      </c>
      <c r="H18" s="25">
        <v>3.4</v>
      </c>
    </row>
    <row r="19" spans="2:10">
      <c r="B19" s="23" t="s">
        <v>750</v>
      </c>
      <c r="C19" s="23" t="s">
        <v>595</v>
      </c>
      <c r="D19" s="23" t="s">
        <v>428</v>
      </c>
      <c r="E19" s="28">
        <v>500</v>
      </c>
      <c r="F19" s="25">
        <v>2491.92</v>
      </c>
      <c r="G19" s="25">
        <v>1.29</v>
      </c>
      <c r="H19" s="25">
        <v>3.48</v>
      </c>
    </row>
    <row r="20" spans="2:10">
      <c r="B20" s="23" t="s">
        <v>751</v>
      </c>
      <c r="C20" s="23" t="s">
        <v>596</v>
      </c>
      <c r="D20" s="23" t="s">
        <v>428</v>
      </c>
      <c r="E20" s="28">
        <v>500</v>
      </c>
      <c r="F20" s="25">
        <v>2490.86</v>
      </c>
      <c r="G20" s="25">
        <v>1.29</v>
      </c>
      <c r="H20" s="25">
        <v>3.35</v>
      </c>
    </row>
    <row r="21" spans="2:10">
      <c r="B21" s="47" t="s">
        <v>106</v>
      </c>
      <c r="C21" s="47"/>
      <c r="D21" s="47"/>
      <c r="E21" s="59"/>
      <c r="F21" s="57">
        <f>SUM(F9:F20)</f>
        <v>92784.3</v>
      </c>
      <c r="G21" s="57">
        <f>SUM(G9:G20)</f>
        <v>47.93</v>
      </c>
      <c r="H21" s="60"/>
      <c r="I21" s="14"/>
      <c r="J21" s="14"/>
    </row>
    <row r="22" spans="2:10">
      <c r="B22" s="47" t="s">
        <v>462</v>
      </c>
      <c r="C22" s="23"/>
      <c r="D22" s="23"/>
      <c r="E22" s="24"/>
      <c r="F22" s="25"/>
      <c r="G22" s="25"/>
      <c r="H22" s="25"/>
    </row>
    <row r="23" spans="2:10">
      <c r="B23" s="23" t="s">
        <v>597</v>
      </c>
      <c r="C23" s="23" t="s">
        <v>598</v>
      </c>
      <c r="D23" s="23" t="s">
        <v>465</v>
      </c>
      <c r="E23" s="28">
        <v>25000000</v>
      </c>
      <c r="F23" s="25">
        <v>24967.68</v>
      </c>
      <c r="G23" s="25">
        <v>12.89</v>
      </c>
      <c r="H23" s="25">
        <v>3.15</v>
      </c>
    </row>
    <row r="24" spans="2:10">
      <c r="B24" s="23" t="s">
        <v>599</v>
      </c>
      <c r="C24" s="23" t="s">
        <v>600</v>
      </c>
      <c r="D24" s="23" t="s">
        <v>465</v>
      </c>
      <c r="E24" s="28">
        <v>17500000</v>
      </c>
      <c r="F24" s="25">
        <v>17498.55</v>
      </c>
      <c r="G24" s="25">
        <v>9.0399999999999991</v>
      </c>
      <c r="H24" s="25">
        <v>3.03</v>
      </c>
    </row>
    <row r="25" spans="2:10">
      <c r="B25" s="23" t="s">
        <v>601</v>
      </c>
      <c r="C25" s="23" t="s">
        <v>602</v>
      </c>
      <c r="D25" s="23" t="s">
        <v>465</v>
      </c>
      <c r="E25" s="28">
        <v>6500000</v>
      </c>
      <c r="F25" s="25">
        <v>6475.59</v>
      </c>
      <c r="G25" s="25">
        <v>3.34</v>
      </c>
      <c r="H25" s="25">
        <v>3.2</v>
      </c>
    </row>
    <row r="26" spans="2:10">
      <c r="B26" s="23" t="s">
        <v>463</v>
      </c>
      <c r="C26" s="23" t="s">
        <v>464</v>
      </c>
      <c r="D26" s="23" t="s">
        <v>465</v>
      </c>
      <c r="E26" s="28">
        <v>5000000</v>
      </c>
      <c r="F26" s="25">
        <v>4993.75</v>
      </c>
      <c r="G26" s="25">
        <v>2.58</v>
      </c>
      <c r="H26" s="25">
        <v>3.05</v>
      </c>
    </row>
    <row r="27" spans="2:10">
      <c r="B27" s="23" t="s">
        <v>603</v>
      </c>
      <c r="C27" s="23" t="s">
        <v>604</v>
      </c>
      <c r="D27" s="23" t="s">
        <v>465</v>
      </c>
      <c r="E27" s="28">
        <v>4500000</v>
      </c>
      <c r="F27" s="25">
        <v>4497.03</v>
      </c>
      <c r="G27" s="25">
        <v>2.3199999999999998</v>
      </c>
      <c r="H27" s="25">
        <v>3.01</v>
      </c>
    </row>
    <row r="28" spans="2:10">
      <c r="B28" s="23" t="s">
        <v>605</v>
      </c>
      <c r="C28" s="23" t="s">
        <v>606</v>
      </c>
      <c r="D28" s="23" t="s">
        <v>465</v>
      </c>
      <c r="E28" s="28">
        <v>4000000</v>
      </c>
      <c r="F28" s="25">
        <v>3999.67</v>
      </c>
      <c r="G28" s="25">
        <v>2.0699999999999998</v>
      </c>
      <c r="H28" s="25">
        <v>3.03</v>
      </c>
    </row>
    <row r="29" spans="2:10">
      <c r="B29" s="23" t="s">
        <v>607</v>
      </c>
      <c r="C29" s="23" t="s">
        <v>608</v>
      </c>
      <c r="D29" s="23" t="s">
        <v>465</v>
      </c>
      <c r="E29" s="28">
        <v>4000000</v>
      </c>
      <c r="F29" s="25">
        <v>3992.54</v>
      </c>
      <c r="G29" s="25">
        <v>2.06</v>
      </c>
      <c r="H29" s="25">
        <v>3.1</v>
      </c>
    </row>
    <row r="30" spans="2:10">
      <c r="B30" s="23" t="s">
        <v>609</v>
      </c>
      <c r="C30" s="23" t="s">
        <v>610</v>
      </c>
      <c r="D30" s="23" t="s">
        <v>465</v>
      </c>
      <c r="E30" s="28">
        <v>2500000</v>
      </c>
      <c r="F30" s="25">
        <v>2489.09</v>
      </c>
      <c r="G30" s="25">
        <v>1.29</v>
      </c>
      <c r="H30" s="25">
        <v>3.2</v>
      </c>
    </row>
    <row r="31" spans="2:10">
      <c r="B31" s="30" t="s">
        <v>106</v>
      </c>
      <c r="C31" s="30"/>
      <c r="D31" s="30"/>
      <c r="E31" s="31"/>
      <c r="F31" s="32">
        <f>SUM(F22:F30)</f>
        <v>68913.89999999998</v>
      </c>
      <c r="G31" s="32">
        <f>SUM(G22:G30)</f>
        <v>35.590000000000003</v>
      </c>
      <c r="H31" s="48"/>
      <c r="I31" s="14"/>
      <c r="J31" s="14"/>
    </row>
    <row r="32" spans="2:10">
      <c r="B32" s="49" t="s">
        <v>107</v>
      </c>
      <c r="C32" s="49"/>
      <c r="D32" s="49"/>
      <c r="E32" s="50"/>
      <c r="F32" s="51">
        <f>F8+F21+F31</f>
        <v>169194.34999999998</v>
      </c>
      <c r="G32" s="51">
        <f>G8+G21+G31</f>
        <v>87.39</v>
      </c>
      <c r="H32" s="51"/>
      <c r="I32" s="14"/>
      <c r="J32" s="14"/>
    </row>
    <row r="33" spans="2:10">
      <c r="B33" s="47" t="s">
        <v>108</v>
      </c>
      <c r="C33" s="23"/>
      <c r="D33" s="23"/>
      <c r="E33" s="24"/>
      <c r="F33" s="25"/>
      <c r="G33" s="25"/>
      <c r="H33" s="25"/>
    </row>
    <row r="34" spans="2:10">
      <c r="B34" s="23" t="s">
        <v>108</v>
      </c>
      <c r="C34" s="23"/>
      <c r="D34" s="23"/>
      <c r="E34" s="24"/>
      <c r="F34" s="25">
        <v>24100.9</v>
      </c>
      <c r="G34" s="25">
        <v>12.45</v>
      </c>
      <c r="H34" s="25"/>
    </row>
    <row r="35" spans="2:10">
      <c r="B35" s="30" t="s">
        <v>106</v>
      </c>
      <c r="C35" s="30"/>
      <c r="D35" s="30"/>
      <c r="E35" s="31"/>
      <c r="F35" s="32">
        <f>SUM(F33:F34)</f>
        <v>24100.9</v>
      </c>
      <c r="G35" s="32">
        <f>SUM(G33:G34)</f>
        <v>12.45</v>
      </c>
      <c r="H35" s="48"/>
      <c r="I35" s="14"/>
      <c r="J35" s="14"/>
    </row>
    <row r="36" spans="2:10">
      <c r="B36" s="34" t="s">
        <v>107</v>
      </c>
      <c r="C36" s="34"/>
      <c r="D36" s="34"/>
      <c r="E36" s="35"/>
      <c r="F36" s="36">
        <f>F35</f>
        <v>24100.9</v>
      </c>
      <c r="G36" s="36">
        <f>G35</f>
        <v>12.45</v>
      </c>
      <c r="H36" s="36"/>
      <c r="I36" s="14"/>
      <c r="J36" s="14"/>
    </row>
    <row r="37" spans="2:10">
      <c r="B37" s="44" t="s">
        <v>110</v>
      </c>
      <c r="C37" s="44"/>
      <c r="D37" s="44"/>
      <c r="E37" s="45"/>
      <c r="F37" s="16">
        <f>F38-(+F32+F36)</f>
        <v>335.76000000003842</v>
      </c>
      <c r="G37" s="16">
        <f>G38-(+G32+G36)</f>
        <v>0.15999999999999659</v>
      </c>
      <c r="H37" s="16"/>
      <c r="I37" s="14"/>
      <c r="J37" s="14"/>
    </row>
    <row r="38" spans="2:10">
      <c r="B38" s="44" t="s">
        <v>109</v>
      </c>
      <c r="C38" s="44"/>
      <c r="D38" s="44"/>
      <c r="E38" s="45"/>
      <c r="F38" s="16">
        <v>193631.01</v>
      </c>
      <c r="G38" s="16">
        <v>100</v>
      </c>
      <c r="H38" s="16"/>
      <c r="I38" s="14"/>
      <c r="J38" s="14"/>
    </row>
    <row r="40" spans="2:10">
      <c r="B40" s="14" t="s">
        <v>738</v>
      </c>
    </row>
    <row r="41" spans="2:10">
      <c r="B41" s="14" t="s">
        <v>459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2"/>
  <sheetViews>
    <sheetView workbookViewId="0"/>
  </sheetViews>
  <sheetFormatPr defaultRowHeight="12"/>
  <cols>
    <col min="1" max="1" width="9.140625" style="1"/>
    <col min="2" max="2" width="57.425781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24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365</v>
      </c>
      <c r="C5" s="18"/>
      <c r="D5" s="18"/>
      <c r="E5" s="19"/>
      <c r="F5" s="20"/>
      <c r="G5" s="20"/>
      <c r="H5" s="20"/>
    </row>
    <row r="6" spans="2:10">
      <c r="B6" s="47" t="s">
        <v>31</v>
      </c>
      <c r="C6" s="23"/>
      <c r="D6" s="23"/>
      <c r="E6" s="24"/>
      <c r="F6" s="25"/>
      <c r="G6" s="25"/>
      <c r="H6" s="25"/>
    </row>
    <row r="7" spans="2:10">
      <c r="B7" s="23" t="s">
        <v>510</v>
      </c>
      <c r="C7" s="23" t="s">
        <v>511</v>
      </c>
      <c r="D7" s="23" t="s">
        <v>371</v>
      </c>
      <c r="E7" s="28">
        <v>450</v>
      </c>
      <c r="F7" s="25">
        <v>4540.62</v>
      </c>
      <c r="G7" s="25">
        <v>6.84</v>
      </c>
      <c r="H7" s="25">
        <v>3.48</v>
      </c>
    </row>
    <row r="8" spans="2:10">
      <c r="B8" s="23" t="s">
        <v>388</v>
      </c>
      <c r="C8" s="23" t="s">
        <v>389</v>
      </c>
      <c r="D8" s="23" t="s">
        <v>371</v>
      </c>
      <c r="E8" s="28">
        <v>250</v>
      </c>
      <c r="F8" s="25">
        <v>2517.38</v>
      </c>
      <c r="G8" s="25">
        <v>3.79</v>
      </c>
      <c r="H8" s="25">
        <v>3.52</v>
      </c>
    </row>
    <row r="9" spans="2:10">
      <c r="B9" s="23" t="s">
        <v>376</v>
      </c>
      <c r="C9" s="23" t="s">
        <v>377</v>
      </c>
      <c r="D9" s="23" t="s">
        <v>371</v>
      </c>
      <c r="E9" s="28">
        <v>100</v>
      </c>
      <c r="F9" s="25">
        <v>1029.1099999999999</v>
      </c>
      <c r="G9" s="25">
        <v>1.55</v>
      </c>
      <c r="H9" s="25">
        <v>3.97</v>
      </c>
    </row>
    <row r="10" spans="2:10">
      <c r="B10" s="23" t="s">
        <v>611</v>
      </c>
      <c r="C10" s="23" t="s">
        <v>612</v>
      </c>
      <c r="D10" s="23" t="s">
        <v>371</v>
      </c>
      <c r="E10" s="28">
        <v>100</v>
      </c>
      <c r="F10" s="25">
        <v>1011.13</v>
      </c>
      <c r="G10" s="25">
        <v>1.52</v>
      </c>
      <c r="H10" s="25">
        <v>3.37</v>
      </c>
    </row>
    <row r="11" spans="2:10">
      <c r="B11" s="23" t="s">
        <v>613</v>
      </c>
      <c r="C11" s="23" t="s">
        <v>614</v>
      </c>
      <c r="D11" s="23" t="s">
        <v>371</v>
      </c>
      <c r="E11" s="28">
        <v>100</v>
      </c>
      <c r="F11" s="25">
        <v>1009.45</v>
      </c>
      <c r="G11" s="25">
        <v>1.52</v>
      </c>
      <c r="H11" s="25">
        <v>3.53</v>
      </c>
    </row>
    <row r="12" spans="2:10">
      <c r="B12" s="23" t="s">
        <v>382</v>
      </c>
      <c r="C12" s="23" t="s">
        <v>383</v>
      </c>
      <c r="D12" s="23" t="s">
        <v>371</v>
      </c>
      <c r="E12" s="28">
        <v>50</v>
      </c>
      <c r="F12" s="25">
        <v>513.80999999999995</v>
      </c>
      <c r="G12" s="25">
        <v>0.77</v>
      </c>
      <c r="H12" s="25">
        <v>4.0199999999999996</v>
      </c>
    </row>
    <row r="13" spans="2:10">
      <c r="B13" s="23" t="s">
        <v>516</v>
      </c>
      <c r="C13" s="23" t="s">
        <v>517</v>
      </c>
      <c r="D13" s="23" t="s">
        <v>371</v>
      </c>
      <c r="E13" s="28">
        <v>50</v>
      </c>
      <c r="F13" s="25">
        <v>503.94</v>
      </c>
      <c r="G13" s="25">
        <v>0.76</v>
      </c>
      <c r="H13" s="25">
        <v>3.43</v>
      </c>
    </row>
    <row r="14" spans="2:10">
      <c r="B14" s="23" t="s">
        <v>372</v>
      </c>
      <c r="C14" s="23" t="s">
        <v>373</v>
      </c>
      <c r="D14" s="23" t="s">
        <v>371</v>
      </c>
      <c r="E14" s="28">
        <v>50</v>
      </c>
      <c r="F14" s="25">
        <v>501.58</v>
      </c>
      <c r="G14" s="25">
        <v>0.76</v>
      </c>
      <c r="H14" s="25">
        <v>3.33</v>
      </c>
    </row>
    <row r="15" spans="2:10">
      <c r="B15" s="23" t="s">
        <v>615</v>
      </c>
      <c r="C15" s="23" t="s">
        <v>616</v>
      </c>
      <c r="D15" s="23" t="s">
        <v>414</v>
      </c>
      <c r="E15" s="28">
        <v>20</v>
      </c>
      <c r="F15" s="25">
        <v>201.41</v>
      </c>
      <c r="G15" s="25">
        <v>0.3</v>
      </c>
      <c r="H15" s="25">
        <v>2.4500000000000002</v>
      </c>
    </row>
    <row r="16" spans="2:10">
      <c r="B16" s="30" t="s">
        <v>106</v>
      </c>
      <c r="C16" s="30"/>
      <c r="D16" s="30"/>
      <c r="E16" s="31"/>
      <c r="F16" s="32">
        <f>SUM(F6:F15)</f>
        <v>11828.43</v>
      </c>
      <c r="G16" s="32">
        <f>SUM(G6:G15)</f>
        <v>17.810000000000002</v>
      </c>
      <c r="H16" s="48"/>
      <c r="I16" s="14"/>
      <c r="J16" s="14"/>
    </row>
    <row r="17" spans="2:10">
      <c r="B17" s="49" t="s">
        <v>107</v>
      </c>
      <c r="C17" s="49"/>
      <c r="D17" s="49"/>
      <c r="E17" s="50"/>
      <c r="F17" s="51">
        <f>F16</f>
        <v>11828.43</v>
      </c>
      <c r="G17" s="51">
        <f>G16</f>
        <v>17.810000000000002</v>
      </c>
      <c r="H17" s="51"/>
      <c r="I17" s="14"/>
      <c r="J17" s="14"/>
    </row>
    <row r="18" spans="2:10">
      <c r="B18" s="47" t="s">
        <v>425</v>
      </c>
      <c r="C18" s="23"/>
      <c r="D18" s="23"/>
      <c r="E18" s="24"/>
      <c r="F18" s="25"/>
      <c r="G18" s="25"/>
      <c r="H18" s="25"/>
    </row>
    <row r="19" spans="2:10">
      <c r="B19" s="47" t="s">
        <v>536</v>
      </c>
      <c r="C19" s="23"/>
      <c r="D19" s="23"/>
      <c r="E19" s="24"/>
      <c r="F19" s="25"/>
      <c r="G19" s="25"/>
      <c r="H19" s="25"/>
    </row>
    <row r="20" spans="2:10">
      <c r="B20" s="23" t="s">
        <v>617</v>
      </c>
      <c r="C20" s="23" t="s">
        <v>618</v>
      </c>
      <c r="D20" s="23" t="s">
        <v>428</v>
      </c>
      <c r="E20" s="28">
        <v>2500</v>
      </c>
      <c r="F20" s="25">
        <v>2496.5500000000002</v>
      </c>
      <c r="G20" s="25">
        <v>3.76</v>
      </c>
      <c r="H20" s="25">
        <v>3.15</v>
      </c>
    </row>
    <row r="21" spans="2:10">
      <c r="B21" s="23" t="s">
        <v>537</v>
      </c>
      <c r="C21" s="23" t="s">
        <v>538</v>
      </c>
      <c r="D21" s="23" t="s">
        <v>428</v>
      </c>
      <c r="E21" s="28">
        <v>2500</v>
      </c>
      <c r="F21" s="25">
        <v>2488.73</v>
      </c>
      <c r="G21" s="25">
        <v>3.75</v>
      </c>
      <c r="H21" s="25">
        <v>3.24</v>
      </c>
    </row>
    <row r="22" spans="2:10">
      <c r="B22" s="23" t="s">
        <v>544</v>
      </c>
      <c r="C22" s="23" t="s">
        <v>545</v>
      </c>
      <c r="D22" s="23" t="s">
        <v>541</v>
      </c>
      <c r="E22" s="28">
        <v>2500</v>
      </c>
      <c r="F22" s="25">
        <v>2432.62</v>
      </c>
      <c r="G22" s="25">
        <v>3.66</v>
      </c>
      <c r="H22" s="25">
        <v>3.69</v>
      </c>
    </row>
    <row r="23" spans="2:10">
      <c r="B23" s="23" t="s">
        <v>584</v>
      </c>
      <c r="C23" s="23" t="s">
        <v>585</v>
      </c>
      <c r="D23" s="23" t="s">
        <v>428</v>
      </c>
      <c r="E23" s="28">
        <v>500</v>
      </c>
      <c r="F23" s="25">
        <v>499.74</v>
      </c>
      <c r="G23" s="25">
        <v>0.75</v>
      </c>
      <c r="H23" s="25">
        <v>3.12</v>
      </c>
    </row>
    <row r="24" spans="2:10">
      <c r="B24" s="47" t="s">
        <v>106</v>
      </c>
      <c r="C24" s="47"/>
      <c r="D24" s="47"/>
      <c r="E24" s="59"/>
      <c r="F24" s="57">
        <f>SUM(F19:F23)</f>
        <v>7917.64</v>
      </c>
      <c r="G24" s="57">
        <f>SUM(G19:G23)</f>
        <v>11.92</v>
      </c>
      <c r="H24" s="60"/>
      <c r="I24" s="14"/>
      <c r="J24" s="14"/>
    </row>
    <row r="25" spans="2:10">
      <c r="B25" s="47" t="s">
        <v>426</v>
      </c>
      <c r="C25" s="23"/>
      <c r="D25" s="23"/>
      <c r="E25" s="24"/>
      <c r="F25" s="25"/>
      <c r="G25" s="25"/>
      <c r="H25" s="25"/>
    </row>
    <row r="26" spans="2:10">
      <c r="B26" s="23" t="s">
        <v>752</v>
      </c>
      <c r="C26" s="23" t="s">
        <v>619</v>
      </c>
      <c r="D26" s="23" t="s">
        <v>590</v>
      </c>
      <c r="E26" s="28">
        <v>1000</v>
      </c>
      <c r="F26" s="25">
        <v>4927.7700000000004</v>
      </c>
      <c r="G26" s="25">
        <v>7.42</v>
      </c>
      <c r="H26" s="25">
        <v>3.52</v>
      </c>
    </row>
    <row r="27" spans="2:10">
      <c r="B27" s="23" t="s">
        <v>753</v>
      </c>
      <c r="C27" s="23" t="s">
        <v>620</v>
      </c>
      <c r="D27" s="23" t="s">
        <v>428</v>
      </c>
      <c r="E27" s="28">
        <v>500</v>
      </c>
      <c r="F27" s="25">
        <v>2498.25</v>
      </c>
      <c r="G27" s="25">
        <v>3.76</v>
      </c>
      <c r="H27" s="25">
        <v>3.2</v>
      </c>
    </row>
    <row r="28" spans="2:10">
      <c r="B28" s="23" t="s">
        <v>754</v>
      </c>
      <c r="C28" s="23" t="s">
        <v>621</v>
      </c>
      <c r="D28" s="23" t="s">
        <v>590</v>
      </c>
      <c r="E28" s="28">
        <v>500</v>
      </c>
      <c r="F28" s="25">
        <v>2487.67</v>
      </c>
      <c r="G28" s="25">
        <v>3.75</v>
      </c>
      <c r="H28" s="25">
        <v>3.35</v>
      </c>
    </row>
    <row r="29" spans="2:10">
      <c r="B29" s="23" t="s">
        <v>740</v>
      </c>
      <c r="C29" s="23" t="s">
        <v>547</v>
      </c>
      <c r="D29" s="23" t="s">
        <v>428</v>
      </c>
      <c r="E29" s="28">
        <v>500</v>
      </c>
      <c r="F29" s="25">
        <v>2414.7600000000002</v>
      </c>
      <c r="G29" s="25">
        <v>3.64</v>
      </c>
      <c r="H29" s="25">
        <v>4.17</v>
      </c>
    </row>
    <row r="30" spans="2:10">
      <c r="B30" s="47" t="s">
        <v>106</v>
      </c>
      <c r="C30" s="47"/>
      <c r="D30" s="47"/>
      <c r="E30" s="59"/>
      <c r="F30" s="57">
        <f>SUM(F25:F29)</f>
        <v>12328.45</v>
      </c>
      <c r="G30" s="57">
        <f>SUM(G25:G29)</f>
        <v>18.57</v>
      </c>
      <c r="H30" s="60"/>
      <c r="I30" s="14"/>
      <c r="J30" s="14"/>
    </row>
    <row r="31" spans="2:10">
      <c r="B31" s="47" t="s">
        <v>462</v>
      </c>
      <c r="C31" s="23"/>
      <c r="D31" s="23"/>
      <c r="E31" s="24"/>
      <c r="F31" s="25"/>
      <c r="G31" s="25"/>
      <c r="H31" s="25"/>
    </row>
    <row r="32" spans="2:10">
      <c r="B32" s="23" t="s">
        <v>601</v>
      </c>
      <c r="C32" s="23" t="s">
        <v>602</v>
      </c>
      <c r="D32" s="23" t="s">
        <v>465</v>
      </c>
      <c r="E32" s="28">
        <v>7500000</v>
      </c>
      <c r="F32" s="25">
        <v>7471.83</v>
      </c>
      <c r="G32" s="25">
        <v>11.25</v>
      </c>
      <c r="H32" s="25">
        <v>3.2</v>
      </c>
    </row>
    <row r="33" spans="2:10">
      <c r="B33" s="23" t="s">
        <v>550</v>
      </c>
      <c r="C33" s="23" t="s">
        <v>551</v>
      </c>
      <c r="D33" s="23" t="s">
        <v>465</v>
      </c>
      <c r="E33" s="28">
        <v>5000000</v>
      </c>
      <c r="F33" s="25">
        <v>4949.29</v>
      </c>
      <c r="G33" s="25">
        <v>7.45</v>
      </c>
      <c r="H33" s="25">
        <v>3.31</v>
      </c>
    </row>
    <row r="34" spans="2:10">
      <c r="B34" s="23" t="s">
        <v>622</v>
      </c>
      <c r="C34" s="23" t="s">
        <v>623</v>
      </c>
      <c r="D34" s="23" t="s">
        <v>465</v>
      </c>
      <c r="E34" s="28">
        <v>5000000</v>
      </c>
      <c r="F34" s="25">
        <v>4921.62</v>
      </c>
      <c r="G34" s="25">
        <v>7.41</v>
      </c>
      <c r="H34" s="25">
        <v>3.42</v>
      </c>
    </row>
    <row r="35" spans="2:10">
      <c r="B35" s="23" t="s">
        <v>624</v>
      </c>
      <c r="C35" s="23" t="s">
        <v>625</v>
      </c>
      <c r="D35" s="23" t="s">
        <v>465</v>
      </c>
      <c r="E35" s="28">
        <v>5000000</v>
      </c>
      <c r="F35" s="25">
        <v>4911.34</v>
      </c>
      <c r="G35" s="25">
        <v>7.4</v>
      </c>
      <c r="H35" s="25">
        <v>3.45</v>
      </c>
    </row>
    <row r="36" spans="2:10">
      <c r="B36" s="23" t="s">
        <v>626</v>
      </c>
      <c r="C36" s="23" t="s">
        <v>627</v>
      </c>
      <c r="D36" s="23" t="s">
        <v>465</v>
      </c>
      <c r="E36" s="28">
        <v>2500000</v>
      </c>
      <c r="F36" s="25">
        <v>2482.81</v>
      </c>
      <c r="G36" s="25">
        <v>3.74</v>
      </c>
      <c r="H36" s="25">
        <v>3.24</v>
      </c>
    </row>
    <row r="37" spans="2:10">
      <c r="B37" s="23" t="s">
        <v>628</v>
      </c>
      <c r="C37" s="23" t="s">
        <v>629</v>
      </c>
      <c r="D37" s="23" t="s">
        <v>465</v>
      </c>
      <c r="E37" s="28">
        <v>2500000</v>
      </c>
      <c r="F37" s="25">
        <v>2481.11</v>
      </c>
      <c r="G37" s="25">
        <v>3.74</v>
      </c>
      <c r="H37" s="25">
        <v>3.27</v>
      </c>
    </row>
    <row r="38" spans="2:10">
      <c r="B38" s="30" t="s">
        <v>106</v>
      </c>
      <c r="C38" s="30"/>
      <c r="D38" s="30"/>
      <c r="E38" s="31"/>
      <c r="F38" s="32">
        <f>SUM(F31:F37)</f>
        <v>27218</v>
      </c>
      <c r="G38" s="32">
        <f>SUM(G31:G37)</f>
        <v>40.99</v>
      </c>
      <c r="H38" s="48"/>
      <c r="I38" s="14"/>
      <c r="J38" s="14"/>
    </row>
    <row r="39" spans="2:10">
      <c r="B39" s="49" t="s">
        <v>107</v>
      </c>
      <c r="C39" s="49"/>
      <c r="D39" s="49"/>
      <c r="E39" s="50"/>
      <c r="F39" s="51">
        <f>F24+F30+F38</f>
        <v>47464.09</v>
      </c>
      <c r="G39" s="51">
        <f>G24+G30+G38</f>
        <v>71.48</v>
      </c>
      <c r="H39" s="51"/>
      <c r="I39" s="14"/>
      <c r="J39" s="14"/>
    </row>
    <row r="40" spans="2:10">
      <c r="B40" s="47" t="s">
        <v>429</v>
      </c>
      <c r="C40" s="23"/>
      <c r="D40" s="23"/>
      <c r="E40" s="24"/>
      <c r="F40" s="25"/>
      <c r="G40" s="25"/>
      <c r="H40" s="25"/>
    </row>
    <row r="41" spans="2:10">
      <c r="B41" s="23" t="s">
        <v>441</v>
      </c>
      <c r="C41" s="23" t="s">
        <v>442</v>
      </c>
      <c r="D41" s="23" t="s">
        <v>432</v>
      </c>
      <c r="E41" s="28">
        <v>2500000</v>
      </c>
      <c r="F41" s="25">
        <v>2525.13</v>
      </c>
      <c r="G41" s="25">
        <v>3.8</v>
      </c>
      <c r="H41" s="25">
        <v>3.31</v>
      </c>
    </row>
    <row r="42" spans="2:10">
      <c r="B42" s="52" t="s">
        <v>562</v>
      </c>
      <c r="C42" s="52" t="s">
        <v>563</v>
      </c>
      <c r="D42" s="52" t="s">
        <v>432</v>
      </c>
      <c r="E42" s="53">
        <v>1500000</v>
      </c>
      <c r="F42" s="54">
        <v>1556.34</v>
      </c>
      <c r="G42" s="54">
        <v>2.34</v>
      </c>
      <c r="H42" s="54">
        <v>3.85</v>
      </c>
    </row>
    <row r="43" spans="2:10">
      <c r="B43" s="55" t="s">
        <v>107</v>
      </c>
      <c r="C43" s="55"/>
      <c r="D43" s="55"/>
      <c r="E43" s="56"/>
      <c r="F43" s="57">
        <f>SUM(F41:F42)</f>
        <v>4081.4700000000003</v>
      </c>
      <c r="G43" s="57">
        <f>SUM(G41:G42)</f>
        <v>6.14</v>
      </c>
      <c r="H43" s="57"/>
      <c r="I43" s="14"/>
      <c r="J43" s="14"/>
    </row>
    <row r="44" spans="2:10">
      <c r="B44" s="47" t="s">
        <v>108</v>
      </c>
      <c r="C44" s="23"/>
      <c r="D44" s="23"/>
      <c r="E44" s="24"/>
      <c r="F44" s="25"/>
      <c r="G44" s="25"/>
      <c r="H44" s="25"/>
    </row>
    <row r="45" spans="2:10">
      <c r="B45" s="23" t="s">
        <v>108</v>
      </c>
      <c r="C45" s="23"/>
      <c r="D45" s="23"/>
      <c r="E45" s="24"/>
      <c r="F45" s="25">
        <v>2937.39</v>
      </c>
      <c r="G45" s="25">
        <v>4.42</v>
      </c>
      <c r="H45" s="25"/>
    </row>
    <row r="46" spans="2:10">
      <c r="B46" s="30" t="s">
        <v>106</v>
      </c>
      <c r="C46" s="30"/>
      <c r="D46" s="30"/>
      <c r="E46" s="31"/>
      <c r="F46" s="32">
        <f>SUM(F44:F45)</f>
        <v>2937.39</v>
      </c>
      <c r="G46" s="32">
        <f>SUM(G44:G45)</f>
        <v>4.42</v>
      </c>
      <c r="H46" s="48"/>
      <c r="I46" s="14"/>
      <c r="J46" s="14"/>
    </row>
    <row r="47" spans="2:10">
      <c r="B47" s="34" t="s">
        <v>107</v>
      </c>
      <c r="C47" s="34"/>
      <c r="D47" s="34"/>
      <c r="E47" s="35"/>
      <c r="F47" s="36">
        <f>F46</f>
        <v>2937.39</v>
      </c>
      <c r="G47" s="36">
        <f>G46</f>
        <v>4.42</v>
      </c>
      <c r="H47" s="36"/>
      <c r="I47" s="14"/>
      <c r="J47" s="14"/>
    </row>
    <row r="48" spans="2:10">
      <c r="B48" s="44" t="s">
        <v>110</v>
      </c>
      <c r="C48" s="44"/>
      <c r="D48" s="44"/>
      <c r="E48" s="45"/>
      <c r="F48" s="16">
        <f>F49-(+F17+F39+F43+F47)</f>
        <v>98.639999999999418</v>
      </c>
      <c r="G48" s="16">
        <f>G49-(+G17+G39+G43+G47)</f>
        <v>0.14999999999999147</v>
      </c>
      <c r="H48" s="16"/>
      <c r="I48" s="14"/>
      <c r="J48" s="14"/>
    </row>
    <row r="49" spans="2:10">
      <c r="B49" s="44" t="s">
        <v>109</v>
      </c>
      <c r="C49" s="44"/>
      <c r="D49" s="44"/>
      <c r="E49" s="45"/>
      <c r="F49" s="16">
        <v>66410.02</v>
      </c>
      <c r="G49" s="16">
        <v>100</v>
      </c>
      <c r="H49" s="16"/>
      <c r="I49" s="14"/>
      <c r="J49" s="14"/>
    </row>
    <row r="51" spans="2:10">
      <c r="B51" s="14" t="s">
        <v>738</v>
      </c>
    </row>
    <row r="52" spans="2:10">
      <c r="B52" s="14" t="s">
        <v>459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"/>
  <sheetViews>
    <sheetView workbookViewId="0"/>
  </sheetViews>
  <sheetFormatPr defaultRowHeight="12"/>
  <cols>
    <col min="1" max="1" width="9.140625" style="1"/>
    <col min="2" max="2" width="57.42578125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25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17" t="s">
        <v>108</v>
      </c>
      <c r="C5" s="18"/>
      <c r="D5" s="18"/>
      <c r="E5" s="19"/>
      <c r="F5" s="20"/>
      <c r="G5" s="20"/>
      <c r="H5" s="21"/>
    </row>
    <row r="6" spans="2:10">
      <c r="B6" s="27" t="s">
        <v>108</v>
      </c>
      <c r="C6" s="23"/>
      <c r="D6" s="23"/>
      <c r="E6" s="24"/>
      <c r="F6" s="25">
        <v>11744.69</v>
      </c>
      <c r="G6" s="25">
        <v>99.47</v>
      </c>
      <c r="H6" s="26"/>
    </row>
    <row r="7" spans="2:10">
      <c r="B7" s="29" t="s">
        <v>106</v>
      </c>
      <c r="C7" s="30"/>
      <c r="D7" s="30"/>
      <c r="E7" s="31"/>
      <c r="F7" s="32">
        <f>SUM(F5:F6)</f>
        <v>11744.69</v>
      </c>
      <c r="G7" s="32">
        <f>SUM(G5:G6)</f>
        <v>99.47</v>
      </c>
      <c r="H7" s="33"/>
      <c r="I7" s="14"/>
      <c r="J7" s="14"/>
    </row>
    <row r="8" spans="2:10">
      <c r="B8" s="34" t="s">
        <v>107</v>
      </c>
      <c r="C8" s="34"/>
      <c r="D8" s="34"/>
      <c r="E8" s="35"/>
      <c r="F8" s="36">
        <f>F7</f>
        <v>11744.69</v>
      </c>
      <c r="G8" s="36">
        <f>G7</f>
        <v>99.47</v>
      </c>
      <c r="H8" s="36"/>
      <c r="I8" s="14"/>
      <c r="J8" s="14"/>
    </row>
    <row r="9" spans="2:10">
      <c r="B9" s="44" t="s">
        <v>110</v>
      </c>
      <c r="C9" s="44"/>
      <c r="D9" s="44"/>
      <c r="E9" s="45"/>
      <c r="F9" s="16">
        <f>F10-(+F8)</f>
        <v>62.809999999999491</v>
      </c>
      <c r="G9" s="16">
        <f>G10-(+G8)</f>
        <v>0.53000000000000114</v>
      </c>
      <c r="H9" s="16"/>
      <c r="I9" s="14"/>
      <c r="J9" s="14"/>
    </row>
    <row r="10" spans="2:10">
      <c r="B10" s="44" t="s">
        <v>109</v>
      </c>
      <c r="C10" s="44"/>
      <c r="D10" s="44"/>
      <c r="E10" s="45"/>
      <c r="F10" s="16">
        <v>11807.5</v>
      </c>
      <c r="G10" s="16">
        <v>100</v>
      </c>
      <c r="H10" s="16"/>
      <c r="I10" s="14"/>
      <c r="J10" s="14"/>
    </row>
    <row r="12" spans="2:10">
      <c r="B12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"/>
  <sheetViews>
    <sheetView workbookViewId="0"/>
  </sheetViews>
  <sheetFormatPr defaultRowHeight="12"/>
  <cols>
    <col min="1" max="1" width="9.140625" style="1"/>
    <col min="2" max="2" width="60.285156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26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365</v>
      </c>
      <c r="C5" s="18"/>
      <c r="D5" s="18"/>
      <c r="E5" s="19"/>
      <c r="F5" s="20"/>
      <c r="G5" s="20"/>
      <c r="H5" s="20"/>
    </row>
    <row r="6" spans="2:8">
      <c r="B6" s="47" t="s">
        <v>31</v>
      </c>
      <c r="C6" s="23"/>
      <c r="D6" s="23"/>
      <c r="E6" s="24"/>
      <c r="F6" s="25"/>
      <c r="G6" s="25"/>
      <c r="H6" s="25"/>
    </row>
    <row r="7" spans="2:8">
      <c r="B7" s="23" t="s">
        <v>630</v>
      </c>
      <c r="C7" s="23" t="s">
        <v>631</v>
      </c>
      <c r="D7" s="23" t="s">
        <v>371</v>
      </c>
      <c r="E7" s="28">
        <v>650</v>
      </c>
      <c r="F7" s="25">
        <v>6576.95</v>
      </c>
      <c r="G7" s="25">
        <v>6.61</v>
      </c>
      <c r="H7" s="25">
        <v>4.05</v>
      </c>
    </row>
    <row r="8" spans="2:8">
      <c r="B8" s="23" t="s">
        <v>410</v>
      </c>
      <c r="C8" s="23" t="s">
        <v>411</v>
      </c>
      <c r="D8" s="23" t="s">
        <v>371</v>
      </c>
      <c r="E8" s="28">
        <v>450</v>
      </c>
      <c r="F8" s="25">
        <v>4652.6400000000003</v>
      </c>
      <c r="G8" s="25">
        <v>4.68</v>
      </c>
      <c r="H8" s="25">
        <v>4.29</v>
      </c>
    </row>
    <row r="9" spans="2:8">
      <c r="B9" s="23" t="s">
        <v>632</v>
      </c>
      <c r="C9" s="23" t="s">
        <v>633</v>
      </c>
      <c r="D9" s="23" t="s">
        <v>368</v>
      </c>
      <c r="E9" s="28">
        <v>350</v>
      </c>
      <c r="F9" s="25">
        <v>3618.31</v>
      </c>
      <c r="G9" s="25">
        <v>3.64</v>
      </c>
      <c r="H9" s="25">
        <v>4.3899999999999997</v>
      </c>
    </row>
    <row r="10" spans="2:8">
      <c r="B10" s="23" t="s">
        <v>380</v>
      </c>
      <c r="C10" s="23" t="s">
        <v>381</v>
      </c>
      <c r="D10" s="23" t="s">
        <v>371</v>
      </c>
      <c r="E10" s="28">
        <v>350</v>
      </c>
      <c r="F10" s="25">
        <v>3617.32</v>
      </c>
      <c r="G10" s="25">
        <v>3.64</v>
      </c>
      <c r="H10" s="25">
        <v>4.2</v>
      </c>
    </row>
    <row r="11" spans="2:8">
      <c r="B11" s="23" t="s">
        <v>634</v>
      </c>
      <c r="C11" s="23" t="s">
        <v>635</v>
      </c>
      <c r="D11" s="23" t="s">
        <v>371</v>
      </c>
      <c r="E11" s="28">
        <v>250</v>
      </c>
      <c r="F11" s="25">
        <v>2599.54</v>
      </c>
      <c r="G11" s="25">
        <v>2.61</v>
      </c>
      <c r="H11" s="25">
        <v>4.5599999999999996</v>
      </c>
    </row>
    <row r="12" spans="2:8">
      <c r="B12" s="23" t="s">
        <v>636</v>
      </c>
      <c r="C12" s="23" t="s">
        <v>637</v>
      </c>
      <c r="D12" s="23" t="s">
        <v>371</v>
      </c>
      <c r="E12" s="28">
        <v>250</v>
      </c>
      <c r="F12" s="25">
        <v>2592.2399999999998</v>
      </c>
      <c r="G12" s="25">
        <v>2.61</v>
      </c>
      <c r="H12" s="25">
        <v>4.57</v>
      </c>
    </row>
    <row r="13" spans="2:8">
      <c r="B13" s="23" t="s">
        <v>528</v>
      </c>
      <c r="C13" s="23" t="s">
        <v>529</v>
      </c>
      <c r="D13" s="23" t="s">
        <v>371</v>
      </c>
      <c r="E13" s="28">
        <v>250</v>
      </c>
      <c r="F13" s="25">
        <v>2574.5500000000002</v>
      </c>
      <c r="G13" s="25">
        <v>2.59</v>
      </c>
      <c r="H13" s="25">
        <v>4.0199999999999996</v>
      </c>
    </row>
    <row r="14" spans="2:8">
      <c r="B14" s="23" t="s">
        <v>376</v>
      </c>
      <c r="C14" s="23" t="s">
        <v>377</v>
      </c>
      <c r="D14" s="23" t="s">
        <v>371</v>
      </c>
      <c r="E14" s="28">
        <v>250</v>
      </c>
      <c r="F14" s="25">
        <v>2572.77</v>
      </c>
      <c r="G14" s="25">
        <v>2.59</v>
      </c>
      <c r="H14" s="25">
        <v>3.97</v>
      </c>
    </row>
    <row r="15" spans="2:8">
      <c r="B15" s="23" t="s">
        <v>638</v>
      </c>
      <c r="C15" s="23" t="s">
        <v>639</v>
      </c>
      <c r="D15" s="23" t="s">
        <v>371</v>
      </c>
      <c r="E15" s="28">
        <v>250</v>
      </c>
      <c r="F15" s="25">
        <v>2572.59</v>
      </c>
      <c r="G15" s="25">
        <v>2.59</v>
      </c>
      <c r="H15" s="25">
        <v>4.1399999999999997</v>
      </c>
    </row>
    <row r="16" spans="2:8">
      <c r="B16" s="23" t="s">
        <v>640</v>
      </c>
      <c r="C16" s="23" t="s">
        <v>641</v>
      </c>
      <c r="D16" s="23" t="s">
        <v>371</v>
      </c>
      <c r="E16" s="28">
        <v>250</v>
      </c>
      <c r="F16" s="25">
        <v>2566.69</v>
      </c>
      <c r="G16" s="25">
        <v>2.58</v>
      </c>
      <c r="H16" s="25">
        <v>5.74</v>
      </c>
    </row>
    <row r="17" spans="2:8">
      <c r="B17" s="23" t="s">
        <v>642</v>
      </c>
      <c r="C17" s="23" t="s">
        <v>643</v>
      </c>
      <c r="D17" s="23" t="s">
        <v>371</v>
      </c>
      <c r="E17" s="28">
        <v>250</v>
      </c>
      <c r="F17" s="25">
        <v>2538.0300000000002</v>
      </c>
      <c r="G17" s="25">
        <v>2.5499999999999998</v>
      </c>
      <c r="H17" s="25">
        <v>4.51</v>
      </c>
    </row>
    <row r="18" spans="2:8">
      <c r="B18" s="23" t="s">
        <v>644</v>
      </c>
      <c r="C18" s="23" t="s">
        <v>645</v>
      </c>
      <c r="D18" s="23" t="s">
        <v>371</v>
      </c>
      <c r="E18" s="28">
        <v>200</v>
      </c>
      <c r="F18" s="25">
        <v>2094.12</v>
      </c>
      <c r="G18" s="25">
        <v>2.1</v>
      </c>
      <c r="H18" s="25">
        <v>5.68</v>
      </c>
    </row>
    <row r="19" spans="2:8">
      <c r="B19" s="23" t="s">
        <v>646</v>
      </c>
      <c r="C19" s="23" t="s">
        <v>647</v>
      </c>
      <c r="D19" s="23" t="s">
        <v>414</v>
      </c>
      <c r="E19" s="28">
        <v>200</v>
      </c>
      <c r="F19" s="25">
        <v>2052.19</v>
      </c>
      <c r="G19" s="25">
        <v>2.06</v>
      </c>
      <c r="H19" s="25">
        <v>3.75</v>
      </c>
    </row>
    <row r="20" spans="2:8">
      <c r="B20" s="23" t="s">
        <v>518</v>
      </c>
      <c r="C20" s="23" t="s">
        <v>519</v>
      </c>
      <c r="D20" s="23" t="s">
        <v>414</v>
      </c>
      <c r="E20" s="28">
        <v>200</v>
      </c>
      <c r="F20" s="25">
        <v>2002.57</v>
      </c>
      <c r="G20" s="25">
        <v>2.0099999999999998</v>
      </c>
      <c r="H20" s="25">
        <v>4.51</v>
      </c>
    </row>
    <row r="21" spans="2:8">
      <c r="B21" s="23" t="s">
        <v>408</v>
      </c>
      <c r="C21" s="23" t="s">
        <v>409</v>
      </c>
      <c r="D21" s="23" t="s">
        <v>371</v>
      </c>
      <c r="E21" s="28">
        <v>150</v>
      </c>
      <c r="F21" s="25">
        <v>1594.9</v>
      </c>
      <c r="G21" s="25">
        <v>1.6</v>
      </c>
      <c r="H21" s="25">
        <v>5.52</v>
      </c>
    </row>
    <row r="22" spans="2:8">
      <c r="B22" s="23" t="s">
        <v>570</v>
      </c>
      <c r="C22" s="23" t="s">
        <v>571</v>
      </c>
      <c r="D22" s="23" t="s">
        <v>371</v>
      </c>
      <c r="E22" s="28">
        <v>150</v>
      </c>
      <c r="F22" s="25">
        <v>1580.79</v>
      </c>
      <c r="G22" s="25">
        <v>1.59</v>
      </c>
      <c r="H22" s="25">
        <v>5.41</v>
      </c>
    </row>
    <row r="23" spans="2:8">
      <c r="B23" s="23" t="s">
        <v>648</v>
      </c>
      <c r="C23" s="23" t="s">
        <v>649</v>
      </c>
      <c r="D23" s="23" t="s">
        <v>371</v>
      </c>
      <c r="E23" s="28">
        <v>150</v>
      </c>
      <c r="F23" s="25">
        <v>1547.59</v>
      </c>
      <c r="G23" s="25">
        <v>1.56</v>
      </c>
      <c r="H23" s="25">
        <v>3.86</v>
      </c>
    </row>
    <row r="24" spans="2:8">
      <c r="B24" s="23" t="s">
        <v>650</v>
      </c>
      <c r="C24" s="23" t="s">
        <v>651</v>
      </c>
      <c r="D24" s="23" t="s">
        <v>368</v>
      </c>
      <c r="E24" s="28">
        <v>150</v>
      </c>
      <c r="F24" s="25">
        <v>1543.59</v>
      </c>
      <c r="G24" s="25">
        <v>1.55</v>
      </c>
      <c r="H24" s="25">
        <v>3.98</v>
      </c>
    </row>
    <row r="25" spans="2:8">
      <c r="B25" s="23" t="s">
        <v>652</v>
      </c>
      <c r="C25" s="23" t="s">
        <v>653</v>
      </c>
      <c r="D25" s="23" t="s">
        <v>371</v>
      </c>
      <c r="E25" s="28">
        <v>150</v>
      </c>
      <c r="F25" s="25">
        <v>1536.01</v>
      </c>
      <c r="G25" s="25">
        <v>1.54</v>
      </c>
      <c r="H25" s="25">
        <v>3.86</v>
      </c>
    </row>
    <row r="26" spans="2:8">
      <c r="B26" s="23" t="s">
        <v>654</v>
      </c>
      <c r="C26" s="23" t="s">
        <v>655</v>
      </c>
      <c r="D26" s="23" t="s">
        <v>371</v>
      </c>
      <c r="E26" s="28">
        <v>150</v>
      </c>
      <c r="F26" s="25">
        <v>1519.93</v>
      </c>
      <c r="G26" s="25">
        <v>1.53</v>
      </c>
      <c r="H26" s="25">
        <v>4.67</v>
      </c>
    </row>
    <row r="27" spans="2:8">
      <c r="B27" s="23" t="s">
        <v>390</v>
      </c>
      <c r="C27" s="23" t="s">
        <v>391</v>
      </c>
      <c r="D27" s="23" t="s">
        <v>371</v>
      </c>
      <c r="E27" s="28">
        <v>150</v>
      </c>
      <c r="F27" s="25">
        <v>1502.24</v>
      </c>
      <c r="G27" s="25">
        <v>1.51</v>
      </c>
      <c r="H27" s="25">
        <v>3.5</v>
      </c>
    </row>
    <row r="28" spans="2:8">
      <c r="B28" s="23" t="s">
        <v>656</v>
      </c>
      <c r="C28" s="23" t="s">
        <v>657</v>
      </c>
      <c r="D28" s="23" t="s">
        <v>371</v>
      </c>
      <c r="E28" s="28">
        <v>100</v>
      </c>
      <c r="F28" s="25">
        <v>1060.54</v>
      </c>
      <c r="G28" s="25">
        <v>1.07</v>
      </c>
      <c r="H28" s="25">
        <v>5</v>
      </c>
    </row>
    <row r="29" spans="2:8">
      <c r="B29" s="23" t="s">
        <v>526</v>
      </c>
      <c r="C29" s="23" t="s">
        <v>527</v>
      </c>
      <c r="D29" s="23" t="s">
        <v>371</v>
      </c>
      <c r="E29" s="28">
        <v>100</v>
      </c>
      <c r="F29" s="25">
        <v>1037.07</v>
      </c>
      <c r="G29" s="25">
        <v>1.04</v>
      </c>
      <c r="H29" s="25">
        <v>4.29</v>
      </c>
    </row>
    <row r="30" spans="2:8">
      <c r="B30" s="23" t="s">
        <v>524</v>
      </c>
      <c r="C30" s="23" t="s">
        <v>525</v>
      </c>
      <c r="D30" s="23" t="s">
        <v>371</v>
      </c>
      <c r="E30" s="28">
        <v>100</v>
      </c>
      <c r="F30" s="25">
        <v>1028.71</v>
      </c>
      <c r="G30" s="25">
        <v>1.03</v>
      </c>
      <c r="H30" s="25">
        <v>3.86</v>
      </c>
    </row>
    <row r="31" spans="2:8">
      <c r="B31" s="23" t="s">
        <v>530</v>
      </c>
      <c r="C31" s="23" t="s">
        <v>531</v>
      </c>
      <c r="D31" s="23" t="s">
        <v>368</v>
      </c>
      <c r="E31" s="28">
        <v>100</v>
      </c>
      <c r="F31" s="25">
        <v>1027.93</v>
      </c>
      <c r="G31" s="25">
        <v>1.03</v>
      </c>
      <c r="H31" s="25">
        <v>3.88</v>
      </c>
    </row>
    <row r="32" spans="2:8">
      <c r="B32" s="23" t="s">
        <v>658</v>
      </c>
      <c r="C32" s="23" t="s">
        <v>659</v>
      </c>
      <c r="D32" s="23" t="s">
        <v>371</v>
      </c>
      <c r="E32" s="28">
        <v>100</v>
      </c>
      <c r="F32" s="25">
        <v>1027.8900000000001</v>
      </c>
      <c r="G32" s="25">
        <v>1.03</v>
      </c>
      <c r="H32" s="25">
        <v>3.82</v>
      </c>
    </row>
    <row r="33" spans="2:10">
      <c r="B33" s="23" t="s">
        <v>660</v>
      </c>
      <c r="C33" s="23" t="s">
        <v>661</v>
      </c>
      <c r="D33" s="23" t="s">
        <v>371</v>
      </c>
      <c r="E33" s="28">
        <v>100</v>
      </c>
      <c r="F33" s="25">
        <v>1007.78</v>
      </c>
      <c r="G33" s="25">
        <v>1.01</v>
      </c>
      <c r="H33" s="25">
        <v>3.42</v>
      </c>
    </row>
    <row r="34" spans="2:10">
      <c r="B34" s="23" t="s">
        <v>662</v>
      </c>
      <c r="C34" s="23" t="s">
        <v>663</v>
      </c>
      <c r="D34" s="23" t="s">
        <v>371</v>
      </c>
      <c r="E34" s="28">
        <v>70</v>
      </c>
      <c r="F34" s="25">
        <v>701.25</v>
      </c>
      <c r="G34" s="25">
        <v>0.7</v>
      </c>
      <c r="H34" s="25">
        <v>3.46</v>
      </c>
    </row>
    <row r="35" spans="2:10">
      <c r="B35" s="23" t="s">
        <v>664</v>
      </c>
      <c r="C35" s="23" t="s">
        <v>665</v>
      </c>
      <c r="D35" s="23" t="s">
        <v>371</v>
      </c>
      <c r="E35" s="28">
        <v>50</v>
      </c>
      <c r="F35" s="25">
        <v>551.09</v>
      </c>
      <c r="G35" s="25">
        <v>0.55000000000000004</v>
      </c>
      <c r="H35" s="25">
        <v>5.85</v>
      </c>
    </row>
    <row r="36" spans="2:10">
      <c r="B36" s="23" t="s">
        <v>666</v>
      </c>
      <c r="C36" s="23" t="s">
        <v>667</v>
      </c>
      <c r="D36" s="23" t="s">
        <v>371</v>
      </c>
      <c r="E36" s="28">
        <v>50</v>
      </c>
      <c r="F36" s="25">
        <v>550.87</v>
      </c>
      <c r="G36" s="25">
        <v>0.55000000000000004</v>
      </c>
      <c r="H36" s="25">
        <v>6.23</v>
      </c>
    </row>
    <row r="37" spans="2:10">
      <c r="B37" s="23" t="s">
        <v>392</v>
      </c>
      <c r="C37" s="23" t="s">
        <v>393</v>
      </c>
      <c r="D37" s="23" t="s">
        <v>371</v>
      </c>
      <c r="E37" s="28">
        <v>50</v>
      </c>
      <c r="F37" s="25">
        <v>535.65</v>
      </c>
      <c r="G37" s="25">
        <v>0.54</v>
      </c>
      <c r="H37" s="25">
        <v>5.23</v>
      </c>
    </row>
    <row r="38" spans="2:10">
      <c r="B38" s="23" t="s">
        <v>668</v>
      </c>
      <c r="C38" s="23" t="s">
        <v>669</v>
      </c>
      <c r="D38" s="23" t="s">
        <v>371</v>
      </c>
      <c r="E38" s="28">
        <v>50</v>
      </c>
      <c r="F38" s="25">
        <v>527.91</v>
      </c>
      <c r="G38" s="25">
        <v>0.53</v>
      </c>
      <c r="H38" s="25">
        <v>4.32</v>
      </c>
    </row>
    <row r="39" spans="2:10">
      <c r="B39" s="23" t="s">
        <v>670</v>
      </c>
      <c r="C39" s="23" t="s">
        <v>671</v>
      </c>
      <c r="D39" s="23" t="s">
        <v>371</v>
      </c>
      <c r="E39" s="28">
        <v>50</v>
      </c>
      <c r="F39" s="25">
        <v>517.15</v>
      </c>
      <c r="G39" s="25">
        <v>0.52</v>
      </c>
      <c r="H39" s="25">
        <v>4.0199999999999996</v>
      </c>
    </row>
    <row r="40" spans="2:10">
      <c r="B40" s="23" t="s">
        <v>672</v>
      </c>
      <c r="C40" s="23" t="s">
        <v>673</v>
      </c>
      <c r="D40" s="23" t="s">
        <v>371</v>
      </c>
      <c r="E40" s="28">
        <v>50</v>
      </c>
      <c r="F40" s="25">
        <v>503.7</v>
      </c>
      <c r="G40" s="25">
        <v>0.51</v>
      </c>
      <c r="H40" s="25">
        <v>3.35</v>
      </c>
    </row>
    <row r="41" spans="2:10">
      <c r="B41" s="23" t="s">
        <v>520</v>
      </c>
      <c r="C41" s="23" t="s">
        <v>521</v>
      </c>
      <c r="D41" s="23" t="s">
        <v>371</v>
      </c>
      <c r="E41" s="28">
        <v>100</v>
      </c>
      <c r="F41" s="25">
        <v>320.57</v>
      </c>
      <c r="G41" s="25">
        <v>0.32</v>
      </c>
      <c r="H41" s="25">
        <v>5.07</v>
      </c>
    </row>
    <row r="42" spans="2:10">
      <c r="B42" s="23" t="s">
        <v>674</v>
      </c>
      <c r="C42" s="23" t="s">
        <v>675</v>
      </c>
      <c r="D42" s="23" t="s">
        <v>371</v>
      </c>
      <c r="E42" s="28">
        <v>10</v>
      </c>
      <c r="F42" s="25">
        <v>102.5</v>
      </c>
      <c r="G42" s="25">
        <v>0.1</v>
      </c>
      <c r="H42" s="25">
        <v>3.76</v>
      </c>
    </row>
    <row r="43" spans="2:10">
      <c r="B43" s="30" t="s">
        <v>106</v>
      </c>
      <c r="C43" s="30"/>
      <c r="D43" s="30"/>
      <c r="E43" s="31"/>
      <c r="F43" s="32">
        <f>SUM(F6:F42)</f>
        <v>63956.17</v>
      </c>
      <c r="G43" s="32">
        <f>SUM(G6:G42)</f>
        <v>64.27</v>
      </c>
      <c r="H43" s="48"/>
      <c r="I43" s="14"/>
      <c r="J43" s="14"/>
    </row>
    <row r="44" spans="2:10">
      <c r="B44" s="49" t="s">
        <v>107</v>
      </c>
      <c r="C44" s="49"/>
      <c r="D44" s="49"/>
      <c r="E44" s="50"/>
      <c r="F44" s="51">
        <f>F43</f>
        <v>63956.17</v>
      </c>
      <c r="G44" s="51">
        <f>G43</f>
        <v>64.27</v>
      </c>
      <c r="H44" s="51"/>
      <c r="I44" s="14"/>
      <c r="J44" s="14"/>
    </row>
    <row r="45" spans="2:10">
      <c r="B45" s="47" t="s">
        <v>425</v>
      </c>
      <c r="C45" s="23"/>
      <c r="D45" s="23"/>
      <c r="E45" s="24"/>
      <c r="F45" s="25"/>
      <c r="G45" s="25"/>
      <c r="H45" s="25"/>
    </row>
    <row r="46" spans="2:10">
      <c r="B46" s="47" t="s">
        <v>462</v>
      </c>
      <c r="C46" s="23"/>
      <c r="D46" s="23"/>
      <c r="E46" s="24"/>
      <c r="F46" s="25"/>
      <c r="G46" s="25"/>
      <c r="H46" s="25"/>
    </row>
    <row r="47" spans="2:10">
      <c r="B47" s="23" t="s">
        <v>676</v>
      </c>
      <c r="C47" s="23" t="s">
        <v>677</v>
      </c>
      <c r="D47" s="23" t="s">
        <v>465</v>
      </c>
      <c r="E47" s="28">
        <v>5000000</v>
      </c>
      <c r="F47" s="25">
        <v>4949.29</v>
      </c>
      <c r="G47" s="25">
        <v>4.97</v>
      </c>
      <c r="H47" s="25">
        <v>3.31</v>
      </c>
    </row>
    <row r="48" spans="2:10">
      <c r="B48" s="23" t="s">
        <v>601</v>
      </c>
      <c r="C48" s="23" t="s">
        <v>602</v>
      </c>
      <c r="D48" s="23" t="s">
        <v>465</v>
      </c>
      <c r="E48" s="28">
        <v>3800000</v>
      </c>
      <c r="F48" s="25">
        <v>3785.73</v>
      </c>
      <c r="G48" s="25">
        <v>3.8</v>
      </c>
      <c r="H48" s="25">
        <v>3.2</v>
      </c>
    </row>
    <row r="49" spans="2:10">
      <c r="B49" s="23" t="s">
        <v>597</v>
      </c>
      <c r="C49" s="23" t="s">
        <v>598</v>
      </c>
      <c r="D49" s="23" t="s">
        <v>465</v>
      </c>
      <c r="E49" s="28">
        <v>2500000</v>
      </c>
      <c r="F49" s="25">
        <v>2496.77</v>
      </c>
      <c r="G49" s="25">
        <v>2.5099999999999998</v>
      </c>
      <c r="H49" s="25">
        <v>3.15</v>
      </c>
    </row>
    <row r="50" spans="2:10">
      <c r="B50" s="30" t="s">
        <v>106</v>
      </c>
      <c r="C50" s="30"/>
      <c r="D50" s="30"/>
      <c r="E50" s="31"/>
      <c r="F50" s="32">
        <f>SUM(F46:F49)</f>
        <v>11231.79</v>
      </c>
      <c r="G50" s="32">
        <f>SUM(G46:G49)</f>
        <v>11.28</v>
      </c>
      <c r="H50" s="48"/>
      <c r="I50" s="14"/>
      <c r="J50" s="14"/>
    </row>
    <row r="51" spans="2:10">
      <c r="B51" s="49" t="s">
        <v>107</v>
      </c>
      <c r="C51" s="49"/>
      <c r="D51" s="49"/>
      <c r="E51" s="50"/>
      <c r="F51" s="51">
        <f>+F50</f>
        <v>11231.79</v>
      </c>
      <c r="G51" s="51">
        <f>+G50</f>
        <v>11.28</v>
      </c>
      <c r="H51" s="51"/>
      <c r="I51" s="14"/>
      <c r="J51" s="14"/>
    </row>
    <row r="52" spans="2:10">
      <c r="B52" s="47" t="s">
        <v>429</v>
      </c>
      <c r="C52" s="23"/>
      <c r="D52" s="23"/>
      <c r="E52" s="24"/>
      <c r="F52" s="25"/>
      <c r="G52" s="25"/>
      <c r="H52" s="25"/>
    </row>
    <row r="53" spans="2:10">
      <c r="B53" s="23" t="s">
        <v>433</v>
      </c>
      <c r="C53" s="23" t="s">
        <v>434</v>
      </c>
      <c r="D53" s="23" t="s">
        <v>432</v>
      </c>
      <c r="E53" s="28">
        <v>4500000</v>
      </c>
      <c r="F53" s="25">
        <v>4510.3500000000004</v>
      </c>
      <c r="G53" s="25">
        <v>4.53</v>
      </c>
      <c r="H53" s="25">
        <v>4.37</v>
      </c>
    </row>
    <row r="54" spans="2:10">
      <c r="B54" s="23" t="s">
        <v>678</v>
      </c>
      <c r="C54" s="23" t="s">
        <v>679</v>
      </c>
      <c r="D54" s="23" t="s">
        <v>432</v>
      </c>
      <c r="E54" s="28">
        <v>4000000</v>
      </c>
      <c r="F54" s="25">
        <v>3968.66</v>
      </c>
      <c r="G54" s="25">
        <v>3.99</v>
      </c>
      <c r="H54" s="25">
        <v>5.36</v>
      </c>
    </row>
    <row r="55" spans="2:10">
      <c r="B55" s="23" t="s">
        <v>680</v>
      </c>
      <c r="C55" s="23" t="s">
        <v>681</v>
      </c>
      <c r="D55" s="23" t="s">
        <v>432</v>
      </c>
      <c r="E55" s="28">
        <v>2000000</v>
      </c>
      <c r="F55" s="25">
        <v>2138.6</v>
      </c>
      <c r="G55" s="25">
        <v>2.15</v>
      </c>
      <c r="H55" s="25">
        <v>4.68</v>
      </c>
    </row>
    <row r="56" spans="2:10">
      <c r="B56" s="23" t="s">
        <v>682</v>
      </c>
      <c r="C56" s="23" t="s">
        <v>683</v>
      </c>
      <c r="D56" s="23" t="s">
        <v>432</v>
      </c>
      <c r="E56" s="28">
        <v>2000000</v>
      </c>
      <c r="F56" s="25">
        <v>2129.9499999999998</v>
      </c>
      <c r="G56" s="25">
        <v>2.14</v>
      </c>
      <c r="H56" s="25">
        <v>4.4400000000000004</v>
      </c>
    </row>
    <row r="57" spans="2:10">
      <c r="B57" s="23" t="s">
        <v>684</v>
      </c>
      <c r="C57" s="23" t="s">
        <v>685</v>
      </c>
      <c r="D57" s="23" t="s">
        <v>432</v>
      </c>
      <c r="E57" s="28">
        <v>2000000</v>
      </c>
      <c r="F57" s="25">
        <v>2036.42</v>
      </c>
      <c r="G57" s="25">
        <v>2.0499999999999998</v>
      </c>
      <c r="H57" s="25">
        <v>3.6</v>
      </c>
    </row>
    <row r="58" spans="2:10">
      <c r="B58" s="23" t="s">
        <v>686</v>
      </c>
      <c r="C58" s="23" t="s">
        <v>687</v>
      </c>
      <c r="D58" s="23" t="s">
        <v>432</v>
      </c>
      <c r="E58" s="28">
        <v>1000000</v>
      </c>
      <c r="F58" s="25">
        <v>1063.3399999999999</v>
      </c>
      <c r="G58" s="25">
        <v>1.07</v>
      </c>
      <c r="H58" s="25">
        <v>4.26</v>
      </c>
    </row>
    <row r="59" spans="2:10">
      <c r="B59" s="23" t="s">
        <v>445</v>
      </c>
      <c r="C59" s="23" t="s">
        <v>446</v>
      </c>
      <c r="D59" s="23" t="s">
        <v>432</v>
      </c>
      <c r="E59" s="28">
        <v>600000</v>
      </c>
      <c r="F59" s="25">
        <v>612.52</v>
      </c>
      <c r="G59" s="25">
        <v>0.62</v>
      </c>
      <c r="H59" s="25">
        <v>3.54</v>
      </c>
    </row>
    <row r="60" spans="2:10">
      <c r="B60" s="23" t="s">
        <v>688</v>
      </c>
      <c r="C60" s="23" t="s">
        <v>689</v>
      </c>
      <c r="D60" s="23" t="s">
        <v>432</v>
      </c>
      <c r="E60" s="28">
        <v>500000</v>
      </c>
      <c r="F60" s="25">
        <v>521.22</v>
      </c>
      <c r="G60" s="25">
        <v>0.52</v>
      </c>
      <c r="H60" s="25">
        <v>3.89</v>
      </c>
    </row>
    <row r="61" spans="2:10">
      <c r="B61" s="23" t="s">
        <v>690</v>
      </c>
      <c r="C61" s="23" t="s">
        <v>691</v>
      </c>
      <c r="D61" s="23" t="s">
        <v>432</v>
      </c>
      <c r="E61" s="28">
        <v>500000</v>
      </c>
      <c r="F61" s="25">
        <v>521.16999999999996</v>
      </c>
      <c r="G61" s="25">
        <v>0.52</v>
      </c>
      <c r="H61" s="25">
        <v>3.89</v>
      </c>
    </row>
    <row r="62" spans="2:10">
      <c r="B62" s="23" t="s">
        <v>692</v>
      </c>
      <c r="C62" s="23" t="s">
        <v>693</v>
      </c>
      <c r="D62" s="23" t="s">
        <v>432</v>
      </c>
      <c r="E62" s="28">
        <v>500000</v>
      </c>
      <c r="F62" s="25">
        <v>516.83000000000004</v>
      </c>
      <c r="G62" s="25">
        <v>0.52</v>
      </c>
      <c r="H62" s="25">
        <v>4</v>
      </c>
    </row>
    <row r="63" spans="2:10">
      <c r="B63" s="23" t="s">
        <v>574</v>
      </c>
      <c r="C63" s="23" t="s">
        <v>575</v>
      </c>
      <c r="D63" s="23" t="s">
        <v>432</v>
      </c>
      <c r="E63" s="28">
        <v>500000</v>
      </c>
      <c r="F63" s="25">
        <v>513.66</v>
      </c>
      <c r="G63" s="25">
        <v>0.52</v>
      </c>
      <c r="H63" s="25">
        <v>3.69</v>
      </c>
    </row>
    <row r="64" spans="2:10">
      <c r="B64" s="23" t="s">
        <v>694</v>
      </c>
      <c r="C64" s="23" t="s">
        <v>695</v>
      </c>
      <c r="D64" s="23" t="s">
        <v>432</v>
      </c>
      <c r="E64" s="28">
        <v>500000</v>
      </c>
      <c r="F64" s="25">
        <v>512.86</v>
      </c>
      <c r="G64" s="25">
        <v>0.52</v>
      </c>
      <c r="H64" s="25">
        <v>3.69</v>
      </c>
    </row>
    <row r="65" spans="2:10">
      <c r="B65" s="23" t="s">
        <v>696</v>
      </c>
      <c r="C65" s="23" t="s">
        <v>697</v>
      </c>
      <c r="D65" s="23" t="s">
        <v>432</v>
      </c>
      <c r="E65" s="28">
        <v>400000</v>
      </c>
      <c r="F65" s="25">
        <v>414.99</v>
      </c>
      <c r="G65" s="25">
        <v>0.42</v>
      </c>
      <c r="H65" s="25">
        <v>3.85</v>
      </c>
    </row>
    <row r="66" spans="2:10">
      <c r="B66" s="52" t="s">
        <v>698</v>
      </c>
      <c r="C66" s="52" t="s">
        <v>699</v>
      </c>
      <c r="D66" s="52" t="s">
        <v>432</v>
      </c>
      <c r="E66" s="53">
        <v>28300</v>
      </c>
      <c r="F66" s="54">
        <v>30.45</v>
      </c>
      <c r="G66" s="54">
        <v>0.03</v>
      </c>
      <c r="H66" s="54">
        <v>6.22</v>
      </c>
    </row>
    <row r="67" spans="2:10">
      <c r="B67" s="55" t="s">
        <v>107</v>
      </c>
      <c r="C67" s="55"/>
      <c r="D67" s="55"/>
      <c r="E67" s="56"/>
      <c r="F67" s="57">
        <f>SUM(F53:F66)</f>
        <v>19491.020000000004</v>
      </c>
      <c r="G67" s="57">
        <f>SUM(G53:G66)</f>
        <v>19.600000000000001</v>
      </c>
      <c r="H67" s="57"/>
      <c r="I67" s="14"/>
      <c r="J67" s="14"/>
    </row>
    <row r="68" spans="2:10">
      <c r="B68" s="47" t="s">
        <v>108</v>
      </c>
      <c r="C68" s="23"/>
      <c r="D68" s="23"/>
      <c r="E68" s="24"/>
      <c r="F68" s="25"/>
      <c r="G68" s="25"/>
      <c r="H68" s="25"/>
    </row>
    <row r="69" spans="2:10">
      <c r="B69" s="23" t="s">
        <v>108</v>
      </c>
      <c r="C69" s="23"/>
      <c r="D69" s="23"/>
      <c r="E69" s="24"/>
      <c r="F69" s="25">
        <v>2299.64</v>
      </c>
      <c r="G69" s="25">
        <v>2.31</v>
      </c>
      <c r="H69" s="25"/>
    </row>
    <row r="70" spans="2:10">
      <c r="B70" s="30" t="s">
        <v>106</v>
      </c>
      <c r="C70" s="30"/>
      <c r="D70" s="30"/>
      <c r="E70" s="31"/>
      <c r="F70" s="32">
        <f>SUM(F68:F69)</f>
        <v>2299.64</v>
      </c>
      <c r="G70" s="32">
        <f>SUM(G68:G69)</f>
        <v>2.31</v>
      </c>
      <c r="H70" s="48"/>
      <c r="I70" s="14"/>
      <c r="J70" s="14"/>
    </row>
    <row r="71" spans="2:10">
      <c r="B71" s="34" t="s">
        <v>107</v>
      </c>
      <c r="C71" s="34"/>
      <c r="D71" s="34"/>
      <c r="E71" s="35"/>
      <c r="F71" s="36">
        <f>F70</f>
        <v>2299.64</v>
      </c>
      <c r="G71" s="36">
        <f>G70</f>
        <v>2.31</v>
      </c>
      <c r="H71" s="36"/>
      <c r="I71" s="14"/>
      <c r="J71" s="14"/>
    </row>
    <row r="72" spans="2:10">
      <c r="B72" s="44" t="s">
        <v>110</v>
      </c>
      <c r="C72" s="44"/>
      <c r="D72" s="44"/>
      <c r="E72" s="45"/>
      <c r="F72" s="16">
        <f>F73-(+F44+F51+F67+F71)</f>
        <v>2521.3400000000111</v>
      </c>
      <c r="G72" s="16">
        <f>G73-(+G44+G51+G67+G71)</f>
        <v>2.539999999999992</v>
      </c>
      <c r="H72" s="16"/>
      <c r="I72" s="14"/>
      <c r="J72" s="14"/>
    </row>
    <row r="73" spans="2:10">
      <c r="B73" s="44" t="s">
        <v>109</v>
      </c>
      <c r="C73" s="44"/>
      <c r="D73" s="44"/>
      <c r="E73" s="45"/>
      <c r="F73" s="16">
        <v>99499.96</v>
      </c>
      <c r="G73" s="16">
        <v>100</v>
      </c>
      <c r="H73" s="16"/>
      <c r="I73" s="14"/>
      <c r="J73" s="14"/>
    </row>
    <row r="75" spans="2:10">
      <c r="B75" s="14" t="s">
        <v>738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2"/>
  <sheetViews>
    <sheetView workbookViewId="0"/>
  </sheetViews>
  <sheetFormatPr defaultRowHeight="1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27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365</v>
      </c>
      <c r="C5" s="18"/>
      <c r="D5" s="18"/>
      <c r="E5" s="19"/>
      <c r="F5" s="20"/>
      <c r="G5" s="20"/>
      <c r="H5" s="20"/>
    </row>
    <row r="6" spans="2:8">
      <c r="B6" s="47" t="s">
        <v>31</v>
      </c>
      <c r="C6" s="23"/>
      <c r="D6" s="23"/>
      <c r="E6" s="24"/>
      <c r="F6" s="25"/>
      <c r="G6" s="25"/>
      <c r="H6" s="25"/>
    </row>
    <row r="7" spans="2:8">
      <c r="B7" s="23" t="s">
        <v>398</v>
      </c>
      <c r="C7" s="23" t="s">
        <v>399</v>
      </c>
      <c r="D7" s="23" t="s">
        <v>371</v>
      </c>
      <c r="E7" s="28">
        <v>150</v>
      </c>
      <c r="F7" s="25">
        <v>1599.06</v>
      </c>
      <c r="G7" s="25">
        <v>5.55</v>
      </c>
      <c r="H7" s="25">
        <v>5.04</v>
      </c>
    </row>
    <row r="8" spans="2:8">
      <c r="B8" s="23" t="s">
        <v>656</v>
      </c>
      <c r="C8" s="23" t="s">
        <v>657</v>
      </c>
      <c r="D8" s="23" t="s">
        <v>371</v>
      </c>
      <c r="E8" s="28">
        <v>150</v>
      </c>
      <c r="F8" s="25">
        <v>1590.81</v>
      </c>
      <c r="G8" s="25">
        <v>5.52</v>
      </c>
      <c r="H8" s="25">
        <v>5</v>
      </c>
    </row>
    <row r="9" spans="2:8">
      <c r="B9" s="23" t="s">
        <v>410</v>
      </c>
      <c r="C9" s="23" t="s">
        <v>411</v>
      </c>
      <c r="D9" s="23" t="s">
        <v>371</v>
      </c>
      <c r="E9" s="28">
        <v>150</v>
      </c>
      <c r="F9" s="25">
        <v>1550.88</v>
      </c>
      <c r="G9" s="25">
        <v>5.38</v>
      </c>
      <c r="H9" s="25">
        <v>4.29</v>
      </c>
    </row>
    <row r="10" spans="2:8">
      <c r="B10" s="23" t="s">
        <v>376</v>
      </c>
      <c r="C10" s="23" t="s">
        <v>377</v>
      </c>
      <c r="D10" s="23" t="s">
        <v>371</v>
      </c>
      <c r="E10" s="28">
        <v>150</v>
      </c>
      <c r="F10" s="25">
        <v>1543.66</v>
      </c>
      <c r="G10" s="25">
        <v>5.36</v>
      </c>
      <c r="H10" s="25">
        <v>3.97</v>
      </c>
    </row>
    <row r="11" spans="2:8">
      <c r="B11" s="23" t="s">
        <v>630</v>
      </c>
      <c r="C11" s="23" t="s">
        <v>631</v>
      </c>
      <c r="D11" s="23" t="s">
        <v>371</v>
      </c>
      <c r="E11" s="28">
        <v>150</v>
      </c>
      <c r="F11" s="25">
        <v>1517.76</v>
      </c>
      <c r="G11" s="25">
        <v>5.27</v>
      </c>
      <c r="H11" s="25">
        <v>4.05</v>
      </c>
    </row>
    <row r="12" spans="2:8">
      <c r="B12" s="23" t="s">
        <v>700</v>
      </c>
      <c r="C12" s="23" t="s">
        <v>701</v>
      </c>
      <c r="D12" s="23" t="s">
        <v>371</v>
      </c>
      <c r="E12" s="28">
        <v>150</v>
      </c>
      <c r="F12" s="25">
        <v>1510.59</v>
      </c>
      <c r="G12" s="25">
        <v>5.24</v>
      </c>
      <c r="H12" s="25">
        <v>3.27</v>
      </c>
    </row>
    <row r="13" spans="2:8">
      <c r="B13" s="23" t="s">
        <v>518</v>
      </c>
      <c r="C13" s="23" t="s">
        <v>519</v>
      </c>
      <c r="D13" s="23" t="s">
        <v>414</v>
      </c>
      <c r="E13" s="28">
        <v>150</v>
      </c>
      <c r="F13" s="25">
        <v>1501.92</v>
      </c>
      <c r="G13" s="25">
        <v>5.21</v>
      </c>
      <c r="H13" s="25">
        <v>4.51</v>
      </c>
    </row>
    <row r="14" spans="2:8">
      <c r="B14" s="23" t="s">
        <v>702</v>
      </c>
      <c r="C14" s="23" t="s">
        <v>703</v>
      </c>
      <c r="D14" s="23" t="s">
        <v>371</v>
      </c>
      <c r="E14" s="28">
        <v>100</v>
      </c>
      <c r="F14" s="25">
        <v>1063.02</v>
      </c>
      <c r="G14" s="25">
        <v>3.69</v>
      </c>
      <c r="H14" s="25">
        <v>4.3099999999999996</v>
      </c>
    </row>
    <row r="15" spans="2:8">
      <c r="B15" s="23" t="s">
        <v>570</v>
      </c>
      <c r="C15" s="23" t="s">
        <v>571</v>
      </c>
      <c r="D15" s="23" t="s">
        <v>371</v>
      </c>
      <c r="E15" s="28">
        <v>100</v>
      </c>
      <c r="F15" s="25">
        <v>1053.8599999999999</v>
      </c>
      <c r="G15" s="25">
        <v>3.66</v>
      </c>
      <c r="H15" s="25">
        <v>5.41</v>
      </c>
    </row>
    <row r="16" spans="2:8">
      <c r="B16" s="23" t="s">
        <v>704</v>
      </c>
      <c r="C16" s="23" t="s">
        <v>705</v>
      </c>
      <c r="D16" s="23" t="s">
        <v>371</v>
      </c>
      <c r="E16" s="28">
        <v>100</v>
      </c>
      <c r="F16" s="25">
        <v>1036.9000000000001</v>
      </c>
      <c r="G16" s="25">
        <v>3.6</v>
      </c>
      <c r="H16" s="25">
        <v>4.49</v>
      </c>
    </row>
    <row r="17" spans="2:10">
      <c r="B17" s="23" t="s">
        <v>706</v>
      </c>
      <c r="C17" s="23" t="s">
        <v>707</v>
      </c>
      <c r="D17" s="23" t="s">
        <v>371</v>
      </c>
      <c r="E17" s="28">
        <v>50</v>
      </c>
      <c r="F17" s="25">
        <v>545.87</v>
      </c>
      <c r="G17" s="25">
        <v>1.89</v>
      </c>
      <c r="H17" s="25">
        <v>4.4400000000000004</v>
      </c>
    </row>
    <row r="18" spans="2:10">
      <c r="B18" s="23" t="s">
        <v>392</v>
      </c>
      <c r="C18" s="23" t="s">
        <v>393</v>
      </c>
      <c r="D18" s="23" t="s">
        <v>371</v>
      </c>
      <c r="E18" s="28">
        <v>50</v>
      </c>
      <c r="F18" s="25">
        <v>535.65</v>
      </c>
      <c r="G18" s="25">
        <v>1.86</v>
      </c>
      <c r="H18" s="25">
        <v>5.23</v>
      </c>
    </row>
    <row r="19" spans="2:10">
      <c r="B19" s="23" t="s">
        <v>419</v>
      </c>
      <c r="C19" s="23" t="s">
        <v>420</v>
      </c>
      <c r="D19" s="23" t="s">
        <v>371</v>
      </c>
      <c r="E19" s="28">
        <v>50</v>
      </c>
      <c r="F19" s="25">
        <v>530.30999999999995</v>
      </c>
      <c r="G19" s="25">
        <v>1.84</v>
      </c>
      <c r="H19" s="25">
        <v>5.42</v>
      </c>
    </row>
    <row r="20" spans="2:10">
      <c r="B20" s="23" t="s">
        <v>708</v>
      </c>
      <c r="C20" s="23" t="s">
        <v>709</v>
      </c>
      <c r="D20" s="23" t="s">
        <v>371</v>
      </c>
      <c r="E20" s="28">
        <v>50</v>
      </c>
      <c r="F20" s="25">
        <v>529</v>
      </c>
      <c r="G20" s="25">
        <v>1.84</v>
      </c>
      <c r="H20" s="25">
        <v>5.27</v>
      </c>
    </row>
    <row r="21" spans="2:10">
      <c r="B21" s="23" t="s">
        <v>668</v>
      </c>
      <c r="C21" s="23" t="s">
        <v>669</v>
      </c>
      <c r="D21" s="23" t="s">
        <v>371</v>
      </c>
      <c r="E21" s="28">
        <v>50</v>
      </c>
      <c r="F21" s="25">
        <v>527.91</v>
      </c>
      <c r="G21" s="25">
        <v>1.83</v>
      </c>
      <c r="H21" s="25">
        <v>4.32</v>
      </c>
    </row>
    <row r="22" spans="2:10">
      <c r="B22" s="23" t="s">
        <v>644</v>
      </c>
      <c r="C22" s="23" t="s">
        <v>645</v>
      </c>
      <c r="D22" s="23" t="s">
        <v>371</v>
      </c>
      <c r="E22" s="28">
        <v>50</v>
      </c>
      <c r="F22" s="25">
        <v>523.53</v>
      </c>
      <c r="G22" s="25">
        <v>1.82</v>
      </c>
      <c r="H22" s="25">
        <v>5.68</v>
      </c>
    </row>
    <row r="23" spans="2:10">
      <c r="B23" s="23" t="s">
        <v>380</v>
      </c>
      <c r="C23" s="23" t="s">
        <v>381</v>
      </c>
      <c r="D23" s="23" t="s">
        <v>371</v>
      </c>
      <c r="E23" s="28">
        <v>50</v>
      </c>
      <c r="F23" s="25">
        <v>516.76</v>
      </c>
      <c r="G23" s="25">
        <v>1.79</v>
      </c>
      <c r="H23" s="25">
        <v>4.2</v>
      </c>
    </row>
    <row r="24" spans="2:10">
      <c r="B24" s="23" t="s">
        <v>710</v>
      </c>
      <c r="C24" s="23" t="s">
        <v>711</v>
      </c>
      <c r="D24" s="23" t="s">
        <v>371</v>
      </c>
      <c r="E24" s="28">
        <v>50</v>
      </c>
      <c r="F24" s="25">
        <v>515.62</v>
      </c>
      <c r="G24" s="25">
        <v>1.79</v>
      </c>
      <c r="H24" s="25">
        <v>4.22</v>
      </c>
    </row>
    <row r="25" spans="2:10">
      <c r="B25" s="23" t="s">
        <v>369</v>
      </c>
      <c r="C25" s="23" t="s">
        <v>370</v>
      </c>
      <c r="D25" s="23" t="s">
        <v>371</v>
      </c>
      <c r="E25" s="28">
        <v>50</v>
      </c>
      <c r="F25" s="25">
        <v>515.32000000000005</v>
      </c>
      <c r="G25" s="25">
        <v>1.79</v>
      </c>
      <c r="H25" s="25">
        <v>4.22</v>
      </c>
    </row>
    <row r="26" spans="2:10">
      <c r="B26" s="23" t="s">
        <v>532</v>
      </c>
      <c r="C26" s="23" t="s">
        <v>533</v>
      </c>
      <c r="D26" s="23" t="s">
        <v>371</v>
      </c>
      <c r="E26" s="28">
        <v>50</v>
      </c>
      <c r="F26" s="25">
        <v>513.54999999999995</v>
      </c>
      <c r="G26" s="25">
        <v>1.78</v>
      </c>
      <c r="H26" s="25">
        <v>3.75</v>
      </c>
    </row>
    <row r="27" spans="2:10">
      <c r="B27" s="23" t="s">
        <v>712</v>
      </c>
      <c r="C27" s="23" t="s">
        <v>713</v>
      </c>
      <c r="D27" s="23" t="s">
        <v>371</v>
      </c>
      <c r="E27" s="28">
        <v>50</v>
      </c>
      <c r="F27" s="25">
        <v>512.01</v>
      </c>
      <c r="G27" s="25">
        <v>1.78</v>
      </c>
      <c r="H27" s="25">
        <v>4.0199999999999996</v>
      </c>
    </row>
    <row r="28" spans="2:10">
      <c r="B28" s="23" t="s">
        <v>642</v>
      </c>
      <c r="C28" s="23" t="s">
        <v>643</v>
      </c>
      <c r="D28" s="23" t="s">
        <v>371</v>
      </c>
      <c r="E28" s="28">
        <v>50</v>
      </c>
      <c r="F28" s="25">
        <v>507.61</v>
      </c>
      <c r="G28" s="25">
        <v>1.76</v>
      </c>
      <c r="H28" s="25">
        <v>4.51</v>
      </c>
    </row>
    <row r="29" spans="2:10">
      <c r="B29" s="23" t="s">
        <v>516</v>
      </c>
      <c r="C29" s="23" t="s">
        <v>517</v>
      </c>
      <c r="D29" s="23" t="s">
        <v>371</v>
      </c>
      <c r="E29" s="28">
        <v>50</v>
      </c>
      <c r="F29" s="25">
        <v>503.94</v>
      </c>
      <c r="G29" s="25">
        <v>1.75</v>
      </c>
      <c r="H29" s="25">
        <v>3.43</v>
      </c>
    </row>
    <row r="30" spans="2:10">
      <c r="B30" s="23" t="s">
        <v>714</v>
      </c>
      <c r="C30" s="23" t="s">
        <v>715</v>
      </c>
      <c r="D30" s="23" t="s">
        <v>371</v>
      </c>
      <c r="E30" s="28">
        <v>50</v>
      </c>
      <c r="F30" s="25">
        <v>500.43</v>
      </c>
      <c r="G30" s="25">
        <v>1.74</v>
      </c>
      <c r="H30" s="25">
        <v>5.05</v>
      </c>
    </row>
    <row r="31" spans="2:10">
      <c r="B31" s="23" t="s">
        <v>716</v>
      </c>
      <c r="C31" s="23" t="s">
        <v>717</v>
      </c>
      <c r="D31" s="23" t="s">
        <v>414</v>
      </c>
      <c r="E31" s="28">
        <v>20</v>
      </c>
      <c r="F31" s="25">
        <v>260.68</v>
      </c>
      <c r="G31" s="25">
        <v>0.9</v>
      </c>
      <c r="H31" s="25">
        <v>3.54</v>
      </c>
    </row>
    <row r="32" spans="2:10">
      <c r="B32" s="30" t="s">
        <v>106</v>
      </c>
      <c r="C32" s="30"/>
      <c r="D32" s="30"/>
      <c r="E32" s="31"/>
      <c r="F32" s="32">
        <f>SUM(F6:F31)</f>
        <v>21506.649999999994</v>
      </c>
      <c r="G32" s="32">
        <f>SUM(G6:G31)</f>
        <v>74.640000000000015</v>
      </c>
      <c r="H32" s="48"/>
      <c r="I32" s="14"/>
      <c r="J32" s="14"/>
    </row>
    <row r="33" spans="2:10">
      <c r="B33" s="49" t="s">
        <v>107</v>
      </c>
      <c r="C33" s="49"/>
      <c r="D33" s="49"/>
      <c r="E33" s="50"/>
      <c r="F33" s="51">
        <f>F32</f>
        <v>21506.649999999994</v>
      </c>
      <c r="G33" s="51">
        <f>G32</f>
        <v>74.640000000000015</v>
      </c>
      <c r="H33" s="51"/>
      <c r="I33" s="14"/>
      <c r="J33" s="14"/>
    </row>
    <row r="34" spans="2:10">
      <c r="B34" s="47" t="s">
        <v>429</v>
      </c>
      <c r="C34" s="23"/>
      <c r="D34" s="23"/>
      <c r="E34" s="24"/>
      <c r="F34" s="25"/>
      <c r="G34" s="25"/>
      <c r="H34" s="25"/>
    </row>
    <row r="35" spans="2:10">
      <c r="B35" s="23" t="s">
        <v>437</v>
      </c>
      <c r="C35" s="23" t="s">
        <v>438</v>
      </c>
      <c r="D35" s="23" t="s">
        <v>432</v>
      </c>
      <c r="E35" s="28">
        <v>1500000</v>
      </c>
      <c r="F35" s="25">
        <v>1497.51</v>
      </c>
      <c r="G35" s="25">
        <v>5.2</v>
      </c>
      <c r="H35" s="25">
        <v>5.27</v>
      </c>
    </row>
    <row r="36" spans="2:10">
      <c r="B36" s="23" t="s">
        <v>718</v>
      </c>
      <c r="C36" s="23" t="s">
        <v>719</v>
      </c>
      <c r="D36" s="23" t="s">
        <v>432</v>
      </c>
      <c r="E36" s="28">
        <v>500000</v>
      </c>
      <c r="F36" s="25">
        <v>526.35</v>
      </c>
      <c r="G36" s="25">
        <v>1.83</v>
      </c>
      <c r="H36" s="25">
        <v>4.01</v>
      </c>
    </row>
    <row r="37" spans="2:10">
      <c r="B37" s="23" t="s">
        <v>500</v>
      </c>
      <c r="C37" s="23" t="s">
        <v>501</v>
      </c>
      <c r="D37" s="23" t="s">
        <v>432</v>
      </c>
      <c r="E37" s="28">
        <v>500000</v>
      </c>
      <c r="F37" s="25">
        <v>520.5</v>
      </c>
      <c r="G37" s="25">
        <v>1.81</v>
      </c>
      <c r="H37" s="25">
        <v>6.34</v>
      </c>
    </row>
    <row r="38" spans="2:10">
      <c r="B38" s="23" t="s">
        <v>720</v>
      </c>
      <c r="C38" s="23" t="s">
        <v>721</v>
      </c>
      <c r="D38" s="23" t="s">
        <v>432</v>
      </c>
      <c r="E38" s="28">
        <v>500000</v>
      </c>
      <c r="F38" s="25">
        <v>509.08</v>
      </c>
      <c r="G38" s="25">
        <v>1.77</v>
      </c>
      <c r="H38" s="25">
        <v>3.59</v>
      </c>
    </row>
    <row r="39" spans="2:10">
      <c r="B39" s="23" t="s">
        <v>722</v>
      </c>
      <c r="C39" s="23" t="s">
        <v>723</v>
      </c>
      <c r="D39" s="23" t="s">
        <v>432</v>
      </c>
      <c r="E39" s="28">
        <v>500000</v>
      </c>
      <c r="F39" s="25">
        <v>506.55</v>
      </c>
      <c r="G39" s="25">
        <v>1.76</v>
      </c>
      <c r="H39" s="25">
        <v>3.38</v>
      </c>
    </row>
    <row r="40" spans="2:10">
      <c r="B40" s="23" t="s">
        <v>447</v>
      </c>
      <c r="C40" s="23" t="s">
        <v>448</v>
      </c>
      <c r="D40" s="23" t="s">
        <v>432</v>
      </c>
      <c r="E40" s="28">
        <v>500000</v>
      </c>
      <c r="F40" s="25">
        <v>504.53</v>
      </c>
      <c r="G40" s="25">
        <v>1.75</v>
      </c>
      <c r="H40" s="25">
        <v>3.59</v>
      </c>
    </row>
    <row r="41" spans="2:10">
      <c r="B41" s="23" t="s">
        <v>492</v>
      </c>
      <c r="C41" s="23" t="s">
        <v>493</v>
      </c>
      <c r="D41" s="23" t="s">
        <v>432</v>
      </c>
      <c r="E41" s="28">
        <v>500000</v>
      </c>
      <c r="F41" s="25">
        <v>499.56</v>
      </c>
      <c r="G41" s="25">
        <v>1.73</v>
      </c>
      <c r="H41" s="25">
        <v>5.65</v>
      </c>
    </row>
    <row r="42" spans="2:10">
      <c r="B42" s="23" t="s">
        <v>470</v>
      </c>
      <c r="C42" s="23" t="s">
        <v>471</v>
      </c>
      <c r="D42" s="23" t="s">
        <v>432</v>
      </c>
      <c r="E42" s="28">
        <v>300000</v>
      </c>
      <c r="F42" s="25">
        <v>316.95999999999998</v>
      </c>
      <c r="G42" s="25">
        <v>1.1000000000000001</v>
      </c>
      <c r="H42" s="25">
        <v>6.05</v>
      </c>
    </row>
    <row r="43" spans="2:10">
      <c r="B43" s="52" t="s">
        <v>692</v>
      </c>
      <c r="C43" s="52" t="s">
        <v>693</v>
      </c>
      <c r="D43" s="52" t="s">
        <v>432</v>
      </c>
      <c r="E43" s="53">
        <v>48000</v>
      </c>
      <c r="F43" s="54">
        <v>49.62</v>
      </c>
      <c r="G43" s="54">
        <v>0.17</v>
      </c>
      <c r="H43" s="54">
        <v>4</v>
      </c>
    </row>
    <row r="44" spans="2:10">
      <c r="B44" s="55" t="s">
        <v>107</v>
      </c>
      <c r="C44" s="55"/>
      <c r="D44" s="55"/>
      <c r="E44" s="56"/>
      <c r="F44" s="57">
        <f>SUM(F35:F43)</f>
        <v>4930.6600000000008</v>
      </c>
      <c r="G44" s="57">
        <f>SUM(G35:G43)</f>
        <v>17.12</v>
      </c>
      <c r="H44" s="57"/>
      <c r="I44" s="14"/>
      <c r="J44" s="14"/>
    </row>
    <row r="45" spans="2:10">
      <c r="B45" s="47" t="s">
        <v>108</v>
      </c>
      <c r="C45" s="23"/>
      <c r="D45" s="23"/>
      <c r="E45" s="24"/>
      <c r="F45" s="25"/>
      <c r="G45" s="25"/>
      <c r="H45" s="25"/>
    </row>
    <row r="46" spans="2:10">
      <c r="B46" s="23" t="s">
        <v>108</v>
      </c>
      <c r="C46" s="23"/>
      <c r="D46" s="23"/>
      <c r="E46" s="24"/>
      <c r="F46" s="25">
        <v>1672.53</v>
      </c>
      <c r="G46" s="25">
        <v>5.8</v>
      </c>
      <c r="H46" s="25"/>
    </row>
    <row r="47" spans="2:10">
      <c r="B47" s="30" t="s">
        <v>106</v>
      </c>
      <c r="C47" s="30"/>
      <c r="D47" s="30"/>
      <c r="E47" s="31"/>
      <c r="F47" s="32">
        <f>SUM(F45:F46)</f>
        <v>1672.53</v>
      </c>
      <c r="G47" s="32">
        <f>SUM(G45:G46)</f>
        <v>5.8</v>
      </c>
      <c r="H47" s="48"/>
      <c r="I47" s="14"/>
      <c r="J47" s="14"/>
    </row>
    <row r="48" spans="2:10">
      <c r="B48" s="34" t="s">
        <v>107</v>
      </c>
      <c r="C48" s="34"/>
      <c r="D48" s="34"/>
      <c r="E48" s="35"/>
      <c r="F48" s="36">
        <f>F47</f>
        <v>1672.53</v>
      </c>
      <c r="G48" s="36">
        <f>G47</f>
        <v>5.8</v>
      </c>
      <c r="H48" s="36"/>
      <c r="I48" s="14"/>
      <c r="J48" s="14"/>
    </row>
    <row r="49" spans="2:10">
      <c r="B49" s="44" t="s">
        <v>110</v>
      </c>
      <c r="C49" s="44"/>
      <c r="D49" s="44"/>
      <c r="E49" s="45"/>
      <c r="F49" s="16">
        <f>F50-(+F33+F44+F48)</f>
        <v>708.04000000000815</v>
      </c>
      <c r="G49" s="16">
        <f>G50-(+G33+G44+G48)</f>
        <v>2.4399999999999835</v>
      </c>
      <c r="H49" s="16"/>
      <c r="I49" s="14"/>
      <c r="J49" s="14"/>
    </row>
    <row r="50" spans="2:10">
      <c r="B50" s="44" t="s">
        <v>109</v>
      </c>
      <c r="C50" s="44"/>
      <c r="D50" s="44"/>
      <c r="E50" s="45"/>
      <c r="F50" s="16">
        <v>28817.88</v>
      </c>
      <c r="G50" s="16">
        <v>100</v>
      </c>
      <c r="H50" s="16"/>
      <c r="I50" s="14"/>
      <c r="J50" s="14"/>
    </row>
    <row r="52" spans="2:10">
      <c r="B52" s="14" t="s">
        <v>738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workbookViewId="0"/>
  </sheetViews>
  <sheetFormatPr defaultRowHeight="12"/>
  <cols>
    <col min="1" max="1" width="9.140625" style="1"/>
    <col min="2" max="2" width="57.4257812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28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365</v>
      </c>
      <c r="C5" s="18"/>
      <c r="D5" s="18"/>
      <c r="E5" s="19"/>
      <c r="F5" s="20"/>
      <c r="G5" s="20"/>
      <c r="H5" s="20"/>
    </row>
    <row r="6" spans="2:10">
      <c r="B6" s="47" t="s">
        <v>31</v>
      </c>
      <c r="C6" s="23"/>
      <c r="D6" s="23"/>
      <c r="E6" s="24"/>
      <c r="F6" s="25"/>
      <c r="G6" s="25"/>
      <c r="H6" s="25"/>
    </row>
    <row r="7" spans="2:10">
      <c r="B7" s="23" t="s">
        <v>716</v>
      </c>
      <c r="C7" s="23" t="s">
        <v>717</v>
      </c>
      <c r="D7" s="23" t="s">
        <v>414</v>
      </c>
      <c r="E7" s="28">
        <v>30</v>
      </c>
      <c r="F7" s="25">
        <v>391.02</v>
      </c>
      <c r="G7" s="25">
        <v>10.3</v>
      </c>
      <c r="H7" s="25">
        <v>3.54</v>
      </c>
    </row>
    <row r="8" spans="2:10">
      <c r="B8" s="23" t="s">
        <v>415</v>
      </c>
      <c r="C8" s="23" t="s">
        <v>416</v>
      </c>
      <c r="D8" s="23" t="s">
        <v>371</v>
      </c>
      <c r="E8" s="28">
        <v>31</v>
      </c>
      <c r="F8" s="25">
        <v>310.51</v>
      </c>
      <c r="G8" s="25">
        <v>8.18</v>
      </c>
      <c r="H8" s="25">
        <v>3.44</v>
      </c>
    </row>
    <row r="9" spans="2:10">
      <c r="B9" s="23" t="s">
        <v>615</v>
      </c>
      <c r="C9" s="23" t="s">
        <v>616</v>
      </c>
      <c r="D9" s="23" t="s">
        <v>414</v>
      </c>
      <c r="E9" s="28">
        <v>30</v>
      </c>
      <c r="F9" s="25">
        <v>302.11</v>
      </c>
      <c r="G9" s="25">
        <v>7.96</v>
      </c>
      <c r="H9" s="25">
        <v>2.4500000000000002</v>
      </c>
    </row>
    <row r="10" spans="2:10">
      <c r="B10" s="23" t="s">
        <v>662</v>
      </c>
      <c r="C10" s="23" t="s">
        <v>663</v>
      </c>
      <c r="D10" s="23" t="s">
        <v>371</v>
      </c>
      <c r="E10" s="28">
        <v>30</v>
      </c>
      <c r="F10" s="25">
        <v>300.54000000000002</v>
      </c>
      <c r="G10" s="25">
        <v>7.92</v>
      </c>
      <c r="H10" s="25">
        <v>3.46</v>
      </c>
    </row>
    <row r="11" spans="2:10">
      <c r="B11" s="30" t="s">
        <v>106</v>
      </c>
      <c r="C11" s="30"/>
      <c r="D11" s="30"/>
      <c r="E11" s="31"/>
      <c r="F11" s="32">
        <f>SUM(F6:F10)</f>
        <v>1304.18</v>
      </c>
      <c r="G11" s="32">
        <f>SUM(G6:G10)</f>
        <v>34.36</v>
      </c>
      <c r="H11" s="48"/>
      <c r="I11" s="14"/>
      <c r="J11" s="14"/>
    </row>
    <row r="12" spans="2:10">
      <c r="B12" s="49" t="s">
        <v>107</v>
      </c>
      <c r="C12" s="49"/>
      <c r="D12" s="49"/>
      <c r="E12" s="50"/>
      <c r="F12" s="51">
        <f>F11</f>
        <v>1304.18</v>
      </c>
      <c r="G12" s="51">
        <f>G11</f>
        <v>34.36</v>
      </c>
      <c r="H12" s="51"/>
      <c r="I12" s="14"/>
      <c r="J12" s="14"/>
    </row>
    <row r="13" spans="2:10">
      <c r="B13" s="47" t="s">
        <v>425</v>
      </c>
      <c r="C13" s="23"/>
      <c r="D13" s="23"/>
      <c r="E13" s="24"/>
      <c r="F13" s="25"/>
      <c r="G13" s="25"/>
      <c r="H13" s="25"/>
    </row>
    <row r="14" spans="2:10">
      <c r="B14" s="47" t="s">
        <v>462</v>
      </c>
      <c r="C14" s="23"/>
      <c r="D14" s="23"/>
      <c r="E14" s="24"/>
      <c r="F14" s="25"/>
      <c r="G14" s="25"/>
      <c r="H14" s="25"/>
    </row>
    <row r="15" spans="2:10">
      <c r="B15" s="23" t="s">
        <v>601</v>
      </c>
      <c r="C15" s="23" t="s">
        <v>602</v>
      </c>
      <c r="D15" s="23" t="s">
        <v>465</v>
      </c>
      <c r="E15" s="28">
        <v>700000</v>
      </c>
      <c r="F15" s="25">
        <v>697.37</v>
      </c>
      <c r="G15" s="25">
        <v>18.37</v>
      </c>
      <c r="H15" s="25">
        <v>3.2</v>
      </c>
    </row>
    <row r="16" spans="2:10">
      <c r="B16" s="23" t="s">
        <v>572</v>
      </c>
      <c r="C16" s="23" t="s">
        <v>573</v>
      </c>
      <c r="D16" s="23" t="s">
        <v>465</v>
      </c>
      <c r="E16" s="28">
        <v>250000</v>
      </c>
      <c r="F16" s="25">
        <v>249.53</v>
      </c>
      <c r="G16" s="25">
        <v>6.57</v>
      </c>
      <c r="H16" s="25">
        <v>3.1</v>
      </c>
    </row>
    <row r="17" spans="2:10">
      <c r="B17" s="30" t="s">
        <v>106</v>
      </c>
      <c r="C17" s="30"/>
      <c r="D17" s="30"/>
      <c r="E17" s="31"/>
      <c r="F17" s="32">
        <f>SUM(F14:F16)</f>
        <v>946.9</v>
      </c>
      <c r="G17" s="32">
        <f>SUM(G14:G16)</f>
        <v>24.94</v>
      </c>
      <c r="H17" s="48"/>
      <c r="I17" s="14"/>
      <c r="J17" s="14"/>
    </row>
    <row r="18" spans="2:10">
      <c r="B18" s="49" t="s">
        <v>107</v>
      </c>
      <c r="C18" s="49"/>
      <c r="D18" s="49"/>
      <c r="E18" s="50"/>
      <c r="F18" s="51">
        <f>+F17</f>
        <v>946.9</v>
      </c>
      <c r="G18" s="51">
        <f>+G17</f>
        <v>24.94</v>
      </c>
      <c r="H18" s="51"/>
      <c r="I18" s="14"/>
      <c r="J18" s="14"/>
    </row>
    <row r="19" spans="2:10">
      <c r="B19" s="47" t="s">
        <v>429</v>
      </c>
      <c r="C19" s="23"/>
      <c r="D19" s="23"/>
      <c r="E19" s="24"/>
      <c r="F19" s="25"/>
      <c r="G19" s="25"/>
      <c r="H19" s="25"/>
    </row>
    <row r="20" spans="2:10">
      <c r="B20" s="23" t="s">
        <v>724</v>
      </c>
      <c r="C20" s="23" t="s">
        <v>725</v>
      </c>
      <c r="D20" s="23" t="s">
        <v>432</v>
      </c>
      <c r="E20" s="28">
        <v>300000</v>
      </c>
      <c r="F20" s="25">
        <v>300.88</v>
      </c>
      <c r="G20" s="25">
        <v>7.93</v>
      </c>
      <c r="H20" s="25">
        <v>3.36</v>
      </c>
    </row>
    <row r="21" spans="2:10">
      <c r="B21" s="52" t="s">
        <v>726</v>
      </c>
      <c r="C21" s="52" t="s">
        <v>727</v>
      </c>
      <c r="D21" s="52" t="s">
        <v>432</v>
      </c>
      <c r="E21" s="53">
        <v>33300</v>
      </c>
      <c r="F21" s="54">
        <v>33.33</v>
      </c>
      <c r="G21" s="54">
        <v>0.88</v>
      </c>
      <c r="H21" s="54">
        <v>3.85</v>
      </c>
    </row>
    <row r="22" spans="2:10">
      <c r="B22" s="55" t="s">
        <v>107</v>
      </c>
      <c r="C22" s="55"/>
      <c r="D22" s="55"/>
      <c r="E22" s="56"/>
      <c r="F22" s="57">
        <f>SUM(F20:F21)</f>
        <v>334.21</v>
      </c>
      <c r="G22" s="57">
        <f>SUM(G20:G21)</f>
        <v>8.81</v>
      </c>
      <c r="H22" s="57"/>
      <c r="I22" s="14"/>
      <c r="J22" s="14"/>
    </row>
    <row r="23" spans="2:10">
      <c r="B23" s="47" t="s">
        <v>108</v>
      </c>
      <c r="C23" s="23"/>
      <c r="D23" s="23"/>
      <c r="E23" s="24"/>
      <c r="F23" s="25"/>
      <c r="G23" s="25"/>
      <c r="H23" s="25"/>
    </row>
    <row r="24" spans="2:10">
      <c r="B24" s="23" t="s">
        <v>108</v>
      </c>
      <c r="C24" s="23"/>
      <c r="D24" s="23"/>
      <c r="E24" s="24"/>
      <c r="F24" s="25">
        <v>1058.93</v>
      </c>
      <c r="G24" s="25">
        <v>27.89</v>
      </c>
      <c r="H24" s="25"/>
    </row>
    <row r="25" spans="2:10">
      <c r="B25" s="30" t="s">
        <v>106</v>
      </c>
      <c r="C25" s="30"/>
      <c r="D25" s="30"/>
      <c r="E25" s="31"/>
      <c r="F25" s="32">
        <f>SUM(F23:F24)</f>
        <v>1058.93</v>
      </c>
      <c r="G25" s="32">
        <f>SUM(G23:G24)</f>
        <v>27.89</v>
      </c>
      <c r="H25" s="48"/>
      <c r="I25" s="14"/>
      <c r="J25" s="14"/>
    </row>
    <row r="26" spans="2:10">
      <c r="B26" s="34" t="s">
        <v>107</v>
      </c>
      <c r="C26" s="34"/>
      <c r="D26" s="34"/>
      <c r="E26" s="35"/>
      <c r="F26" s="36">
        <f>F25</f>
        <v>1058.93</v>
      </c>
      <c r="G26" s="36">
        <f>G25</f>
        <v>27.89</v>
      </c>
      <c r="H26" s="36"/>
      <c r="I26" s="14"/>
      <c r="J26" s="14"/>
    </row>
    <row r="27" spans="2:10">
      <c r="B27" s="44" t="s">
        <v>110</v>
      </c>
      <c r="C27" s="44"/>
      <c r="D27" s="44"/>
      <c r="E27" s="45"/>
      <c r="F27" s="16">
        <f>F28-(+F12+F18+F22+F26)</f>
        <v>151.74999999999955</v>
      </c>
      <c r="G27" s="16">
        <f>G28-(+G12+G18+G22+G26)</f>
        <v>4</v>
      </c>
      <c r="H27" s="16"/>
      <c r="I27" s="14"/>
      <c r="J27" s="14"/>
    </row>
    <row r="28" spans="2:10">
      <c r="B28" s="44" t="s">
        <v>109</v>
      </c>
      <c r="C28" s="44"/>
      <c r="D28" s="44"/>
      <c r="E28" s="45"/>
      <c r="F28" s="16">
        <v>3795.97</v>
      </c>
      <c r="G28" s="16">
        <v>100</v>
      </c>
      <c r="H28" s="16"/>
      <c r="I28" s="14"/>
      <c r="J28" s="14"/>
    </row>
    <row r="30" spans="2:10">
      <c r="B30" s="14" t="s">
        <v>738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4"/>
  <sheetViews>
    <sheetView workbookViewId="0">
      <selection activeCell="B1" sqref="B1:H1"/>
    </sheetView>
  </sheetViews>
  <sheetFormatPr defaultRowHeight="12"/>
  <cols>
    <col min="1" max="1" width="9.140625" style="1"/>
    <col min="2" max="2" width="60.28515625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29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30</v>
      </c>
      <c r="C5" s="18"/>
      <c r="D5" s="18"/>
      <c r="E5" s="19"/>
      <c r="F5" s="20"/>
      <c r="G5" s="20"/>
      <c r="H5" s="21"/>
    </row>
    <row r="6" spans="2:8">
      <c r="B6" s="22" t="s">
        <v>31</v>
      </c>
      <c r="C6" s="23"/>
      <c r="D6" s="23"/>
      <c r="E6" s="24"/>
      <c r="F6" s="25"/>
      <c r="G6" s="25"/>
      <c r="H6" s="26"/>
    </row>
    <row r="7" spans="2:8">
      <c r="B7" s="27" t="s">
        <v>38</v>
      </c>
      <c r="C7" s="23" t="s">
        <v>39</v>
      </c>
      <c r="D7" s="23" t="s">
        <v>40</v>
      </c>
      <c r="E7" s="28">
        <v>53500</v>
      </c>
      <c r="F7" s="25">
        <v>384.69</v>
      </c>
      <c r="G7" s="25">
        <v>1.77</v>
      </c>
      <c r="H7" s="26"/>
    </row>
    <row r="8" spans="2:8">
      <c r="B8" s="27" t="s">
        <v>111</v>
      </c>
      <c r="C8" s="23" t="s">
        <v>112</v>
      </c>
      <c r="D8" s="23" t="s">
        <v>40</v>
      </c>
      <c r="E8" s="28">
        <v>21240</v>
      </c>
      <c r="F8" s="25">
        <v>335.89</v>
      </c>
      <c r="G8" s="25">
        <v>1.55</v>
      </c>
      <c r="H8" s="26"/>
    </row>
    <row r="9" spans="2:8">
      <c r="B9" s="27" t="s">
        <v>113</v>
      </c>
      <c r="C9" s="23" t="s">
        <v>114</v>
      </c>
      <c r="D9" s="23" t="s">
        <v>115</v>
      </c>
      <c r="E9" s="28">
        <v>18000</v>
      </c>
      <c r="F9" s="25">
        <v>307.16000000000003</v>
      </c>
      <c r="G9" s="25">
        <v>1.42</v>
      </c>
      <c r="H9" s="26"/>
    </row>
    <row r="10" spans="2:8">
      <c r="B10" s="27" t="s">
        <v>118</v>
      </c>
      <c r="C10" s="23" t="s">
        <v>119</v>
      </c>
      <c r="D10" s="23" t="s">
        <v>89</v>
      </c>
      <c r="E10" s="28">
        <v>13500</v>
      </c>
      <c r="F10" s="25">
        <v>304.85000000000002</v>
      </c>
      <c r="G10" s="25">
        <v>1.41</v>
      </c>
      <c r="H10" s="26"/>
    </row>
    <row r="11" spans="2:8">
      <c r="B11" s="27" t="s">
        <v>116</v>
      </c>
      <c r="C11" s="23" t="s">
        <v>117</v>
      </c>
      <c r="D11" s="23" t="s">
        <v>115</v>
      </c>
      <c r="E11" s="28">
        <v>4928</v>
      </c>
      <c r="F11" s="25">
        <v>186.6</v>
      </c>
      <c r="G11" s="25">
        <v>0.86</v>
      </c>
      <c r="H11" s="26"/>
    </row>
    <row r="12" spans="2:8">
      <c r="B12" s="27" t="s">
        <v>125</v>
      </c>
      <c r="C12" s="23" t="s">
        <v>126</v>
      </c>
      <c r="D12" s="23" t="s">
        <v>40</v>
      </c>
      <c r="E12" s="28">
        <v>22330</v>
      </c>
      <c r="F12" s="25">
        <v>175.63</v>
      </c>
      <c r="G12" s="25">
        <v>0.81</v>
      </c>
      <c r="H12" s="26"/>
    </row>
    <row r="13" spans="2:8">
      <c r="B13" s="27" t="s">
        <v>127</v>
      </c>
      <c r="C13" s="23" t="s">
        <v>128</v>
      </c>
      <c r="D13" s="23" t="s">
        <v>129</v>
      </c>
      <c r="E13" s="28">
        <v>5730</v>
      </c>
      <c r="F13" s="25">
        <v>156.09</v>
      </c>
      <c r="G13" s="25">
        <v>0.72</v>
      </c>
      <c r="H13" s="26"/>
    </row>
    <row r="14" spans="2:8">
      <c r="B14" s="27" t="s">
        <v>161</v>
      </c>
      <c r="C14" s="23" t="s">
        <v>162</v>
      </c>
      <c r="D14" s="23" t="s">
        <v>129</v>
      </c>
      <c r="E14" s="28">
        <v>15000</v>
      </c>
      <c r="F14" s="25">
        <v>129.74</v>
      </c>
      <c r="G14" s="25">
        <v>0.6</v>
      </c>
      <c r="H14" s="26"/>
    </row>
    <row r="15" spans="2:8">
      <c r="B15" s="27" t="s">
        <v>123</v>
      </c>
      <c r="C15" s="23" t="s">
        <v>124</v>
      </c>
      <c r="D15" s="23" t="s">
        <v>122</v>
      </c>
      <c r="E15" s="28">
        <v>4400</v>
      </c>
      <c r="F15" s="25">
        <v>123.13</v>
      </c>
      <c r="G15" s="25">
        <v>0.56999999999999995</v>
      </c>
      <c r="H15" s="26"/>
    </row>
    <row r="16" spans="2:8">
      <c r="B16" s="27" t="s">
        <v>728</v>
      </c>
      <c r="C16" s="23" t="s">
        <v>729</v>
      </c>
      <c r="D16" s="23" t="s">
        <v>152</v>
      </c>
      <c r="E16" s="28">
        <v>3000</v>
      </c>
      <c r="F16" s="25">
        <v>116.36</v>
      </c>
      <c r="G16" s="25">
        <v>0.54</v>
      </c>
      <c r="H16" s="26"/>
    </row>
    <row r="17" spans="2:8">
      <c r="B17" s="27" t="s">
        <v>75</v>
      </c>
      <c r="C17" s="23" t="s">
        <v>76</v>
      </c>
      <c r="D17" s="23" t="s">
        <v>77</v>
      </c>
      <c r="E17" s="28">
        <v>15000</v>
      </c>
      <c r="F17" s="25">
        <v>108.42</v>
      </c>
      <c r="G17" s="25">
        <v>0.5</v>
      </c>
      <c r="H17" s="26"/>
    </row>
    <row r="18" spans="2:8">
      <c r="B18" s="27" t="s">
        <v>32</v>
      </c>
      <c r="C18" s="23" t="s">
        <v>33</v>
      </c>
      <c r="D18" s="23" t="s">
        <v>34</v>
      </c>
      <c r="E18" s="28">
        <v>6370</v>
      </c>
      <c r="F18" s="25">
        <v>106.52</v>
      </c>
      <c r="G18" s="25">
        <v>0.49</v>
      </c>
      <c r="H18" s="26"/>
    </row>
    <row r="19" spans="2:8">
      <c r="B19" s="27" t="s">
        <v>120</v>
      </c>
      <c r="C19" s="23" t="s">
        <v>121</v>
      </c>
      <c r="D19" s="23" t="s">
        <v>122</v>
      </c>
      <c r="E19" s="28">
        <v>1250</v>
      </c>
      <c r="F19" s="25">
        <v>94.06</v>
      </c>
      <c r="G19" s="25">
        <v>0.43</v>
      </c>
      <c r="H19" s="26"/>
    </row>
    <row r="20" spans="2:8">
      <c r="B20" s="27" t="s">
        <v>163</v>
      </c>
      <c r="C20" s="23" t="s">
        <v>164</v>
      </c>
      <c r="D20" s="23" t="s">
        <v>165</v>
      </c>
      <c r="E20" s="28">
        <v>9400</v>
      </c>
      <c r="F20" s="25">
        <v>93.61</v>
      </c>
      <c r="G20" s="25">
        <v>0.43</v>
      </c>
      <c r="H20" s="26"/>
    </row>
    <row r="21" spans="2:8">
      <c r="B21" s="27" t="s">
        <v>220</v>
      </c>
      <c r="C21" s="23" t="s">
        <v>221</v>
      </c>
      <c r="D21" s="23" t="s">
        <v>63</v>
      </c>
      <c r="E21" s="28">
        <v>300</v>
      </c>
      <c r="F21" s="25">
        <v>84.86</v>
      </c>
      <c r="G21" s="25">
        <v>0.39</v>
      </c>
      <c r="H21" s="26"/>
    </row>
    <row r="22" spans="2:8">
      <c r="B22" s="27" t="s">
        <v>222</v>
      </c>
      <c r="C22" s="23" t="s">
        <v>223</v>
      </c>
      <c r="D22" s="23" t="s">
        <v>115</v>
      </c>
      <c r="E22" s="28">
        <v>2400</v>
      </c>
      <c r="F22" s="25">
        <v>79.73</v>
      </c>
      <c r="G22" s="25">
        <v>0.37</v>
      </c>
      <c r="H22" s="26"/>
    </row>
    <row r="23" spans="2:8">
      <c r="B23" s="27" t="s">
        <v>257</v>
      </c>
      <c r="C23" s="23" t="s">
        <v>258</v>
      </c>
      <c r="D23" s="23" t="s">
        <v>129</v>
      </c>
      <c r="E23" s="28">
        <v>12500</v>
      </c>
      <c r="F23" s="25">
        <v>77.44</v>
      </c>
      <c r="G23" s="25">
        <v>0.36</v>
      </c>
      <c r="H23" s="26"/>
    </row>
    <row r="24" spans="2:8">
      <c r="B24" s="27" t="s">
        <v>61</v>
      </c>
      <c r="C24" s="23" t="s">
        <v>62</v>
      </c>
      <c r="D24" s="23" t="s">
        <v>63</v>
      </c>
      <c r="E24" s="28">
        <v>900</v>
      </c>
      <c r="F24" s="25">
        <v>70.489999999999995</v>
      </c>
      <c r="G24" s="25">
        <v>0.33</v>
      </c>
      <c r="H24" s="26"/>
    </row>
    <row r="25" spans="2:8">
      <c r="B25" s="27" t="s">
        <v>148</v>
      </c>
      <c r="C25" s="23" t="s">
        <v>149</v>
      </c>
      <c r="D25" s="23" t="s">
        <v>40</v>
      </c>
      <c r="E25" s="28">
        <v>4000</v>
      </c>
      <c r="F25" s="25">
        <v>70.150000000000006</v>
      </c>
      <c r="G25" s="25">
        <v>0.32</v>
      </c>
      <c r="H25" s="26"/>
    </row>
    <row r="26" spans="2:8">
      <c r="B26" s="27" t="s">
        <v>59</v>
      </c>
      <c r="C26" s="23" t="s">
        <v>60</v>
      </c>
      <c r="D26" s="23" t="s">
        <v>43</v>
      </c>
      <c r="E26" s="28">
        <v>165</v>
      </c>
      <c r="F26" s="25">
        <v>65.349999999999994</v>
      </c>
      <c r="G26" s="25">
        <v>0.3</v>
      </c>
      <c r="H26" s="26"/>
    </row>
    <row r="27" spans="2:8">
      <c r="B27" s="27" t="s">
        <v>175</v>
      </c>
      <c r="C27" s="23" t="s">
        <v>176</v>
      </c>
      <c r="D27" s="23" t="s">
        <v>58</v>
      </c>
      <c r="E27" s="28">
        <v>8000</v>
      </c>
      <c r="F27" s="25">
        <v>61.38</v>
      </c>
      <c r="G27" s="25">
        <v>0.28000000000000003</v>
      </c>
      <c r="H27" s="26"/>
    </row>
    <row r="28" spans="2:8">
      <c r="B28" s="27" t="s">
        <v>157</v>
      </c>
      <c r="C28" s="23" t="s">
        <v>158</v>
      </c>
      <c r="D28" s="23" t="s">
        <v>129</v>
      </c>
      <c r="E28" s="28">
        <v>1870</v>
      </c>
      <c r="F28" s="25">
        <v>59.87</v>
      </c>
      <c r="G28" s="25">
        <v>0.28000000000000003</v>
      </c>
      <c r="H28" s="26"/>
    </row>
    <row r="29" spans="2:8">
      <c r="B29" s="27" t="s">
        <v>56</v>
      </c>
      <c r="C29" s="23" t="s">
        <v>57</v>
      </c>
      <c r="D29" s="23" t="s">
        <v>58</v>
      </c>
      <c r="E29" s="28">
        <v>800</v>
      </c>
      <c r="F29" s="25">
        <v>58</v>
      </c>
      <c r="G29" s="25">
        <v>0.27</v>
      </c>
      <c r="H29" s="26"/>
    </row>
    <row r="30" spans="2:8">
      <c r="B30" s="27" t="s">
        <v>159</v>
      </c>
      <c r="C30" s="23" t="s">
        <v>160</v>
      </c>
      <c r="D30" s="23" t="s">
        <v>77</v>
      </c>
      <c r="E30" s="28">
        <v>10000</v>
      </c>
      <c r="F30" s="25">
        <v>54.59</v>
      </c>
      <c r="G30" s="25">
        <v>0.25</v>
      </c>
      <c r="H30" s="26"/>
    </row>
    <row r="31" spans="2:8">
      <c r="B31" s="27" t="s">
        <v>332</v>
      </c>
      <c r="C31" s="23" t="s">
        <v>333</v>
      </c>
      <c r="D31" s="23" t="s">
        <v>137</v>
      </c>
      <c r="E31" s="28">
        <v>1500</v>
      </c>
      <c r="F31" s="25">
        <v>53.9</v>
      </c>
      <c r="G31" s="25">
        <v>0.25</v>
      </c>
      <c r="H31" s="26"/>
    </row>
    <row r="32" spans="2:8">
      <c r="B32" s="27" t="s">
        <v>730</v>
      </c>
      <c r="C32" s="23" t="s">
        <v>731</v>
      </c>
      <c r="D32" s="23" t="s">
        <v>197</v>
      </c>
      <c r="E32" s="28">
        <v>6500</v>
      </c>
      <c r="F32" s="25">
        <v>51.56</v>
      </c>
      <c r="G32" s="25">
        <v>0.24</v>
      </c>
      <c r="H32" s="26"/>
    </row>
    <row r="33" spans="2:10">
      <c r="B33" s="27" t="s">
        <v>35</v>
      </c>
      <c r="C33" s="23" t="s">
        <v>36</v>
      </c>
      <c r="D33" s="23" t="s">
        <v>37</v>
      </c>
      <c r="E33" s="28">
        <v>13660</v>
      </c>
      <c r="F33" s="25">
        <v>45.41</v>
      </c>
      <c r="G33" s="25">
        <v>0.21</v>
      </c>
      <c r="H33" s="26"/>
    </row>
    <row r="34" spans="2:10">
      <c r="B34" s="27" t="s">
        <v>187</v>
      </c>
      <c r="C34" s="23" t="s">
        <v>188</v>
      </c>
      <c r="D34" s="23" t="s">
        <v>165</v>
      </c>
      <c r="E34" s="28">
        <v>1800</v>
      </c>
      <c r="F34" s="25">
        <v>34.590000000000003</v>
      </c>
      <c r="G34" s="25">
        <v>0.16</v>
      </c>
      <c r="H34" s="26"/>
    </row>
    <row r="35" spans="2:10">
      <c r="B35" s="27" t="s">
        <v>208</v>
      </c>
      <c r="C35" s="23" t="s">
        <v>209</v>
      </c>
      <c r="D35" s="23" t="s">
        <v>197</v>
      </c>
      <c r="E35" s="28">
        <v>500</v>
      </c>
      <c r="F35" s="25">
        <v>34.229999999999997</v>
      </c>
      <c r="G35" s="25">
        <v>0.16</v>
      </c>
      <c r="H35" s="26"/>
    </row>
    <row r="36" spans="2:10">
      <c r="B36" s="27" t="s">
        <v>135</v>
      </c>
      <c r="C36" s="23" t="s">
        <v>136</v>
      </c>
      <c r="D36" s="23" t="s">
        <v>137</v>
      </c>
      <c r="E36" s="28">
        <v>700</v>
      </c>
      <c r="F36" s="25">
        <v>27.68</v>
      </c>
      <c r="G36" s="25">
        <v>0.13</v>
      </c>
      <c r="H36" s="26"/>
    </row>
    <row r="37" spans="2:10">
      <c r="B37" s="27" t="s">
        <v>202</v>
      </c>
      <c r="C37" s="23" t="s">
        <v>203</v>
      </c>
      <c r="D37" s="23" t="s">
        <v>122</v>
      </c>
      <c r="E37" s="28">
        <v>1121</v>
      </c>
      <c r="F37" s="25">
        <v>12.79</v>
      </c>
      <c r="G37" s="25">
        <v>0.06</v>
      </c>
      <c r="H37" s="26"/>
    </row>
    <row r="38" spans="2:10">
      <c r="B38" s="29" t="s">
        <v>106</v>
      </c>
      <c r="C38" s="30"/>
      <c r="D38" s="30"/>
      <c r="E38" s="31"/>
      <c r="F38" s="32">
        <f>SUM(F7:F37)</f>
        <v>3564.7700000000004</v>
      </c>
      <c r="G38" s="32">
        <f>SUM(G7:G37)</f>
        <v>16.459999999999997</v>
      </c>
      <c r="H38" s="33"/>
      <c r="I38" s="14"/>
      <c r="J38" s="14"/>
    </row>
    <row r="39" spans="2:10">
      <c r="B39" s="37" t="s">
        <v>107</v>
      </c>
      <c r="C39" s="37"/>
      <c r="D39" s="37"/>
      <c r="E39" s="38"/>
      <c r="F39" s="39">
        <f>F38</f>
        <v>3564.7700000000004</v>
      </c>
      <c r="G39" s="39">
        <f>G38</f>
        <v>16.459999999999997</v>
      </c>
      <c r="H39" s="15"/>
      <c r="I39" s="14"/>
      <c r="J39" s="14"/>
    </row>
    <row r="40" spans="2:10">
      <c r="B40" s="46" t="s">
        <v>365</v>
      </c>
      <c r="C40" s="41"/>
      <c r="D40" s="41"/>
      <c r="E40" s="42"/>
      <c r="F40" s="43"/>
      <c r="G40" s="43"/>
      <c r="H40" s="43"/>
    </row>
    <row r="41" spans="2:10">
      <c r="B41" s="47" t="s">
        <v>31</v>
      </c>
      <c r="C41" s="23"/>
      <c r="D41" s="23"/>
      <c r="E41" s="24"/>
      <c r="F41" s="25"/>
      <c r="G41" s="25"/>
      <c r="H41" s="25"/>
    </row>
    <row r="42" spans="2:10">
      <c r="B42" s="23" t="s">
        <v>674</v>
      </c>
      <c r="C42" s="23" t="s">
        <v>675</v>
      </c>
      <c r="D42" s="23" t="s">
        <v>371</v>
      </c>
      <c r="E42" s="28">
        <v>200</v>
      </c>
      <c r="F42" s="25">
        <v>2049.96</v>
      </c>
      <c r="G42" s="25">
        <v>9.4600000000000009</v>
      </c>
      <c r="H42" s="25">
        <v>3.76</v>
      </c>
    </row>
    <row r="43" spans="2:10">
      <c r="B43" s="23" t="s">
        <v>402</v>
      </c>
      <c r="C43" s="23" t="s">
        <v>403</v>
      </c>
      <c r="D43" s="23" t="s">
        <v>371</v>
      </c>
      <c r="E43" s="28">
        <v>150</v>
      </c>
      <c r="F43" s="25">
        <v>1535.45</v>
      </c>
      <c r="G43" s="25">
        <v>7.08</v>
      </c>
      <c r="H43" s="25">
        <v>3.65</v>
      </c>
    </row>
    <row r="44" spans="2:10">
      <c r="B44" s="23" t="s">
        <v>374</v>
      </c>
      <c r="C44" s="23" t="s">
        <v>375</v>
      </c>
      <c r="D44" s="23" t="s">
        <v>371</v>
      </c>
      <c r="E44" s="28">
        <v>150</v>
      </c>
      <c r="F44" s="25">
        <v>1534.03</v>
      </c>
      <c r="G44" s="25">
        <v>7.08</v>
      </c>
      <c r="H44" s="25">
        <v>3.69</v>
      </c>
    </row>
    <row r="45" spans="2:10">
      <c r="B45" s="23" t="s">
        <v>732</v>
      </c>
      <c r="C45" s="23" t="s">
        <v>733</v>
      </c>
      <c r="D45" s="23" t="s">
        <v>371</v>
      </c>
      <c r="E45" s="28">
        <v>150</v>
      </c>
      <c r="F45" s="25">
        <v>1533.39</v>
      </c>
      <c r="G45" s="25">
        <v>7.08</v>
      </c>
      <c r="H45" s="25">
        <v>3.77</v>
      </c>
    </row>
    <row r="46" spans="2:10">
      <c r="B46" s="23" t="s">
        <v>423</v>
      </c>
      <c r="C46" s="23" t="s">
        <v>424</v>
      </c>
      <c r="D46" s="23" t="s">
        <v>371</v>
      </c>
      <c r="E46" s="28">
        <v>140</v>
      </c>
      <c r="F46" s="25">
        <v>1427.9</v>
      </c>
      <c r="G46" s="25">
        <v>6.59</v>
      </c>
      <c r="H46" s="25">
        <v>3.59</v>
      </c>
    </row>
    <row r="47" spans="2:10">
      <c r="B47" s="23" t="s">
        <v>508</v>
      </c>
      <c r="C47" s="23" t="s">
        <v>509</v>
      </c>
      <c r="D47" s="23" t="s">
        <v>371</v>
      </c>
      <c r="E47" s="28">
        <v>100</v>
      </c>
      <c r="F47" s="25">
        <v>1015.43</v>
      </c>
      <c r="G47" s="25">
        <v>4.6900000000000004</v>
      </c>
      <c r="H47" s="25">
        <v>3.65</v>
      </c>
    </row>
    <row r="48" spans="2:10">
      <c r="B48" s="23" t="s">
        <v>734</v>
      </c>
      <c r="C48" s="23" t="s">
        <v>735</v>
      </c>
      <c r="D48" s="23" t="s">
        <v>371</v>
      </c>
      <c r="E48" s="28">
        <v>50</v>
      </c>
      <c r="F48" s="25">
        <v>511.96</v>
      </c>
      <c r="G48" s="25">
        <v>2.36</v>
      </c>
      <c r="H48" s="25">
        <v>3.78</v>
      </c>
    </row>
    <row r="49" spans="2:10">
      <c r="B49" s="30" t="s">
        <v>106</v>
      </c>
      <c r="C49" s="30"/>
      <c r="D49" s="30"/>
      <c r="E49" s="31"/>
      <c r="F49" s="32">
        <f>SUM(F41:F48)</f>
        <v>9608.119999999999</v>
      </c>
      <c r="G49" s="32">
        <f>SUM(G41:G48)</f>
        <v>44.339999999999989</v>
      </c>
      <c r="H49" s="48"/>
      <c r="I49" s="14"/>
      <c r="J49" s="14"/>
    </row>
    <row r="50" spans="2:10">
      <c r="B50" s="49" t="s">
        <v>107</v>
      </c>
      <c r="C50" s="49"/>
      <c r="D50" s="49"/>
      <c r="E50" s="50"/>
      <c r="F50" s="51">
        <f>F49</f>
        <v>9608.119999999999</v>
      </c>
      <c r="G50" s="51">
        <f>G49</f>
        <v>44.339999999999989</v>
      </c>
      <c r="H50" s="51"/>
      <c r="I50" s="14"/>
      <c r="J50" s="14"/>
    </row>
    <row r="51" spans="2:10">
      <c r="B51" s="47" t="s">
        <v>429</v>
      </c>
      <c r="C51" s="23"/>
      <c r="D51" s="23"/>
      <c r="E51" s="24"/>
      <c r="F51" s="25"/>
      <c r="G51" s="25"/>
      <c r="H51" s="25"/>
    </row>
    <row r="52" spans="2:10">
      <c r="B52" s="23" t="s">
        <v>694</v>
      </c>
      <c r="C52" s="23" t="s">
        <v>695</v>
      </c>
      <c r="D52" s="23" t="s">
        <v>432</v>
      </c>
      <c r="E52" s="28">
        <v>4200000</v>
      </c>
      <c r="F52" s="25">
        <v>4308.04</v>
      </c>
      <c r="G52" s="25">
        <v>19.88</v>
      </c>
      <c r="H52" s="25">
        <v>3.69</v>
      </c>
    </row>
    <row r="53" spans="2:10">
      <c r="B53" s="23" t="s">
        <v>574</v>
      </c>
      <c r="C53" s="23" t="s">
        <v>575</v>
      </c>
      <c r="D53" s="23" t="s">
        <v>432</v>
      </c>
      <c r="E53" s="28">
        <v>2200000</v>
      </c>
      <c r="F53" s="25">
        <v>2260.09</v>
      </c>
      <c r="G53" s="25">
        <v>10.43</v>
      </c>
      <c r="H53" s="25">
        <v>3.69</v>
      </c>
    </row>
    <row r="54" spans="2:10">
      <c r="B54" s="23" t="s">
        <v>445</v>
      </c>
      <c r="C54" s="23" t="s">
        <v>446</v>
      </c>
      <c r="D54" s="23" t="s">
        <v>432</v>
      </c>
      <c r="E54" s="28">
        <v>400000</v>
      </c>
      <c r="F54" s="25">
        <v>408.35</v>
      </c>
      <c r="G54" s="25">
        <v>1.88</v>
      </c>
      <c r="H54" s="25">
        <v>3.54</v>
      </c>
    </row>
    <row r="55" spans="2:10">
      <c r="B55" s="52" t="s">
        <v>736</v>
      </c>
      <c r="C55" s="52" t="s">
        <v>737</v>
      </c>
      <c r="D55" s="52" t="s">
        <v>432</v>
      </c>
      <c r="E55" s="53">
        <v>220000</v>
      </c>
      <c r="F55" s="54">
        <v>226.25</v>
      </c>
      <c r="G55" s="54">
        <v>1.04</v>
      </c>
      <c r="H55" s="54">
        <v>3.61</v>
      </c>
    </row>
    <row r="56" spans="2:10">
      <c r="B56" s="55" t="s">
        <v>107</v>
      </c>
      <c r="C56" s="55"/>
      <c r="D56" s="55"/>
      <c r="E56" s="56"/>
      <c r="F56" s="57">
        <f>SUM(F52:F55)</f>
        <v>7202.7300000000005</v>
      </c>
      <c r="G56" s="57">
        <f>SUM(G52:G55)</f>
        <v>33.229999999999997</v>
      </c>
      <c r="H56" s="57"/>
      <c r="I56" s="14"/>
      <c r="J56" s="14"/>
    </row>
    <row r="57" spans="2:10">
      <c r="B57" s="47" t="s">
        <v>108</v>
      </c>
      <c r="C57" s="23"/>
      <c r="D57" s="23"/>
      <c r="E57" s="24"/>
      <c r="F57" s="25"/>
      <c r="G57" s="25"/>
      <c r="H57" s="25"/>
    </row>
    <row r="58" spans="2:10">
      <c r="B58" s="23" t="s">
        <v>108</v>
      </c>
      <c r="C58" s="23"/>
      <c r="D58" s="23"/>
      <c r="E58" s="24"/>
      <c r="F58" s="25">
        <v>699.28</v>
      </c>
      <c r="G58" s="25">
        <v>3.23</v>
      </c>
      <c r="H58" s="25"/>
    </row>
    <row r="59" spans="2:10">
      <c r="B59" s="30" t="s">
        <v>106</v>
      </c>
      <c r="C59" s="30"/>
      <c r="D59" s="30"/>
      <c r="E59" s="31"/>
      <c r="F59" s="32">
        <f>SUM(F57:F58)</f>
        <v>699.28</v>
      </c>
      <c r="G59" s="32">
        <f>SUM(G57:G58)</f>
        <v>3.23</v>
      </c>
      <c r="H59" s="48"/>
      <c r="I59" s="14"/>
      <c r="J59" s="14"/>
    </row>
    <row r="60" spans="2:10">
      <c r="B60" s="34" t="s">
        <v>107</v>
      </c>
      <c r="C60" s="34"/>
      <c r="D60" s="34"/>
      <c r="E60" s="35"/>
      <c r="F60" s="36">
        <f>F59</f>
        <v>699.28</v>
      </c>
      <c r="G60" s="36">
        <f>G59</f>
        <v>3.23</v>
      </c>
      <c r="H60" s="36"/>
      <c r="I60" s="14"/>
      <c r="J60" s="14"/>
    </row>
    <row r="61" spans="2:10">
      <c r="B61" s="44" t="s">
        <v>110</v>
      </c>
      <c r="C61" s="44"/>
      <c r="D61" s="44"/>
      <c r="E61" s="45"/>
      <c r="F61" s="16">
        <f>F62-(+F39+F50+F56+F60)</f>
        <v>598.35000000000218</v>
      </c>
      <c r="G61" s="16">
        <f>G62-(+G39+G50+G56+G60)</f>
        <v>2.7400000000000233</v>
      </c>
      <c r="H61" s="16"/>
      <c r="I61" s="14"/>
      <c r="J61" s="14"/>
    </row>
    <row r="62" spans="2:10">
      <c r="B62" s="44" t="s">
        <v>109</v>
      </c>
      <c r="C62" s="44"/>
      <c r="D62" s="44"/>
      <c r="E62" s="45"/>
      <c r="F62" s="16">
        <v>21673.25</v>
      </c>
      <c r="G62" s="16">
        <v>100</v>
      </c>
      <c r="H62" s="16"/>
      <c r="I62" s="14"/>
      <c r="J62" s="14"/>
    </row>
    <row r="64" spans="2:10">
      <c r="B64" s="14" t="s">
        <v>738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Riskometer</vt:lpstr>
      <vt:lpstr>IN</vt:lpstr>
      <vt:lpstr>DV</vt:lpstr>
      <vt:lpstr>ET</vt:lpstr>
      <vt:lpstr>EQ</vt:lpstr>
      <vt:lpstr>CF</vt:lpstr>
      <vt:lpstr>LC</vt:lpstr>
      <vt:lpstr>SC</vt:lpstr>
      <vt:lpstr>FE</vt:lpstr>
      <vt:lpstr>GB</vt:lpstr>
      <vt:lpstr>DB</vt:lpstr>
      <vt:lpstr>GL</vt:lpstr>
      <vt:lpstr>IF</vt:lpstr>
      <vt:lpstr>FR</vt:lpstr>
      <vt:lpstr>MI</vt:lpstr>
      <vt:lpstr>GI</vt:lpstr>
      <vt:lpstr>LI</vt:lpstr>
      <vt:lpstr>TA</vt:lpstr>
      <vt:lpstr>OF</vt:lpstr>
      <vt:lpstr>CY</vt:lpstr>
      <vt:lpstr>MO</vt:lpstr>
      <vt:lpstr>F8</vt:lpstr>
      <vt:lpstr>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2021-09-08T11:07:42Z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3486a02c-2dfb-4efe-823f-aa2d1f0e6ab7_Enabled">
    <vt:lpwstr>true</vt:lpwstr>
  </property>
  <property fmtid="{D5CDD505-2E9C-101B-9397-08002B2CF9AE}" pid="5" name="MSIP_Label_3486a02c-2dfb-4efe-823f-aa2d1f0e6ab7_SetDate">
    <vt:lpwstr>2021-09-02T09:16:29Z</vt:lpwstr>
  </property>
  <property fmtid="{D5CDD505-2E9C-101B-9397-08002B2CF9AE}" pid="6" name="MSIP_Label_3486a02c-2dfb-4efe-823f-aa2d1f0e6ab7_Method">
    <vt:lpwstr>Standard</vt:lpwstr>
  </property>
  <property fmtid="{D5CDD505-2E9C-101B-9397-08002B2CF9AE}" pid="7" name="MSIP_Label_3486a02c-2dfb-4efe-823f-aa2d1f0e6ab7_Name">
    <vt:lpwstr>CLAPUBLIC</vt:lpwstr>
  </property>
  <property fmtid="{D5CDD505-2E9C-101B-9397-08002B2CF9AE}" pid="8" name="MSIP_Label_3486a02c-2dfb-4efe-823f-aa2d1f0e6ab7_SiteId">
    <vt:lpwstr>e0fd434d-ba64-497b-90d2-859c472e1a92</vt:lpwstr>
  </property>
  <property fmtid="{D5CDD505-2E9C-101B-9397-08002B2CF9AE}" pid="9" name="MSIP_Label_3486a02c-2dfb-4efe-823f-aa2d1f0e6ab7_ActionId">
    <vt:lpwstr>419142bb-c40e-46bc-ae55-5cda90e93e74</vt:lpwstr>
  </property>
  <property fmtid="{D5CDD505-2E9C-101B-9397-08002B2CF9AE}" pid="10" name="MSIP_Label_3486a02c-2dfb-4efe-823f-aa2d1f0e6ab7_ContentBits">
    <vt:lpwstr>2</vt:lpwstr>
  </property>
  <property fmtid="{D5CDD505-2E9C-101B-9397-08002B2CF9AE}" pid="11" name="Classification">
    <vt:lpwstr>PUBLIC</vt:lpwstr>
  </property>
</Properties>
</file>