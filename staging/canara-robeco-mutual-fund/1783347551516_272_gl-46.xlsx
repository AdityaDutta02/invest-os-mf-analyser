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P:\hemangi\data\monthly portfolios with ISIN\FY 2023-24\January 2024\"/>
    </mc:Choice>
  </mc:AlternateContent>
  <bookViews>
    <workbookView xWindow="0" yWindow="0" windowWidth="20490" windowHeight="7020"/>
  </bookViews>
  <sheets>
    <sheet name="GL" sheetId="1" r:id="rId1"/>
  </sheets>
  <calcPr calcId="162913" calcMode="manual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18" i="1" l="1"/>
  <c r="G17" i="1"/>
  <c r="G18" i="1" s="1"/>
  <c r="F17" i="1"/>
  <c r="G14" i="1"/>
  <c r="F14" i="1"/>
  <c r="F19" i="1" s="1"/>
  <c r="G19" i="1" l="1"/>
</calcChain>
</file>

<file path=xl/sharedStrings.xml><?xml version="1.0" encoding="utf-8"?>
<sst xmlns="http://schemas.openxmlformats.org/spreadsheetml/2006/main" count="58" uniqueCount="49">
  <si>
    <t>CANARA ROBECO GILT FUND</t>
  </si>
  <si>
    <t>Monthly Portfolio Statement as on January 31, 2024</t>
  </si>
  <si>
    <t>Name of the Instrument</t>
  </si>
  <si>
    <t>ISIN</t>
  </si>
  <si>
    <t>Industry / Rating</t>
  </si>
  <si>
    <t>Quantity</t>
  </si>
  <si>
    <t>Market/Fair Value
 (Rs. in Lacs)</t>
  </si>
  <si>
    <t>% to Net
 Assets</t>
  </si>
  <si>
    <t>Yield %</t>
  </si>
  <si>
    <t>Scheme Risk-o-meter Level- Jan'24</t>
  </si>
  <si>
    <t>Benchmark Risk-o-meter Level- Jan'24</t>
  </si>
  <si>
    <t>Scheme Risk-o-meter Level- Dec'23</t>
  </si>
  <si>
    <t>Potential Risk Class (PRC) Matrix</t>
  </si>
  <si>
    <t>Government Bonds</t>
  </si>
  <si>
    <t>Credit Risk →</t>
  </si>
  <si>
    <t>Relatively Low (Class A)</t>
  </si>
  <si>
    <t>Moderate (Class B)</t>
  </si>
  <si>
    <t>Relatively High (Class C)</t>
  </si>
  <si>
    <t>7.18% GOI 2037 (24-JUL-2037)</t>
  </si>
  <si>
    <t>IN0020230077</t>
  </si>
  <si>
    <t>Sovereign</t>
  </si>
  <si>
    <t>Interest Rate Risk ↓</t>
  </si>
  <si>
    <t>7.18% GOI 2037 (14-AUG-2033)</t>
  </si>
  <si>
    <t>IN0020230085</t>
  </si>
  <si>
    <t>Relatively Low (Class I)</t>
  </si>
  <si>
    <t>7.25% GOI 2063 (12-JUN-2063)</t>
  </si>
  <si>
    <t>IN0020230044</t>
  </si>
  <si>
    <t>7.30% GOI 2053 (19-JUN-2053)</t>
  </si>
  <si>
    <t>IN0020230051</t>
  </si>
  <si>
    <t>Moderate 
(Class II)</t>
  </si>
  <si>
    <t>7.10% GOI 18-APR-29</t>
  </si>
  <si>
    <t>IN0020220011</t>
  </si>
  <si>
    <t>7.17% GOI 2030 (17-APR-2030)</t>
  </si>
  <si>
    <t>IN0020230036</t>
  </si>
  <si>
    <t>Relatively High (Class III)</t>
  </si>
  <si>
    <t>A-III</t>
  </si>
  <si>
    <t>7.38% GOI 20-JUN-27</t>
  </si>
  <si>
    <t>IN0020220037</t>
  </si>
  <si>
    <t>8.13% INDIA GOVERNMENT 22-JUN-45</t>
  </si>
  <si>
    <t>IN0020150044</t>
  </si>
  <si>
    <t>Benchmark: CRISIL Dynamic Gilt Index</t>
  </si>
  <si>
    <t>Total</t>
  </si>
  <si>
    <t>TREPS</t>
  </si>
  <si>
    <t>Sub Total</t>
  </si>
  <si>
    <t>Net Receivables / (Payables)</t>
  </si>
  <si>
    <t>Grand Total</t>
  </si>
  <si>
    <t>Modified Duration</t>
  </si>
  <si>
    <t>Annualised Portfolio YTM</t>
  </si>
  <si>
    <t>Macaulay Duration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</si>
</sst>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43" formatCode="_(* #,##0.00_);_(* \(#,##0.00\);_(* &quot;-&quot;??_);_(@_)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6"/>
      <color indexed="63"/>
      <name val="Arial"/>
      <family val="2"/>
    </font>
    <font>
      <sz val="9"/>
      <color theme="1"/>
      <name val="Arial"/>
      <family val="2"/>
    </font>
    <font>
      <b/>
      <sz val="12"/>
      <name val="Arial"/>
      <family val="2"/>
    </font>
    <font>
      <b/>
      <sz val="9"/>
      <name val="Arial"/>
      <family val="2"/>
    </font>
    <font>
      <sz val="9"/>
      <name val="Arial"/>
      <family val="2"/>
    </font>
    <font>
      <b/>
      <sz val="9"/>
      <color indexed="72"/>
      <name val="Arial"/>
      <family val="2"/>
    </font>
    <font>
      <b/>
      <sz val="11"/>
      <color theme="1"/>
      <name val="Taz SemiLight"/>
      <family val="2"/>
    </font>
    <font>
      <b/>
      <sz val="9"/>
      <color theme="1"/>
      <name val="Arial"/>
      <family val="2"/>
    </font>
    <font>
      <b/>
      <sz val="9"/>
      <color rgb="FFFF000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D3D3D3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0"/>
      </left>
      <right style="thin">
        <color indexed="0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0"/>
      </left>
      <right style="thin">
        <color indexed="0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0"/>
      </left>
      <right style="thin">
        <color indexed="0"/>
      </right>
      <top/>
      <bottom style="thin">
        <color indexed="64"/>
      </bottom>
      <diagonal/>
    </border>
    <border>
      <left style="thin">
        <color indexed="0"/>
      </left>
      <right style="thin">
        <color indexed="0"/>
      </right>
      <top style="thin">
        <color indexed="64"/>
      </top>
      <bottom style="thin">
        <color indexed="64"/>
      </bottom>
      <diagonal/>
    </border>
    <border>
      <left style="thin">
        <color indexed="0"/>
      </left>
      <right style="thin">
        <color indexed="0"/>
      </right>
      <top/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64"/>
      </top>
      <bottom style="thin">
        <color indexed="0"/>
      </bottom>
      <diagonal/>
    </border>
    <border>
      <left style="thin">
        <color indexed="64"/>
      </left>
      <right style="thin">
        <color indexed="64"/>
      </right>
      <top style="thin">
        <color indexed="0"/>
      </top>
      <bottom style="thin">
        <color indexed="64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59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2" fillId="2" borderId="0" xfId="0" applyFont="1" applyFill="1" applyBorder="1" applyAlignment="1">
      <alignment horizontal="center" vertical="center" wrapText="1"/>
    </xf>
    <xf numFmtId="0" fontId="3" fillId="3" borderId="0" xfId="0" applyFont="1" applyFill="1"/>
    <xf numFmtId="43" fontId="3" fillId="3" borderId="0" xfId="1" applyFont="1" applyFill="1"/>
    <xf numFmtId="0" fontId="4" fillId="3" borderId="0" xfId="0" applyFont="1" applyFill="1" applyAlignment="1">
      <alignment horizontal="left" vertical="top"/>
    </xf>
    <xf numFmtId="0" fontId="5" fillId="3" borderId="0" xfId="0" applyFont="1" applyFill="1" applyAlignment="1">
      <alignment horizontal="left" vertical="top" wrapText="1"/>
    </xf>
    <xf numFmtId="0" fontId="6" fillId="3" borderId="0" xfId="0" applyFont="1" applyFill="1" applyAlignment="1">
      <alignment horizontal="left" vertical="top" wrapText="1"/>
    </xf>
    <xf numFmtId="0" fontId="6" fillId="3" borderId="0" xfId="0" applyNumberFormat="1" applyFont="1" applyFill="1" applyAlignment="1">
      <alignment horizontal="left" vertical="top" wrapText="1"/>
    </xf>
    <xf numFmtId="4" fontId="6" fillId="3" borderId="0" xfId="0" applyNumberFormat="1" applyFont="1" applyFill="1" applyAlignment="1">
      <alignment horizontal="left" vertical="top" wrapText="1"/>
    </xf>
    <xf numFmtId="4" fontId="3" fillId="3" borderId="0" xfId="0" applyNumberFormat="1" applyFont="1" applyFill="1"/>
    <xf numFmtId="0" fontId="7" fillId="3" borderId="2" xfId="0" applyFont="1" applyFill="1" applyBorder="1" applyAlignment="1">
      <alignment horizontal="left" vertical="center"/>
    </xf>
    <xf numFmtId="0" fontId="7" fillId="3" borderId="3" xfId="0" applyFont="1" applyFill="1" applyBorder="1" applyAlignment="1">
      <alignment horizontal="center" vertical="center" wrapText="1"/>
    </xf>
    <xf numFmtId="0" fontId="7" fillId="3" borderId="3" xfId="0" applyNumberFormat="1" applyFont="1" applyFill="1" applyBorder="1" applyAlignment="1">
      <alignment horizontal="center" vertical="center" wrapText="1"/>
    </xf>
    <xf numFmtId="4" fontId="7" fillId="3" borderId="3" xfId="0" applyNumberFormat="1" applyFont="1" applyFill="1" applyBorder="1" applyAlignment="1">
      <alignment horizontal="center" vertical="center" wrapText="1"/>
    </xf>
    <xf numFmtId="4" fontId="7" fillId="3" borderId="4" xfId="0" applyNumberFormat="1" applyFont="1" applyFill="1" applyBorder="1" applyAlignment="1">
      <alignment horizontal="center" vertical="center" wrapText="1"/>
    </xf>
    <xf numFmtId="0" fontId="8" fillId="0" borderId="5" xfId="0" applyFont="1" applyBorder="1" applyAlignment="1">
      <alignment horizontal="center" vertical="center" wrapText="1"/>
    </xf>
    <xf numFmtId="0" fontId="9" fillId="0" borderId="6" xfId="0" applyFont="1" applyBorder="1" applyAlignment="1">
      <alignment horizontal="center"/>
    </xf>
    <xf numFmtId="0" fontId="9" fillId="0" borderId="7" xfId="0" applyFont="1" applyBorder="1" applyAlignment="1">
      <alignment horizontal="center"/>
    </xf>
    <xf numFmtId="0" fontId="9" fillId="0" borderId="8" xfId="0" applyFont="1" applyBorder="1" applyAlignment="1">
      <alignment horizontal="center"/>
    </xf>
    <xf numFmtId="0" fontId="9" fillId="3" borderId="9" xfId="0" applyFont="1" applyFill="1" applyBorder="1"/>
    <xf numFmtId="0" fontId="3" fillId="3" borderId="9" xfId="0" applyFont="1" applyFill="1" applyBorder="1"/>
    <xf numFmtId="0" fontId="3" fillId="3" borderId="9" xfId="0" applyNumberFormat="1" applyFont="1" applyFill="1" applyBorder="1"/>
    <xf numFmtId="4" fontId="3" fillId="3" borderId="9" xfId="0" applyNumberFormat="1" applyFont="1" applyFill="1" applyBorder="1"/>
    <xf numFmtId="43" fontId="3" fillId="3" borderId="10" xfId="1" applyFont="1" applyFill="1" applyBorder="1" applyAlignment="1">
      <alignment horizontal="center"/>
    </xf>
    <xf numFmtId="0" fontId="9" fillId="0" borderId="10" xfId="0" applyFont="1" applyBorder="1" applyAlignment="1">
      <alignment horizontal="center" wrapText="1"/>
    </xf>
    <xf numFmtId="0" fontId="9" fillId="0" borderId="10" xfId="0" applyFont="1" applyBorder="1" applyAlignment="1">
      <alignment horizontal="center" wrapText="1"/>
    </xf>
    <xf numFmtId="0" fontId="3" fillId="3" borderId="11" xfId="0" applyFont="1" applyFill="1" applyBorder="1"/>
    <xf numFmtId="3" fontId="3" fillId="3" borderId="11" xfId="0" applyNumberFormat="1" applyFont="1" applyFill="1" applyBorder="1"/>
    <xf numFmtId="4" fontId="3" fillId="3" borderId="11" xfId="0" applyNumberFormat="1" applyFont="1" applyFill="1" applyBorder="1"/>
    <xf numFmtId="0" fontId="9" fillId="0" borderId="10" xfId="0" applyFont="1" applyBorder="1" applyAlignment="1">
      <alignment horizontal="left" vertical="top" wrapText="1"/>
    </xf>
    <xf numFmtId="0" fontId="9" fillId="0" borderId="10" xfId="0" applyFont="1" applyBorder="1" applyAlignment="1">
      <alignment horizontal="left" wrapText="1"/>
    </xf>
    <xf numFmtId="0" fontId="3" fillId="0" borderId="5" xfId="0" applyFont="1" applyBorder="1" applyAlignment="1">
      <alignment horizontal="center"/>
    </xf>
    <xf numFmtId="0" fontId="3" fillId="0" borderId="12" xfId="0" applyFont="1" applyBorder="1" applyAlignment="1">
      <alignment horizontal="center"/>
    </xf>
    <xf numFmtId="0" fontId="9" fillId="4" borderId="5" xfId="0" applyFont="1" applyFill="1" applyBorder="1" applyAlignment="1">
      <alignment horizontal="center" vertical="center"/>
    </xf>
    <xf numFmtId="0" fontId="9" fillId="4" borderId="12" xfId="0" applyFont="1" applyFill="1" applyBorder="1" applyAlignment="1">
      <alignment horizontal="center" vertical="center"/>
    </xf>
    <xf numFmtId="0" fontId="3" fillId="3" borderId="13" xfId="0" applyFont="1" applyFill="1" applyBorder="1"/>
    <xf numFmtId="3" fontId="3" fillId="3" borderId="13" xfId="0" applyNumberFormat="1" applyFont="1" applyFill="1" applyBorder="1"/>
    <xf numFmtId="4" fontId="3" fillId="3" borderId="13" xfId="0" applyNumberFormat="1" applyFont="1" applyFill="1" applyBorder="1"/>
    <xf numFmtId="43" fontId="3" fillId="3" borderId="0" xfId="1" applyFont="1" applyFill="1" applyAlignment="1"/>
    <xf numFmtId="0" fontId="9" fillId="3" borderId="14" xfId="0" applyFont="1" applyFill="1" applyBorder="1"/>
    <xf numFmtId="0" fontId="9" fillId="3" borderId="14" xfId="0" applyNumberFormat="1" applyFont="1" applyFill="1" applyBorder="1"/>
    <xf numFmtId="4" fontId="9" fillId="3" borderId="14" xfId="0" applyNumberFormat="1" applyFont="1" applyFill="1" applyBorder="1"/>
    <xf numFmtId="0" fontId="9" fillId="3" borderId="11" xfId="0" applyFont="1" applyFill="1" applyBorder="1"/>
    <xf numFmtId="0" fontId="3" fillId="3" borderId="11" xfId="0" applyNumberFormat="1" applyFont="1" applyFill="1" applyBorder="1"/>
    <xf numFmtId="0" fontId="9" fillId="3" borderId="15" xfId="0" applyFont="1" applyFill="1" applyBorder="1"/>
    <xf numFmtId="0" fontId="9" fillId="3" borderId="15" xfId="0" applyNumberFormat="1" applyFont="1" applyFill="1" applyBorder="1"/>
    <xf numFmtId="4" fontId="9" fillId="3" borderId="16" xfId="0" applyNumberFormat="1" applyFont="1" applyFill="1" applyBorder="1"/>
    <xf numFmtId="4" fontId="9" fillId="3" borderId="15" xfId="0" applyNumberFormat="1" applyFont="1" applyFill="1" applyBorder="1"/>
    <xf numFmtId="0" fontId="9" fillId="3" borderId="17" xfId="0" applyFont="1" applyFill="1" applyBorder="1"/>
    <xf numFmtId="0" fontId="9" fillId="3" borderId="17" xfId="0" applyNumberFormat="1" applyFont="1" applyFill="1" applyBorder="1"/>
    <xf numFmtId="4" fontId="9" fillId="3" borderId="17" xfId="0" applyNumberFormat="1" applyFont="1" applyFill="1" applyBorder="1"/>
    <xf numFmtId="0" fontId="9" fillId="3" borderId="10" xfId="0" applyFont="1" applyFill="1" applyBorder="1"/>
    <xf numFmtId="0" fontId="9" fillId="3" borderId="10" xfId="0" applyNumberFormat="1" applyFont="1" applyFill="1" applyBorder="1"/>
    <xf numFmtId="4" fontId="9" fillId="3" borderId="10" xfId="0" applyNumberFormat="1" applyFont="1" applyFill="1" applyBorder="1"/>
    <xf numFmtId="0" fontId="3" fillId="3" borderId="0" xfId="0" applyNumberFormat="1" applyFont="1" applyFill="1"/>
    <xf numFmtId="0" fontId="10" fillId="5" borderId="18" xfId="0" applyFont="1" applyFill="1" applyBorder="1"/>
    <xf numFmtId="2" fontId="9" fillId="3" borderId="19" xfId="0" applyNumberFormat="1" applyFont="1" applyFill="1" applyBorder="1"/>
    <xf numFmtId="10" fontId="9" fillId="3" borderId="19" xfId="0" applyNumberFormat="1" applyFont="1" applyFill="1" applyBorder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85725</xdr:colOff>
      <xdr:row>4</xdr:row>
      <xdr:rowOff>69401</xdr:rowOff>
    </xdr:from>
    <xdr:to>
      <xdr:col>9</xdr:col>
      <xdr:colOff>1983788</xdr:colOff>
      <xdr:row>10</xdr:row>
      <xdr:rowOff>104775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C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525000" y="1060001"/>
          <a:ext cx="1898063" cy="1406974"/>
        </a:xfrm>
        <a:prstGeom prst="rect">
          <a:avLst/>
        </a:prstGeom>
      </xdr:spPr>
    </xdr:pic>
    <xdr:clientData/>
  </xdr:twoCellAnchor>
  <xdr:twoCellAnchor editAs="oneCell">
    <xdr:from>
      <xdr:col>10</xdr:col>
      <xdr:colOff>169849</xdr:colOff>
      <xdr:row>4</xdr:row>
      <xdr:rowOff>80284</xdr:rowOff>
    </xdr:from>
    <xdr:to>
      <xdr:col>10</xdr:col>
      <xdr:colOff>2009775</xdr:colOff>
      <xdr:row>10</xdr:row>
      <xdr:rowOff>115262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C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714149" y="1070884"/>
          <a:ext cx="1839926" cy="1406578"/>
        </a:xfrm>
        <a:prstGeom prst="rect">
          <a:avLst/>
        </a:prstGeom>
      </xdr:spPr>
    </xdr:pic>
    <xdr:clientData/>
  </xdr:twoCellAnchor>
  <xdr:oneCellAnchor>
    <xdr:from>
      <xdr:col>11</xdr:col>
      <xdr:colOff>127189</xdr:colOff>
      <xdr:row>4</xdr:row>
      <xdr:rowOff>69398</xdr:rowOff>
    </xdr:from>
    <xdr:ext cx="1863536" cy="1416502"/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C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900339" y="1059998"/>
          <a:ext cx="1863536" cy="1416502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Q70"/>
  <sheetViews>
    <sheetView tabSelected="1" workbookViewId="0">
      <selection activeCell="B1" sqref="B1:H1"/>
    </sheetView>
  </sheetViews>
  <sheetFormatPr defaultRowHeight="12" x14ac:dyDescent="0.2"/>
  <cols>
    <col min="1" max="1" width="9.140625" style="3"/>
    <col min="2" max="2" width="58.42578125" style="3" bestFit="1" customWidth="1"/>
    <col min="3" max="3" width="12.7109375" style="3" bestFit="1" customWidth="1"/>
    <col min="4" max="4" width="14.140625" style="3" bestFit="1" customWidth="1"/>
    <col min="5" max="5" width="8.85546875" style="55" bestFit="1" customWidth="1"/>
    <col min="6" max="6" width="15.28515625" style="10" bestFit="1" customWidth="1"/>
    <col min="7" max="7" width="7.42578125" style="10" bestFit="1" customWidth="1"/>
    <col min="8" max="8" width="6.5703125" style="10" bestFit="1" customWidth="1"/>
    <col min="9" max="9" width="9" style="3" bestFit="1" customWidth="1"/>
    <col min="10" max="10" width="31.5703125" style="4" customWidth="1"/>
    <col min="11" max="11" width="33.42578125" style="4" customWidth="1"/>
    <col min="12" max="12" width="31.42578125" style="3" customWidth="1"/>
    <col min="13" max="13" width="4.7109375" style="3" customWidth="1"/>
    <col min="14" max="16384" width="9.140625" style="3"/>
  </cols>
  <sheetData>
    <row r="1" spans="2:17" ht="21" customHeight="1" x14ac:dyDescent="0.2">
      <c r="B1" s="1" t="s">
        <v>0</v>
      </c>
      <c r="C1" s="2"/>
      <c r="D1" s="2"/>
      <c r="E1" s="2"/>
      <c r="F1" s="2"/>
      <c r="G1" s="2"/>
      <c r="H1" s="2"/>
    </row>
    <row r="3" spans="2:17" ht="16.5" thickBot="1" x14ac:dyDescent="0.25">
      <c r="B3" s="5" t="s">
        <v>1</v>
      </c>
      <c r="C3" s="6"/>
      <c r="D3" s="7"/>
      <c r="E3" s="8"/>
      <c r="F3" s="9"/>
      <c r="G3" s="9"/>
    </row>
    <row r="4" spans="2:17" ht="28.5" x14ac:dyDescent="0.2">
      <c r="B4" s="11" t="s">
        <v>2</v>
      </c>
      <c r="C4" s="12" t="s">
        <v>3</v>
      </c>
      <c r="D4" s="12" t="s">
        <v>4</v>
      </c>
      <c r="E4" s="13" t="s">
        <v>5</v>
      </c>
      <c r="F4" s="14" t="s">
        <v>6</v>
      </c>
      <c r="G4" s="15" t="s">
        <v>7</v>
      </c>
      <c r="H4" s="15" t="s">
        <v>8</v>
      </c>
      <c r="J4" s="16" t="s">
        <v>9</v>
      </c>
      <c r="K4" s="16" t="s">
        <v>10</v>
      </c>
      <c r="L4" s="16" t="s">
        <v>11</v>
      </c>
      <c r="N4" s="17" t="s">
        <v>12</v>
      </c>
      <c r="O4" s="18"/>
      <c r="P4" s="18"/>
      <c r="Q4" s="19"/>
    </row>
    <row r="5" spans="2:17" ht="24" x14ac:dyDescent="0.2">
      <c r="B5" s="20" t="s">
        <v>13</v>
      </c>
      <c r="C5" s="21"/>
      <c r="D5" s="21"/>
      <c r="E5" s="22"/>
      <c r="F5" s="23"/>
      <c r="G5" s="23"/>
      <c r="H5" s="23"/>
      <c r="J5" s="24"/>
      <c r="K5" s="24"/>
      <c r="L5" s="24"/>
      <c r="N5" s="25" t="s">
        <v>14</v>
      </c>
      <c r="O5" s="26" t="s">
        <v>15</v>
      </c>
      <c r="P5" s="26" t="s">
        <v>16</v>
      </c>
      <c r="Q5" s="26" t="s">
        <v>17</v>
      </c>
    </row>
    <row r="6" spans="2:17" ht="36" x14ac:dyDescent="0.2">
      <c r="B6" s="27" t="s">
        <v>18</v>
      </c>
      <c r="C6" s="27" t="s">
        <v>19</v>
      </c>
      <c r="D6" s="27" t="s">
        <v>20</v>
      </c>
      <c r="E6" s="28">
        <v>3600000</v>
      </c>
      <c r="F6" s="29">
        <v>3584.39</v>
      </c>
      <c r="G6" s="29">
        <v>35.06</v>
      </c>
      <c r="H6" s="29">
        <v>7.36</v>
      </c>
      <c r="J6" s="24"/>
      <c r="K6" s="24"/>
      <c r="L6" s="24"/>
      <c r="N6" s="30" t="s">
        <v>21</v>
      </c>
      <c r="O6" s="26"/>
      <c r="P6" s="26"/>
      <c r="Q6" s="26"/>
    </row>
    <row r="7" spans="2:17" x14ac:dyDescent="0.2">
      <c r="B7" s="27" t="s">
        <v>22</v>
      </c>
      <c r="C7" s="27" t="s">
        <v>23</v>
      </c>
      <c r="D7" s="27" t="s">
        <v>20</v>
      </c>
      <c r="E7" s="28">
        <v>3500000</v>
      </c>
      <c r="F7" s="29">
        <v>3508.29</v>
      </c>
      <c r="G7" s="29">
        <v>34.32</v>
      </c>
      <c r="H7" s="29">
        <v>7.27</v>
      </c>
      <c r="I7" s="4"/>
      <c r="J7" s="24"/>
      <c r="K7" s="24"/>
      <c r="L7" s="24"/>
      <c r="M7" s="4"/>
      <c r="N7" s="31" t="s">
        <v>24</v>
      </c>
      <c r="O7" s="32"/>
      <c r="P7" s="32"/>
      <c r="Q7" s="32"/>
    </row>
    <row r="8" spans="2:17" x14ac:dyDescent="0.2">
      <c r="B8" s="27" t="s">
        <v>25</v>
      </c>
      <c r="C8" s="27" t="s">
        <v>26</v>
      </c>
      <c r="D8" s="27" t="s">
        <v>20</v>
      </c>
      <c r="E8" s="28">
        <v>770300</v>
      </c>
      <c r="F8" s="29">
        <v>767.79</v>
      </c>
      <c r="G8" s="29">
        <v>7.51</v>
      </c>
      <c r="H8" s="29">
        <v>7.41</v>
      </c>
      <c r="I8" s="4"/>
      <c r="J8" s="24"/>
      <c r="K8" s="24"/>
      <c r="L8" s="24"/>
      <c r="M8" s="4"/>
      <c r="N8" s="31"/>
      <c r="O8" s="33"/>
      <c r="P8" s="33"/>
      <c r="Q8" s="33"/>
    </row>
    <row r="9" spans="2:17" x14ac:dyDescent="0.2">
      <c r="B9" s="27" t="s">
        <v>27</v>
      </c>
      <c r="C9" s="27" t="s">
        <v>28</v>
      </c>
      <c r="D9" s="27" t="s">
        <v>20</v>
      </c>
      <c r="E9" s="28">
        <v>600000</v>
      </c>
      <c r="F9" s="29">
        <v>602.17999999999995</v>
      </c>
      <c r="G9" s="29">
        <v>5.89</v>
      </c>
      <c r="H9" s="29">
        <v>7.4</v>
      </c>
      <c r="I9" s="4"/>
      <c r="J9" s="24"/>
      <c r="K9" s="24"/>
      <c r="L9" s="24"/>
      <c r="M9" s="4"/>
      <c r="N9" s="31" t="s">
        <v>29</v>
      </c>
      <c r="O9" s="32"/>
      <c r="P9" s="32"/>
      <c r="Q9" s="32"/>
    </row>
    <row r="10" spans="2:17" x14ac:dyDescent="0.2">
      <c r="B10" s="27" t="s">
        <v>30</v>
      </c>
      <c r="C10" s="27" t="s">
        <v>31</v>
      </c>
      <c r="D10" s="27" t="s">
        <v>20</v>
      </c>
      <c r="E10" s="28">
        <v>500000</v>
      </c>
      <c r="F10" s="29">
        <v>500.4</v>
      </c>
      <c r="G10" s="29">
        <v>4.8899999999999997</v>
      </c>
      <c r="H10" s="29">
        <v>7.2</v>
      </c>
      <c r="I10" s="4"/>
      <c r="J10" s="24"/>
      <c r="K10" s="24"/>
      <c r="L10" s="24"/>
      <c r="M10" s="4"/>
      <c r="N10" s="31"/>
      <c r="O10" s="33"/>
      <c r="P10" s="33"/>
      <c r="Q10" s="33"/>
    </row>
    <row r="11" spans="2:17" x14ac:dyDescent="0.2">
      <c r="B11" s="27" t="s">
        <v>32</v>
      </c>
      <c r="C11" s="27" t="s">
        <v>33</v>
      </c>
      <c r="D11" s="27" t="s">
        <v>20</v>
      </c>
      <c r="E11" s="28">
        <v>258900</v>
      </c>
      <c r="F11" s="29">
        <v>259.62</v>
      </c>
      <c r="G11" s="29">
        <v>2.54</v>
      </c>
      <c r="H11" s="29">
        <v>7.24</v>
      </c>
      <c r="I11" s="4"/>
      <c r="J11" s="24"/>
      <c r="K11" s="24"/>
      <c r="L11" s="24"/>
      <c r="M11" s="4"/>
      <c r="N11" s="31" t="s">
        <v>34</v>
      </c>
      <c r="O11" s="34" t="s">
        <v>35</v>
      </c>
      <c r="P11" s="32"/>
      <c r="Q11" s="32"/>
    </row>
    <row r="12" spans="2:17" x14ac:dyDescent="0.2">
      <c r="B12" s="27" t="s">
        <v>36</v>
      </c>
      <c r="C12" s="27" t="s">
        <v>37</v>
      </c>
      <c r="D12" s="27" t="s">
        <v>20</v>
      </c>
      <c r="E12" s="28">
        <v>250100</v>
      </c>
      <c r="F12" s="29">
        <v>252.65</v>
      </c>
      <c r="G12" s="29">
        <v>2.4700000000000002</v>
      </c>
      <c r="H12" s="29">
        <v>7.16</v>
      </c>
      <c r="I12" s="4"/>
      <c r="J12" s="24"/>
      <c r="K12" s="24"/>
      <c r="L12" s="24"/>
      <c r="M12" s="4"/>
      <c r="N12" s="31"/>
      <c r="O12" s="35"/>
      <c r="P12" s="33"/>
      <c r="Q12" s="33"/>
    </row>
    <row r="13" spans="2:17" x14ac:dyDescent="0.2">
      <c r="B13" s="36" t="s">
        <v>38</v>
      </c>
      <c r="C13" s="36" t="s">
        <v>39</v>
      </c>
      <c r="D13" s="36" t="s">
        <v>20</v>
      </c>
      <c r="E13" s="37">
        <v>10000</v>
      </c>
      <c r="F13" s="38">
        <v>10.94</v>
      </c>
      <c r="G13" s="38">
        <v>0.11</v>
      </c>
      <c r="H13" s="38">
        <v>7.39</v>
      </c>
      <c r="I13" s="4"/>
      <c r="J13" s="39"/>
      <c r="K13" s="39" t="s">
        <v>40</v>
      </c>
      <c r="L13" s="4"/>
      <c r="M13" s="4"/>
    </row>
    <row r="14" spans="2:17" x14ac:dyDescent="0.2">
      <c r="B14" s="40" t="s">
        <v>41</v>
      </c>
      <c r="C14" s="40"/>
      <c r="D14" s="40"/>
      <c r="E14" s="41"/>
      <c r="F14" s="42">
        <f>SUM(F6:F13)</f>
        <v>9486.26</v>
      </c>
      <c r="G14" s="42">
        <f>SUM(G6:G13)</f>
        <v>92.79</v>
      </c>
      <c r="H14" s="42"/>
      <c r="I14" s="4"/>
      <c r="L14" s="4"/>
    </row>
    <row r="15" spans="2:17" x14ac:dyDescent="0.2">
      <c r="B15" s="43" t="s">
        <v>42</v>
      </c>
      <c r="C15" s="27"/>
      <c r="D15" s="27"/>
      <c r="E15" s="44"/>
      <c r="F15" s="29"/>
      <c r="G15" s="29"/>
      <c r="H15" s="29"/>
      <c r="I15" s="4"/>
      <c r="L15" s="4"/>
    </row>
    <row r="16" spans="2:17" x14ac:dyDescent="0.2">
      <c r="B16" s="27" t="s">
        <v>42</v>
      </c>
      <c r="C16" s="27"/>
      <c r="D16" s="27"/>
      <c r="E16" s="44"/>
      <c r="F16" s="29">
        <v>542.73</v>
      </c>
      <c r="G16" s="29">
        <v>5.31</v>
      </c>
      <c r="H16" s="29"/>
      <c r="I16" s="4"/>
      <c r="L16" s="4"/>
    </row>
    <row r="17" spans="2:12" x14ac:dyDescent="0.2">
      <c r="B17" s="45" t="s">
        <v>43</v>
      </c>
      <c r="C17" s="45"/>
      <c r="D17" s="45"/>
      <c r="E17" s="46"/>
      <c r="F17" s="47">
        <f>SUM(F15:F16)</f>
        <v>542.73</v>
      </c>
      <c r="G17" s="47">
        <f>SUM(G15:G16)</f>
        <v>5.31</v>
      </c>
      <c r="H17" s="48"/>
      <c r="I17" s="4"/>
      <c r="L17" s="4"/>
    </row>
    <row r="18" spans="2:12" x14ac:dyDescent="0.2">
      <c r="B18" s="49" t="s">
        <v>41</v>
      </c>
      <c r="C18" s="49"/>
      <c r="D18" s="49"/>
      <c r="E18" s="50"/>
      <c r="F18" s="51">
        <f>F17</f>
        <v>542.73</v>
      </c>
      <c r="G18" s="51">
        <f>G17</f>
        <v>5.31</v>
      </c>
      <c r="H18" s="51"/>
      <c r="I18" s="4"/>
      <c r="L18" s="4"/>
    </row>
    <row r="19" spans="2:12" x14ac:dyDescent="0.2">
      <c r="B19" s="52" t="s">
        <v>44</v>
      </c>
      <c r="C19" s="52"/>
      <c r="D19" s="52"/>
      <c r="E19" s="53"/>
      <c r="F19" s="54">
        <f>F20-(+F14+F18)</f>
        <v>193.94000000000051</v>
      </c>
      <c r="G19" s="54">
        <f>G20-(+G14+G18)</f>
        <v>1.8999999999999915</v>
      </c>
      <c r="H19" s="54"/>
      <c r="I19" s="4"/>
      <c r="L19" s="4"/>
    </row>
    <row r="20" spans="2:12" x14ac:dyDescent="0.2">
      <c r="B20" s="52" t="s">
        <v>45</v>
      </c>
      <c r="C20" s="52"/>
      <c r="D20" s="52"/>
      <c r="E20" s="53"/>
      <c r="F20" s="54">
        <v>10222.93</v>
      </c>
      <c r="G20" s="54">
        <v>100</v>
      </c>
      <c r="H20" s="54"/>
      <c r="I20" s="4"/>
      <c r="L20" s="4"/>
    </row>
    <row r="21" spans="2:12" x14ac:dyDescent="0.2">
      <c r="I21" s="4"/>
      <c r="L21" s="4"/>
    </row>
    <row r="22" spans="2:12" ht="12.75" thickBot="1" x14ac:dyDescent="0.25">
      <c r="I22" s="4"/>
      <c r="L22" s="4"/>
    </row>
    <row r="23" spans="2:12" ht="13.5" thickTop="1" thickBot="1" x14ac:dyDescent="0.25">
      <c r="B23" s="56" t="s">
        <v>46</v>
      </c>
      <c r="C23" s="57">
        <v>7.4015000000000004</v>
      </c>
      <c r="I23" s="4"/>
      <c r="L23" s="4"/>
    </row>
    <row r="24" spans="2:12" ht="13.5" thickTop="1" thickBot="1" x14ac:dyDescent="0.25">
      <c r="I24" s="4"/>
      <c r="L24" s="4"/>
    </row>
    <row r="25" spans="2:12" ht="13.5" thickTop="1" thickBot="1" x14ac:dyDescent="0.25">
      <c r="B25" s="56" t="s">
        <v>47</v>
      </c>
      <c r="C25" s="58">
        <v>7.2700000000000001E-2</v>
      </c>
      <c r="I25" s="4"/>
      <c r="L25" s="4"/>
    </row>
    <row r="26" spans="2:12" ht="13.5" thickTop="1" thickBot="1" x14ac:dyDescent="0.25">
      <c r="I26" s="4"/>
      <c r="L26" s="4"/>
    </row>
    <row r="27" spans="2:12" ht="13.5" thickTop="1" thickBot="1" x14ac:dyDescent="0.25">
      <c r="B27" s="56" t="s">
        <v>48</v>
      </c>
      <c r="C27" s="57">
        <v>7.7046999999999999</v>
      </c>
      <c r="I27" s="4"/>
      <c r="L27" s="4"/>
    </row>
    <row r="28" spans="2:12" ht="12.75" thickTop="1" x14ac:dyDescent="0.2">
      <c r="I28" s="4"/>
      <c r="L28" s="4"/>
    </row>
    <row r="29" spans="2:12" x14ac:dyDescent="0.2">
      <c r="I29" s="4"/>
      <c r="L29" s="4"/>
    </row>
    <row r="30" spans="2:12" x14ac:dyDescent="0.2">
      <c r="I30" s="4"/>
      <c r="L30" s="4"/>
    </row>
    <row r="31" spans="2:12" x14ac:dyDescent="0.2">
      <c r="I31" s="4"/>
      <c r="L31" s="4"/>
    </row>
    <row r="32" spans="2:12" x14ac:dyDescent="0.2">
      <c r="I32" s="4"/>
      <c r="L32" s="4"/>
    </row>
    <row r="33" spans="9:12" x14ac:dyDescent="0.2">
      <c r="I33" s="4"/>
      <c r="L33" s="4"/>
    </row>
    <row r="34" spans="9:12" x14ac:dyDescent="0.2">
      <c r="I34" s="4"/>
      <c r="L34" s="4"/>
    </row>
    <row r="35" spans="9:12" x14ac:dyDescent="0.2">
      <c r="I35" s="4"/>
      <c r="L35" s="4"/>
    </row>
    <row r="36" spans="9:12" x14ac:dyDescent="0.2">
      <c r="I36" s="4"/>
      <c r="L36" s="4"/>
    </row>
    <row r="37" spans="9:12" x14ac:dyDescent="0.2">
      <c r="I37" s="4"/>
      <c r="L37" s="4"/>
    </row>
    <row r="38" spans="9:12" x14ac:dyDescent="0.2">
      <c r="I38" s="4"/>
      <c r="L38" s="4"/>
    </row>
    <row r="39" spans="9:12" x14ac:dyDescent="0.2">
      <c r="I39" s="4"/>
      <c r="L39" s="4"/>
    </row>
    <row r="40" spans="9:12" x14ac:dyDescent="0.2">
      <c r="I40" s="4"/>
      <c r="L40" s="4"/>
    </row>
    <row r="41" spans="9:12" x14ac:dyDescent="0.2">
      <c r="I41" s="4"/>
      <c r="L41" s="4"/>
    </row>
    <row r="42" spans="9:12" x14ac:dyDescent="0.2">
      <c r="I42" s="4"/>
      <c r="L42" s="4"/>
    </row>
    <row r="43" spans="9:12" x14ac:dyDescent="0.2">
      <c r="I43" s="4"/>
      <c r="L43" s="4"/>
    </row>
    <row r="44" spans="9:12" x14ac:dyDescent="0.2">
      <c r="I44" s="4"/>
      <c r="L44" s="4"/>
    </row>
    <row r="45" spans="9:12" x14ac:dyDescent="0.2">
      <c r="I45" s="4"/>
      <c r="L45" s="4"/>
    </row>
    <row r="46" spans="9:12" x14ac:dyDescent="0.2">
      <c r="I46" s="4"/>
      <c r="L46" s="4"/>
    </row>
    <row r="47" spans="9:12" x14ac:dyDescent="0.2">
      <c r="I47" s="4"/>
      <c r="L47" s="4"/>
    </row>
    <row r="48" spans="9:12" x14ac:dyDescent="0.2">
      <c r="I48" s="4"/>
      <c r="L48" s="4"/>
    </row>
    <row r="49" spans="9:12" x14ac:dyDescent="0.2">
      <c r="I49" s="4"/>
      <c r="L49" s="4"/>
    </row>
    <row r="50" spans="9:12" x14ac:dyDescent="0.2">
      <c r="I50" s="4"/>
      <c r="L50" s="4"/>
    </row>
    <row r="51" spans="9:12" x14ac:dyDescent="0.2">
      <c r="I51" s="4"/>
      <c r="L51" s="4"/>
    </row>
    <row r="52" spans="9:12" x14ac:dyDescent="0.2">
      <c r="I52" s="4"/>
      <c r="L52" s="4"/>
    </row>
    <row r="53" spans="9:12" x14ac:dyDescent="0.2">
      <c r="I53" s="4"/>
      <c r="L53" s="4"/>
    </row>
    <row r="54" spans="9:12" x14ac:dyDescent="0.2">
      <c r="I54" s="4"/>
      <c r="L54" s="4"/>
    </row>
    <row r="55" spans="9:12" x14ac:dyDescent="0.2">
      <c r="I55" s="4"/>
      <c r="L55" s="4"/>
    </row>
    <row r="56" spans="9:12" x14ac:dyDescent="0.2">
      <c r="I56" s="4"/>
      <c r="L56" s="4"/>
    </row>
    <row r="57" spans="9:12" x14ac:dyDescent="0.2">
      <c r="I57" s="4"/>
      <c r="L57" s="4"/>
    </row>
    <row r="58" spans="9:12" x14ac:dyDescent="0.2">
      <c r="I58" s="4"/>
      <c r="L58" s="4"/>
    </row>
    <row r="59" spans="9:12" x14ac:dyDescent="0.2">
      <c r="I59" s="4"/>
      <c r="L59" s="4"/>
    </row>
    <row r="60" spans="9:12" x14ac:dyDescent="0.2">
      <c r="I60" s="4"/>
      <c r="L60" s="4"/>
    </row>
    <row r="61" spans="9:12" x14ac:dyDescent="0.2">
      <c r="I61" s="4"/>
      <c r="L61" s="4"/>
    </row>
    <row r="62" spans="9:12" x14ac:dyDescent="0.2">
      <c r="I62" s="4"/>
      <c r="L62" s="4"/>
    </row>
    <row r="63" spans="9:12" x14ac:dyDescent="0.2">
      <c r="I63" s="4"/>
      <c r="L63" s="4"/>
    </row>
    <row r="64" spans="9:12" x14ac:dyDescent="0.2">
      <c r="I64" s="4"/>
      <c r="L64" s="4"/>
    </row>
    <row r="65" spans="9:12" x14ac:dyDescent="0.2">
      <c r="I65" s="4"/>
      <c r="L65" s="4"/>
    </row>
    <row r="66" spans="9:12" x14ac:dyDescent="0.2">
      <c r="I66" s="4"/>
      <c r="L66" s="4"/>
    </row>
    <row r="67" spans="9:12" x14ac:dyDescent="0.2">
      <c r="I67" s="4"/>
      <c r="L67" s="4"/>
    </row>
    <row r="68" spans="9:12" x14ac:dyDescent="0.2">
      <c r="I68" s="4"/>
      <c r="L68" s="4"/>
    </row>
    <row r="69" spans="9:12" x14ac:dyDescent="0.2">
      <c r="I69" s="4"/>
      <c r="L69" s="4"/>
    </row>
    <row r="70" spans="9:12" x14ac:dyDescent="0.2">
      <c r="I70" s="4"/>
      <c r="L70" s="4"/>
    </row>
  </sheetData>
  <mergeCells count="20">
    <mergeCell ref="N11:N12"/>
    <mergeCell ref="O11:O12"/>
    <mergeCell ref="P11:P12"/>
    <mergeCell ref="Q11:Q12"/>
    <mergeCell ref="P7:P8"/>
    <mergeCell ref="Q7:Q8"/>
    <mergeCell ref="N9:N10"/>
    <mergeCell ref="O9:O10"/>
    <mergeCell ref="P9:P10"/>
    <mergeCell ref="Q9:Q10"/>
    <mergeCell ref="B1:H1"/>
    <mergeCell ref="N4:Q4"/>
    <mergeCell ref="J5:J12"/>
    <mergeCell ref="K5:K12"/>
    <mergeCell ref="L5:L12"/>
    <mergeCell ref="O5:O6"/>
    <mergeCell ref="P5:P6"/>
    <mergeCell ref="Q5:Q6"/>
    <mergeCell ref="N7:N8"/>
    <mergeCell ref="O7:O8"/>
  </mergeCells>
  <pageMargins left="0.7" right="0.7" top="0.75" bottom="0.75" header="0.3" footer="0.3"/>
  <pageSetup paperSize="9" orientation="portrait" r:id="rId1"/>
  <headerFooter>
    <oddFooter>&amp;C&amp;1#&amp;"Calibri"&amp;10&amp;K000000PUBLIC</oddFooter>
    <evenFooter>&amp;LPUBLIC</evenFooter>
    <firstFooter>&amp;LPUBLIC</firstFoot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Klassify>
  <SNO>1</SNO>
  <KDate>2024-02-07 17:18:26</KDate>
  <Classification>Public</Classification>
  <Subclassification/>
  <HostName>MUMCMP00935</HostName>
  <Domain_User>CANARAROBECOMF/628</Domain_User>
  <IPAdd>192.9.198.194</IPAdd>
  <FilePath>Book14</FilePath>
  <KID>C025A5607E97638429231068095594</KID>
  <UniqueName/>
  <Suggested/>
  <Justification/>
</Klassify>
</file>

<file path=customXml/itemProps1.xml><?xml version="1.0" encoding="utf-8"?>
<ds:datastoreItem xmlns:ds="http://schemas.openxmlformats.org/officeDocument/2006/customXml" ds:itemID="{14519B0E-020C-4315-AAEC-AC03CEE4368A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Ruchi Kanabar</dc:creator>
  <cp:lastModifiedBy>Ruchi Kanabar</cp:lastModifiedBy>
  <dcterms:created xsi:type="dcterms:W3CDTF">2024-02-07T11:48:22Z</dcterms:created>
  <dcterms:modified xsi:type="dcterms:W3CDTF">2024-02-07T11:48:26Z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lassification">
    <vt:lpwstr>Public</vt:lpwstr>
  </property>
  <property fmtid="{D5CDD505-2E9C-101B-9397-08002B2CF9AE}" pid="3" name="Rules">
    <vt:lpwstr/>
  </property>
  <property fmtid="{D5CDD505-2E9C-101B-9397-08002B2CF9AE}" pid="4" name="KID">
    <vt:lpwstr>C025A5607E97638429231068095594</vt:lpwstr>
  </property>
</Properties>
</file>