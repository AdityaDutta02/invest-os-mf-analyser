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3" i="1" l="1"/>
  <c r="G62" i="1"/>
  <c r="G63" i="1" s="1"/>
  <c r="F62" i="1"/>
  <c r="G58" i="1"/>
  <c r="G59" i="1" s="1"/>
  <c r="G64" i="1" s="1"/>
  <c r="F58" i="1"/>
  <c r="F59" i="1" s="1"/>
  <c r="F64" i="1" s="1"/>
</calcChain>
</file>

<file path=xl/sharedStrings.xml><?xml version="1.0" encoding="utf-8"?>
<sst xmlns="http://schemas.openxmlformats.org/spreadsheetml/2006/main" count="175" uniqueCount="147">
  <si>
    <t>CANARA ROBECO EQUITY TAX SAVER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</si>
  <si>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</si>
  <si>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</si>
  <si>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</si>
  <si>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</si>
  <si>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</si>
  <si>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</si>
  <si>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</si>
  <si>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Mar'22</t>
  </si>
  <si>
    <t>Benchmark Risk-o-meter Level- Mar'22</t>
  </si>
  <si>
    <t>Previous Scheme Risk-o-meter Level- Feb'22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</si>
  <si>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</si>
  <si>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</si>
  <si>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</si>
  <si>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</si>
  <si>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</si>
  <si>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</si>
  <si>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</si>
  <si>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</si>
  <si>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</si>
  <si>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</si>
  <si>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</si>
  <si>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</si>
  <si>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</si>
  <si>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Tata Consultancy Services Ltd</t>
  </si>
  <si>
    <t>INE467B01029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</si>
  <si>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</si>
  <si>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</si>
  <si>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</si>
  <si>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</si>
  <si>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</si>
  <si>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</si>
  <si>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Benchmark: S&amp;P BSE 500 TRI</t>
  </si>
  <si>
    <t>Bharti Airtel Ltd</t>
  </si>
  <si>
    <t>INE397D01024</t>
  </si>
  <si>
    <t>Telecom - Services</t>
  </si>
  <si>
    <t>Ultratech Cement Ltd</t>
  </si>
  <si>
    <t>INE481G01011</t>
  </si>
  <si>
    <t>Cement &amp; Cement Products</t>
  </si>
  <si>
    <t>State Bank of India</t>
  </si>
  <si>
    <t>INE062A01020</t>
  </si>
  <si>
    <t>Kotak Mahindra Bank Ltd</t>
  </si>
  <si>
    <t>INE237A01028</t>
  </si>
  <si>
    <t>Axis Bank Ltd</t>
  </si>
  <si>
    <t>INE238A01034</t>
  </si>
  <si>
    <t>United Spirits Ltd</t>
  </si>
  <si>
    <t>INE854D01024</t>
  </si>
  <si>
    <t>Consumer Non Durables</t>
  </si>
  <si>
    <t>Sun Pharmaceutical Industries Ltd</t>
  </si>
  <si>
    <t>INE044A01036</t>
  </si>
  <si>
    <t>Pharmaceuticals</t>
  </si>
  <si>
    <t>Hindustan Unilever Ltd</t>
  </si>
  <si>
    <t>INE030A01027</t>
  </si>
  <si>
    <t>Housing Development Finance Corporation Ltd</t>
  </si>
  <si>
    <t>INE001A01036</t>
  </si>
  <si>
    <t>ABB India Ltd</t>
  </si>
  <si>
    <t>INE117A01022</t>
  </si>
  <si>
    <t>Industrial Capital Goods</t>
  </si>
  <si>
    <t>Navin Fluorine International Ltd</t>
  </si>
  <si>
    <t>INE048G01026</t>
  </si>
  <si>
    <t>Chemicals</t>
  </si>
  <si>
    <t>Tata Consumer Products Ltd</t>
  </si>
  <si>
    <t>INE192A01025</t>
  </si>
  <si>
    <t>Mphasis Ltd</t>
  </si>
  <si>
    <t>INE356A01018</t>
  </si>
  <si>
    <t>Voltas Ltd</t>
  </si>
  <si>
    <t>INE226A01021</t>
  </si>
  <si>
    <t>Consumer Durables</t>
  </si>
  <si>
    <t>Abbott India Ltd</t>
  </si>
  <si>
    <t>INE358A01014</t>
  </si>
  <si>
    <t>Maruti Suzuki India Ltd</t>
  </si>
  <si>
    <t>INE585B01010</t>
  </si>
  <si>
    <t>Auto</t>
  </si>
  <si>
    <t>Hindalco Industries Ltd</t>
  </si>
  <si>
    <t>INE038A01020</t>
  </si>
  <si>
    <t>Non - Ferrous Metals</t>
  </si>
  <si>
    <t>Bata India Ltd</t>
  </si>
  <si>
    <t>INE176A01028</t>
  </si>
  <si>
    <t>Indian Hotels Co Ltd</t>
  </si>
  <si>
    <t>INE053A01029</t>
  </si>
  <si>
    <t>Leisure Services</t>
  </si>
  <si>
    <t>Oberoi Realty Ltd</t>
  </si>
  <si>
    <t>INE093I01010</t>
  </si>
  <si>
    <t>Construction</t>
  </si>
  <si>
    <t>PI Industries Ltd</t>
  </si>
  <si>
    <t>INE603J01030</t>
  </si>
  <si>
    <t>Pesticides</t>
  </si>
  <si>
    <t>Page Industries Ltd</t>
  </si>
  <si>
    <t>INE761H01022</t>
  </si>
  <si>
    <t>Textile Products</t>
  </si>
  <si>
    <t>Bajaj Auto Ltd</t>
  </si>
  <si>
    <t>INE917I01010</t>
  </si>
  <si>
    <t>Minda Industries Ltd</t>
  </si>
  <si>
    <t>INE405E01023</t>
  </si>
  <si>
    <t>Auto Ancillaries</t>
  </si>
  <si>
    <t>Titan Co Ltd</t>
  </si>
  <si>
    <t>INE280A01028</t>
  </si>
  <si>
    <t>Persistent Systems Ltd</t>
  </si>
  <si>
    <t>INE262H01013</t>
  </si>
  <si>
    <t>Asian Paints Ltd</t>
  </si>
  <si>
    <t>INE021A01026</t>
  </si>
  <si>
    <t>Max Healthcare Institute Ltd</t>
  </si>
  <si>
    <t>INE027H01010</t>
  </si>
  <si>
    <t>Healthcare Services</t>
  </si>
  <si>
    <t>PVR Ltd</t>
  </si>
  <si>
    <t>INE191H01014</t>
  </si>
  <si>
    <t>Entertainment</t>
  </si>
  <si>
    <t>Siemens Ltd</t>
  </si>
  <si>
    <t>INE003A01024</t>
  </si>
  <si>
    <t>Schaeffler India Ltd</t>
  </si>
  <si>
    <t>INE513A01022</t>
  </si>
  <si>
    <t>Industrial Products</t>
  </si>
  <si>
    <t>Gland Pharma Ltd</t>
  </si>
  <si>
    <t>INE068V01023</t>
  </si>
  <si>
    <t>Divi's Laboratories Ltd</t>
  </si>
  <si>
    <t>INE361B01024</t>
  </si>
  <si>
    <t>Cholamandalam Investment and Finance Co Ltd</t>
  </si>
  <si>
    <t>INE121A01024</t>
  </si>
  <si>
    <t>Tata Motors Ltd</t>
  </si>
  <si>
    <t>INE155A01022</t>
  </si>
  <si>
    <t>Honeywell Automation India Ltd</t>
  </si>
  <si>
    <t>INE671A01010</t>
  </si>
  <si>
    <t>Godrej Consumer Products Ltd</t>
  </si>
  <si>
    <t>INE102D01028</t>
  </si>
  <si>
    <t>Max Financial Services Ltd</t>
  </si>
  <si>
    <t>INE180A01020</t>
  </si>
  <si>
    <t>Insurance</t>
  </si>
  <si>
    <t>ZF Commercial Vehicle Control Systems India Ltd</t>
  </si>
  <si>
    <t>INE342J01019</t>
  </si>
  <si>
    <t>SBI Life Insurance Co Ltd</t>
  </si>
  <si>
    <t>INE123W01016</t>
  </si>
  <si>
    <t>TCI Express Ltd</t>
  </si>
  <si>
    <t>INE586V01016</t>
  </si>
  <si>
    <t>Transportation</t>
  </si>
  <si>
    <t>Gujarat Gas Ltd</t>
  </si>
  <si>
    <t>INE844O01030</t>
  </si>
  <si>
    <t>Gas</t>
  </si>
  <si>
    <t>Avenue Supermarts Ltd</t>
  </si>
  <si>
    <t>INE192R01011</t>
  </si>
  <si>
    <t>Retailing</t>
  </si>
  <si>
    <t>Jubilant Foodworks Ltd</t>
  </si>
  <si>
    <t>INE797F01012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</si>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</sst>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57149</xdr:colOff>
      <xdr:row>4</xdr:row>
      <xdr:rowOff>66676</xdr:rowOff>
    </xdr:from>
    <xdr:to>
      <xdr:col>10</xdr:col>
      <xdr:colOff>1895475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5324" y="1076326"/>
          <a:ext cx="1838326" cy="1038224"/>
        </a:xfrm>
        <a:prstGeom prst="rect">
          <a:avLst/>
        </a:prstGeom>
      </xdr:spPr>
    </xdr:pic>
    <xdr:clientData/>
  </xdr:twoCellAnchor>
  <xdr:twoCellAnchor editAs="oneCell">
    <xdr:from>
      <xdr:col>9</xdr:col>
      <xdr:colOff>62390</xdr:colOff>
      <xdr:row>4</xdr:row>
      <xdr:rowOff>66766</xdr:rowOff>
    </xdr:from>
    <xdr:to>
      <xdr:col>9</xdr:col>
      <xdr:colOff>2105534</xdr:colOff>
      <xdr:row>11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7915" y="1076416"/>
          <a:ext cx="2043144" cy="1028609"/>
        </a:xfrm>
        <a:prstGeom prst="rect">
          <a:avLst/>
        </a:prstGeom>
      </xdr:spPr>
    </xdr:pic>
    <xdr:clientData/>
  </xdr:twoCellAnchor>
  <xdr:oneCellAnchor>
    <xdr:from>
      <xdr:col>11</xdr:col>
      <xdr:colOff>36340</xdr:colOff>
      <xdr:row>4</xdr:row>
      <xdr:rowOff>36815</xdr:rowOff>
    </xdr:from>
    <xdr:ext cx="1782935" cy="11347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8090" y="1046465"/>
          <a:ext cx="1782935" cy="1134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7"/>
  <sheetViews>
    <sheetView tabSelected="1" zoomScaleNormal="100" workbookViewId="0">
      <selection activeCell="H8" sqref="H8"/>
    </sheetView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23.42578125" style="4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32.28515625" style="3" customWidth="1"/>
    <col min="11" max="11" width="29" style="3" customWidth="1"/>
    <col min="12" max="12" width="28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0"/>
    </row>
    <row r="6" spans="2:12">
      <c r="B6" s="21" t="s">
        <v>12</v>
      </c>
      <c r="C6" s="22"/>
      <c r="D6" s="22"/>
      <c r="E6" s="23"/>
      <c r="F6" s="24"/>
      <c r="G6" s="24"/>
      <c r="J6" s="20"/>
      <c r="K6" s="20"/>
      <c r="L6" s="20"/>
    </row>
    <row r="7" spans="2:12">
      <c r="B7" s="25" t="s">
        <v>13</v>
      </c>
      <c r="C7" s="22" t="s">
        <v>14</v>
      </c>
      <c r="D7" s="22" t="s">
        <v>15</v>
      </c>
      <c r="E7" s="26">
        <v>1621310</v>
      </c>
      <c r="F7" s="24">
        <v>30915.95</v>
      </c>
      <c r="G7" s="24">
        <v>8.6199999999999992</v>
      </c>
      <c r="J7" s="20"/>
      <c r="K7" s="20"/>
      <c r="L7" s="20"/>
    </row>
    <row r="8" spans="2:12">
      <c r="B8" s="25" t="s">
        <v>16</v>
      </c>
      <c r="C8" s="22" t="s">
        <v>17</v>
      </c>
      <c r="D8" s="22" t="s">
        <v>18</v>
      </c>
      <c r="E8" s="26">
        <v>1667184</v>
      </c>
      <c r="F8" s="24">
        <v>24513.439999999999</v>
      </c>
      <c r="G8" s="24">
        <v>6.84</v>
      </c>
      <c r="J8" s="20"/>
      <c r="K8" s="20"/>
      <c r="L8" s="20"/>
    </row>
    <row r="9" spans="2:12">
      <c r="B9" s="25" t="s">
        <v>19</v>
      </c>
      <c r="C9" s="22" t="s">
        <v>20</v>
      </c>
      <c r="D9" s="22" t="s">
        <v>18</v>
      </c>
      <c r="E9" s="26">
        <v>3286000</v>
      </c>
      <c r="F9" s="24">
        <v>23997.66</v>
      </c>
      <c r="G9" s="24">
        <v>6.69</v>
      </c>
      <c r="J9" s="20"/>
      <c r="K9" s="20"/>
      <c r="L9" s="20"/>
    </row>
    <row r="10" spans="2:12">
      <c r="B10" s="25" t="s">
        <v>21</v>
      </c>
      <c r="C10" s="22" t="s">
        <v>22</v>
      </c>
      <c r="D10" s="22" t="s">
        <v>23</v>
      </c>
      <c r="E10" s="26">
        <v>718500</v>
      </c>
      <c r="F10" s="24">
        <v>18930.68</v>
      </c>
      <c r="G10" s="24">
        <v>5.28</v>
      </c>
      <c r="J10" s="20"/>
      <c r="K10" s="20"/>
      <c r="L10" s="20"/>
    </row>
    <row r="11" spans="2:12">
      <c r="B11" s="25" t="s">
        <v>24</v>
      </c>
      <c r="C11" s="22" t="s">
        <v>25</v>
      </c>
      <c r="D11" s="22" t="s">
        <v>15</v>
      </c>
      <c r="E11" s="26">
        <v>333712</v>
      </c>
      <c r="F11" s="24">
        <v>12480.66</v>
      </c>
      <c r="G11" s="24">
        <v>3.48</v>
      </c>
      <c r="J11" s="20"/>
      <c r="K11" s="20"/>
      <c r="L11" s="20"/>
    </row>
    <row r="12" spans="2:12">
      <c r="B12" s="25" t="s">
        <v>26</v>
      </c>
      <c r="C12" s="22" t="s">
        <v>27</v>
      </c>
      <c r="D12" s="22" t="s">
        <v>28</v>
      </c>
      <c r="E12" s="26">
        <v>170450</v>
      </c>
      <c r="F12" s="24">
        <v>12374.58</v>
      </c>
      <c r="G12" s="24">
        <v>3.45</v>
      </c>
      <c r="J12" s="20"/>
      <c r="K12" s="20"/>
      <c r="L12" s="20"/>
    </row>
    <row r="13" spans="2:12">
      <c r="B13" s="25" t="s">
        <v>29</v>
      </c>
      <c r="C13" s="22" t="s">
        <v>30</v>
      </c>
      <c r="D13" s="22" t="s">
        <v>31</v>
      </c>
      <c r="E13" s="26">
        <v>575000</v>
      </c>
      <c r="F13" s="24">
        <v>10163.99</v>
      </c>
      <c r="G13" s="24">
        <v>2.83</v>
      </c>
      <c r="K13" s="3" t="s">
        <v>32</v>
      </c>
    </row>
    <row r="14" spans="2:12">
      <c r="B14" s="25" t="s">
        <v>33</v>
      </c>
      <c r="C14" s="22" t="s">
        <v>34</v>
      </c>
      <c r="D14" s="22" t="s">
        <v>35</v>
      </c>
      <c r="E14" s="26">
        <v>1165000</v>
      </c>
      <c r="F14" s="24">
        <v>8795.17</v>
      </c>
      <c r="G14" s="24">
        <v>2.4500000000000002</v>
      </c>
    </row>
    <row r="15" spans="2:12">
      <c r="B15" s="25" t="s">
        <v>36</v>
      </c>
      <c r="C15" s="22" t="s">
        <v>37</v>
      </c>
      <c r="D15" s="22" t="s">
        <v>38</v>
      </c>
      <c r="E15" s="26">
        <v>128500</v>
      </c>
      <c r="F15" s="24">
        <v>8483.9599999999991</v>
      </c>
      <c r="G15" s="24">
        <v>2.37</v>
      </c>
    </row>
    <row r="16" spans="2:12">
      <c r="B16" s="25" t="s">
        <v>39</v>
      </c>
      <c r="C16" s="22" t="s">
        <v>40</v>
      </c>
      <c r="D16" s="22" t="s">
        <v>18</v>
      </c>
      <c r="E16" s="26">
        <v>1700000</v>
      </c>
      <c r="F16" s="24">
        <v>8390.35</v>
      </c>
      <c r="G16" s="24">
        <v>2.34</v>
      </c>
    </row>
    <row r="17" spans="2:7">
      <c r="B17" s="25" t="s">
        <v>41</v>
      </c>
      <c r="C17" s="22" t="s">
        <v>42</v>
      </c>
      <c r="D17" s="22" t="s">
        <v>18</v>
      </c>
      <c r="E17" s="26">
        <v>472500</v>
      </c>
      <c r="F17" s="24">
        <v>8286.94</v>
      </c>
      <c r="G17" s="24">
        <v>2.31</v>
      </c>
    </row>
    <row r="18" spans="2:7">
      <c r="B18" s="25" t="s">
        <v>43</v>
      </c>
      <c r="C18" s="22" t="s">
        <v>44</v>
      </c>
      <c r="D18" s="22" t="s">
        <v>18</v>
      </c>
      <c r="E18" s="26">
        <v>918000</v>
      </c>
      <c r="F18" s="24">
        <v>6987.36</v>
      </c>
      <c r="G18" s="24">
        <v>1.95</v>
      </c>
    </row>
    <row r="19" spans="2:7">
      <c r="B19" s="25" t="s">
        <v>45</v>
      </c>
      <c r="C19" s="22" t="s">
        <v>46</v>
      </c>
      <c r="D19" s="22" t="s">
        <v>47</v>
      </c>
      <c r="E19" s="26">
        <v>785000</v>
      </c>
      <c r="F19" s="24">
        <v>6973.55</v>
      </c>
      <c r="G19" s="24">
        <v>1.94</v>
      </c>
    </row>
    <row r="20" spans="2:7">
      <c r="B20" s="25" t="s">
        <v>48</v>
      </c>
      <c r="C20" s="22" t="s">
        <v>49</v>
      </c>
      <c r="D20" s="22" t="s">
        <v>50</v>
      </c>
      <c r="E20" s="26">
        <v>760000</v>
      </c>
      <c r="F20" s="24">
        <v>6952.1</v>
      </c>
      <c r="G20" s="24">
        <v>1.94</v>
      </c>
    </row>
    <row r="21" spans="2:7">
      <c r="B21" s="25" t="s">
        <v>51</v>
      </c>
      <c r="C21" s="22" t="s">
        <v>52</v>
      </c>
      <c r="D21" s="22" t="s">
        <v>47</v>
      </c>
      <c r="E21" s="26">
        <v>336690</v>
      </c>
      <c r="F21" s="24">
        <v>6897.6</v>
      </c>
      <c r="G21" s="24">
        <v>1.92</v>
      </c>
    </row>
    <row r="22" spans="2:7">
      <c r="B22" s="25" t="s">
        <v>53</v>
      </c>
      <c r="C22" s="22" t="s">
        <v>54</v>
      </c>
      <c r="D22" s="22" t="s">
        <v>28</v>
      </c>
      <c r="E22" s="26">
        <v>287500</v>
      </c>
      <c r="F22" s="24">
        <v>6872.4</v>
      </c>
      <c r="G22" s="24">
        <v>1.92</v>
      </c>
    </row>
    <row r="23" spans="2:7">
      <c r="B23" s="25" t="s">
        <v>55</v>
      </c>
      <c r="C23" s="22" t="s">
        <v>56</v>
      </c>
      <c r="D23" s="22" t="s">
        <v>57</v>
      </c>
      <c r="E23" s="26">
        <v>312500</v>
      </c>
      <c r="F23" s="24">
        <v>6743.59</v>
      </c>
      <c r="G23" s="24">
        <v>1.88</v>
      </c>
    </row>
    <row r="24" spans="2:7">
      <c r="B24" s="25" t="s">
        <v>58</v>
      </c>
      <c r="C24" s="22" t="s">
        <v>59</v>
      </c>
      <c r="D24" s="22" t="s">
        <v>60</v>
      </c>
      <c r="E24" s="26">
        <v>153349</v>
      </c>
      <c r="F24" s="24">
        <v>6260.01</v>
      </c>
      <c r="G24" s="24">
        <v>1.75</v>
      </c>
    </row>
    <row r="25" spans="2:7">
      <c r="B25" s="25" t="s">
        <v>61</v>
      </c>
      <c r="C25" s="22" t="s">
        <v>62</v>
      </c>
      <c r="D25" s="22" t="s">
        <v>47</v>
      </c>
      <c r="E25" s="26">
        <v>769352</v>
      </c>
      <c r="F25" s="24">
        <v>5980.94</v>
      </c>
      <c r="G25" s="24">
        <v>1.67</v>
      </c>
    </row>
    <row r="26" spans="2:7">
      <c r="B26" s="25" t="s">
        <v>63</v>
      </c>
      <c r="C26" s="22" t="s">
        <v>64</v>
      </c>
      <c r="D26" s="22" t="s">
        <v>15</v>
      </c>
      <c r="E26" s="26">
        <v>159000</v>
      </c>
      <c r="F26" s="24">
        <v>5369.19</v>
      </c>
      <c r="G26" s="24">
        <v>1.5</v>
      </c>
    </row>
    <row r="27" spans="2:7">
      <c r="B27" s="25" t="s">
        <v>65</v>
      </c>
      <c r="C27" s="22" t="s">
        <v>66</v>
      </c>
      <c r="D27" s="22" t="s">
        <v>67</v>
      </c>
      <c r="E27" s="26">
        <v>420000</v>
      </c>
      <c r="F27" s="24">
        <v>5230.68</v>
      </c>
      <c r="G27" s="24">
        <v>1.46</v>
      </c>
    </row>
    <row r="28" spans="2:7">
      <c r="B28" s="25" t="s">
        <v>68</v>
      </c>
      <c r="C28" s="22" t="s">
        <v>69</v>
      </c>
      <c r="D28" s="22" t="s">
        <v>50</v>
      </c>
      <c r="E28" s="26">
        <v>29000</v>
      </c>
      <c r="F28" s="24">
        <v>5133.83</v>
      </c>
      <c r="G28" s="24">
        <v>1.43</v>
      </c>
    </row>
    <row r="29" spans="2:7">
      <c r="B29" s="25" t="s">
        <v>70</v>
      </c>
      <c r="C29" s="22" t="s">
        <v>71</v>
      </c>
      <c r="D29" s="22" t="s">
        <v>72</v>
      </c>
      <c r="E29" s="26">
        <v>67500</v>
      </c>
      <c r="F29" s="24">
        <v>5103.88</v>
      </c>
      <c r="G29" s="24">
        <v>1.42</v>
      </c>
    </row>
    <row r="30" spans="2:7">
      <c r="B30" s="25" t="s">
        <v>73</v>
      </c>
      <c r="C30" s="22" t="s">
        <v>74</v>
      </c>
      <c r="D30" s="22" t="s">
        <v>75</v>
      </c>
      <c r="E30" s="26">
        <v>893000</v>
      </c>
      <c r="F30" s="24">
        <v>5085.6400000000003</v>
      </c>
      <c r="G30" s="24">
        <v>1.42</v>
      </c>
    </row>
    <row r="31" spans="2:7">
      <c r="B31" s="25" t="s">
        <v>76</v>
      </c>
      <c r="C31" s="22" t="s">
        <v>77</v>
      </c>
      <c r="D31" s="22" t="s">
        <v>67</v>
      </c>
      <c r="E31" s="26">
        <v>237000</v>
      </c>
      <c r="F31" s="24">
        <v>4648.5200000000004</v>
      </c>
      <c r="G31" s="24">
        <v>1.3</v>
      </c>
    </row>
    <row r="32" spans="2:7">
      <c r="B32" s="25" t="s">
        <v>78</v>
      </c>
      <c r="C32" s="22" t="s">
        <v>79</v>
      </c>
      <c r="D32" s="22" t="s">
        <v>80</v>
      </c>
      <c r="E32" s="26">
        <v>1904455</v>
      </c>
      <c r="F32" s="24">
        <v>4542.13</v>
      </c>
      <c r="G32" s="24">
        <v>1.27</v>
      </c>
    </row>
    <row r="33" spans="2:7">
      <c r="B33" s="25" t="s">
        <v>81</v>
      </c>
      <c r="C33" s="22" t="s">
        <v>82</v>
      </c>
      <c r="D33" s="22" t="s">
        <v>83</v>
      </c>
      <c r="E33" s="26">
        <v>475000</v>
      </c>
      <c r="F33" s="24">
        <v>4464.29</v>
      </c>
      <c r="G33" s="24">
        <v>1.24</v>
      </c>
    </row>
    <row r="34" spans="2:7">
      <c r="B34" s="25" t="s">
        <v>84</v>
      </c>
      <c r="C34" s="22" t="s">
        <v>85</v>
      </c>
      <c r="D34" s="22" t="s">
        <v>86</v>
      </c>
      <c r="E34" s="26">
        <v>156500</v>
      </c>
      <c r="F34" s="24">
        <v>4412.75</v>
      </c>
      <c r="G34" s="24">
        <v>1.23</v>
      </c>
    </row>
    <row r="35" spans="2:7">
      <c r="B35" s="25" t="s">
        <v>87</v>
      </c>
      <c r="C35" s="22" t="s">
        <v>88</v>
      </c>
      <c r="D35" s="22" t="s">
        <v>89</v>
      </c>
      <c r="E35" s="26">
        <v>10000</v>
      </c>
      <c r="F35" s="24">
        <v>4318.9399999999996</v>
      </c>
      <c r="G35" s="24">
        <v>1.2</v>
      </c>
    </row>
    <row r="36" spans="2:7">
      <c r="B36" s="25" t="s">
        <v>90</v>
      </c>
      <c r="C36" s="22" t="s">
        <v>91</v>
      </c>
      <c r="D36" s="22" t="s">
        <v>72</v>
      </c>
      <c r="E36" s="26">
        <v>118000</v>
      </c>
      <c r="F36" s="24">
        <v>4310.54</v>
      </c>
      <c r="G36" s="24">
        <v>1.2</v>
      </c>
    </row>
    <row r="37" spans="2:7">
      <c r="B37" s="25" t="s">
        <v>92</v>
      </c>
      <c r="C37" s="22" t="s">
        <v>93</v>
      </c>
      <c r="D37" s="22" t="s">
        <v>94</v>
      </c>
      <c r="E37" s="26">
        <v>452358</v>
      </c>
      <c r="F37" s="24">
        <v>4217.33</v>
      </c>
      <c r="G37" s="24">
        <v>1.18</v>
      </c>
    </row>
    <row r="38" spans="2:7">
      <c r="B38" s="25" t="s">
        <v>95</v>
      </c>
      <c r="C38" s="22" t="s">
        <v>96</v>
      </c>
      <c r="D38" s="22" t="s">
        <v>67</v>
      </c>
      <c r="E38" s="26">
        <v>162500</v>
      </c>
      <c r="F38" s="24">
        <v>4121.24</v>
      </c>
      <c r="G38" s="24">
        <v>1.1499999999999999</v>
      </c>
    </row>
    <row r="39" spans="2:7">
      <c r="B39" s="25" t="s">
        <v>97</v>
      </c>
      <c r="C39" s="22" t="s">
        <v>98</v>
      </c>
      <c r="D39" s="22" t="s">
        <v>15</v>
      </c>
      <c r="E39" s="26">
        <v>81500</v>
      </c>
      <c r="F39" s="24">
        <v>3883.72</v>
      </c>
      <c r="G39" s="24">
        <v>1.08</v>
      </c>
    </row>
    <row r="40" spans="2:7">
      <c r="B40" s="25" t="s">
        <v>99</v>
      </c>
      <c r="C40" s="22" t="s">
        <v>100</v>
      </c>
      <c r="D40" s="22" t="s">
        <v>47</v>
      </c>
      <c r="E40" s="26">
        <v>125700</v>
      </c>
      <c r="F40" s="24">
        <v>3871.5</v>
      </c>
      <c r="G40" s="24">
        <v>1.08</v>
      </c>
    </row>
    <row r="41" spans="2:7">
      <c r="B41" s="25" t="s">
        <v>101</v>
      </c>
      <c r="C41" s="22" t="s">
        <v>102</v>
      </c>
      <c r="D41" s="22" t="s">
        <v>103</v>
      </c>
      <c r="E41" s="26">
        <v>1085000</v>
      </c>
      <c r="F41" s="24">
        <v>3772</v>
      </c>
      <c r="G41" s="24">
        <v>1.05</v>
      </c>
    </row>
    <row r="42" spans="2:7">
      <c r="B42" s="25" t="s">
        <v>104</v>
      </c>
      <c r="C42" s="22" t="s">
        <v>105</v>
      </c>
      <c r="D42" s="22" t="s">
        <v>106</v>
      </c>
      <c r="E42" s="26">
        <v>190000</v>
      </c>
      <c r="F42" s="24">
        <v>3652.37</v>
      </c>
      <c r="G42" s="24">
        <v>1.02</v>
      </c>
    </row>
    <row r="43" spans="2:7">
      <c r="B43" s="25" t="s">
        <v>107</v>
      </c>
      <c r="C43" s="22" t="s">
        <v>108</v>
      </c>
      <c r="D43" s="22" t="s">
        <v>57</v>
      </c>
      <c r="E43" s="26">
        <v>152500</v>
      </c>
      <c r="F43" s="24">
        <v>3611.51</v>
      </c>
      <c r="G43" s="24">
        <v>1.01</v>
      </c>
    </row>
    <row r="44" spans="2:7">
      <c r="B44" s="25" t="s">
        <v>109</v>
      </c>
      <c r="C44" s="22" t="s">
        <v>110</v>
      </c>
      <c r="D44" s="22" t="s">
        <v>111</v>
      </c>
      <c r="E44" s="26">
        <v>184500</v>
      </c>
      <c r="F44" s="24">
        <v>3582.99</v>
      </c>
      <c r="G44" s="24">
        <v>1</v>
      </c>
    </row>
    <row r="45" spans="2:7">
      <c r="B45" s="25" t="s">
        <v>112</v>
      </c>
      <c r="C45" s="22" t="s">
        <v>113</v>
      </c>
      <c r="D45" s="22" t="s">
        <v>50</v>
      </c>
      <c r="E45" s="26">
        <v>107449</v>
      </c>
      <c r="F45" s="24">
        <v>3516.43</v>
      </c>
      <c r="G45" s="24">
        <v>0.98</v>
      </c>
    </row>
    <row r="46" spans="2:7">
      <c r="B46" s="25" t="s">
        <v>114</v>
      </c>
      <c r="C46" s="22" t="s">
        <v>115</v>
      </c>
      <c r="D46" s="22" t="s">
        <v>50</v>
      </c>
      <c r="E46" s="26">
        <v>79000</v>
      </c>
      <c r="F46" s="24">
        <v>3477.62</v>
      </c>
      <c r="G46" s="24">
        <v>0.97</v>
      </c>
    </row>
    <row r="47" spans="2:7">
      <c r="B47" s="25" t="s">
        <v>116</v>
      </c>
      <c r="C47" s="22" t="s">
        <v>117</v>
      </c>
      <c r="D47" s="22" t="s">
        <v>28</v>
      </c>
      <c r="E47" s="26">
        <v>470000</v>
      </c>
      <c r="F47" s="24">
        <v>3376.72</v>
      </c>
      <c r="G47" s="24">
        <v>0.94</v>
      </c>
    </row>
    <row r="48" spans="2:7">
      <c r="B48" s="25" t="s">
        <v>118</v>
      </c>
      <c r="C48" s="22" t="s">
        <v>119</v>
      </c>
      <c r="D48" s="22" t="s">
        <v>72</v>
      </c>
      <c r="E48" s="26">
        <v>775000</v>
      </c>
      <c r="F48" s="24">
        <v>3361.56</v>
      </c>
      <c r="G48" s="24">
        <v>0.94</v>
      </c>
    </row>
    <row r="49" spans="2:7">
      <c r="B49" s="25" t="s">
        <v>120</v>
      </c>
      <c r="C49" s="22" t="s">
        <v>121</v>
      </c>
      <c r="D49" s="22" t="s">
        <v>57</v>
      </c>
      <c r="E49" s="26">
        <v>8266</v>
      </c>
      <c r="F49" s="24">
        <v>3279.68</v>
      </c>
      <c r="G49" s="24">
        <v>0.91</v>
      </c>
    </row>
    <row r="50" spans="2:7">
      <c r="B50" s="25" t="s">
        <v>122</v>
      </c>
      <c r="C50" s="22" t="s">
        <v>123</v>
      </c>
      <c r="D50" s="22" t="s">
        <v>47</v>
      </c>
      <c r="E50" s="26">
        <v>400640</v>
      </c>
      <c r="F50" s="24">
        <v>2993.98</v>
      </c>
      <c r="G50" s="24">
        <v>0.83</v>
      </c>
    </row>
    <row r="51" spans="2:7">
      <c r="B51" s="25" t="s">
        <v>124</v>
      </c>
      <c r="C51" s="22" t="s">
        <v>125</v>
      </c>
      <c r="D51" s="22" t="s">
        <v>126</v>
      </c>
      <c r="E51" s="26">
        <v>385000</v>
      </c>
      <c r="F51" s="24">
        <v>2902.52</v>
      </c>
      <c r="G51" s="24">
        <v>0.81</v>
      </c>
    </row>
    <row r="52" spans="2:7">
      <c r="B52" s="25" t="s">
        <v>127</v>
      </c>
      <c r="C52" s="22" t="s">
        <v>128</v>
      </c>
      <c r="D52" s="22" t="s">
        <v>94</v>
      </c>
      <c r="E52" s="26">
        <v>37000</v>
      </c>
      <c r="F52" s="24">
        <v>2823.73</v>
      </c>
      <c r="G52" s="24">
        <v>0.79</v>
      </c>
    </row>
    <row r="53" spans="2:7">
      <c r="B53" s="25" t="s">
        <v>129</v>
      </c>
      <c r="C53" s="22" t="s">
        <v>130</v>
      </c>
      <c r="D53" s="22" t="s">
        <v>126</v>
      </c>
      <c r="E53" s="26">
        <v>245000</v>
      </c>
      <c r="F53" s="24">
        <v>2747.55</v>
      </c>
      <c r="G53" s="24">
        <v>0.77</v>
      </c>
    </row>
    <row r="54" spans="2:7">
      <c r="B54" s="25" t="s">
        <v>131</v>
      </c>
      <c r="C54" s="22" t="s">
        <v>132</v>
      </c>
      <c r="D54" s="22" t="s">
        <v>133</v>
      </c>
      <c r="E54" s="26">
        <v>143575</v>
      </c>
      <c r="F54" s="24">
        <v>2449.75</v>
      </c>
      <c r="G54" s="24">
        <v>0.68</v>
      </c>
    </row>
    <row r="55" spans="2:7">
      <c r="B55" s="25" t="s">
        <v>134</v>
      </c>
      <c r="C55" s="22" t="s">
        <v>135</v>
      </c>
      <c r="D55" s="22" t="s">
        <v>136</v>
      </c>
      <c r="E55" s="26">
        <v>430000</v>
      </c>
      <c r="F55" s="24">
        <v>2163.98</v>
      </c>
      <c r="G55" s="24">
        <v>0.6</v>
      </c>
    </row>
    <row r="56" spans="2:7">
      <c r="B56" s="25" t="s">
        <v>137</v>
      </c>
      <c r="C56" s="22" t="s">
        <v>138</v>
      </c>
      <c r="D56" s="22" t="s">
        <v>139</v>
      </c>
      <c r="E56" s="26">
        <v>43655</v>
      </c>
      <c r="F56" s="24">
        <v>1747.66</v>
      </c>
      <c r="G56" s="24">
        <v>0.49</v>
      </c>
    </row>
    <row r="57" spans="2:7">
      <c r="B57" s="25" t="s">
        <v>140</v>
      </c>
      <c r="C57" s="22" t="s">
        <v>141</v>
      </c>
      <c r="D57" s="22" t="s">
        <v>80</v>
      </c>
      <c r="E57" s="26">
        <v>33558</v>
      </c>
      <c r="F57" s="24">
        <v>884.76</v>
      </c>
      <c r="G57" s="24">
        <v>0.25</v>
      </c>
    </row>
    <row r="58" spans="2:7">
      <c r="B58" s="27" t="s">
        <v>142</v>
      </c>
      <c r="C58" s="28"/>
      <c r="D58" s="28"/>
      <c r="E58" s="29"/>
      <c r="F58" s="30">
        <f>SUM(F7:F57)</f>
        <v>340059.91999999987</v>
      </c>
      <c r="G58" s="30">
        <f>SUM(G7:G57)</f>
        <v>94.830000000000013</v>
      </c>
    </row>
    <row r="59" spans="2:7">
      <c r="B59" s="31" t="s">
        <v>143</v>
      </c>
      <c r="C59" s="31"/>
      <c r="D59" s="31"/>
      <c r="E59" s="32"/>
      <c r="F59" s="33">
        <f>F58</f>
        <v>340059.91999999987</v>
      </c>
      <c r="G59" s="33">
        <f>G58</f>
        <v>94.830000000000013</v>
      </c>
    </row>
    <row r="60" spans="2:7">
      <c r="B60" s="34" t="s">
        <v>144</v>
      </c>
      <c r="C60" s="35"/>
      <c r="D60" s="35"/>
      <c r="E60" s="36"/>
      <c r="F60" s="37"/>
      <c r="G60" s="37"/>
    </row>
    <row r="61" spans="2:7">
      <c r="B61" s="25" t="s">
        <v>144</v>
      </c>
      <c r="C61" s="25"/>
      <c r="D61" s="22"/>
      <c r="E61" s="23"/>
      <c r="F61" s="24">
        <v>23598.59</v>
      </c>
      <c r="G61" s="24">
        <v>6.58</v>
      </c>
    </row>
    <row r="62" spans="2:7">
      <c r="B62" s="27" t="s">
        <v>142</v>
      </c>
      <c r="C62" s="28"/>
      <c r="D62" s="28"/>
      <c r="E62" s="29"/>
      <c r="F62" s="30">
        <f>SUM(F60:F61)</f>
        <v>23598.59</v>
      </c>
      <c r="G62" s="30">
        <f>SUM(G60:G61)</f>
        <v>6.58</v>
      </c>
    </row>
    <row r="63" spans="2:7">
      <c r="B63" s="38" t="s">
        <v>143</v>
      </c>
      <c r="C63" s="38"/>
      <c r="D63" s="38"/>
      <c r="E63" s="39"/>
      <c r="F63" s="40">
        <f>F62</f>
        <v>23598.59</v>
      </c>
      <c r="G63" s="40">
        <f>G62</f>
        <v>6.58</v>
      </c>
    </row>
    <row r="64" spans="2:7">
      <c r="B64" s="41" t="s">
        <v>145</v>
      </c>
      <c r="C64" s="41"/>
      <c r="D64" s="41"/>
      <c r="E64" s="42"/>
      <c r="F64" s="43">
        <f>F65-(+F59+F63)</f>
        <v>-5019.4699999999139</v>
      </c>
      <c r="G64" s="43">
        <f>G65-(+G59+G63)</f>
        <v>-1.4100000000000108</v>
      </c>
    </row>
    <row r="65" spans="2:7">
      <c r="B65" s="41" t="s">
        <v>146</v>
      </c>
      <c r="C65" s="41"/>
      <c r="D65" s="41"/>
      <c r="E65" s="42"/>
      <c r="F65" s="43">
        <v>358639.04</v>
      </c>
      <c r="G65" s="43">
        <v>100</v>
      </c>
    </row>
    <row r="67" spans="2:7">
      <c r="B67" s="4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2022-04-08T12:32:42Z</dcterms:created>
  <dcterms:modified xsi:type="dcterms:W3CDTF">2022-04-08T12:32:45Z</dcterms:modified>
</cp:coreProperties>
</file>