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IN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39" i="1"/>
  <c r="G40" i="1" s="1"/>
  <c r="G45" i="1" s="1"/>
  <c r="F39" i="1"/>
  <c r="F40" i="1" s="1"/>
  <c r="F45" i="1" s="1"/>
</calcChain>
</file>

<file path=xl/sharedStrings.xml><?xml version="1.0" encoding="utf-8"?>
<sst xmlns="http://schemas.openxmlformats.org/spreadsheetml/2006/main" count="153" uniqueCount="105">
  <si>
    <t>CANARA ROBECO INFRASTRUCTURE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</si>
  <si>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</si>
  <si>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</si>
  <si>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</si>
  <si>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</si>
  <si>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</si>
  <si>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</si>
  <si>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</si>
  <si>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</si>
  <si>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Mar'23</t>
  </si>
  <si>
    <t>Benchmark Risk-o-meter Level- Mar'23</t>
  </si>
  <si>
    <t>Scheme Risk-o-meter Level- Feb'23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</si>
  <si>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</si>
  <si>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</si>
  <si>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</si>
  <si>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</si>
  <si>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</si>
  <si>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</si>
  <si>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Bharat Electronics Ltd</t>
  </si>
  <si>
    <t>INE263A01024</t>
  </si>
  <si>
    <t>Aerospace &amp; Defense</t>
  </si>
  <si>
    <t>ICICI Bank Ltd</t>
  </si>
  <si>
    <t>INE090A01021</t>
  </si>
  <si>
    <t>Banks</t>
  </si>
  <si>
    <t>NTPC Ltd</t>
  </si>
  <si>
    <t>INE733E01010</t>
  </si>
  <si>
    <t>Power</t>
  </si>
  <si>
    <t>State Bank of India</t>
  </si>
  <si>
    <t>INE062A01020</t>
  </si>
  <si>
    <t>Siemens Ltd</t>
  </si>
  <si>
    <t>INE003A01024</t>
  </si>
  <si>
    <t>Electrical Equipment</t>
  </si>
  <si>
    <t>Schaeffler India Ltd</t>
  </si>
  <si>
    <t>INE513A01022</t>
  </si>
  <si>
    <t>Auto Components</t>
  </si>
  <si>
    <t>Mid Cap</t>
  </si>
  <si>
    <t>Benchmark: S&amp;P BSE India Infrastructure TRI</t>
  </si>
  <si>
    <t>Reliance Industries Ltd</t>
  </si>
  <si>
    <t>INE002A01018</t>
  </si>
  <si>
    <t>Petroleum Products</t>
  </si>
  <si>
    <t>ABB India Ltd</t>
  </si>
  <si>
    <t>INE117A01022</t>
  </si>
  <si>
    <t>Power Grid Corporation of India Ltd</t>
  </si>
  <si>
    <t>INE752E01010</t>
  </si>
  <si>
    <t>Interglobe Aviation Ltd</t>
  </si>
  <si>
    <t>INE646L01027</t>
  </si>
  <si>
    <t>Transport Services</t>
  </si>
  <si>
    <t>KNR Constructions Ltd</t>
  </si>
  <si>
    <t>INE634I01029</t>
  </si>
  <si>
    <t>Small Cap</t>
  </si>
  <si>
    <t>Thermax Ltd</t>
  </si>
  <si>
    <t>INE152A01029</t>
  </si>
  <si>
    <t>Blue Dart Express Ltd</t>
  </si>
  <si>
    <t>INE233B01017</t>
  </si>
  <si>
    <t>Brigade Enterprises Ltd</t>
  </si>
  <si>
    <t>INE791I01019</t>
  </si>
  <si>
    <t>Realty</t>
  </si>
  <si>
    <t>Grindwell Norton Ltd</t>
  </si>
  <si>
    <t>INE536A01023</t>
  </si>
  <si>
    <t>Industrial Products</t>
  </si>
  <si>
    <t xml:space="preserve"> Mid Cap</t>
  </si>
  <si>
    <t>Honeywell Automation India Ltd</t>
  </si>
  <si>
    <t>INE671A01010</t>
  </si>
  <si>
    <t>Industrial Manufacturing</t>
  </si>
  <si>
    <t>KEC International Ltd</t>
  </si>
  <si>
    <t>INE389H01022</t>
  </si>
  <si>
    <t>VRL Logistics Ltd</t>
  </si>
  <si>
    <t>INE366I01010</t>
  </si>
  <si>
    <t>Hindalco Industries Ltd</t>
  </si>
  <si>
    <t>INE038A01020</t>
  </si>
  <si>
    <t>Non - Ferrous Metals</t>
  </si>
  <si>
    <t>Tata Steel Ltd</t>
  </si>
  <si>
    <t>INE081A01020</t>
  </si>
  <si>
    <t>Ferrous Metals</t>
  </si>
  <si>
    <t>TCI Express Ltd</t>
  </si>
  <si>
    <t>INE586V01016</t>
  </si>
  <si>
    <t>AIA Engineering Ltd</t>
  </si>
  <si>
    <t>INE212H01026</t>
  </si>
  <si>
    <t>Ultratech Cement Ltd</t>
  </si>
  <si>
    <t>INE481G01011</t>
  </si>
  <si>
    <t>Cement &amp; Cement Products</t>
  </si>
  <si>
    <t>Container Corporation Of India Ltd</t>
  </si>
  <si>
    <t>INE111A01025</t>
  </si>
  <si>
    <t>KEI Industries Ltd</t>
  </si>
  <si>
    <t>INE878B01027</t>
  </si>
  <si>
    <t>PNC Infratech Ltd</t>
  </si>
  <si>
    <t>INE195J01029</t>
  </si>
  <si>
    <t>J.K. Cement Ltd</t>
  </si>
  <si>
    <t>INE823G01014</t>
  </si>
  <si>
    <t>Kaynes Technology India Ltd</t>
  </si>
  <si>
    <t>INE918Z01012</t>
  </si>
  <si>
    <t>Bosch Ltd</t>
  </si>
  <si>
    <t>INE323A01026</t>
  </si>
  <si>
    <t>Timken India Ltd</t>
  </si>
  <si>
    <t>INE325A01013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</si>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</sst>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" fontId="3" fillId="3" borderId="5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43" fontId="3" fillId="3" borderId="13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4" fontId="3" fillId="3" borderId="0" xfId="1" applyNumberFormat="1" applyFont="1" applyFill="1"/>
    <xf numFmtId="4" fontId="3" fillId="3" borderId="13" xfId="0" applyNumberFormat="1" applyFont="1" applyFill="1" applyBorder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0" fontId="9" fillId="3" borderId="0" xfId="0" applyFont="1" applyFill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3" fillId="3" borderId="19" xfId="0" applyFont="1" applyFill="1" applyBorder="1"/>
    <xf numFmtId="0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2" xfId="0" applyNumberFormat="1" applyFont="1" applyFill="1" applyBorder="1"/>
    <xf numFmtId="2" fontId="10" fillId="0" borderId="23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172F9-6A70-4B68-8E26-8EB897E29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4748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F6440-3CA7-4EF2-B4DB-6C8E22328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8859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CEDC75E0-691F-42F6-9ADB-802E74039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600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7"/>
  <sheetViews>
    <sheetView tabSelected="1" workbookViewId="0">
      <selection activeCell="B1" sqref="B1:G1"/>
    </sheetView>
  </sheetViews>
  <sheetFormatPr defaultRowHeight="12"/>
  <cols>
    <col min="1" max="1" width="9.140625" style="4"/>
    <col min="2" max="2" width="56.28515625" style="4" bestFit="1" customWidth="1"/>
    <col min="3" max="3" width="13.28515625" style="4" bestFit="1" customWidth="1"/>
    <col min="4" max="4" width="23.42578125" style="4" bestFit="1" customWidth="1"/>
    <col min="5" max="5" width="8.85546875" style="55" bestFit="1" customWidth="1"/>
    <col min="6" max="6" width="15.28515625" style="56" bestFit="1" customWidth="1"/>
    <col min="7" max="7" width="7.42578125" style="56" bestFit="1" customWidth="1"/>
    <col min="8" max="8" width="14.42578125" style="56" customWidth="1"/>
    <col min="9" max="9" width="9.140625" style="4"/>
    <col min="10" max="12" width="32.7109375" style="4" customWidth="1"/>
    <col min="13" max="13" width="4.7109375" style="4" bestFit="1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3"/>
    </row>
    <row r="3" spans="2:13" ht="16.5" thickBot="1">
      <c r="B3" s="5" t="s">
        <v>1</v>
      </c>
      <c r="C3" s="6"/>
      <c r="D3" s="7"/>
      <c r="E3" s="8"/>
      <c r="F3" s="9"/>
      <c r="G3" s="9"/>
      <c r="H3" s="9"/>
    </row>
    <row r="4" spans="2:13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3">
      <c r="B5" s="16" t="s">
        <v>12</v>
      </c>
      <c r="C5" s="17"/>
      <c r="D5" s="17"/>
      <c r="E5" s="18"/>
      <c r="F5" s="19"/>
      <c r="G5" s="20"/>
      <c r="H5" s="21"/>
      <c r="J5" s="22"/>
      <c r="K5" s="22"/>
      <c r="L5" s="22"/>
    </row>
    <row r="6" spans="2:13">
      <c r="B6" s="23" t="s">
        <v>13</v>
      </c>
      <c r="C6" s="24"/>
      <c r="D6" s="24"/>
      <c r="E6" s="25"/>
      <c r="F6" s="26"/>
      <c r="G6" s="27"/>
      <c r="H6" s="28"/>
      <c r="J6" s="29"/>
      <c r="K6" s="29"/>
      <c r="L6" s="29"/>
    </row>
    <row r="7" spans="2:13">
      <c r="B7" s="30" t="s">
        <v>14</v>
      </c>
      <c r="C7" s="24" t="s">
        <v>15</v>
      </c>
      <c r="D7" s="24" t="s">
        <v>16</v>
      </c>
      <c r="E7" s="31">
        <v>119300</v>
      </c>
      <c r="F7" s="26">
        <v>2581.89</v>
      </c>
      <c r="G7" s="27">
        <v>9.5399999999999991</v>
      </c>
      <c r="H7" s="28" t="s">
        <v>17</v>
      </c>
      <c r="J7" s="29"/>
      <c r="K7" s="29"/>
      <c r="L7" s="29"/>
      <c r="M7" s="32"/>
    </row>
    <row r="8" spans="2:13">
      <c r="B8" s="30" t="s">
        <v>18</v>
      </c>
      <c r="C8" s="24" t="s">
        <v>19</v>
      </c>
      <c r="D8" s="24" t="s">
        <v>20</v>
      </c>
      <c r="E8" s="31">
        <v>1889000</v>
      </c>
      <c r="F8" s="26">
        <v>1842.72</v>
      </c>
      <c r="G8" s="27">
        <v>6.81</v>
      </c>
      <c r="H8" s="28" t="s">
        <v>17</v>
      </c>
      <c r="J8" s="29"/>
      <c r="K8" s="29"/>
      <c r="L8" s="29"/>
      <c r="M8" s="32"/>
    </row>
    <row r="9" spans="2:13">
      <c r="B9" s="30" t="s">
        <v>21</v>
      </c>
      <c r="C9" s="24" t="s">
        <v>22</v>
      </c>
      <c r="D9" s="24" t="s">
        <v>23</v>
      </c>
      <c r="E9" s="31">
        <v>187500</v>
      </c>
      <c r="F9" s="26">
        <v>1644.84</v>
      </c>
      <c r="G9" s="27">
        <v>6.08</v>
      </c>
      <c r="H9" s="28" t="s">
        <v>17</v>
      </c>
      <c r="J9" s="29"/>
      <c r="K9" s="29"/>
      <c r="L9" s="29"/>
      <c r="M9" s="32"/>
    </row>
    <row r="10" spans="2:13">
      <c r="B10" s="30" t="s">
        <v>24</v>
      </c>
      <c r="C10" s="24" t="s">
        <v>25</v>
      </c>
      <c r="D10" s="24" t="s">
        <v>26</v>
      </c>
      <c r="E10" s="31">
        <v>924600</v>
      </c>
      <c r="F10" s="26">
        <v>1618.97</v>
      </c>
      <c r="G10" s="27">
        <v>5.98</v>
      </c>
      <c r="H10" s="28" t="s">
        <v>17</v>
      </c>
      <c r="J10" s="29"/>
      <c r="K10" s="29"/>
      <c r="L10" s="29"/>
      <c r="M10" s="32"/>
    </row>
    <row r="11" spans="2:13">
      <c r="B11" s="30" t="s">
        <v>27</v>
      </c>
      <c r="C11" s="24" t="s">
        <v>28</v>
      </c>
      <c r="D11" s="24" t="s">
        <v>23</v>
      </c>
      <c r="E11" s="31">
        <v>257000</v>
      </c>
      <c r="F11" s="26">
        <v>1346.04</v>
      </c>
      <c r="G11" s="27">
        <v>4.97</v>
      </c>
      <c r="H11" s="28" t="s">
        <v>17</v>
      </c>
      <c r="J11" s="29"/>
      <c r="K11" s="29"/>
      <c r="L11" s="29"/>
      <c r="M11" s="32"/>
    </row>
    <row r="12" spans="2:13">
      <c r="B12" s="30" t="s">
        <v>29</v>
      </c>
      <c r="C12" s="24" t="s">
        <v>30</v>
      </c>
      <c r="D12" s="24" t="s">
        <v>31</v>
      </c>
      <c r="E12" s="31">
        <v>37050</v>
      </c>
      <c r="F12" s="26">
        <v>1232.71</v>
      </c>
      <c r="G12" s="27">
        <v>4.55</v>
      </c>
      <c r="H12" s="28" t="s">
        <v>17</v>
      </c>
      <c r="J12" s="33"/>
      <c r="K12" s="33"/>
      <c r="L12" s="33"/>
      <c r="M12" s="32"/>
    </row>
    <row r="13" spans="2:13">
      <c r="B13" s="30" t="s">
        <v>32</v>
      </c>
      <c r="C13" s="24" t="s">
        <v>33</v>
      </c>
      <c r="D13" s="24" t="s">
        <v>34</v>
      </c>
      <c r="E13" s="31">
        <v>42499</v>
      </c>
      <c r="F13" s="26">
        <v>1218.68</v>
      </c>
      <c r="G13" s="27">
        <v>4.5</v>
      </c>
      <c r="H13" s="28" t="s">
        <v>35</v>
      </c>
      <c r="J13" s="32"/>
      <c r="K13" s="34" t="s">
        <v>36</v>
      </c>
      <c r="L13" s="32"/>
      <c r="M13" s="32"/>
    </row>
    <row r="14" spans="2:13">
      <c r="B14" s="30" t="s">
        <v>37</v>
      </c>
      <c r="C14" s="24" t="s">
        <v>38</v>
      </c>
      <c r="D14" s="24" t="s">
        <v>39</v>
      </c>
      <c r="E14" s="31">
        <v>47500</v>
      </c>
      <c r="F14" s="26">
        <v>1107.25</v>
      </c>
      <c r="G14" s="27">
        <v>4.09</v>
      </c>
      <c r="H14" s="28" t="s">
        <v>17</v>
      </c>
      <c r="J14" s="35"/>
      <c r="K14" s="35"/>
      <c r="L14" s="35"/>
      <c r="M14" s="32"/>
    </row>
    <row r="15" spans="2:13">
      <c r="B15" s="30" t="s">
        <v>40</v>
      </c>
      <c r="C15" s="24" t="s">
        <v>41</v>
      </c>
      <c r="D15" s="24" t="s">
        <v>31</v>
      </c>
      <c r="E15" s="31">
        <v>30250</v>
      </c>
      <c r="F15" s="26">
        <v>1017.96</v>
      </c>
      <c r="G15" s="27">
        <v>3.76</v>
      </c>
      <c r="H15" s="28" t="s">
        <v>17</v>
      </c>
      <c r="J15" s="35"/>
      <c r="K15" s="35"/>
      <c r="L15" s="35"/>
      <c r="M15" s="32"/>
    </row>
    <row r="16" spans="2:13">
      <c r="B16" s="30" t="s">
        <v>42</v>
      </c>
      <c r="C16" s="24" t="s">
        <v>43</v>
      </c>
      <c r="D16" s="24" t="s">
        <v>26</v>
      </c>
      <c r="E16" s="31">
        <v>439410</v>
      </c>
      <c r="F16" s="26">
        <v>991.75</v>
      </c>
      <c r="G16" s="27">
        <v>3.66</v>
      </c>
      <c r="H16" s="28" t="s">
        <v>17</v>
      </c>
      <c r="J16" s="35"/>
      <c r="K16" s="35"/>
      <c r="L16" s="35"/>
      <c r="M16" s="32"/>
    </row>
    <row r="17" spans="2:13">
      <c r="B17" s="30" t="s">
        <v>44</v>
      </c>
      <c r="C17" s="24" t="s">
        <v>45</v>
      </c>
      <c r="D17" s="24" t="s">
        <v>46</v>
      </c>
      <c r="E17" s="31">
        <v>47500</v>
      </c>
      <c r="F17" s="26">
        <v>907.56</v>
      </c>
      <c r="G17" s="27">
        <v>3.35</v>
      </c>
      <c r="H17" s="28" t="s">
        <v>17</v>
      </c>
      <c r="J17" s="35"/>
      <c r="K17" s="35"/>
      <c r="L17" s="35"/>
      <c r="M17" s="32"/>
    </row>
    <row r="18" spans="2:13">
      <c r="B18" s="30" t="s">
        <v>47</v>
      </c>
      <c r="C18" s="24" t="s">
        <v>48</v>
      </c>
      <c r="D18" s="24" t="s">
        <v>16</v>
      </c>
      <c r="E18" s="31">
        <v>352874</v>
      </c>
      <c r="F18" s="26">
        <v>895.24</v>
      </c>
      <c r="G18" s="27">
        <v>3.31</v>
      </c>
      <c r="H18" s="28" t="s">
        <v>49</v>
      </c>
      <c r="J18" s="35"/>
      <c r="K18" s="35"/>
      <c r="L18" s="35"/>
      <c r="M18" s="32"/>
    </row>
    <row r="19" spans="2:13">
      <c r="B19" s="30" t="s">
        <v>50</v>
      </c>
      <c r="C19" s="24" t="s">
        <v>51</v>
      </c>
      <c r="D19" s="24" t="s">
        <v>31</v>
      </c>
      <c r="E19" s="31">
        <v>34520</v>
      </c>
      <c r="F19" s="26">
        <v>791.44</v>
      </c>
      <c r="G19" s="27">
        <v>2.92</v>
      </c>
      <c r="H19" s="28" t="s">
        <v>35</v>
      </c>
      <c r="J19" s="35"/>
      <c r="K19" s="35"/>
      <c r="L19" s="35"/>
      <c r="M19" s="32"/>
    </row>
    <row r="20" spans="2:13">
      <c r="B20" s="30" t="s">
        <v>52</v>
      </c>
      <c r="C20" s="24" t="s">
        <v>53</v>
      </c>
      <c r="D20" s="24" t="s">
        <v>46</v>
      </c>
      <c r="E20" s="31">
        <v>12250</v>
      </c>
      <c r="F20" s="26">
        <v>761.09</v>
      </c>
      <c r="G20" s="27">
        <v>2.81</v>
      </c>
      <c r="H20" s="28" t="s">
        <v>35</v>
      </c>
      <c r="J20" s="35"/>
      <c r="K20" s="35"/>
      <c r="L20" s="35"/>
      <c r="M20" s="32"/>
    </row>
    <row r="21" spans="2:13">
      <c r="B21" s="30" t="s">
        <v>54</v>
      </c>
      <c r="C21" s="24" t="s">
        <v>55</v>
      </c>
      <c r="D21" s="24" t="s">
        <v>56</v>
      </c>
      <c r="E21" s="31">
        <v>160000</v>
      </c>
      <c r="F21" s="26">
        <v>759.52</v>
      </c>
      <c r="G21" s="27">
        <v>2.81</v>
      </c>
      <c r="H21" s="28" t="s">
        <v>49</v>
      </c>
      <c r="J21" s="35"/>
      <c r="K21" s="35"/>
      <c r="L21" s="35"/>
      <c r="M21" s="32"/>
    </row>
    <row r="22" spans="2:13">
      <c r="B22" s="30" t="s">
        <v>57</v>
      </c>
      <c r="C22" s="24" t="s">
        <v>58</v>
      </c>
      <c r="D22" s="24" t="s">
        <v>59</v>
      </c>
      <c r="E22" s="31">
        <v>36500</v>
      </c>
      <c r="F22" s="26">
        <v>685.62</v>
      </c>
      <c r="G22" s="27">
        <v>2.5299999999999998</v>
      </c>
      <c r="H22" s="28" t="s">
        <v>60</v>
      </c>
      <c r="J22" s="35"/>
      <c r="K22" s="35"/>
      <c r="L22" s="35"/>
      <c r="M22" s="32"/>
    </row>
    <row r="23" spans="2:13">
      <c r="B23" s="30" t="s">
        <v>61</v>
      </c>
      <c r="C23" s="24" t="s">
        <v>62</v>
      </c>
      <c r="D23" s="24" t="s">
        <v>63</v>
      </c>
      <c r="E23" s="31">
        <v>1560</v>
      </c>
      <c r="F23" s="26">
        <v>567.61</v>
      </c>
      <c r="G23" s="27">
        <v>2.1</v>
      </c>
      <c r="H23" s="28" t="s">
        <v>35</v>
      </c>
      <c r="J23" s="35"/>
      <c r="K23" s="35"/>
      <c r="L23" s="35"/>
      <c r="M23" s="32"/>
    </row>
    <row r="24" spans="2:13">
      <c r="B24" s="30" t="s">
        <v>64</v>
      </c>
      <c r="C24" s="24" t="s">
        <v>65</v>
      </c>
      <c r="D24" s="24" t="s">
        <v>31</v>
      </c>
      <c r="E24" s="31">
        <v>120500</v>
      </c>
      <c r="F24" s="26">
        <v>549.9</v>
      </c>
      <c r="G24" s="27">
        <v>2.0299999999999998</v>
      </c>
      <c r="H24" s="28" t="s">
        <v>49</v>
      </c>
      <c r="J24" s="35"/>
      <c r="K24" s="35"/>
      <c r="L24" s="35"/>
      <c r="M24" s="32"/>
    </row>
    <row r="25" spans="2:13">
      <c r="B25" s="30" t="s">
        <v>66</v>
      </c>
      <c r="C25" s="24" t="s">
        <v>67</v>
      </c>
      <c r="D25" s="24" t="s">
        <v>46</v>
      </c>
      <c r="E25" s="31">
        <v>85000</v>
      </c>
      <c r="F25" s="26">
        <v>537.71</v>
      </c>
      <c r="G25" s="27">
        <v>1.99</v>
      </c>
      <c r="H25" s="28" t="s">
        <v>49</v>
      </c>
      <c r="J25" s="35"/>
      <c r="K25" s="35"/>
      <c r="L25" s="35"/>
      <c r="M25" s="32"/>
    </row>
    <row r="26" spans="2:13">
      <c r="B26" s="30" t="s">
        <v>68</v>
      </c>
      <c r="C26" s="24" t="s">
        <v>69</v>
      </c>
      <c r="D26" s="24" t="s">
        <v>70</v>
      </c>
      <c r="E26" s="31">
        <v>132300</v>
      </c>
      <c r="F26" s="26">
        <v>536.28</v>
      </c>
      <c r="G26" s="27">
        <v>1.98</v>
      </c>
      <c r="H26" s="28" t="s">
        <v>17</v>
      </c>
      <c r="J26" s="35"/>
      <c r="K26" s="35"/>
      <c r="L26" s="35"/>
      <c r="M26" s="32"/>
    </row>
    <row r="27" spans="2:13">
      <c r="B27" s="30" t="s">
        <v>71</v>
      </c>
      <c r="C27" s="24" t="s">
        <v>72</v>
      </c>
      <c r="D27" s="24" t="s">
        <v>73</v>
      </c>
      <c r="E27" s="31">
        <v>497500</v>
      </c>
      <c r="F27" s="26">
        <v>519.89</v>
      </c>
      <c r="G27" s="27">
        <v>1.92</v>
      </c>
      <c r="H27" s="28" t="s">
        <v>17</v>
      </c>
      <c r="J27" s="35"/>
      <c r="K27" s="35"/>
      <c r="L27" s="35"/>
      <c r="M27" s="32"/>
    </row>
    <row r="28" spans="2:13">
      <c r="B28" s="30" t="s">
        <v>74</v>
      </c>
      <c r="C28" s="24" t="s">
        <v>75</v>
      </c>
      <c r="D28" s="24" t="s">
        <v>46</v>
      </c>
      <c r="E28" s="31">
        <v>33243</v>
      </c>
      <c r="F28" s="26">
        <v>496.3</v>
      </c>
      <c r="G28" s="27">
        <v>1.83</v>
      </c>
      <c r="H28" s="28" t="s">
        <v>49</v>
      </c>
      <c r="J28" s="35"/>
      <c r="K28" s="35"/>
      <c r="L28" s="35"/>
      <c r="M28" s="32"/>
    </row>
    <row r="29" spans="2:13">
      <c r="B29" s="30" t="s">
        <v>76</v>
      </c>
      <c r="C29" s="24" t="s">
        <v>77</v>
      </c>
      <c r="D29" s="24" t="s">
        <v>59</v>
      </c>
      <c r="E29" s="31">
        <v>15000</v>
      </c>
      <c r="F29" s="26">
        <v>435.47</v>
      </c>
      <c r="G29" s="27">
        <v>1.61</v>
      </c>
      <c r="H29" s="28" t="s">
        <v>35</v>
      </c>
      <c r="J29" s="35"/>
      <c r="K29" s="35"/>
      <c r="L29" s="35"/>
      <c r="M29" s="32"/>
    </row>
    <row r="30" spans="2:13">
      <c r="B30" s="30" t="s">
        <v>78</v>
      </c>
      <c r="C30" s="24" t="s">
        <v>79</v>
      </c>
      <c r="D30" s="24" t="s">
        <v>80</v>
      </c>
      <c r="E30" s="31">
        <v>5350</v>
      </c>
      <c r="F30" s="26">
        <v>407.79</v>
      </c>
      <c r="G30" s="27">
        <v>1.51</v>
      </c>
      <c r="H30" s="28" t="s">
        <v>17</v>
      </c>
      <c r="J30" s="35"/>
      <c r="K30" s="35"/>
      <c r="L30" s="35"/>
      <c r="M30" s="32"/>
    </row>
    <row r="31" spans="2:13">
      <c r="B31" s="30" t="s">
        <v>81</v>
      </c>
      <c r="C31" s="24" t="s">
        <v>82</v>
      </c>
      <c r="D31" s="24" t="s">
        <v>46</v>
      </c>
      <c r="E31" s="31">
        <v>66000</v>
      </c>
      <c r="F31" s="26">
        <v>382.97</v>
      </c>
      <c r="G31" s="27">
        <v>1.42</v>
      </c>
      <c r="H31" s="28" t="s">
        <v>35</v>
      </c>
      <c r="J31" s="35"/>
      <c r="K31" s="35"/>
      <c r="L31" s="35"/>
      <c r="M31" s="32"/>
    </row>
    <row r="32" spans="2:13">
      <c r="B32" s="30" t="s">
        <v>83</v>
      </c>
      <c r="C32" s="24" t="s">
        <v>84</v>
      </c>
      <c r="D32" s="24" t="s">
        <v>59</v>
      </c>
      <c r="E32" s="31">
        <v>22000</v>
      </c>
      <c r="F32" s="26">
        <v>373.7</v>
      </c>
      <c r="G32" s="27">
        <v>1.38</v>
      </c>
      <c r="H32" s="28" t="s">
        <v>49</v>
      </c>
      <c r="J32" s="35"/>
      <c r="K32" s="35"/>
      <c r="L32" s="35"/>
      <c r="M32" s="32"/>
    </row>
    <row r="33" spans="2:13">
      <c r="B33" s="30" t="s">
        <v>85</v>
      </c>
      <c r="C33" s="24" t="s">
        <v>86</v>
      </c>
      <c r="D33" s="24" t="s">
        <v>16</v>
      </c>
      <c r="E33" s="31">
        <v>121000</v>
      </c>
      <c r="F33" s="26">
        <v>349.57</v>
      </c>
      <c r="G33" s="27">
        <v>1.29</v>
      </c>
      <c r="H33" s="28" t="s">
        <v>49</v>
      </c>
      <c r="J33" s="35"/>
      <c r="K33" s="35"/>
      <c r="L33" s="35"/>
      <c r="M33" s="32"/>
    </row>
    <row r="34" spans="2:13">
      <c r="B34" s="30" t="s">
        <v>87</v>
      </c>
      <c r="C34" s="24" t="s">
        <v>88</v>
      </c>
      <c r="D34" s="24" t="s">
        <v>80</v>
      </c>
      <c r="E34" s="31">
        <v>10500</v>
      </c>
      <c r="F34" s="26">
        <v>306.99</v>
      </c>
      <c r="G34" s="27">
        <v>1.1299999999999999</v>
      </c>
      <c r="H34" s="28" t="s">
        <v>35</v>
      </c>
      <c r="J34" s="35"/>
      <c r="K34" s="35"/>
      <c r="L34" s="35"/>
      <c r="M34" s="32"/>
    </row>
    <row r="35" spans="2:13">
      <c r="B35" s="30" t="s">
        <v>89</v>
      </c>
      <c r="C35" s="24" t="s">
        <v>90</v>
      </c>
      <c r="D35" s="24" t="s">
        <v>63</v>
      </c>
      <c r="E35" s="31">
        <v>30000</v>
      </c>
      <c r="F35" s="26">
        <v>288.83999999999997</v>
      </c>
      <c r="G35" s="27">
        <v>1.07</v>
      </c>
      <c r="H35" s="28" t="s">
        <v>49</v>
      </c>
      <c r="J35" s="35"/>
      <c r="K35" s="35"/>
      <c r="L35" s="35"/>
      <c r="M35" s="32"/>
    </row>
    <row r="36" spans="2:13">
      <c r="B36" s="30" t="s">
        <v>91</v>
      </c>
      <c r="C36" s="24" t="s">
        <v>92</v>
      </c>
      <c r="D36" s="24" t="s">
        <v>34</v>
      </c>
      <c r="E36" s="31">
        <v>1400</v>
      </c>
      <c r="F36" s="26">
        <v>271.18</v>
      </c>
      <c r="G36" s="27">
        <v>1</v>
      </c>
      <c r="H36" s="28" t="s">
        <v>17</v>
      </c>
      <c r="J36" s="35"/>
      <c r="K36" s="35"/>
      <c r="L36" s="35"/>
      <c r="M36" s="32"/>
    </row>
    <row r="37" spans="2:13">
      <c r="B37" s="30" t="s">
        <v>93</v>
      </c>
      <c r="C37" s="24" t="s">
        <v>94</v>
      </c>
      <c r="D37" s="24" t="s">
        <v>59</v>
      </c>
      <c r="E37" s="31">
        <v>7750</v>
      </c>
      <c r="F37" s="26">
        <v>213.55</v>
      </c>
      <c r="G37" s="27">
        <v>0.79</v>
      </c>
      <c r="H37" s="28" t="s">
        <v>35</v>
      </c>
      <c r="J37" s="35"/>
      <c r="K37" s="35"/>
      <c r="L37" s="35"/>
      <c r="M37" s="32"/>
    </row>
    <row r="38" spans="2:13">
      <c r="B38" s="30" t="s">
        <v>95</v>
      </c>
      <c r="C38" s="24" t="s">
        <v>96</v>
      </c>
      <c r="D38" s="24" t="s">
        <v>97</v>
      </c>
      <c r="E38" s="31">
        <v>44726</v>
      </c>
      <c r="F38" s="26">
        <v>205.56</v>
      </c>
      <c r="G38" s="27">
        <v>0.76</v>
      </c>
      <c r="H38" s="36" t="s">
        <v>35</v>
      </c>
      <c r="J38" s="35"/>
      <c r="K38" s="35"/>
      <c r="L38" s="35"/>
      <c r="M38" s="32"/>
    </row>
    <row r="39" spans="2:13">
      <c r="B39" s="37" t="s">
        <v>98</v>
      </c>
      <c r="C39" s="38"/>
      <c r="D39" s="38"/>
      <c r="E39" s="39"/>
      <c r="F39" s="40">
        <f>SUM(F7:F38)</f>
        <v>25846.59</v>
      </c>
      <c r="G39" s="40">
        <f>SUM(G7:G38)</f>
        <v>95.48</v>
      </c>
      <c r="H39" s="40"/>
      <c r="I39" s="41"/>
      <c r="J39" s="35"/>
      <c r="K39" s="35"/>
      <c r="L39" s="35"/>
      <c r="M39" s="32"/>
    </row>
    <row r="40" spans="2:13">
      <c r="B40" s="42" t="s">
        <v>99</v>
      </c>
      <c r="C40" s="42"/>
      <c r="D40" s="42"/>
      <c r="E40" s="43"/>
      <c r="F40" s="44">
        <f>F39</f>
        <v>25846.59</v>
      </c>
      <c r="G40" s="44">
        <f>G39</f>
        <v>95.48</v>
      </c>
      <c r="H40" s="44"/>
      <c r="I40" s="41"/>
      <c r="J40" s="35"/>
      <c r="K40" s="35"/>
      <c r="L40" s="35"/>
      <c r="M40" s="32"/>
    </row>
    <row r="41" spans="2:13">
      <c r="B41" s="45" t="s">
        <v>100</v>
      </c>
      <c r="C41" s="46"/>
      <c r="D41" s="46"/>
      <c r="E41" s="47"/>
      <c r="F41" s="48"/>
      <c r="G41" s="48"/>
      <c r="H41" s="48"/>
      <c r="J41" s="35"/>
      <c r="K41" s="35"/>
      <c r="L41" s="35"/>
      <c r="M41" s="32"/>
    </row>
    <row r="42" spans="2:13">
      <c r="B42" s="30" t="s">
        <v>100</v>
      </c>
      <c r="C42" s="30"/>
      <c r="D42" s="24"/>
      <c r="E42" s="25"/>
      <c r="F42" s="26">
        <v>1243.01</v>
      </c>
      <c r="G42" s="26">
        <v>4.59</v>
      </c>
      <c r="H42" s="26"/>
      <c r="J42" s="35"/>
      <c r="K42" s="35"/>
      <c r="L42" s="35"/>
      <c r="M42" s="32"/>
    </row>
    <row r="43" spans="2:13">
      <c r="B43" s="37" t="s">
        <v>98</v>
      </c>
      <c r="C43" s="38"/>
      <c r="D43" s="38"/>
      <c r="E43" s="39"/>
      <c r="F43" s="40">
        <f>SUM(F41:F42)</f>
        <v>1243.01</v>
      </c>
      <c r="G43" s="40">
        <f>SUM(G41:G42)</f>
        <v>4.59</v>
      </c>
      <c r="H43" s="40"/>
      <c r="I43" s="41"/>
      <c r="J43" s="35"/>
      <c r="K43" s="35"/>
      <c r="L43" s="35"/>
      <c r="M43" s="32"/>
    </row>
    <row r="44" spans="2:13">
      <c r="B44" s="49" t="s">
        <v>99</v>
      </c>
      <c r="C44" s="49"/>
      <c r="D44" s="49"/>
      <c r="E44" s="50"/>
      <c r="F44" s="51">
        <f>F43</f>
        <v>1243.01</v>
      </c>
      <c r="G44" s="51">
        <f>G43</f>
        <v>4.59</v>
      </c>
      <c r="H44" s="51"/>
      <c r="I44" s="41"/>
      <c r="J44" s="35"/>
      <c r="K44" s="35"/>
      <c r="L44" s="35"/>
      <c r="M44" s="32"/>
    </row>
    <row r="45" spans="2:13">
      <c r="B45" s="52" t="s">
        <v>101</v>
      </c>
      <c r="C45" s="52"/>
      <c r="D45" s="52"/>
      <c r="E45" s="53"/>
      <c r="F45" s="54">
        <f>F46-(+F40+F44)</f>
        <v>-25.269999999996799</v>
      </c>
      <c r="G45" s="54">
        <f>G46-(+G40+G44)</f>
        <v>-7.000000000000739E-2</v>
      </c>
      <c r="H45" s="54"/>
      <c r="I45" s="41"/>
      <c r="J45" s="35"/>
      <c r="K45" s="35"/>
      <c r="L45" s="35"/>
      <c r="M45" s="32"/>
    </row>
    <row r="46" spans="2:13">
      <c r="B46" s="52" t="s">
        <v>102</v>
      </c>
      <c r="C46" s="52"/>
      <c r="D46" s="52"/>
      <c r="E46" s="53"/>
      <c r="F46" s="54">
        <v>27064.33</v>
      </c>
      <c r="G46" s="54">
        <v>100</v>
      </c>
      <c r="H46" s="54"/>
      <c r="I46" s="41"/>
      <c r="J46" s="35"/>
      <c r="K46" s="35"/>
      <c r="L46" s="35"/>
      <c r="M46" s="32"/>
    </row>
    <row r="47" spans="2:13" ht="12.75" thickBot="1">
      <c r="J47" s="32"/>
      <c r="K47" s="32"/>
      <c r="L47" s="32"/>
      <c r="M47" s="32"/>
    </row>
    <row r="48" spans="2:13" ht="13.5" thickTop="1" thickBot="1">
      <c r="B48" s="57" t="s">
        <v>103</v>
      </c>
      <c r="C48" s="58" t="s">
        <v>104</v>
      </c>
      <c r="J48" s="32"/>
      <c r="K48" s="32"/>
      <c r="L48" s="32"/>
      <c r="M48" s="32"/>
    </row>
    <row r="49" spans="10:13" ht="12.75" thickTop="1">
      <c r="J49" s="32"/>
      <c r="K49" s="32"/>
      <c r="L49" s="32"/>
      <c r="M49" s="32"/>
    </row>
    <row r="50" spans="10:13">
      <c r="J50" s="32"/>
      <c r="K50" s="32"/>
      <c r="L50" s="32"/>
      <c r="M50" s="32"/>
    </row>
    <row r="51" spans="10:13">
      <c r="J51" s="32"/>
      <c r="K51" s="32"/>
      <c r="L51" s="32"/>
      <c r="M51" s="32"/>
    </row>
    <row r="52" spans="10:13">
      <c r="J52" s="32"/>
      <c r="K52" s="32"/>
      <c r="L52" s="32"/>
      <c r="M52" s="32"/>
    </row>
    <row r="53" spans="10:13">
      <c r="J53" s="32"/>
      <c r="K53" s="32"/>
      <c r="L53" s="32"/>
      <c r="M53" s="32"/>
    </row>
    <row r="54" spans="10:13">
      <c r="J54" s="32"/>
      <c r="K54" s="32"/>
      <c r="L54" s="32"/>
      <c r="M54" s="32"/>
    </row>
    <row r="55" spans="10:13">
      <c r="J55" s="32"/>
      <c r="K55" s="32"/>
      <c r="L55" s="32"/>
      <c r="M55" s="32"/>
    </row>
    <row r="56" spans="10:13">
      <c r="J56" s="32"/>
      <c r="K56" s="32"/>
      <c r="L56" s="32"/>
      <c r="M56" s="32"/>
    </row>
    <row r="57" spans="10:13">
      <c r="J57" s="32"/>
      <c r="K57" s="32"/>
      <c r="L57" s="32"/>
      <c r="M57" s="32"/>
    </row>
    <row r="58" spans="10:13">
      <c r="J58" s="32"/>
      <c r="K58" s="32"/>
      <c r="L58" s="32"/>
      <c r="M58" s="32"/>
    </row>
    <row r="59" spans="10:13">
      <c r="J59" s="32"/>
      <c r="K59" s="32"/>
      <c r="L59" s="32"/>
      <c r="M59" s="32"/>
    </row>
    <row r="60" spans="10:13">
      <c r="J60" s="32"/>
      <c r="K60" s="32"/>
      <c r="L60" s="32"/>
      <c r="M60" s="32"/>
    </row>
    <row r="61" spans="10:13">
      <c r="J61" s="32"/>
      <c r="K61" s="32"/>
      <c r="L61" s="32"/>
      <c r="M61" s="32"/>
    </row>
    <row r="62" spans="10:13">
      <c r="J62" s="32"/>
      <c r="K62" s="32"/>
      <c r="L62" s="32"/>
      <c r="M62" s="32"/>
    </row>
    <row r="63" spans="10:13">
      <c r="J63" s="32"/>
      <c r="K63" s="32"/>
      <c r="L63" s="32"/>
      <c r="M63" s="32"/>
    </row>
    <row r="64" spans="10:13">
      <c r="J64" s="32"/>
      <c r="K64" s="32"/>
    </row>
    <row r="65" spans="10:11">
      <c r="J65" s="32"/>
      <c r="K65" s="32"/>
    </row>
    <row r="66" spans="10:11">
      <c r="J66" s="32"/>
      <c r="K66" s="32"/>
    </row>
    <row r="67" spans="10:11">
      <c r="J67" s="32"/>
      <c r="K67" s="32"/>
    </row>
    <row r="68" spans="10:11">
      <c r="J68" s="32"/>
      <c r="K68" s="32"/>
    </row>
    <row r="69" spans="10:11">
      <c r="J69" s="32"/>
      <c r="K69" s="32"/>
    </row>
    <row r="70" spans="10:11">
      <c r="J70" s="32"/>
      <c r="K70" s="32"/>
    </row>
    <row r="71" spans="10:11">
      <c r="J71" s="32"/>
      <c r="K71" s="32"/>
    </row>
    <row r="72" spans="10:11">
      <c r="J72" s="32"/>
      <c r="K72" s="32"/>
    </row>
    <row r="73" spans="10:11">
      <c r="J73" s="32"/>
      <c r="K73" s="32"/>
    </row>
    <row r="74" spans="10:11">
      <c r="J74" s="32"/>
      <c r="K74" s="32"/>
    </row>
    <row r="75" spans="10:11">
      <c r="J75" s="32"/>
      <c r="K75" s="32"/>
    </row>
    <row r="76" spans="10:11">
      <c r="J76" s="32"/>
      <c r="K76" s="32"/>
    </row>
    <row r="77" spans="10:11">
      <c r="J77" s="32"/>
      <c r="K77" s="32"/>
    </row>
    <row r="78" spans="10:11">
      <c r="J78" s="32"/>
      <c r="K78" s="32"/>
    </row>
    <row r="79" spans="10:11">
      <c r="J79" s="32"/>
      <c r="K79" s="32"/>
    </row>
    <row r="80" spans="10:11">
      <c r="J80" s="32"/>
      <c r="K80" s="32"/>
    </row>
    <row r="81" spans="10:11">
      <c r="J81" s="32"/>
      <c r="K81" s="32"/>
    </row>
    <row r="82" spans="10:11">
      <c r="J82" s="32"/>
      <c r="K82" s="32"/>
    </row>
    <row r="83" spans="10:11">
      <c r="J83" s="32"/>
      <c r="K83" s="32"/>
    </row>
    <row r="84" spans="10:11">
      <c r="J84" s="32"/>
      <c r="K84" s="32"/>
    </row>
    <row r="85" spans="10:11">
      <c r="J85" s="32"/>
      <c r="K85" s="32"/>
    </row>
    <row r="86" spans="10:11">
      <c r="J86" s="32"/>
      <c r="K86" s="32"/>
    </row>
    <row r="87" spans="10:11">
      <c r="J87" s="32"/>
      <c r="K87" s="32"/>
    </row>
    <row r="88" spans="10:11">
      <c r="J88" s="32"/>
      <c r="K88" s="32"/>
    </row>
    <row r="89" spans="10:11">
      <c r="J89" s="32"/>
      <c r="K89" s="32"/>
    </row>
    <row r="90" spans="10:11">
      <c r="J90" s="32"/>
      <c r="K90" s="32"/>
    </row>
    <row r="91" spans="10:11">
      <c r="J91" s="32"/>
      <c r="K91" s="32"/>
    </row>
    <row r="92" spans="10:11">
      <c r="J92" s="32"/>
      <c r="K92" s="32"/>
    </row>
    <row r="93" spans="10:11">
      <c r="J93" s="32"/>
      <c r="K93" s="32"/>
    </row>
    <row r="94" spans="10:11">
      <c r="J94" s="32"/>
      <c r="K94" s="32"/>
    </row>
    <row r="95" spans="10:11">
      <c r="J95" s="32"/>
      <c r="K95" s="32"/>
    </row>
    <row r="96" spans="10:11">
      <c r="J96" s="32"/>
      <c r="K96" s="32"/>
    </row>
    <row r="97" spans="10:11">
      <c r="J97" s="32"/>
      <c r="K97" s="32"/>
    </row>
    <row r="98" spans="10:11">
      <c r="J98" s="32"/>
      <c r="K98" s="32"/>
    </row>
    <row r="99" spans="10:11">
      <c r="J99" s="32"/>
      <c r="K99" s="32"/>
    </row>
    <row r="100" spans="10:11">
      <c r="J100" s="32"/>
      <c r="K100" s="32"/>
    </row>
    <row r="101" spans="10:11">
      <c r="J101" s="32"/>
      <c r="K101" s="32"/>
    </row>
    <row r="102" spans="10:11">
      <c r="J102" s="32"/>
      <c r="K102" s="32"/>
    </row>
    <row r="103" spans="10:11">
      <c r="J103" s="32"/>
      <c r="K103" s="32"/>
    </row>
    <row r="104" spans="10:11">
      <c r="J104" s="32"/>
      <c r="K104" s="32"/>
    </row>
    <row r="105" spans="10:11">
      <c r="J105" s="32"/>
      <c r="K105" s="32"/>
    </row>
    <row r="106" spans="10:11">
      <c r="J106" s="32"/>
      <c r="K106" s="32"/>
    </row>
    <row r="107" spans="10:11">
      <c r="J107" s="32"/>
      <c r="K107" s="32"/>
    </row>
    <row r="108" spans="10:11">
      <c r="J108" s="32"/>
      <c r="K108" s="32"/>
    </row>
    <row r="109" spans="10:11">
      <c r="J109" s="32"/>
      <c r="K109" s="32"/>
    </row>
    <row r="110" spans="10:11">
      <c r="J110" s="32"/>
      <c r="K110" s="32"/>
    </row>
    <row r="111" spans="10:11">
      <c r="J111" s="32"/>
      <c r="K111" s="32"/>
    </row>
    <row r="112" spans="10:11">
      <c r="J112" s="32"/>
      <c r="K112" s="32"/>
    </row>
    <row r="113" spans="10:11">
      <c r="J113" s="32"/>
      <c r="K113" s="32"/>
    </row>
    <row r="114" spans="10:11">
      <c r="J114" s="32"/>
      <c r="K114" s="32"/>
    </row>
    <row r="115" spans="10:11">
      <c r="J115" s="32"/>
      <c r="K115" s="32"/>
    </row>
    <row r="116" spans="10:11">
      <c r="J116" s="32"/>
      <c r="K116" s="32"/>
    </row>
    <row r="117" spans="10:11">
      <c r="J117" s="32"/>
      <c r="K117" s="32"/>
    </row>
    <row r="118" spans="10:11">
      <c r="J118" s="32"/>
      <c r="K118" s="32"/>
    </row>
    <row r="119" spans="10:11">
      <c r="J119" s="32"/>
      <c r="K119" s="32"/>
    </row>
    <row r="120" spans="10:11">
      <c r="J120" s="32"/>
      <c r="K120" s="32"/>
    </row>
    <row r="121" spans="10:11">
      <c r="J121" s="32"/>
      <c r="K121" s="32"/>
    </row>
    <row r="122" spans="10:11">
      <c r="J122" s="32"/>
      <c r="K122" s="32"/>
    </row>
    <row r="123" spans="10:11">
      <c r="J123" s="32"/>
      <c r="K123" s="32"/>
    </row>
    <row r="124" spans="10:11">
      <c r="J124" s="32"/>
      <c r="K124" s="32"/>
    </row>
    <row r="125" spans="10:11">
      <c r="J125" s="32"/>
      <c r="K125" s="32"/>
    </row>
    <row r="126" spans="10:11">
      <c r="J126" s="32"/>
      <c r="K126" s="32"/>
    </row>
    <row r="127" spans="10:11">
      <c r="J127" s="32"/>
      <c r="K127" s="32"/>
    </row>
    <row r="128" spans="10:11">
      <c r="J128" s="32"/>
      <c r="K128" s="32"/>
    </row>
    <row r="129" spans="10:11">
      <c r="J129" s="32"/>
      <c r="K129" s="32"/>
    </row>
    <row r="130" spans="10:11">
      <c r="J130" s="32"/>
      <c r="K130" s="32"/>
    </row>
    <row r="131" spans="10:11">
      <c r="J131" s="32"/>
      <c r="K131" s="32"/>
    </row>
    <row r="132" spans="10:11">
      <c r="J132" s="32"/>
      <c r="K132" s="32"/>
    </row>
    <row r="133" spans="10:11">
      <c r="J133" s="32"/>
      <c r="K133" s="32"/>
    </row>
    <row r="134" spans="10:11">
      <c r="J134" s="32"/>
      <c r="K134" s="32"/>
    </row>
    <row r="135" spans="10:11">
      <c r="J135" s="32"/>
      <c r="K135" s="32"/>
    </row>
    <row r="136" spans="10:11">
      <c r="J136" s="32"/>
      <c r="K136" s="32"/>
    </row>
    <row r="137" spans="10:11">
      <c r="J137" s="32"/>
      <c r="K137" s="32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17:42:45</KDate>
  <Classification>Public</Classification>
  <Subclassification/>
  <HostName>MUMCMP00935</HostName>
  <Domain_User>CANARAROBECOMF/628</Domain_User>
  <IPAdd>192.9.198.194</IPAdd>
  <FilePath>Book1</FilePath>
  <KID>C025A5607E97638162269657592153</KID>
  <UniqueName/>
  <Suggested/>
  <Justification/>
</Klassify>
</file>

<file path=customXml/itemProps1.xml><?xml version="1.0" encoding="utf-8"?>
<ds:datastoreItem xmlns:ds="http://schemas.openxmlformats.org/officeDocument/2006/customXml" ds:itemID="{DD6E5066-B916-47A6-98A6-A36F3AA743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2023-04-04T12:12:40Z</dcterms:created>
  <dcterms:modified xsi:type="dcterms:W3CDTF">2023-04-04T12:12:45Z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C025A5607E97638162269657592153</vt:lpwstr>
  </property>
</Properties>
</file>