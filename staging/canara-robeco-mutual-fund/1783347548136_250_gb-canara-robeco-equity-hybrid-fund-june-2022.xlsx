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G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4" i="1" l="1"/>
  <c r="G115" i="1" s="1"/>
  <c r="F114" i="1"/>
  <c r="F115" i="1" s="1"/>
  <c r="G111" i="1"/>
  <c r="F111" i="1"/>
  <c r="G93" i="1"/>
  <c r="F93" i="1"/>
  <c r="G92" i="1"/>
  <c r="F92" i="1"/>
  <c r="G87" i="1"/>
  <c r="F87" i="1"/>
  <c r="G86" i="1"/>
  <c r="F86" i="1"/>
  <c r="G59" i="1"/>
  <c r="G116" i="1" s="1"/>
  <c r="F59" i="1"/>
  <c r="F116" i="1" s="1"/>
  <c r="G58" i="1"/>
  <c r="F58" i="1"/>
</calcChain>
</file>

<file path=xl/sharedStrings.xml><?xml version="1.0" encoding="utf-8"?>
<sst xmlns="http://schemas.openxmlformats.org/spreadsheetml/2006/main" count="366" uniqueCount="250">
  <si>
    <t>CANARA ROBECO EQUITY HYBRID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</si>
  <si>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</si>
  <si>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</si>
  <si>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</si>
  <si>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</si>
  <si>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</si>
  <si>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</si>
  <si>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</si>
  <si>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</si>
  <si>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Market Capitalization</t>
  </si>
  <si>
    <t>Scheme Risk-o-meter Level- Jun'22</t>
  </si>
  <si>
    <t>Benchmark Risk-o-meter Level- Jun'22</t>
  </si>
  <si>
    <t>Previous Scheme Risk-o-meter Level- May'22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</si>
  <si>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</si>
  <si>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</si>
  <si>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</si>
  <si>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</si>
  <si>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</si>
  <si>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</si>
  <si>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</si>
  <si>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</si>
  <si>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</si>
  <si>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</si>
  <si>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</si>
  <si>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Infosys Ltd</t>
  </si>
  <si>
    <t>INE009A01021</t>
  </si>
  <si>
    <t>IT - Software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</si>
  <si>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</si>
  <si>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</si>
  <si>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</si>
  <si>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</si>
  <si>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</si>
  <si>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</si>
  <si>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Benchmark: CRISIL Hybrid 35+65 - Aggressive Index</t>
  </si>
  <si>
    <t>Bharti Airtel Ltd</t>
  </si>
  <si>
    <t>INE397D01024</t>
  </si>
  <si>
    <t>Telecom - Services</t>
  </si>
  <si>
    <t>Housing Development Finance Corporation Ltd</t>
  </si>
  <si>
    <t>INE001A01036</t>
  </si>
  <si>
    <t>Finance</t>
  </si>
  <si>
    <t>Maruti Suzuki India Ltd</t>
  </si>
  <si>
    <t>INE585B01010</t>
  </si>
  <si>
    <t>Automobiles</t>
  </si>
  <si>
    <t>Larsen &amp; Toubro Ltd</t>
  </si>
  <si>
    <t>INE018A01030</t>
  </si>
  <si>
    <t>Construction</t>
  </si>
  <si>
    <t>Bajaj Finance Ltd</t>
  </si>
  <si>
    <t>INE296A01024</t>
  </si>
  <si>
    <t>ABB India Ltd</t>
  </si>
  <si>
    <t>INE117A01022</t>
  </si>
  <si>
    <t>Electrical Equipment</t>
  </si>
  <si>
    <t>Mid Cap</t>
  </si>
  <si>
    <t>Hindustan Unilever Ltd</t>
  </si>
  <si>
    <t>INE030A01027</t>
  </si>
  <si>
    <t>Diversified Fmcg</t>
  </si>
  <si>
    <t>ITC Ltd</t>
  </si>
  <si>
    <t>INE154A01025</t>
  </si>
  <si>
    <t>Sun Pharmaceutical Industries Ltd</t>
  </si>
  <si>
    <t>INE044A01036</t>
  </si>
  <si>
    <t>Pharmaceuticals &amp; Biotechnology</t>
  </si>
  <si>
    <t>Mphasis Ltd</t>
  </si>
  <si>
    <t>INE356A01018</t>
  </si>
  <si>
    <t>Voltas Ltd</t>
  </si>
  <si>
    <t>INE226A01021</t>
  </si>
  <si>
    <t>Consumer Durables</t>
  </si>
  <si>
    <t>Max Healthcare Institute Ltd</t>
  </si>
  <si>
    <t>INE027H01010</t>
  </si>
  <si>
    <t>Healthcare Services</t>
  </si>
  <si>
    <t>Tata Motors Ltd</t>
  </si>
  <si>
    <t>INE155A01022</t>
  </si>
  <si>
    <t>United Spirits Ltd</t>
  </si>
  <si>
    <t>INE854D01024</t>
  </si>
  <si>
    <t>Beverages</t>
  </si>
  <si>
    <t>Bharat Forge Ltd</t>
  </si>
  <si>
    <t>INE465A01025</t>
  </si>
  <si>
    <t>Industrial Products</t>
  </si>
  <si>
    <t>NTPC Ltd</t>
  </si>
  <si>
    <t>INE733E01010</t>
  </si>
  <si>
    <t>Power</t>
  </si>
  <si>
    <t>SBI Life Insurance Co Ltd</t>
  </si>
  <si>
    <t>INE123W01016</t>
  </si>
  <si>
    <t>Insurance</t>
  </si>
  <si>
    <t>Minda Industries Ltd</t>
  </si>
  <si>
    <t>INE405E01023</t>
  </si>
  <si>
    <t>Auto Components</t>
  </si>
  <si>
    <t>Oberoi Realty Ltd</t>
  </si>
  <si>
    <t>INE093I01010</t>
  </si>
  <si>
    <t>Realty</t>
  </si>
  <si>
    <t>Ultratech Cement Ltd</t>
  </si>
  <si>
    <t>INE481G01011</t>
  </si>
  <si>
    <t>Cement &amp; Cement Products</t>
  </si>
  <si>
    <t>Vinati Organics Ltd</t>
  </si>
  <si>
    <t>INE410B01037</t>
  </si>
  <si>
    <t>Chemicals &amp; Petrochemicals</t>
  </si>
  <si>
    <t>Polycab India Ltd</t>
  </si>
  <si>
    <t>INE455K01017</t>
  </si>
  <si>
    <t>Indian Hotels Co Ltd</t>
  </si>
  <si>
    <t>INE053A01029</t>
  </si>
  <si>
    <t>Leisure Services</t>
  </si>
  <si>
    <t>J.K. Cement Ltd</t>
  </si>
  <si>
    <t>INE823G01014</t>
  </si>
  <si>
    <t>Bharat Electronics Ltd</t>
  </si>
  <si>
    <t>INE263A01024</t>
  </si>
  <si>
    <t>Aerospace &amp; Defense</t>
  </si>
  <si>
    <t>Gland Pharma Ltd</t>
  </si>
  <si>
    <t>INE068V01023</t>
  </si>
  <si>
    <t>KEI Industries Ltd</t>
  </si>
  <si>
    <t>INE878B01027</t>
  </si>
  <si>
    <t>Small Cap</t>
  </si>
  <si>
    <t>Cholamandalam Investment and Finance Co Ltd</t>
  </si>
  <si>
    <t>INE121A01024</t>
  </si>
  <si>
    <t>PI Industries Ltd</t>
  </si>
  <si>
    <t>INE603J01030</t>
  </si>
  <si>
    <t>Fertilizers &amp; Agrochemicals</t>
  </si>
  <si>
    <t>Atul Ltd</t>
  </si>
  <si>
    <t>INE100A01010</t>
  </si>
  <si>
    <t>Abbott India Ltd</t>
  </si>
  <si>
    <t>INE358A01014</t>
  </si>
  <si>
    <t>ZF Commercial Vehicle Control Systems India Ltd</t>
  </si>
  <si>
    <t>INE342J01019</t>
  </si>
  <si>
    <t>Navin Fluorine International Ltd</t>
  </si>
  <si>
    <t>INE048G01026</t>
  </si>
  <si>
    <t>HCL Technologies Ltd</t>
  </si>
  <si>
    <t>INE860A01027</t>
  </si>
  <si>
    <t>Hindalco Industries Ltd</t>
  </si>
  <si>
    <t>INE038A01020</t>
  </si>
  <si>
    <t>Non - Ferrous Metals</t>
  </si>
  <si>
    <t>Titan Co Ltd</t>
  </si>
  <si>
    <t>INE280A01028</t>
  </si>
  <si>
    <t>Aditya Birla Fashion and Retail Ltd</t>
  </si>
  <si>
    <t>INE647O01011</t>
  </si>
  <si>
    <t>Retailing</t>
  </si>
  <si>
    <t>Avenue Supermarts Ltd</t>
  </si>
  <si>
    <t>INE192R01011</t>
  </si>
  <si>
    <t>Honeywell Automation India Ltd</t>
  </si>
  <si>
    <t>INE671A01010</t>
  </si>
  <si>
    <t>Industrial Manufacturing</t>
  </si>
  <si>
    <t>Gujarat Gas Ltd</t>
  </si>
  <si>
    <t>INE844O01030</t>
  </si>
  <si>
    <t>Gas</t>
  </si>
  <si>
    <t>IPCA Laboratories Ltd</t>
  </si>
  <si>
    <t>INE571A01038</t>
  </si>
  <si>
    <t>Divi's Laboratories Ltd</t>
  </si>
  <si>
    <t>INE361B01024</t>
  </si>
  <si>
    <t>Ashok Leyland Ltd</t>
  </si>
  <si>
    <t>INE208A01029</t>
  </si>
  <si>
    <t>Agricultural, Commercial &amp; Construction Vehicles</t>
  </si>
  <si>
    <t>Bharti Airtel Ltd - Partly Paid</t>
  </si>
  <si>
    <t>IN9397D01014</t>
  </si>
  <si>
    <t>Sub Total</t>
  </si>
  <si>
    <t>Total</t>
  </si>
  <si>
    <t>Debt Instruments</t>
  </si>
  <si>
    <t>6.99% Housing Development Finance Corporation Ltd (13/02/2023)</t>
  </si>
  <si>
    <t>INE001A07SH4</t>
  </si>
  <si>
    <t>CRISIL AAA</t>
  </si>
  <si>
    <t>4.96% LIC Housing Finance Ltd (14/09/2023) **</t>
  </si>
  <si>
    <t>INE115A07OZ3</t>
  </si>
  <si>
    <t>CARE AAA</t>
  </si>
  <si>
    <t>7.87% Housing Development Finance Corporation Ltd (18/07/2022)</t>
  </si>
  <si>
    <t>INE001A07RW5</t>
  </si>
  <si>
    <t>7.69% National Bank For Agriculture &amp; Rural Development (29/05/2024)</t>
  </si>
  <si>
    <t>INE261F08BK1</t>
  </si>
  <si>
    <t>5.32% LIC Housing Finance Ltd (30/11/2023) **</t>
  </si>
  <si>
    <t>INE115A07PO4</t>
  </si>
  <si>
    <t>8.50% National Bank For Agriculture &amp; Rural Development (31/01/2023) **</t>
  </si>
  <si>
    <t>INE261F08AT4</t>
  </si>
  <si>
    <t>7.21% Housing Development Finance Corporation Ltd (30/12/2022) **</t>
  </si>
  <si>
    <t>INE001A07SD3</t>
  </si>
  <si>
    <t>7.25% Larsen &amp; Toubro Ltd (24/04/2023) **</t>
  </si>
  <si>
    <t>INE018A08AY9</t>
  </si>
  <si>
    <t>7.17% Reliance Industries Ltd (08/11/2022)</t>
  </si>
  <si>
    <t>INE002A08500</t>
  </si>
  <si>
    <t>7.50% Housing Development Finance Corporation Ltd (08/01/2025) **</t>
  </si>
  <si>
    <t>INE001A07SE1</t>
  </si>
  <si>
    <t>5.35% LIC Housing Finance Ltd (20/03/2023) **</t>
  </si>
  <si>
    <t>INE115A07PC9</t>
  </si>
  <si>
    <t>7.99% Housing Development Finance Corporation Ltd (11/07/2024) **</t>
  </si>
  <si>
    <t>INE001A07RV7</t>
  </si>
  <si>
    <t>7.39% LIC Housing Finance Ltd (30/08/2022) **</t>
  </si>
  <si>
    <t>INE115A07MJ1</t>
  </si>
  <si>
    <t>7.45% REC Ltd (30/11/2022)</t>
  </si>
  <si>
    <t>INE020B08AP1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</si>
  <si>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</si>
  <si>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</si>
  <si>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</si>
  <si>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</si>
  <si>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</si>
  <si>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</si>
  <si>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</si>
  <si>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</si>
  <si>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ICRA AAA</t>
  </si>
  <si>
    <t>7.33% LIC Housing Finance Ltd (12/02/2025) **</t>
  </si>
  <si>
    <t>INE115A07OS8</t>
  </si>
  <si>
    <t>8.13% Power Grid Corporation of India Ltd (25/04/2024) **</t>
  </si>
  <si>
    <t>INE752E07NQ6</t>
  </si>
  <si>
    <t>7.85% Power Finance Corporation Ltd (03/04/2028) **</t>
  </si>
  <si>
    <t>INE134E08JP5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</si>
  <si>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</si>
  <si>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</si>
  <si>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</si>
  <si>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</si>
  <si>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</si>
  <si>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</si>
  <si>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</si>
  <si>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</si>
  <si>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Axis Bank Ltd (09/12/2022) ** #</t>
  </si>
  <si>
    <t>INE238A166X7</t>
  </si>
  <si>
    <t>CRISIL A1+</t>
  </si>
  <si>
    <t>HDFC Bank Ltd (06/03/2023) ** #</t>
  </si>
  <si>
    <t>INE040A16CX4</t>
  </si>
  <si>
    <t>CARE A1+</t>
  </si>
  <si>
    <t>Government Bonds</t>
  </si>
  <si>
    <t>5.74% GOI (15/11/2026)</t>
  </si>
  <si>
    <t>IN0020210186</t>
  </si>
  <si>
    <t>Sovereign</t>
  </si>
  <si>
    <t>7.32% GOI (28/01/2024)</t>
  </si>
  <si>
    <t>IN0020180488</t>
  </si>
  <si>
    <t>5.63% GOI (12/04/2026)</t>
  </si>
  <si>
    <t>IN0020210012</t>
  </si>
  <si>
    <t>6.54% GOI 17-JAN-32</t>
  </si>
  <si>
    <t>IN0020210244</t>
  </si>
  <si>
    <t>7.35% INDIA GOVERNMENT 22-JUN-24</t>
  </si>
  <si>
    <t>IN0020090034</t>
  </si>
  <si>
    <t>4.48% GOI (02/11/2023)</t>
  </si>
  <si>
    <t>IN0020200211</t>
  </si>
  <si>
    <t>7.16% INDIA GOVERNMENT 20-MAY-23</t>
  </si>
  <si>
    <t>IN0020130012</t>
  </si>
  <si>
    <t>5.22% INDIA GOVERNMENT 15-JUN-25</t>
  </si>
  <si>
    <t>IN0020200112</t>
  </si>
  <si>
    <t>7.38% GOI 20-JUN-27</t>
  </si>
  <si>
    <t>IN0020220037</t>
  </si>
  <si>
    <t>6.69% GOI 27-JUN-24</t>
  </si>
  <si>
    <t>IN0020220052</t>
  </si>
  <si>
    <t>6.18% INDIA GOVERNMENT 04-NOV-24</t>
  </si>
  <si>
    <t>IN0020190396</t>
  </si>
  <si>
    <t>5.15% INDIA GOVERNMENT 09-NOV-25</t>
  </si>
  <si>
    <t>IN0020200278</t>
  </si>
  <si>
    <t>6.84% GUJARAT SDL 08-SEP-31</t>
  </si>
  <si>
    <t>IN1520210106</t>
  </si>
  <si>
    <t>7.59% GOI (11/01/2026)</t>
  </si>
  <si>
    <t>IN0020150093</t>
  </si>
  <si>
    <t>8.24% GOI (15/02/2027)</t>
  </si>
  <si>
    <t>IN0020060078</t>
  </si>
  <si>
    <t>8.15% GOI (24/11/2026)</t>
  </si>
  <si>
    <t>IN0020140060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</si>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</sst>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/>
    <xf numFmtId="43" fontId="3" fillId="3" borderId="6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14" xfId="1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2" xfId="0" applyFont="1" applyFill="1" applyBorder="1"/>
    <xf numFmtId="4" fontId="9" fillId="3" borderId="16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3" fillId="3" borderId="22" xfId="0" applyFont="1" applyFill="1" applyBorder="1"/>
    <xf numFmtId="3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6" xfId="0" applyFont="1" applyFill="1" applyBorder="1"/>
    <xf numFmtId="0" fontId="9" fillId="3" borderId="6" xfId="0" applyNumberFormat="1" applyFont="1" applyFill="1" applyBorder="1"/>
    <xf numFmtId="4" fontId="9" fillId="3" borderId="6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4</xdr:row>
      <xdr:rowOff>57150</xdr:rowOff>
    </xdr:from>
    <xdr:ext cx="1724026" cy="1076325"/>
    <xdr:pic>
      <xdr:nvPicPr>
        <xdr:cNvPr id="2" name="Picture 1">
          <a:extLst>
            <a:ext uri="{FF2B5EF4-FFF2-40B4-BE49-F238E27FC236}">
              <a16:creationId xmlns:a16="http://schemas.microsoft.com/office/drawing/2014/main" id="{33D13B9D-A683-4762-BEA5-0E36F6833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5300" y="1066800"/>
          <a:ext cx="1724026" cy="1076325"/>
        </a:xfrm>
        <a:prstGeom prst="rect">
          <a:avLst/>
        </a:prstGeom>
      </xdr:spPr>
    </xdr:pic>
    <xdr:clientData/>
  </xdr:oneCellAnchor>
  <xdr:oneCellAnchor>
    <xdr:from>
      <xdr:col>10</xdr:col>
      <xdr:colOff>47625</xdr:colOff>
      <xdr:row>4</xdr:row>
      <xdr:rowOff>57150</xdr:rowOff>
    </xdr:from>
    <xdr:ext cx="1666875" cy="1123950"/>
    <xdr:pic>
      <xdr:nvPicPr>
        <xdr:cNvPr id="3" name="Picture 2">
          <a:extLst>
            <a:ext uri="{FF2B5EF4-FFF2-40B4-BE49-F238E27FC236}">
              <a16:creationId xmlns:a16="http://schemas.microsoft.com/office/drawing/2014/main" id="{8260D1C2-BCA1-4A49-8CBF-F82F3D16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8175" y="1066800"/>
          <a:ext cx="1666875" cy="1123950"/>
        </a:xfrm>
        <a:prstGeom prst="rect">
          <a:avLst/>
        </a:prstGeom>
      </xdr:spPr>
    </xdr:pic>
    <xdr:clientData/>
  </xdr:oneCellAnchor>
  <xdr:twoCellAnchor editAs="oneCell">
    <xdr:from>
      <xdr:col>11</xdr:col>
      <xdr:colOff>47625</xdr:colOff>
      <xdr:row>4</xdr:row>
      <xdr:rowOff>76200</xdr:rowOff>
    </xdr:from>
    <xdr:to>
      <xdr:col>11</xdr:col>
      <xdr:colOff>1704974</xdr:colOff>
      <xdr:row>11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22C50F-BBBE-4A43-9E10-18DE864F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9850" y="1085850"/>
          <a:ext cx="1657349" cy="1085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0"/>
  <sheetViews>
    <sheetView tabSelected="1" workbookViewId="0">
      <selection activeCell="I12" sqref="I12"/>
    </sheetView>
  </sheetViews>
  <sheetFormatPr defaultRowHeight="12"/>
  <cols>
    <col min="1" max="1" width="9.140625" style="4"/>
    <col min="2" max="2" width="60.28515625" style="4" bestFit="1" customWidth="1"/>
    <col min="3" max="3" width="13.85546875" style="4" bestFit="1" customWidth="1"/>
    <col min="4" max="4" width="40.42578125" style="4" bestFit="1" customWidth="1"/>
    <col min="5" max="5" width="9.85546875" style="64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2.7109375" style="3" customWidth="1"/>
    <col min="10" max="10" width="4.7109375" style="3" bestFit="1" customWidth="1"/>
    <col min="11" max="11" width="29.5703125" style="3" customWidth="1"/>
    <col min="12" max="12" width="25.5703125" style="3" customWidth="1"/>
    <col min="13" max="13" width="26.42578125" style="4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2"/>
    </row>
    <row r="3" spans="2:13" ht="16.5" thickBot="1">
      <c r="B3" s="5" t="s">
        <v>1</v>
      </c>
      <c r="C3" s="6"/>
      <c r="D3" s="7"/>
      <c r="E3" s="8"/>
      <c r="F3" s="9"/>
      <c r="G3" s="9"/>
    </row>
    <row r="4" spans="2:13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I4" s="16" t="s">
        <v>9</v>
      </c>
      <c r="K4" s="17" t="s">
        <v>10</v>
      </c>
      <c r="L4" s="17" t="s">
        <v>11</v>
      </c>
      <c r="M4" s="17" t="s">
        <v>12</v>
      </c>
    </row>
    <row r="5" spans="2:13">
      <c r="B5" s="18" t="s">
        <v>13</v>
      </c>
      <c r="C5" s="19"/>
      <c r="D5" s="19"/>
      <c r="E5" s="20"/>
      <c r="F5" s="21"/>
      <c r="G5" s="21"/>
      <c r="H5" s="22"/>
      <c r="I5" s="23"/>
      <c r="K5" s="24"/>
      <c r="L5" s="24"/>
      <c r="M5" s="24"/>
    </row>
    <row r="6" spans="2:13">
      <c r="B6" s="25" t="s">
        <v>14</v>
      </c>
      <c r="C6" s="26"/>
      <c r="D6" s="26"/>
      <c r="E6" s="27"/>
      <c r="F6" s="28"/>
      <c r="G6" s="28"/>
      <c r="H6" s="29"/>
      <c r="I6" s="23"/>
      <c r="K6" s="24"/>
      <c r="L6" s="24"/>
      <c r="M6" s="24"/>
    </row>
    <row r="7" spans="2:13">
      <c r="B7" s="30" t="s">
        <v>15</v>
      </c>
      <c r="C7" s="26" t="s">
        <v>16</v>
      </c>
      <c r="D7" s="26" t="s">
        <v>17</v>
      </c>
      <c r="E7" s="31">
        <v>6400000</v>
      </c>
      <c r="F7" s="28">
        <v>45260.800000000003</v>
      </c>
      <c r="G7" s="28">
        <v>6.09</v>
      </c>
      <c r="H7" s="29"/>
      <c r="I7" s="23" t="s">
        <v>18</v>
      </c>
      <c r="K7" s="24"/>
      <c r="L7" s="24"/>
      <c r="M7" s="24"/>
    </row>
    <row r="8" spans="2:13">
      <c r="B8" s="30" t="s">
        <v>19</v>
      </c>
      <c r="C8" s="26" t="s">
        <v>20</v>
      </c>
      <c r="D8" s="26" t="s">
        <v>17</v>
      </c>
      <c r="E8" s="31">
        <v>2950000</v>
      </c>
      <c r="F8" s="28">
        <v>39766</v>
      </c>
      <c r="G8" s="28">
        <v>5.35</v>
      </c>
      <c r="H8" s="29"/>
      <c r="I8" s="23" t="s">
        <v>18</v>
      </c>
      <c r="K8" s="24"/>
      <c r="L8" s="24"/>
      <c r="M8" s="24"/>
    </row>
    <row r="9" spans="2:13">
      <c r="B9" s="30" t="s">
        <v>21</v>
      </c>
      <c r="C9" s="26" t="s">
        <v>22</v>
      </c>
      <c r="D9" s="26" t="s">
        <v>23</v>
      </c>
      <c r="E9" s="31">
        <v>1380000</v>
      </c>
      <c r="F9" s="28">
        <v>35819.97</v>
      </c>
      <c r="G9" s="28">
        <v>4.82</v>
      </c>
      <c r="H9" s="29"/>
      <c r="I9" s="23" t="s">
        <v>18</v>
      </c>
      <c r="K9" s="24"/>
      <c r="L9" s="24"/>
      <c r="M9" s="24"/>
    </row>
    <row r="10" spans="2:13">
      <c r="B10" s="30" t="s">
        <v>24</v>
      </c>
      <c r="C10" s="26" t="s">
        <v>25</v>
      </c>
      <c r="D10" s="26" t="s">
        <v>26</v>
      </c>
      <c r="E10" s="31">
        <v>2450000</v>
      </c>
      <c r="F10" s="28">
        <v>35816.550000000003</v>
      </c>
      <c r="G10" s="28">
        <v>4.82</v>
      </c>
      <c r="H10" s="29"/>
      <c r="I10" s="23" t="s">
        <v>18</v>
      </c>
      <c r="K10" s="24"/>
      <c r="L10" s="24"/>
      <c r="M10" s="24"/>
    </row>
    <row r="11" spans="2:13">
      <c r="B11" s="30" t="s">
        <v>27</v>
      </c>
      <c r="C11" s="26" t="s">
        <v>28</v>
      </c>
      <c r="D11" s="26" t="s">
        <v>17</v>
      </c>
      <c r="E11" s="31">
        <v>6000000</v>
      </c>
      <c r="F11" s="28">
        <v>27954</v>
      </c>
      <c r="G11" s="28">
        <v>3.76</v>
      </c>
      <c r="H11" s="29"/>
      <c r="I11" s="23" t="s">
        <v>18</v>
      </c>
      <c r="K11" s="24"/>
      <c r="L11" s="24"/>
      <c r="M11" s="24"/>
    </row>
    <row r="12" spans="2:13">
      <c r="B12" s="30" t="s">
        <v>29</v>
      </c>
      <c r="C12" s="26" t="s">
        <v>30</v>
      </c>
      <c r="D12" s="26" t="s">
        <v>17</v>
      </c>
      <c r="E12" s="31">
        <v>3050000</v>
      </c>
      <c r="F12" s="28">
        <v>19422.400000000001</v>
      </c>
      <c r="G12" s="28">
        <v>2.61</v>
      </c>
      <c r="H12" s="29"/>
      <c r="I12" s="23" t="s">
        <v>18</v>
      </c>
      <c r="K12" s="24"/>
      <c r="L12" s="24"/>
      <c r="M12" s="24"/>
    </row>
    <row r="13" spans="2:13">
      <c r="B13" s="30" t="s">
        <v>31</v>
      </c>
      <c r="C13" s="26" t="s">
        <v>32</v>
      </c>
      <c r="D13" s="26" t="s">
        <v>26</v>
      </c>
      <c r="E13" s="31">
        <v>500000</v>
      </c>
      <c r="F13" s="28">
        <v>16335.5</v>
      </c>
      <c r="G13" s="28">
        <v>2.2000000000000002</v>
      </c>
      <c r="H13" s="29"/>
      <c r="I13" s="23" t="s">
        <v>18</v>
      </c>
      <c r="L13" s="3" t="s">
        <v>33</v>
      </c>
      <c r="M13" s="3"/>
    </row>
    <row r="14" spans="2:13">
      <c r="B14" s="30" t="s">
        <v>34</v>
      </c>
      <c r="C14" s="26" t="s">
        <v>35</v>
      </c>
      <c r="D14" s="26" t="s">
        <v>36</v>
      </c>
      <c r="E14" s="31">
        <v>2150000</v>
      </c>
      <c r="F14" s="28">
        <v>14726.43</v>
      </c>
      <c r="G14" s="28">
        <v>1.98</v>
      </c>
      <c r="H14" s="29"/>
      <c r="I14" s="23" t="s">
        <v>18</v>
      </c>
      <c r="M14" s="3"/>
    </row>
    <row r="15" spans="2:13">
      <c r="B15" s="30" t="s">
        <v>37</v>
      </c>
      <c r="C15" s="26" t="s">
        <v>38</v>
      </c>
      <c r="D15" s="26" t="s">
        <v>39</v>
      </c>
      <c r="E15" s="31">
        <v>650000</v>
      </c>
      <c r="F15" s="28">
        <v>14110.53</v>
      </c>
      <c r="G15" s="28">
        <v>1.9</v>
      </c>
      <c r="H15" s="29"/>
      <c r="I15" s="23" t="s">
        <v>18</v>
      </c>
    </row>
    <row r="16" spans="2:13">
      <c r="B16" s="30" t="s">
        <v>40</v>
      </c>
      <c r="C16" s="26" t="s">
        <v>41</v>
      </c>
      <c r="D16" s="26" t="s">
        <v>42</v>
      </c>
      <c r="E16" s="31">
        <v>160000</v>
      </c>
      <c r="F16" s="28">
        <v>13553.2</v>
      </c>
      <c r="G16" s="28">
        <v>1.82</v>
      </c>
      <c r="H16" s="29"/>
      <c r="I16" s="23" t="s">
        <v>18</v>
      </c>
    </row>
    <row r="17" spans="2:9">
      <c r="B17" s="30" t="s">
        <v>43</v>
      </c>
      <c r="C17" s="26" t="s">
        <v>44</v>
      </c>
      <c r="D17" s="26" t="s">
        <v>45</v>
      </c>
      <c r="E17" s="31">
        <v>750000</v>
      </c>
      <c r="F17" s="28">
        <v>11686.88</v>
      </c>
      <c r="G17" s="28">
        <v>1.57</v>
      </c>
      <c r="H17" s="29"/>
      <c r="I17" s="23" t="s">
        <v>18</v>
      </c>
    </row>
    <row r="18" spans="2:9">
      <c r="B18" s="30" t="s">
        <v>46</v>
      </c>
      <c r="C18" s="26" t="s">
        <v>47</v>
      </c>
      <c r="D18" s="26" t="s">
        <v>39</v>
      </c>
      <c r="E18" s="31">
        <v>215000</v>
      </c>
      <c r="F18" s="28">
        <v>11611.08</v>
      </c>
      <c r="G18" s="28">
        <v>1.56</v>
      </c>
      <c r="H18" s="29"/>
      <c r="I18" s="23" t="s">
        <v>18</v>
      </c>
    </row>
    <row r="19" spans="2:9">
      <c r="B19" s="30" t="s">
        <v>48</v>
      </c>
      <c r="C19" s="26" t="s">
        <v>49</v>
      </c>
      <c r="D19" s="26" t="s">
        <v>50</v>
      </c>
      <c r="E19" s="31">
        <v>495000</v>
      </c>
      <c r="F19" s="28">
        <v>11389.46</v>
      </c>
      <c r="G19" s="28">
        <v>1.53</v>
      </c>
      <c r="H19" s="29"/>
      <c r="I19" s="23" t="s">
        <v>51</v>
      </c>
    </row>
    <row r="20" spans="2:9">
      <c r="B20" s="30" t="s">
        <v>52</v>
      </c>
      <c r="C20" s="26" t="s">
        <v>53</v>
      </c>
      <c r="D20" s="26" t="s">
        <v>54</v>
      </c>
      <c r="E20" s="31">
        <v>500000</v>
      </c>
      <c r="F20" s="28">
        <v>11153</v>
      </c>
      <c r="G20" s="28">
        <v>1.5</v>
      </c>
      <c r="H20" s="29"/>
      <c r="I20" s="23" t="s">
        <v>18</v>
      </c>
    </row>
    <row r="21" spans="2:9">
      <c r="B21" s="30" t="s">
        <v>55</v>
      </c>
      <c r="C21" s="26" t="s">
        <v>56</v>
      </c>
      <c r="D21" s="26" t="s">
        <v>54</v>
      </c>
      <c r="E21" s="31">
        <v>3850000</v>
      </c>
      <c r="F21" s="28">
        <v>10529.75</v>
      </c>
      <c r="G21" s="28">
        <v>1.42</v>
      </c>
      <c r="H21" s="29"/>
      <c r="I21" s="23" t="s">
        <v>18</v>
      </c>
    </row>
    <row r="22" spans="2:9">
      <c r="B22" s="30" t="s">
        <v>57</v>
      </c>
      <c r="C22" s="26" t="s">
        <v>58</v>
      </c>
      <c r="D22" s="26" t="s">
        <v>59</v>
      </c>
      <c r="E22" s="31">
        <v>1200000</v>
      </c>
      <c r="F22" s="28">
        <v>9967.2000000000007</v>
      </c>
      <c r="G22" s="28">
        <v>1.34</v>
      </c>
      <c r="H22" s="29"/>
      <c r="I22" s="23" t="s">
        <v>18</v>
      </c>
    </row>
    <row r="23" spans="2:9">
      <c r="B23" s="30" t="s">
        <v>60</v>
      </c>
      <c r="C23" s="26" t="s">
        <v>61</v>
      </c>
      <c r="D23" s="26" t="s">
        <v>26</v>
      </c>
      <c r="E23" s="31">
        <v>400000</v>
      </c>
      <c r="F23" s="28">
        <v>9176.2000000000007</v>
      </c>
      <c r="G23" s="28">
        <v>1.24</v>
      </c>
      <c r="H23" s="29"/>
      <c r="I23" s="23" t="s">
        <v>18</v>
      </c>
    </row>
    <row r="24" spans="2:9">
      <c r="B24" s="30" t="s">
        <v>62</v>
      </c>
      <c r="C24" s="26" t="s">
        <v>63</v>
      </c>
      <c r="D24" s="26" t="s">
        <v>64</v>
      </c>
      <c r="E24" s="31">
        <v>900000</v>
      </c>
      <c r="F24" s="28">
        <v>8751.6</v>
      </c>
      <c r="G24" s="28">
        <v>1.18</v>
      </c>
      <c r="H24" s="29"/>
      <c r="I24" s="23" t="s">
        <v>51</v>
      </c>
    </row>
    <row r="25" spans="2:9">
      <c r="B25" s="30" t="s">
        <v>65</v>
      </c>
      <c r="C25" s="26" t="s">
        <v>66</v>
      </c>
      <c r="D25" s="26" t="s">
        <v>67</v>
      </c>
      <c r="E25" s="31">
        <v>2250000</v>
      </c>
      <c r="F25" s="28">
        <v>8256.3799999999992</v>
      </c>
      <c r="G25" s="28">
        <v>1.1100000000000001</v>
      </c>
      <c r="H25" s="29"/>
      <c r="I25" s="23" t="s">
        <v>51</v>
      </c>
    </row>
    <row r="26" spans="2:9">
      <c r="B26" s="30" t="s">
        <v>68</v>
      </c>
      <c r="C26" s="26" t="s">
        <v>69</v>
      </c>
      <c r="D26" s="26" t="s">
        <v>42</v>
      </c>
      <c r="E26" s="31">
        <v>2000000</v>
      </c>
      <c r="F26" s="28">
        <v>8236</v>
      </c>
      <c r="G26" s="28">
        <v>1.1100000000000001</v>
      </c>
      <c r="H26" s="29"/>
      <c r="I26" s="23" t="s">
        <v>18</v>
      </c>
    </row>
    <row r="27" spans="2:9">
      <c r="B27" s="30" t="s">
        <v>70</v>
      </c>
      <c r="C27" s="26" t="s">
        <v>71</v>
      </c>
      <c r="D27" s="26" t="s">
        <v>72</v>
      </c>
      <c r="E27" s="31">
        <v>1060000</v>
      </c>
      <c r="F27" s="28">
        <v>8053.35</v>
      </c>
      <c r="G27" s="28">
        <v>1.08</v>
      </c>
      <c r="H27" s="29"/>
      <c r="I27" s="23" t="s">
        <v>18</v>
      </c>
    </row>
    <row r="28" spans="2:9">
      <c r="B28" s="30" t="s">
        <v>73</v>
      </c>
      <c r="C28" s="26" t="s">
        <v>74</v>
      </c>
      <c r="D28" s="26" t="s">
        <v>75</v>
      </c>
      <c r="E28" s="31">
        <v>1175000</v>
      </c>
      <c r="F28" s="28">
        <v>7658.65</v>
      </c>
      <c r="G28" s="28">
        <v>1.03</v>
      </c>
      <c r="H28" s="29"/>
      <c r="I28" s="23" t="s">
        <v>51</v>
      </c>
    </row>
    <row r="29" spans="2:9">
      <c r="B29" s="30" t="s">
        <v>76</v>
      </c>
      <c r="C29" s="26" t="s">
        <v>77</v>
      </c>
      <c r="D29" s="26" t="s">
        <v>78</v>
      </c>
      <c r="E29" s="31">
        <v>5350000</v>
      </c>
      <c r="F29" s="28">
        <v>7645.15</v>
      </c>
      <c r="G29" s="28">
        <v>1.03</v>
      </c>
      <c r="H29" s="29"/>
      <c r="I29" s="23" t="s">
        <v>18</v>
      </c>
    </row>
    <row r="30" spans="2:9">
      <c r="B30" s="30" t="s">
        <v>79</v>
      </c>
      <c r="C30" s="26" t="s">
        <v>80</v>
      </c>
      <c r="D30" s="26" t="s">
        <v>81</v>
      </c>
      <c r="E30" s="31">
        <v>700000</v>
      </c>
      <c r="F30" s="28">
        <v>7571.2</v>
      </c>
      <c r="G30" s="28">
        <v>1.02</v>
      </c>
      <c r="H30" s="29"/>
      <c r="I30" s="23" t="s">
        <v>18</v>
      </c>
    </row>
    <row r="31" spans="2:9">
      <c r="B31" s="30" t="s">
        <v>82</v>
      </c>
      <c r="C31" s="26" t="s">
        <v>83</v>
      </c>
      <c r="D31" s="26" t="s">
        <v>84</v>
      </c>
      <c r="E31" s="31">
        <v>800000</v>
      </c>
      <c r="F31" s="28">
        <v>7385.2</v>
      </c>
      <c r="G31" s="28">
        <v>0.99</v>
      </c>
      <c r="H31" s="29"/>
      <c r="I31" s="23" t="s">
        <v>51</v>
      </c>
    </row>
    <row r="32" spans="2:9">
      <c r="B32" s="30" t="s">
        <v>85</v>
      </c>
      <c r="C32" s="26" t="s">
        <v>86</v>
      </c>
      <c r="D32" s="26" t="s">
        <v>87</v>
      </c>
      <c r="E32" s="31">
        <v>1000000</v>
      </c>
      <c r="F32" s="28">
        <v>7376.5</v>
      </c>
      <c r="G32" s="28">
        <v>0.99</v>
      </c>
      <c r="H32" s="29"/>
      <c r="I32" s="23" t="s">
        <v>51</v>
      </c>
    </row>
    <row r="33" spans="2:9">
      <c r="B33" s="30" t="s">
        <v>88</v>
      </c>
      <c r="C33" s="26" t="s">
        <v>89</v>
      </c>
      <c r="D33" s="26" t="s">
        <v>90</v>
      </c>
      <c r="E33" s="31">
        <v>130000</v>
      </c>
      <c r="F33" s="28">
        <v>7289.49</v>
      </c>
      <c r="G33" s="28">
        <v>0.98</v>
      </c>
      <c r="H33" s="29"/>
      <c r="I33" s="23" t="s">
        <v>18</v>
      </c>
    </row>
    <row r="34" spans="2:9">
      <c r="B34" s="30" t="s">
        <v>91</v>
      </c>
      <c r="C34" s="26" t="s">
        <v>92</v>
      </c>
      <c r="D34" s="26" t="s">
        <v>93</v>
      </c>
      <c r="E34" s="31">
        <v>365000</v>
      </c>
      <c r="F34" s="28">
        <v>7237.59</v>
      </c>
      <c r="G34" s="28">
        <v>0.97</v>
      </c>
      <c r="H34" s="29"/>
      <c r="I34" s="23" t="s">
        <v>51</v>
      </c>
    </row>
    <row r="35" spans="2:9">
      <c r="B35" s="30" t="s">
        <v>94</v>
      </c>
      <c r="C35" s="26" t="s">
        <v>95</v>
      </c>
      <c r="D35" s="26" t="s">
        <v>75</v>
      </c>
      <c r="E35" s="31">
        <v>310000</v>
      </c>
      <c r="F35" s="28">
        <v>6823.72</v>
      </c>
      <c r="G35" s="28">
        <v>0.92</v>
      </c>
      <c r="H35" s="29"/>
      <c r="I35" s="23" t="s">
        <v>51</v>
      </c>
    </row>
    <row r="36" spans="2:9">
      <c r="B36" s="30" t="s">
        <v>96</v>
      </c>
      <c r="C36" s="26" t="s">
        <v>97</v>
      </c>
      <c r="D36" s="26" t="s">
        <v>98</v>
      </c>
      <c r="E36" s="31">
        <v>3000000</v>
      </c>
      <c r="F36" s="28">
        <v>6754.5</v>
      </c>
      <c r="G36" s="28">
        <v>0.91</v>
      </c>
      <c r="H36" s="29"/>
      <c r="I36" s="23" t="s">
        <v>51</v>
      </c>
    </row>
    <row r="37" spans="2:9">
      <c r="B37" s="30" t="s">
        <v>99</v>
      </c>
      <c r="C37" s="26" t="s">
        <v>100</v>
      </c>
      <c r="D37" s="26" t="s">
        <v>90</v>
      </c>
      <c r="E37" s="31">
        <v>320000</v>
      </c>
      <c r="F37" s="28">
        <v>6748.64</v>
      </c>
      <c r="G37" s="28">
        <v>0.91</v>
      </c>
      <c r="H37" s="29"/>
      <c r="I37" s="23" t="s">
        <v>51</v>
      </c>
    </row>
    <row r="38" spans="2:9">
      <c r="B38" s="30" t="s">
        <v>101</v>
      </c>
      <c r="C38" s="26" t="s">
        <v>102</v>
      </c>
      <c r="D38" s="26" t="s">
        <v>103</v>
      </c>
      <c r="E38" s="31">
        <v>2700000</v>
      </c>
      <c r="F38" s="28">
        <v>6320.7</v>
      </c>
      <c r="G38" s="28">
        <v>0.85</v>
      </c>
      <c r="H38" s="29"/>
      <c r="I38" s="23" t="s">
        <v>18</v>
      </c>
    </row>
    <row r="39" spans="2:9">
      <c r="B39" s="30" t="s">
        <v>104</v>
      </c>
      <c r="C39" s="26" t="s">
        <v>105</v>
      </c>
      <c r="D39" s="26" t="s">
        <v>59</v>
      </c>
      <c r="E39" s="31">
        <v>230000</v>
      </c>
      <c r="F39" s="28">
        <v>6213.91</v>
      </c>
      <c r="G39" s="28">
        <v>0.84</v>
      </c>
      <c r="H39" s="29"/>
      <c r="I39" s="23" t="s">
        <v>18</v>
      </c>
    </row>
    <row r="40" spans="2:9">
      <c r="B40" s="30" t="s">
        <v>106</v>
      </c>
      <c r="C40" s="26" t="s">
        <v>107</v>
      </c>
      <c r="D40" s="26" t="s">
        <v>75</v>
      </c>
      <c r="E40" s="31">
        <v>530000</v>
      </c>
      <c r="F40" s="28">
        <v>6108.52</v>
      </c>
      <c r="G40" s="28">
        <v>0.82</v>
      </c>
      <c r="H40" s="29"/>
      <c r="I40" s="23" t="s">
        <v>108</v>
      </c>
    </row>
    <row r="41" spans="2:9">
      <c r="B41" s="30" t="s">
        <v>109</v>
      </c>
      <c r="C41" s="26" t="s">
        <v>110</v>
      </c>
      <c r="D41" s="26" t="s">
        <v>39</v>
      </c>
      <c r="E41" s="31">
        <v>950000</v>
      </c>
      <c r="F41" s="28">
        <v>5885.25</v>
      </c>
      <c r="G41" s="28">
        <v>0.79</v>
      </c>
      <c r="H41" s="29"/>
      <c r="I41" s="23" t="s">
        <v>18</v>
      </c>
    </row>
    <row r="42" spans="2:9">
      <c r="B42" s="30" t="s">
        <v>111</v>
      </c>
      <c r="C42" s="26" t="s">
        <v>112</v>
      </c>
      <c r="D42" s="26" t="s">
        <v>113</v>
      </c>
      <c r="E42" s="31">
        <v>225000</v>
      </c>
      <c r="F42" s="28">
        <v>5758.88</v>
      </c>
      <c r="G42" s="28">
        <v>0.78</v>
      </c>
      <c r="H42" s="29"/>
      <c r="I42" s="23" t="s">
        <v>51</v>
      </c>
    </row>
    <row r="43" spans="2:9">
      <c r="B43" s="30" t="s">
        <v>114</v>
      </c>
      <c r="C43" s="26" t="s">
        <v>115</v>
      </c>
      <c r="D43" s="26" t="s">
        <v>93</v>
      </c>
      <c r="E43" s="31">
        <v>71709</v>
      </c>
      <c r="F43" s="28">
        <v>5758.81</v>
      </c>
      <c r="G43" s="28">
        <v>0.78</v>
      </c>
      <c r="H43" s="29"/>
      <c r="I43" s="23" t="s">
        <v>51</v>
      </c>
    </row>
    <row r="44" spans="2:9">
      <c r="B44" s="30" t="s">
        <v>116</v>
      </c>
      <c r="C44" s="26" t="s">
        <v>117</v>
      </c>
      <c r="D44" s="26" t="s">
        <v>59</v>
      </c>
      <c r="E44" s="31">
        <v>30000</v>
      </c>
      <c r="F44" s="28">
        <v>5628.12</v>
      </c>
      <c r="G44" s="28">
        <v>0.76</v>
      </c>
      <c r="H44" s="29"/>
      <c r="I44" s="23" t="s">
        <v>51</v>
      </c>
    </row>
    <row r="45" spans="2:9">
      <c r="B45" s="30" t="s">
        <v>118</v>
      </c>
      <c r="C45" s="26" t="s">
        <v>119</v>
      </c>
      <c r="D45" s="26" t="s">
        <v>84</v>
      </c>
      <c r="E45" s="31">
        <v>66000</v>
      </c>
      <c r="F45" s="28">
        <v>5092.96</v>
      </c>
      <c r="G45" s="28">
        <v>0.69</v>
      </c>
      <c r="H45" s="29"/>
      <c r="I45" s="23" t="s">
        <v>108</v>
      </c>
    </row>
    <row r="46" spans="2:9">
      <c r="B46" s="30" t="s">
        <v>120</v>
      </c>
      <c r="C46" s="26" t="s">
        <v>121</v>
      </c>
      <c r="D46" s="26" t="s">
        <v>93</v>
      </c>
      <c r="E46" s="31">
        <v>131968</v>
      </c>
      <c r="F46" s="28">
        <v>4818.9399999999996</v>
      </c>
      <c r="G46" s="28">
        <v>0.65</v>
      </c>
      <c r="H46" s="29"/>
      <c r="I46" s="23" t="s">
        <v>51</v>
      </c>
    </row>
    <row r="47" spans="2:9">
      <c r="B47" s="30" t="s">
        <v>122</v>
      </c>
      <c r="C47" s="26" t="s">
        <v>123</v>
      </c>
      <c r="D47" s="26" t="s">
        <v>26</v>
      </c>
      <c r="E47" s="31">
        <v>480000</v>
      </c>
      <c r="F47" s="28">
        <v>4671.6000000000004</v>
      </c>
      <c r="G47" s="28">
        <v>0.63</v>
      </c>
      <c r="H47" s="29"/>
      <c r="I47" s="23" t="s">
        <v>18</v>
      </c>
    </row>
    <row r="48" spans="2:9">
      <c r="B48" s="30" t="s">
        <v>124</v>
      </c>
      <c r="C48" s="26" t="s">
        <v>125</v>
      </c>
      <c r="D48" s="26" t="s">
        <v>126</v>
      </c>
      <c r="E48" s="31">
        <v>1350000</v>
      </c>
      <c r="F48" s="28">
        <v>4571.78</v>
      </c>
      <c r="G48" s="28">
        <v>0.62</v>
      </c>
      <c r="H48" s="29"/>
      <c r="I48" s="23" t="s">
        <v>18</v>
      </c>
    </row>
    <row r="49" spans="2:9">
      <c r="B49" s="30" t="s">
        <v>127</v>
      </c>
      <c r="C49" s="26" t="s">
        <v>128</v>
      </c>
      <c r="D49" s="26" t="s">
        <v>64</v>
      </c>
      <c r="E49" s="31">
        <v>226000</v>
      </c>
      <c r="F49" s="28">
        <v>4387.2299999999996</v>
      </c>
      <c r="G49" s="28">
        <v>0.59</v>
      </c>
      <c r="H49" s="29"/>
      <c r="I49" s="23" t="s">
        <v>18</v>
      </c>
    </row>
    <row r="50" spans="2:9">
      <c r="B50" s="30" t="s">
        <v>129</v>
      </c>
      <c r="C50" s="26" t="s">
        <v>130</v>
      </c>
      <c r="D50" s="26" t="s">
        <v>131</v>
      </c>
      <c r="E50" s="31">
        <v>1750000</v>
      </c>
      <c r="F50" s="28">
        <v>4148.38</v>
      </c>
      <c r="G50" s="28">
        <v>0.56000000000000005</v>
      </c>
      <c r="H50" s="29"/>
      <c r="I50" s="23" t="s">
        <v>51</v>
      </c>
    </row>
    <row r="51" spans="2:9">
      <c r="B51" s="30" t="s">
        <v>132</v>
      </c>
      <c r="C51" s="26" t="s">
        <v>133</v>
      </c>
      <c r="D51" s="26" t="s">
        <v>131</v>
      </c>
      <c r="E51" s="31">
        <v>118000</v>
      </c>
      <c r="F51" s="28">
        <v>4019.2</v>
      </c>
      <c r="G51" s="28">
        <v>0.54</v>
      </c>
      <c r="H51" s="29"/>
      <c r="I51" s="23" t="s">
        <v>18</v>
      </c>
    </row>
    <row r="52" spans="2:9">
      <c r="B52" s="30" t="s">
        <v>134</v>
      </c>
      <c r="C52" s="26" t="s">
        <v>135</v>
      </c>
      <c r="D52" s="26" t="s">
        <v>136</v>
      </c>
      <c r="E52" s="31">
        <v>10304</v>
      </c>
      <c r="F52" s="28">
        <v>3481.48</v>
      </c>
      <c r="G52" s="28">
        <v>0.47</v>
      </c>
      <c r="H52" s="29"/>
      <c r="I52" s="23" t="s">
        <v>51</v>
      </c>
    </row>
    <row r="53" spans="2:9">
      <c r="B53" s="30" t="s">
        <v>137</v>
      </c>
      <c r="C53" s="26" t="s">
        <v>138</v>
      </c>
      <c r="D53" s="26" t="s">
        <v>139</v>
      </c>
      <c r="E53" s="31">
        <v>800000</v>
      </c>
      <c r="F53" s="28">
        <v>3350.8</v>
      </c>
      <c r="G53" s="28">
        <v>0.45</v>
      </c>
      <c r="H53" s="29"/>
      <c r="I53" s="23" t="s">
        <v>51</v>
      </c>
    </row>
    <row r="54" spans="2:9">
      <c r="B54" s="30" t="s">
        <v>140</v>
      </c>
      <c r="C54" s="26" t="s">
        <v>141</v>
      </c>
      <c r="D54" s="26" t="s">
        <v>59</v>
      </c>
      <c r="E54" s="31">
        <v>324832</v>
      </c>
      <c r="F54" s="28">
        <v>2915.37</v>
      </c>
      <c r="G54" s="28">
        <v>0.39</v>
      </c>
      <c r="H54" s="29"/>
      <c r="I54" s="23" t="s">
        <v>51</v>
      </c>
    </row>
    <row r="55" spans="2:9">
      <c r="B55" s="30" t="s">
        <v>142</v>
      </c>
      <c r="C55" s="26" t="s">
        <v>143</v>
      </c>
      <c r="D55" s="26" t="s">
        <v>59</v>
      </c>
      <c r="E55" s="31">
        <v>80000</v>
      </c>
      <c r="F55" s="28">
        <v>2904.32</v>
      </c>
      <c r="G55" s="28">
        <v>0.39</v>
      </c>
      <c r="H55" s="29"/>
      <c r="I55" s="23" t="s">
        <v>18</v>
      </c>
    </row>
    <row r="56" spans="2:9">
      <c r="B56" s="30" t="s">
        <v>144</v>
      </c>
      <c r="C56" s="26" t="s">
        <v>145</v>
      </c>
      <c r="D56" s="26" t="s">
        <v>146</v>
      </c>
      <c r="E56" s="31">
        <v>1950000</v>
      </c>
      <c r="F56" s="28">
        <v>2882.1</v>
      </c>
      <c r="G56" s="28">
        <v>0.39</v>
      </c>
      <c r="H56" s="29"/>
      <c r="I56" s="23" t="s">
        <v>51</v>
      </c>
    </row>
    <row r="57" spans="2:9" ht="12.75" thickBot="1">
      <c r="B57" s="30" t="s">
        <v>147</v>
      </c>
      <c r="C57" s="26" t="s">
        <v>148</v>
      </c>
      <c r="D57" s="26" t="s">
        <v>36</v>
      </c>
      <c r="E57" s="31">
        <v>76536</v>
      </c>
      <c r="F57" s="28">
        <v>231.44</v>
      </c>
      <c r="G57" s="28">
        <v>0.03</v>
      </c>
      <c r="H57" s="29"/>
      <c r="I57" s="32" t="s">
        <v>18</v>
      </c>
    </row>
    <row r="58" spans="2:9">
      <c r="B58" s="33" t="s">
        <v>149</v>
      </c>
      <c r="C58" s="34"/>
      <c r="D58" s="34"/>
      <c r="E58" s="35"/>
      <c r="F58" s="36">
        <f>SUM(F7:F57)</f>
        <v>533216.71</v>
      </c>
      <c r="G58" s="36">
        <f>SUM(G7:G57)</f>
        <v>71.760000000000034</v>
      </c>
      <c r="H58" s="37"/>
    </row>
    <row r="59" spans="2:9">
      <c r="B59" s="38" t="s">
        <v>150</v>
      </c>
      <c r="C59" s="38"/>
      <c r="D59" s="38"/>
      <c r="E59" s="39"/>
      <c r="F59" s="40">
        <f>F58</f>
        <v>533216.71</v>
      </c>
      <c r="G59" s="40">
        <f>G58</f>
        <v>71.760000000000034</v>
      </c>
      <c r="H59" s="41"/>
    </row>
    <row r="60" spans="2:9">
      <c r="B60" s="42" t="s">
        <v>151</v>
      </c>
      <c r="C60" s="43"/>
      <c r="D60" s="43"/>
      <c r="E60" s="44"/>
      <c r="F60" s="45"/>
      <c r="G60" s="45"/>
      <c r="H60" s="45"/>
    </row>
    <row r="61" spans="2:9">
      <c r="B61" s="46" t="s">
        <v>14</v>
      </c>
      <c r="C61" s="26"/>
      <c r="D61" s="26"/>
      <c r="E61" s="27"/>
      <c r="F61" s="28"/>
      <c r="G61" s="28"/>
      <c r="H61" s="28"/>
    </row>
    <row r="62" spans="2:9">
      <c r="B62" s="26" t="s">
        <v>152</v>
      </c>
      <c r="C62" s="26" t="s">
        <v>153</v>
      </c>
      <c r="D62" s="26" t="s">
        <v>154</v>
      </c>
      <c r="E62" s="31">
        <v>500</v>
      </c>
      <c r="F62" s="28">
        <v>5011.97</v>
      </c>
      <c r="G62" s="28">
        <v>0.67</v>
      </c>
      <c r="H62" s="28">
        <v>6.42</v>
      </c>
    </row>
    <row r="63" spans="2:9">
      <c r="B63" s="26" t="s">
        <v>155</v>
      </c>
      <c r="C63" s="26" t="s">
        <v>156</v>
      </c>
      <c r="D63" s="26" t="s">
        <v>157</v>
      </c>
      <c r="E63" s="31">
        <v>500</v>
      </c>
      <c r="F63" s="28">
        <v>4889.45</v>
      </c>
      <c r="G63" s="28">
        <v>0.66</v>
      </c>
      <c r="H63" s="28">
        <v>6.91</v>
      </c>
    </row>
    <row r="64" spans="2:9">
      <c r="B64" s="26" t="s">
        <v>158</v>
      </c>
      <c r="C64" s="26" t="s">
        <v>159</v>
      </c>
      <c r="D64" s="26" t="s">
        <v>154</v>
      </c>
      <c r="E64" s="31">
        <v>450</v>
      </c>
      <c r="F64" s="28">
        <v>4504.88</v>
      </c>
      <c r="G64" s="28">
        <v>0.61</v>
      </c>
      <c r="H64" s="28">
        <v>5.15</v>
      </c>
    </row>
    <row r="65" spans="2:8">
      <c r="B65" s="26" t="s">
        <v>160</v>
      </c>
      <c r="C65" s="26" t="s">
        <v>161</v>
      </c>
      <c r="D65" s="26" t="s">
        <v>154</v>
      </c>
      <c r="E65" s="31">
        <v>400</v>
      </c>
      <c r="F65" s="28">
        <v>4037.16</v>
      </c>
      <c r="G65" s="28">
        <v>0.54</v>
      </c>
      <c r="H65" s="28">
        <v>7.14</v>
      </c>
    </row>
    <row r="66" spans="2:8">
      <c r="B66" s="26" t="s">
        <v>162</v>
      </c>
      <c r="C66" s="26" t="s">
        <v>163</v>
      </c>
      <c r="D66" s="26" t="s">
        <v>157</v>
      </c>
      <c r="E66" s="31">
        <v>300</v>
      </c>
      <c r="F66" s="28">
        <v>2933.08</v>
      </c>
      <c r="G66" s="28">
        <v>0.39</v>
      </c>
      <c r="H66" s="28">
        <v>7</v>
      </c>
    </row>
    <row r="67" spans="2:8">
      <c r="B67" s="26" t="s">
        <v>164</v>
      </c>
      <c r="C67" s="26" t="s">
        <v>165</v>
      </c>
      <c r="D67" s="26" t="s">
        <v>154</v>
      </c>
      <c r="E67" s="31">
        <v>250</v>
      </c>
      <c r="F67" s="28">
        <v>2529.9699999999998</v>
      </c>
      <c r="G67" s="28">
        <v>0.34</v>
      </c>
      <c r="H67" s="28">
        <v>6.17</v>
      </c>
    </row>
    <row r="68" spans="2:8">
      <c r="B68" s="26" t="s">
        <v>166</v>
      </c>
      <c r="C68" s="26" t="s">
        <v>167</v>
      </c>
      <c r="D68" s="26" t="s">
        <v>154</v>
      </c>
      <c r="E68" s="31">
        <v>250</v>
      </c>
      <c r="F68" s="28">
        <v>2511.08</v>
      </c>
      <c r="G68" s="28">
        <v>0.34</v>
      </c>
      <c r="H68" s="28">
        <v>6.07</v>
      </c>
    </row>
    <row r="69" spans="2:8">
      <c r="B69" s="26" t="s">
        <v>168</v>
      </c>
      <c r="C69" s="26" t="s">
        <v>169</v>
      </c>
      <c r="D69" s="26" t="s">
        <v>154</v>
      </c>
      <c r="E69" s="31">
        <v>250</v>
      </c>
      <c r="F69" s="28">
        <v>2510.46</v>
      </c>
      <c r="G69" s="28">
        <v>0.34</v>
      </c>
      <c r="H69" s="28">
        <v>6.62</v>
      </c>
    </row>
    <row r="70" spans="2:8">
      <c r="B70" s="26" t="s">
        <v>170</v>
      </c>
      <c r="C70" s="26" t="s">
        <v>171</v>
      </c>
      <c r="D70" s="26" t="s">
        <v>154</v>
      </c>
      <c r="E70" s="31">
        <v>250</v>
      </c>
      <c r="F70" s="28">
        <v>2508.9299999999998</v>
      </c>
      <c r="G70" s="28">
        <v>0.34</v>
      </c>
      <c r="H70" s="28">
        <v>5.88</v>
      </c>
    </row>
    <row r="71" spans="2:8">
      <c r="B71" s="26" t="s">
        <v>172</v>
      </c>
      <c r="C71" s="26" t="s">
        <v>173</v>
      </c>
      <c r="D71" s="26" t="s">
        <v>154</v>
      </c>
      <c r="E71" s="31">
        <v>250</v>
      </c>
      <c r="F71" s="28">
        <v>2494.69</v>
      </c>
      <c r="G71" s="28">
        <v>0.34</v>
      </c>
      <c r="H71" s="28">
        <v>7.57</v>
      </c>
    </row>
    <row r="72" spans="2:8">
      <c r="B72" s="26" t="s">
        <v>174</v>
      </c>
      <c r="C72" s="26" t="s">
        <v>175</v>
      </c>
      <c r="D72" s="26" t="s">
        <v>157</v>
      </c>
      <c r="E72" s="31">
        <v>250</v>
      </c>
      <c r="F72" s="28">
        <v>2479.5500000000002</v>
      </c>
      <c r="G72" s="28">
        <v>0.33</v>
      </c>
      <c r="H72" s="28">
        <v>6.45</v>
      </c>
    </row>
    <row r="73" spans="2:8">
      <c r="B73" s="26" t="s">
        <v>176</v>
      </c>
      <c r="C73" s="26" t="s">
        <v>177</v>
      </c>
      <c r="D73" s="26" t="s">
        <v>154</v>
      </c>
      <c r="E73" s="31">
        <v>200</v>
      </c>
      <c r="F73" s="28">
        <v>2025.02</v>
      </c>
      <c r="G73" s="28">
        <v>0.27</v>
      </c>
      <c r="H73" s="28">
        <v>7.3</v>
      </c>
    </row>
    <row r="74" spans="2:8">
      <c r="B74" s="26" t="s">
        <v>178</v>
      </c>
      <c r="C74" s="26" t="s">
        <v>179</v>
      </c>
      <c r="D74" s="26" t="s">
        <v>154</v>
      </c>
      <c r="E74" s="31">
        <v>200</v>
      </c>
      <c r="F74" s="28">
        <v>2005.49</v>
      </c>
      <c r="G74" s="28">
        <v>0.27</v>
      </c>
      <c r="H74" s="28">
        <v>5.38</v>
      </c>
    </row>
    <row r="75" spans="2:8">
      <c r="B75" s="26" t="s">
        <v>180</v>
      </c>
      <c r="C75" s="26" t="s">
        <v>181</v>
      </c>
      <c r="D75" s="26" t="s">
        <v>154</v>
      </c>
      <c r="E75" s="31">
        <v>150</v>
      </c>
      <c r="F75" s="28">
        <v>1507.7</v>
      </c>
      <c r="G75" s="28">
        <v>0.2</v>
      </c>
      <c r="H75" s="28">
        <v>5.93</v>
      </c>
    </row>
    <row r="76" spans="2:8">
      <c r="B76" s="26" t="s">
        <v>182</v>
      </c>
      <c r="C76" s="26" t="s">
        <v>183</v>
      </c>
      <c r="D76" s="26" t="s">
        <v>154</v>
      </c>
      <c r="E76" s="31">
        <v>100</v>
      </c>
      <c r="F76" s="28">
        <v>1016.97</v>
      </c>
      <c r="G76" s="28">
        <v>0.14000000000000001</v>
      </c>
      <c r="H76" s="28">
        <v>7.33</v>
      </c>
    </row>
    <row r="77" spans="2:8">
      <c r="B77" s="26" t="s">
        <v>184</v>
      </c>
      <c r="C77" s="26" t="s">
        <v>185</v>
      </c>
      <c r="D77" s="26" t="s">
        <v>154</v>
      </c>
      <c r="E77" s="31">
        <v>100</v>
      </c>
      <c r="F77" s="28">
        <v>1007.08</v>
      </c>
      <c r="G77" s="28">
        <v>0.14000000000000001</v>
      </c>
      <c r="H77" s="28">
        <v>7.42</v>
      </c>
    </row>
    <row r="78" spans="2:8">
      <c r="B78" s="26" t="s">
        <v>186</v>
      </c>
      <c r="C78" s="26" t="s">
        <v>187</v>
      </c>
      <c r="D78" s="26" t="s">
        <v>154</v>
      </c>
      <c r="E78" s="31">
        <v>100</v>
      </c>
      <c r="F78" s="28">
        <v>1003.89</v>
      </c>
      <c r="G78" s="28">
        <v>0.14000000000000001</v>
      </c>
      <c r="H78" s="28">
        <v>5.98</v>
      </c>
    </row>
    <row r="79" spans="2:8">
      <c r="B79" s="26" t="s">
        <v>188</v>
      </c>
      <c r="C79" s="26" t="s">
        <v>189</v>
      </c>
      <c r="D79" s="26" t="s">
        <v>190</v>
      </c>
      <c r="E79" s="31">
        <v>100</v>
      </c>
      <c r="F79" s="28">
        <v>999.35</v>
      </c>
      <c r="G79" s="28">
        <v>0.13</v>
      </c>
      <c r="H79" s="28">
        <v>6.24</v>
      </c>
    </row>
    <row r="80" spans="2:8">
      <c r="B80" s="26" t="s">
        <v>191</v>
      </c>
      <c r="C80" s="26" t="s">
        <v>192</v>
      </c>
      <c r="D80" s="26" t="s">
        <v>154</v>
      </c>
      <c r="E80" s="31">
        <v>100</v>
      </c>
      <c r="F80" s="28">
        <v>993.86</v>
      </c>
      <c r="G80" s="28">
        <v>0.13</v>
      </c>
      <c r="H80" s="28">
        <v>7.57</v>
      </c>
    </row>
    <row r="81" spans="2:8">
      <c r="B81" s="26" t="s">
        <v>193</v>
      </c>
      <c r="C81" s="26" t="s">
        <v>194</v>
      </c>
      <c r="D81" s="26" t="s">
        <v>154</v>
      </c>
      <c r="E81" s="31">
        <v>50</v>
      </c>
      <c r="F81" s="28">
        <v>508.75</v>
      </c>
      <c r="G81" s="28">
        <v>7.0000000000000007E-2</v>
      </c>
      <c r="H81" s="28">
        <v>7.04</v>
      </c>
    </row>
    <row r="82" spans="2:8">
      <c r="B82" s="26" t="s">
        <v>195</v>
      </c>
      <c r="C82" s="26" t="s">
        <v>196</v>
      </c>
      <c r="D82" s="26" t="s">
        <v>154</v>
      </c>
      <c r="E82" s="31">
        <v>50</v>
      </c>
      <c r="F82" s="28">
        <v>506.04</v>
      </c>
      <c r="G82" s="28">
        <v>7.0000000000000007E-2</v>
      </c>
      <c r="H82" s="28">
        <v>7.72</v>
      </c>
    </row>
    <row r="83" spans="2:8">
      <c r="B83" s="26" t="s">
        <v>197</v>
      </c>
      <c r="C83" s="26" t="s">
        <v>198</v>
      </c>
      <c r="D83" s="26" t="s">
        <v>154</v>
      </c>
      <c r="E83" s="31">
        <v>50</v>
      </c>
      <c r="F83" s="28">
        <v>503.76</v>
      </c>
      <c r="G83" s="28">
        <v>7.0000000000000007E-2</v>
      </c>
      <c r="H83" s="28">
        <v>7.33</v>
      </c>
    </row>
    <row r="84" spans="2:8">
      <c r="B84" s="26" t="s">
        <v>199</v>
      </c>
      <c r="C84" s="26" t="s">
        <v>200</v>
      </c>
      <c r="D84" s="26" t="s">
        <v>157</v>
      </c>
      <c r="E84" s="31">
        <v>50</v>
      </c>
      <c r="F84" s="28">
        <v>488.47</v>
      </c>
      <c r="G84" s="28">
        <v>7.0000000000000007E-2</v>
      </c>
      <c r="H84" s="28">
        <v>7.23</v>
      </c>
    </row>
    <row r="85" spans="2:8">
      <c r="B85" s="26" t="s">
        <v>201</v>
      </c>
      <c r="C85" s="26" t="s">
        <v>202</v>
      </c>
      <c r="D85" s="26" t="s">
        <v>154</v>
      </c>
      <c r="E85" s="31">
        <v>12</v>
      </c>
      <c r="F85" s="28">
        <v>124.2</v>
      </c>
      <c r="G85" s="28">
        <v>0.02</v>
      </c>
      <c r="H85" s="28">
        <v>7.66</v>
      </c>
    </row>
    <row r="86" spans="2:8">
      <c r="B86" s="34" t="s">
        <v>149</v>
      </c>
      <c r="C86" s="34"/>
      <c r="D86" s="34"/>
      <c r="E86" s="35"/>
      <c r="F86" s="36">
        <f>SUM(F61:F85)</f>
        <v>49101.8</v>
      </c>
      <c r="G86" s="36">
        <f>SUM(G61:G85)</f>
        <v>6.6199999999999992</v>
      </c>
      <c r="H86" s="47"/>
    </row>
    <row r="87" spans="2:8">
      <c r="B87" s="48" t="s">
        <v>150</v>
      </c>
      <c r="C87" s="48"/>
      <c r="D87" s="48"/>
      <c r="E87" s="49"/>
      <c r="F87" s="50">
        <f>F86</f>
        <v>49101.8</v>
      </c>
      <c r="G87" s="50">
        <f>G86</f>
        <v>6.6199999999999992</v>
      </c>
      <c r="H87" s="50"/>
    </row>
    <row r="88" spans="2:8">
      <c r="B88" s="46" t="s">
        <v>203</v>
      </c>
      <c r="C88" s="26"/>
      <c r="D88" s="26"/>
      <c r="E88" s="27"/>
      <c r="F88" s="28"/>
      <c r="G88" s="28"/>
      <c r="H88" s="28"/>
    </row>
    <row r="89" spans="2:8">
      <c r="B89" s="46" t="s">
        <v>204</v>
      </c>
      <c r="C89" s="26"/>
      <c r="D89" s="26"/>
      <c r="E89" s="27"/>
      <c r="F89" s="28"/>
      <c r="G89" s="28"/>
      <c r="H89" s="28"/>
    </row>
    <row r="90" spans="2:8">
      <c r="B90" s="26" t="s">
        <v>205</v>
      </c>
      <c r="C90" s="26" t="s">
        <v>206</v>
      </c>
      <c r="D90" s="26" t="s">
        <v>207</v>
      </c>
      <c r="E90" s="31">
        <v>1500</v>
      </c>
      <c r="F90" s="28">
        <v>7308.04</v>
      </c>
      <c r="G90" s="28">
        <v>0.98</v>
      </c>
      <c r="H90" s="28">
        <v>5.96</v>
      </c>
    </row>
    <row r="91" spans="2:8">
      <c r="B91" s="26" t="s">
        <v>208</v>
      </c>
      <c r="C91" s="26" t="s">
        <v>209</v>
      </c>
      <c r="D91" s="26" t="s">
        <v>210</v>
      </c>
      <c r="E91" s="31">
        <v>1500</v>
      </c>
      <c r="F91" s="28">
        <v>7197.53</v>
      </c>
      <c r="G91" s="28">
        <v>0.97</v>
      </c>
      <c r="H91" s="28">
        <v>6.19</v>
      </c>
    </row>
    <row r="92" spans="2:8">
      <c r="B92" s="34" t="s">
        <v>149</v>
      </c>
      <c r="C92" s="34"/>
      <c r="D92" s="34"/>
      <c r="E92" s="35"/>
      <c r="F92" s="36">
        <f>SUM(F89:F91)</f>
        <v>14505.57</v>
      </c>
      <c r="G92" s="36">
        <f>SUM(G89:G91)</f>
        <v>1.95</v>
      </c>
      <c r="H92" s="47"/>
    </row>
    <row r="93" spans="2:8">
      <c r="B93" s="48" t="s">
        <v>150</v>
      </c>
      <c r="C93" s="48"/>
      <c r="D93" s="48"/>
      <c r="E93" s="49"/>
      <c r="F93" s="50">
        <f>F92</f>
        <v>14505.57</v>
      </c>
      <c r="G93" s="50">
        <f>G92</f>
        <v>1.95</v>
      </c>
      <c r="H93" s="50"/>
    </row>
    <row r="94" spans="2:8">
      <c r="B94" s="46" t="s">
        <v>211</v>
      </c>
      <c r="C94" s="26"/>
      <c r="D94" s="26"/>
      <c r="E94" s="27"/>
      <c r="F94" s="28"/>
      <c r="G94" s="28"/>
      <c r="H94" s="28"/>
    </row>
    <row r="95" spans="2:8">
      <c r="B95" s="26" t="s">
        <v>212</v>
      </c>
      <c r="C95" s="26" t="s">
        <v>213</v>
      </c>
      <c r="D95" s="26" t="s">
        <v>214</v>
      </c>
      <c r="E95" s="31">
        <v>19500000</v>
      </c>
      <c r="F95" s="28">
        <v>18465.990000000002</v>
      </c>
      <c r="G95" s="28">
        <v>2.4900000000000002</v>
      </c>
      <c r="H95" s="28">
        <v>7.17</v>
      </c>
    </row>
    <row r="96" spans="2:8">
      <c r="B96" s="26" t="s">
        <v>215</v>
      </c>
      <c r="C96" s="26" t="s">
        <v>216</v>
      </c>
      <c r="D96" s="26" t="s">
        <v>214</v>
      </c>
      <c r="E96" s="31">
        <v>14500000</v>
      </c>
      <c r="F96" s="28">
        <v>14665.39</v>
      </c>
      <c r="G96" s="28">
        <v>1.97</v>
      </c>
      <c r="H96" s="28">
        <v>6.54</v>
      </c>
    </row>
    <row r="97" spans="2:8">
      <c r="B97" s="26" t="s">
        <v>217</v>
      </c>
      <c r="C97" s="26" t="s">
        <v>218</v>
      </c>
      <c r="D97" s="26" t="s">
        <v>214</v>
      </c>
      <c r="E97" s="31">
        <v>13500000</v>
      </c>
      <c r="F97" s="28">
        <v>12844.35</v>
      </c>
      <c r="G97" s="28">
        <v>1.73</v>
      </c>
      <c r="H97" s="28">
        <v>7.11</v>
      </c>
    </row>
    <row r="98" spans="2:8">
      <c r="B98" s="26" t="s">
        <v>219</v>
      </c>
      <c r="C98" s="26" t="s">
        <v>220</v>
      </c>
      <c r="D98" s="26" t="s">
        <v>214</v>
      </c>
      <c r="E98" s="31">
        <v>10000000</v>
      </c>
      <c r="F98" s="28">
        <v>9390.7900000000009</v>
      </c>
      <c r="G98" s="28">
        <v>1.26</v>
      </c>
      <c r="H98" s="28">
        <v>7.44</v>
      </c>
    </row>
    <row r="99" spans="2:8">
      <c r="B99" s="26" t="s">
        <v>221</v>
      </c>
      <c r="C99" s="26" t="s">
        <v>222</v>
      </c>
      <c r="D99" s="26" t="s">
        <v>214</v>
      </c>
      <c r="E99" s="31">
        <v>7500000</v>
      </c>
      <c r="F99" s="28">
        <v>7587.97</v>
      </c>
      <c r="G99" s="28">
        <v>1.02</v>
      </c>
      <c r="H99" s="28">
        <v>6.7</v>
      </c>
    </row>
    <row r="100" spans="2:8">
      <c r="B100" s="26" t="s">
        <v>223</v>
      </c>
      <c r="C100" s="26" t="s">
        <v>224</v>
      </c>
      <c r="D100" s="26" t="s">
        <v>214</v>
      </c>
      <c r="E100" s="31">
        <v>7500000</v>
      </c>
      <c r="F100" s="28">
        <v>7317</v>
      </c>
      <c r="G100" s="28">
        <v>0.98</v>
      </c>
      <c r="H100" s="28">
        <v>6.41</v>
      </c>
    </row>
    <row r="101" spans="2:8">
      <c r="B101" s="26" t="s">
        <v>225</v>
      </c>
      <c r="C101" s="26" t="s">
        <v>226</v>
      </c>
      <c r="D101" s="26" t="s">
        <v>214</v>
      </c>
      <c r="E101" s="31">
        <v>5000000</v>
      </c>
      <c r="F101" s="28">
        <v>5040.13</v>
      </c>
      <c r="G101" s="28">
        <v>0.68</v>
      </c>
      <c r="H101" s="28">
        <v>6.2</v>
      </c>
    </row>
    <row r="102" spans="2:8">
      <c r="B102" s="26" t="s">
        <v>227</v>
      </c>
      <c r="C102" s="26" t="s">
        <v>228</v>
      </c>
      <c r="D102" s="26" t="s">
        <v>214</v>
      </c>
      <c r="E102" s="31">
        <v>3500000</v>
      </c>
      <c r="F102" s="28">
        <v>3340.95</v>
      </c>
      <c r="G102" s="28">
        <v>0.45</v>
      </c>
      <c r="H102" s="28">
        <v>6.95</v>
      </c>
    </row>
    <row r="103" spans="2:8">
      <c r="B103" s="26" t="s">
        <v>229</v>
      </c>
      <c r="C103" s="26" t="s">
        <v>230</v>
      </c>
      <c r="D103" s="26" t="s">
        <v>214</v>
      </c>
      <c r="E103" s="31">
        <v>3250000</v>
      </c>
      <c r="F103" s="28">
        <v>3268.84</v>
      </c>
      <c r="G103" s="28">
        <v>0.44</v>
      </c>
      <c r="H103" s="28">
        <v>7.24</v>
      </c>
    </row>
    <row r="104" spans="2:8">
      <c r="B104" s="26" t="s">
        <v>231</v>
      </c>
      <c r="C104" s="26" t="s">
        <v>232</v>
      </c>
      <c r="D104" s="26" t="s">
        <v>214</v>
      </c>
      <c r="E104" s="31">
        <v>2500000</v>
      </c>
      <c r="F104" s="28">
        <v>2501.75</v>
      </c>
      <c r="G104" s="28">
        <v>0.34</v>
      </c>
      <c r="H104" s="28">
        <v>6.65</v>
      </c>
    </row>
    <row r="105" spans="2:8">
      <c r="B105" s="26" t="s">
        <v>233</v>
      </c>
      <c r="C105" s="26" t="s">
        <v>234</v>
      </c>
      <c r="D105" s="26" t="s">
        <v>214</v>
      </c>
      <c r="E105" s="31">
        <v>2000000</v>
      </c>
      <c r="F105" s="28">
        <v>1975.61</v>
      </c>
      <c r="G105" s="28">
        <v>0.27</v>
      </c>
      <c r="H105" s="28">
        <v>6.75</v>
      </c>
    </row>
    <row r="106" spans="2:8">
      <c r="B106" s="26" t="s">
        <v>235</v>
      </c>
      <c r="C106" s="26" t="s">
        <v>236</v>
      </c>
      <c r="D106" s="26" t="s">
        <v>214</v>
      </c>
      <c r="E106" s="31">
        <v>2000000</v>
      </c>
      <c r="F106" s="28">
        <v>1886.86</v>
      </c>
      <c r="G106" s="28">
        <v>0.25</v>
      </c>
      <c r="H106" s="28">
        <v>7.07</v>
      </c>
    </row>
    <row r="107" spans="2:8">
      <c r="B107" s="26" t="s">
        <v>237</v>
      </c>
      <c r="C107" s="26" t="s">
        <v>238</v>
      </c>
      <c r="D107" s="26" t="s">
        <v>214</v>
      </c>
      <c r="E107" s="31">
        <v>2000000</v>
      </c>
      <c r="F107" s="28">
        <v>1882.37</v>
      </c>
      <c r="G107" s="28">
        <v>0.25</v>
      </c>
      <c r="H107" s="28">
        <v>7.74</v>
      </c>
    </row>
    <row r="108" spans="2:8">
      <c r="B108" s="26" t="s">
        <v>239</v>
      </c>
      <c r="C108" s="26" t="s">
        <v>240</v>
      </c>
      <c r="D108" s="26" t="s">
        <v>214</v>
      </c>
      <c r="E108" s="31">
        <v>1500000</v>
      </c>
      <c r="F108" s="28">
        <v>1521.13</v>
      </c>
      <c r="G108" s="28">
        <v>0.2</v>
      </c>
      <c r="H108" s="28">
        <v>7.13</v>
      </c>
    </row>
    <row r="109" spans="2:8">
      <c r="B109" s="26" t="s">
        <v>241</v>
      </c>
      <c r="C109" s="26" t="s">
        <v>242</v>
      </c>
      <c r="D109" s="26" t="s">
        <v>214</v>
      </c>
      <c r="E109" s="31">
        <v>500000</v>
      </c>
      <c r="F109" s="28">
        <v>520</v>
      </c>
      <c r="G109" s="28">
        <v>7.0000000000000007E-2</v>
      </c>
      <c r="H109" s="28">
        <v>7.2</v>
      </c>
    </row>
    <row r="110" spans="2:8">
      <c r="B110" s="51" t="s">
        <v>243</v>
      </c>
      <c r="C110" s="51" t="s">
        <v>244</v>
      </c>
      <c r="D110" s="51" t="s">
        <v>214</v>
      </c>
      <c r="E110" s="52">
        <v>500000</v>
      </c>
      <c r="F110" s="53">
        <v>517.04999999999995</v>
      </c>
      <c r="G110" s="53">
        <v>7.0000000000000007E-2</v>
      </c>
      <c r="H110" s="53">
        <v>7.23</v>
      </c>
    </row>
    <row r="111" spans="2:8">
      <c r="B111" s="54" t="s">
        <v>150</v>
      </c>
      <c r="C111" s="54"/>
      <c r="D111" s="54"/>
      <c r="E111" s="55"/>
      <c r="F111" s="56">
        <f>SUM(F95:F110)</f>
        <v>92726.180000000008</v>
      </c>
      <c r="G111" s="56">
        <f>SUM(G95:G110)</f>
        <v>12.469999999999997</v>
      </c>
      <c r="H111" s="56"/>
    </row>
    <row r="112" spans="2:8">
      <c r="B112" s="46" t="s">
        <v>245</v>
      </c>
      <c r="C112" s="26"/>
      <c r="D112" s="26"/>
      <c r="E112" s="27"/>
      <c r="F112" s="28"/>
      <c r="G112" s="28"/>
      <c r="H112" s="28"/>
    </row>
    <row r="113" spans="2:8">
      <c r="B113" s="26" t="s">
        <v>245</v>
      </c>
      <c r="C113" s="26"/>
      <c r="D113" s="26"/>
      <c r="E113" s="27"/>
      <c r="F113" s="28">
        <v>52419.43</v>
      </c>
      <c r="G113" s="28">
        <v>7.06</v>
      </c>
      <c r="H113" s="28"/>
    </row>
    <row r="114" spans="2:8">
      <c r="B114" s="34" t="s">
        <v>149</v>
      </c>
      <c r="C114" s="34"/>
      <c r="D114" s="34"/>
      <c r="E114" s="35"/>
      <c r="F114" s="36">
        <f>SUM(F112:F113)</f>
        <v>52419.43</v>
      </c>
      <c r="G114" s="36">
        <f>SUM(G112:G113)</f>
        <v>7.06</v>
      </c>
      <c r="H114" s="47"/>
    </row>
    <row r="115" spans="2:8">
      <c r="B115" s="57" t="s">
        <v>150</v>
      </c>
      <c r="C115" s="57"/>
      <c r="D115" s="57"/>
      <c r="E115" s="58"/>
      <c r="F115" s="59">
        <f>F114</f>
        <v>52419.43</v>
      </c>
      <c r="G115" s="59">
        <f>G114</f>
        <v>7.06</v>
      </c>
      <c r="H115" s="59"/>
    </row>
    <row r="116" spans="2:8">
      <c r="B116" s="60" t="s">
        <v>246</v>
      </c>
      <c r="C116" s="60"/>
      <c r="D116" s="60"/>
      <c r="E116" s="61"/>
      <c r="F116" s="62">
        <f>F117-(+F59+F87+F93+F111+F115)</f>
        <v>880.95999999996275</v>
      </c>
      <c r="G116" s="62">
        <f>G117-(+G59+G87+G93+G111+G115)</f>
        <v>0.13999999999995794</v>
      </c>
      <c r="H116" s="62"/>
    </row>
    <row r="117" spans="2:8">
      <c r="B117" s="60" t="s">
        <v>247</v>
      </c>
      <c r="C117" s="60"/>
      <c r="D117" s="60"/>
      <c r="E117" s="61"/>
      <c r="F117" s="62">
        <v>742850.65</v>
      </c>
      <c r="G117" s="62">
        <v>100</v>
      </c>
      <c r="H117" s="62"/>
    </row>
    <row r="119" spans="2:8">
      <c r="B119" s="63" t="s">
        <v>248</v>
      </c>
    </row>
    <row r="120" spans="2:8">
      <c r="B120" s="63" t="s">
        <v>249</v>
      </c>
    </row>
  </sheetData>
  <mergeCells count="4">
    <mergeCell ref="B1:H1"/>
    <mergeCell ref="K5:K12"/>
    <mergeCell ref="L5:L12"/>
    <mergeCell ref="M5:M12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12:05:25</KDate>
  <Classification>Public</Classification>
  <Subclassification/>
  <HostName>MUMCMP00935</HostName>
  <Domain_User>CANARAROBECOMF/628</Domain_User>
  <IPAdd>192.9.198.194</IPAdd>
  <FilePath>Book10</FilePath>
  <KID>C025A5607E97637927923250386220</KID>
  <UniqueName/>
  <Suggested/>
  <Justification/>
</Klassify>
</file>

<file path=customXml/itemProps1.xml><?xml version="1.0" encoding="utf-8"?>
<ds:datastoreItem xmlns:ds="http://schemas.openxmlformats.org/officeDocument/2006/customXml" ds:itemID="{4DD80368-F124-44D2-B0ED-2E00DD8E5B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2022-07-07T06:35:20Z</dcterms:created>
  <dcterms:modified xsi:type="dcterms:W3CDTF">2022-07-07T06:35:25Z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C025A5607E97637927923250386220</vt:lpwstr>
  </property>
</Properties>
</file>