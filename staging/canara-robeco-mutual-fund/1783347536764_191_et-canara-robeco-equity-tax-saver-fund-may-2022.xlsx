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ET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1" l="1"/>
  <c r="G67" i="1" s="1"/>
  <c r="F66" i="1"/>
  <c r="F67" i="1" s="1"/>
  <c r="G62" i="1"/>
  <c r="G63" i="1" s="1"/>
  <c r="G68" i="1" s="1"/>
  <c r="F62" i="1"/>
  <c r="F63" i="1" s="1"/>
  <c r="F68" i="1" s="1"/>
</calcChain>
</file>

<file path=xl/sharedStrings.xml><?xml version="1.0" encoding="utf-8"?>
<sst xmlns="http://schemas.openxmlformats.org/spreadsheetml/2006/main" count="187" uniqueCount="159">
  <si>
    <t>CANARA ROBECO EQUITY TAX SAVER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</si>
  <si>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</si>
  <si>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</si>
  <si>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</si>
  <si>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</si>
  <si>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</si>
  <si>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</si>
  <si>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</si>
  <si>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May'22</t>
  </si>
  <si>
    <t>Benchmark Risk-o-meter Level- May'22</t>
  </si>
  <si>
    <t>Previous Scheme Risk-o-meter Level- Apr'22</t>
  </si>
  <si>
    <t>Equity &amp; Equity related</t>
  </si>
  <si>
    <t>(a) Listed / awaiting listing on Stock Exchanges</t>
  </si>
  <si>
    <t>ICICI Bank Ltd</t>
  </si>
  <si>
    <t>INE090A01021</t>
  </si>
  <si>
    <t>Banks</t>
  </si>
  <si>
    <t>Reliance Industries Ltd</t>
  </si>
  <si>
    <t>INE002A01018</t>
  </si>
  <si>
    <t>Petroleum Products</t>
  </si>
  <si>
    <t>Infosys Ltd</t>
  </si>
  <si>
    <t>INE009A01021</t>
  </si>
  <si>
    <t>IT - Software</t>
  </si>
  <si>
    <t>HDFC Bank Ltd</t>
  </si>
  <si>
    <t>INE040A01034</t>
  </si>
  <si>
    <t>Tata Consultancy Services Ltd</t>
  </si>
  <si>
    <t>INE467B01029</t>
  </si>
  <si>
    <t>State Bank of India</t>
  </si>
  <si>
    <t>INE062A01020</t>
  </si>
  <si>
    <t>Axis Bank Ltd</t>
  </si>
  <si>
    <t>INE238A01034</t>
  </si>
  <si>
    <t>Benchmark: S&amp;P BSE 500 Index TRI</t>
  </si>
  <si>
    <t>Bharti Airtel Ltd</t>
  </si>
  <si>
    <t>INE397D01024</t>
  </si>
  <si>
    <t>Telecom - Services</t>
  </si>
  <si>
    <t>Ultratech Cement Ltd</t>
  </si>
  <si>
    <t>INE481G01011</t>
  </si>
  <si>
    <t>Cement &amp; Cement Products</t>
  </si>
  <si>
    <t>ABB India Ltd</t>
  </si>
  <si>
    <t>INE117A01022</t>
  </si>
  <si>
    <t>Electrical Equipment</t>
  </si>
  <si>
    <t>Bajaj Finance Ltd</t>
  </si>
  <si>
    <t>INE296A01024</t>
  </si>
  <si>
    <t>Finance</t>
  </si>
  <si>
    <t>Hindustan Unilever Ltd</t>
  </si>
  <si>
    <t>INE030A01027</t>
  </si>
  <si>
    <t>Diversified Fmcg</t>
  </si>
  <si>
    <t>Schaeffler India Ltd</t>
  </si>
  <si>
    <t>INE513A01022</t>
  </si>
  <si>
    <t>Auto Components</t>
  </si>
  <si>
    <t>Kotak Mahindra Bank Ltd</t>
  </si>
  <si>
    <t>INE237A01028</t>
  </si>
  <si>
    <t>United Spirits Ltd</t>
  </si>
  <si>
    <t>INE854D01024</t>
  </si>
  <si>
    <t>Beverages</t>
  </si>
  <si>
    <t>Housing Development Finance Corporation Ltd</t>
  </si>
  <si>
    <t>INE001A01036</t>
  </si>
  <si>
    <t>Sun Pharmaceutical Industries Ltd</t>
  </si>
  <si>
    <t>INE044A01036</t>
  </si>
  <si>
    <t>Pharmaceuticals &amp; Biotechnology</t>
  </si>
  <si>
    <t>Maruti Suzuki India Ltd</t>
  </si>
  <si>
    <t>INE585B01010</t>
  </si>
  <si>
    <t>Automobiles</t>
  </si>
  <si>
    <t>Larsen &amp; Toubro Ltd</t>
  </si>
  <si>
    <t>INE018A01030</t>
  </si>
  <si>
    <t>Construction</t>
  </si>
  <si>
    <t>Navin Fluorine International Ltd</t>
  </si>
  <si>
    <t>INE048G01026</t>
  </si>
  <si>
    <t>Chemicals &amp; Petrochemicals</t>
  </si>
  <si>
    <t>Indian Hotels Co Ltd</t>
  </si>
  <si>
    <t>INE053A01029</t>
  </si>
  <si>
    <t>Leisure Services</t>
  </si>
  <si>
    <t>Voltas Ltd</t>
  </si>
  <si>
    <t>INE226A01021</t>
  </si>
  <si>
    <t>Consumer Durables</t>
  </si>
  <si>
    <t>Abbott India Ltd</t>
  </si>
  <si>
    <t>INE358A01014</t>
  </si>
  <si>
    <t>Bata India Ltd</t>
  </si>
  <si>
    <t>INE176A01028</t>
  </si>
  <si>
    <t>PI Industries Ltd</t>
  </si>
  <si>
    <t>INE603J01030</t>
  </si>
  <si>
    <t>Fertilizers &amp; Agrochemicals</t>
  </si>
  <si>
    <t>Oberoi Realty Ltd</t>
  </si>
  <si>
    <t>INE093I01010</t>
  </si>
  <si>
    <t>Realty</t>
  </si>
  <si>
    <t>Bajaj Auto Ltd</t>
  </si>
  <si>
    <t>INE917I01010</t>
  </si>
  <si>
    <t>Max Healthcare Institute Ltd</t>
  </si>
  <si>
    <t>INE027H01010</t>
  </si>
  <si>
    <t>Healthcare Services</t>
  </si>
  <si>
    <t>Page Industries Ltd</t>
  </si>
  <si>
    <t>INE761H01022</t>
  </si>
  <si>
    <t>Textiles &amp; Apparels</t>
  </si>
  <si>
    <t>Minda Industries Ltd</t>
  </si>
  <si>
    <t>INE405E01023</t>
  </si>
  <si>
    <t>Cholamandalam Investment and Finance Co Ltd</t>
  </si>
  <si>
    <t>INE121A01024</t>
  </si>
  <si>
    <t>Mphasis Ltd</t>
  </si>
  <si>
    <t>INE356A01018</t>
  </si>
  <si>
    <t>Tata Motors Ltd</t>
  </si>
  <si>
    <t>INE155A01022</t>
  </si>
  <si>
    <t>Hindalco Industries Ltd</t>
  </si>
  <si>
    <t>INE038A01020</t>
  </si>
  <si>
    <t>Non - Ferrous Metals</t>
  </si>
  <si>
    <t>Siemens Ltd</t>
  </si>
  <si>
    <t>INE003A01024</t>
  </si>
  <si>
    <t>Bharat Electronics Ltd</t>
  </si>
  <si>
    <t>INE263A01024</t>
  </si>
  <si>
    <t>Aerospace &amp; Defense</t>
  </si>
  <si>
    <t>ZF Commercial Vehicle Control Systems India Ltd</t>
  </si>
  <si>
    <t>INE342J01019</t>
  </si>
  <si>
    <t>Titan Co Ltd</t>
  </si>
  <si>
    <t>INE280A01028</t>
  </si>
  <si>
    <t>NTPC Ltd</t>
  </si>
  <si>
    <t>INE733E01010</t>
  </si>
  <si>
    <t>Power</t>
  </si>
  <si>
    <t>J.B. Chemicals &amp; Pharmaceuticals Ltd</t>
  </si>
  <si>
    <t>INE572A01028</t>
  </si>
  <si>
    <t>Asian Paints Ltd</t>
  </si>
  <si>
    <t>INE021A01026</t>
  </si>
  <si>
    <t>Gland Pharma Ltd</t>
  </si>
  <si>
    <t>INE068V01023</t>
  </si>
  <si>
    <t>Godrej Consumer Products Ltd</t>
  </si>
  <si>
    <t>INE102D01028</t>
  </si>
  <si>
    <t>Personal Products</t>
  </si>
  <si>
    <t>Max Financial Services Ltd</t>
  </si>
  <si>
    <t>INE180A01020</t>
  </si>
  <si>
    <t>Insurance</t>
  </si>
  <si>
    <t>SBI Life Insurance Co Ltd</t>
  </si>
  <si>
    <t>INE123W01016</t>
  </si>
  <si>
    <t>Gujarat Gas Ltd</t>
  </si>
  <si>
    <t>INE844O01030</t>
  </si>
  <si>
    <t>Gas</t>
  </si>
  <si>
    <t>Vinati Organics Ltd</t>
  </si>
  <si>
    <t>INE410B01037</t>
  </si>
  <si>
    <t>Honeywell Automation India Ltd</t>
  </si>
  <si>
    <t>INE671A01010</t>
  </si>
  <si>
    <t>Industrial Manufacturing</t>
  </si>
  <si>
    <t>TCI Express Ltd</t>
  </si>
  <si>
    <t>INE586V01016</t>
  </si>
  <si>
    <t>Transport Services</t>
  </si>
  <si>
    <t>Trent Ltd</t>
  </si>
  <si>
    <t>INE849A01020</t>
  </si>
  <si>
    <t>Retailing</t>
  </si>
  <si>
    <t>J.K. Cement Ltd</t>
  </si>
  <si>
    <t>INE823G01014</t>
  </si>
  <si>
    <t>Persistent Systems Ltd</t>
  </si>
  <si>
    <t>INE262H01013</t>
  </si>
  <si>
    <t>Avenue Supermarts Ltd</t>
  </si>
  <si>
    <t>INE192R01011</t>
  </si>
  <si>
    <t>Tata Consumer Products Ltd</t>
  </si>
  <si>
    <t>INE192A01025</t>
  </si>
  <si>
    <t>Agricultural Food &amp; Other Products</t>
  </si>
  <si>
    <t>Divi's Laboratories Ltd</t>
  </si>
  <si>
    <t>INE361B01024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</si>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</sst>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57149</xdr:colOff>
      <xdr:row>4</xdr:row>
      <xdr:rowOff>66676</xdr:rowOff>
    </xdr:from>
    <xdr:to>
      <xdr:col>10</xdr:col>
      <xdr:colOff>1895475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AABA78-229B-4E61-9179-B19A789DA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7224" y="1076326"/>
          <a:ext cx="1838326" cy="1038224"/>
        </a:xfrm>
        <a:prstGeom prst="rect">
          <a:avLst/>
        </a:prstGeom>
      </xdr:spPr>
    </xdr:pic>
    <xdr:clientData/>
  </xdr:twoCellAnchor>
  <xdr:twoCellAnchor editAs="oneCell">
    <xdr:from>
      <xdr:col>9</xdr:col>
      <xdr:colOff>62390</xdr:colOff>
      <xdr:row>4</xdr:row>
      <xdr:rowOff>66766</xdr:rowOff>
    </xdr:from>
    <xdr:to>
      <xdr:col>9</xdr:col>
      <xdr:colOff>1914525</xdr:colOff>
      <xdr:row>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BF1FC-C5A8-48CA-A6F3-BB035F03B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49365" y="1076416"/>
          <a:ext cx="1852135" cy="1076234"/>
        </a:xfrm>
        <a:prstGeom prst="rect">
          <a:avLst/>
        </a:prstGeom>
      </xdr:spPr>
    </xdr:pic>
    <xdr:clientData/>
  </xdr:twoCellAnchor>
  <xdr:oneCellAnchor>
    <xdr:from>
      <xdr:col>11</xdr:col>
      <xdr:colOff>36340</xdr:colOff>
      <xdr:row>4</xdr:row>
      <xdr:rowOff>36815</xdr:rowOff>
    </xdr:from>
    <xdr:ext cx="1782935" cy="1134760"/>
    <xdr:pic>
      <xdr:nvPicPr>
        <xdr:cNvPr id="4" name="Picture 3">
          <a:extLst>
            <a:ext uri="{FF2B5EF4-FFF2-40B4-BE49-F238E27FC236}">
              <a16:creationId xmlns:a16="http://schemas.microsoft.com/office/drawing/2014/main" id="{C64006C4-92BC-4059-A3E9-5C528A251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99990" y="1046465"/>
          <a:ext cx="1782935" cy="11347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1"/>
  <sheetViews>
    <sheetView tabSelected="1" topLeftCell="D1" workbookViewId="0">
      <selection activeCell="J17" sqref="J17"/>
    </sheetView>
  </sheetViews>
  <sheetFormatPr defaultRowHeight="12"/>
  <cols>
    <col min="1" max="1" width="9.140625" style="3"/>
    <col min="2" max="2" width="53.85546875" style="3" bestFit="1" customWidth="1"/>
    <col min="3" max="3" width="13.5703125" style="3" bestFit="1" customWidth="1"/>
    <col min="4" max="4" width="28.42578125" style="3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10" style="3" bestFit="1" customWidth="1"/>
    <col min="9" max="9" width="4.7109375" style="3" bestFit="1" customWidth="1"/>
    <col min="10" max="10" width="29.140625" style="3" customWidth="1"/>
    <col min="11" max="11" width="29" style="3" customWidth="1"/>
    <col min="12" max="12" width="28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J4" s="14" t="s">
        <v>8</v>
      </c>
      <c r="K4" s="14" t="s">
        <v>9</v>
      </c>
      <c r="L4" s="14" t="s">
        <v>10</v>
      </c>
    </row>
    <row r="5" spans="2:12">
      <c r="B5" s="15" t="s">
        <v>11</v>
      </c>
      <c r="C5" s="16"/>
      <c r="D5" s="16"/>
      <c r="E5" s="17"/>
      <c r="F5" s="18"/>
      <c r="G5" s="18"/>
      <c r="J5" s="19"/>
      <c r="K5" s="19"/>
      <c r="L5" s="19"/>
    </row>
    <row r="6" spans="2:12">
      <c r="B6" s="20" t="s">
        <v>12</v>
      </c>
      <c r="C6" s="21"/>
      <c r="D6" s="21"/>
      <c r="E6" s="22"/>
      <c r="F6" s="23"/>
      <c r="G6" s="23"/>
      <c r="J6" s="19"/>
      <c r="K6" s="19"/>
      <c r="L6" s="19"/>
    </row>
    <row r="7" spans="2:12">
      <c r="B7" s="24" t="s">
        <v>13</v>
      </c>
      <c r="C7" s="21" t="s">
        <v>14</v>
      </c>
      <c r="D7" s="21" t="s">
        <v>15</v>
      </c>
      <c r="E7" s="25">
        <v>3436000</v>
      </c>
      <c r="F7" s="23">
        <v>25867.93</v>
      </c>
      <c r="G7" s="23">
        <v>7.18</v>
      </c>
      <c r="H7" s="26"/>
      <c r="I7" s="26"/>
      <c r="J7" s="19"/>
      <c r="K7" s="19"/>
      <c r="L7" s="19"/>
    </row>
    <row r="8" spans="2:12">
      <c r="B8" s="24" t="s">
        <v>16</v>
      </c>
      <c r="C8" s="21" t="s">
        <v>17</v>
      </c>
      <c r="D8" s="21" t="s">
        <v>18</v>
      </c>
      <c r="E8" s="25">
        <v>943500</v>
      </c>
      <c r="F8" s="23">
        <v>24839.05</v>
      </c>
      <c r="G8" s="23">
        <v>6.9</v>
      </c>
      <c r="H8" s="26"/>
      <c r="I8" s="26"/>
      <c r="J8" s="19"/>
      <c r="K8" s="19"/>
      <c r="L8" s="19"/>
    </row>
    <row r="9" spans="2:12">
      <c r="B9" s="24" t="s">
        <v>19</v>
      </c>
      <c r="C9" s="21" t="s">
        <v>20</v>
      </c>
      <c r="D9" s="21" t="s">
        <v>21</v>
      </c>
      <c r="E9" s="25">
        <v>1621310</v>
      </c>
      <c r="F9" s="23">
        <v>24378.02</v>
      </c>
      <c r="G9" s="23">
        <v>6.77</v>
      </c>
      <c r="H9" s="26"/>
      <c r="I9" s="26"/>
      <c r="J9" s="19"/>
      <c r="K9" s="19"/>
      <c r="L9" s="19"/>
    </row>
    <row r="10" spans="2:12">
      <c r="B10" s="24" t="s">
        <v>22</v>
      </c>
      <c r="C10" s="21" t="s">
        <v>23</v>
      </c>
      <c r="D10" s="21" t="s">
        <v>15</v>
      </c>
      <c r="E10" s="25">
        <v>1687184</v>
      </c>
      <c r="F10" s="23">
        <v>23434.14</v>
      </c>
      <c r="G10" s="23">
        <v>6.51</v>
      </c>
      <c r="H10" s="26"/>
      <c r="I10" s="26"/>
      <c r="J10" s="19"/>
      <c r="K10" s="19"/>
      <c r="L10" s="19"/>
    </row>
    <row r="11" spans="2:12">
      <c r="B11" s="24" t="s">
        <v>24</v>
      </c>
      <c r="C11" s="21" t="s">
        <v>25</v>
      </c>
      <c r="D11" s="21" t="s">
        <v>21</v>
      </c>
      <c r="E11" s="25">
        <v>323712</v>
      </c>
      <c r="F11" s="23">
        <v>10890.8</v>
      </c>
      <c r="G11" s="23">
        <v>3.02</v>
      </c>
      <c r="H11" s="26"/>
      <c r="I11" s="26"/>
      <c r="J11" s="19"/>
      <c r="K11" s="19"/>
      <c r="L11" s="19"/>
    </row>
    <row r="12" spans="2:12">
      <c r="B12" s="24" t="s">
        <v>26</v>
      </c>
      <c r="C12" s="21" t="s">
        <v>27</v>
      </c>
      <c r="D12" s="21" t="s">
        <v>15</v>
      </c>
      <c r="E12" s="25">
        <v>2250000</v>
      </c>
      <c r="F12" s="23">
        <v>10532.25</v>
      </c>
      <c r="G12" s="23">
        <v>2.92</v>
      </c>
      <c r="H12" s="26"/>
      <c r="I12" s="26"/>
      <c r="J12" s="19"/>
      <c r="K12" s="19"/>
      <c r="L12" s="19"/>
    </row>
    <row r="13" spans="2:12">
      <c r="B13" s="24" t="s">
        <v>28</v>
      </c>
      <c r="C13" s="21" t="s">
        <v>29</v>
      </c>
      <c r="D13" s="21" t="s">
        <v>15</v>
      </c>
      <c r="E13" s="25">
        <v>1403000</v>
      </c>
      <c r="F13" s="23">
        <v>9613.36</v>
      </c>
      <c r="G13" s="23">
        <v>2.67</v>
      </c>
      <c r="H13" s="26"/>
      <c r="I13" s="26"/>
      <c r="J13" s="26"/>
      <c r="K13" s="26" t="s">
        <v>30</v>
      </c>
    </row>
    <row r="14" spans="2:12">
      <c r="B14" s="24" t="s">
        <v>31</v>
      </c>
      <c r="C14" s="21" t="s">
        <v>32</v>
      </c>
      <c r="D14" s="21" t="s">
        <v>33</v>
      </c>
      <c r="E14" s="25">
        <v>1195000</v>
      </c>
      <c r="F14" s="23">
        <v>8367.39</v>
      </c>
      <c r="G14" s="23">
        <v>2.3199999999999998</v>
      </c>
      <c r="H14" s="26"/>
      <c r="I14" s="26"/>
      <c r="J14" s="26"/>
      <c r="K14" s="26"/>
    </row>
    <row r="15" spans="2:12">
      <c r="B15" s="24" t="s">
        <v>34</v>
      </c>
      <c r="C15" s="21" t="s">
        <v>35</v>
      </c>
      <c r="D15" s="21" t="s">
        <v>36</v>
      </c>
      <c r="E15" s="25">
        <v>133500</v>
      </c>
      <c r="F15" s="23">
        <v>8120.27</v>
      </c>
      <c r="G15" s="23">
        <v>2.25</v>
      </c>
      <c r="H15" s="26"/>
      <c r="I15" s="26"/>
      <c r="J15" s="26"/>
      <c r="K15" s="26"/>
    </row>
    <row r="16" spans="2:12">
      <c r="B16" s="24" t="s">
        <v>37</v>
      </c>
      <c r="C16" s="21" t="s">
        <v>38</v>
      </c>
      <c r="D16" s="21" t="s">
        <v>39</v>
      </c>
      <c r="E16" s="25">
        <v>332500</v>
      </c>
      <c r="F16" s="23">
        <v>8070.61</v>
      </c>
      <c r="G16" s="23">
        <v>2.2400000000000002</v>
      </c>
      <c r="H16" s="26"/>
      <c r="I16" s="26"/>
      <c r="J16" s="26"/>
      <c r="K16" s="26"/>
    </row>
    <row r="17" spans="2:11">
      <c r="B17" s="24" t="s">
        <v>40</v>
      </c>
      <c r="C17" s="21" t="s">
        <v>41</v>
      </c>
      <c r="D17" s="21" t="s">
        <v>42</v>
      </c>
      <c r="E17" s="25">
        <v>130450</v>
      </c>
      <c r="F17" s="23">
        <v>7934.16</v>
      </c>
      <c r="G17" s="23">
        <v>2.2000000000000002</v>
      </c>
      <c r="H17" s="26"/>
      <c r="I17" s="26"/>
      <c r="J17" s="26"/>
      <c r="K17" s="26"/>
    </row>
    <row r="18" spans="2:11">
      <c r="B18" s="24" t="s">
        <v>43</v>
      </c>
      <c r="C18" s="21" t="s">
        <v>44</v>
      </c>
      <c r="D18" s="21" t="s">
        <v>45</v>
      </c>
      <c r="E18" s="25">
        <v>336690</v>
      </c>
      <c r="F18" s="23">
        <v>7923.16</v>
      </c>
      <c r="G18" s="23">
        <v>2.2000000000000002</v>
      </c>
      <c r="H18" s="26"/>
      <c r="I18" s="26"/>
      <c r="J18" s="26"/>
      <c r="K18" s="26"/>
    </row>
    <row r="19" spans="2:11">
      <c r="B19" s="24" t="s">
        <v>46</v>
      </c>
      <c r="C19" s="21" t="s">
        <v>47</v>
      </c>
      <c r="D19" s="21" t="s">
        <v>48</v>
      </c>
      <c r="E19" s="25">
        <v>325500</v>
      </c>
      <c r="F19" s="23">
        <v>7488.45</v>
      </c>
      <c r="G19" s="23">
        <v>2.08</v>
      </c>
      <c r="H19" s="26"/>
      <c r="I19" s="26"/>
      <c r="J19" s="26"/>
      <c r="K19" s="26"/>
    </row>
    <row r="20" spans="2:11">
      <c r="B20" s="24" t="s">
        <v>49</v>
      </c>
      <c r="C20" s="21" t="s">
        <v>50</v>
      </c>
      <c r="D20" s="21" t="s">
        <v>15</v>
      </c>
      <c r="E20" s="25">
        <v>397500</v>
      </c>
      <c r="F20" s="23">
        <v>7341.23</v>
      </c>
      <c r="G20" s="23">
        <v>2.04</v>
      </c>
      <c r="H20" s="26"/>
      <c r="I20" s="26"/>
      <c r="J20" s="26"/>
      <c r="K20" s="26"/>
    </row>
    <row r="21" spans="2:11">
      <c r="B21" s="24" t="s">
        <v>51</v>
      </c>
      <c r="C21" s="21" t="s">
        <v>52</v>
      </c>
      <c r="D21" s="21" t="s">
        <v>53</v>
      </c>
      <c r="E21" s="25">
        <v>870000</v>
      </c>
      <c r="F21" s="23">
        <v>7041.78</v>
      </c>
      <c r="G21" s="23">
        <v>1.95</v>
      </c>
      <c r="H21" s="26"/>
      <c r="I21" s="26"/>
      <c r="J21" s="26"/>
      <c r="K21" s="26"/>
    </row>
    <row r="22" spans="2:11">
      <c r="B22" s="24" t="s">
        <v>54</v>
      </c>
      <c r="C22" s="21" t="s">
        <v>55</v>
      </c>
      <c r="D22" s="21" t="s">
        <v>42</v>
      </c>
      <c r="E22" s="25">
        <v>297500</v>
      </c>
      <c r="F22" s="23">
        <v>6862.58</v>
      </c>
      <c r="G22" s="23">
        <v>1.91</v>
      </c>
      <c r="H22" s="26"/>
      <c r="I22" s="26"/>
      <c r="J22" s="26"/>
      <c r="K22" s="26"/>
    </row>
    <row r="23" spans="2:11">
      <c r="B23" s="24" t="s">
        <v>56</v>
      </c>
      <c r="C23" s="21" t="s">
        <v>57</v>
      </c>
      <c r="D23" s="21" t="s">
        <v>58</v>
      </c>
      <c r="E23" s="25">
        <v>795000</v>
      </c>
      <c r="F23" s="23">
        <v>6841.77</v>
      </c>
      <c r="G23" s="23">
        <v>1.9</v>
      </c>
      <c r="H23" s="26"/>
      <c r="I23" s="26"/>
      <c r="J23" s="26"/>
      <c r="K23" s="26"/>
    </row>
    <row r="24" spans="2:11">
      <c r="B24" s="24" t="s">
        <v>59</v>
      </c>
      <c r="C24" s="21" t="s">
        <v>60</v>
      </c>
      <c r="D24" s="21" t="s">
        <v>61</v>
      </c>
      <c r="E24" s="25">
        <v>77500</v>
      </c>
      <c r="F24" s="23">
        <v>6173.92</v>
      </c>
      <c r="G24" s="23">
        <v>1.71</v>
      </c>
      <c r="H24" s="26"/>
      <c r="I24" s="26"/>
      <c r="J24" s="26"/>
      <c r="K24" s="26"/>
    </row>
    <row r="25" spans="2:11">
      <c r="B25" s="24" t="s">
        <v>62</v>
      </c>
      <c r="C25" s="21" t="s">
        <v>63</v>
      </c>
      <c r="D25" s="21" t="s">
        <v>64</v>
      </c>
      <c r="E25" s="25">
        <v>370000</v>
      </c>
      <c r="F25" s="23">
        <v>6121.65</v>
      </c>
      <c r="G25" s="23">
        <v>1.7</v>
      </c>
      <c r="H25" s="26"/>
      <c r="I25" s="26"/>
      <c r="J25" s="26"/>
      <c r="K25" s="26"/>
    </row>
    <row r="26" spans="2:11">
      <c r="B26" s="24" t="s">
        <v>65</v>
      </c>
      <c r="C26" s="21" t="s">
        <v>66</v>
      </c>
      <c r="D26" s="21" t="s">
        <v>67</v>
      </c>
      <c r="E26" s="25">
        <v>148349</v>
      </c>
      <c r="F26" s="23">
        <v>5821.88</v>
      </c>
      <c r="G26" s="23">
        <v>1.62</v>
      </c>
      <c r="H26" s="26"/>
      <c r="I26" s="26"/>
      <c r="J26" s="26"/>
      <c r="K26" s="26"/>
    </row>
    <row r="27" spans="2:11">
      <c r="B27" s="24" t="s">
        <v>68</v>
      </c>
      <c r="C27" s="21" t="s">
        <v>69</v>
      </c>
      <c r="D27" s="21" t="s">
        <v>70</v>
      </c>
      <c r="E27" s="25">
        <v>2379455</v>
      </c>
      <c r="F27" s="23">
        <v>5591.72</v>
      </c>
      <c r="G27" s="23">
        <v>1.55</v>
      </c>
      <c r="H27" s="26"/>
      <c r="I27" s="26"/>
      <c r="J27" s="26"/>
      <c r="K27" s="26"/>
    </row>
    <row r="28" spans="2:11">
      <c r="B28" s="24" t="s">
        <v>71</v>
      </c>
      <c r="C28" s="21" t="s">
        <v>72</v>
      </c>
      <c r="D28" s="21" t="s">
        <v>73</v>
      </c>
      <c r="E28" s="25">
        <v>535000</v>
      </c>
      <c r="F28" s="23">
        <v>5446.57</v>
      </c>
      <c r="G28" s="23">
        <v>1.51</v>
      </c>
      <c r="H28" s="26"/>
      <c r="I28" s="26"/>
      <c r="J28" s="26"/>
      <c r="K28" s="26"/>
    </row>
    <row r="29" spans="2:11">
      <c r="B29" s="24" t="s">
        <v>74</v>
      </c>
      <c r="C29" s="21" t="s">
        <v>75</v>
      </c>
      <c r="D29" s="21" t="s">
        <v>58</v>
      </c>
      <c r="E29" s="25">
        <v>30500</v>
      </c>
      <c r="F29" s="23">
        <v>5406.22</v>
      </c>
      <c r="G29" s="23">
        <v>1.5</v>
      </c>
      <c r="H29" s="26"/>
      <c r="I29" s="26"/>
      <c r="J29" s="26"/>
      <c r="K29" s="26"/>
    </row>
    <row r="30" spans="2:11">
      <c r="B30" s="24" t="s">
        <v>76</v>
      </c>
      <c r="C30" s="21" t="s">
        <v>77</v>
      </c>
      <c r="D30" s="21" t="s">
        <v>73</v>
      </c>
      <c r="E30" s="25">
        <v>282000</v>
      </c>
      <c r="F30" s="23">
        <v>5293.99</v>
      </c>
      <c r="G30" s="23">
        <v>1.47</v>
      </c>
      <c r="H30" s="26"/>
      <c r="I30" s="26"/>
      <c r="J30" s="26"/>
      <c r="K30" s="26"/>
    </row>
    <row r="31" spans="2:11">
      <c r="B31" s="24" t="s">
        <v>78</v>
      </c>
      <c r="C31" s="21" t="s">
        <v>79</v>
      </c>
      <c r="D31" s="21" t="s">
        <v>80</v>
      </c>
      <c r="E31" s="25">
        <v>191500</v>
      </c>
      <c r="F31" s="23">
        <v>5282.24</v>
      </c>
      <c r="G31" s="23">
        <v>1.47</v>
      </c>
      <c r="H31" s="26"/>
      <c r="I31" s="26"/>
      <c r="J31" s="26"/>
      <c r="K31" s="26"/>
    </row>
    <row r="32" spans="2:11">
      <c r="B32" s="24" t="s">
        <v>81</v>
      </c>
      <c r="C32" s="21" t="s">
        <v>82</v>
      </c>
      <c r="D32" s="21" t="s">
        <v>83</v>
      </c>
      <c r="E32" s="25">
        <v>650000</v>
      </c>
      <c r="F32" s="23">
        <v>5237.38</v>
      </c>
      <c r="G32" s="23">
        <v>1.45</v>
      </c>
      <c r="H32" s="26"/>
      <c r="I32" s="26"/>
      <c r="J32" s="26"/>
      <c r="K32" s="26"/>
    </row>
    <row r="33" spans="2:11">
      <c r="B33" s="24" t="s">
        <v>84</v>
      </c>
      <c r="C33" s="21" t="s">
        <v>85</v>
      </c>
      <c r="D33" s="21" t="s">
        <v>61</v>
      </c>
      <c r="E33" s="25">
        <v>118000</v>
      </c>
      <c r="F33" s="23">
        <v>4559.6400000000003</v>
      </c>
      <c r="G33" s="23">
        <v>1.27</v>
      </c>
      <c r="H33" s="26"/>
      <c r="I33" s="26"/>
      <c r="J33" s="26"/>
      <c r="K33" s="26"/>
    </row>
    <row r="34" spans="2:11">
      <c r="B34" s="24" t="s">
        <v>86</v>
      </c>
      <c r="C34" s="21" t="s">
        <v>87</v>
      </c>
      <c r="D34" s="21" t="s">
        <v>88</v>
      </c>
      <c r="E34" s="25">
        <v>1135000</v>
      </c>
      <c r="F34" s="23">
        <v>4316.97</v>
      </c>
      <c r="G34" s="23">
        <v>1.2</v>
      </c>
      <c r="H34" s="26"/>
      <c r="I34" s="26"/>
      <c r="J34" s="26"/>
      <c r="K34" s="26"/>
    </row>
    <row r="35" spans="2:11">
      <c r="B35" s="24" t="s">
        <v>89</v>
      </c>
      <c r="C35" s="21" t="s">
        <v>90</v>
      </c>
      <c r="D35" s="21" t="s">
        <v>91</v>
      </c>
      <c r="E35" s="25">
        <v>9500</v>
      </c>
      <c r="F35" s="23">
        <v>4293.43</v>
      </c>
      <c r="G35" s="23">
        <v>1.19</v>
      </c>
      <c r="H35" s="26"/>
      <c r="I35" s="26"/>
      <c r="J35" s="26"/>
      <c r="K35" s="26"/>
    </row>
    <row r="36" spans="2:11">
      <c r="B36" s="24" t="s">
        <v>92</v>
      </c>
      <c r="C36" s="21" t="s">
        <v>93</v>
      </c>
      <c r="D36" s="21" t="s">
        <v>48</v>
      </c>
      <c r="E36" s="25">
        <v>462358</v>
      </c>
      <c r="F36" s="23">
        <v>4264.33</v>
      </c>
      <c r="G36" s="23">
        <v>1.18</v>
      </c>
      <c r="H36" s="26"/>
      <c r="I36" s="26"/>
      <c r="J36" s="26"/>
      <c r="K36" s="26"/>
    </row>
    <row r="37" spans="2:11">
      <c r="B37" s="24" t="s">
        <v>94</v>
      </c>
      <c r="C37" s="21" t="s">
        <v>95</v>
      </c>
      <c r="D37" s="21" t="s">
        <v>42</v>
      </c>
      <c r="E37" s="25">
        <v>620000</v>
      </c>
      <c r="F37" s="23">
        <v>4213.5200000000004</v>
      </c>
      <c r="G37" s="23">
        <v>1.17</v>
      </c>
      <c r="H37" s="26"/>
      <c r="I37" s="26"/>
      <c r="J37" s="26"/>
      <c r="K37" s="26"/>
    </row>
    <row r="38" spans="2:11">
      <c r="B38" s="24" t="s">
        <v>96</v>
      </c>
      <c r="C38" s="21" t="s">
        <v>97</v>
      </c>
      <c r="D38" s="21" t="s">
        <v>21</v>
      </c>
      <c r="E38" s="25">
        <v>159000</v>
      </c>
      <c r="F38" s="23">
        <v>4123.74</v>
      </c>
      <c r="G38" s="23">
        <v>1.1399999999999999</v>
      </c>
      <c r="H38" s="26"/>
      <c r="I38" s="26"/>
      <c r="J38" s="26"/>
      <c r="K38" s="26"/>
    </row>
    <row r="39" spans="2:11">
      <c r="B39" s="24" t="s">
        <v>98</v>
      </c>
      <c r="C39" s="21" t="s">
        <v>99</v>
      </c>
      <c r="D39" s="21" t="s">
        <v>61</v>
      </c>
      <c r="E39" s="25">
        <v>900000</v>
      </c>
      <c r="F39" s="23">
        <v>3991.95</v>
      </c>
      <c r="G39" s="23">
        <v>1.1100000000000001</v>
      </c>
      <c r="H39" s="26"/>
      <c r="I39" s="26"/>
      <c r="J39" s="26"/>
      <c r="K39" s="26"/>
    </row>
    <row r="40" spans="2:11">
      <c r="B40" s="24" t="s">
        <v>100</v>
      </c>
      <c r="C40" s="21" t="s">
        <v>101</v>
      </c>
      <c r="D40" s="21" t="s">
        <v>102</v>
      </c>
      <c r="E40" s="25">
        <v>893000</v>
      </c>
      <c r="F40" s="23">
        <v>3773.37</v>
      </c>
      <c r="G40" s="23">
        <v>1.05</v>
      </c>
      <c r="H40" s="26"/>
      <c r="I40" s="26"/>
      <c r="J40" s="26"/>
      <c r="K40" s="26"/>
    </row>
    <row r="41" spans="2:11">
      <c r="B41" s="24" t="s">
        <v>103</v>
      </c>
      <c r="C41" s="21" t="s">
        <v>104</v>
      </c>
      <c r="D41" s="21" t="s">
        <v>39</v>
      </c>
      <c r="E41" s="25">
        <v>152500</v>
      </c>
      <c r="F41" s="23">
        <v>3711.77</v>
      </c>
      <c r="G41" s="23">
        <v>1.03</v>
      </c>
      <c r="H41" s="26"/>
      <c r="I41" s="26"/>
      <c r="J41" s="26"/>
      <c r="K41" s="26"/>
    </row>
    <row r="42" spans="2:11">
      <c r="B42" s="24" t="s">
        <v>105</v>
      </c>
      <c r="C42" s="21" t="s">
        <v>106</v>
      </c>
      <c r="D42" s="21" t="s">
        <v>107</v>
      </c>
      <c r="E42" s="25">
        <v>1575000</v>
      </c>
      <c r="F42" s="23">
        <v>3697.31</v>
      </c>
      <c r="G42" s="23">
        <v>1.03</v>
      </c>
      <c r="H42" s="26"/>
      <c r="I42" s="26"/>
      <c r="J42" s="26"/>
      <c r="K42" s="26"/>
    </row>
    <row r="43" spans="2:11">
      <c r="B43" s="24" t="s">
        <v>108</v>
      </c>
      <c r="C43" s="21" t="s">
        <v>109</v>
      </c>
      <c r="D43" s="21" t="s">
        <v>48</v>
      </c>
      <c r="E43" s="25">
        <v>48000</v>
      </c>
      <c r="F43" s="23">
        <v>3651.72</v>
      </c>
      <c r="G43" s="23">
        <v>1.01</v>
      </c>
      <c r="H43" s="26"/>
      <c r="I43" s="26"/>
      <c r="J43" s="26"/>
      <c r="K43" s="26"/>
    </row>
    <row r="44" spans="2:11">
      <c r="B44" s="24" t="s">
        <v>110</v>
      </c>
      <c r="C44" s="21" t="s">
        <v>111</v>
      </c>
      <c r="D44" s="21" t="s">
        <v>73</v>
      </c>
      <c r="E44" s="25">
        <v>162500</v>
      </c>
      <c r="F44" s="23">
        <v>3601</v>
      </c>
      <c r="G44" s="23">
        <v>1</v>
      </c>
      <c r="H44" s="26"/>
      <c r="I44" s="26"/>
      <c r="J44" s="26"/>
      <c r="K44" s="26"/>
    </row>
    <row r="45" spans="2:11">
      <c r="B45" s="24" t="s">
        <v>112</v>
      </c>
      <c r="C45" s="21" t="s">
        <v>113</v>
      </c>
      <c r="D45" s="21" t="s">
        <v>114</v>
      </c>
      <c r="E45" s="25">
        <v>2300000</v>
      </c>
      <c r="F45" s="23">
        <v>3588</v>
      </c>
      <c r="G45" s="23">
        <v>1</v>
      </c>
      <c r="H45" s="26"/>
      <c r="I45" s="26"/>
      <c r="J45" s="26"/>
      <c r="K45" s="26"/>
    </row>
    <row r="46" spans="2:11">
      <c r="B46" s="24" t="s">
        <v>115</v>
      </c>
      <c r="C46" s="21" t="s">
        <v>116</v>
      </c>
      <c r="D46" s="21" t="s">
        <v>58</v>
      </c>
      <c r="E46" s="25">
        <v>209913</v>
      </c>
      <c r="F46" s="23">
        <v>3412.45</v>
      </c>
      <c r="G46" s="23">
        <v>0.95</v>
      </c>
      <c r="H46" s="26"/>
      <c r="I46" s="26"/>
      <c r="J46" s="26"/>
      <c r="K46" s="26"/>
    </row>
    <row r="47" spans="2:11">
      <c r="B47" s="24" t="s">
        <v>117</v>
      </c>
      <c r="C47" s="21" t="s">
        <v>118</v>
      </c>
      <c r="D47" s="21" t="s">
        <v>73</v>
      </c>
      <c r="E47" s="25">
        <v>110700</v>
      </c>
      <c r="F47" s="23">
        <v>3165.63</v>
      </c>
      <c r="G47" s="23">
        <v>0.88</v>
      </c>
      <c r="H47" s="26"/>
      <c r="I47" s="26"/>
      <c r="J47" s="26"/>
      <c r="K47" s="26"/>
    </row>
    <row r="48" spans="2:11">
      <c r="B48" s="24" t="s">
        <v>119</v>
      </c>
      <c r="C48" s="21" t="s">
        <v>120</v>
      </c>
      <c r="D48" s="21" t="s">
        <v>58</v>
      </c>
      <c r="E48" s="25">
        <v>107449</v>
      </c>
      <c r="F48" s="23">
        <v>3074.06</v>
      </c>
      <c r="G48" s="23">
        <v>0.85</v>
      </c>
      <c r="H48" s="26"/>
      <c r="I48" s="26"/>
      <c r="J48" s="26"/>
      <c r="K48" s="26"/>
    </row>
    <row r="49" spans="2:11">
      <c r="B49" s="24" t="s">
        <v>121</v>
      </c>
      <c r="C49" s="21" t="s">
        <v>122</v>
      </c>
      <c r="D49" s="21" t="s">
        <v>123</v>
      </c>
      <c r="E49" s="25">
        <v>400640</v>
      </c>
      <c r="F49" s="23">
        <v>3072.71</v>
      </c>
      <c r="G49" s="23">
        <v>0.85</v>
      </c>
      <c r="H49" s="26"/>
      <c r="I49" s="26"/>
      <c r="J49" s="26"/>
      <c r="K49" s="26"/>
    </row>
    <row r="50" spans="2:11">
      <c r="B50" s="24" t="s">
        <v>124</v>
      </c>
      <c r="C50" s="21" t="s">
        <v>125</v>
      </c>
      <c r="D50" s="21" t="s">
        <v>126</v>
      </c>
      <c r="E50" s="25">
        <v>385000</v>
      </c>
      <c r="F50" s="23">
        <v>3059.6</v>
      </c>
      <c r="G50" s="23">
        <v>0.85</v>
      </c>
      <c r="H50" s="26"/>
      <c r="I50" s="26"/>
      <c r="J50" s="26"/>
      <c r="K50" s="26"/>
    </row>
    <row r="51" spans="2:11">
      <c r="B51" s="24" t="s">
        <v>127</v>
      </c>
      <c r="C51" s="21" t="s">
        <v>128</v>
      </c>
      <c r="D51" s="21" t="s">
        <v>126</v>
      </c>
      <c r="E51" s="25">
        <v>245000</v>
      </c>
      <c r="F51" s="23">
        <v>2876.67</v>
      </c>
      <c r="G51" s="23">
        <v>0.8</v>
      </c>
      <c r="H51" s="26"/>
      <c r="I51" s="26"/>
      <c r="J51" s="26"/>
      <c r="K51" s="26"/>
    </row>
    <row r="52" spans="2:11">
      <c r="B52" s="24" t="s">
        <v>129</v>
      </c>
      <c r="C52" s="21" t="s">
        <v>130</v>
      </c>
      <c r="D52" s="21" t="s">
        <v>131</v>
      </c>
      <c r="E52" s="25">
        <v>505000</v>
      </c>
      <c r="F52" s="23">
        <v>2824.47</v>
      </c>
      <c r="G52" s="23">
        <v>0.78</v>
      </c>
      <c r="H52" s="26"/>
      <c r="I52" s="26"/>
      <c r="J52" s="26"/>
      <c r="K52" s="26"/>
    </row>
    <row r="53" spans="2:11">
      <c r="B53" s="24" t="s">
        <v>132</v>
      </c>
      <c r="C53" s="21" t="s">
        <v>133</v>
      </c>
      <c r="D53" s="21" t="s">
        <v>67</v>
      </c>
      <c r="E53" s="25">
        <v>134500</v>
      </c>
      <c r="F53" s="23">
        <v>2755.3</v>
      </c>
      <c r="G53" s="23">
        <v>0.76</v>
      </c>
      <c r="H53" s="26"/>
      <c r="I53" s="26"/>
      <c r="J53" s="26"/>
      <c r="K53" s="26"/>
    </row>
    <row r="54" spans="2:11">
      <c r="B54" s="24" t="s">
        <v>134</v>
      </c>
      <c r="C54" s="21" t="s">
        <v>135</v>
      </c>
      <c r="D54" s="21" t="s">
        <v>136</v>
      </c>
      <c r="E54" s="25">
        <v>8266</v>
      </c>
      <c r="F54" s="23">
        <v>2660.97</v>
      </c>
      <c r="G54" s="23">
        <v>0.74</v>
      </c>
      <c r="H54" s="26"/>
      <c r="I54" s="26"/>
      <c r="J54" s="26"/>
      <c r="K54" s="26"/>
    </row>
    <row r="55" spans="2:11">
      <c r="B55" s="24" t="s">
        <v>137</v>
      </c>
      <c r="C55" s="21" t="s">
        <v>138</v>
      </c>
      <c r="D55" s="21" t="s">
        <v>139</v>
      </c>
      <c r="E55" s="25">
        <v>158575</v>
      </c>
      <c r="F55" s="23">
        <v>2566.69</v>
      </c>
      <c r="G55" s="23">
        <v>0.71</v>
      </c>
      <c r="H55" s="26"/>
      <c r="I55" s="26"/>
      <c r="J55" s="26"/>
      <c r="K55" s="26"/>
    </row>
    <row r="56" spans="2:11">
      <c r="B56" s="24" t="s">
        <v>140</v>
      </c>
      <c r="C56" s="21" t="s">
        <v>141</v>
      </c>
      <c r="D56" s="21" t="s">
        <v>142</v>
      </c>
      <c r="E56" s="25">
        <v>225000</v>
      </c>
      <c r="F56" s="23">
        <v>2529.11</v>
      </c>
      <c r="G56" s="23">
        <v>0.7</v>
      </c>
      <c r="H56" s="26"/>
      <c r="I56" s="26"/>
      <c r="J56" s="26"/>
      <c r="K56" s="26"/>
    </row>
    <row r="57" spans="2:11">
      <c r="B57" s="24" t="s">
        <v>143</v>
      </c>
      <c r="C57" s="21" t="s">
        <v>144</v>
      </c>
      <c r="D57" s="21" t="s">
        <v>36</v>
      </c>
      <c r="E57" s="25">
        <v>100000</v>
      </c>
      <c r="F57" s="23">
        <v>2382.25</v>
      </c>
      <c r="G57" s="23">
        <v>0.66</v>
      </c>
      <c r="H57" s="26"/>
      <c r="I57" s="26"/>
      <c r="J57" s="26"/>
      <c r="K57" s="26"/>
    </row>
    <row r="58" spans="2:11">
      <c r="B58" s="24" t="s">
        <v>145</v>
      </c>
      <c r="C58" s="21" t="s">
        <v>146</v>
      </c>
      <c r="D58" s="21" t="s">
        <v>21</v>
      </c>
      <c r="E58" s="25">
        <v>51191</v>
      </c>
      <c r="F58" s="23">
        <v>1924.73</v>
      </c>
      <c r="G58" s="23">
        <v>0.53</v>
      </c>
      <c r="H58" s="26"/>
      <c r="I58" s="26"/>
      <c r="J58" s="26"/>
      <c r="K58" s="26"/>
    </row>
    <row r="59" spans="2:11">
      <c r="B59" s="24" t="s">
        <v>147</v>
      </c>
      <c r="C59" s="21" t="s">
        <v>148</v>
      </c>
      <c r="D59" s="21" t="s">
        <v>142</v>
      </c>
      <c r="E59" s="25">
        <v>43655</v>
      </c>
      <c r="F59" s="23">
        <v>1734.33</v>
      </c>
      <c r="G59" s="23">
        <v>0.48</v>
      </c>
      <c r="H59" s="26"/>
      <c r="I59" s="26"/>
      <c r="J59" s="26"/>
      <c r="K59" s="26"/>
    </row>
    <row r="60" spans="2:11">
      <c r="B60" s="24" t="s">
        <v>149</v>
      </c>
      <c r="C60" s="21" t="s">
        <v>150</v>
      </c>
      <c r="D60" s="21" t="s">
        <v>151</v>
      </c>
      <c r="E60" s="25">
        <v>139740</v>
      </c>
      <c r="F60" s="23">
        <v>1061.67</v>
      </c>
      <c r="G60" s="23">
        <v>0.28999999999999998</v>
      </c>
      <c r="H60" s="26"/>
      <c r="I60" s="26"/>
      <c r="J60" s="26"/>
      <c r="K60" s="26"/>
    </row>
    <row r="61" spans="2:11">
      <c r="B61" s="24" t="s">
        <v>152</v>
      </c>
      <c r="C61" s="21" t="s">
        <v>153</v>
      </c>
      <c r="D61" s="21" t="s">
        <v>58</v>
      </c>
      <c r="E61" s="25">
        <v>11500</v>
      </c>
      <c r="F61" s="23">
        <v>413</v>
      </c>
      <c r="G61" s="23">
        <v>0.11</v>
      </c>
      <c r="H61" s="26"/>
      <c r="I61" s="26"/>
      <c r="J61" s="26"/>
      <c r="K61" s="26"/>
    </row>
    <row r="62" spans="2:11">
      <c r="B62" s="27" t="s">
        <v>154</v>
      </c>
      <c r="C62" s="28"/>
      <c r="D62" s="28"/>
      <c r="E62" s="29"/>
      <c r="F62" s="30">
        <f>SUM(F7:F61)</f>
        <v>347222.90999999992</v>
      </c>
      <c r="G62" s="30">
        <f>SUM(G7:G61)</f>
        <v>96.36</v>
      </c>
      <c r="H62" s="26"/>
      <c r="I62" s="26"/>
      <c r="J62" s="26"/>
      <c r="K62" s="26"/>
    </row>
    <row r="63" spans="2:11">
      <c r="B63" s="31" t="s">
        <v>155</v>
      </c>
      <c r="C63" s="31"/>
      <c r="D63" s="31"/>
      <c r="E63" s="32"/>
      <c r="F63" s="33">
        <f>F62</f>
        <v>347222.90999999992</v>
      </c>
      <c r="G63" s="33">
        <f>G62</f>
        <v>96.36</v>
      </c>
      <c r="H63" s="26"/>
      <c r="I63" s="26"/>
      <c r="J63" s="26"/>
      <c r="K63" s="26"/>
    </row>
    <row r="64" spans="2:11">
      <c r="B64" s="34" t="s">
        <v>156</v>
      </c>
      <c r="C64" s="35"/>
      <c r="D64" s="35"/>
      <c r="E64" s="36"/>
      <c r="F64" s="37"/>
      <c r="G64" s="37"/>
      <c r="H64" s="26"/>
      <c r="I64" s="26"/>
      <c r="J64" s="26"/>
      <c r="K64" s="26"/>
    </row>
    <row r="65" spans="2:11">
      <c r="B65" s="24" t="s">
        <v>156</v>
      </c>
      <c r="C65" s="24"/>
      <c r="D65" s="21"/>
      <c r="E65" s="22"/>
      <c r="F65" s="23">
        <v>13101.13</v>
      </c>
      <c r="G65" s="23">
        <v>3.64</v>
      </c>
      <c r="H65" s="26"/>
      <c r="I65" s="26"/>
      <c r="J65" s="26"/>
      <c r="K65" s="26"/>
    </row>
    <row r="66" spans="2:11">
      <c r="B66" s="27" t="s">
        <v>154</v>
      </c>
      <c r="C66" s="28"/>
      <c r="D66" s="28"/>
      <c r="E66" s="29"/>
      <c r="F66" s="30">
        <f>SUM(F64:F65)</f>
        <v>13101.13</v>
      </c>
      <c r="G66" s="30">
        <f>SUM(G64:G65)</f>
        <v>3.64</v>
      </c>
      <c r="H66" s="26"/>
      <c r="I66" s="26"/>
      <c r="J66" s="26"/>
      <c r="K66" s="26"/>
    </row>
    <row r="67" spans="2:11">
      <c r="B67" s="38" t="s">
        <v>155</v>
      </c>
      <c r="C67" s="38"/>
      <c r="D67" s="38"/>
      <c r="E67" s="39"/>
      <c r="F67" s="40">
        <f>F66</f>
        <v>13101.13</v>
      </c>
      <c r="G67" s="40">
        <f>G66</f>
        <v>3.64</v>
      </c>
      <c r="H67" s="26"/>
      <c r="I67" s="26"/>
      <c r="J67" s="26"/>
      <c r="K67" s="26"/>
    </row>
    <row r="68" spans="2:11">
      <c r="B68" s="41" t="s">
        <v>157</v>
      </c>
      <c r="C68" s="41"/>
      <c r="D68" s="41"/>
      <c r="E68" s="42"/>
      <c r="F68" s="43">
        <f>F69-(+F63+F67)</f>
        <v>-104.68999999994412</v>
      </c>
      <c r="G68" s="43">
        <f>G69-(+G63+G67)</f>
        <v>0</v>
      </c>
      <c r="H68" s="26"/>
      <c r="I68" s="26"/>
      <c r="J68" s="26"/>
      <c r="K68" s="26"/>
    </row>
    <row r="69" spans="2:11">
      <c r="B69" s="41" t="s">
        <v>158</v>
      </c>
      <c r="C69" s="41"/>
      <c r="D69" s="41"/>
      <c r="E69" s="42"/>
      <c r="F69" s="43">
        <v>360219.35</v>
      </c>
      <c r="G69" s="43">
        <v>100</v>
      </c>
      <c r="H69" s="26"/>
      <c r="I69" s="26"/>
      <c r="J69" s="26"/>
      <c r="K69" s="26"/>
    </row>
    <row r="71" spans="2:11">
      <c r="B71" s="4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14:58:18</KDate>
  <Classification>Public</Classification>
  <Subclassification/>
  <HostName>MUMCMP00935</HostName>
  <Domain_User>CANARAROBECOMF/628</Domain_User>
  <IPAdd>192.9.198.194</IPAdd>
  <FilePath>Book3</FilePath>
  <KID>C025A5607E97637902106981420472</KID>
  <UniqueName/>
  <Suggested/>
  <Justification/>
</Klassify>
</file>

<file path=customXml/itemProps1.xml><?xml version="1.0" encoding="utf-8"?>
<ds:datastoreItem xmlns:ds="http://schemas.openxmlformats.org/officeDocument/2006/customXml" ds:itemID="{B04D6FB7-1E9C-4A7F-80DF-5ACBF121A1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2022-06-07T09:28:12Z</dcterms:created>
  <dcterms:modified xsi:type="dcterms:W3CDTF">2022-06-07T09:28:18Z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C025A5607E97637902106981420472</vt:lpwstr>
  </property>
</Properties>
</file>