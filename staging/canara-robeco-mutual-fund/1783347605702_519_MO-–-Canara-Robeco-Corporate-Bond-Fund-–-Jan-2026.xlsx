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6733B60F-3F32-4CC0-9C27-C290B3EE377E}" xr6:coauthVersionLast="47" xr6:coauthVersionMax="47" xr10:uidLastSave="{00000000-0000-0000-0000-000000000000}"/>
  <bookViews>
    <workbookView xWindow="-110" yWindow="-110" windowWidth="19420" windowHeight="10300" xr2:uid="{75533F48-5038-4431-B49A-FC4585EA933B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5" i="1" s="1"/>
  <c r="F34" i="1"/>
  <c r="F35" i="1" s="1"/>
  <c r="G31" i="1"/>
  <c r="F31" i="1"/>
  <c r="G28" i="1"/>
  <c r="F28" i="1"/>
  <c r="G23" i="1"/>
  <c r="F23" i="1"/>
  <c r="G22" i="1"/>
  <c r="F22" i="1"/>
  <c r="G17" i="1"/>
  <c r="G18" i="1" s="1"/>
  <c r="G36" i="1" s="1"/>
  <c r="F17" i="1"/>
  <c r="F18" i="1" s="1"/>
  <c r="F3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<sst xmlns="http://schemas.openxmlformats.org/spreadsheetml/2006/main" count="93" uniqueCount="74">
  <si>
    <t>CANARA ROBECO CORPORATE BOND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</si>
  <si>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</si>
  <si>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</si>
  <si>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</si>
  <si>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</si>
  <si>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</si>
  <si>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</si>
  <si>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</si>
  <si>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</si>
  <si>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</si>
  <si>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</si>
  <si>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</si>
  <si>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</si>
  <si>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</si>
  <si>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</si>
  <si>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</si>
  <si>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</si>
  <si>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</si>
  <si>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</si>
  <si>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</si>
  <si>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</si>
  <si>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</si>
  <si>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</si>
  <si>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</si>
  <si>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</si>
  <si>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7.63% Grasim industries Ltd (01/12/2027) **</t>
  </si>
  <si>
    <t>INE047A08208</t>
  </si>
  <si>
    <t>7.68% LIC Housing Finance Ltd (29/05/2034) **</t>
  </si>
  <si>
    <t>INE115A07QR5</t>
  </si>
  <si>
    <t>Moderate 
(Class II)</t>
  </si>
  <si>
    <t>8.23% Kotak Mahindra Prime Ltd (21/12/2026) **</t>
  </si>
  <si>
    <t>INE916DA7SP4</t>
  </si>
  <si>
    <t>7.59% Small Industries Development Bank Of India (10/02/2026) **</t>
  </si>
  <si>
    <t>INE556F08KG3</t>
  </si>
  <si>
    <t>Relatively High (Class III)</t>
  </si>
  <si>
    <t>B-III</t>
  </si>
  <si>
    <t>7.51% REC Ltd (31/07/2026) **</t>
  </si>
  <si>
    <t>INE020B08EI8</t>
  </si>
  <si>
    <t>8.45% Indian Railway Finance Corporation Ltd (04/12/2028) **</t>
  </si>
  <si>
    <t>INE053F07AY7</t>
  </si>
  <si>
    <t>Benchmark: CRISIL Corporate Debt A-II Index</t>
  </si>
  <si>
    <t>8.55% HDFC Bank Ltd (27/03/2029) **</t>
  </si>
  <si>
    <t>INE040A08724</t>
  </si>
  <si>
    <t>7.48% National Bank For Agriculture &amp; Rural Development (15/09/2028)</t>
  </si>
  <si>
    <t>INE261F08EO7</t>
  </si>
  <si>
    <t>7.3763% BAJAJ FINANCE LTD 26-JUN-28 **</t>
  </si>
  <si>
    <t>INE296A07TJ4</t>
  </si>
  <si>
    <t>Sub Total</t>
  </si>
  <si>
    <t>Total</t>
  </si>
  <si>
    <t>Money Market Instruments</t>
  </si>
  <si>
    <t>Treasury Bill</t>
  </si>
  <si>
    <t>364 DTB (10-SEP-2026)</t>
  </si>
  <si>
    <t>IN002025Z245</t>
  </si>
  <si>
    <t xml:space="preserve"> Sovereign</t>
  </si>
  <si>
    <t>Government Bonds</t>
  </si>
  <si>
    <t>6.48% GOI 2035 (06-OCT-2035)</t>
  </si>
  <si>
    <t>IN0020250091</t>
  </si>
  <si>
    <t>Sovereign</t>
  </si>
  <si>
    <t>6.79% GOI 2031 (30-DEC-2031)</t>
  </si>
  <si>
    <t>IN0020240191</t>
  </si>
  <si>
    <t>7.26% TAMIL NADU SDL 24-SEP-35</t>
  </si>
  <si>
    <t>IN3120250300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</si>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</sst>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43" fontId="4" fillId="3" borderId="0" xfId="1" applyFont="1" applyFill="1"/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3" fillId="5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E51C-3DB5-4A99-9612-1003B41090F3}">
  <dimension ref="B1:S49"/>
  <sheetViews>
    <sheetView tabSelected="1" topLeftCell="A31" workbookViewId="0">
      <selection activeCell="B47" sqref="B47:B49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5429687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9.1796875" style="3"/>
    <col min="16" max="16" width="13" style="3" customWidth="1"/>
    <col min="17" max="16384" width="9.1796875" style="3"/>
  </cols>
  <sheetData>
    <row r="1" spans="2:19" ht="21" customHeight="1" x14ac:dyDescent="0.25">
      <c r="B1" s="1" t="s">
        <v>0</v>
      </c>
      <c r="C1" s="2"/>
      <c r="D1" s="2"/>
      <c r="E1" s="2"/>
      <c r="F1" s="2"/>
      <c r="G1" s="2"/>
      <c r="H1" s="2"/>
    </row>
    <row r="3" spans="2:19" ht="16" thickBot="1" x14ac:dyDescent="0.3">
      <c r="B3" s="4" t="s">
        <v>1</v>
      </c>
      <c r="C3" s="5"/>
      <c r="D3" s="6"/>
      <c r="E3" s="6"/>
      <c r="F3" s="7"/>
      <c r="G3" s="7"/>
    </row>
    <row r="4" spans="2:19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5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3" x14ac:dyDescent="0.25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3"/>
      <c r="R6" s="23"/>
      <c r="S6" s="23"/>
    </row>
    <row r="7" spans="2:19" x14ac:dyDescent="0.25">
      <c r="B7" s="25" t="s">
        <v>21</v>
      </c>
      <c r="C7" s="25" t="s">
        <v>22</v>
      </c>
      <c r="D7" s="25" t="s">
        <v>23</v>
      </c>
      <c r="E7" s="29">
        <v>1000</v>
      </c>
      <c r="F7" s="26">
        <v>1017.68</v>
      </c>
      <c r="G7" s="26">
        <v>9.19</v>
      </c>
      <c r="H7" s="26">
        <v>7.37</v>
      </c>
      <c r="K7" s="27"/>
      <c r="L7" s="21"/>
      <c r="M7" s="27"/>
      <c r="N7" s="21"/>
      <c r="P7" s="30" t="s">
        <v>24</v>
      </c>
      <c r="Q7" s="31"/>
      <c r="R7" s="31"/>
      <c r="S7" s="31"/>
    </row>
    <row r="8" spans="2:19" x14ac:dyDescent="0.25">
      <c r="B8" s="25" t="s">
        <v>25</v>
      </c>
      <c r="C8" s="25" t="s">
        <v>26</v>
      </c>
      <c r="D8" s="25" t="s">
        <v>23</v>
      </c>
      <c r="E8" s="29">
        <v>100</v>
      </c>
      <c r="F8" s="26">
        <v>1008.02</v>
      </c>
      <c r="G8" s="26">
        <v>9.1</v>
      </c>
      <c r="H8" s="26">
        <v>7.13</v>
      </c>
      <c r="K8" s="27"/>
      <c r="L8" s="21"/>
      <c r="M8" s="27"/>
      <c r="N8" s="21"/>
      <c r="P8" s="30"/>
      <c r="Q8" s="32"/>
      <c r="R8" s="32"/>
      <c r="S8" s="32"/>
    </row>
    <row r="9" spans="2:19" x14ac:dyDescent="0.25">
      <c r="B9" s="25" t="s">
        <v>27</v>
      </c>
      <c r="C9" s="25" t="s">
        <v>28</v>
      </c>
      <c r="D9" s="25" t="s">
        <v>23</v>
      </c>
      <c r="E9" s="29">
        <v>1000</v>
      </c>
      <c r="F9" s="26">
        <v>1007.52</v>
      </c>
      <c r="G9" s="26">
        <v>9.1</v>
      </c>
      <c r="H9" s="26">
        <v>7.55</v>
      </c>
      <c r="K9" s="27"/>
      <c r="L9" s="21"/>
      <c r="M9" s="27"/>
      <c r="N9" s="21"/>
      <c r="P9" s="30" t="s">
        <v>29</v>
      </c>
      <c r="Q9" s="31"/>
      <c r="R9" s="31"/>
      <c r="S9" s="31"/>
    </row>
    <row r="10" spans="2:19" x14ac:dyDescent="0.25">
      <c r="B10" s="25" t="s">
        <v>30</v>
      </c>
      <c r="C10" s="25" t="s">
        <v>31</v>
      </c>
      <c r="D10" s="25" t="s">
        <v>23</v>
      </c>
      <c r="E10" s="29">
        <v>1000</v>
      </c>
      <c r="F10" s="26">
        <v>1005.57</v>
      </c>
      <c r="G10" s="26">
        <v>9.08</v>
      </c>
      <c r="H10" s="26">
        <v>7.49</v>
      </c>
      <c r="K10" s="27"/>
      <c r="L10" s="21"/>
      <c r="M10" s="27"/>
      <c r="N10" s="21"/>
      <c r="P10" s="30"/>
      <c r="Q10" s="32"/>
      <c r="R10" s="32"/>
      <c r="S10" s="32"/>
    </row>
    <row r="11" spans="2:19" x14ac:dyDescent="0.25">
      <c r="B11" s="25" t="s">
        <v>32</v>
      </c>
      <c r="C11" s="25" t="s">
        <v>33</v>
      </c>
      <c r="D11" s="25" t="s">
        <v>23</v>
      </c>
      <c r="E11" s="29">
        <v>1000</v>
      </c>
      <c r="F11" s="26">
        <v>1000.17</v>
      </c>
      <c r="G11" s="26">
        <v>9.0299999999999994</v>
      </c>
      <c r="H11" s="26">
        <v>6.87</v>
      </c>
      <c r="K11" s="27"/>
      <c r="L11" s="21"/>
      <c r="M11" s="27"/>
      <c r="N11" s="21"/>
      <c r="P11" s="30" t="s">
        <v>34</v>
      </c>
      <c r="Q11" s="31"/>
      <c r="R11" s="33" t="s">
        <v>35</v>
      </c>
      <c r="S11" s="31"/>
    </row>
    <row r="12" spans="2:19" x14ac:dyDescent="0.25">
      <c r="B12" s="25" t="s">
        <v>36</v>
      </c>
      <c r="C12" s="25" t="s">
        <v>37</v>
      </c>
      <c r="D12" s="25" t="s">
        <v>23</v>
      </c>
      <c r="E12" s="29">
        <v>1000</v>
      </c>
      <c r="F12" s="26">
        <v>999.41</v>
      </c>
      <c r="G12" s="26">
        <v>9.02</v>
      </c>
      <c r="H12" s="26">
        <v>7.36</v>
      </c>
      <c r="K12" s="34"/>
      <c r="L12" s="21"/>
      <c r="M12" s="34"/>
      <c r="N12" s="21"/>
      <c r="P12" s="30"/>
      <c r="Q12" s="32"/>
      <c r="R12" s="35"/>
      <c r="S12" s="32"/>
    </row>
    <row r="13" spans="2:19" x14ac:dyDescent="0.25">
      <c r="B13" s="25" t="s">
        <v>38</v>
      </c>
      <c r="C13" s="25" t="s">
        <v>39</v>
      </c>
      <c r="D13" s="25" t="s">
        <v>23</v>
      </c>
      <c r="E13" s="29">
        <v>50</v>
      </c>
      <c r="F13" s="26">
        <v>516.80999999999995</v>
      </c>
      <c r="G13" s="26">
        <v>4.67</v>
      </c>
      <c r="H13" s="26">
        <v>7.09</v>
      </c>
      <c r="K13" s="36"/>
      <c r="L13" s="3" t="s">
        <v>40</v>
      </c>
      <c r="M13" s="36"/>
      <c r="N13" s="36"/>
    </row>
    <row r="14" spans="2:19" x14ac:dyDescent="0.25">
      <c r="B14" s="25" t="s">
        <v>41</v>
      </c>
      <c r="C14" s="25" t="s">
        <v>42</v>
      </c>
      <c r="D14" s="25" t="s">
        <v>23</v>
      </c>
      <c r="E14" s="29">
        <v>50</v>
      </c>
      <c r="F14" s="26">
        <v>516.28</v>
      </c>
      <c r="G14" s="26">
        <v>4.66</v>
      </c>
      <c r="H14" s="26">
        <v>7.34</v>
      </c>
    </row>
    <row r="15" spans="2:19" x14ac:dyDescent="0.25">
      <c r="B15" s="25" t="s">
        <v>43</v>
      </c>
      <c r="C15" s="25" t="s">
        <v>44</v>
      </c>
      <c r="D15" s="25" t="s">
        <v>23</v>
      </c>
      <c r="E15" s="29">
        <v>500</v>
      </c>
      <c r="F15" s="26">
        <v>503.17</v>
      </c>
      <c r="G15" s="26">
        <v>4.54</v>
      </c>
      <c r="H15" s="26">
        <v>7.18</v>
      </c>
    </row>
    <row r="16" spans="2:19" x14ac:dyDescent="0.25">
      <c r="B16" s="25" t="s">
        <v>45</v>
      </c>
      <c r="C16" s="25" t="s">
        <v>46</v>
      </c>
      <c r="D16" s="25" t="s">
        <v>23</v>
      </c>
      <c r="E16" s="29">
        <v>500</v>
      </c>
      <c r="F16" s="26">
        <v>497.95</v>
      </c>
      <c r="G16" s="26">
        <v>4.5</v>
      </c>
      <c r="H16" s="26">
        <v>7.52</v>
      </c>
    </row>
    <row r="17" spans="2:9" x14ac:dyDescent="0.25">
      <c r="B17" s="37" t="s">
        <v>47</v>
      </c>
      <c r="C17" s="37"/>
      <c r="D17" s="37"/>
      <c r="E17" s="37"/>
      <c r="F17" s="38">
        <f>SUM(F6:F16)</f>
        <v>8072.58</v>
      </c>
      <c r="G17" s="38">
        <f>SUM(G6:G16)</f>
        <v>72.89</v>
      </c>
      <c r="H17" s="39"/>
      <c r="I17" s="40"/>
    </row>
    <row r="18" spans="2:9" x14ac:dyDescent="0.25">
      <c r="B18" s="41" t="s">
        <v>48</v>
      </c>
      <c r="C18" s="41"/>
      <c r="D18" s="41"/>
      <c r="E18" s="41"/>
      <c r="F18" s="42">
        <f>F17</f>
        <v>8072.58</v>
      </c>
      <c r="G18" s="42">
        <f>G17</f>
        <v>72.89</v>
      </c>
      <c r="H18" s="42"/>
      <c r="I18" s="40"/>
    </row>
    <row r="19" spans="2:9" x14ac:dyDescent="0.25">
      <c r="B19" s="24" t="s">
        <v>49</v>
      </c>
      <c r="C19" s="25"/>
      <c r="D19" s="25"/>
      <c r="E19" s="25"/>
      <c r="F19" s="26"/>
      <c r="G19" s="26"/>
      <c r="H19" s="26"/>
    </row>
    <row r="20" spans="2:9" x14ac:dyDescent="0.25">
      <c r="B20" s="24" t="s">
        <v>50</v>
      </c>
      <c r="C20" s="25"/>
      <c r="D20" s="25"/>
      <c r="E20" s="25"/>
      <c r="F20" s="26"/>
      <c r="G20" s="26"/>
      <c r="H20" s="26"/>
    </row>
    <row r="21" spans="2:9" x14ac:dyDescent="0.25">
      <c r="B21" s="25" t="s">
        <v>51</v>
      </c>
      <c r="C21" s="25" t="s">
        <v>52</v>
      </c>
      <c r="D21" s="25" t="s">
        <v>53</v>
      </c>
      <c r="E21" s="29">
        <v>100000</v>
      </c>
      <c r="F21" s="26">
        <v>96.72</v>
      </c>
      <c r="G21" s="26">
        <v>0.87</v>
      </c>
      <c r="H21" s="26">
        <v>5.6</v>
      </c>
    </row>
    <row r="22" spans="2:9" x14ac:dyDescent="0.25">
      <c r="B22" s="37" t="s">
        <v>47</v>
      </c>
      <c r="C22" s="37"/>
      <c r="D22" s="37"/>
      <c r="E22" s="37"/>
      <c r="F22" s="38">
        <f>SUM(F20:F21)</f>
        <v>96.72</v>
      </c>
      <c r="G22" s="38">
        <f>SUM(G20:G21)</f>
        <v>0.87</v>
      </c>
      <c r="H22" s="39"/>
      <c r="I22" s="40"/>
    </row>
    <row r="23" spans="2:9" x14ac:dyDescent="0.25">
      <c r="B23" s="41" t="s">
        <v>48</v>
      </c>
      <c r="C23" s="41"/>
      <c r="D23" s="41"/>
      <c r="E23" s="41"/>
      <c r="F23" s="42">
        <f>+F22</f>
        <v>96.72</v>
      </c>
      <c r="G23" s="42">
        <f>+G22</f>
        <v>0.87</v>
      </c>
      <c r="H23" s="42"/>
      <c r="I23" s="40"/>
    </row>
    <row r="24" spans="2:9" x14ac:dyDescent="0.25">
      <c r="B24" s="24" t="s">
        <v>54</v>
      </c>
      <c r="C24" s="25"/>
      <c r="D24" s="25"/>
      <c r="E24" s="25"/>
      <c r="F24" s="26"/>
      <c r="G24" s="26"/>
      <c r="H24" s="26"/>
    </row>
    <row r="25" spans="2:9" x14ac:dyDescent="0.25">
      <c r="B25" s="25" t="s">
        <v>55</v>
      </c>
      <c r="C25" s="25" t="s">
        <v>56</v>
      </c>
      <c r="D25" s="25" t="s">
        <v>57</v>
      </c>
      <c r="E25" s="29">
        <v>1000000</v>
      </c>
      <c r="F25" s="26">
        <v>984.73</v>
      </c>
      <c r="G25" s="26">
        <v>8.89</v>
      </c>
      <c r="H25" s="26">
        <v>6.81</v>
      </c>
    </row>
    <row r="26" spans="2:9" x14ac:dyDescent="0.25">
      <c r="B26" s="25" t="s">
        <v>58</v>
      </c>
      <c r="C26" s="25" t="s">
        <v>59</v>
      </c>
      <c r="D26" s="25" t="s">
        <v>57</v>
      </c>
      <c r="E26" s="29">
        <v>500000</v>
      </c>
      <c r="F26" s="26">
        <v>505.17</v>
      </c>
      <c r="G26" s="26">
        <v>4.5599999999999996</v>
      </c>
      <c r="H26" s="26">
        <v>6.68</v>
      </c>
    </row>
    <row r="27" spans="2:9" x14ac:dyDescent="0.25">
      <c r="B27" s="43" t="s">
        <v>60</v>
      </c>
      <c r="C27" s="43" t="s">
        <v>61</v>
      </c>
      <c r="D27" s="43" t="s">
        <v>57</v>
      </c>
      <c r="E27" s="44">
        <v>500000</v>
      </c>
      <c r="F27" s="45">
        <v>494.19</v>
      </c>
      <c r="G27" s="45">
        <v>4.46</v>
      </c>
      <c r="H27" s="45">
        <v>7.57</v>
      </c>
    </row>
    <row r="28" spans="2:9" x14ac:dyDescent="0.25">
      <c r="B28" s="46" t="s">
        <v>48</v>
      </c>
      <c r="C28" s="46"/>
      <c r="D28" s="46"/>
      <c r="E28" s="46"/>
      <c r="F28" s="47">
        <f>SUM(F25:F27)</f>
        <v>1984.0900000000001</v>
      </c>
      <c r="G28" s="47">
        <f>SUM(G25:G27)</f>
        <v>17.91</v>
      </c>
      <c r="H28" s="47"/>
      <c r="I28" s="40"/>
    </row>
    <row r="29" spans="2:9" x14ac:dyDescent="0.25">
      <c r="B29" s="24" t="s">
        <v>62</v>
      </c>
      <c r="C29" s="25"/>
      <c r="D29" s="25"/>
      <c r="E29" s="25"/>
      <c r="F29" s="26"/>
      <c r="G29" s="26"/>
      <c r="H29" s="26"/>
    </row>
    <row r="30" spans="2:9" x14ac:dyDescent="0.25">
      <c r="B30" s="43" t="s">
        <v>63</v>
      </c>
      <c r="C30" s="43" t="s">
        <v>64</v>
      </c>
      <c r="D30" s="43" t="s">
        <v>62</v>
      </c>
      <c r="E30" s="44">
        <v>488.87599999999998</v>
      </c>
      <c r="F30" s="45">
        <v>56.7</v>
      </c>
      <c r="G30" s="45">
        <v>0.51</v>
      </c>
      <c r="H30" s="45">
        <v>5.59</v>
      </c>
    </row>
    <row r="31" spans="2:9" x14ac:dyDescent="0.25">
      <c r="B31" s="46" t="s">
        <v>48</v>
      </c>
      <c r="C31" s="46"/>
      <c r="D31" s="46"/>
      <c r="E31" s="46"/>
      <c r="F31" s="47">
        <f>SUM(F30:F30)</f>
        <v>56.7</v>
      </c>
      <c r="G31" s="47">
        <f>SUM(G30:G30)</f>
        <v>0.51</v>
      </c>
      <c r="H31" s="47"/>
      <c r="I31" s="40"/>
    </row>
    <row r="32" spans="2:9" x14ac:dyDescent="0.25">
      <c r="B32" s="24" t="s">
        <v>65</v>
      </c>
      <c r="C32" s="25"/>
      <c r="D32" s="25"/>
      <c r="E32" s="25"/>
      <c r="F32" s="26"/>
      <c r="G32" s="26"/>
      <c r="H32" s="26"/>
    </row>
    <row r="33" spans="2:9" x14ac:dyDescent="0.25">
      <c r="B33" s="25" t="s">
        <v>65</v>
      </c>
      <c r="C33" s="25"/>
      <c r="D33" s="25"/>
      <c r="E33" s="25"/>
      <c r="F33" s="26">
        <v>542.02</v>
      </c>
      <c r="G33" s="26">
        <v>4.8899999999999997</v>
      </c>
      <c r="H33" s="26"/>
    </row>
    <row r="34" spans="2:9" x14ac:dyDescent="0.25">
      <c r="B34" s="37" t="s">
        <v>47</v>
      </c>
      <c r="C34" s="37"/>
      <c r="D34" s="37"/>
      <c r="E34" s="37"/>
      <c r="F34" s="38">
        <f>SUM(F32:F33)</f>
        <v>542.02</v>
      </c>
      <c r="G34" s="38">
        <f>SUM(G32:G33)</f>
        <v>4.8899999999999997</v>
      </c>
      <c r="H34" s="39"/>
      <c r="I34" s="40"/>
    </row>
    <row r="35" spans="2:9" x14ac:dyDescent="0.25">
      <c r="B35" s="48" t="s">
        <v>48</v>
      </c>
      <c r="C35" s="48"/>
      <c r="D35" s="48"/>
      <c r="E35" s="48"/>
      <c r="F35" s="49">
        <f>F34</f>
        <v>542.02</v>
      </c>
      <c r="G35" s="49">
        <f>G34</f>
        <v>4.8899999999999997</v>
      </c>
      <c r="H35" s="49"/>
      <c r="I35" s="40"/>
    </row>
    <row r="36" spans="2:9" x14ac:dyDescent="0.25">
      <c r="B36" s="50" t="s">
        <v>66</v>
      </c>
      <c r="C36" s="50"/>
      <c r="D36" s="50"/>
      <c r="E36" s="50"/>
      <c r="F36" s="51">
        <f>F37-(+F18+F23+F28+F31+F35)</f>
        <v>322.18999999999869</v>
      </c>
      <c r="G36" s="51">
        <f>G37-(+G18+G23+G28+G31+G35)</f>
        <v>2.9299999999999926</v>
      </c>
      <c r="H36" s="51"/>
      <c r="I36" s="40"/>
    </row>
    <row r="37" spans="2:9" x14ac:dyDescent="0.25">
      <c r="B37" s="50" t="s">
        <v>67</v>
      </c>
      <c r="C37" s="50"/>
      <c r="D37" s="50"/>
      <c r="E37" s="50"/>
      <c r="F37" s="51">
        <v>11074.3</v>
      </c>
      <c r="G37" s="51">
        <v>100</v>
      </c>
      <c r="H37" s="51"/>
      <c r="I37" s="40"/>
    </row>
    <row r="39" spans="2:9" x14ac:dyDescent="0.25">
      <c r="B39" s="40" t="s">
        <v>68</v>
      </c>
    </row>
    <row r="40" spans="2:9" ht="12" thickBot="1" x14ac:dyDescent="0.3"/>
    <row r="41" spans="2:9" ht="12.5" thickTop="1" thickBot="1" x14ac:dyDescent="0.3">
      <c r="B41" s="52" t="s">
        <v>69</v>
      </c>
      <c r="C41" s="53">
        <v>2.9230999999999998</v>
      </c>
    </row>
    <row r="42" spans="2:9" ht="12.5" thickTop="1" thickBot="1" x14ac:dyDescent="0.3"/>
    <row r="43" spans="2:9" ht="12.5" thickTop="1" thickBot="1" x14ac:dyDescent="0.3">
      <c r="B43" s="52" t="s">
        <v>70</v>
      </c>
      <c r="C43" s="54">
        <v>7.0400000000000004E-2</v>
      </c>
    </row>
    <row r="44" spans="2:9" ht="12.5" thickTop="1" thickBot="1" x14ac:dyDescent="0.3"/>
    <row r="45" spans="2:9" ht="12.5" thickTop="1" thickBot="1" x14ac:dyDescent="0.3">
      <c r="B45" s="52" t="s">
        <v>71</v>
      </c>
      <c r="C45" s="53">
        <v>3.0882999999999998</v>
      </c>
    </row>
    <row r="46" spans="2:9" ht="12" thickTop="1" x14ac:dyDescent="0.25"/>
    <row r="47" spans="2:9" x14ac:dyDescent="0.25">
      <c r="B47" s="40" t="s">
        <v>72</v>
      </c>
    </row>
    <row r="49" spans="2:2" ht="14.5" x14ac:dyDescent="0.35">
      <c r="B49" s="55" t="s">
        <v>73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49" r:id="rId1" tooltip="Original URL: https://www.canararobeco.com/docs/default-source/default-document-library/Scheme_Performance_January_26.pdf. Click or tap if you trust this link." xr:uid="{A4B9CD44-98D4-4AAE-9DFE-F0FCA3119A74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09:32:21</KDate>
  <Classification>MIS INTERNAL</Classification>
  <Subclassification/>
  <HostName>MUMCMP01395</HostName>
  <Domain_User>CANARAROBECOMF/844</Domain_User>
  <IPAdd>192.9.198.93</IPAdd>
  <FilePath>Book25</FilePath>
  <KID>2800AFD739B7639062263412987413</KID>
  <UniqueName/>
  <Suggested/>
  <Justification/>
  <KlassifyGUID/>
</Klassify>
</file>

<file path=customXml/itemProps1.xml><?xml version="1.0" encoding="utf-8"?>
<ds:datastoreItem xmlns:ds="http://schemas.openxmlformats.org/officeDocument/2006/customXml" ds:itemID="{F3D66205-3E16-45DB-88BD-B130DF4C25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2026-02-09T04:02:18Z</dcterms:created>
  <dcterms:modified xsi:type="dcterms:W3CDTF">2026-02-09T04:02:21Z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2800AFD739B7639062263412987413</vt:lpwstr>
  </property>
</Properties>
</file>