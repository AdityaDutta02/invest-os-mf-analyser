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Nov 21\"/>
    </mc:Choice>
  </mc:AlternateContent>
  <bookViews>
    <workbookView xWindow="0" yWindow="0" windowWidth="20490" windowHeight="7350"/>
  </bookViews>
  <sheets>
    <sheet name="D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G23" i="1" s="1"/>
  <c r="F22" i="1"/>
  <c r="F23" i="1" s="1"/>
  <c r="G19" i="1"/>
  <c r="F19" i="1"/>
  <c r="G9" i="1"/>
  <c r="G10" i="1" s="1"/>
  <c r="G24" i="1" s="1"/>
  <c r="F9" i="1"/>
  <c r="F10" i="1" s="1"/>
  <c r="F24" i="1" s="1"/>
</calcChain>
</file>

<file path=xl/sharedStrings.xml><?xml version="1.0" encoding="utf-8"?>
<sst xmlns="http://schemas.openxmlformats.org/spreadsheetml/2006/main" count="64" uniqueCount="54">
  <si>
    <t>CANARA ROBECO DYNAMIC BOND FUND</t>
  </si>
  <si>
    <t>Monthly Portfolio Statement as on November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</si>
  <si>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</si>
  <si>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</si>
  <si>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</si>
  <si>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</si>
  <si>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</si>
  <si>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</si>
  <si>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</si>
  <si>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Risk-o-meter Level- Oct'21</t>
  </si>
  <si>
    <t>Revised Risk-o-meter Level- Nov'21</t>
  </si>
  <si>
    <t>Benchmark Risk-o-meter Level- Nov'21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</si>
  <si>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</si>
  <si>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</si>
  <si>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</si>
  <si>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</si>
  <si>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</si>
  <si>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</si>
  <si>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</si>
  <si>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</si>
  <si>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7.21% Housing Development Finance Corporation Ltd (30/12/2022) **</t>
  </si>
  <si>
    <t>INE001A07SD3</t>
  </si>
  <si>
    <t>CRISIL AAA</t>
  </si>
  <si>
    <t>Relatively Low (Class I)</t>
  </si>
  <si>
    <t>8.81% Small Industries Development Bank Of India (25/01/2022) **</t>
  </si>
  <si>
    <t>INE556F08JI1</t>
  </si>
  <si>
    <t>CARE AAA</t>
  </si>
  <si>
    <t>Sub Total</t>
  </si>
  <si>
    <t>Moderate 
(Class II)</t>
  </si>
  <si>
    <t>Total</t>
  </si>
  <si>
    <t>Government Bonds</t>
  </si>
  <si>
    <t>Relatively High (Class III)</t>
  </si>
  <si>
    <t>B-III</t>
  </si>
  <si>
    <t>8.20% GOI (15/02/2022)</t>
  </si>
  <si>
    <t>IN0020060037</t>
  </si>
  <si>
    <t>Sovereign</t>
  </si>
  <si>
    <t>5.63% GOI (12/04/2026)</t>
  </si>
  <si>
    <t>IN0020210012</t>
  </si>
  <si>
    <t>Benchmark: CRISIL Composite Bond Fund Index</t>
  </si>
  <si>
    <t>5.74% GOI (15/11/2026)</t>
  </si>
  <si>
    <t>IN0020210186</t>
  </si>
  <si>
    <t>Note: The risk-o-meter level of the scheme is revised based on the Notice-cum-Addendum No.42, dated 8th Dec 2021. However, there is no change in the product labelling of the scheme.</t>
  </si>
  <si>
    <t>7.57% GOI (17/06/2033)</t>
  </si>
  <si>
    <t>IN0020190065</t>
  </si>
  <si>
    <t>6.10% INDIA GOVERNMENT 12-JUL-31</t>
  </si>
  <si>
    <t>IN0020210095</t>
  </si>
  <si>
    <t>7.17% GOI (08/01/2028)</t>
  </si>
  <si>
    <t>IN0020170174</t>
  </si>
  <si>
    <t>6.68% GOI (17/09/2031)</t>
  </si>
  <si>
    <t>IN0020170042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</si>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</sst>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i/>
      <sz val="10"/>
      <name val="Taz SemiLight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10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0" borderId="5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4" borderId="1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left" wrapText="1"/>
    </xf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28575</xdr:colOff>
      <xdr:row>4</xdr:row>
      <xdr:rowOff>38100</xdr:rowOff>
    </xdr:from>
    <xdr:to>
      <xdr:col>10</xdr:col>
      <xdr:colOff>1666875</xdr:colOff>
      <xdr:row>9</xdr:row>
      <xdr:rowOff>123825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1816F270-1C4A-407E-9945-62751D23B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7625" y="1047750"/>
          <a:ext cx="16383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28575</xdr:colOff>
      <xdr:row>4</xdr:row>
      <xdr:rowOff>38100</xdr:rowOff>
    </xdr:from>
    <xdr:to>
      <xdr:col>11</xdr:col>
      <xdr:colOff>1666875</xdr:colOff>
      <xdr:row>9</xdr:row>
      <xdr:rowOff>123825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35F02994-20C4-4F75-AE1D-3EB3830B5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73075" y="1047750"/>
          <a:ext cx="16383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38100</xdr:colOff>
      <xdr:row>4</xdr:row>
      <xdr:rowOff>28575</xdr:rowOff>
    </xdr:from>
    <xdr:to>
      <xdr:col>9</xdr:col>
      <xdr:colOff>1685925</xdr:colOff>
      <xdr:row>9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E4619-4D6D-4CF2-87C4-CD8D210CB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38225"/>
          <a:ext cx="16478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7"/>
  <sheetViews>
    <sheetView tabSelected="1" workbookViewId="0">
      <selection activeCell="A15" sqref="A15"/>
    </sheetView>
  </sheetViews>
  <sheetFormatPr defaultRowHeight="12"/>
  <cols>
    <col min="1" max="1" width="9.140625" style="4"/>
    <col min="2" max="2" width="61" style="4" bestFit="1" customWidth="1"/>
    <col min="3" max="3" width="13.42578125" style="4" bestFit="1" customWidth="1"/>
    <col min="4" max="4" width="14.140625" style="4" bestFit="1" customWidth="1"/>
    <col min="5" max="5" width="8.85546875" style="61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10" style="3" bestFit="1" customWidth="1"/>
    <col min="10" max="10" width="25.85546875" style="3" customWidth="1"/>
    <col min="11" max="11" width="25.42578125" style="3" customWidth="1"/>
    <col min="12" max="12" width="25.7109375" style="3" customWidth="1"/>
    <col min="13" max="13" width="9.140625" style="4"/>
    <col min="14" max="14" width="12" style="4" customWidth="1"/>
    <col min="15" max="16384" width="9.140625" style="4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7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24">
      <c r="B6" s="27" t="s">
        <v>18</v>
      </c>
      <c r="C6" s="28"/>
      <c r="D6" s="28"/>
      <c r="E6" s="29"/>
      <c r="F6" s="30"/>
      <c r="G6" s="30"/>
      <c r="H6" s="30"/>
      <c r="J6" s="31"/>
      <c r="K6" s="31"/>
      <c r="L6" s="31"/>
      <c r="N6" s="32" t="s">
        <v>19</v>
      </c>
      <c r="O6" s="26"/>
      <c r="P6" s="26"/>
      <c r="Q6" s="26"/>
    </row>
    <row r="7" spans="2:17">
      <c r="B7" s="28" t="s">
        <v>20</v>
      </c>
      <c r="C7" s="28" t="s">
        <v>21</v>
      </c>
      <c r="D7" s="28" t="s">
        <v>22</v>
      </c>
      <c r="E7" s="33">
        <v>50</v>
      </c>
      <c r="F7" s="30">
        <v>512.59</v>
      </c>
      <c r="G7" s="30">
        <v>4.03</v>
      </c>
      <c r="H7" s="30">
        <v>4.75</v>
      </c>
      <c r="J7" s="31"/>
      <c r="K7" s="31"/>
      <c r="L7" s="31"/>
      <c r="N7" s="34" t="s">
        <v>23</v>
      </c>
      <c r="O7" s="35"/>
      <c r="P7" s="35"/>
      <c r="Q7" s="35"/>
    </row>
    <row r="8" spans="2:17">
      <c r="B8" s="28" t="s">
        <v>24</v>
      </c>
      <c r="C8" s="28" t="s">
        <v>25</v>
      </c>
      <c r="D8" s="28" t="s">
        <v>26</v>
      </c>
      <c r="E8" s="33">
        <v>50</v>
      </c>
      <c r="F8" s="30">
        <v>503.73</v>
      </c>
      <c r="G8" s="30">
        <v>3.96</v>
      </c>
      <c r="H8" s="30">
        <v>3.65</v>
      </c>
      <c r="J8" s="31"/>
      <c r="K8" s="31"/>
      <c r="L8" s="31"/>
      <c r="N8" s="34"/>
      <c r="O8" s="36"/>
      <c r="P8" s="36"/>
      <c r="Q8" s="36"/>
    </row>
    <row r="9" spans="2:17">
      <c r="B9" s="37" t="s">
        <v>27</v>
      </c>
      <c r="C9" s="37"/>
      <c r="D9" s="37"/>
      <c r="E9" s="38"/>
      <c r="F9" s="39">
        <f>SUM(F6:F8)</f>
        <v>1016.32</v>
      </c>
      <c r="G9" s="39">
        <f>SUM(G6:G8)</f>
        <v>7.99</v>
      </c>
      <c r="H9" s="40"/>
      <c r="J9" s="31"/>
      <c r="K9" s="31"/>
      <c r="L9" s="31"/>
      <c r="N9" s="34" t="s">
        <v>28</v>
      </c>
      <c r="O9" s="35"/>
      <c r="P9" s="35"/>
      <c r="Q9" s="35"/>
    </row>
    <row r="10" spans="2:17">
      <c r="B10" s="41" t="s">
        <v>29</v>
      </c>
      <c r="C10" s="41"/>
      <c r="D10" s="41"/>
      <c r="E10" s="42"/>
      <c r="F10" s="43">
        <f>F9</f>
        <v>1016.32</v>
      </c>
      <c r="G10" s="43">
        <f>G9</f>
        <v>7.99</v>
      </c>
      <c r="H10" s="43"/>
      <c r="J10" s="31"/>
      <c r="K10" s="31"/>
      <c r="L10" s="31"/>
      <c r="N10" s="34"/>
      <c r="O10" s="36"/>
      <c r="P10" s="36"/>
      <c r="Q10" s="36"/>
    </row>
    <row r="11" spans="2:17">
      <c r="B11" s="27" t="s">
        <v>30</v>
      </c>
      <c r="C11" s="28"/>
      <c r="D11" s="28"/>
      <c r="E11" s="29"/>
      <c r="F11" s="30"/>
      <c r="G11" s="30"/>
      <c r="H11" s="30"/>
      <c r="J11" s="31"/>
      <c r="K11" s="31"/>
      <c r="L11" s="31"/>
      <c r="N11" s="34" t="s">
        <v>31</v>
      </c>
      <c r="O11" s="35"/>
      <c r="P11" s="44" t="s">
        <v>32</v>
      </c>
      <c r="Q11" s="35"/>
    </row>
    <row r="12" spans="2:17">
      <c r="B12" s="28" t="s">
        <v>33</v>
      </c>
      <c r="C12" s="28" t="s">
        <v>34</v>
      </c>
      <c r="D12" s="28" t="s">
        <v>35</v>
      </c>
      <c r="E12" s="33">
        <v>4000000</v>
      </c>
      <c r="F12" s="30">
        <v>4037.22</v>
      </c>
      <c r="G12" s="30">
        <v>31.77</v>
      </c>
      <c r="H12" s="30">
        <v>3.63</v>
      </c>
      <c r="J12" s="45"/>
      <c r="K12" s="45"/>
      <c r="L12" s="45"/>
      <c r="N12" s="34"/>
      <c r="O12" s="36"/>
      <c r="P12" s="46"/>
      <c r="Q12" s="36"/>
    </row>
    <row r="13" spans="2:17">
      <c r="B13" s="28" t="s">
        <v>36</v>
      </c>
      <c r="C13" s="28" t="s">
        <v>37</v>
      </c>
      <c r="D13" s="28" t="s">
        <v>35</v>
      </c>
      <c r="E13" s="33">
        <v>1500000</v>
      </c>
      <c r="F13" s="30">
        <v>1498.97</v>
      </c>
      <c r="G13" s="30">
        <v>11.8</v>
      </c>
      <c r="H13" s="30">
        <v>5.65</v>
      </c>
      <c r="J13" s="4"/>
      <c r="K13" s="4"/>
      <c r="L13" s="4" t="s">
        <v>38</v>
      </c>
    </row>
    <row r="14" spans="2:17">
      <c r="B14" s="28" t="s">
        <v>39</v>
      </c>
      <c r="C14" s="28" t="s">
        <v>40</v>
      </c>
      <c r="D14" s="28" t="s">
        <v>35</v>
      </c>
      <c r="E14" s="33">
        <v>1000000</v>
      </c>
      <c r="F14" s="30">
        <v>1002.15</v>
      </c>
      <c r="G14" s="30">
        <v>7.89</v>
      </c>
      <c r="H14" s="30">
        <v>5.69</v>
      </c>
      <c r="J14" s="47" t="s">
        <v>41</v>
      </c>
      <c r="K14" s="47"/>
      <c r="L14" s="47"/>
      <c r="M14" s="47"/>
      <c r="N14" s="47"/>
    </row>
    <row r="15" spans="2:17">
      <c r="B15" s="28" t="s">
        <v>42</v>
      </c>
      <c r="C15" s="28" t="s">
        <v>43</v>
      </c>
      <c r="D15" s="28" t="s">
        <v>35</v>
      </c>
      <c r="E15" s="33">
        <v>600000</v>
      </c>
      <c r="F15" s="30">
        <v>644.4</v>
      </c>
      <c r="G15" s="30">
        <v>5.07</v>
      </c>
      <c r="H15" s="30">
        <v>6.64</v>
      </c>
      <c r="J15" s="47"/>
      <c r="K15" s="47"/>
      <c r="L15" s="47"/>
      <c r="M15" s="47"/>
      <c r="N15" s="47"/>
    </row>
    <row r="16" spans="2:17">
      <c r="B16" s="28" t="s">
        <v>44</v>
      </c>
      <c r="C16" s="28" t="s">
        <v>45</v>
      </c>
      <c r="D16" s="28" t="s">
        <v>35</v>
      </c>
      <c r="E16" s="33">
        <v>538500</v>
      </c>
      <c r="F16" s="30">
        <v>529.70000000000005</v>
      </c>
      <c r="G16" s="30">
        <v>4.17</v>
      </c>
      <c r="H16" s="30">
        <v>6.33</v>
      </c>
    </row>
    <row r="17" spans="2:8">
      <c r="B17" s="28" t="s">
        <v>46</v>
      </c>
      <c r="C17" s="28" t="s">
        <v>47</v>
      </c>
      <c r="D17" s="28" t="s">
        <v>35</v>
      </c>
      <c r="E17" s="33">
        <v>100000</v>
      </c>
      <c r="F17" s="30">
        <v>105.49</v>
      </c>
      <c r="G17" s="30">
        <v>0.83</v>
      </c>
      <c r="H17" s="30">
        <v>6.08</v>
      </c>
    </row>
    <row r="18" spans="2:8">
      <c r="B18" s="48" t="s">
        <v>48</v>
      </c>
      <c r="C18" s="48" t="s">
        <v>49</v>
      </c>
      <c r="D18" s="48" t="s">
        <v>35</v>
      </c>
      <c r="E18" s="49">
        <v>23200</v>
      </c>
      <c r="F18" s="50">
        <v>23.7</v>
      </c>
      <c r="G18" s="50">
        <v>0.19</v>
      </c>
      <c r="H18" s="50">
        <v>6.38</v>
      </c>
    </row>
    <row r="19" spans="2:8">
      <c r="B19" s="51" t="s">
        <v>29</v>
      </c>
      <c r="C19" s="51"/>
      <c r="D19" s="51"/>
      <c r="E19" s="52"/>
      <c r="F19" s="53">
        <f>SUM(F12:F18)</f>
        <v>7841.6299999999983</v>
      </c>
      <c r="G19" s="53">
        <f>SUM(G12:G18)</f>
        <v>61.72</v>
      </c>
      <c r="H19" s="53"/>
    </row>
    <row r="20" spans="2:8">
      <c r="B20" s="27" t="s">
        <v>50</v>
      </c>
      <c r="C20" s="28"/>
      <c r="D20" s="28"/>
      <c r="E20" s="29"/>
      <c r="F20" s="30"/>
      <c r="G20" s="30"/>
      <c r="H20" s="30"/>
    </row>
    <row r="21" spans="2:8">
      <c r="B21" s="28" t="s">
        <v>50</v>
      </c>
      <c r="C21" s="28"/>
      <c r="D21" s="28"/>
      <c r="E21" s="29"/>
      <c r="F21" s="30">
        <v>5690.65</v>
      </c>
      <c r="G21" s="30">
        <v>44.79</v>
      </c>
      <c r="H21" s="30"/>
    </row>
    <row r="22" spans="2:8">
      <c r="B22" s="37" t="s">
        <v>27</v>
      </c>
      <c r="C22" s="37"/>
      <c r="D22" s="37"/>
      <c r="E22" s="38"/>
      <c r="F22" s="39">
        <f>SUM(F20:F21)</f>
        <v>5690.65</v>
      </c>
      <c r="G22" s="39">
        <f>SUM(G20:G21)</f>
        <v>44.79</v>
      </c>
      <c r="H22" s="40"/>
    </row>
    <row r="23" spans="2:8">
      <c r="B23" s="54" t="s">
        <v>29</v>
      </c>
      <c r="C23" s="54"/>
      <c r="D23" s="54"/>
      <c r="E23" s="55"/>
      <c r="F23" s="56">
        <f>F22</f>
        <v>5690.65</v>
      </c>
      <c r="G23" s="56">
        <f>G22</f>
        <v>44.79</v>
      </c>
      <c r="H23" s="56"/>
    </row>
    <row r="24" spans="2:8">
      <c r="B24" s="57" t="s">
        <v>51</v>
      </c>
      <c r="C24" s="57"/>
      <c r="D24" s="57"/>
      <c r="E24" s="58"/>
      <c r="F24" s="59">
        <f>F25-(+F10+F19+F23)</f>
        <v>-1842.0199999999986</v>
      </c>
      <c r="G24" s="59">
        <f>G25-(+G10+G19+G23)</f>
        <v>-14.5</v>
      </c>
      <c r="H24" s="59"/>
    </row>
    <row r="25" spans="2:8">
      <c r="B25" s="57" t="s">
        <v>52</v>
      </c>
      <c r="C25" s="57"/>
      <c r="D25" s="57"/>
      <c r="E25" s="58"/>
      <c r="F25" s="59">
        <v>12706.58</v>
      </c>
      <c r="G25" s="59">
        <v>100</v>
      </c>
      <c r="H25" s="59"/>
    </row>
    <row r="27" spans="2:8">
      <c r="B27" s="60" t="s">
        <v>53</v>
      </c>
    </row>
  </sheetData>
  <mergeCells count="21">
    <mergeCell ref="N11:N12"/>
    <mergeCell ref="O11:O12"/>
    <mergeCell ref="P11:P12"/>
    <mergeCell ref="Q11:Q12"/>
    <mergeCell ref="J14:N15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2021-12-08T10:26:57Z</dcterms:created>
  <dcterms:modified xsi:type="dcterms:W3CDTF">2021-12-08T10:27:00Z</dcterms:modified>
</cp:coreProperties>
</file>