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n 25\"/>
    </mc:Choice>
  </mc:AlternateContent>
  <xr:revisionPtr revIDLastSave="0" documentId="8_{0D827325-435B-464B-B8B4-64EAC2548ECD}" xr6:coauthVersionLast="47" xr6:coauthVersionMax="47" xr10:uidLastSave="{00000000-0000-0000-0000-000000000000}"/>
  <bookViews>
    <workbookView xWindow="-120" yWindow="-120" windowWidth="20730" windowHeight="11040" xr2:uid="{56FC3568-A710-42ED-AE1D-AAA8841C1390}"/>
  </bookViews>
  <sheets>
    <sheet name="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G32" i="1"/>
  <c r="G33" i="1" s="1"/>
  <c r="F32" i="1"/>
  <c r="G29" i="1"/>
  <c r="F29" i="1"/>
  <c r="G26" i="1"/>
  <c r="F26" i="1"/>
  <c r="G13" i="1"/>
  <c r="G14" i="1" s="1"/>
  <c r="F13" i="1"/>
  <c r="F14" i="1" s="1"/>
  <c r="F9" i="1"/>
  <c r="F34" i="1" s="1"/>
  <c r="G8" i="1"/>
  <c r="G9" i="1" s="1"/>
  <c r="F8" i="1"/>
  <c r="G3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<sst xmlns="http://schemas.openxmlformats.org/spreadsheetml/2006/main" count="85" uniqueCount="68">
  <si>
    <t>CANARA ROBECO INCOME FUND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</si>
  <si>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</si>
  <si>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</si>
  <si>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</si>
  <si>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</si>
  <si>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</si>
  <si>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</si>
  <si>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</si>
  <si>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</si>
  <si>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June'25</t>
  </si>
  <si>
    <t>Benchmark Risk-O-Meter Level- June'25</t>
  </si>
  <si>
    <t>Scheme Risk-O-Meter Level- May'25</t>
  </si>
  <si>
    <t>Benchmark Risk-O-Meter Level- May'25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</si>
  <si>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</si>
  <si>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</si>
  <si>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</si>
  <si>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</si>
  <si>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</si>
  <si>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</si>
  <si>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</si>
  <si>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</si>
  <si>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7.2337% BAJAJ FINANCE LTD 28-JUN-27 **</t>
  </si>
  <si>
    <t>INE296A07TK2</t>
  </si>
  <si>
    <t>CRISIL AAA</t>
  </si>
  <si>
    <t>Relatively Low (Class I)</t>
  </si>
  <si>
    <t>Sub Total</t>
  </si>
  <si>
    <t>Total</t>
  </si>
  <si>
    <t>Moderate 
(Class II)</t>
  </si>
  <si>
    <t>Money Market Instruments</t>
  </si>
  <si>
    <t>Treasury Bill</t>
  </si>
  <si>
    <t>Relatively High (Class III)</t>
  </si>
  <si>
    <t>B-III</t>
  </si>
  <si>
    <t>364 DTB (08-JAN-2026)</t>
  </si>
  <si>
    <t>IN002024Z396</t>
  </si>
  <si>
    <t xml:space="preserve"> Sovereign</t>
  </si>
  <si>
    <t>Benchmark: CRISIL Medium to Long Duration Debt A-III Index</t>
  </si>
  <si>
    <t>Government Bonds</t>
  </si>
  <si>
    <t>GOI FRB 30-OCT-34</t>
  </si>
  <si>
    <t>IN0020210137</t>
  </si>
  <si>
    <t>Sovereign</t>
  </si>
  <si>
    <t>7.73% GOI (08/04/2029)</t>
  </si>
  <si>
    <t>IN1520200016</t>
  </si>
  <si>
    <t>8.14% GOI (20/03/2029)</t>
  </si>
  <si>
    <t>IN1520180333</t>
  </si>
  <si>
    <t>8.19% GOI (23/01/2029)</t>
  </si>
  <si>
    <t>IN1920180149</t>
  </si>
  <si>
    <t>6.63% GOI (07/12/2031)</t>
  </si>
  <si>
    <t>IN0020180041</t>
  </si>
  <si>
    <t>7.02% GOI (03/03/2028)</t>
  </si>
  <si>
    <t>IN2020200266</t>
  </si>
  <si>
    <t>7.30% GOI 2053 (19-JUN-2053)</t>
  </si>
  <si>
    <t>IN0020230051</t>
  </si>
  <si>
    <t>6.79% GOI 2031 (30-DEC-2031)</t>
  </si>
  <si>
    <t>IN0020240191</t>
  </si>
  <si>
    <t>6.53% GOI (06/01/2031)</t>
  </si>
  <si>
    <t>IN3120200339</t>
  </si>
  <si>
    <t>8.47% Maharashtra SDL 10-Feb-26</t>
  </si>
  <si>
    <t>IN2220150188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</si>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</sst>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3" fillId="0" borderId="15" xfId="0" applyFont="1" applyBorder="1" applyAlignment="1">
      <alignment horizont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164" fontId="3" fillId="3" borderId="15" xfId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A0E7-F542-4A17-8CAD-0ADAD9A9D23E}">
  <dimension ref="B1:R44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5" style="3" bestFit="1" customWidth="1"/>
    <col min="3" max="3" width="13.42578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4257812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0"/>
      <c r="K6" s="27"/>
      <c r="L6" s="20"/>
      <c r="M6" s="27"/>
      <c r="O6" s="28" t="s">
        <v>20</v>
      </c>
      <c r="P6" s="23"/>
      <c r="Q6" s="23"/>
      <c r="R6" s="23"/>
    </row>
    <row r="7" spans="2:18" x14ac:dyDescent="0.2">
      <c r="B7" s="25" t="s">
        <v>21</v>
      </c>
      <c r="C7" s="25" t="s">
        <v>22</v>
      </c>
      <c r="D7" s="25" t="s">
        <v>23</v>
      </c>
      <c r="E7" s="29">
        <v>1000</v>
      </c>
      <c r="F7" s="26">
        <v>1001.95</v>
      </c>
      <c r="G7" s="26">
        <v>7.96</v>
      </c>
      <c r="H7" s="26">
        <v>7.08</v>
      </c>
      <c r="J7" s="20"/>
      <c r="K7" s="27"/>
      <c r="L7" s="20"/>
      <c r="M7" s="27"/>
      <c r="O7" s="30" t="s">
        <v>24</v>
      </c>
      <c r="P7" s="31"/>
      <c r="Q7" s="31"/>
      <c r="R7" s="31"/>
    </row>
    <row r="8" spans="2:18" x14ac:dyDescent="0.2">
      <c r="B8" s="32" t="s">
        <v>25</v>
      </c>
      <c r="C8" s="32"/>
      <c r="D8" s="32"/>
      <c r="E8" s="32"/>
      <c r="F8" s="33">
        <f>SUM(F6:F7)</f>
        <v>1001.95</v>
      </c>
      <c r="G8" s="33">
        <f>SUM(G6:G7)</f>
        <v>7.96</v>
      </c>
      <c r="H8" s="34"/>
      <c r="I8" s="35"/>
      <c r="J8" s="20"/>
      <c r="K8" s="27"/>
      <c r="L8" s="20"/>
      <c r="M8" s="27"/>
      <c r="O8" s="30"/>
      <c r="P8" s="36"/>
      <c r="Q8" s="36"/>
      <c r="R8" s="36"/>
    </row>
    <row r="9" spans="2:18" x14ac:dyDescent="0.2">
      <c r="B9" s="37" t="s">
        <v>26</v>
      </c>
      <c r="C9" s="37"/>
      <c r="D9" s="37"/>
      <c r="E9" s="37"/>
      <c r="F9" s="38">
        <f>F8</f>
        <v>1001.95</v>
      </c>
      <c r="G9" s="38">
        <f>G8</f>
        <v>7.96</v>
      </c>
      <c r="H9" s="38"/>
      <c r="I9" s="35"/>
      <c r="J9" s="20"/>
      <c r="K9" s="27"/>
      <c r="L9" s="20"/>
      <c r="M9" s="27"/>
      <c r="O9" s="30" t="s">
        <v>27</v>
      </c>
      <c r="P9" s="31"/>
      <c r="Q9" s="31"/>
      <c r="R9" s="31"/>
    </row>
    <row r="10" spans="2:18" x14ac:dyDescent="0.2">
      <c r="B10" s="24" t="s">
        <v>28</v>
      </c>
      <c r="C10" s="25"/>
      <c r="D10" s="25"/>
      <c r="E10" s="25"/>
      <c r="F10" s="26"/>
      <c r="G10" s="26"/>
      <c r="H10" s="26"/>
      <c r="J10" s="20"/>
      <c r="K10" s="27"/>
      <c r="L10" s="20"/>
      <c r="M10" s="27"/>
      <c r="O10" s="30"/>
      <c r="P10" s="36"/>
      <c r="Q10" s="36"/>
      <c r="R10" s="36"/>
    </row>
    <row r="11" spans="2:18" x14ac:dyDescent="0.2">
      <c r="B11" s="24" t="s">
        <v>29</v>
      </c>
      <c r="C11" s="25"/>
      <c r="D11" s="25"/>
      <c r="E11" s="25"/>
      <c r="F11" s="26"/>
      <c r="G11" s="26"/>
      <c r="H11" s="26"/>
      <c r="J11" s="20"/>
      <c r="K11" s="27"/>
      <c r="L11" s="20"/>
      <c r="M11" s="27"/>
      <c r="O11" s="30" t="s">
        <v>30</v>
      </c>
      <c r="P11" s="31"/>
      <c r="Q11" s="39" t="s">
        <v>31</v>
      </c>
      <c r="R11" s="31"/>
    </row>
    <row r="12" spans="2:18" x14ac:dyDescent="0.2">
      <c r="B12" s="25" t="s">
        <v>32</v>
      </c>
      <c r="C12" s="25" t="s">
        <v>33</v>
      </c>
      <c r="D12" s="25" t="s">
        <v>34</v>
      </c>
      <c r="E12" s="29">
        <v>100000</v>
      </c>
      <c r="F12" s="26">
        <v>97.2</v>
      </c>
      <c r="G12" s="26">
        <v>0.77</v>
      </c>
      <c r="H12" s="26">
        <v>5.5</v>
      </c>
      <c r="J12" s="20"/>
      <c r="K12" s="40"/>
      <c r="L12" s="20"/>
      <c r="M12" s="40"/>
      <c r="O12" s="30"/>
      <c r="P12" s="36"/>
      <c r="Q12" s="41"/>
      <c r="R12" s="36"/>
    </row>
    <row r="13" spans="2:18" x14ac:dyDescent="0.2">
      <c r="B13" s="32" t="s">
        <v>25</v>
      </c>
      <c r="C13" s="32"/>
      <c r="D13" s="32"/>
      <c r="E13" s="32"/>
      <c r="F13" s="33">
        <f>SUM(F11:F12)</f>
        <v>97.2</v>
      </c>
      <c r="G13" s="33">
        <f>SUM(G11:G12)</f>
        <v>0.77</v>
      </c>
      <c r="H13" s="34"/>
      <c r="I13" s="35"/>
      <c r="J13" s="42"/>
      <c r="K13" s="42" t="s">
        <v>35</v>
      </c>
      <c r="L13" s="43"/>
      <c r="M13" s="43"/>
    </row>
    <row r="14" spans="2:18" x14ac:dyDescent="0.2">
      <c r="B14" s="37" t="s">
        <v>26</v>
      </c>
      <c r="C14" s="37"/>
      <c r="D14" s="37"/>
      <c r="E14" s="37"/>
      <c r="F14" s="38">
        <f>+F13</f>
        <v>97.2</v>
      </c>
      <c r="G14" s="38">
        <f>+G13</f>
        <v>0.77</v>
      </c>
      <c r="H14" s="38"/>
      <c r="I14" s="35"/>
    </row>
    <row r="15" spans="2:18" x14ac:dyDescent="0.2">
      <c r="B15" s="24" t="s">
        <v>36</v>
      </c>
      <c r="C15" s="25"/>
      <c r="D15" s="25"/>
      <c r="E15" s="25"/>
      <c r="F15" s="26"/>
      <c r="G15" s="26"/>
      <c r="H15" s="26"/>
    </row>
    <row r="16" spans="2:18" x14ac:dyDescent="0.2">
      <c r="B16" s="25" t="s">
        <v>37</v>
      </c>
      <c r="C16" s="25" t="s">
        <v>38</v>
      </c>
      <c r="D16" s="25" t="s">
        <v>39</v>
      </c>
      <c r="E16" s="29">
        <v>2500000</v>
      </c>
      <c r="F16" s="26">
        <v>2555</v>
      </c>
      <c r="G16" s="26">
        <v>20.309999999999999</v>
      </c>
      <c r="H16" s="26">
        <v>6.67</v>
      </c>
    </row>
    <row r="17" spans="2:9" x14ac:dyDescent="0.2">
      <c r="B17" s="25" t="s">
        <v>40</v>
      </c>
      <c r="C17" s="25" t="s">
        <v>41</v>
      </c>
      <c r="D17" s="25" t="s">
        <v>39</v>
      </c>
      <c r="E17" s="29">
        <v>1500000</v>
      </c>
      <c r="F17" s="26">
        <v>1568.72</v>
      </c>
      <c r="G17" s="26">
        <v>12.47</v>
      </c>
      <c r="H17" s="26">
        <v>6.44</v>
      </c>
    </row>
    <row r="18" spans="2:9" x14ac:dyDescent="0.2">
      <c r="B18" s="25" t="s">
        <v>42</v>
      </c>
      <c r="C18" s="25" t="s">
        <v>43</v>
      </c>
      <c r="D18" s="25" t="s">
        <v>39</v>
      </c>
      <c r="E18" s="29">
        <v>1000000</v>
      </c>
      <c r="F18" s="26">
        <v>1058.33</v>
      </c>
      <c r="G18" s="26">
        <v>8.41</v>
      </c>
      <c r="H18" s="26">
        <v>6.45</v>
      </c>
    </row>
    <row r="19" spans="2:9" x14ac:dyDescent="0.2">
      <c r="B19" s="25" t="s">
        <v>44</v>
      </c>
      <c r="C19" s="25" t="s">
        <v>45</v>
      </c>
      <c r="D19" s="25" t="s">
        <v>39</v>
      </c>
      <c r="E19" s="29">
        <v>1000000</v>
      </c>
      <c r="F19" s="26">
        <v>1057.76</v>
      </c>
      <c r="G19" s="26">
        <v>8.41</v>
      </c>
      <c r="H19" s="26">
        <v>6.45</v>
      </c>
    </row>
    <row r="20" spans="2:9" x14ac:dyDescent="0.2">
      <c r="B20" s="25" t="s">
        <v>46</v>
      </c>
      <c r="C20" s="25" t="s">
        <v>47</v>
      </c>
      <c r="D20" s="25" t="s">
        <v>39</v>
      </c>
      <c r="E20" s="29">
        <v>1000000</v>
      </c>
      <c r="F20" s="26">
        <v>1023.62</v>
      </c>
      <c r="G20" s="26">
        <v>8.14</v>
      </c>
      <c r="H20" s="26">
        <v>6.18</v>
      </c>
    </row>
    <row r="21" spans="2:9" x14ac:dyDescent="0.2">
      <c r="B21" s="25" t="s">
        <v>48</v>
      </c>
      <c r="C21" s="25" t="s">
        <v>49</v>
      </c>
      <c r="D21" s="25" t="s">
        <v>39</v>
      </c>
      <c r="E21" s="29">
        <v>1000000</v>
      </c>
      <c r="F21" s="26">
        <v>1021.69</v>
      </c>
      <c r="G21" s="26">
        <v>8.1199999999999992</v>
      </c>
      <c r="H21" s="26">
        <v>6.22</v>
      </c>
    </row>
    <row r="22" spans="2:9" x14ac:dyDescent="0.2">
      <c r="B22" s="25" t="s">
        <v>50</v>
      </c>
      <c r="C22" s="25" t="s">
        <v>51</v>
      </c>
      <c r="D22" s="25" t="s">
        <v>39</v>
      </c>
      <c r="E22" s="29">
        <v>500000</v>
      </c>
      <c r="F22" s="26">
        <v>515.51</v>
      </c>
      <c r="G22" s="26">
        <v>4.0999999999999996</v>
      </c>
      <c r="H22" s="26">
        <v>7.17</v>
      </c>
    </row>
    <row r="23" spans="2:9" x14ac:dyDescent="0.2">
      <c r="B23" s="25" t="s">
        <v>52</v>
      </c>
      <c r="C23" s="25" t="s">
        <v>53</v>
      </c>
      <c r="D23" s="25" t="s">
        <v>39</v>
      </c>
      <c r="E23" s="29">
        <v>500000</v>
      </c>
      <c r="F23" s="26">
        <v>514.28</v>
      </c>
      <c r="G23" s="26">
        <v>4.09</v>
      </c>
      <c r="H23" s="26">
        <v>6.35</v>
      </c>
    </row>
    <row r="24" spans="2:9" x14ac:dyDescent="0.2">
      <c r="B24" s="25" t="s">
        <v>54</v>
      </c>
      <c r="C24" s="25" t="s">
        <v>55</v>
      </c>
      <c r="D24" s="25" t="s">
        <v>39</v>
      </c>
      <c r="E24" s="29">
        <v>500000</v>
      </c>
      <c r="F24" s="26">
        <v>498.65</v>
      </c>
      <c r="G24" s="26">
        <v>3.96</v>
      </c>
      <c r="H24" s="26">
        <v>6.7</v>
      </c>
    </row>
    <row r="25" spans="2:9" x14ac:dyDescent="0.2">
      <c r="B25" s="44" t="s">
        <v>56</v>
      </c>
      <c r="C25" s="44" t="s">
        <v>57</v>
      </c>
      <c r="D25" s="44" t="s">
        <v>39</v>
      </c>
      <c r="E25" s="45">
        <v>28000</v>
      </c>
      <c r="F25" s="46">
        <v>28.46</v>
      </c>
      <c r="G25" s="46">
        <v>0.23</v>
      </c>
      <c r="H25" s="46">
        <v>5.77</v>
      </c>
    </row>
    <row r="26" spans="2:9" x14ac:dyDescent="0.2">
      <c r="B26" s="47" t="s">
        <v>26</v>
      </c>
      <c r="C26" s="47"/>
      <c r="D26" s="47"/>
      <c r="E26" s="47"/>
      <c r="F26" s="48">
        <f>SUM(F16:F25)</f>
        <v>9842.02</v>
      </c>
      <c r="G26" s="48">
        <f>SUM(G16:G25)</f>
        <v>78.239999999999995</v>
      </c>
      <c r="H26" s="48"/>
      <c r="I26" s="35"/>
    </row>
    <row r="27" spans="2:9" x14ac:dyDescent="0.2">
      <c r="B27" s="24" t="s">
        <v>58</v>
      </c>
      <c r="C27" s="25"/>
      <c r="D27" s="25"/>
      <c r="E27" s="25"/>
      <c r="F27" s="26"/>
      <c r="G27" s="26"/>
      <c r="H27" s="26"/>
    </row>
    <row r="28" spans="2:9" x14ac:dyDescent="0.2">
      <c r="B28" s="44" t="s">
        <v>59</v>
      </c>
      <c r="C28" s="44" t="s">
        <v>60</v>
      </c>
      <c r="D28" s="44" t="s">
        <v>58</v>
      </c>
      <c r="E28" s="45">
        <v>314.88400000000001</v>
      </c>
      <c r="F28" s="46">
        <v>35.4</v>
      </c>
      <c r="G28" s="46">
        <v>0.28000000000000003</v>
      </c>
      <c r="H28" s="46">
        <v>5.51</v>
      </c>
    </row>
    <row r="29" spans="2:9" x14ac:dyDescent="0.2">
      <c r="B29" s="47" t="s">
        <v>26</v>
      </c>
      <c r="C29" s="47"/>
      <c r="D29" s="47"/>
      <c r="E29" s="47"/>
      <c r="F29" s="48">
        <f>SUM(F28:F28)</f>
        <v>35.4</v>
      </c>
      <c r="G29" s="48">
        <f>SUM(G28:G28)</f>
        <v>0.28000000000000003</v>
      </c>
      <c r="H29" s="48"/>
      <c r="I29" s="35"/>
    </row>
    <row r="30" spans="2:9" x14ac:dyDescent="0.2">
      <c r="B30" s="24" t="s">
        <v>61</v>
      </c>
      <c r="C30" s="25"/>
      <c r="D30" s="25"/>
      <c r="E30" s="25"/>
      <c r="F30" s="26"/>
      <c r="G30" s="26"/>
      <c r="H30" s="26"/>
    </row>
    <row r="31" spans="2:9" x14ac:dyDescent="0.2">
      <c r="B31" s="25" t="s">
        <v>61</v>
      </c>
      <c r="C31" s="25"/>
      <c r="D31" s="25"/>
      <c r="E31" s="25"/>
      <c r="F31" s="26">
        <v>1380.36</v>
      </c>
      <c r="G31" s="26">
        <v>10.97</v>
      </c>
      <c r="H31" s="26"/>
    </row>
    <row r="32" spans="2:9" x14ac:dyDescent="0.2">
      <c r="B32" s="32" t="s">
        <v>25</v>
      </c>
      <c r="C32" s="32"/>
      <c r="D32" s="32"/>
      <c r="E32" s="32"/>
      <c r="F32" s="33">
        <f>SUM(F30:F31)</f>
        <v>1380.36</v>
      </c>
      <c r="G32" s="33">
        <f>SUM(G30:G31)</f>
        <v>10.97</v>
      </c>
      <c r="H32" s="34"/>
      <c r="I32" s="35"/>
    </row>
    <row r="33" spans="2:9" x14ac:dyDescent="0.2">
      <c r="B33" s="49" t="s">
        <v>26</v>
      </c>
      <c r="C33" s="49"/>
      <c r="D33" s="49"/>
      <c r="E33" s="49"/>
      <c r="F33" s="50">
        <f>F32</f>
        <v>1380.36</v>
      </c>
      <c r="G33" s="50">
        <f>G32</f>
        <v>10.97</v>
      </c>
      <c r="H33" s="50"/>
      <c r="I33" s="35"/>
    </row>
    <row r="34" spans="2:9" x14ac:dyDescent="0.2">
      <c r="B34" s="51" t="s">
        <v>62</v>
      </c>
      <c r="C34" s="51"/>
      <c r="D34" s="51"/>
      <c r="E34" s="51"/>
      <c r="F34" s="52">
        <f>F35-(+F9+F14+F26+F29+F33)</f>
        <v>224.19000000000051</v>
      </c>
      <c r="G34" s="52">
        <f>G35-(+G9+G14+G26+G29+G33)</f>
        <v>1.7800000000000011</v>
      </c>
      <c r="H34" s="52"/>
      <c r="I34" s="35"/>
    </row>
    <row r="35" spans="2:9" x14ac:dyDescent="0.2">
      <c r="B35" s="51" t="s">
        <v>63</v>
      </c>
      <c r="C35" s="51"/>
      <c r="D35" s="51"/>
      <c r="E35" s="51"/>
      <c r="F35" s="52">
        <v>12581.12</v>
      </c>
      <c r="G35" s="52">
        <v>100</v>
      </c>
      <c r="H35" s="52"/>
      <c r="I35" s="35"/>
    </row>
    <row r="37" spans="2:9" x14ac:dyDescent="0.2">
      <c r="B37" s="35" t="s">
        <v>64</v>
      </c>
    </row>
    <row r="38" spans="2:9" ht="12.75" thickBot="1" x14ac:dyDescent="0.25"/>
    <row r="39" spans="2:9" ht="13.5" thickTop="1" thickBot="1" x14ac:dyDescent="0.25">
      <c r="B39" s="53" t="s">
        <v>65</v>
      </c>
      <c r="C39" s="54">
        <v>2.2688999999999999</v>
      </c>
    </row>
    <row r="40" spans="2:9" ht="13.5" thickTop="1" thickBot="1" x14ac:dyDescent="0.25"/>
    <row r="41" spans="2:9" ht="13.5" thickTop="1" thickBot="1" x14ac:dyDescent="0.25">
      <c r="B41" s="53" t="s">
        <v>66</v>
      </c>
      <c r="C41" s="55">
        <v>6.3899999999999998E-2</v>
      </c>
    </row>
    <row r="42" spans="2:9" ht="13.5" thickTop="1" thickBot="1" x14ac:dyDescent="0.25"/>
    <row r="43" spans="2:9" ht="13.5" thickTop="1" thickBot="1" x14ac:dyDescent="0.25">
      <c r="B43" s="53" t="s">
        <v>67</v>
      </c>
      <c r="C43" s="54">
        <v>2.3551000000000002</v>
      </c>
    </row>
    <row r="44" spans="2:9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2025-07-08T08:18:17Z</dcterms:created>
  <dcterms:modified xsi:type="dcterms:W3CDTF">2025-07-08T08:18:18Z</dcterms:modified>
</cp:coreProperties>
</file>