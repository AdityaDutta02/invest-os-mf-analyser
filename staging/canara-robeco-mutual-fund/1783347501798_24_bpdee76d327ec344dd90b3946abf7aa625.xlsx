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March 2023\"/>
    </mc:Choice>
  </mc:AlternateContent>
  <bookViews>
    <workbookView xWindow="0" yWindow="0" windowWidth="20490" windowHeight="7620"/>
  </bookViews>
  <sheets>
    <sheet name="BP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2" i="1" l="1"/>
  <c r="G43" i="1" s="1"/>
  <c r="F42" i="1"/>
  <c r="F43" i="1" s="1"/>
  <c r="G39" i="1"/>
  <c r="F39" i="1"/>
  <c r="G33" i="1"/>
  <c r="F33" i="1"/>
  <c r="G29" i="1"/>
  <c r="G34" i="1" s="1"/>
  <c r="F29" i="1"/>
  <c r="F34" i="1" s="1"/>
  <c r="G21" i="1"/>
  <c r="G22" i="1" s="1"/>
  <c r="F21" i="1"/>
  <c r="F22" i="1" s="1"/>
  <c r="F44" i="1" l="1"/>
  <c r="G44" i="1"/>
</calcChain>
</file>

<file path=xl/sharedStrings.xml><?xml version="1.0" encoding="utf-8"?>
<sst xmlns="http://schemas.openxmlformats.org/spreadsheetml/2006/main" count="116" uniqueCount="93">
  <si>
    <t>CANARA ROBECO BANKING AND PSU DEBT FUND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</si>
  <si>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</si>
  <si>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</si>
  <si>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</si>
  <si>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</si>
  <si>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</si>
  <si>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</si>
  <si>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</si>
  <si>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</si>
  <si>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Mar'23</t>
  </si>
  <si>
    <t>Benchmark Risk-o-meter Level- Mar'23</t>
  </si>
  <si>
    <t>Scheme Risk-o-meter Level- Feb'23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</si>
  <si>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</si>
  <si>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</si>
  <si>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</si>
  <si>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</si>
  <si>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</si>
  <si>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</si>
  <si>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</si>
  <si>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</si>
  <si>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8.44% HDFC Bank Ltd (28/12/2028) **</t>
  </si>
  <si>
    <t>INE040A08393</t>
  </si>
  <si>
    <t>CRISIL AAA</t>
  </si>
  <si>
    <t>Relatively Low (Class I)</t>
  </si>
  <si>
    <t>8.65% Power Finance Corporation Ltd (28/12/2024) **</t>
  </si>
  <si>
    <t>INE134E08GV9</t>
  </si>
  <si>
    <t>7.60% ICICI Bank Ltd (07/10/2023) **</t>
  </si>
  <si>
    <t>INE090A08TU6</t>
  </si>
  <si>
    <t>CARE AAA</t>
  </si>
  <si>
    <t>Moderate 
(Class II)</t>
  </si>
  <si>
    <t>7.15% Small Industries Development Bank Of India (21/07/2025)</t>
  </si>
  <si>
    <t>INE556F08JZ5</t>
  </si>
  <si>
    <t>ICRA AAA</t>
  </si>
  <si>
    <t>5.84% Indian Oil Corporation Ltd (19/04/2024)</t>
  </si>
  <si>
    <t>INE242A08510</t>
  </si>
  <si>
    <t>Relatively High (Class III)</t>
  </si>
  <si>
    <t>B-III</t>
  </si>
  <si>
    <t>7.77% Housing Development Finance Corporation Ltd (28/06/2027) **</t>
  </si>
  <si>
    <t>INE001A07TN0</t>
  </si>
  <si>
    <t>8.45% Indian Railway Finance Corporation Ltd (04/12/2028) **</t>
  </si>
  <si>
    <t>INE053F07AY7</t>
  </si>
  <si>
    <t>Benchmark: CRISIL Banking and PSU Debt Index</t>
  </si>
  <si>
    <t>5.74% REC Ltd (20/06/2024)</t>
  </si>
  <si>
    <t>INE020B08DR1</t>
  </si>
  <si>
    <t>5.23% National Bank For Agriculture &amp; Rural Development (31/01/2025)</t>
  </si>
  <si>
    <t>INE261F08DI1</t>
  </si>
  <si>
    <t>6.85% National Bank For Agriculture &amp; Rural Development (21/03/2031) **</t>
  </si>
  <si>
    <t>INE261F08DA8</t>
  </si>
  <si>
    <t>Note: The risk-o-meter level of  scheme is revised based on the Notice-cum-Addendum No.01., dated 03/04/2023. However, there is no change in the product labelling of the schemes.</t>
  </si>
  <si>
    <t>8.79% LIC Housing Finance Ltd (05/03/2024) **</t>
  </si>
  <si>
    <t>INE115A07NY8</t>
  </si>
  <si>
    <t>6.19% LIC Housing Finance Ltd (25/11/2024) **</t>
  </si>
  <si>
    <t>INE115A07OW0</t>
  </si>
  <si>
    <t>8.27% REC Ltd (06/02/2025) **</t>
  </si>
  <si>
    <t>INE020B08906</t>
  </si>
  <si>
    <t>8.10% REC Ltd (25/06/2024) **</t>
  </si>
  <si>
    <t>INE020B08BV7</t>
  </si>
  <si>
    <t>Sub Total</t>
  </si>
  <si>
    <t>Total</t>
  </si>
  <si>
    <t>Money Market Instruments</t>
  </si>
  <si>
    <t>Certificate of Deposit</t>
  </si>
  <si>
    <t>Export-Import Bank Of India (17/08/2023) ** #</t>
  </si>
  <si>
    <t>INE514E16CC4</t>
  </si>
  <si>
    <t>CRISIL A1+</t>
  </si>
  <si>
    <t>Bank of Baroda (17/08/2023) #</t>
  </si>
  <si>
    <t>INE028A16CT7</t>
  </si>
  <si>
    <t>IND A1+</t>
  </si>
  <si>
    <t>Axis Bank Ltd (06/12/2023) ** #</t>
  </si>
  <si>
    <t>INE238AD6215</t>
  </si>
  <si>
    <t>Kotak Mahindra Bank Ltd (11/01/2024) ** #</t>
  </si>
  <si>
    <t>INE237A168R6</t>
  </si>
  <si>
    <t>Treasury Bill</t>
  </si>
  <si>
    <t>364 DAYS TREASURY BILLS 28-DEC-23</t>
  </si>
  <si>
    <t>IN002022Z390</t>
  </si>
  <si>
    <t xml:space="preserve"> Sovereign</t>
  </si>
  <si>
    <t>364 DAYS TREASURY BILLS 01-FEB-24</t>
  </si>
  <si>
    <t>IN002022Z440</t>
  </si>
  <si>
    <t>Government Bonds</t>
  </si>
  <si>
    <t>7.38% GOI 20-JUN-27</t>
  </si>
  <si>
    <t>IN0020220037</t>
  </si>
  <si>
    <t>Sovereign</t>
  </si>
  <si>
    <t>5.74% INDIA GOVERNMENT 15-NOV-26</t>
  </si>
  <si>
    <t>IN0020210186</t>
  </si>
  <si>
    <t>7.26% GOI 22-AUG-32</t>
  </si>
  <si>
    <t>IN0020220060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</si>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</sst>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i/>
      <sz val="10"/>
      <color theme="1"/>
      <name val="Taz SemiLight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43" fontId="3" fillId="3" borderId="0" xfId="1" applyFont="1" applyFill="1"/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4" fontId="3" fillId="3" borderId="0" xfId="1" applyNumberFormat="1" applyFont="1" applyFill="1"/>
    <xf numFmtId="0" fontId="10" fillId="5" borderId="0" xfId="0" applyFont="1" applyFill="1" applyAlignment="1">
      <alignment horizontal="left" wrapText="1"/>
    </xf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1" xfId="0" applyNumberFormat="1" applyFont="1" applyFill="1" applyBorder="1"/>
    <xf numFmtId="4" fontId="9" fillId="3" borderId="16" xfId="0" applyNumberFormat="1" applyFont="1" applyFill="1" applyBorder="1"/>
    <xf numFmtId="4" fontId="9" fillId="3" borderId="11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49" fontId="11" fillId="6" borderId="19" xfId="0" applyNumberFormat="1" applyFont="1" applyFill="1" applyBorder="1"/>
    <xf numFmtId="2" fontId="12" fillId="0" borderId="20" xfId="0" applyNumberFormat="1" applyFont="1" applyBorder="1"/>
    <xf numFmtId="49" fontId="13" fillId="0" borderId="0" xfId="0" applyNumberFormat="1" applyFont="1"/>
    <xf numFmtId="10" fontId="12" fillId="0" borderId="20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191861</xdr:colOff>
      <xdr:row>4</xdr:row>
      <xdr:rowOff>76201</xdr:rowOff>
    </xdr:from>
    <xdr:to>
      <xdr:col>10</xdr:col>
      <xdr:colOff>1962150</xdr:colOff>
      <xdr:row>9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D38209-5AD4-42B1-B81C-2EA28090B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64761" y="1085851"/>
          <a:ext cx="1770289" cy="1276349"/>
        </a:xfrm>
        <a:prstGeom prst="rect">
          <a:avLst/>
        </a:prstGeom>
      </xdr:spPr>
    </xdr:pic>
    <xdr:clientData/>
  </xdr:twoCellAnchor>
  <xdr:oneCellAnchor>
    <xdr:from>
      <xdr:col>11</xdr:col>
      <xdr:colOff>220437</xdr:colOff>
      <xdr:row>4</xdr:row>
      <xdr:rowOff>89806</xdr:rowOff>
    </xdr:from>
    <xdr:ext cx="1797502" cy="1177019"/>
    <xdr:pic>
      <xdr:nvPicPr>
        <xdr:cNvPr id="3" name="Picture 2">
          <a:extLst>
            <a:ext uri="{FF2B5EF4-FFF2-40B4-BE49-F238E27FC236}">
              <a16:creationId xmlns:a16="http://schemas.microsoft.com/office/drawing/2014/main" id="{924F5013-2CD7-4B5E-A042-F4FEE2C23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17412" y="1099456"/>
          <a:ext cx="1797502" cy="1177019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4</xdr:row>
      <xdr:rowOff>123825</xdr:rowOff>
    </xdr:from>
    <xdr:ext cx="1959521" cy="1219199"/>
    <xdr:pic>
      <xdr:nvPicPr>
        <xdr:cNvPr id="4" name="Picture 3">
          <a:extLst>
            <a:ext uri="{FF2B5EF4-FFF2-40B4-BE49-F238E27FC236}">
              <a16:creationId xmlns:a16="http://schemas.microsoft.com/office/drawing/2014/main" id="{F64A3A9C-B837-4497-AF5B-E1070B504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86925" y="1133475"/>
          <a:ext cx="1959521" cy="12191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37"/>
  <sheetViews>
    <sheetView tabSelected="1" topLeftCell="F1" workbookViewId="0">
      <selection activeCell="A16" sqref="A16"/>
    </sheetView>
  </sheetViews>
  <sheetFormatPr defaultRowHeight="12"/>
  <cols>
    <col min="1" max="1" width="9.140625" style="3"/>
    <col min="2" max="2" width="60.28515625" style="3" bestFit="1" customWidth="1"/>
    <col min="3" max="3" width="13.85546875" style="3" bestFit="1" customWidth="1"/>
    <col min="4" max="4" width="14.140625" style="3" bestFit="1" customWidth="1"/>
    <col min="5" max="5" width="8.85546875" style="62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2" width="31.85546875" style="3" customWidth="1"/>
    <col min="13" max="13" width="4.7109375" style="3" bestFit="1" customWidth="1"/>
    <col min="14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4" t="s">
        <v>1</v>
      </c>
      <c r="C3" s="5"/>
      <c r="D3" s="6"/>
      <c r="E3" s="7"/>
      <c r="F3" s="8"/>
      <c r="G3" s="8"/>
    </row>
    <row r="4" spans="2:17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M4" s="16"/>
      <c r="N4" s="17" t="s">
        <v>12</v>
      </c>
      <c r="O4" s="18"/>
      <c r="P4" s="18"/>
      <c r="Q4" s="19"/>
    </row>
    <row r="5" spans="2:17" ht="24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4"/>
      <c r="M5" s="16"/>
      <c r="N5" s="25" t="s">
        <v>14</v>
      </c>
      <c r="O5" s="26" t="s">
        <v>15</v>
      </c>
      <c r="P5" s="26" t="s">
        <v>16</v>
      </c>
      <c r="Q5" s="26" t="s">
        <v>17</v>
      </c>
    </row>
    <row r="6" spans="2:17" ht="36">
      <c r="B6" s="27" t="s">
        <v>18</v>
      </c>
      <c r="C6" s="28"/>
      <c r="D6" s="28"/>
      <c r="E6" s="29"/>
      <c r="F6" s="30"/>
      <c r="G6" s="30"/>
      <c r="H6" s="30"/>
      <c r="J6" s="24"/>
      <c r="K6" s="24"/>
      <c r="L6" s="24"/>
      <c r="M6" s="16"/>
      <c r="N6" s="31" t="s">
        <v>19</v>
      </c>
      <c r="O6" s="26"/>
      <c r="P6" s="26"/>
      <c r="Q6" s="26"/>
    </row>
    <row r="7" spans="2:17">
      <c r="B7" s="28" t="s">
        <v>20</v>
      </c>
      <c r="C7" s="28" t="s">
        <v>21</v>
      </c>
      <c r="D7" s="28" t="s">
        <v>22</v>
      </c>
      <c r="E7" s="32">
        <v>250</v>
      </c>
      <c r="F7" s="30">
        <v>2572.65</v>
      </c>
      <c r="G7" s="30">
        <v>6.38</v>
      </c>
      <c r="H7" s="30">
        <v>7.78</v>
      </c>
      <c r="J7" s="24"/>
      <c r="K7" s="24"/>
      <c r="L7" s="24"/>
      <c r="M7" s="16"/>
      <c r="N7" s="33" t="s">
        <v>23</v>
      </c>
      <c r="O7" s="34"/>
      <c r="P7" s="34"/>
      <c r="Q7" s="34"/>
    </row>
    <row r="8" spans="2:17">
      <c r="B8" s="28" t="s">
        <v>24</v>
      </c>
      <c r="C8" s="28" t="s">
        <v>25</v>
      </c>
      <c r="D8" s="28" t="s">
        <v>22</v>
      </c>
      <c r="E8" s="32">
        <v>250</v>
      </c>
      <c r="F8" s="30">
        <v>2537.71</v>
      </c>
      <c r="G8" s="30">
        <v>6.29</v>
      </c>
      <c r="H8" s="30">
        <v>7.66</v>
      </c>
      <c r="J8" s="24"/>
      <c r="K8" s="24"/>
      <c r="L8" s="24"/>
      <c r="M8" s="16"/>
      <c r="N8" s="33"/>
      <c r="O8" s="35"/>
      <c r="P8" s="35"/>
      <c r="Q8" s="35"/>
    </row>
    <row r="9" spans="2:17">
      <c r="B9" s="28" t="s">
        <v>26</v>
      </c>
      <c r="C9" s="28" t="s">
        <v>27</v>
      </c>
      <c r="D9" s="28" t="s">
        <v>28</v>
      </c>
      <c r="E9" s="32">
        <v>250</v>
      </c>
      <c r="F9" s="30">
        <v>2493.7600000000002</v>
      </c>
      <c r="G9" s="30">
        <v>6.18</v>
      </c>
      <c r="H9" s="30">
        <v>7.82</v>
      </c>
      <c r="J9" s="24"/>
      <c r="K9" s="24"/>
      <c r="L9" s="24"/>
      <c r="M9" s="16"/>
      <c r="N9" s="33" t="s">
        <v>29</v>
      </c>
      <c r="O9" s="34"/>
      <c r="P9" s="34"/>
      <c r="Q9" s="34"/>
    </row>
    <row r="10" spans="2:17">
      <c r="B10" s="28" t="s">
        <v>30</v>
      </c>
      <c r="C10" s="28" t="s">
        <v>31</v>
      </c>
      <c r="D10" s="28" t="s">
        <v>32</v>
      </c>
      <c r="E10" s="32">
        <v>250</v>
      </c>
      <c r="F10" s="30">
        <v>2474.75</v>
      </c>
      <c r="G10" s="30">
        <v>6.13</v>
      </c>
      <c r="H10" s="30">
        <v>7.62</v>
      </c>
      <c r="J10" s="24"/>
      <c r="K10" s="24"/>
      <c r="L10" s="24"/>
      <c r="M10" s="16"/>
      <c r="N10" s="33"/>
      <c r="O10" s="35"/>
      <c r="P10" s="35"/>
      <c r="Q10" s="35"/>
    </row>
    <row r="11" spans="2:17">
      <c r="B11" s="28" t="s">
        <v>33</v>
      </c>
      <c r="C11" s="28" t="s">
        <v>34</v>
      </c>
      <c r="D11" s="28" t="s">
        <v>22</v>
      </c>
      <c r="E11" s="32">
        <v>250</v>
      </c>
      <c r="F11" s="30">
        <v>2456.92</v>
      </c>
      <c r="G11" s="30">
        <v>6.09</v>
      </c>
      <c r="H11" s="30">
        <v>7.6</v>
      </c>
      <c r="J11" s="24"/>
      <c r="K11" s="24"/>
      <c r="L11" s="24"/>
      <c r="M11" s="16"/>
      <c r="N11" s="33" t="s">
        <v>35</v>
      </c>
      <c r="O11" s="34"/>
      <c r="P11" s="36" t="s">
        <v>36</v>
      </c>
      <c r="Q11" s="34"/>
    </row>
    <row r="12" spans="2:17">
      <c r="B12" s="28" t="s">
        <v>37</v>
      </c>
      <c r="C12" s="28" t="s">
        <v>38</v>
      </c>
      <c r="D12" s="28" t="s">
        <v>22</v>
      </c>
      <c r="E12" s="32">
        <v>200</v>
      </c>
      <c r="F12" s="30">
        <v>1987.83</v>
      </c>
      <c r="G12" s="30">
        <v>4.93</v>
      </c>
      <c r="H12" s="30">
        <v>7.93</v>
      </c>
      <c r="J12" s="24"/>
      <c r="K12" s="24"/>
      <c r="L12" s="24"/>
      <c r="M12" s="16"/>
      <c r="N12" s="33"/>
      <c r="O12" s="35"/>
      <c r="P12" s="37"/>
      <c r="Q12" s="35"/>
    </row>
    <row r="13" spans="2:17" ht="15">
      <c r="B13" s="28" t="s">
        <v>39</v>
      </c>
      <c r="C13" s="28" t="s">
        <v>40</v>
      </c>
      <c r="D13" s="28" t="s">
        <v>22</v>
      </c>
      <c r="E13" s="32">
        <v>150</v>
      </c>
      <c r="F13" s="30">
        <v>1561.46</v>
      </c>
      <c r="G13" s="30">
        <v>3.87</v>
      </c>
      <c r="H13" s="30">
        <v>7.53</v>
      </c>
      <c r="J13" s="16"/>
      <c r="K13" t="s">
        <v>41</v>
      </c>
      <c r="L13" s="16"/>
      <c r="M13" s="16"/>
    </row>
    <row r="14" spans="2:17">
      <c r="B14" s="28" t="s">
        <v>42</v>
      </c>
      <c r="C14" s="28" t="s">
        <v>43</v>
      </c>
      <c r="D14" s="28" t="s">
        <v>22</v>
      </c>
      <c r="E14" s="32">
        <v>150</v>
      </c>
      <c r="F14" s="30">
        <v>1466.77</v>
      </c>
      <c r="G14" s="30">
        <v>3.63</v>
      </c>
      <c r="H14" s="30">
        <v>7.68</v>
      </c>
      <c r="J14" s="38"/>
      <c r="K14" s="38"/>
      <c r="L14" s="38"/>
      <c r="M14" s="16"/>
    </row>
    <row r="15" spans="2:17">
      <c r="B15" s="28" t="s">
        <v>44</v>
      </c>
      <c r="C15" s="28" t="s">
        <v>45</v>
      </c>
      <c r="D15" s="28" t="s">
        <v>22</v>
      </c>
      <c r="E15" s="32">
        <v>150</v>
      </c>
      <c r="F15" s="30">
        <v>1439.07</v>
      </c>
      <c r="G15" s="30">
        <v>3.57</v>
      </c>
      <c r="H15" s="30">
        <v>7.67</v>
      </c>
      <c r="J15" s="38"/>
      <c r="K15" s="38"/>
      <c r="L15" s="38"/>
      <c r="M15" s="16"/>
    </row>
    <row r="16" spans="2:17">
      <c r="B16" s="28" t="s">
        <v>46</v>
      </c>
      <c r="C16" s="28" t="s">
        <v>47</v>
      </c>
      <c r="D16" s="28" t="s">
        <v>32</v>
      </c>
      <c r="E16" s="32">
        <v>150</v>
      </c>
      <c r="F16" s="30">
        <v>1436.89</v>
      </c>
      <c r="G16" s="30">
        <v>3.56</v>
      </c>
      <c r="H16" s="30">
        <v>7.7</v>
      </c>
      <c r="J16" s="39" t="s">
        <v>48</v>
      </c>
      <c r="K16" s="39"/>
      <c r="L16" s="39"/>
      <c r="M16" s="16"/>
    </row>
    <row r="17" spans="2:13">
      <c r="B17" s="28" t="s">
        <v>49</v>
      </c>
      <c r="C17" s="28" t="s">
        <v>50</v>
      </c>
      <c r="D17" s="28" t="s">
        <v>22</v>
      </c>
      <c r="E17" s="32">
        <v>100</v>
      </c>
      <c r="F17" s="30">
        <v>1007.77</v>
      </c>
      <c r="G17" s="30">
        <v>2.5</v>
      </c>
      <c r="H17" s="30">
        <v>7.84</v>
      </c>
      <c r="J17" s="39"/>
      <c r="K17" s="39"/>
      <c r="L17" s="39"/>
      <c r="M17" s="16"/>
    </row>
    <row r="18" spans="2:13">
      <c r="B18" s="28" t="s">
        <v>51</v>
      </c>
      <c r="C18" s="28" t="s">
        <v>52</v>
      </c>
      <c r="D18" s="28" t="s">
        <v>22</v>
      </c>
      <c r="E18" s="32">
        <v>100</v>
      </c>
      <c r="F18" s="30">
        <v>971.97</v>
      </c>
      <c r="G18" s="30">
        <v>2.41</v>
      </c>
      <c r="H18" s="30">
        <v>8.0299999999999994</v>
      </c>
      <c r="J18" s="39"/>
      <c r="K18" s="39"/>
      <c r="L18" s="39"/>
      <c r="M18" s="16"/>
    </row>
    <row r="19" spans="2:13">
      <c r="B19" s="28" t="s">
        <v>53</v>
      </c>
      <c r="C19" s="28" t="s">
        <v>54</v>
      </c>
      <c r="D19" s="28" t="s">
        <v>22</v>
      </c>
      <c r="E19" s="32">
        <v>50</v>
      </c>
      <c r="F19" s="30">
        <v>505.86</v>
      </c>
      <c r="G19" s="30">
        <v>1.25</v>
      </c>
      <c r="H19" s="30">
        <v>7.58</v>
      </c>
      <c r="J19" s="38"/>
      <c r="K19" s="38"/>
      <c r="L19" s="38"/>
      <c r="M19" s="16"/>
    </row>
    <row r="20" spans="2:13">
      <c r="B20" s="28" t="s">
        <v>55</v>
      </c>
      <c r="C20" s="28" t="s">
        <v>56</v>
      </c>
      <c r="D20" s="28" t="s">
        <v>22</v>
      </c>
      <c r="E20" s="32">
        <v>50</v>
      </c>
      <c r="F20" s="30">
        <v>502.11</v>
      </c>
      <c r="G20" s="30">
        <v>1.24</v>
      </c>
      <c r="H20" s="30">
        <v>7.68</v>
      </c>
      <c r="J20" s="38"/>
      <c r="K20" s="38"/>
      <c r="L20" s="38"/>
      <c r="M20" s="16"/>
    </row>
    <row r="21" spans="2:13">
      <c r="B21" s="40" t="s">
        <v>57</v>
      </c>
      <c r="C21" s="40"/>
      <c r="D21" s="40"/>
      <c r="E21" s="41"/>
      <c r="F21" s="42">
        <f>SUM(F6:F20)</f>
        <v>23415.520000000004</v>
      </c>
      <c r="G21" s="42">
        <f>SUM(G6:G20)</f>
        <v>58.030000000000008</v>
      </c>
      <c r="H21" s="43"/>
      <c r="I21" s="44"/>
      <c r="J21" s="38"/>
      <c r="K21" s="38"/>
      <c r="L21" s="38"/>
      <c r="M21" s="16"/>
    </row>
    <row r="22" spans="2:13">
      <c r="B22" s="45" t="s">
        <v>58</v>
      </c>
      <c r="C22" s="45"/>
      <c r="D22" s="45"/>
      <c r="E22" s="46"/>
      <c r="F22" s="47">
        <f>F21</f>
        <v>23415.520000000004</v>
      </c>
      <c r="G22" s="47">
        <f>G21</f>
        <v>58.030000000000008</v>
      </c>
      <c r="H22" s="47"/>
      <c r="I22" s="44"/>
      <c r="J22" s="38"/>
      <c r="K22" s="38"/>
      <c r="L22" s="38"/>
      <c r="M22" s="16"/>
    </row>
    <row r="23" spans="2:13">
      <c r="B23" s="27" t="s">
        <v>59</v>
      </c>
      <c r="C23" s="28"/>
      <c r="D23" s="28"/>
      <c r="E23" s="29"/>
      <c r="F23" s="30"/>
      <c r="G23" s="30"/>
      <c r="H23" s="30"/>
      <c r="J23" s="38"/>
      <c r="K23" s="38"/>
      <c r="L23" s="38"/>
      <c r="M23" s="16"/>
    </row>
    <row r="24" spans="2:13">
      <c r="B24" s="27" t="s">
        <v>60</v>
      </c>
      <c r="C24" s="28"/>
      <c r="D24" s="28"/>
      <c r="E24" s="29"/>
      <c r="F24" s="30"/>
      <c r="G24" s="30"/>
      <c r="H24" s="30"/>
      <c r="J24" s="38"/>
      <c r="K24" s="38"/>
      <c r="L24" s="38"/>
      <c r="M24" s="16"/>
    </row>
    <row r="25" spans="2:13">
      <c r="B25" s="28" t="s">
        <v>61</v>
      </c>
      <c r="C25" s="28" t="s">
        <v>62</v>
      </c>
      <c r="D25" s="28" t="s">
        <v>63</v>
      </c>
      <c r="E25" s="32">
        <v>500</v>
      </c>
      <c r="F25" s="30">
        <v>2433.12</v>
      </c>
      <c r="G25" s="30">
        <v>6.03</v>
      </c>
      <c r="H25" s="30">
        <v>7.27</v>
      </c>
      <c r="J25" s="38"/>
      <c r="K25" s="38"/>
      <c r="L25" s="38"/>
      <c r="M25" s="16"/>
    </row>
    <row r="26" spans="2:13">
      <c r="B26" s="28" t="s">
        <v>64</v>
      </c>
      <c r="C26" s="28" t="s">
        <v>65</v>
      </c>
      <c r="D26" s="28" t="s">
        <v>66</v>
      </c>
      <c r="E26" s="32">
        <v>500</v>
      </c>
      <c r="F26" s="30">
        <v>2431.98</v>
      </c>
      <c r="G26" s="30">
        <v>6.03</v>
      </c>
      <c r="H26" s="30">
        <v>7.4</v>
      </c>
      <c r="J26" s="38"/>
      <c r="K26" s="38"/>
      <c r="L26" s="38"/>
      <c r="M26" s="16"/>
    </row>
    <row r="27" spans="2:13">
      <c r="B27" s="28" t="s">
        <v>67</v>
      </c>
      <c r="C27" s="28" t="s">
        <v>68</v>
      </c>
      <c r="D27" s="28" t="s">
        <v>63</v>
      </c>
      <c r="E27" s="32">
        <v>500</v>
      </c>
      <c r="F27" s="30">
        <v>2378.7800000000002</v>
      </c>
      <c r="G27" s="30">
        <v>5.89</v>
      </c>
      <c r="H27" s="30">
        <v>7.47</v>
      </c>
      <c r="J27" s="38"/>
      <c r="K27" s="38"/>
      <c r="L27" s="38"/>
      <c r="M27" s="16"/>
    </row>
    <row r="28" spans="2:13">
      <c r="B28" s="28" t="s">
        <v>69</v>
      </c>
      <c r="C28" s="28" t="s">
        <v>70</v>
      </c>
      <c r="D28" s="28" t="s">
        <v>63</v>
      </c>
      <c r="E28" s="32">
        <v>500</v>
      </c>
      <c r="F28" s="30">
        <v>2361.6999999999998</v>
      </c>
      <c r="G28" s="30">
        <v>5.85</v>
      </c>
      <c r="H28" s="30">
        <v>7.5</v>
      </c>
      <c r="J28" s="38"/>
      <c r="K28" s="38"/>
      <c r="L28" s="38"/>
      <c r="M28" s="16"/>
    </row>
    <row r="29" spans="2:13">
      <c r="B29" s="27" t="s">
        <v>57</v>
      </c>
      <c r="C29" s="27"/>
      <c r="D29" s="27"/>
      <c r="E29" s="48"/>
      <c r="F29" s="49">
        <f>SUM(F24:F28)</f>
        <v>9605.5800000000017</v>
      </c>
      <c r="G29" s="49">
        <f>SUM(G24:G28)</f>
        <v>23.799999999999997</v>
      </c>
      <c r="H29" s="50"/>
      <c r="I29" s="44"/>
      <c r="J29" s="38"/>
      <c r="K29" s="38"/>
      <c r="L29" s="38"/>
      <c r="M29" s="16"/>
    </row>
    <row r="30" spans="2:13">
      <c r="B30" s="27" t="s">
        <v>71</v>
      </c>
      <c r="C30" s="28"/>
      <c r="D30" s="28"/>
      <c r="E30" s="29"/>
      <c r="F30" s="30"/>
      <c r="G30" s="30"/>
      <c r="H30" s="30"/>
      <c r="J30" s="38"/>
      <c r="K30" s="38"/>
      <c r="L30" s="38"/>
      <c r="M30" s="16"/>
    </row>
    <row r="31" spans="2:13">
      <c r="B31" s="28" t="s">
        <v>72</v>
      </c>
      <c r="C31" s="28" t="s">
        <v>73</v>
      </c>
      <c r="D31" s="28" t="s">
        <v>74</v>
      </c>
      <c r="E31" s="32">
        <v>1000000</v>
      </c>
      <c r="F31" s="30">
        <v>949.56</v>
      </c>
      <c r="G31" s="30">
        <v>2.35</v>
      </c>
      <c r="H31" s="30">
        <v>7.16</v>
      </c>
      <c r="J31" s="38"/>
      <c r="K31" s="38"/>
      <c r="L31" s="38"/>
      <c r="M31" s="16"/>
    </row>
    <row r="32" spans="2:13">
      <c r="B32" s="28" t="s">
        <v>75</v>
      </c>
      <c r="C32" s="28" t="s">
        <v>76</v>
      </c>
      <c r="D32" s="28" t="s">
        <v>74</v>
      </c>
      <c r="E32" s="32">
        <v>250000</v>
      </c>
      <c r="F32" s="30">
        <v>235.84</v>
      </c>
      <c r="G32" s="30">
        <v>0.57999999999999996</v>
      </c>
      <c r="H32" s="30">
        <v>7.16</v>
      </c>
      <c r="J32" s="38"/>
      <c r="K32" s="38"/>
      <c r="L32" s="38"/>
      <c r="M32" s="16"/>
    </row>
    <row r="33" spans="2:13">
      <c r="B33" s="40" t="s">
        <v>57</v>
      </c>
      <c r="C33" s="40"/>
      <c r="D33" s="40"/>
      <c r="E33" s="41"/>
      <c r="F33" s="42">
        <f>SUM(F30:F32)</f>
        <v>1185.3999999999999</v>
      </c>
      <c r="G33" s="42">
        <f>SUM(G30:G32)</f>
        <v>2.93</v>
      </c>
      <c r="H33" s="43"/>
      <c r="I33" s="44"/>
      <c r="J33" s="38"/>
      <c r="K33" s="38"/>
      <c r="L33" s="38"/>
      <c r="M33" s="16"/>
    </row>
    <row r="34" spans="2:13">
      <c r="B34" s="45" t="s">
        <v>58</v>
      </c>
      <c r="C34" s="45"/>
      <c r="D34" s="45"/>
      <c r="E34" s="46"/>
      <c r="F34" s="47">
        <f>F29+F33</f>
        <v>10790.980000000001</v>
      </c>
      <c r="G34" s="47">
        <f>G29+G33</f>
        <v>26.729999999999997</v>
      </c>
      <c r="H34" s="47"/>
      <c r="I34" s="44"/>
      <c r="J34" s="38"/>
      <c r="K34" s="38"/>
      <c r="L34" s="38"/>
      <c r="M34" s="16"/>
    </row>
    <row r="35" spans="2:13">
      <c r="B35" s="27" t="s">
        <v>77</v>
      </c>
      <c r="C35" s="28"/>
      <c r="D35" s="28"/>
      <c r="E35" s="29"/>
      <c r="F35" s="30"/>
      <c r="G35" s="30"/>
      <c r="H35" s="30"/>
      <c r="J35" s="38"/>
      <c r="K35" s="38"/>
      <c r="L35" s="38"/>
      <c r="M35" s="16"/>
    </row>
    <row r="36" spans="2:13">
      <c r="B36" s="28" t="s">
        <v>78</v>
      </c>
      <c r="C36" s="28" t="s">
        <v>79</v>
      </c>
      <c r="D36" s="28" t="s">
        <v>80</v>
      </c>
      <c r="E36" s="32">
        <v>500000</v>
      </c>
      <c r="F36" s="30">
        <v>503.49</v>
      </c>
      <c r="G36" s="30">
        <v>1.25</v>
      </c>
      <c r="H36" s="30">
        <v>7.31</v>
      </c>
      <c r="J36" s="38"/>
      <c r="K36" s="38"/>
      <c r="L36" s="38"/>
      <c r="M36" s="16"/>
    </row>
    <row r="37" spans="2:13">
      <c r="B37" s="28" t="s">
        <v>81</v>
      </c>
      <c r="C37" s="28" t="s">
        <v>82</v>
      </c>
      <c r="D37" s="28" t="s">
        <v>80</v>
      </c>
      <c r="E37" s="32">
        <v>500000</v>
      </c>
      <c r="F37" s="30">
        <v>477.42</v>
      </c>
      <c r="G37" s="30">
        <v>1.18</v>
      </c>
      <c r="H37" s="30">
        <v>7.3</v>
      </c>
      <c r="J37" s="38"/>
      <c r="K37" s="38"/>
      <c r="L37" s="38"/>
      <c r="M37" s="16"/>
    </row>
    <row r="38" spans="2:13">
      <c r="B38" s="51" t="s">
        <v>83</v>
      </c>
      <c r="C38" s="51" t="s">
        <v>84</v>
      </c>
      <c r="D38" s="51" t="s">
        <v>80</v>
      </c>
      <c r="E38" s="52">
        <v>250000</v>
      </c>
      <c r="F38" s="53">
        <v>249.06</v>
      </c>
      <c r="G38" s="53">
        <v>0.62</v>
      </c>
      <c r="H38" s="53">
        <v>7.45</v>
      </c>
      <c r="J38" s="38"/>
      <c r="K38" s="38"/>
      <c r="L38" s="38"/>
      <c r="M38" s="16"/>
    </row>
    <row r="39" spans="2:13">
      <c r="B39" s="54" t="s">
        <v>58</v>
      </c>
      <c r="C39" s="54"/>
      <c r="D39" s="54"/>
      <c r="E39" s="55"/>
      <c r="F39" s="49">
        <f>SUM(F36:F38)</f>
        <v>1229.97</v>
      </c>
      <c r="G39" s="49">
        <f>SUM(G36:G38)</f>
        <v>3.05</v>
      </c>
      <c r="H39" s="49"/>
      <c r="I39" s="44"/>
      <c r="J39" s="38"/>
      <c r="K39" s="38"/>
      <c r="L39" s="38"/>
      <c r="M39" s="16"/>
    </row>
    <row r="40" spans="2:13">
      <c r="B40" s="27" t="s">
        <v>85</v>
      </c>
      <c r="C40" s="28"/>
      <c r="D40" s="28"/>
      <c r="E40" s="29"/>
      <c r="F40" s="30"/>
      <c r="G40" s="30"/>
      <c r="H40" s="30"/>
      <c r="J40" s="38"/>
      <c r="K40" s="38"/>
      <c r="L40" s="38"/>
      <c r="M40" s="16"/>
    </row>
    <row r="41" spans="2:13">
      <c r="B41" s="28" t="s">
        <v>85</v>
      </c>
      <c r="C41" s="28"/>
      <c r="D41" s="28"/>
      <c r="E41" s="29"/>
      <c r="F41" s="30">
        <v>2298.7800000000002</v>
      </c>
      <c r="G41" s="30">
        <v>5.7</v>
      </c>
      <c r="H41" s="30"/>
      <c r="J41" s="38"/>
      <c r="K41" s="38"/>
      <c r="L41" s="38"/>
      <c r="M41" s="16"/>
    </row>
    <row r="42" spans="2:13">
      <c r="B42" s="40" t="s">
        <v>57</v>
      </c>
      <c r="C42" s="40"/>
      <c r="D42" s="40"/>
      <c r="E42" s="41"/>
      <c r="F42" s="42">
        <f>SUM(F40:F41)</f>
        <v>2298.7800000000002</v>
      </c>
      <c r="G42" s="42">
        <f>SUM(G40:G41)</f>
        <v>5.7</v>
      </c>
      <c r="H42" s="43"/>
      <c r="I42" s="44"/>
      <c r="J42" s="38"/>
      <c r="K42" s="38"/>
      <c r="L42" s="38"/>
      <c r="M42" s="16"/>
    </row>
    <row r="43" spans="2:13">
      <c r="B43" s="56" t="s">
        <v>58</v>
      </c>
      <c r="C43" s="56"/>
      <c r="D43" s="56"/>
      <c r="E43" s="57"/>
      <c r="F43" s="58">
        <f>F42</f>
        <v>2298.7800000000002</v>
      </c>
      <c r="G43" s="58">
        <f>G42</f>
        <v>5.7</v>
      </c>
      <c r="H43" s="58"/>
      <c r="I43" s="44"/>
      <c r="J43" s="38"/>
      <c r="K43" s="38"/>
      <c r="L43" s="38"/>
      <c r="M43" s="16"/>
    </row>
    <row r="44" spans="2:13">
      <c r="B44" s="59" t="s">
        <v>86</v>
      </c>
      <c r="C44" s="59"/>
      <c r="D44" s="59"/>
      <c r="E44" s="60"/>
      <c r="F44" s="61">
        <f>F45-(+F22+F34+F39+F43)</f>
        <v>2619.9699999999939</v>
      </c>
      <c r="G44" s="61">
        <f>G45-(+G22+G34+G39+G43)</f>
        <v>6.4899999999999949</v>
      </c>
      <c r="H44" s="61"/>
      <c r="I44" s="44"/>
      <c r="J44" s="38"/>
      <c r="K44" s="38"/>
      <c r="L44" s="38"/>
      <c r="M44" s="16"/>
    </row>
    <row r="45" spans="2:13">
      <c r="B45" s="59" t="s">
        <v>87</v>
      </c>
      <c r="C45" s="59"/>
      <c r="D45" s="59"/>
      <c r="E45" s="60"/>
      <c r="F45" s="61">
        <v>40355.22</v>
      </c>
      <c r="G45" s="61">
        <v>100</v>
      </c>
      <c r="H45" s="61"/>
      <c r="I45" s="44"/>
      <c r="J45" s="38"/>
      <c r="K45" s="38"/>
      <c r="L45" s="38"/>
      <c r="M45" s="16"/>
    </row>
    <row r="46" spans="2:13">
      <c r="J46" s="16"/>
      <c r="K46" s="16"/>
      <c r="L46" s="16"/>
      <c r="M46" s="16"/>
    </row>
    <row r="47" spans="2:13">
      <c r="B47" s="44" t="s">
        <v>88</v>
      </c>
      <c r="J47" s="16"/>
      <c r="K47" s="16"/>
      <c r="L47" s="16"/>
      <c r="M47" s="16"/>
    </row>
    <row r="48" spans="2:13">
      <c r="B48" s="44" t="s">
        <v>89</v>
      </c>
      <c r="J48" s="16"/>
      <c r="K48" s="16"/>
      <c r="L48" s="16"/>
      <c r="M48" s="16"/>
    </row>
    <row r="49" spans="2:13" ht="12.75" thickBot="1">
      <c r="J49" s="16"/>
      <c r="K49" s="16"/>
      <c r="L49" s="16"/>
      <c r="M49" s="16"/>
    </row>
    <row r="50" spans="2:13" ht="13.5" thickTop="1" thickBot="1">
      <c r="B50" s="63" t="s">
        <v>90</v>
      </c>
      <c r="C50" s="64">
        <v>1.5815031498837315</v>
      </c>
      <c r="J50" s="16"/>
      <c r="K50" s="16"/>
      <c r="L50" s="16"/>
      <c r="M50" s="16"/>
    </row>
    <row r="51" spans="2:13" ht="13.5" thickTop="1" thickBot="1">
      <c r="B51" s="65"/>
      <c r="C51" s="65"/>
      <c r="J51" s="16"/>
      <c r="K51" s="16"/>
      <c r="L51" s="16"/>
      <c r="M51" s="16"/>
    </row>
    <row r="52" spans="2:13" ht="13.5" thickTop="1" thickBot="1">
      <c r="B52" s="63" t="s">
        <v>91</v>
      </c>
      <c r="C52" s="66">
        <v>7.5352815987399541E-2</v>
      </c>
      <c r="J52" s="16"/>
      <c r="K52" s="16"/>
      <c r="L52" s="16"/>
      <c r="M52" s="16"/>
    </row>
    <row r="53" spans="2:13" ht="13.5" thickTop="1" thickBot="1">
      <c r="B53" s="65"/>
      <c r="C53" s="65"/>
      <c r="J53" s="16"/>
      <c r="K53" s="16"/>
      <c r="L53" s="16"/>
      <c r="M53" s="16"/>
    </row>
    <row r="54" spans="2:13" ht="13.5" thickTop="1" thickBot="1">
      <c r="B54" s="63" t="s">
        <v>92</v>
      </c>
      <c r="C54" s="64">
        <v>1.8108722737314751</v>
      </c>
      <c r="J54" s="16"/>
      <c r="K54" s="16"/>
      <c r="L54" s="16"/>
      <c r="M54" s="16"/>
    </row>
    <row r="55" spans="2:13" ht="12.75" thickTop="1">
      <c r="J55" s="16"/>
      <c r="K55" s="16"/>
      <c r="L55" s="16"/>
      <c r="M55" s="16"/>
    </row>
    <row r="56" spans="2:13">
      <c r="J56" s="16"/>
      <c r="K56" s="16"/>
      <c r="L56" s="16"/>
      <c r="M56" s="16"/>
    </row>
    <row r="57" spans="2:13">
      <c r="J57" s="16"/>
      <c r="K57" s="16"/>
      <c r="L57" s="16"/>
      <c r="M57" s="16"/>
    </row>
    <row r="58" spans="2:13">
      <c r="J58" s="16"/>
      <c r="K58" s="16"/>
      <c r="L58" s="16"/>
      <c r="M58" s="16"/>
    </row>
    <row r="59" spans="2:13">
      <c r="J59" s="16"/>
      <c r="K59" s="16"/>
      <c r="L59" s="16"/>
      <c r="M59" s="16"/>
    </row>
    <row r="60" spans="2:13">
      <c r="J60" s="16"/>
      <c r="K60" s="16"/>
      <c r="L60" s="16"/>
      <c r="M60" s="16"/>
    </row>
    <row r="61" spans="2:13">
      <c r="J61" s="16"/>
      <c r="K61" s="16"/>
      <c r="L61" s="16"/>
      <c r="M61" s="16"/>
    </row>
    <row r="62" spans="2:13">
      <c r="J62" s="16"/>
      <c r="K62" s="16"/>
      <c r="L62" s="16"/>
      <c r="M62" s="16"/>
    </row>
    <row r="63" spans="2:13">
      <c r="J63" s="16"/>
      <c r="K63" s="16"/>
      <c r="L63" s="16"/>
      <c r="M63" s="16"/>
    </row>
    <row r="64" spans="2:13">
      <c r="J64" s="16"/>
      <c r="K64" s="16"/>
    </row>
    <row r="65" spans="10:11">
      <c r="J65" s="16"/>
      <c r="K65" s="16"/>
    </row>
    <row r="66" spans="10:11">
      <c r="J66" s="16"/>
      <c r="K66" s="16"/>
    </row>
    <row r="67" spans="10:11">
      <c r="J67" s="16"/>
      <c r="K67" s="16"/>
    </row>
    <row r="68" spans="10:11">
      <c r="J68" s="16"/>
      <c r="K68" s="16"/>
    </row>
    <row r="69" spans="10:11">
      <c r="J69" s="16"/>
      <c r="K69" s="16"/>
    </row>
    <row r="70" spans="10:11">
      <c r="J70" s="16"/>
      <c r="K70" s="16"/>
    </row>
    <row r="71" spans="10:11">
      <c r="J71" s="16"/>
      <c r="K71" s="16"/>
    </row>
    <row r="72" spans="10:11">
      <c r="J72" s="16"/>
      <c r="K72" s="16"/>
    </row>
    <row r="73" spans="10:11">
      <c r="J73" s="16"/>
      <c r="K73" s="16"/>
    </row>
    <row r="74" spans="10:11">
      <c r="J74" s="16"/>
      <c r="K74" s="16"/>
    </row>
    <row r="75" spans="10:11">
      <c r="J75" s="16"/>
      <c r="K75" s="16"/>
    </row>
    <row r="76" spans="10:11">
      <c r="J76" s="16"/>
      <c r="K76" s="16"/>
    </row>
    <row r="77" spans="10:11">
      <c r="J77" s="16"/>
      <c r="K77" s="16"/>
    </row>
    <row r="78" spans="10:11">
      <c r="J78" s="16"/>
      <c r="K78" s="16"/>
    </row>
    <row r="79" spans="10:11">
      <c r="J79" s="16"/>
      <c r="K79" s="16"/>
    </row>
    <row r="80" spans="10:11">
      <c r="J80" s="16"/>
      <c r="K80" s="16"/>
    </row>
    <row r="81" spans="10:11">
      <c r="J81" s="16"/>
      <c r="K81" s="16"/>
    </row>
    <row r="82" spans="10:11">
      <c r="J82" s="16"/>
      <c r="K82" s="16"/>
    </row>
    <row r="83" spans="10:11">
      <c r="J83" s="16"/>
      <c r="K83" s="16"/>
    </row>
    <row r="84" spans="10:11">
      <c r="J84" s="16"/>
      <c r="K84" s="16"/>
    </row>
    <row r="85" spans="10:11">
      <c r="J85" s="16"/>
      <c r="K85" s="16"/>
    </row>
    <row r="86" spans="10:11">
      <c r="J86" s="16"/>
      <c r="K86" s="16"/>
    </row>
    <row r="87" spans="10:11">
      <c r="J87" s="16"/>
      <c r="K87" s="16"/>
    </row>
    <row r="88" spans="10:11">
      <c r="J88" s="16"/>
      <c r="K88" s="16"/>
    </row>
    <row r="89" spans="10:11">
      <c r="J89" s="16"/>
      <c r="K89" s="16"/>
    </row>
    <row r="90" spans="10:11">
      <c r="J90" s="16"/>
      <c r="K90" s="16"/>
    </row>
    <row r="91" spans="10:11">
      <c r="J91" s="16"/>
      <c r="K91" s="16"/>
    </row>
    <row r="92" spans="10:11">
      <c r="J92" s="16"/>
      <c r="K92" s="16"/>
    </row>
    <row r="93" spans="10:11">
      <c r="J93" s="16"/>
      <c r="K93" s="16"/>
    </row>
    <row r="94" spans="10:11">
      <c r="J94" s="16"/>
      <c r="K94" s="16"/>
    </row>
    <row r="95" spans="10:11">
      <c r="J95" s="16"/>
      <c r="K95" s="16"/>
    </row>
    <row r="96" spans="10:11">
      <c r="J96" s="16"/>
      <c r="K96" s="16"/>
    </row>
    <row r="97" spans="10:11">
      <c r="J97" s="16"/>
      <c r="K97" s="16"/>
    </row>
    <row r="98" spans="10:11">
      <c r="J98" s="16"/>
      <c r="K98" s="16"/>
    </row>
    <row r="99" spans="10:11">
      <c r="J99" s="16"/>
      <c r="K99" s="16"/>
    </row>
    <row r="100" spans="10:11">
      <c r="J100" s="16"/>
      <c r="K100" s="16"/>
    </row>
    <row r="101" spans="10:11">
      <c r="J101" s="16"/>
      <c r="K101" s="16"/>
    </row>
    <row r="102" spans="10:11">
      <c r="J102" s="16"/>
      <c r="K102" s="16"/>
    </row>
    <row r="103" spans="10:11">
      <c r="J103" s="16"/>
      <c r="K103" s="16"/>
    </row>
    <row r="104" spans="10:11">
      <c r="J104" s="16"/>
      <c r="K104" s="16"/>
    </row>
    <row r="105" spans="10:11">
      <c r="J105" s="16"/>
      <c r="K105" s="16"/>
    </row>
    <row r="106" spans="10:11">
      <c r="J106" s="16"/>
      <c r="K106" s="16"/>
    </row>
    <row r="107" spans="10:11">
      <c r="J107" s="16"/>
      <c r="K107" s="16"/>
    </row>
    <row r="108" spans="10:11">
      <c r="J108" s="16"/>
      <c r="K108" s="16"/>
    </row>
    <row r="109" spans="10:11">
      <c r="J109" s="16"/>
      <c r="K109" s="16"/>
    </row>
    <row r="110" spans="10:11">
      <c r="J110" s="16"/>
      <c r="K110" s="16"/>
    </row>
    <row r="111" spans="10:11">
      <c r="J111" s="16"/>
      <c r="K111" s="16"/>
    </row>
    <row r="112" spans="10:11">
      <c r="J112" s="16"/>
      <c r="K112" s="16"/>
    </row>
    <row r="113" spans="10:11">
      <c r="J113" s="16"/>
      <c r="K113" s="16"/>
    </row>
    <row r="114" spans="10:11">
      <c r="J114" s="16"/>
      <c r="K114" s="16"/>
    </row>
    <row r="115" spans="10:11">
      <c r="J115" s="16"/>
      <c r="K115" s="16"/>
    </row>
    <row r="116" spans="10:11">
      <c r="J116" s="16"/>
      <c r="K116" s="16"/>
    </row>
    <row r="117" spans="10:11">
      <c r="J117" s="16"/>
      <c r="K117" s="16"/>
    </row>
    <row r="118" spans="10:11">
      <c r="J118" s="16"/>
      <c r="K118" s="16"/>
    </row>
    <row r="119" spans="10:11">
      <c r="J119" s="16"/>
      <c r="K119" s="16"/>
    </row>
    <row r="120" spans="10:11">
      <c r="J120" s="16"/>
      <c r="K120" s="16"/>
    </row>
    <row r="121" spans="10:11">
      <c r="J121" s="16"/>
      <c r="K121" s="16"/>
    </row>
    <row r="122" spans="10:11">
      <c r="J122" s="16"/>
      <c r="K122" s="16"/>
    </row>
    <row r="123" spans="10:11">
      <c r="J123" s="16"/>
      <c r="K123" s="16"/>
    </row>
    <row r="124" spans="10:11">
      <c r="J124" s="16"/>
      <c r="K124" s="16"/>
    </row>
    <row r="125" spans="10:11">
      <c r="J125" s="16"/>
      <c r="K125" s="16"/>
    </row>
    <row r="126" spans="10:11">
      <c r="J126" s="16"/>
      <c r="K126" s="16"/>
    </row>
    <row r="127" spans="10:11">
      <c r="J127" s="16"/>
      <c r="K127" s="16"/>
    </row>
    <row r="128" spans="10:11">
      <c r="J128" s="16"/>
      <c r="K128" s="16"/>
    </row>
    <row r="129" spans="10:11">
      <c r="J129" s="16"/>
      <c r="K129" s="16"/>
    </row>
    <row r="130" spans="10:11">
      <c r="J130" s="16"/>
      <c r="K130" s="16"/>
    </row>
    <row r="131" spans="10:11">
      <c r="J131" s="16"/>
      <c r="K131" s="16"/>
    </row>
    <row r="132" spans="10:11">
      <c r="J132" s="16"/>
      <c r="K132" s="16"/>
    </row>
    <row r="133" spans="10:11">
      <c r="J133" s="16"/>
      <c r="K133" s="16"/>
    </row>
    <row r="134" spans="10:11">
      <c r="J134" s="16"/>
      <c r="K134" s="16"/>
    </row>
    <row r="135" spans="10:11">
      <c r="J135" s="16"/>
      <c r="K135" s="16"/>
    </row>
    <row r="136" spans="10:11">
      <c r="J136" s="16"/>
      <c r="K136" s="16"/>
    </row>
    <row r="137" spans="10:11">
      <c r="J137" s="16"/>
      <c r="K137" s="16"/>
    </row>
  </sheetData>
  <mergeCells count="21">
    <mergeCell ref="N11:N12"/>
    <mergeCell ref="O11:O12"/>
    <mergeCell ref="P11:P12"/>
    <mergeCell ref="Q11:Q12"/>
    <mergeCell ref="J16:L18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2023-04-04 17:45:54</KDate>
  <Classification>Public</Classification>
  <Subclassification/>
  <HostName>MUMCMP00935</HostName>
  <Domain_User>CANARAROBECOMF/628</Domain_User>
  <IPAdd>192.9.198.194</IPAdd>
  <FilePath>Book23</FilePath>
  <KID>C025A5607E97638162271541543512</KID>
  <UniqueName/>
  <Suggested/>
  <Justification/>
</Klassify>
</file>

<file path=customXml/itemProps1.xml><?xml version="1.0" encoding="utf-8"?>
<ds:datastoreItem xmlns:ds="http://schemas.openxmlformats.org/officeDocument/2006/customXml" ds:itemID="{653A245C-18A1-478D-93EE-F4217AAFC40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2023-04-04T12:15:43Z</dcterms:created>
  <dcterms:modified xsi:type="dcterms:W3CDTF">2023-04-04T12:15:54Z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C025A5607E97638162271541543512</vt:lpwstr>
  </property>
</Properties>
</file>