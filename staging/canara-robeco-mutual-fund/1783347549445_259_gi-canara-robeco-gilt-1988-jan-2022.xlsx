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Jan 22\"/>
    </mc:Choice>
  </mc:AlternateContent>
  <bookViews>
    <workbookView xWindow="0" yWindow="0" windowWidth="20490" windowHeight="7350"/>
  </bookViews>
  <sheets>
    <sheet name="G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G11" i="1"/>
  <c r="G12" i="1" s="1"/>
  <c r="F11" i="1"/>
  <c r="G8" i="1"/>
  <c r="G13" i="1" s="1"/>
  <c r="F8" i="1"/>
  <c r="F13" i="1" s="1"/>
</calcChain>
</file>

<file path=xl/sharedStrings.xml><?xml version="1.0" encoding="utf-8"?>
<sst xmlns="http://schemas.openxmlformats.org/spreadsheetml/2006/main" count="23" uniqueCount="20">
  <si>
    <t>CANARA ROBECO GILT 1988</t>
  </si>
  <si>
    <t>Monthly Portfolio Statement as on January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</si>
  <si>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</si>
  <si>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</si>
  <si>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</si>
  <si>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</si>
  <si>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</si>
  <si>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</si>
  <si>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</si>
  <si>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Government Bonds</t>
  </si>
  <si>
    <t>6.79% GOI (15/05/2027)</t>
  </si>
  <si>
    <t>IN0020170026</t>
  </si>
  <si>
    <t>Sovereign</t>
  </si>
  <si>
    <t>7.59% GOI (11/01/2026)</t>
  </si>
  <si>
    <t>IN0020150093</t>
  </si>
  <si>
    <t>Total</t>
  </si>
  <si>
    <t>TREPS</t>
  </si>
  <si>
    <t>Sub Total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</si>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</sst>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0" fontId="3" fillId="3" borderId="6" xfId="0" applyFont="1" applyFill="1" applyBorder="1"/>
    <xf numFmtId="3" fontId="3" fillId="3" borderId="6" xfId="0" applyNumberFormat="1" applyFont="1" applyFill="1" applyBorder="1"/>
    <xf numFmtId="4" fontId="3" fillId="3" borderId="6" xfId="0" applyNumberFormat="1" applyFont="1" applyFill="1" applyBorder="1"/>
    <xf numFmtId="0" fontId="3" fillId="3" borderId="7" xfId="0" applyFont="1" applyFill="1" applyBorder="1"/>
    <xf numFmtId="3" fontId="3" fillId="3" borderId="7" xfId="0" applyNumberFormat="1" applyFont="1" applyFill="1" applyBorder="1"/>
    <xf numFmtId="4" fontId="3" fillId="3" borderId="7" xfId="0" applyNumberFormat="1" applyFont="1" applyFill="1" applyBorder="1"/>
    <xf numFmtId="0" fontId="8" fillId="3" borderId="8" xfId="0" applyFont="1" applyFill="1" applyBorder="1"/>
    <xf numFmtId="0" fontId="8" fillId="3" borderId="8" xfId="0" applyNumberFormat="1" applyFont="1" applyFill="1" applyBorder="1"/>
    <xf numFmtId="4" fontId="8" fillId="3" borderId="8" xfId="0" applyNumberFormat="1" applyFont="1" applyFill="1" applyBorder="1"/>
    <xf numFmtId="0" fontId="8" fillId="3" borderId="6" xfId="0" applyFont="1" applyFill="1" applyBorder="1"/>
    <xf numFmtId="0" fontId="3" fillId="3" borderId="6" xfId="0" applyNumberFormat="1" applyFont="1" applyFill="1" applyBorder="1"/>
    <xf numFmtId="0" fontId="8" fillId="3" borderId="9" xfId="0" applyFont="1" applyFill="1" applyBorder="1"/>
    <xf numFmtId="0" fontId="8" fillId="3" borderId="9" xfId="0" applyNumberFormat="1" applyFont="1" applyFill="1" applyBorder="1"/>
    <xf numFmtId="4" fontId="8" fillId="3" borderId="10" xfId="0" applyNumberFormat="1" applyFont="1" applyFill="1" applyBorder="1"/>
    <xf numFmtId="4" fontId="8" fillId="3" borderId="9" xfId="0" applyNumberFormat="1" applyFont="1" applyFill="1" applyBorder="1"/>
    <xf numFmtId="0" fontId="8" fillId="3" borderId="11" xfId="0" applyFont="1" applyFill="1" applyBorder="1"/>
    <xf numFmtId="0" fontId="8" fillId="3" borderId="11" xfId="0" applyNumberFormat="1" applyFont="1" applyFill="1" applyBorder="1"/>
    <xf numFmtId="4" fontId="8" fillId="3" borderId="11" xfId="0" applyNumberFormat="1" applyFont="1" applyFill="1" applyBorder="1"/>
    <xf numFmtId="0" fontId="8" fillId="3" borderId="12" xfId="0" applyFont="1" applyFill="1" applyBorder="1"/>
    <xf numFmtId="0" fontId="8" fillId="3" borderId="12" xfId="0" applyNumberFormat="1" applyFont="1" applyFill="1" applyBorder="1"/>
    <xf numFmtId="4" fontId="8" fillId="3" borderId="12" xfId="0" applyNumberFormat="1" applyFont="1" applyFill="1" applyBorder="1"/>
    <xf numFmtId="0" fontId="8" fillId="3" borderId="0" xfId="0" applyFont="1" applyFill="1"/>
    <xf numFmtId="0" fontId="3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6"/>
  <sheetViews>
    <sheetView tabSelected="1" workbookViewId="0">
      <selection activeCell="E23" sqref="E23"/>
    </sheetView>
  </sheetViews>
  <sheetFormatPr defaultRowHeight="12" x14ac:dyDescent="0.2"/>
  <cols>
    <col min="1" max="1" width="9.140625" style="41"/>
    <col min="2" max="2" width="58.42578125" style="41" bestFit="1" customWidth="1"/>
    <col min="3" max="3" width="12.7109375" style="41" bestFit="1" customWidth="1"/>
    <col min="4" max="4" width="14.140625" style="41" bestFit="1" customWidth="1"/>
    <col min="5" max="5" width="8.85546875" style="42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" style="3" bestFit="1" customWidth="1"/>
    <col min="10" max="10" width="4.7109375" style="3" bestFit="1" customWidth="1"/>
    <col min="11" max="11" width="6.5703125" style="3" bestFit="1" customWidth="1"/>
    <col min="12" max="12" width="4.7109375" style="3" bestFit="1" customWidth="1"/>
    <col min="13" max="16384" width="9.140625" style="41"/>
  </cols>
  <sheetData>
    <row r="1" spans="2:8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8" ht="16.5" thickBot="1" x14ac:dyDescent="0.25">
      <c r="B3" s="4" t="s">
        <v>1</v>
      </c>
      <c r="C3" s="5"/>
      <c r="D3" s="6"/>
      <c r="E3" s="7"/>
      <c r="F3" s="8"/>
      <c r="G3" s="8"/>
    </row>
    <row r="4" spans="2:8" ht="24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</row>
    <row r="5" spans="2:8" x14ac:dyDescent="0.2">
      <c r="B5" s="15" t="s">
        <v>9</v>
      </c>
      <c r="C5" s="16"/>
      <c r="D5" s="16"/>
      <c r="E5" s="17"/>
      <c r="F5" s="18"/>
      <c r="G5" s="18"/>
      <c r="H5" s="18"/>
    </row>
    <row r="6" spans="2:8" x14ac:dyDescent="0.2">
      <c r="B6" s="19" t="s">
        <v>10</v>
      </c>
      <c r="C6" s="19" t="s">
        <v>11</v>
      </c>
      <c r="D6" s="19" t="s">
        <v>12</v>
      </c>
      <c r="E6" s="20">
        <v>1500000</v>
      </c>
      <c r="F6" s="21">
        <v>1536.95</v>
      </c>
      <c r="G6" s="21">
        <v>47.4</v>
      </c>
      <c r="H6" s="21">
        <v>6.23</v>
      </c>
    </row>
    <row r="7" spans="2:8" x14ac:dyDescent="0.2">
      <c r="B7" s="22" t="s">
        <v>13</v>
      </c>
      <c r="C7" s="22" t="s">
        <v>14</v>
      </c>
      <c r="D7" s="22" t="s">
        <v>12</v>
      </c>
      <c r="E7" s="23">
        <v>1000000</v>
      </c>
      <c r="F7" s="24">
        <v>1058.6400000000001</v>
      </c>
      <c r="G7" s="24">
        <v>32.65</v>
      </c>
      <c r="H7" s="24">
        <v>5.9</v>
      </c>
    </row>
    <row r="8" spans="2:8" x14ac:dyDescent="0.2">
      <c r="B8" s="25" t="s">
        <v>15</v>
      </c>
      <c r="C8" s="25"/>
      <c r="D8" s="25"/>
      <c r="E8" s="26"/>
      <c r="F8" s="27">
        <f>SUM(F6:F7)</f>
        <v>2595.59</v>
      </c>
      <c r="G8" s="27">
        <f>SUM(G6:G7)</f>
        <v>80.05</v>
      </c>
      <c r="H8" s="27"/>
    </row>
    <row r="9" spans="2:8" x14ac:dyDescent="0.2">
      <c r="B9" s="28" t="s">
        <v>16</v>
      </c>
      <c r="C9" s="19"/>
      <c r="D9" s="19"/>
      <c r="E9" s="29"/>
      <c r="F9" s="21"/>
      <c r="G9" s="21"/>
      <c r="H9" s="21"/>
    </row>
    <row r="10" spans="2:8" x14ac:dyDescent="0.2">
      <c r="B10" s="19" t="s">
        <v>16</v>
      </c>
      <c r="C10" s="19"/>
      <c r="D10" s="19"/>
      <c r="E10" s="29"/>
      <c r="F10" s="21">
        <v>616.76</v>
      </c>
      <c r="G10" s="21">
        <v>19.02</v>
      </c>
      <c r="H10" s="21"/>
    </row>
    <row r="11" spans="2:8" x14ac:dyDescent="0.2">
      <c r="B11" s="30" t="s">
        <v>17</v>
      </c>
      <c r="C11" s="30"/>
      <c r="D11" s="30"/>
      <c r="E11" s="31"/>
      <c r="F11" s="32">
        <f>SUM(F9:F10)</f>
        <v>616.76</v>
      </c>
      <c r="G11" s="32">
        <f>SUM(G9:G10)</f>
        <v>19.02</v>
      </c>
      <c r="H11" s="33"/>
    </row>
    <row r="12" spans="2:8" x14ac:dyDescent="0.2">
      <c r="B12" s="34" t="s">
        <v>15</v>
      </c>
      <c r="C12" s="34"/>
      <c r="D12" s="34"/>
      <c r="E12" s="35"/>
      <c r="F12" s="36">
        <f>F11</f>
        <v>616.76</v>
      </c>
      <c r="G12" s="36">
        <f>G11</f>
        <v>19.02</v>
      </c>
      <c r="H12" s="36"/>
    </row>
    <row r="13" spans="2:8" x14ac:dyDescent="0.2">
      <c r="B13" s="37" t="s">
        <v>18</v>
      </c>
      <c r="C13" s="37"/>
      <c r="D13" s="37"/>
      <c r="E13" s="38"/>
      <c r="F13" s="39">
        <f>F14-(+F8+F12)</f>
        <v>29.9399999999996</v>
      </c>
      <c r="G13" s="39">
        <f>G14-(+G8+G12)</f>
        <v>0.93000000000000682</v>
      </c>
      <c r="H13" s="39"/>
    </row>
    <row r="14" spans="2:8" x14ac:dyDescent="0.2">
      <c r="B14" s="37" t="s">
        <v>19</v>
      </c>
      <c r="C14" s="37"/>
      <c r="D14" s="37"/>
      <c r="E14" s="38"/>
      <c r="F14" s="39">
        <v>3242.29</v>
      </c>
      <c r="G14" s="39">
        <v>100</v>
      </c>
      <c r="H14" s="39"/>
    </row>
    <row r="16" spans="2:8" x14ac:dyDescent="0.2">
      <c r="B16" s="40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2022-02-08T11:12:12Z</dcterms:created>
  <dcterms:modified xsi:type="dcterms:W3CDTF">2022-02-08T11:12:15Z</dcterms:modified>
</cp:coreProperties>
</file>