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Mar 22\"/>
    </mc:Choice>
  </mc:AlternateContent>
  <bookViews>
    <workbookView xWindow="0" yWindow="0" windowWidth="20490" windowHeight="7350"/>
  </bookViews>
  <sheets>
    <sheet name="G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G20" i="1"/>
  <c r="G21" i="1" s="1"/>
  <c r="F20" i="1"/>
  <c r="G17" i="1"/>
  <c r="G22" i="1" s="1"/>
  <c r="F17" i="1"/>
  <c r="F22" i="1" s="1"/>
</calcChain>
</file>

<file path=xl/sharedStrings.xml><?xml version="1.0" encoding="utf-8"?>
<sst xmlns="http://schemas.openxmlformats.org/spreadsheetml/2006/main" count="64" uniqueCount="52">
  <si>
    <t>CANARA ROBECO GILT FUND</t>
  </si>
  <si>
    <t>Monthly Portfolio Statement as on March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</si>
  <si>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</si>
  <si>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</si>
  <si>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</si>
  <si>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</si>
  <si>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</si>
  <si>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</si>
  <si>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</si>
  <si>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Mar'22</t>
  </si>
  <si>
    <t>Benchmark Risk-o-meter Level- Mar'22</t>
  </si>
  <si>
    <t>Previous Scheme Risk-o-meter Level- Feb'22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</si>
  <si>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</si>
  <si>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</si>
  <si>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</si>
  <si>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</si>
  <si>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</si>
  <si>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</si>
  <si>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7.32% GOI (28/01/2024)</t>
  </si>
  <si>
    <t>IN0020180488</t>
  </si>
  <si>
    <t>Sovereign</t>
  </si>
  <si>
    <t>Interest Rate Risk ↓</t>
  </si>
  <si>
    <t>6.84% GOI (19/12/2022)</t>
  </si>
  <si>
    <t>IN0020160050</t>
  </si>
  <si>
    <t>Relatively Low (Class I)</t>
  </si>
  <si>
    <t>7.17% GOI (08/01/2028)</t>
  </si>
  <si>
    <t>IN0020170174</t>
  </si>
  <si>
    <t>8.34% UTTAR PRADESH SDL 13-JAN-26</t>
  </si>
  <si>
    <t>IN3320150359</t>
  </si>
  <si>
    <t>Moderate 
(Class II)</t>
  </si>
  <si>
    <t>7.26% INDIA GOVERNMENT 14-JAN-29</t>
  </si>
  <si>
    <t>IN0020180454</t>
  </si>
  <si>
    <t>8.35% GOI (14/05/2022)</t>
  </si>
  <si>
    <t>IN0020020072</t>
  </si>
  <si>
    <t>Relatively High (Class III)</t>
  </si>
  <si>
    <t>A-III</t>
  </si>
  <si>
    <t>5.09% GOI (13/04/2022)</t>
  </si>
  <si>
    <t>IN0020200021</t>
  </si>
  <si>
    <t>4.56% GOI 29-NOV-23</t>
  </si>
  <si>
    <t>IN0020210210</t>
  </si>
  <si>
    <t>Benchmark: CRISIL Dynamic Gilt Fund Index</t>
  </si>
  <si>
    <t>5.63% GOI (12/04/2026)</t>
  </si>
  <si>
    <t>IN0020210012</t>
  </si>
  <si>
    <t>6.22% GOI (16/03/2035)</t>
  </si>
  <si>
    <t>IN0020200245</t>
  </si>
  <si>
    <t>8.13% GOI (22/06/2045)</t>
  </si>
  <si>
    <t>IN0020150044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</si>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</sst>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3" borderId="10" xfId="0" applyFont="1" applyFill="1" applyBorder="1"/>
    <xf numFmtId="3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3" fillId="3" borderId="13" xfId="0" applyFont="1" applyFill="1" applyBorder="1"/>
    <xf numFmtId="3" fontId="3" fillId="3" borderId="13" xfId="0" applyNumberFormat="1" applyFont="1" applyFill="1" applyBorder="1"/>
    <xf numFmtId="4" fontId="3" fillId="3" borderId="13" xfId="0" applyNumberFormat="1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4" xfId="0" applyNumberFormat="1" applyFont="1" applyFill="1" applyBorder="1"/>
    <xf numFmtId="0" fontId="9" fillId="3" borderId="10" xfId="0" applyFont="1" applyFill="1" applyBorder="1"/>
    <xf numFmtId="0" fontId="3" fillId="3" borderId="10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4</xdr:row>
      <xdr:rowOff>114301</xdr:rowOff>
    </xdr:from>
    <xdr:to>
      <xdr:col>10</xdr:col>
      <xdr:colOff>1666875</xdr:colOff>
      <xdr:row>11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5676" y="1123951"/>
          <a:ext cx="1609724" cy="1352549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</xdr:row>
      <xdr:rowOff>107155</xdr:rowOff>
    </xdr:from>
    <xdr:to>
      <xdr:col>9</xdr:col>
      <xdr:colOff>1676400</xdr:colOff>
      <xdr:row>11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3075" y="1116805"/>
          <a:ext cx="1609725" cy="1350169"/>
        </a:xfrm>
        <a:prstGeom prst="rect">
          <a:avLst/>
        </a:prstGeom>
      </xdr:spPr>
    </xdr:pic>
    <xdr:clientData/>
  </xdr:twoCellAnchor>
  <xdr:oneCellAnchor>
    <xdr:from>
      <xdr:col>11</xdr:col>
      <xdr:colOff>47624</xdr:colOff>
      <xdr:row>4</xdr:row>
      <xdr:rowOff>65838</xdr:rowOff>
    </xdr:from>
    <xdr:ext cx="1685926" cy="1553411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39699" y="1075488"/>
          <a:ext cx="1685926" cy="1553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5"/>
  <sheetViews>
    <sheetView tabSelected="1" workbookViewId="0">
      <selection activeCell="L4" sqref="L4"/>
    </sheetView>
  </sheetViews>
  <sheetFormatPr defaultRowHeight="12"/>
  <cols>
    <col min="1" max="1" width="9.140625" style="4"/>
    <col min="2" max="2" width="56.28515625" style="4" bestFit="1" customWidth="1"/>
    <col min="3" max="3" width="12.7109375" style="4" bestFit="1" customWidth="1"/>
    <col min="4" max="4" width="14.140625" style="4" bestFit="1" customWidth="1"/>
    <col min="5" max="5" width="8.85546875" style="55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26.42578125" style="3" customWidth="1"/>
    <col min="11" max="11" width="26" style="3" customWidth="1"/>
    <col min="12" max="12" width="26.5703125" style="3" customWidth="1"/>
    <col min="13" max="13" width="9.140625" style="4"/>
    <col min="14" max="14" width="11.85546875" style="4" customWidth="1"/>
    <col min="15" max="15" width="12.5703125" style="4" customWidth="1"/>
    <col min="16" max="16" width="13.28515625" style="4" customWidth="1"/>
    <col min="17" max="17" width="13.5703125" style="4" customWidth="1"/>
    <col min="18" max="16384" width="9.140625" style="4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 customHeight="1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24">
      <c r="B6" s="27" t="s">
        <v>18</v>
      </c>
      <c r="C6" s="27" t="s">
        <v>19</v>
      </c>
      <c r="D6" s="27" t="s">
        <v>20</v>
      </c>
      <c r="E6" s="28">
        <v>2500000</v>
      </c>
      <c r="F6" s="29">
        <v>2599.84</v>
      </c>
      <c r="G6" s="29">
        <v>31.11</v>
      </c>
      <c r="H6" s="29">
        <v>5</v>
      </c>
      <c r="J6" s="24"/>
      <c r="K6" s="24"/>
      <c r="L6" s="24"/>
      <c r="N6" s="30" t="s">
        <v>21</v>
      </c>
      <c r="O6" s="26"/>
      <c r="P6" s="26"/>
      <c r="Q6" s="26"/>
    </row>
    <row r="7" spans="2:17" ht="12" customHeight="1">
      <c r="B7" s="27" t="s">
        <v>22</v>
      </c>
      <c r="C7" s="27" t="s">
        <v>23</v>
      </c>
      <c r="D7" s="27" t="s">
        <v>20</v>
      </c>
      <c r="E7" s="28">
        <v>1000000</v>
      </c>
      <c r="F7" s="29">
        <v>1017.5</v>
      </c>
      <c r="G7" s="29">
        <v>12.18</v>
      </c>
      <c r="H7" s="29">
        <v>4.33</v>
      </c>
      <c r="J7" s="24"/>
      <c r="K7" s="24"/>
      <c r="L7" s="24"/>
      <c r="N7" s="31" t="s">
        <v>24</v>
      </c>
      <c r="O7" s="32"/>
      <c r="P7" s="32"/>
      <c r="Q7" s="32"/>
    </row>
    <row r="8" spans="2:17">
      <c r="B8" s="27" t="s">
        <v>25</v>
      </c>
      <c r="C8" s="27" t="s">
        <v>26</v>
      </c>
      <c r="D8" s="27" t="s">
        <v>20</v>
      </c>
      <c r="E8" s="28">
        <v>573300</v>
      </c>
      <c r="F8" s="29">
        <v>590.52</v>
      </c>
      <c r="G8" s="29">
        <v>7.07</v>
      </c>
      <c r="H8" s="29">
        <v>6.53</v>
      </c>
      <c r="J8" s="24"/>
      <c r="K8" s="24"/>
      <c r="L8" s="24"/>
      <c r="N8" s="31"/>
      <c r="O8" s="33"/>
      <c r="P8" s="33"/>
      <c r="Q8" s="33"/>
    </row>
    <row r="9" spans="2:17" ht="12" customHeight="1">
      <c r="B9" s="27" t="s">
        <v>27</v>
      </c>
      <c r="C9" s="27" t="s">
        <v>28</v>
      </c>
      <c r="D9" s="27" t="s">
        <v>20</v>
      </c>
      <c r="E9" s="28">
        <v>500000</v>
      </c>
      <c r="F9" s="29">
        <v>535.09</v>
      </c>
      <c r="G9" s="29">
        <v>6.4</v>
      </c>
      <c r="H9" s="29">
        <v>6.23</v>
      </c>
      <c r="J9" s="24"/>
      <c r="K9" s="24"/>
      <c r="L9" s="24"/>
      <c r="N9" s="31" t="s">
        <v>29</v>
      </c>
      <c r="O9" s="32"/>
      <c r="P9" s="32"/>
      <c r="Q9" s="32"/>
    </row>
    <row r="10" spans="2:17">
      <c r="B10" s="27" t="s">
        <v>30</v>
      </c>
      <c r="C10" s="27" t="s">
        <v>31</v>
      </c>
      <c r="D10" s="27" t="s">
        <v>20</v>
      </c>
      <c r="E10" s="28">
        <v>500000</v>
      </c>
      <c r="F10" s="29">
        <v>515.08000000000004</v>
      </c>
      <c r="G10" s="29">
        <v>6.16</v>
      </c>
      <c r="H10" s="29">
        <v>6.7</v>
      </c>
      <c r="J10" s="24"/>
      <c r="K10" s="24"/>
      <c r="L10" s="24"/>
      <c r="N10" s="31"/>
      <c r="O10" s="33"/>
      <c r="P10" s="33"/>
      <c r="Q10" s="33"/>
    </row>
    <row r="11" spans="2:17" ht="12" customHeight="1">
      <c r="B11" s="27" t="s">
        <v>32</v>
      </c>
      <c r="C11" s="27" t="s">
        <v>33</v>
      </c>
      <c r="D11" s="27" t="s">
        <v>20</v>
      </c>
      <c r="E11" s="28">
        <v>500000</v>
      </c>
      <c r="F11" s="29">
        <v>502.79</v>
      </c>
      <c r="G11" s="29">
        <v>6.02</v>
      </c>
      <c r="H11" s="29">
        <v>3.63</v>
      </c>
      <c r="J11" s="24"/>
      <c r="K11" s="24"/>
      <c r="L11" s="24"/>
      <c r="N11" s="31" t="s">
        <v>34</v>
      </c>
      <c r="O11" s="34" t="s">
        <v>35</v>
      </c>
      <c r="P11" s="32"/>
      <c r="Q11" s="32"/>
    </row>
    <row r="12" spans="2:17">
      <c r="B12" s="27" t="s">
        <v>36</v>
      </c>
      <c r="C12" s="27" t="s">
        <v>37</v>
      </c>
      <c r="D12" s="27" t="s">
        <v>20</v>
      </c>
      <c r="E12" s="28">
        <v>500000</v>
      </c>
      <c r="F12" s="29">
        <v>500.28</v>
      </c>
      <c r="G12" s="29">
        <v>5.99</v>
      </c>
      <c r="H12" s="29">
        <v>3.42</v>
      </c>
      <c r="J12" s="24"/>
      <c r="K12" s="24"/>
      <c r="L12" s="24"/>
      <c r="N12" s="31"/>
      <c r="O12" s="35"/>
      <c r="P12" s="33"/>
      <c r="Q12" s="33"/>
    </row>
    <row r="13" spans="2:17">
      <c r="B13" s="27" t="s">
        <v>38</v>
      </c>
      <c r="C13" s="27" t="s">
        <v>39</v>
      </c>
      <c r="D13" s="27" t="s">
        <v>20</v>
      </c>
      <c r="E13" s="28">
        <v>500000</v>
      </c>
      <c r="F13" s="29">
        <v>497.53</v>
      </c>
      <c r="G13" s="29">
        <v>5.95</v>
      </c>
      <c r="H13" s="29">
        <v>4.87</v>
      </c>
      <c r="K13" s="3" t="s">
        <v>40</v>
      </c>
    </row>
    <row r="14" spans="2:17">
      <c r="B14" s="27" t="s">
        <v>41</v>
      </c>
      <c r="C14" s="27" t="s">
        <v>42</v>
      </c>
      <c r="D14" s="27" t="s">
        <v>20</v>
      </c>
      <c r="E14" s="28">
        <v>500000</v>
      </c>
      <c r="F14" s="29">
        <v>493.26</v>
      </c>
      <c r="G14" s="29">
        <v>5.9</v>
      </c>
      <c r="H14" s="29">
        <v>6.01</v>
      </c>
    </row>
    <row r="15" spans="2:17">
      <c r="B15" s="27" t="s">
        <v>43</v>
      </c>
      <c r="C15" s="27" t="s">
        <v>44</v>
      </c>
      <c r="D15" s="27" t="s">
        <v>20</v>
      </c>
      <c r="E15" s="28">
        <v>420100</v>
      </c>
      <c r="F15" s="29">
        <v>389.84</v>
      </c>
      <c r="G15" s="29">
        <v>4.67</v>
      </c>
      <c r="H15" s="29">
        <v>7.08</v>
      </c>
    </row>
    <row r="16" spans="2:17">
      <c r="B16" s="36" t="s">
        <v>45</v>
      </c>
      <c r="C16" s="36" t="s">
        <v>46</v>
      </c>
      <c r="D16" s="36" t="s">
        <v>20</v>
      </c>
      <c r="E16" s="37">
        <v>10000</v>
      </c>
      <c r="F16" s="38">
        <v>11.05</v>
      </c>
      <c r="G16" s="38">
        <v>0.13</v>
      </c>
      <c r="H16" s="38">
        <v>7.19</v>
      </c>
    </row>
    <row r="17" spans="2:8">
      <c r="B17" s="39" t="s">
        <v>47</v>
      </c>
      <c r="C17" s="39"/>
      <c r="D17" s="39"/>
      <c r="E17" s="40"/>
      <c r="F17" s="41">
        <f>SUM(F6:F16)</f>
        <v>7652.7800000000007</v>
      </c>
      <c r="G17" s="41">
        <f>SUM(G6:G16)</f>
        <v>91.58</v>
      </c>
      <c r="H17" s="41"/>
    </row>
    <row r="18" spans="2:8">
      <c r="B18" s="42" t="s">
        <v>48</v>
      </c>
      <c r="C18" s="27"/>
      <c r="D18" s="27"/>
      <c r="E18" s="43"/>
      <c r="F18" s="29"/>
      <c r="G18" s="29"/>
      <c r="H18" s="29"/>
    </row>
    <row r="19" spans="2:8">
      <c r="B19" s="27" t="s">
        <v>48</v>
      </c>
      <c r="C19" s="27"/>
      <c r="D19" s="27"/>
      <c r="E19" s="43"/>
      <c r="F19" s="29">
        <v>1547.7</v>
      </c>
      <c r="G19" s="29">
        <v>18.52</v>
      </c>
      <c r="H19" s="29"/>
    </row>
    <row r="20" spans="2:8">
      <c r="B20" s="44" t="s">
        <v>49</v>
      </c>
      <c r="C20" s="44"/>
      <c r="D20" s="44"/>
      <c r="E20" s="45"/>
      <c r="F20" s="46">
        <f>SUM(F18:F19)</f>
        <v>1547.7</v>
      </c>
      <c r="G20" s="46">
        <f>SUM(G18:G19)</f>
        <v>18.52</v>
      </c>
      <c r="H20" s="47"/>
    </row>
    <row r="21" spans="2:8">
      <c r="B21" s="48" t="s">
        <v>47</v>
      </c>
      <c r="C21" s="48"/>
      <c r="D21" s="48"/>
      <c r="E21" s="49"/>
      <c r="F21" s="50">
        <f>F20</f>
        <v>1547.7</v>
      </c>
      <c r="G21" s="50">
        <f>G20</f>
        <v>18.52</v>
      </c>
      <c r="H21" s="50"/>
    </row>
    <row r="22" spans="2:8">
      <c r="B22" s="51" t="s">
        <v>50</v>
      </c>
      <c r="C22" s="51"/>
      <c r="D22" s="51"/>
      <c r="E22" s="52"/>
      <c r="F22" s="53">
        <f>F23-(+F17+F21)</f>
        <v>-844.71000000000095</v>
      </c>
      <c r="G22" s="53">
        <f>G23-(+G17+G21)</f>
        <v>-10.099999999999994</v>
      </c>
      <c r="H22" s="53"/>
    </row>
    <row r="23" spans="2:8">
      <c r="B23" s="51" t="s">
        <v>51</v>
      </c>
      <c r="C23" s="51"/>
      <c r="D23" s="51"/>
      <c r="E23" s="52"/>
      <c r="F23" s="53">
        <v>8355.77</v>
      </c>
      <c r="G23" s="53">
        <v>100</v>
      </c>
      <c r="H23" s="53"/>
    </row>
    <row r="25" spans="2:8">
      <c r="B25" s="5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2022-04-08T12:33:19Z</dcterms:created>
  <dcterms:modified xsi:type="dcterms:W3CDTF">2022-04-08T12:33:22Z</dcterms:modified>
</cp:coreProperties>
</file>