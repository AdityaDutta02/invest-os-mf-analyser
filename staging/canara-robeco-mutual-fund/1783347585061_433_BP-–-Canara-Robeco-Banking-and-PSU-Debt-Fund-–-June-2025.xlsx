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BD1F1FAC-AB67-40AD-A521-E1BBA001B065}" xr6:coauthVersionLast="47" xr6:coauthVersionMax="47" xr10:uidLastSave="{00000000-0000-0000-0000-000000000000}"/>
  <bookViews>
    <workbookView xWindow="-120" yWindow="-120" windowWidth="20730" windowHeight="11040" xr2:uid="{1C4584E5-92D6-4EDF-B3A0-3C1EC38B70D8}"/>
  </bookViews>
  <sheets>
    <sheet name="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F41" i="1"/>
  <c r="G40" i="1"/>
  <c r="F40" i="1"/>
  <c r="G37" i="1"/>
  <c r="F37" i="1"/>
  <c r="G34" i="1"/>
  <c r="F34" i="1"/>
  <c r="G28" i="1"/>
  <c r="F28" i="1"/>
  <c r="G25" i="1"/>
  <c r="G29" i="1" s="1"/>
  <c r="F25" i="1"/>
  <c r="F29" i="1" s="1"/>
  <c r="G18" i="1"/>
  <c r="G19" i="1" s="1"/>
  <c r="G42" i="1" s="1"/>
  <c r="F18" i="1"/>
  <c r="F19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<sst xmlns="http://schemas.openxmlformats.org/spreadsheetml/2006/main" count="106" uniqueCount="87">
  <si>
    <t>CANARA ROBECO BANKING AND PSU DEBT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</si>
  <si>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</si>
  <si>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</si>
  <si>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</si>
  <si>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</si>
  <si>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</si>
  <si>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</si>
  <si>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</si>
  <si>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</si>
  <si>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June'25</t>
  </si>
  <si>
    <t>Benchmark Risk-O-Meter Level- June'25</t>
  </si>
  <si>
    <t>Scheme Risk-O-Meter Level- May'25</t>
  </si>
  <si>
    <t>Benchmark Risk-O-Meter Level- May'25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</si>
  <si>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</si>
  <si>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</si>
  <si>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</si>
  <si>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</si>
  <si>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</si>
  <si>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</si>
  <si>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</si>
  <si>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</si>
  <si>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7.60% REC Ltd (28/02/2026) **</t>
  </si>
  <si>
    <t>INE020B08EF4</t>
  </si>
  <si>
    <t>CRISIL AAA</t>
  </si>
  <si>
    <t>Relatively Low (Class I)</t>
  </si>
  <si>
    <t>8.44% HDFC Bank Ltd (28/12/2028) **</t>
  </si>
  <si>
    <t>INE040A08393</t>
  </si>
  <si>
    <t>7.65% Indian Railway Finance Corporation Ltd (30/12/2032) **</t>
  </si>
  <si>
    <t>INE053F08221</t>
  </si>
  <si>
    <t>Moderate 
(Class II)</t>
  </si>
  <si>
    <t>7.68% LIC Housing Finance Ltd (29/05/2034) **</t>
  </si>
  <si>
    <t>INE115A07QR5</t>
  </si>
  <si>
    <t>7.35% NHPC Ltd (15/09/2026) **</t>
  </si>
  <si>
    <t>INE848E07AL0</t>
  </si>
  <si>
    <t>CARE AAA</t>
  </si>
  <si>
    <t>Relatively High (Class III)</t>
  </si>
  <si>
    <t>B-III</t>
  </si>
  <si>
    <t>7.59% Small Industries Development Bank Of India (10/02/2026) **</t>
  </si>
  <si>
    <t>INE556F08KG3</t>
  </si>
  <si>
    <t>6.85% National Bank For Agriculture &amp; Rural Development (21/03/2031) **</t>
  </si>
  <si>
    <t>INE261F08DA8</t>
  </si>
  <si>
    <t>ICRA AAA</t>
  </si>
  <si>
    <t>Benchmark: CRISIL Banking and PSU Debt A-II Index</t>
  </si>
  <si>
    <t>7.68% Power Finance Corporation Ltd (15/07/2030) **</t>
  </si>
  <si>
    <t>INE134E08KR9</t>
  </si>
  <si>
    <t>7.84% HDB Financial Services Ltd (14/07/2026) **</t>
  </si>
  <si>
    <t>INE756I07EN4</t>
  </si>
  <si>
    <t>6.50% Power Finance Corporation Ltd (17/09/2025) **</t>
  </si>
  <si>
    <t>INE134E08LD7</t>
  </si>
  <si>
    <t>9.00% HDFC Bank Ltd (29/11/2028) **</t>
  </si>
  <si>
    <t>INE040A08AB1</t>
  </si>
  <si>
    <t>Sub Total</t>
  </si>
  <si>
    <t>Total</t>
  </si>
  <si>
    <t>Money Market Instruments</t>
  </si>
  <si>
    <t>Certificate of Deposit</t>
  </si>
  <si>
    <t>Kotak Mahindra Bank Ltd (24/07/2025) ** #</t>
  </si>
  <si>
    <t>INE237A161Y7</t>
  </si>
  <si>
    <t>CRISIL A1+</t>
  </si>
  <si>
    <t>ICICI Bank Ltd (25/07/2025) ** #</t>
  </si>
  <si>
    <t>INE090AD6170</t>
  </si>
  <si>
    <t>ICRA A1+</t>
  </si>
  <si>
    <t>Punjab National Bank (18/03/2026) ** #</t>
  </si>
  <si>
    <t>INE160A16RK5</t>
  </si>
  <si>
    <t>CARE A1+</t>
  </si>
  <si>
    <t>Treasury Bill</t>
  </si>
  <si>
    <t>364 DTB (08-JAN-2026)</t>
  </si>
  <si>
    <t>IN002024Z396</t>
  </si>
  <si>
    <t xml:space="preserve"> Sovereign</t>
  </si>
  <si>
    <t>Government Bonds</t>
  </si>
  <si>
    <t>7.23% GOI 2039 (15-APR-2039)</t>
  </si>
  <si>
    <t>IN0020240027</t>
  </si>
  <si>
    <t>Sovereign</t>
  </si>
  <si>
    <t>7.18% GOI 2037 (14-AUG-2033)</t>
  </si>
  <si>
    <t>IN0020230085</t>
  </si>
  <si>
    <t>7.30% GOI 2053 (19-JUN-2053)</t>
  </si>
  <si>
    <t>IN0020230051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</si>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</sst>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283D-F905-4EA7-899E-8A65BC4F25B4}">
  <dimension ref="B1:R53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710937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4" x14ac:dyDescent="0.2">
      <c r="B6" s="23" t="s">
        <v>19</v>
      </c>
      <c r="C6" s="24"/>
      <c r="D6" s="24"/>
      <c r="E6" s="24"/>
      <c r="F6" s="25"/>
      <c r="G6" s="25"/>
      <c r="H6" s="25"/>
      <c r="J6" s="26"/>
      <c r="K6" s="26"/>
      <c r="L6" s="26"/>
      <c r="M6" s="26"/>
      <c r="O6" s="27" t="s">
        <v>20</v>
      </c>
      <c r="P6" s="22"/>
      <c r="Q6" s="22"/>
      <c r="R6" s="22"/>
    </row>
    <row r="7" spans="2:18" x14ac:dyDescent="0.2">
      <c r="B7" s="24" t="s">
        <v>21</v>
      </c>
      <c r="C7" s="24" t="s">
        <v>22</v>
      </c>
      <c r="D7" s="24" t="s">
        <v>23</v>
      </c>
      <c r="E7" s="28">
        <v>2000</v>
      </c>
      <c r="F7" s="25">
        <v>2013.39</v>
      </c>
      <c r="G7" s="25">
        <v>8.7799999999999994</v>
      </c>
      <c r="H7" s="25">
        <v>6.38</v>
      </c>
      <c r="J7" s="26"/>
      <c r="K7" s="26"/>
      <c r="L7" s="26"/>
      <c r="M7" s="26"/>
      <c r="O7" s="29" t="s">
        <v>24</v>
      </c>
      <c r="P7" s="30"/>
      <c r="Q7" s="30"/>
      <c r="R7" s="30"/>
    </row>
    <row r="8" spans="2:18" x14ac:dyDescent="0.2">
      <c r="B8" s="24" t="s">
        <v>25</v>
      </c>
      <c r="C8" s="24" t="s">
        <v>26</v>
      </c>
      <c r="D8" s="24" t="s">
        <v>23</v>
      </c>
      <c r="E8" s="28">
        <v>150</v>
      </c>
      <c r="F8" s="25">
        <v>1563.41</v>
      </c>
      <c r="G8" s="25">
        <v>6.82</v>
      </c>
      <c r="H8" s="25">
        <v>7.01</v>
      </c>
      <c r="J8" s="26"/>
      <c r="K8" s="26"/>
      <c r="L8" s="26"/>
      <c r="M8" s="26"/>
      <c r="O8" s="29"/>
      <c r="P8" s="31"/>
      <c r="Q8" s="31"/>
      <c r="R8" s="31"/>
    </row>
    <row r="9" spans="2:18" x14ac:dyDescent="0.2">
      <c r="B9" s="24" t="s">
        <v>27</v>
      </c>
      <c r="C9" s="24" t="s">
        <v>28</v>
      </c>
      <c r="D9" s="24" t="s">
        <v>23</v>
      </c>
      <c r="E9" s="28">
        <v>150</v>
      </c>
      <c r="F9" s="25">
        <v>1561.8</v>
      </c>
      <c r="G9" s="25">
        <v>6.81</v>
      </c>
      <c r="H9" s="25">
        <v>6.92</v>
      </c>
      <c r="J9" s="26"/>
      <c r="K9" s="26"/>
      <c r="L9" s="26"/>
      <c r="M9" s="26"/>
      <c r="O9" s="29" t="s">
        <v>29</v>
      </c>
      <c r="P9" s="30"/>
      <c r="Q9" s="30"/>
      <c r="R9" s="30"/>
    </row>
    <row r="10" spans="2:18" x14ac:dyDescent="0.2">
      <c r="B10" s="24" t="s">
        <v>30</v>
      </c>
      <c r="C10" s="24" t="s">
        <v>31</v>
      </c>
      <c r="D10" s="24" t="s">
        <v>23</v>
      </c>
      <c r="E10" s="28">
        <v>1500</v>
      </c>
      <c r="F10" s="25">
        <v>1535.59</v>
      </c>
      <c r="G10" s="25">
        <v>6.7</v>
      </c>
      <c r="H10" s="25">
        <v>7.31</v>
      </c>
      <c r="J10" s="26"/>
      <c r="K10" s="26"/>
      <c r="L10" s="26"/>
      <c r="M10" s="26"/>
      <c r="O10" s="29"/>
      <c r="P10" s="31"/>
      <c r="Q10" s="31"/>
      <c r="R10" s="31"/>
    </row>
    <row r="11" spans="2:18" x14ac:dyDescent="0.2">
      <c r="B11" s="24" t="s">
        <v>32</v>
      </c>
      <c r="C11" s="24" t="s">
        <v>33</v>
      </c>
      <c r="D11" s="24" t="s">
        <v>34</v>
      </c>
      <c r="E11" s="28">
        <v>150</v>
      </c>
      <c r="F11" s="25">
        <v>1514.57</v>
      </c>
      <c r="G11" s="25">
        <v>6.61</v>
      </c>
      <c r="H11" s="25">
        <v>6.46</v>
      </c>
      <c r="J11" s="26"/>
      <c r="K11" s="26"/>
      <c r="L11" s="26"/>
      <c r="M11" s="26"/>
      <c r="O11" s="29" t="s">
        <v>35</v>
      </c>
      <c r="P11" s="30"/>
      <c r="Q11" s="32" t="s">
        <v>36</v>
      </c>
      <c r="R11" s="30"/>
    </row>
    <row r="12" spans="2:18" x14ac:dyDescent="0.2">
      <c r="B12" s="24" t="s">
        <v>37</v>
      </c>
      <c r="C12" s="24" t="s">
        <v>38</v>
      </c>
      <c r="D12" s="24" t="s">
        <v>23</v>
      </c>
      <c r="E12" s="28">
        <v>1500</v>
      </c>
      <c r="F12" s="25">
        <v>1510.01</v>
      </c>
      <c r="G12" s="25">
        <v>6.59</v>
      </c>
      <c r="H12" s="25">
        <v>6.37</v>
      </c>
      <c r="J12" s="33"/>
      <c r="K12" s="33"/>
      <c r="L12" s="33"/>
      <c r="M12" s="33"/>
      <c r="O12" s="29"/>
      <c r="P12" s="31"/>
      <c r="Q12" s="34"/>
      <c r="R12" s="31"/>
    </row>
    <row r="13" spans="2:18" ht="15" x14ac:dyDescent="0.25">
      <c r="B13" s="24" t="s">
        <v>39</v>
      </c>
      <c r="C13" s="24" t="s">
        <v>40</v>
      </c>
      <c r="D13" s="24" t="s">
        <v>41</v>
      </c>
      <c r="E13" s="28">
        <v>150</v>
      </c>
      <c r="F13" s="25">
        <v>1501.98</v>
      </c>
      <c r="G13" s="25">
        <v>6.55</v>
      </c>
      <c r="H13" s="25">
        <v>6.93</v>
      </c>
      <c r="J13" s="35"/>
      <c r="K13" t="s">
        <v>42</v>
      </c>
      <c r="L13" s="35"/>
      <c r="M13" s="35"/>
    </row>
    <row r="14" spans="2:18" x14ac:dyDescent="0.2">
      <c r="B14" s="24" t="s">
        <v>43</v>
      </c>
      <c r="C14" s="24" t="s">
        <v>44</v>
      </c>
      <c r="D14" s="24" t="s">
        <v>23</v>
      </c>
      <c r="E14" s="28">
        <v>100</v>
      </c>
      <c r="F14" s="25">
        <v>1036.06</v>
      </c>
      <c r="G14" s="25">
        <v>4.5199999999999996</v>
      </c>
      <c r="H14" s="25">
        <v>6.81</v>
      </c>
    </row>
    <row r="15" spans="2:18" x14ac:dyDescent="0.2">
      <c r="B15" s="24" t="s">
        <v>45</v>
      </c>
      <c r="C15" s="24" t="s">
        <v>46</v>
      </c>
      <c r="D15" s="24" t="s">
        <v>23</v>
      </c>
      <c r="E15" s="28">
        <v>100</v>
      </c>
      <c r="F15" s="25">
        <v>1008.08</v>
      </c>
      <c r="G15" s="25">
        <v>4.4000000000000004</v>
      </c>
      <c r="H15" s="25">
        <v>7</v>
      </c>
    </row>
    <row r="16" spans="2:18" x14ac:dyDescent="0.2">
      <c r="B16" s="24" t="s">
        <v>47</v>
      </c>
      <c r="C16" s="24" t="s">
        <v>48</v>
      </c>
      <c r="D16" s="24" t="s">
        <v>23</v>
      </c>
      <c r="E16" s="28">
        <v>100</v>
      </c>
      <c r="F16" s="25">
        <v>1000.46</v>
      </c>
      <c r="G16" s="25">
        <v>4.3600000000000003</v>
      </c>
      <c r="H16" s="25">
        <v>5.98</v>
      </c>
    </row>
    <row r="17" spans="2:9" x14ac:dyDescent="0.2">
      <c r="B17" s="24" t="s">
        <v>49</v>
      </c>
      <c r="C17" s="24" t="s">
        <v>50</v>
      </c>
      <c r="D17" s="24" t="s">
        <v>23</v>
      </c>
      <c r="E17" s="28">
        <v>50</v>
      </c>
      <c r="F17" s="25">
        <v>529.09</v>
      </c>
      <c r="G17" s="25">
        <v>2.31</v>
      </c>
      <c r="H17" s="25">
        <v>7</v>
      </c>
    </row>
    <row r="18" spans="2:9" x14ac:dyDescent="0.2">
      <c r="B18" s="36" t="s">
        <v>51</v>
      </c>
      <c r="C18" s="36"/>
      <c r="D18" s="36"/>
      <c r="E18" s="36"/>
      <c r="F18" s="37">
        <f>SUM(F6:F17)</f>
        <v>14774.439999999999</v>
      </c>
      <c r="G18" s="37">
        <f>SUM(G6:G17)</f>
        <v>64.449999999999989</v>
      </c>
      <c r="H18" s="38"/>
      <c r="I18" s="39"/>
    </row>
    <row r="19" spans="2:9" x14ac:dyDescent="0.2">
      <c r="B19" s="40" t="s">
        <v>52</v>
      </c>
      <c r="C19" s="40"/>
      <c r="D19" s="40"/>
      <c r="E19" s="40"/>
      <c r="F19" s="41">
        <f>F18</f>
        <v>14774.439999999999</v>
      </c>
      <c r="G19" s="41">
        <f>G18</f>
        <v>64.449999999999989</v>
      </c>
      <c r="H19" s="41"/>
      <c r="I19" s="39"/>
    </row>
    <row r="20" spans="2:9" x14ac:dyDescent="0.2">
      <c r="B20" s="23" t="s">
        <v>53</v>
      </c>
      <c r="C20" s="24"/>
      <c r="D20" s="24"/>
      <c r="E20" s="24"/>
      <c r="F20" s="25"/>
      <c r="G20" s="25"/>
      <c r="H20" s="25"/>
    </row>
    <row r="21" spans="2:9" x14ac:dyDescent="0.2">
      <c r="B21" s="23" t="s">
        <v>54</v>
      </c>
      <c r="C21" s="24"/>
      <c r="D21" s="24"/>
      <c r="E21" s="24"/>
      <c r="F21" s="25"/>
      <c r="G21" s="25"/>
      <c r="H21" s="25"/>
    </row>
    <row r="22" spans="2:9" x14ac:dyDescent="0.2">
      <c r="B22" s="24" t="s">
        <v>55</v>
      </c>
      <c r="C22" s="24" t="s">
        <v>56</v>
      </c>
      <c r="D22" s="24" t="s">
        <v>57</v>
      </c>
      <c r="E22" s="28">
        <v>400</v>
      </c>
      <c r="F22" s="25">
        <v>1992.7</v>
      </c>
      <c r="G22" s="25">
        <v>8.69</v>
      </c>
      <c r="H22" s="25">
        <v>5.82</v>
      </c>
    </row>
    <row r="23" spans="2:9" x14ac:dyDescent="0.2">
      <c r="B23" s="24" t="s">
        <v>58</v>
      </c>
      <c r="C23" s="24" t="s">
        <v>59</v>
      </c>
      <c r="D23" s="24" t="s">
        <v>60</v>
      </c>
      <c r="E23" s="28">
        <v>300</v>
      </c>
      <c r="F23" s="25">
        <v>1494.27</v>
      </c>
      <c r="G23" s="25">
        <v>6.52</v>
      </c>
      <c r="H23" s="25">
        <v>5.83</v>
      </c>
    </row>
    <row r="24" spans="2:9" x14ac:dyDescent="0.2">
      <c r="B24" s="24" t="s">
        <v>61</v>
      </c>
      <c r="C24" s="24" t="s">
        <v>62</v>
      </c>
      <c r="D24" s="24" t="s">
        <v>63</v>
      </c>
      <c r="E24" s="28">
        <v>200</v>
      </c>
      <c r="F24" s="25">
        <v>957.64</v>
      </c>
      <c r="G24" s="25">
        <v>4.18</v>
      </c>
      <c r="H24" s="25">
        <v>6.21</v>
      </c>
    </row>
    <row r="25" spans="2:9" x14ac:dyDescent="0.2">
      <c r="B25" s="23" t="s">
        <v>51</v>
      </c>
      <c r="C25" s="23"/>
      <c r="D25" s="23"/>
      <c r="E25" s="23"/>
      <c r="F25" s="42">
        <f>SUM(F21:F24)</f>
        <v>4444.6100000000006</v>
      </c>
      <c r="G25" s="42">
        <f>SUM(G21:G24)</f>
        <v>19.39</v>
      </c>
      <c r="H25" s="43"/>
      <c r="I25" s="39"/>
    </row>
    <row r="26" spans="2:9" x14ac:dyDescent="0.2">
      <c r="B26" s="23" t="s">
        <v>64</v>
      </c>
      <c r="C26" s="24"/>
      <c r="D26" s="24"/>
      <c r="E26" s="24"/>
      <c r="F26" s="25"/>
      <c r="G26" s="25"/>
      <c r="H26" s="25"/>
    </row>
    <row r="27" spans="2:9" x14ac:dyDescent="0.2">
      <c r="B27" s="24" t="s">
        <v>65</v>
      </c>
      <c r="C27" s="24" t="s">
        <v>66</v>
      </c>
      <c r="D27" s="24" t="s">
        <v>67</v>
      </c>
      <c r="E27" s="28">
        <v>100000</v>
      </c>
      <c r="F27" s="25">
        <v>97.2</v>
      </c>
      <c r="G27" s="25">
        <v>0.42</v>
      </c>
      <c r="H27" s="25">
        <v>5.5</v>
      </c>
    </row>
    <row r="28" spans="2:9" x14ac:dyDescent="0.2">
      <c r="B28" s="36" t="s">
        <v>51</v>
      </c>
      <c r="C28" s="36"/>
      <c r="D28" s="36"/>
      <c r="E28" s="36"/>
      <c r="F28" s="37">
        <f>SUM(F26:F27)</f>
        <v>97.2</v>
      </c>
      <c r="G28" s="37">
        <f>SUM(G26:G27)</f>
        <v>0.42</v>
      </c>
      <c r="H28" s="38"/>
      <c r="I28" s="39"/>
    </row>
    <row r="29" spans="2:9" x14ac:dyDescent="0.2">
      <c r="B29" s="40" t="s">
        <v>52</v>
      </c>
      <c r="C29" s="40"/>
      <c r="D29" s="40"/>
      <c r="E29" s="40"/>
      <c r="F29" s="41">
        <f>F25+F28</f>
        <v>4541.8100000000004</v>
      </c>
      <c r="G29" s="41">
        <f>G25+G28</f>
        <v>19.810000000000002</v>
      </c>
      <c r="H29" s="41"/>
      <c r="I29" s="39"/>
    </row>
    <row r="30" spans="2:9" x14ac:dyDescent="0.2">
      <c r="B30" s="23" t="s">
        <v>68</v>
      </c>
      <c r="C30" s="24"/>
      <c r="D30" s="24"/>
      <c r="E30" s="24"/>
      <c r="F30" s="25"/>
      <c r="G30" s="25"/>
      <c r="H30" s="25"/>
    </row>
    <row r="31" spans="2:9" x14ac:dyDescent="0.2">
      <c r="B31" s="24" t="s">
        <v>69</v>
      </c>
      <c r="C31" s="24" t="s">
        <v>70</v>
      </c>
      <c r="D31" s="24" t="s">
        <v>71</v>
      </c>
      <c r="E31" s="28">
        <v>1000000</v>
      </c>
      <c r="F31" s="25">
        <v>1049.08</v>
      </c>
      <c r="G31" s="25">
        <v>4.58</v>
      </c>
      <c r="H31" s="25">
        <v>6.79</v>
      </c>
    </row>
    <row r="32" spans="2:9" x14ac:dyDescent="0.2">
      <c r="B32" s="24" t="s">
        <v>72</v>
      </c>
      <c r="C32" s="24" t="s">
        <v>73</v>
      </c>
      <c r="D32" s="24" t="s">
        <v>71</v>
      </c>
      <c r="E32" s="28">
        <v>500000</v>
      </c>
      <c r="F32" s="25">
        <v>524.17999999999995</v>
      </c>
      <c r="G32" s="25">
        <v>2.29</v>
      </c>
      <c r="H32" s="25">
        <v>6.51</v>
      </c>
    </row>
    <row r="33" spans="2:9" x14ac:dyDescent="0.2">
      <c r="B33" s="44" t="s">
        <v>74</v>
      </c>
      <c r="C33" s="44" t="s">
        <v>75</v>
      </c>
      <c r="D33" s="44" t="s">
        <v>71</v>
      </c>
      <c r="E33" s="45">
        <v>500000</v>
      </c>
      <c r="F33" s="46">
        <v>515.51</v>
      </c>
      <c r="G33" s="46">
        <v>2.25</v>
      </c>
      <c r="H33" s="46">
        <v>7.17</v>
      </c>
    </row>
    <row r="34" spans="2:9" x14ac:dyDescent="0.2">
      <c r="B34" s="47" t="s">
        <v>52</v>
      </c>
      <c r="C34" s="47"/>
      <c r="D34" s="47"/>
      <c r="E34" s="47"/>
      <c r="F34" s="42">
        <f>SUM(F31:F33)</f>
        <v>2088.7699999999995</v>
      </c>
      <c r="G34" s="42">
        <f>SUM(G31:G33)</f>
        <v>9.120000000000001</v>
      </c>
      <c r="H34" s="42"/>
      <c r="I34" s="39"/>
    </row>
    <row r="35" spans="2:9" x14ac:dyDescent="0.2">
      <c r="B35" s="23" t="s">
        <v>76</v>
      </c>
      <c r="C35" s="24"/>
      <c r="D35" s="24"/>
      <c r="E35" s="24"/>
      <c r="F35" s="25"/>
      <c r="G35" s="25"/>
      <c r="H35" s="25"/>
    </row>
    <row r="36" spans="2:9" x14ac:dyDescent="0.2">
      <c r="B36" s="44" t="s">
        <v>77</v>
      </c>
      <c r="C36" s="44" t="s">
        <v>78</v>
      </c>
      <c r="D36" s="44" t="s">
        <v>76</v>
      </c>
      <c r="E36" s="45">
        <v>1059.925</v>
      </c>
      <c r="F36" s="46">
        <v>119.17</v>
      </c>
      <c r="G36" s="46">
        <v>0.52</v>
      </c>
      <c r="H36" s="46">
        <v>5.51</v>
      </c>
    </row>
    <row r="37" spans="2:9" x14ac:dyDescent="0.2">
      <c r="B37" s="47" t="s">
        <v>52</v>
      </c>
      <c r="C37" s="47"/>
      <c r="D37" s="47"/>
      <c r="E37" s="47"/>
      <c r="F37" s="42">
        <f>SUM(F36:F36)</f>
        <v>119.17</v>
      </c>
      <c r="G37" s="42">
        <f>SUM(G36:G36)</f>
        <v>0.52</v>
      </c>
      <c r="H37" s="42"/>
      <c r="I37" s="39"/>
    </row>
    <row r="38" spans="2:9" x14ac:dyDescent="0.2">
      <c r="B38" s="23" t="s">
        <v>79</v>
      </c>
      <c r="C38" s="24"/>
      <c r="D38" s="24"/>
      <c r="E38" s="24"/>
      <c r="F38" s="25"/>
      <c r="G38" s="25"/>
      <c r="H38" s="25"/>
    </row>
    <row r="39" spans="2:9" x14ac:dyDescent="0.2">
      <c r="B39" s="24" t="s">
        <v>79</v>
      </c>
      <c r="C39" s="24"/>
      <c r="D39" s="24"/>
      <c r="E39" s="24"/>
      <c r="F39" s="25">
        <v>824.65</v>
      </c>
      <c r="G39" s="25">
        <v>3.6</v>
      </c>
      <c r="H39" s="25"/>
    </row>
    <row r="40" spans="2:9" x14ac:dyDescent="0.2">
      <c r="B40" s="36" t="s">
        <v>51</v>
      </c>
      <c r="C40" s="36"/>
      <c r="D40" s="36"/>
      <c r="E40" s="36"/>
      <c r="F40" s="37">
        <f>SUM(F38:F39)</f>
        <v>824.65</v>
      </c>
      <c r="G40" s="37">
        <f>SUM(G38:G39)</f>
        <v>3.6</v>
      </c>
      <c r="H40" s="38"/>
      <c r="I40" s="39"/>
    </row>
    <row r="41" spans="2:9" x14ac:dyDescent="0.2">
      <c r="B41" s="48" t="s">
        <v>52</v>
      </c>
      <c r="C41" s="48"/>
      <c r="D41" s="48"/>
      <c r="E41" s="48"/>
      <c r="F41" s="49">
        <f>F40</f>
        <v>824.65</v>
      </c>
      <c r="G41" s="49">
        <f>G40</f>
        <v>3.6</v>
      </c>
      <c r="H41" s="49"/>
      <c r="I41" s="39"/>
    </row>
    <row r="42" spans="2:9" x14ac:dyDescent="0.2">
      <c r="B42" s="50" t="s">
        <v>80</v>
      </c>
      <c r="C42" s="50"/>
      <c r="D42" s="50"/>
      <c r="E42" s="50"/>
      <c r="F42" s="51">
        <f>F43-(+F19+F29+F34+F37+F41)</f>
        <v>575.86000000000058</v>
      </c>
      <c r="G42" s="51">
        <f>G43-(+G19+G29+G34+G37+G41)</f>
        <v>2.5000000000000142</v>
      </c>
      <c r="H42" s="51"/>
      <c r="I42" s="39"/>
    </row>
    <row r="43" spans="2:9" x14ac:dyDescent="0.2">
      <c r="B43" s="50" t="s">
        <v>81</v>
      </c>
      <c r="C43" s="50"/>
      <c r="D43" s="50"/>
      <c r="E43" s="50"/>
      <c r="F43" s="51">
        <v>22924.7</v>
      </c>
      <c r="G43" s="51">
        <v>100</v>
      </c>
      <c r="H43" s="51"/>
      <c r="I43" s="39"/>
    </row>
    <row r="45" spans="2:9" x14ac:dyDescent="0.2">
      <c r="B45" s="39" t="s">
        <v>82</v>
      </c>
    </row>
    <row r="46" spans="2:9" x14ac:dyDescent="0.2">
      <c r="B46" s="39" t="s">
        <v>83</v>
      </c>
    </row>
    <row r="47" spans="2:9" ht="12.75" thickBot="1" x14ac:dyDescent="0.25"/>
    <row r="48" spans="2:9" ht="13.5" thickTop="1" thickBot="1" x14ac:dyDescent="0.25">
      <c r="B48" s="52" t="s">
        <v>84</v>
      </c>
      <c r="C48" s="53">
        <v>2.6383000000000001</v>
      </c>
    </row>
    <row r="49" spans="2:3" ht="13.5" thickTop="1" thickBot="1" x14ac:dyDescent="0.25"/>
    <row r="50" spans="2:3" ht="13.5" thickTop="1" thickBot="1" x14ac:dyDescent="0.25">
      <c r="B50" s="52" t="s">
        <v>85</v>
      </c>
      <c r="C50" s="54">
        <v>6.4799999999999996E-2</v>
      </c>
    </row>
    <row r="51" spans="2:3" ht="13.5" thickTop="1" thickBot="1" x14ac:dyDescent="0.25"/>
    <row r="52" spans="2:3" ht="13.5" thickTop="1" thickBot="1" x14ac:dyDescent="0.25">
      <c r="B52" s="52" t="s">
        <v>86</v>
      </c>
      <c r="C52" s="53">
        <v>2.7888999999999999</v>
      </c>
    </row>
    <row r="53" spans="2:3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2025-07-08T08:19:11Z</dcterms:created>
  <dcterms:modified xsi:type="dcterms:W3CDTF">2025-07-08T08:19:12Z</dcterms:modified>
</cp:coreProperties>
</file>