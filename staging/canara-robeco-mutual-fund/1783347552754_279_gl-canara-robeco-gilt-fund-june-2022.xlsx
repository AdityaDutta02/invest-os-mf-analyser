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2-23\June 2022\"/>
    </mc:Choice>
  </mc:AlternateContent>
  <bookViews>
    <workbookView xWindow="0" yWindow="0" windowWidth="20490" windowHeight="7050"/>
  </bookViews>
  <sheets>
    <sheet name="GL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0" i="1" l="1"/>
  <c r="G21" i="1" s="1"/>
  <c r="F20" i="1"/>
  <c r="F21" i="1" s="1"/>
  <c r="G17" i="1"/>
  <c r="G22" i="1" s="1"/>
  <c r="F17" i="1"/>
  <c r="F22" i="1" s="1"/>
</calcChain>
</file>

<file path=xl/sharedStrings.xml><?xml version="1.0" encoding="utf-8"?>
<sst xmlns="http://schemas.openxmlformats.org/spreadsheetml/2006/main" count="65" uniqueCount="53">
  <si>
    <t>CANARA ROBECO GILT FUND</t>
  </si>
  <si>
    <t>Monthly Portfolio Statement as on June 30, 2022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</si>
  <si>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</si>
  <si>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</si>
  <si>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</si>
  <si>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</si>
  <si>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</si>
  <si>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</si>
  <si>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</si>
  <si>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Jun'22</t>
  </si>
  <si>
    <t>Benchmark Risk-o-meter Level- Jun'22</t>
  </si>
  <si>
    <t>Previous Scheme Risk-o-meter Level- May'22</t>
  </si>
  <si>
    <t>Potential Risk Class (PRC) Matrix</t>
  </si>
  <si>
    <t>Government Bonds</t>
  </si>
  <si>
    <t>Credit Risk →</t>
  </si>
  <si>
    <t>Relatively Low (Class A)</t>
  </si>
  <si>
    <t>Moderate (Class B)</t>
  </si>
  <si>
    <t>Relatively High (Class C)</t>
  </si>
  <si>
    <t>7.59% GOI (11/01/2026)</t>
  </si>
  <si>
    <t>IN0020150093</t>
  </si>
  <si>
    <t>Sovereign</t>
  </si>
  <si>
    <t>Interest Rate Risk ↓</t>
  </si>
  <si>
    <t>4.56% GOI 29-NOV-23</t>
  </si>
  <si>
    <t>IN0020210210</t>
  </si>
  <si>
    <t>Relatively Low (Class I)</t>
  </si>
  <si>
    <t>5.22% INDIA GOVERNMENT 15-JUN-25</t>
  </si>
  <si>
    <t>IN0020200112</t>
  </si>
  <si>
    <t>5.74% GOI (15/11/2026)</t>
  </si>
  <si>
    <t>IN0020210186</t>
  </si>
  <si>
    <t>Moderate 
(Class II)</t>
  </si>
  <si>
    <t>6.54% GOI 17-JAN-32</t>
  </si>
  <si>
    <t>IN0020210244</t>
  </si>
  <si>
    <t>8.34% UTTAR PRADESH SDL 13-JAN-26</t>
  </si>
  <si>
    <t>IN3320150359</t>
  </si>
  <si>
    <t>Relatively High (Class III)</t>
  </si>
  <si>
    <t>A-III</t>
  </si>
  <si>
    <t>7.38% GOI 20-JUN-27</t>
  </si>
  <si>
    <t>IN0020220037</t>
  </si>
  <si>
    <t>7.27% INDIA GOVERNMENT 08-APR-26</t>
  </si>
  <si>
    <t>IN0020190016</t>
  </si>
  <si>
    <t>Benchmark: CRISIL Dynamic Gilt Index</t>
  </si>
  <si>
    <t>7.26% INDIA GOVERNMENT 14-JAN-29</t>
  </si>
  <si>
    <t>IN0020180454</t>
  </si>
  <si>
    <t>5.63% GOI (12/04/2026)</t>
  </si>
  <si>
    <t>IN0020210012</t>
  </si>
  <si>
    <t>8.13% GOI (22/06/2045)</t>
  </si>
  <si>
    <t>IN0020150044</t>
  </si>
  <si>
    <t>Total</t>
  </si>
  <si>
    <t>TREPS</t>
  </si>
  <si>
    <t>Sub Total</t>
  </si>
  <si>
    <t>Net Receivables / (Payables)</t>
  </si>
  <si>
    <t>Grand Total</t>
  </si>
  <si>
    <t>**  Non Traded Security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</si>
</sst>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6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43" fontId="3" fillId="3" borderId="0" xfId="1" applyFont="1" applyFill="1"/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5" xfId="1" applyFont="1" applyFill="1" applyBorder="1" applyAlignment="1">
      <alignment horizontal="center"/>
    </xf>
    <xf numFmtId="0" fontId="9" fillId="0" borderId="5" xfId="0" applyFont="1" applyBorder="1" applyAlignment="1">
      <alignment horizontal="center" wrapText="1"/>
    </xf>
    <xf numFmtId="0" fontId="9" fillId="0" borderId="5" xfId="0" applyFont="1" applyBorder="1" applyAlignment="1">
      <alignment horizontal="center" wrapText="1"/>
    </xf>
    <xf numFmtId="0" fontId="3" fillId="3" borderId="10" xfId="0" applyFont="1" applyFill="1" applyBorder="1"/>
    <xf numFmtId="3" fontId="3" fillId="3" borderId="10" xfId="0" applyNumberFormat="1" applyFont="1" applyFill="1" applyBorder="1"/>
    <xf numFmtId="4" fontId="3" fillId="3" borderId="10" xfId="0" applyNumberFormat="1" applyFont="1" applyFill="1" applyBorder="1"/>
    <xf numFmtId="0" fontId="9" fillId="0" borderId="5" xfId="0" applyFont="1" applyBorder="1" applyAlignment="1">
      <alignment horizontal="left" vertical="top" wrapText="1"/>
    </xf>
    <xf numFmtId="0" fontId="9" fillId="0" borderId="5" xfId="0" applyFont="1" applyBorder="1" applyAlignment="1">
      <alignment horizontal="left" wrapText="1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11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0" fontId="3" fillId="3" borderId="13" xfId="0" applyFont="1" applyFill="1" applyBorder="1"/>
    <xf numFmtId="3" fontId="3" fillId="3" borderId="13" xfId="0" applyNumberFormat="1" applyFont="1" applyFill="1" applyBorder="1"/>
    <xf numFmtId="4" fontId="3" fillId="3" borderId="13" xfId="0" applyNumberFormat="1" applyFont="1" applyFill="1" applyBorder="1"/>
    <xf numFmtId="0" fontId="9" fillId="3" borderId="14" xfId="0" applyFont="1" applyFill="1" applyBorder="1"/>
    <xf numFmtId="0" fontId="9" fillId="3" borderId="14" xfId="0" applyNumberFormat="1" applyFont="1" applyFill="1" applyBorder="1"/>
    <xf numFmtId="4" fontId="9" fillId="3" borderId="14" xfId="0" applyNumberFormat="1" applyFont="1" applyFill="1" applyBorder="1"/>
    <xf numFmtId="0" fontId="9" fillId="3" borderId="10" xfId="0" applyFont="1" applyFill="1" applyBorder="1"/>
    <xf numFmtId="0" fontId="3" fillId="3" borderId="10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6" xfId="0" applyNumberFormat="1" applyFont="1" applyFill="1" applyBorder="1"/>
    <xf numFmtId="4" fontId="9" fillId="3" borderId="15" xfId="0" applyNumberFormat="1" applyFont="1" applyFill="1" applyBorder="1"/>
    <xf numFmtId="0" fontId="9" fillId="3" borderId="17" xfId="0" applyFont="1" applyFill="1" applyBorder="1"/>
    <xf numFmtId="0" fontId="9" fillId="3" borderId="17" xfId="0" applyNumberFormat="1" applyFont="1" applyFill="1" applyBorder="1"/>
    <xf numFmtId="4" fontId="9" fillId="3" borderId="17" xfId="0" applyNumberFormat="1" applyFont="1" applyFill="1" applyBorder="1"/>
    <xf numFmtId="0" fontId="9" fillId="3" borderId="5" xfId="0" applyFont="1" applyFill="1" applyBorder="1"/>
    <xf numFmtId="0" fontId="9" fillId="3" borderId="5" xfId="0" applyNumberFormat="1" applyFont="1" applyFill="1" applyBorder="1"/>
    <xf numFmtId="4" fontId="9" fillId="3" borderId="5" xfId="0" applyNumberFormat="1" applyFont="1" applyFill="1" applyBorder="1"/>
    <xf numFmtId="0" fontId="9" fillId="3" borderId="0" xfId="0" applyFont="1" applyFill="1"/>
    <xf numFmtId="0" fontId="3" fillId="3" borderId="0" xfId="0" applyNumberFormat="1" applyFon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142876</xdr:colOff>
      <xdr:row>4</xdr:row>
      <xdr:rowOff>47626</xdr:rowOff>
    </xdr:from>
    <xdr:to>
      <xdr:col>10</xdr:col>
      <xdr:colOff>1790700</xdr:colOff>
      <xdr:row>11</xdr:row>
      <xdr:rowOff>9526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589624-5CC5-4A25-93BD-87414E754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96651" y="1057276"/>
          <a:ext cx="1647824" cy="1485900"/>
        </a:xfrm>
        <a:prstGeom prst="rect">
          <a:avLst/>
        </a:prstGeom>
      </xdr:spPr>
    </xdr:pic>
    <xdr:clientData/>
  </xdr:twoCellAnchor>
  <xdr:twoCellAnchor editAs="oneCell">
    <xdr:from>
      <xdr:col>9</xdr:col>
      <xdr:colOff>103427</xdr:colOff>
      <xdr:row>4</xdr:row>
      <xdr:rowOff>66676</xdr:rowOff>
    </xdr:from>
    <xdr:to>
      <xdr:col>9</xdr:col>
      <xdr:colOff>1819274</xdr:colOff>
      <xdr:row>11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94EB3A-C267-414C-8E21-92B59671B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314102" y="1076326"/>
          <a:ext cx="1715847" cy="1457324"/>
        </a:xfrm>
        <a:prstGeom prst="rect">
          <a:avLst/>
        </a:prstGeom>
      </xdr:spPr>
    </xdr:pic>
    <xdr:clientData/>
  </xdr:twoCellAnchor>
  <xdr:oneCellAnchor>
    <xdr:from>
      <xdr:col>11</xdr:col>
      <xdr:colOff>142874</xdr:colOff>
      <xdr:row>4</xdr:row>
      <xdr:rowOff>76201</xdr:rowOff>
    </xdr:from>
    <xdr:ext cx="1685926" cy="1419224"/>
    <xdr:pic>
      <xdr:nvPicPr>
        <xdr:cNvPr id="4" name="Picture 3">
          <a:extLst>
            <a:ext uri="{FF2B5EF4-FFF2-40B4-BE49-F238E27FC236}">
              <a16:creationId xmlns:a16="http://schemas.microsoft.com/office/drawing/2014/main" id="{991AB24F-8ABD-417F-8880-422B29A734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211174" y="1085851"/>
          <a:ext cx="1685926" cy="141922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25"/>
  <sheetViews>
    <sheetView tabSelected="1" workbookViewId="0">
      <selection activeCell="H16" sqref="H16"/>
    </sheetView>
  </sheetViews>
  <sheetFormatPr defaultRowHeight="12"/>
  <cols>
    <col min="1" max="1" width="9.140625" style="4"/>
    <col min="2" max="2" width="55" style="4" bestFit="1" customWidth="1"/>
    <col min="3" max="3" width="12.7109375" style="4" bestFit="1" customWidth="1"/>
    <col min="4" max="4" width="14.140625" style="4" bestFit="1" customWidth="1"/>
    <col min="5" max="5" width="8.85546875" style="55" bestFit="1" customWidth="1"/>
    <col min="6" max="6" width="15.28515625" style="10" bestFit="1" customWidth="1"/>
    <col min="7" max="7" width="7.42578125" style="10" bestFit="1" customWidth="1"/>
    <col min="8" max="8" width="6.5703125" style="10" bestFit="1" customWidth="1"/>
    <col min="9" max="9" width="9" style="3" bestFit="1" customWidth="1"/>
    <col min="10" max="10" width="29.140625" style="3" customWidth="1"/>
    <col min="11" max="11" width="28.7109375" style="3" customWidth="1"/>
    <col min="12" max="12" width="30.28515625" style="3" customWidth="1"/>
    <col min="13" max="16384" width="9.140625" style="4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5" t="s">
        <v>1</v>
      </c>
      <c r="C3" s="6"/>
      <c r="D3" s="7"/>
      <c r="E3" s="8"/>
      <c r="F3" s="9"/>
      <c r="G3" s="9"/>
    </row>
    <row r="4" spans="2:17" ht="30">
      <c r="B4" s="11" t="s">
        <v>2</v>
      </c>
      <c r="C4" s="12" t="s">
        <v>3</v>
      </c>
      <c r="D4" s="12" t="s">
        <v>4</v>
      </c>
      <c r="E4" s="13" t="s">
        <v>5</v>
      </c>
      <c r="F4" s="14" t="s">
        <v>6</v>
      </c>
      <c r="G4" s="15" t="s">
        <v>7</v>
      </c>
      <c r="H4" s="15" t="s">
        <v>8</v>
      </c>
      <c r="J4" s="16" t="s">
        <v>9</v>
      </c>
      <c r="K4" s="16" t="s">
        <v>10</v>
      </c>
      <c r="L4" s="16" t="s">
        <v>11</v>
      </c>
      <c r="N4" s="17" t="s">
        <v>12</v>
      </c>
      <c r="O4" s="18"/>
      <c r="P4" s="18"/>
      <c r="Q4" s="19"/>
    </row>
    <row r="5" spans="2:17" ht="24">
      <c r="B5" s="20" t="s">
        <v>13</v>
      </c>
      <c r="C5" s="21"/>
      <c r="D5" s="21"/>
      <c r="E5" s="22"/>
      <c r="F5" s="23"/>
      <c r="G5" s="23"/>
      <c r="H5" s="23"/>
      <c r="J5" s="24"/>
      <c r="K5" s="24"/>
      <c r="L5" s="24"/>
      <c r="N5" s="25" t="s">
        <v>14</v>
      </c>
      <c r="O5" s="26" t="s">
        <v>15</v>
      </c>
      <c r="P5" s="26" t="s">
        <v>16</v>
      </c>
      <c r="Q5" s="26" t="s">
        <v>17</v>
      </c>
    </row>
    <row r="6" spans="2:17" ht="36">
      <c r="B6" s="27" t="s">
        <v>18</v>
      </c>
      <c r="C6" s="27" t="s">
        <v>19</v>
      </c>
      <c r="D6" s="27" t="s">
        <v>20</v>
      </c>
      <c r="E6" s="28">
        <v>1000000</v>
      </c>
      <c r="F6" s="29">
        <v>1014.09</v>
      </c>
      <c r="G6" s="29">
        <v>11.97</v>
      </c>
      <c r="H6" s="29">
        <v>7.13</v>
      </c>
      <c r="J6" s="24"/>
      <c r="K6" s="24"/>
      <c r="L6" s="24"/>
      <c r="N6" s="30" t="s">
        <v>21</v>
      </c>
      <c r="O6" s="26"/>
      <c r="P6" s="26"/>
      <c r="Q6" s="26"/>
    </row>
    <row r="7" spans="2:17">
      <c r="B7" s="27" t="s">
        <v>22</v>
      </c>
      <c r="C7" s="27" t="s">
        <v>23</v>
      </c>
      <c r="D7" s="27" t="s">
        <v>20</v>
      </c>
      <c r="E7" s="28">
        <v>1000000</v>
      </c>
      <c r="F7" s="29">
        <v>975.64</v>
      </c>
      <c r="G7" s="29">
        <v>11.52</v>
      </c>
      <c r="H7" s="29">
        <v>6.39</v>
      </c>
      <c r="J7" s="24"/>
      <c r="K7" s="24"/>
      <c r="L7" s="24"/>
      <c r="N7" s="31" t="s">
        <v>24</v>
      </c>
      <c r="O7" s="32"/>
      <c r="P7" s="32"/>
      <c r="Q7" s="32"/>
    </row>
    <row r="8" spans="2:17">
      <c r="B8" s="27" t="s">
        <v>25</v>
      </c>
      <c r="C8" s="27" t="s">
        <v>26</v>
      </c>
      <c r="D8" s="27" t="s">
        <v>20</v>
      </c>
      <c r="E8" s="28">
        <v>1000000</v>
      </c>
      <c r="F8" s="29">
        <v>954.56</v>
      </c>
      <c r="G8" s="29">
        <v>11.27</v>
      </c>
      <c r="H8" s="29">
        <v>6.95</v>
      </c>
      <c r="J8" s="24"/>
      <c r="K8" s="24"/>
      <c r="L8" s="24"/>
      <c r="N8" s="31"/>
      <c r="O8" s="33"/>
      <c r="P8" s="33"/>
      <c r="Q8" s="33"/>
    </row>
    <row r="9" spans="2:17">
      <c r="B9" s="27" t="s">
        <v>27</v>
      </c>
      <c r="C9" s="27" t="s">
        <v>28</v>
      </c>
      <c r="D9" s="27" t="s">
        <v>20</v>
      </c>
      <c r="E9" s="28">
        <v>1000000</v>
      </c>
      <c r="F9" s="29">
        <v>946.97</v>
      </c>
      <c r="G9" s="29">
        <v>11.18</v>
      </c>
      <c r="H9" s="29">
        <v>7.17</v>
      </c>
      <c r="J9" s="24"/>
      <c r="K9" s="24"/>
      <c r="L9" s="24"/>
      <c r="N9" s="31" t="s">
        <v>29</v>
      </c>
      <c r="O9" s="32"/>
      <c r="P9" s="32"/>
      <c r="Q9" s="32"/>
    </row>
    <row r="10" spans="2:17">
      <c r="B10" s="27" t="s">
        <v>30</v>
      </c>
      <c r="C10" s="27" t="s">
        <v>31</v>
      </c>
      <c r="D10" s="27" t="s">
        <v>20</v>
      </c>
      <c r="E10" s="28">
        <v>1000000</v>
      </c>
      <c r="F10" s="29">
        <v>939.08</v>
      </c>
      <c r="G10" s="29">
        <v>11.08</v>
      </c>
      <c r="H10" s="29">
        <v>7.44</v>
      </c>
      <c r="J10" s="24"/>
      <c r="K10" s="24"/>
      <c r="L10" s="24"/>
      <c r="N10" s="31"/>
      <c r="O10" s="33"/>
      <c r="P10" s="33"/>
      <c r="Q10" s="33"/>
    </row>
    <row r="11" spans="2:17">
      <c r="B11" s="27" t="s">
        <v>32</v>
      </c>
      <c r="C11" s="27" t="s">
        <v>33</v>
      </c>
      <c r="D11" s="27" t="s">
        <v>20</v>
      </c>
      <c r="E11" s="28">
        <v>500000</v>
      </c>
      <c r="F11" s="29">
        <v>514.20000000000005</v>
      </c>
      <c r="G11" s="29">
        <v>6.07</v>
      </c>
      <c r="H11" s="29">
        <v>7.41</v>
      </c>
      <c r="J11" s="24"/>
      <c r="K11" s="24"/>
      <c r="L11" s="24"/>
      <c r="N11" s="31" t="s">
        <v>34</v>
      </c>
      <c r="O11" s="34" t="s">
        <v>35</v>
      </c>
      <c r="P11" s="32"/>
      <c r="Q11" s="32"/>
    </row>
    <row r="12" spans="2:17">
      <c r="B12" s="27" t="s">
        <v>36</v>
      </c>
      <c r="C12" s="27" t="s">
        <v>37</v>
      </c>
      <c r="D12" s="27" t="s">
        <v>20</v>
      </c>
      <c r="E12" s="28">
        <v>500000</v>
      </c>
      <c r="F12" s="29">
        <v>502.9</v>
      </c>
      <c r="G12" s="29">
        <v>5.94</v>
      </c>
      <c r="H12" s="29">
        <v>7.24</v>
      </c>
      <c r="J12" s="24"/>
      <c r="K12" s="24"/>
      <c r="L12" s="24"/>
      <c r="N12" s="31"/>
      <c r="O12" s="35"/>
      <c r="P12" s="33"/>
      <c r="Q12" s="33"/>
    </row>
    <row r="13" spans="2:17">
      <c r="B13" s="27" t="s">
        <v>38</v>
      </c>
      <c r="C13" s="27" t="s">
        <v>39</v>
      </c>
      <c r="D13" s="27" t="s">
        <v>20</v>
      </c>
      <c r="E13" s="28">
        <v>500000</v>
      </c>
      <c r="F13" s="29">
        <v>501.6</v>
      </c>
      <c r="G13" s="29">
        <v>5.92</v>
      </c>
      <c r="H13" s="29">
        <v>7.17</v>
      </c>
      <c r="K13" s="3" t="s">
        <v>40</v>
      </c>
    </row>
    <row r="14" spans="2:17">
      <c r="B14" s="27" t="s">
        <v>41</v>
      </c>
      <c r="C14" s="27" t="s">
        <v>42</v>
      </c>
      <c r="D14" s="27" t="s">
        <v>20</v>
      </c>
      <c r="E14" s="28">
        <v>500000</v>
      </c>
      <c r="F14" s="29">
        <v>497.47</v>
      </c>
      <c r="G14" s="29">
        <v>5.87</v>
      </c>
      <c r="H14" s="29">
        <v>7.36</v>
      </c>
    </row>
    <row r="15" spans="2:17">
      <c r="B15" s="27" t="s">
        <v>43</v>
      </c>
      <c r="C15" s="27" t="s">
        <v>44</v>
      </c>
      <c r="D15" s="27" t="s">
        <v>20</v>
      </c>
      <c r="E15" s="28">
        <v>500000</v>
      </c>
      <c r="F15" s="29">
        <v>475.72</v>
      </c>
      <c r="G15" s="29">
        <v>5.61</v>
      </c>
      <c r="H15" s="29">
        <v>7.11</v>
      </c>
    </row>
    <row r="16" spans="2:17">
      <c r="B16" s="36" t="s">
        <v>45</v>
      </c>
      <c r="C16" s="36" t="s">
        <v>46</v>
      </c>
      <c r="D16" s="36" t="s">
        <v>20</v>
      </c>
      <c r="E16" s="37">
        <v>10000</v>
      </c>
      <c r="F16" s="38">
        <v>10.49</v>
      </c>
      <c r="G16" s="38">
        <v>0.12</v>
      </c>
      <c r="H16" s="38">
        <v>7.67</v>
      </c>
    </row>
    <row r="17" spans="2:8">
      <c r="B17" s="39" t="s">
        <v>47</v>
      </c>
      <c r="C17" s="39"/>
      <c r="D17" s="39"/>
      <c r="E17" s="40"/>
      <c r="F17" s="41">
        <f>SUM(F6:F16)</f>
        <v>7332.72</v>
      </c>
      <c r="G17" s="41">
        <f>SUM(G6:G16)</f>
        <v>86.550000000000011</v>
      </c>
      <c r="H17" s="41"/>
    </row>
    <row r="18" spans="2:8">
      <c r="B18" s="42" t="s">
        <v>48</v>
      </c>
      <c r="C18" s="27"/>
      <c r="D18" s="27"/>
      <c r="E18" s="43"/>
      <c r="F18" s="29"/>
      <c r="G18" s="29"/>
      <c r="H18" s="29"/>
    </row>
    <row r="19" spans="2:8">
      <c r="B19" s="27" t="s">
        <v>48</v>
      </c>
      <c r="C19" s="27"/>
      <c r="D19" s="27"/>
      <c r="E19" s="43"/>
      <c r="F19" s="29">
        <v>1000.17</v>
      </c>
      <c r="G19" s="29">
        <v>11.8</v>
      </c>
      <c r="H19" s="29"/>
    </row>
    <row r="20" spans="2:8">
      <c r="B20" s="44" t="s">
        <v>49</v>
      </c>
      <c r="C20" s="44"/>
      <c r="D20" s="44"/>
      <c r="E20" s="45"/>
      <c r="F20" s="46">
        <f>SUM(F18:F19)</f>
        <v>1000.17</v>
      </c>
      <c r="G20" s="46">
        <f>SUM(G18:G19)</f>
        <v>11.8</v>
      </c>
      <c r="H20" s="47"/>
    </row>
    <row r="21" spans="2:8">
      <c r="B21" s="48" t="s">
        <v>47</v>
      </c>
      <c r="C21" s="48"/>
      <c r="D21" s="48"/>
      <c r="E21" s="49"/>
      <c r="F21" s="50">
        <f>F20</f>
        <v>1000.17</v>
      </c>
      <c r="G21" s="50">
        <f>G20</f>
        <v>11.8</v>
      </c>
      <c r="H21" s="50"/>
    </row>
    <row r="22" spans="2:8">
      <c r="B22" s="51" t="s">
        <v>50</v>
      </c>
      <c r="C22" s="51"/>
      <c r="D22" s="51"/>
      <c r="E22" s="52"/>
      <c r="F22" s="53">
        <f>F23-(+F17+F21)</f>
        <v>139.67000000000007</v>
      </c>
      <c r="G22" s="53">
        <f>G23-(+G17+G21)</f>
        <v>1.6499999999999915</v>
      </c>
      <c r="H22" s="53"/>
    </row>
    <row r="23" spans="2:8">
      <c r="B23" s="51" t="s">
        <v>51</v>
      </c>
      <c r="C23" s="51"/>
      <c r="D23" s="51"/>
      <c r="E23" s="52"/>
      <c r="F23" s="53">
        <v>8472.56</v>
      </c>
      <c r="G23" s="53">
        <v>100</v>
      </c>
      <c r="H23" s="53"/>
    </row>
    <row r="25" spans="2:8">
      <c r="B25" s="54" t="s">
        <v>52</v>
      </c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rintOptions horizontalCentered="1"/>
  <pageMargins left="0.7" right="0.7" top="0.75" bottom="0.75" header="0.3" footer="0.3"/>
  <pageSetup paperSize="9" orientation="portrait" r:id="rId1"/>
  <headerFooter>
    <oddFooter>&amp;LPUBLIC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2022-07-07 12:05:40</KDate>
  <Classification>Public</Classification>
  <Subclassification/>
  <HostName>MUMCMP00935</HostName>
  <Domain_User>CANARAROBECOMF/628</Domain_User>
  <IPAdd>192.9.198.194</IPAdd>
  <FilePath>Book12</FilePath>
  <KID>C025A5607E97637927923407804932</KID>
  <UniqueName/>
  <Suggested/>
  <Justification/>
</Klassify>
</file>

<file path=customXml/itemProps1.xml><?xml version="1.0" encoding="utf-8"?>
<ds:datastoreItem xmlns:ds="http://schemas.openxmlformats.org/officeDocument/2006/customXml" ds:itemID="{D0394E00-5509-4909-AA8E-2C532F56C415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2022-07-07T06:35:36Z</dcterms:created>
  <dcterms:modified xsi:type="dcterms:W3CDTF">2022-07-07T06:35:40Z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C025A5607E97637927923407804932</vt:lpwstr>
  </property>
</Properties>
</file>