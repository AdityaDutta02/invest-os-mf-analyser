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Dec 21\"/>
    </mc:Choice>
  </mc:AlternateContent>
  <bookViews>
    <workbookView xWindow="0" yWindow="0" windowWidth="20490" windowHeight="7350"/>
  </bookViews>
  <sheets>
    <sheet name="M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0" i="1" l="1"/>
  <c r="G89" i="1"/>
  <c r="F89" i="1"/>
  <c r="F90" i="1" s="1"/>
  <c r="G86" i="1"/>
  <c r="F86" i="1"/>
  <c r="G68" i="1"/>
  <c r="G69" i="1" s="1"/>
  <c r="F68" i="1"/>
  <c r="F69" i="1" s="1"/>
  <c r="G62" i="1"/>
  <c r="G63" i="1" s="1"/>
  <c r="F62" i="1"/>
  <c r="F63" i="1" s="1"/>
  <c r="G49" i="1"/>
  <c r="G50" i="1" s="1"/>
  <c r="F49" i="1"/>
  <c r="F50" i="1" s="1"/>
  <c r="F91" i="1" s="1"/>
  <c r="G91" i="1" l="1"/>
</calcChain>
</file>

<file path=xl/sharedStrings.xml><?xml version="1.0" encoding="utf-8"?>
<sst xmlns="http://schemas.openxmlformats.org/spreadsheetml/2006/main" count="238" uniqueCount="187">
  <si>
    <t>CANARA ROBECO CONSERVATIVE HYBRID FUND</t>
  </si>
  <si>
    <t>Monthly Portfolio Statement as on December 31,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</si>
  <si>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</si>
  <si>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</si>
  <si>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</si>
  <si>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</si>
  <si>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</si>
  <si>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</si>
  <si>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</si>
  <si>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Dec'21</t>
  </si>
  <si>
    <t>Benchmark Risk-o-meter Level- Dec'21</t>
  </si>
  <si>
    <t>Previous Scheme Risk-o-meter Level- Nov'21</t>
  </si>
  <si>
    <t>Equity &amp; Equity related</t>
  </si>
  <si>
    <t>(a) Listed / awaiting listing on Stock Exchanges</t>
  </si>
  <si>
    <t>ICICI Bank Ltd</t>
  </si>
  <si>
    <t>INE090A01021</t>
  </si>
  <si>
    <t>Banks</t>
  </si>
  <si>
    <t>Infosys Ltd</t>
  </si>
  <si>
    <t>INE009A01021</t>
  </si>
  <si>
    <t>Software</t>
  </si>
  <si>
    <t>HDFC Bank Ltd</t>
  </si>
  <si>
    <t>INE040A01034</t>
  </si>
  <si>
    <t>Max Healthcare Institute Ltd</t>
  </si>
  <si>
    <t>INE027H01010</t>
  </si>
  <si>
    <t>Healthcare Services</t>
  </si>
  <si>
    <t>Bajaj Finance Ltd</t>
  </si>
  <si>
    <t>INE296A01024</t>
  </si>
  <si>
    <t>Finance</t>
  </si>
  <si>
    <t>Axis Bank Ltd</t>
  </si>
  <si>
    <t>INE238A01034</t>
  </si>
  <si>
    <t>Minda Industries Ltd</t>
  </si>
  <si>
    <t>INE405E01023</t>
  </si>
  <si>
    <t>Auto Ancillaries</t>
  </si>
  <si>
    <t>Benchmark: CRISIL Hybrid 85+15 - Conservative Index</t>
  </si>
  <si>
    <t>Avenue Supermarts Ltd</t>
  </si>
  <si>
    <t>INE192R01011</t>
  </si>
  <si>
    <t>Retailing</t>
  </si>
  <si>
    <t>SBI Cards and Payment Services Ltd</t>
  </si>
  <si>
    <t>INE018E01016</t>
  </si>
  <si>
    <t>Gland Pharma Ltd</t>
  </si>
  <si>
    <t>INE068V01023</t>
  </si>
  <si>
    <t>Pharmaceuticals</t>
  </si>
  <si>
    <t>Muthoot Finance Ltd</t>
  </si>
  <si>
    <t>INE414G01012</t>
  </si>
  <si>
    <t>Bharat Forge Ltd</t>
  </si>
  <si>
    <t>INE465A01025</t>
  </si>
  <si>
    <t>Industrial Products</t>
  </si>
  <si>
    <t>Reliance Industries Ltd</t>
  </si>
  <si>
    <t>INE002A01018</t>
  </si>
  <si>
    <t>Petroleum Products</t>
  </si>
  <si>
    <t>Sona Blw Precision Forgings Ltd</t>
  </si>
  <si>
    <t>INE073K01018</t>
  </si>
  <si>
    <t>SBI Life Insurance Co Ltd</t>
  </si>
  <si>
    <t>INE123W01016</t>
  </si>
  <si>
    <t>Insurance</t>
  </si>
  <si>
    <t>Vinati Organics Ltd</t>
  </si>
  <si>
    <t>INE410B01037</t>
  </si>
  <si>
    <t>Chemicals</t>
  </si>
  <si>
    <t>Max Financial Services Ltd</t>
  </si>
  <si>
    <t>INE180A01020</t>
  </si>
  <si>
    <t>Indraprastha Gas Ltd</t>
  </si>
  <si>
    <t>INE203G01027</t>
  </si>
  <si>
    <t>Gas</t>
  </si>
  <si>
    <t>Ultratech Cement Ltd</t>
  </si>
  <si>
    <t>INE481G01011</t>
  </si>
  <si>
    <t>Cement &amp; Cement Products</t>
  </si>
  <si>
    <t>Tata Consultancy Services Ltd</t>
  </si>
  <si>
    <t>INE467B01029</t>
  </si>
  <si>
    <t>Cholamandalam Investment and Finance Co Ltd</t>
  </si>
  <si>
    <t>INE121A01024</t>
  </si>
  <si>
    <t>Mphasis Ltd</t>
  </si>
  <si>
    <t>INE356A01018</t>
  </si>
  <si>
    <t>Tata Motors Ltd</t>
  </si>
  <si>
    <t>INE155A01022</t>
  </si>
  <si>
    <t>Auto</t>
  </si>
  <si>
    <t>State Bank of India</t>
  </si>
  <si>
    <t>INE062A01020</t>
  </si>
  <si>
    <t>Century Textile &amp; Industries Ltd</t>
  </si>
  <si>
    <t>INE055A01016</t>
  </si>
  <si>
    <t>Paper</t>
  </si>
  <si>
    <t>Tech Mahindra Ltd</t>
  </si>
  <si>
    <t>INE669C01036</t>
  </si>
  <si>
    <t>Divi's Laboratories Ltd</t>
  </si>
  <si>
    <t>INE361B01024</t>
  </si>
  <si>
    <t>Atul Ltd</t>
  </si>
  <si>
    <t>INE100A01010</t>
  </si>
  <si>
    <t>TCI Express Ltd</t>
  </si>
  <si>
    <t>INE586V01016</t>
  </si>
  <si>
    <t>Transportation</t>
  </si>
  <si>
    <t>TVS Motor Co Ltd</t>
  </si>
  <si>
    <t>INE494B01023</t>
  </si>
  <si>
    <t>Thermax Ltd</t>
  </si>
  <si>
    <t>INE152A01029</t>
  </si>
  <si>
    <t>Industrial Capital Goods</t>
  </si>
  <si>
    <t>Apollo Hospitals Enterprise Ltd</t>
  </si>
  <si>
    <t>INE437A01024</t>
  </si>
  <si>
    <t>Zomato Ltd</t>
  </si>
  <si>
    <t>INE758T01015</t>
  </si>
  <si>
    <t>PVR Ltd</t>
  </si>
  <si>
    <t>INE191H01014</t>
  </si>
  <si>
    <t>Entertainment</t>
  </si>
  <si>
    <t>FSN E-Commerce Ventures Ltd</t>
  </si>
  <si>
    <t>INE388Y01029</t>
  </si>
  <si>
    <t>Greenpanel Industries Ltd</t>
  </si>
  <si>
    <t>INE08ZM01014</t>
  </si>
  <si>
    <t>Consumer Durables</t>
  </si>
  <si>
    <t>Kotak Mahindra Bank Ltd</t>
  </si>
  <si>
    <t>INE237A01028</t>
  </si>
  <si>
    <t>Tata Consumer Products Ltd</t>
  </si>
  <si>
    <t>INE192A01025</t>
  </si>
  <si>
    <t>Consumer Non Durables</t>
  </si>
  <si>
    <t>Mahindra &amp; Mahindra Ltd</t>
  </si>
  <si>
    <t>INE101A01026</t>
  </si>
  <si>
    <t>KNR Constructions Ltd</t>
  </si>
  <si>
    <t>INE634I01029</t>
  </si>
  <si>
    <t>Construction</t>
  </si>
  <si>
    <t>Hindustan Unilever Ltd</t>
  </si>
  <si>
    <t>INE030A01027</t>
  </si>
  <si>
    <t>Bharti Airtel Ltd - Partly Paid</t>
  </si>
  <si>
    <t>IN9397D01014</t>
  </si>
  <si>
    <t>Telecom - Services</t>
  </si>
  <si>
    <t>Sub Total</t>
  </si>
  <si>
    <t>Total</t>
  </si>
  <si>
    <t>Debt Instruments</t>
  </si>
  <si>
    <t>7.69% National Bank For Agriculture &amp; Rural Development (29/05/2024) **</t>
  </si>
  <si>
    <t>INE261F08BK1</t>
  </si>
  <si>
    <t>CRISIL AAA</t>
  </si>
  <si>
    <t>8.595% LIC HOUSING FINANCE LTD 14-JAN-22 **</t>
  </si>
  <si>
    <t>INE115A07NZ5</t>
  </si>
  <si>
    <t>CARE AAA</t>
  </si>
  <si>
    <t>4.95% Housing Development Finance Corporation Ltd (09/09/2022) **</t>
  </si>
  <si>
    <t>INE001A07SQ5</t>
  </si>
  <si>
    <t>7.99% Housing Development Finance Corporation Ltd (11/07/2024) **</t>
  </si>
  <si>
    <t>INE001A07RV7</t>
  </si>
  <si>
    <t>7.40% LIC Housing Finance Ltd (06/09/2024) **</t>
  </si>
  <si>
    <t>INE115A07ML7</t>
  </si>
  <si>
    <t>7.45% REC Ltd (30/11/2022) **</t>
  </si>
  <si>
    <t>INE020B08AP1</t>
  </si>
  <si>
    <t>7.00% Reliance Industries Ltd (31/08/2022) **</t>
  </si>
  <si>
    <t>INE002A08476</t>
  </si>
  <si>
    <t>8.18% Power Finance Corporation Ltd (19/03/2022) **</t>
  </si>
  <si>
    <t>INE134E08JW1</t>
  </si>
  <si>
    <t>8.79% LIC Housing Finance Ltd (05/03/2024) **</t>
  </si>
  <si>
    <t>INE115A07NY8</t>
  </si>
  <si>
    <t>Money Market Instruments</t>
  </si>
  <si>
    <t>Treasury Bill</t>
  </si>
  <si>
    <t>364 DAYS INDIA TREASURY BILLS 11-MAR-22</t>
  </si>
  <si>
    <t>IN002020Z493</t>
  </si>
  <si>
    <t xml:space="preserve"> Sovereign</t>
  </si>
  <si>
    <t>182 DAYS INDIA TREASURY BILLS 28-APR-22</t>
  </si>
  <si>
    <t>IN002021Y312</t>
  </si>
  <si>
    <t>Government Bonds</t>
  </si>
  <si>
    <t>6.84% GOI (19/12/2022)</t>
  </si>
  <si>
    <t>IN0020160050</t>
  </si>
  <si>
    <t>Sovereign</t>
  </si>
  <si>
    <t>4.26% INDIA GOVERNMENT 17-MAY-23</t>
  </si>
  <si>
    <t>IN0020210046</t>
  </si>
  <si>
    <t>8.20% GOI (15/02/2022)</t>
  </si>
  <si>
    <t>IN0020060037</t>
  </si>
  <si>
    <t>7.32% GOI (28/01/2024)</t>
  </si>
  <si>
    <t>IN0020180488</t>
  </si>
  <si>
    <t>3.96% GOI (09/11/2022)</t>
  </si>
  <si>
    <t>IN0020200260</t>
  </si>
  <si>
    <t>6.10% INDIA GOVERNMENT 12-JUL-31</t>
  </si>
  <si>
    <t>IN0020210095</t>
  </si>
  <si>
    <t>6.18% GOI (04/11/2024)</t>
  </si>
  <si>
    <t>IN0020190396</t>
  </si>
  <si>
    <t>8.15% GOI (11/06/2022)</t>
  </si>
  <si>
    <t>IN0020120013</t>
  </si>
  <si>
    <t>5.09% GOI (13/04/2022)</t>
  </si>
  <si>
    <t>IN0020200021</t>
  </si>
  <si>
    <t>4.48% GOI (02/11/2023)</t>
  </si>
  <si>
    <t>IN0020200211</t>
  </si>
  <si>
    <t>5.22% GOI (15/06/2025)</t>
  </si>
  <si>
    <t>IN0020200112</t>
  </si>
  <si>
    <t>6.76% INDIA GOVERNMENT 22-FEB-61</t>
  </si>
  <si>
    <t>IN0020200401</t>
  </si>
  <si>
    <t>8.49% Punjab SDL Uday 31-Mar-22</t>
  </si>
  <si>
    <t>IN2820150273</t>
  </si>
  <si>
    <t>9.25% MAHARASHTRA SDL 09-OCT-23</t>
  </si>
  <si>
    <t>IN2220130099</t>
  </si>
  <si>
    <t>7.72% GOI (26/10/2055)</t>
  </si>
  <si>
    <t>IN0020150077</t>
  </si>
  <si>
    <t>TREPS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</si>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</sst>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" fontId="3" fillId="3" borderId="8" xfId="0" applyNumberFormat="1" applyFont="1" applyFill="1" applyBorder="1"/>
    <xf numFmtId="0" fontId="3" fillId="3" borderId="9" xfId="0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4" fontId="3" fillId="3" borderId="12" xfId="0" applyNumberFormat="1" applyFont="1" applyFill="1" applyBorder="1"/>
    <xf numFmtId="0" fontId="3" fillId="3" borderId="13" xfId="0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0" fontId="3" fillId="3" borderId="14" xfId="0" applyFont="1" applyFill="1" applyBorder="1" applyAlignment="1">
      <alignment horizontal="center"/>
    </xf>
    <xf numFmtId="0" fontId="9" fillId="3" borderId="15" xfId="0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4" fontId="9" fillId="3" borderId="0" xfId="0" applyNumberFormat="1" applyFont="1" applyFill="1"/>
    <xf numFmtId="0" fontId="9" fillId="3" borderId="20" xfId="0" applyFont="1" applyFill="1" applyBorder="1"/>
    <xf numFmtId="0" fontId="3" fillId="3" borderId="20" xfId="0" applyFont="1" applyFill="1" applyBorder="1"/>
    <xf numFmtId="0" fontId="3" fillId="3" borderId="20" xfId="0" applyNumberFormat="1" applyFont="1" applyFill="1" applyBorder="1"/>
    <xf numFmtId="4" fontId="3" fillId="3" borderId="20" xfId="0" applyNumberFormat="1" applyFont="1" applyFill="1" applyBorder="1"/>
    <xf numFmtId="0" fontId="9" fillId="3" borderId="11" xfId="0" applyFont="1" applyFill="1" applyBorder="1"/>
    <xf numFmtId="4" fontId="9" fillId="3" borderId="16" xfId="0" applyNumberFormat="1" applyFont="1" applyFill="1" applyBorder="1"/>
    <xf numFmtId="0" fontId="9" fillId="3" borderId="21" xfId="0" applyFont="1" applyFill="1" applyBorder="1"/>
    <xf numFmtId="0" fontId="9" fillId="3" borderId="21" xfId="0" applyNumberFormat="1" applyFont="1" applyFill="1" applyBorder="1"/>
    <xf numFmtId="4" fontId="9" fillId="3" borderId="21" xfId="0" applyNumberFormat="1" applyFont="1" applyFill="1" applyBorder="1"/>
    <xf numFmtId="0" fontId="3" fillId="3" borderId="22" xfId="0" applyFont="1" applyFill="1" applyBorder="1"/>
    <xf numFmtId="3" fontId="3" fillId="3" borderId="22" xfId="0" applyNumberFormat="1" applyFont="1" applyFill="1" applyBorder="1"/>
    <xf numFmtId="4" fontId="3" fillId="3" borderId="22" xfId="0" applyNumberFormat="1" applyFont="1" applyFill="1" applyBorder="1"/>
    <xf numFmtId="0" fontId="9" fillId="3" borderId="23" xfId="0" applyFont="1" applyFill="1" applyBorder="1"/>
    <xf numFmtId="0" fontId="9" fillId="3" borderId="23" xfId="0" applyNumberFormat="1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0" fontId="9" fillId="3" borderId="24" xfId="0" applyNumberFormat="1" applyFont="1" applyFill="1" applyBorder="1"/>
    <xf numFmtId="4" fontId="9" fillId="3" borderId="24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183493</xdr:colOff>
      <xdr:row>4</xdr:row>
      <xdr:rowOff>95250</xdr:rowOff>
    </xdr:from>
    <xdr:to>
      <xdr:col>12</xdr:col>
      <xdr:colOff>1781174</xdr:colOff>
      <xdr:row>11</xdr:row>
      <xdr:rowOff>152400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A9334E9E-2087-4EAD-92A1-47B306216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42443" y="1123950"/>
          <a:ext cx="1597681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123825</xdr:colOff>
      <xdr:row>4</xdr:row>
      <xdr:rowOff>47625</xdr:rowOff>
    </xdr:from>
    <xdr:to>
      <xdr:col>10</xdr:col>
      <xdr:colOff>1721506</xdr:colOff>
      <xdr:row>11</xdr:row>
      <xdr:rowOff>104775</xdr:rowOff>
    </xdr:to>
    <xdr:pic>
      <xdr:nvPicPr>
        <xdr:cNvPr id="3" name="Picture 7">
          <a:extLst>
            <a:ext uri="{FF2B5EF4-FFF2-40B4-BE49-F238E27FC236}">
              <a16:creationId xmlns:a16="http://schemas.microsoft.com/office/drawing/2014/main" id="{A9334E9E-2087-4EAD-92A1-47B306216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076325"/>
          <a:ext cx="1597681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76200</xdr:colOff>
      <xdr:row>4</xdr:row>
      <xdr:rowOff>76200</xdr:rowOff>
    </xdr:from>
    <xdr:to>
      <xdr:col>11</xdr:col>
      <xdr:colOff>1695450</xdr:colOff>
      <xdr:row>11</xdr:row>
      <xdr:rowOff>171450</xdr:rowOff>
    </xdr:to>
    <xdr:pic>
      <xdr:nvPicPr>
        <xdr:cNvPr id="4" name="Picture 6">
          <a:extLst>
            <a:ext uri="{FF2B5EF4-FFF2-40B4-BE49-F238E27FC236}">
              <a16:creationId xmlns:a16="http://schemas.microsoft.com/office/drawing/2014/main" id="{04336E52-6385-4D5F-8723-581FFCC99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7775" y="1104900"/>
          <a:ext cx="161925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4"/>
  <sheetViews>
    <sheetView tabSelected="1" workbookViewId="0">
      <selection activeCell="A12" sqref="A12"/>
    </sheetView>
  </sheetViews>
  <sheetFormatPr defaultRowHeight="12"/>
  <cols>
    <col min="1" max="1" width="9.140625" style="4"/>
    <col min="2" max="2" width="60.85546875" style="4" bestFit="1" customWidth="1"/>
    <col min="3" max="3" width="13.5703125" style="4" bestFit="1" customWidth="1"/>
    <col min="4" max="4" width="23.42578125" style="4" bestFit="1" customWidth="1"/>
    <col min="5" max="5" width="9.85546875" style="63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" style="3" bestFit="1" customWidth="1"/>
    <col min="10" max="10" width="4.7109375" style="3" bestFit="1" customWidth="1"/>
    <col min="11" max="11" width="29.140625" style="3" customWidth="1"/>
    <col min="12" max="12" width="27.85546875" style="3" customWidth="1"/>
    <col min="13" max="13" width="30.28515625" style="4" customWidth="1"/>
    <col min="14" max="16384" width="9.140625" style="4"/>
  </cols>
  <sheetData>
    <row r="1" spans="2:13" ht="20.25">
      <c r="B1" s="1" t="s">
        <v>0</v>
      </c>
      <c r="C1" s="2"/>
      <c r="D1" s="2"/>
      <c r="E1" s="2"/>
      <c r="F1" s="2"/>
      <c r="G1" s="2"/>
      <c r="H1" s="2"/>
    </row>
    <row r="3" spans="2:13" ht="16.5" thickBot="1">
      <c r="B3" s="5" t="s">
        <v>1</v>
      </c>
      <c r="C3" s="6"/>
      <c r="D3" s="7"/>
      <c r="E3" s="8"/>
      <c r="F3" s="9"/>
      <c r="G3" s="9"/>
    </row>
    <row r="4" spans="2:13" ht="32.25" customHeight="1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K4" s="16" t="s">
        <v>9</v>
      </c>
      <c r="L4" s="16" t="s">
        <v>10</v>
      </c>
      <c r="M4" s="16" t="s">
        <v>11</v>
      </c>
    </row>
    <row r="5" spans="2:13">
      <c r="B5" s="17" t="s">
        <v>12</v>
      </c>
      <c r="C5" s="18"/>
      <c r="D5" s="18"/>
      <c r="E5" s="19"/>
      <c r="F5" s="20"/>
      <c r="G5" s="20"/>
      <c r="H5" s="21"/>
      <c r="K5" s="22"/>
      <c r="L5" s="22"/>
      <c r="M5" s="22"/>
    </row>
    <row r="6" spans="2:13">
      <c r="B6" s="23" t="s">
        <v>13</v>
      </c>
      <c r="C6" s="24"/>
      <c r="D6" s="24"/>
      <c r="E6" s="25"/>
      <c r="F6" s="26"/>
      <c r="G6" s="26"/>
      <c r="H6" s="27"/>
      <c r="K6" s="28"/>
      <c r="L6" s="28"/>
      <c r="M6" s="28"/>
    </row>
    <row r="7" spans="2:13">
      <c r="B7" s="29" t="s">
        <v>14</v>
      </c>
      <c r="C7" s="24" t="s">
        <v>15</v>
      </c>
      <c r="D7" s="24" t="s">
        <v>16</v>
      </c>
      <c r="E7" s="30">
        <v>212914</v>
      </c>
      <c r="F7" s="26">
        <v>1575.88</v>
      </c>
      <c r="G7" s="26">
        <v>1.51</v>
      </c>
      <c r="H7" s="27"/>
      <c r="K7" s="28"/>
      <c r="L7" s="28"/>
      <c r="M7" s="28"/>
    </row>
    <row r="8" spans="2:13">
      <c r="B8" s="29" t="s">
        <v>17</v>
      </c>
      <c r="C8" s="24" t="s">
        <v>18</v>
      </c>
      <c r="D8" s="24" t="s">
        <v>19</v>
      </c>
      <c r="E8" s="30">
        <v>76920</v>
      </c>
      <c r="F8" s="26">
        <v>1452.06</v>
      </c>
      <c r="G8" s="26">
        <v>1.39</v>
      </c>
      <c r="H8" s="27"/>
      <c r="K8" s="28"/>
      <c r="L8" s="28"/>
      <c r="M8" s="28"/>
    </row>
    <row r="9" spans="2:13">
      <c r="B9" s="29" t="s">
        <v>20</v>
      </c>
      <c r="C9" s="24" t="s">
        <v>21</v>
      </c>
      <c r="D9" s="24" t="s">
        <v>16</v>
      </c>
      <c r="E9" s="30">
        <v>92032</v>
      </c>
      <c r="F9" s="26">
        <v>1361.52</v>
      </c>
      <c r="G9" s="26">
        <v>1.3</v>
      </c>
      <c r="H9" s="27"/>
      <c r="K9" s="28"/>
      <c r="L9" s="28"/>
      <c r="M9" s="28"/>
    </row>
    <row r="10" spans="2:13">
      <c r="B10" s="29" t="s">
        <v>22</v>
      </c>
      <c r="C10" s="24" t="s">
        <v>23</v>
      </c>
      <c r="D10" s="24" t="s">
        <v>24</v>
      </c>
      <c r="E10" s="30">
        <v>300000</v>
      </c>
      <c r="F10" s="26">
        <v>1328.7</v>
      </c>
      <c r="G10" s="26">
        <v>1.27</v>
      </c>
      <c r="H10" s="27"/>
      <c r="K10" s="28"/>
      <c r="L10" s="28"/>
      <c r="M10" s="28"/>
    </row>
    <row r="11" spans="2:13">
      <c r="B11" s="29" t="s">
        <v>25</v>
      </c>
      <c r="C11" s="24" t="s">
        <v>26</v>
      </c>
      <c r="D11" s="24" t="s">
        <v>27</v>
      </c>
      <c r="E11" s="30">
        <v>19000</v>
      </c>
      <c r="F11" s="26">
        <v>1325.69</v>
      </c>
      <c r="G11" s="26">
        <v>1.27</v>
      </c>
      <c r="H11" s="27"/>
      <c r="K11" s="28"/>
      <c r="L11" s="28"/>
      <c r="M11" s="28"/>
    </row>
    <row r="12" spans="2:13" ht="16.5" customHeight="1">
      <c r="B12" s="29" t="s">
        <v>28</v>
      </c>
      <c r="C12" s="24" t="s">
        <v>29</v>
      </c>
      <c r="D12" s="24" t="s">
        <v>16</v>
      </c>
      <c r="E12" s="30">
        <v>111062</v>
      </c>
      <c r="F12" s="26">
        <v>753.61</v>
      </c>
      <c r="G12" s="26">
        <v>0.72</v>
      </c>
      <c r="H12" s="27"/>
      <c r="K12" s="31"/>
      <c r="L12" s="31"/>
      <c r="M12" s="31"/>
    </row>
    <row r="13" spans="2:13">
      <c r="B13" s="29" t="s">
        <v>30</v>
      </c>
      <c r="C13" s="24" t="s">
        <v>31</v>
      </c>
      <c r="D13" s="24" t="s">
        <v>32</v>
      </c>
      <c r="E13" s="30">
        <v>59500</v>
      </c>
      <c r="F13" s="26">
        <v>728.79</v>
      </c>
      <c r="G13" s="26">
        <v>0.7</v>
      </c>
      <c r="H13" s="27"/>
      <c r="L13" s="3" t="s">
        <v>33</v>
      </c>
    </row>
    <row r="14" spans="2:13">
      <c r="B14" s="29" t="s">
        <v>34</v>
      </c>
      <c r="C14" s="24" t="s">
        <v>35</v>
      </c>
      <c r="D14" s="24" t="s">
        <v>36</v>
      </c>
      <c r="E14" s="30">
        <v>15000</v>
      </c>
      <c r="F14" s="26">
        <v>700.72</v>
      </c>
      <c r="G14" s="26">
        <v>0.67</v>
      </c>
      <c r="H14" s="27"/>
    </row>
    <row r="15" spans="2:13">
      <c r="B15" s="29" t="s">
        <v>37</v>
      </c>
      <c r="C15" s="24" t="s">
        <v>38</v>
      </c>
      <c r="D15" s="24" t="s">
        <v>27</v>
      </c>
      <c r="E15" s="30">
        <v>74736</v>
      </c>
      <c r="F15" s="26">
        <v>693.66</v>
      </c>
      <c r="G15" s="26">
        <v>0.66</v>
      </c>
      <c r="H15" s="27"/>
    </row>
    <row r="16" spans="2:13">
      <c r="B16" s="29" t="s">
        <v>39</v>
      </c>
      <c r="C16" s="24" t="s">
        <v>40</v>
      </c>
      <c r="D16" s="24" t="s">
        <v>41</v>
      </c>
      <c r="E16" s="30">
        <v>17870</v>
      </c>
      <c r="F16" s="26">
        <v>690.6</v>
      </c>
      <c r="G16" s="26">
        <v>0.66</v>
      </c>
      <c r="H16" s="27"/>
    </row>
    <row r="17" spans="2:8">
      <c r="B17" s="29" t="s">
        <v>42</v>
      </c>
      <c r="C17" s="24" t="s">
        <v>43</v>
      </c>
      <c r="D17" s="24" t="s">
        <v>27</v>
      </c>
      <c r="E17" s="30">
        <v>45000</v>
      </c>
      <c r="F17" s="26">
        <v>673.04</v>
      </c>
      <c r="G17" s="26">
        <v>0.64</v>
      </c>
      <c r="H17" s="27"/>
    </row>
    <row r="18" spans="2:8">
      <c r="B18" s="29" t="s">
        <v>44</v>
      </c>
      <c r="C18" s="24" t="s">
        <v>45</v>
      </c>
      <c r="D18" s="24" t="s">
        <v>46</v>
      </c>
      <c r="E18" s="30">
        <v>90000</v>
      </c>
      <c r="F18" s="26">
        <v>628.07000000000005</v>
      </c>
      <c r="G18" s="26">
        <v>0.6</v>
      </c>
      <c r="H18" s="27"/>
    </row>
    <row r="19" spans="2:8">
      <c r="B19" s="29" t="s">
        <v>47</v>
      </c>
      <c r="C19" s="24" t="s">
        <v>48</v>
      </c>
      <c r="D19" s="24" t="s">
        <v>49</v>
      </c>
      <c r="E19" s="30">
        <v>26154</v>
      </c>
      <c r="F19" s="26">
        <v>619.37</v>
      </c>
      <c r="G19" s="26">
        <v>0.59</v>
      </c>
      <c r="H19" s="27"/>
    </row>
    <row r="20" spans="2:8">
      <c r="B20" s="29" t="s">
        <v>50</v>
      </c>
      <c r="C20" s="24" t="s">
        <v>51</v>
      </c>
      <c r="D20" s="24" t="s">
        <v>32</v>
      </c>
      <c r="E20" s="30">
        <v>80588</v>
      </c>
      <c r="F20" s="26">
        <v>599.21</v>
      </c>
      <c r="G20" s="26">
        <v>0.56999999999999995</v>
      </c>
      <c r="H20" s="27"/>
    </row>
    <row r="21" spans="2:8">
      <c r="B21" s="29" t="s">
        <v>52</v>
      </c>
      <c r="C21" s="24" t="s">
        <v>53</v>
      </c>
      <c r="D21" s="24" t="s">
        <v>54</v>
      </c>
      <c r="E21" s="30">
        <v>50000</v>
      </c>
      <c r="F21" s="26">
        <v>598</v>
      </c>
      <c r="G21" s="26">
        <v>0.56999999999999995</v>
      </c>
      <c r="H21" s="27"/>
    </row>
    <row r="22" spans="2:8">
      <c r="B22" s="29" t="s">
        <v>55</v>
      </c>
      <c r="C22" s="24" t="s">
        <v>56</v>
      </c>
      <c r="D22" s="24" t="s">
        <v>57</v>
      </c>
      <c r="E22" s="30">
        <v>30000</v>
      </c>
      <c r="F22" s="26">
        <v>596.42999999999995</v>
      </c>
      <c r="G22" s="26">
        <v>0.56999999999999995</v>
      </c>
      <c r="H22" s="27"/>
    </row>
    <row r="23" spans="2:8">
      <c r="B23" s="29" t="s">
        <v>58</v>
      </c>
      <c r="C23" s="24" t="s">
        <v>59</v>
      </c>
      <c r="D23" s="24" t="s">
        <v>54</v>
      </c>
      <c r="E23" s="30">
        <v>60000</v>
      </c>
      <c r="F23" s="26">
        <v>588.21</v>
      </c>
      <c r="G23" s="26">
        <v>0.56000000000000005</v>
      </c>
      <c r="H23" s="27"/>
    </row>
    <row r="24" spans="2:8">
      <c r="B24" s="29" t="s">
        <v>60</v>
      </c>
      <c r="C24" s="24" t="s">
        <v>61</v>
      </c>
      <c r="D24" s="24" t="s">
        <v>62</v>
      </c>
      <c r="E24" s="30">
        <v>115000</v>
      </c>
      <c r="F24" s="26">
        <v>540.96</v>
      </c>
      <c r="G24" s="26">
        <v>0.52</v>
      </c>
      <c r="H24" s="27"/>
    </row>
    <row r="25" spans="2:8">
      <c r="B25" s="29" t="s">
        <v>63</v>
      </c>
      <c r="C25" s="24" t="s">
        <v>64</v>
      </c>
      <c r="D25" s="24" t="s">
        <v>65</v>
      </c>
      <c r="E25" s="30">
        <v>7000</v>
      </c>
      <c r="F25" s="26">
        <v>531.37</v>
      </c>
      <c r="G25" s="26">
        <v>0.51</v>
      </c>
      <c r="H25" s="27"/>
    </row>
    <row r="26" spans="2:8">
      <c r="B26" s="29" t="s">
        <v>66</v>
      </c>
      <c r="C26" s="24" t="s">
        <v>67</v>
      </c>
      <c r="D26" s="24" t="s">
        <v>19</v>
      </c>
      <c r="E26" s="30">
        <v>14130</v>
      </c>
      <c r="F26" s="26">
        <v>528.23</v>
      </c>
      <c r="G26" s="26">
        <v>0.51</v>
      </c>
      <c r="H26" s="27"/>
    </row>
    <row r="27" spans="2:8">
      <c r="B27" s="29" t="s">
        <v>68</v>
      </c>
      <c r="C27" s="24" t="s">
        <v>69</v>
      </c>
      <c r="D27" s="24" t="s">
        <v>27</v>
      </c>
      <c r="E27" s="30">
        <v>100000</v>
      </c>
      <c r="F27" s="26">
        <v>520.4</v>
      </c>
      <c r="G27" s="26">
        <v>0.5</v>
      </c>
      <c r="H27" s="27"/>
    </row>
    <row r="28" spans="2:8">
      <c r="B28" s="29" t="s">
        <v>70</v>
      </c>
      <c r="C28" s="24" t="s">
        <v>71</v>
      </c>
      <c r="D28" s="24" t="s">
        <v>19</v>
      </c>
      <c r="E28" s="30">
        <v>15000</v>
      </c>
      <c r="F28" s="26">
        <v>509.51</v>
      </c>
      <c r="G28" s="26">
        <v>0.49</v>
      </c>
      <c r="H28" s="27"/>
    </row>
    <row r="29" spans="2:8">
      <c r="B29" s="29" t="s">
        <v>72</v>
      </c>
      <c r="C29" s="24" t="s">
        <v>73</v>
      </c>
      <c r="D29" s="24" t="s">
        <v>74</v>
      </c>
      <c r="E29" s="30">
        <v>100000</v>
      </c>
      <c r="F29" s="26">
        <v>482.4</v>
      </c>
      <c r="G29" s="26">
        <v>0.46</v>
      </c>
      <c r="H29" s="27"/>
    </row>
    <row r="30" spans="2:8">
      <c r="B30" s="29" t="s">
        <v>75</v>
      </c>
      <c r="C30" s="24" t="s">
        <v>76</v>
      </c>
      <c r="D30" s="24" t="s">
        <v>16</v>
      </c>
      <c r="E30" s="30">
        <v>100000</v>
      </c>
      <c r="F30" s="26">
        <v>460.45</v>
      </c>
      <c r="G30" s="26">
        <v>0.44</v>
      </c>
      <c r="H30" s="27"/>
    </row>
    <row r="31" spans="2:8">
      <c r="B31" s="29" t="s">
        <v>77</v>
      </c>
      <c r="C31" s="24" t="s">
        <v>78</v>
      </c>
      <c r="D31" s="24" t="s">
        <v>79</v>
      </c>
      <c r="E31" s="30">
        <v>50000</v>
      </c>
      <c r="F31" s="26">
        <v>458.78</v>
      </c>
      <c r="G31" s="26">
        <v>0.44</v>
      </c>
      <c r="H31" s="27"/>
    </row>
    <row r="32" spans="2:8">
      <c r="B32" s="29" t="s">
        <v>80</v>
      </c>
      <c r="C32" s="24" t="s">
        <v>81</v>
      </c>
      <c r="D32" s="24" t="s">
        <v>19</v>
      </c>
      <c r="E32" s="30">
        <v>25000</v>
      </c>
      <c r="F32" s="26">
        <v>447.64</v>
      </c>
      <c r="G32" s="26">
        <v>0.43</v>
      </c>
      <c r="H32" s="27"/>
    </row>
    <row r="33" spans="2:8">
      <c r="B33" s="29" t="s">
        <v>82</v>
      </c>
      <c r="C33" s="24" t="s">
        <v>83</v>
      </c>
      <c r="D33" s="24" t="s">
        <v>41</v>
      </c>
      <c r="E33" s="30">
        <v>9000</v>
      </c>
      <c r="F33" s="26">
        <v>421.04</v>
      </c>
      <c r="G33" s="26">
        <v>0.4</v>
      </c>
      <c r="H33" s="27"/>
    </row>
    <row r="34" spans="2:8">
      <c r="B34" s="29" t="s">
        <v>84</v>
      </c>
      <c r="C34" s="24" t="s">
        <v>85</v>
      </c>
      <c r="D34" s="24" t="s">
        <v>57</v>
      </c>
      <c r="E34" s="30">
        <v>4604</v>
      </c>
      <c r="F34" s="26">
        <v>416.16</v>
      </c>
      <c r="G34" s="26">
        <v>0.4</v>
      </c>
      <c r="H34" s="27"/>
    </row>
    <row r="35" spans="2:8">
      <c r="B35" s="29" t="s">
        <v>86</v>
      </c>
      <c r="C35" s="24" t="s">
        <v>87</v>
      </c>
      <c r="D35" s="24" t="s">
        <v>88</v>
      </c>
      <c r="E35" s="30">
        <v>17966</v>
      </c>
      <c r="F35" s="26">
        <v>397.62</v>
      </c>
      <c r="G35" s="26">
        <v>0.38</v>
      </c>
      <c r="H35" s="27"/>
    </row>
    <row r="36" spans="2:8">
      <c r="B36" s="29" t="s">
        <v>89</v>
      </c>
      <c r="C36" s="24" t="s">
        <v>90</v>
      </c>
      <c r="D36" s="24" t="s">
        <v>74</v>
      </c>
      <c r="E36" s="30">
        <v>60000</v>
      </c>
      <c r="F36" s="26">
        <v>376.2</v>
      </c>
      <c r="G36" s="26">
        <v>0.36</v>
      </c>
      <c r="H36" s="27"/>
    </row>
    <row r="37" spans="2:8">
      <c r="B37" s="29" t="s">
        <v>91</v>
      </c>
      <c r="C37" s="24" t="s">
        <v>92</v>
      </c>
      <c r="D37" s="24" t="s">
        <v>93</v>
      </c>
      <c r="E37" s="30">
        <v>20000</v>
      </c>
      <c r="F37" s="26">
        <v>357.38</v>
      </c>
      <c r="G37" s="26">
        <v>0.34</v>
      </c>
      <c r="H37" s="27"/>
    </row>
    <row r="38" spans="2:8">
      <c r="B38" s="29" t="s">
        <v>94</v>
      </c>
      <c r="C38" s="24" t="s">
        <v>95</v>
      </c>
      <c r="D38" s="24" t="s">
        <v>24</v>
      </c>
      <c r="E38" s="30">
        <v>7000</v>
      </c>
      <c r="F38" s="26">
        <v>350.94</v>
      </c>
      <c r="G38" s="26">
        <v>0.34</v>
      </c>
      <c r="H38" s="27"/>
    </row>
    <row r="39" spans="2:8">
      <c r="B39" s="29" t="s">
        <v>96</v>
      </c>
      <c r="C39" s="24" t="s">
        <v>97</v>
      </c>
      <c r="D39" s="24" t="s">
        <v>36</v>
      </c>
      <c r="E39" s="30">
        <v>250000</v>
      </c>
      <c r="F39" s="26">
        <v>343.5</v>
      </c>
      <c r="G39" s="26">
        <v>0.33</v>
      </c>
      <c r="H39" s="27"/>
    </row>
    <row r="40" spans="2:8">
      <c r="B40" s="29" t="s">
        <v>98</v>
      </c>
      <c r="C40" s="24" t="s">
        <v>99</v>
      </c>
      <c r="D40" s="24" t="s">
        <v>100</v>
      </c>
      <c r="E40" s="30">
        <v>25000</v>
      </c>
      <c r="F40" s="26">
        <v>324.58</v>
      </c>
      <c r="G40" s="26">
        <v>0.31</v>
      </c>
      <c r="H40" s="27"/>
    </row>
    <row r="41" spans="2:8">
      <c r="B41" s="29" t="s">
        <v>101</v>
      </c>
      <c r="C41" s="24" t="s">
        <v>102</v>
      </c>
      <c r="D41" s="24" t="s">
        <v>36</v>
      </c>
      <c r="E41" s="30">
        <v>15000</v>
      </c>
      <c r="F41" s="26">
        <v>315.23</v>
      </c>
      <c r="G41" s="26">
        <v>0.3</v>
      </c>
      <c r="H41" s="27"/>
    </row>
    <row r="42" spans="2:8">
      <c r="B42" s="29" t="s">
        <v>103</v>
      </c>
      <c r="C42" s="24" t="s">
        <v>104</v>
      </c>
      <c r="D42" s="24" t="s">
        <v>105</v>
      </c>
      <c r="E42" s="30">
        <v>75000</v>
      </c>
      <c r="F42" s="26">
        <v>314.85000000000002</v>
      </c>
      <c r="G42" s="26">
        <v>0.3</v>
      </c>
      <c r="H42" s="27"/>
    </row>
    <row r="43" spans="2:8">
      <c r="B43" s="29" t="s">
        <v>106</v>
      </c>
      <c r="C43" s="24" t="s">
        <v>107</v>
      </c>
      <c r="D43" s="24" t="s">
        <v>16</v>
      </c>
      <c r="E43" s="30">
        <v>17450</v>
      </c>
      <c r="F43" s="26">
        <v>313.42</v>
      </c>
      <c r="G43" s="26">
        <v>0.3</v>
      </c>
      <c r="H43" s="27"/>
    </row>
    <row r="44" spans="2:8">
      <c r="B44" s="29" t="s">
        <v>108</v>
      </c>
      <c r="C44" s="24" t="s">
        <v>109</v>
      </c>
      <c r="D44" s="24" t="s">
        <v>110</v>
      </c>
      <c r="E44" s="30">
        <v>40000</v>
      </c>
      <c r="F44" s="26">
        <v>297.38</v>
      </c>
      <c r="G44" s="26">
        <v>0.28000000000000003</v>
      </c>
      <c r="H44" s="27"/>
    </row>
    <row r="45" spans="2:8">
      <c r="B45" s="29" t="s">
        <v>111</v>
      </c>
      <c r="C45" s="24" t="s">
        <v>112</v>
      </c>
      <c r="D45" s="24" t="s">
        <v>74</v>
      </c>
      <c r="E45" s="30">
        <v>35000</v>
      </c>
      <c r="F45" s="26">
        <v>293</v>
      </c>
      <c r="G45" s="26">
        <v>0.28000000000000003</v>
      </c>
      <c r="H45" s="27"/>
    </row>
    <row r="46" spans="2:8">
      <c r="B46" s="29" t="s">
        <v>113</v>
      </c>
      <c r="C46" s="24" t="s">
        <v>114</v>
      </c>
      <c r="D46" s="24" t="s">
        <v>115</v>
      </c>
      <c r="E46" s="30">
        <v>85000</v>
      </c>
      <c r="F46" s="26">
        <v>254.87</v>
      </c>
      <c r="G46" s="26">
        <v>0.24</v>
      </c>
      <c r="H46" s="27"/>
    </row>
    <row r="47" spans="2:8">
      <c r="B47" s="29" t="s">
        <v>116</v>
      </c>
      <c r="C47" s="24" t="s">
        <v>117</v>
      </c>
      <c r="D47" s="24" t="s">
        <v>110</v>
      </c>
      <c r="E47" s="30">
        <v>9597</v>
      </c>
      <c r="F47" s="26">
        <v>226.5</v>
      </c>
      <c r="G47" s="26">
        <v>0.22</v>
      </c>
      <c r="H47" s="27"/>
    </row>
    <row r="48" spans="2:8">
      <c r="B48" s="29" t="s">
        <v>118</v>
      </c>
      <c r="C48" s="24" t="s">
        <v>119</v>
      </c>
      <c r="D48" s="24" t="s">
        <v>120</v>
      </c>
      <c r="E48" s="30">
        <v>3571</v>
      </c>
      <c r="F48" s="26">
        <v>12.59</v>
      </c>
      <c r="G48" s="26">
        <v>0.01</v>
      </c>
      <c r="H48" s="27"/>
    </row>
    <row r="49" spans="2:8">
      <c r="B49" s="32" t="s">
        <v>121</v>
      </c>
      <c r="C49" s="33"/>
      <c r="D49" s="33"/>
      <c r="E49" s="34"/>
      <c r="F49" s="35">
        <f>SUM(F7:F48)</f>
        <v>24408.560000000001</v>
      </c>
      <c r="G49" s="35">
        <f>SUM(G7:G48)</f>
        <v>23.339999999999996</v>
      </c>
      <c r="H49" s="36"/>
    </row>
    <row r="50" spans="2:8">
      <c r="B50" s="37" t="s">
        <v>122</v>
      </c>
      <c r="C50" s="37"/>
      <c r="D50" s="37"/>
      <c r="E50" s="38"/>
      <c r="F50" s="39">
        <f>F49</f>
        <v>24408.560000000001</v>
      </c>
      <c r="G50" s="39">
        <f>G49</f>
        <v>23.339999999999996</v>
      </c>
      <c r="H50" s="40"/>
    </row>
    <row r="51" spans="2:8">
      <c r="B51" s="41" t="s">
        <v>123</v>
      </c>
      <c r="C51" s="42"/>
      <c r="D51" s="42"/>
      <c r="E51" s="43"/>
      <c r="F51" s="44"/>
      <c r="G51" s="44"/>
      <c r="H51" s="44"/>
    </row>
    <row r="52" spans="2:8">
      <c r="B52" s="45" t="s">
        <v>13</v>
      </c>
      <c r="C52" s="24"/>
      <c r="D52" s="24"/>
      <c r="E52" s="25"/>
      <c r="F52" s="26"/>
      <c r="G52" s="26"/>
      <c r="H52" s="26"/>
    </row>
    <row r="53" spans="2:8">
      <c r="B53" s="24" t="s">
        <v>124</v>
      </c>
      <c r="C53" s="24" t="s">
        <v>125</v>
      </c>
      <c r="D53" s="24" t="s">
        <v>126</v>
      </c>
      <c r="E53" s="30">
        <v>300</v>
      </c>
      <c r="F53" s="26">
        <v>3144.92</v>
      </c>
      <c r="G53" s="26">
        <v>3.01</v>
      </c>
      <c r="H53" s="26">
        <v>5.47</v>
      </c>
    </row>
    <row r="54" spans="2:8">
      <c r="B54" s="24" t="s">
        <v>127</v>
      </c>
      <c r="C54" s="24" t="s">
        <v>128</v>
      </c>
      <c r="D54" s="24" t="s">
        <v>129</v>
      </c>
      <c r="E54" s="30">
        <v>250</v>
      </c>
      <c r="F54" s="26">
        <v>2504.04</v>
      </c>
      <c r="G54" s="26">
        <v>2.4</v>
      </c>
      <c r="H54" s="26">
        <v>4.04</v>
      </c>
    </row>
    <row r="55" spans="2:8">
      <c r="B55" s="24" t="s">
        <v>130</v>
      </c>
      <c r="C55" s="24" t="s">
        <v>131</v>
      </c>
      <c r="D55" s="24" t="s">
        <v>126</v>
      </c>
      <c r="E55" s="30">
        <v>250</v>
      </c>
      <c r="F55" s="26">
        <v>2503.38</v>
      </c>
      <c r="G55" s="26">
        <v>2.4</v>
      </c>
      <c r="H55" s="26">
        <v>4.68</v>
      </c>
    </row>
    <row r="56" spans="2:8">
      <c r="B56" s="24" t="s">
        <v>132</v>
      </c>
      <c r="C56" s="24" t="s">
        <v>133</v>
      </c>
      <c r="D56" s="24" t="s">
        <v>126</v>
      </c>
      <c r="E56" s="30">
        <v>100</v>
      </c>
      <c r="F56" s="26">
        <v>1051.42</v>
      </c>
      <c r="G56" s="26">
        <v>1.01</v>
      </c>
      <c r="H56" s="26">
        <v>5.72</v>
      </c>
    </row>
    <row r="57" spans="2:8">
      <c r="B57" s="24" t="s">
        <v>134</v>
      </c>
      <c r="C57" s="24" t="s">
        <v>135</v>
      </c>
      <c r="D57" s="24" t="s">
        <v>126</v>
      </c>
      <c r="E57" s="30">
        <v>100</v>
      </c>
      <c r="F57" s="26">
        <v>1037.3599999999999</v>
      </c>
      <c r="G57" s="26">
        <v>0.99</v>
      </c>
      <c r="H57" s="26">
        <v>5.84</v>
      </c>
    </row>
    <row r="58" spans="2:8">
      <c r="B58" s="24" t="s">
        <v>136</v>
      </c>
      <c r="C58" s="24" t="s">
        <v>137</v>
      </c>
      <c r="D58" s="24" t="s">
        <v>126</v>
      </c>
      <c r="E58" s="30">
        <v>100</v>
      </c>
      <c r="F58" s="26">
        <v>1024.1099999999999</v>
      </c>
      <c r="G58" s="26">
        <v>0.98</v>
      </c>
      <c r="H58" s="26">
        <v>4.67</v>
      </c>
    </row>
    <row r="59" spans="2:8">
      <c r="B59" s="24" t="s">
        <v>138</v>
      </c>
      <c r="C59" s="24" t="s">
        <v>139</v>
      </c>
      <c r="D59" s="24" t="s">
        <v>126</v>
      </c>
      <c r="E59" s="30">
        <v>100</v>
      </c>
      <c r="F59" s="26">
        <v>1015.01</v>
      </c>
      <c r="G59" s="26">
        <v>0.97</v>
      </c>
      <c r="H59" s="26">
        <v>4.57</v>
      </c>
    </row>
    <row r="60" spans="2:8">
      <c r="B60" s="24" t="s">
        <v>140</v>
      </c>
      <c r="C60" s="24" t="s">
        <v>141</v>
      </c>
      <c r="D60" s="24" t="s">
        <v>126</v>
      </c>
      <c r="E60" s="30">
        <v>100</v>
      </c>
      <c r="F60" s="26">
        <v>1008.89</v>
      </c>
      <c r="G60" s="26">
        <v>0.97</v>
      </c>
      <c r="H60" s="26">
        <v>3.75</v>
      </c>
    </row>
    <row r="61" spans="2:8">
      <c r="B61" s="24" t="s">
        <v>142</v>
      </c>
      <c r="C61" s="24" t="s">
        <v>143</v>
      </c>
      <c r="D61" s="24" t="s">
        <v>126</v>
      </c>
      <c r="E61" s="30">
        <v>50</v>
      </c>
      <c r="F61" s="26">
        <v>530.53</v>
      </c>
      <c r="G61" s="26">
        <v>0.51</v>
      </c>
      <c r="H61" s="26">
        <v>5.71</v>
      </c>
    </row>
    <row r="62" spans="2:8">
      <c r="B62" s="33" t="s">
        <v>121</v>
      </c>
      <c r="C62" s="33"/>
      <c r="D62" s="33"/>
      <c r="E62" s="34"/>
      <c r="F62" s="35">
        <f>SUM(F52:F61)</f>
        <v>13819.660000000002</v>
      </c>
      <c r="G62" s="35">
        <f>SUM(G52:G61)</f>
        <v>13.240000000000002</v>
      </c>
      <c r="H62" s="46"/>
    </row>
    <row r="63" spans="2:8">
      <c r="B63" s="47" t="s">
        <v>122</v>
      </c>
      <c r="C63" s="47"/>
      <c r="D63" s="47"/>
      <c r="E63" s="48"/>
      <c r="F63" s="49">
        <f>F62</f>
        <v>13819.660000000002</v>
      </c>
      <c r="G63" s="49">
        <f>G62</f>
        <v>13.240000000000002</v>
      </c>
      <c r="H63" s="49"/>
    </row>
    <row r="64" spans="2:8">
      <c r="B64" s="45" t="s">
        <v>144</v>
      </c>
      <c r="C64" s="24"/>
      <c r="D64" s="24"/>
      <c r="E64" s="25"/>
      <c r="F64" s="26"/>
      <c r="G64" s="26"/>
      <c r="H64" s="26"/>
    </row>
    <row r="65" spans="2:8">
      <c r="B65" s="45" t="s">
        <v>145</v>
      </c>
      <c r="C65" s="24"/>
      <c r="D65" s="24"/>
      <c r="E65" s="25"/>
      <c r="F65" s="26"/>
      <c r="G65" s="26"/>
      <c r="H65" s="26"/>
    </row>
    <row r="66" spans="2:8">
      <c r="B66" s="24" t="s">
        <v>146</v>
      </c>
      <c r="C66" s="24" t="s">
        <v>147</v>
      </c>
      <c r="D66" s="24" t="s">
        <v>148</v>
      </c>
      <c r="E66" s="30">
        <v>10000000</v>
      </c>
      <c r="F66" s="26">
        <v>9934.27</v>
      </c>
      <c r="G66" s="26">
        <v>9.51</v>
      </c>
      <c r="H66" s="26">
        <v>3.5</v>
      </c>
    </row>
    <row r="67" spans="2:8">
      <c r="B67" s="24" t="s">
        <v>149</v>
      </c>
      <c r="C67" s="24" t="s">
        <v>150</v>
      </c>
      <c r="D67" s="24" t="s">
        <v>148</v>
      </c>
      <c r="E67" s="30">
        <v>2500000</v>
      </c>
      <c r="F67" s="26">
        <v>2470.62</v>
      </c>
      <c r="G67" s="26">
        <v>2.37</v>
      </c>
      <c r="H67" s="26">
        <v>3.71</v>
      </c>
    </row>
    <row r="68" spans="2:8">
      <c r="B68" s="33" t="s">
        <v>121</v>
      </c>
      <c r="C68" s="33"/>
      <c r="D68" s="33"/>
      <c r="E68" s="34"/>
      <c r="F68" s="35">
        <f>SUM(F65:F67)</f>
        <v>12404.89</v>
      </c>
      <c r="G68" s="35">
        <f>SUM(G65:G67)</f>
        <v>11.879999999999999</v>
      </c>
      <c r="H68" s="46"/>
    </row>
    <row r="69" spans="2:8">
      <c r="B69" s="47" t="s">
        <v>122</v>
      </c>
      <c r="C69" s="47"/>
      <c r="D69" s="47"/>
      <c r="E69" s="48"/>
      <c r="F69" s="49">
        <f>+F68</f>
        <v>12404.89</v>
      </c>
      <c r="G69" s="49">
        <f>+G68</f>
        <v>11.879999999999999</v>
      </c>
      <c r="H69" s="49"/>
    </row>
    <row r="70" spans="2:8">
      <c r="B70" s="45" t="s">
        <v>151</v>
      </c>
      <c r="C70" s="24"/>
      <c r="D70" s="24"/>
      <c r="E70" s="25"/>
      <c r="F70" s="26"/>
      <c r="G70" s="26"/>
      <c r="H70" s="26"/>
    </row>
    <row r="71" spans="2:8">
      <c r="B71" s="24" t="s">
        <v>152</v>
      </c>
      <c r="C71" s="24" t="s">
        <v>153</v>
      </c>
      <c r="D71" s="24" t="s">
        <v>154</v>
      </c>
      <c r="E71" s="30">
        <v>11000000</v>
      </c>
      <c r="F71" s="26">
        <v>11254.47</v>
      </c>
      <c r="G71" s="26">
        <v>10.77</v>
      </c>
      <c r="H71" s="26">
        <v>4.37</v>
      </c>
    </row>
    <row r="72" spans="2:8">
      <c r="B72" s="24" t="s">
        <v>155</v>
      </c>
      <c r="C72" s="24" t="s">
        <v>156</v>
      </c>
      <c r="D72" s="24" t="s">
        <v>154</v>
      </c>
      <c r="E72" s="30">
        <v>7500000</v>
      </c>
      <c r="F72" s="26">
        <v>7459.46</v>
      </c>
      <c r="G72" s="26">
        <v>7.14</v>
      </c>
      <c r="H72" s="26">
        <v>4.67</v>
      </c>
    </row>
    <row r="73" spans="2:8">
      <c r="B73" s="24" t="s">
        <v>157</v>
      </c>
      <c r="C73" s="24" t="s">
        <v>158</v>
      </c>
      <c r="D73" s="24" t="s">
        <v>154</v>
      </c>
      <c r="E73" s="30">
        <v>5000000</v>
      </c>
      <c r="F73" s="26">
        <v>5027.93</v>
      </c>
      <c r="G73" s="26">
        <v>4.8099999999999996</v>
      </c>
      <c r="H73" s="26">
        <v>3.6</v>
      </c>
    </row>
    <row r="74" spans="2:8">
      <c r="B74" s="24" t="s">
        <v>159</v>
      </c>
      <c r="C74" s="24" t="s">
        <v>160</v>
      </c>
      <c r="D74" s="24" t="s">
        <v>154</v>
      </c>
      <c r="E74" s="30">
        <v>3750000</v>
      </c>
      <c r="F74" s="26">
        <v>3919.75</v>
      </c>
      <c r="G74" s="26">
        <v>3.75</v>
      </c>
      <c r="H74" s="26">
        <v>4.99</v>
      </c>
    </row>
    <row r="75" spans="2:8">
      <c r="B75" s="24" t="s">
        <v>161</v>
      </c>
      <c r="C75" s="24" t="s">
        <v>162</v>
      </c>
      <c r="D75" s="24" t="s">
        <v>154</v>
      </c>
      <c r="E75" s="30">
        <v>3500000</v>
      </c>
      <c r="F75" s="26">
        <v>3489</v>
      </c>
      <c r="G75" s="26">
        <v>3.34</v>
      </c>
      <c r="H75" s="26">
        <v>4.33</v>
      </c>
    </row>
    <row r="76" spans="2:8">
      <c r="B76" s="24" t="s">
        <v>163</v>
      </c>
      <c r="C76" s="24" t="s">
        <v>164</v>
      </c>
      <c r="D76" s="24" t="s">
        <v>154</v>
      </c>
      <c r="E76" s="30">
        <v>3500000</v>
      </c>
      <c r="F76" s="26">
        <v>3412.27</v>
      </c>
      <c r="G76" s="26">
        <v>3.27</v>
      </c>
      <c r="H76" s="26">
        <v>6.46</v>
      </c>
    </row>
    <row r="77" spans="2:8">
      <c r="B77" s="24" t="s">
        <v>165</v>
      </c>
      <c r="C77" s="24" t="s">
        <v>166</v>
      </c>
      <c r="D77" s="24" t="s">
        <v>154</v>
      </c>
      <c r="E77" s="30">
        <v>2500000</v>
      </c>
      <c r="F77" s="26">
        <v>2557.36</v>
      </c>
      <c r="G77" s="26">
        <v>2.4500000000000002</v>
      </c>
      <c r="H77" s="26">
        <v>5.3</v>
      </c>
    </row>
    <row r="78" spans="2:8">
      <c r="B78" s="24" t="s">
        <v>167</v>
      </c>
      <c r="C78" s="24" t="s">
        <v>168</v>
      </c>
      <c r="D78" s="24" t="s">
        <v>154</v>
      </c>
      <c r="E78" s="30">
        <v>2500000</v>
      </c>
      <c r="F78" s="26">
        <v>2545.44</v>
      </c>
      <c r="G78" s="26">
        <v>2.44</v>
      </c>
      <c r="H78" s="26">
        <v>3.98</v>
      </c>
    </row>
    <row r="79" spans="2:8">
      <c r="B79" s="24" t="s">
        <v>169</v>
      </c>
      <c r="C79" s="24" t="s">
        <v>170</v>
      </c>
      <c r="D79" s="24" t="s">
        <v>154</v>
      </c>
      <c r="E79" s="30">
        <v>2500000</v>
      </c>
      <c r="F79" s="26">
        <v>2509.4299999999998</v>
      </c>
      <c r="G79" s="26">
        <v>2.4</v>
      </c>
      <c r="H79" s="26">
        <v>3.7</v>
      </c>
    </row>
    <row r="80" spans="2:8">
      <c r="B80" s="24" t="s">
        <v>171</v>
      </c>
      <c r="C80" s="24" t="s">
        <v>172</v>
      </c>
      <c r="D80" s="24" t="s">
        <v>154</v>
      </c>
      <c r="E80" s="30">
        <v>2500000</v>
      </c>
      <c r="F80" s="26">
        <v>2489.4699999999998</v>
      </c>
      <c r="G80" s="26">
        <v>2.38</v>
      </c>
      <c r="H80" s="26">
        <v>4.72</v>
      </c>
    </row>
    <row r="81" spans="2:8">
      <c r="B81" s="24" t="s">
        <v>173</v>
      </c>
      <c r="C81" s="24" t="s">
        <v>174</v>
      </c>
      <c r="D81" s="24" t="s">
        <v>154</v>
      </c>
      <c r="E81" s="30">
        <v>1500000</v>
      </c>
      <c r="F81" s="26">
        <v>1484.44</v>
      </c>
      <c r="G81" s="26">
        <v>1.42</v>
      </c>
      <c r="H81" s="26">
        <v>5.55</v>
      </c>
    </row>
    <row r="82" spans="2:8">
      <c r="B82" s="24" t="s">
        <v>175</v>
      </c>
      <c r="C82" s="24" t="s">
        <v>176</v>
      </c>
      <c r="D82" s="24" t="s">
        <v>154</v>
      </c>
      <c r="E82" s="30">
        <v>1000000</v>
      </c>
      <c r="F82" s="26">
        <v>959.06</v>
      </c>
      <c r="G82" s="26">
        <v>0.92</v>
      </c>
      <c r="H82" s="26">
        <v>7.07</v>
      </c>
    </row>
    <row r="83" spans="2:8">
      <c r="B83" s="24" t="s">
        <v>177</v>
      </c>
      <c r="C83" s="24" t="s">
        <v>178</v>
      </c>
      <c r="D83" s="24" t="s">
        <v>154</v>
      </c>
      <c r="E83" s="30">
        <v>800000</v>
      </c>
      <c r="F83" s="26">
        <v>808.85</v>
      </c>
      <c r="G83" s="26">
        <v>0.77</v>
      </c>
      <c r="H83" s="26">
        <v>3.89</v>
      </c>
    </row>
    <row r="84" spans="2:8">
      <c r="B84" s="24" t="s">
        <v>179</v>
      </c>
      <c r="C84" s="24" t="s">
        <v>180</v>
      </c>
      <c r="D84" s="24" t="s">
        <v>154</v>
      </c>
      <c r="E84" s="30">
        <v>500000</v>
      </c>
      <c r="F84" s="26">
        <v>534.64</v>
      </c>
      <c r="G84" s="26">
        <v>0.51</v>
      </c>
      <c r="H84" s="26">
        <v>5.0999999999999996</v>
      </c>
    </row>
    <row r="85" spans="2:8">
      <c r="B85" s="50" t="s">
        <v>181</v>
      </c>
      <c r="C85" s="50" t="s">
        <v>182</v>
      </c>
      <c r="D85" s="50" t="s">
        <v>154</v>
      </c>
      <c r="E85" s="51">
        <v>800</v>
      </c>
      <c r="F85" s="52">
        <v>0.87</v>
      </c>
      <c r="G85" s="52">
        <v>0</v>
      </c>
      <c r="H85" s="52">
        <v>7.08</v>
      </c>
    </row>
    <row r="86" spans="2:8">
      <c r="B86" s="53" t="s">
        <v>122</v>
      </c>
      <c r="C86" s="53"/>
      <c r="D86" s="53"/>
      <c r="E86" s="54"/>
      <c r="F86" s="55">
        <f>SUM(F71:F85)</f>
        <v>48452.44</v>
      </c>
      <c r="G86" s="55">
        <f>SUM(G71:G85)</f>
        <v>46.370000000000005</v>
      </c>
      <c r="H86" s="55"/>
    </row>
    <row r="87" spans="2:8">
      <c r="B87" s="45" t="s">
        <v>183</v>
      </c>
      <c r="C87" s="24"/>
      <c r="D87" s="24"/>
      <c r="E87" s="25"/>
      <c r="F87" s="26"/>
      <c r="G87" s="26"/>
      <c r="H87" s="26"/>
    </row>
    <row r="88" spans="2:8">
      <c r="B88" s="24" t="s">
        <v>183</v>
      </c>
      <c r="C88" s="24"/>
      <c r="D88" s="24"/>
      <c r="E88" s="25"/>
      <c r="F88" s="26">
        <v>4469.5</v>
      </c>
      <c r="G88" s="26">
        <v>4.28</v>
      </c>
      <c r="H88" s="26"/>
    </row>
    <row r="89" spans="2:8">
      <c r="B89" s="33" t="s">
        <v>121</v>
      </c>
      <c r="C89" s="33"/>
      <c r="D89" s="33"/>
      <c r="E89" s="34"/>
      <c r="F89" s="35">
        <f>SUM(F87:F88)</f>
        <v>4469.5</v>
      </c>
      <c r="G89" s="35">
        <f>SUM(G87:G88)</f>
        <v>4.28</v>
      </c>
      <c r="H89" s="46"/>
    </row>
    <row r="90" spans="2:8">
      <c r="B90" s="56" t="s">
        <v>122</v>
      </c>
      <c r="C90" s="56"/>
      <c r="D90" s="56"/>
      <c r="E90" s="57"/>
      <c r="F90" s="58">
        <f>F89</f>
        <v>4469.5</v>
      </c>
      <c r="G90" s="58">
        <f>G89</f>
        <v>4.28</v>
      </c>
      <c r="H90" s="58"/>
    </row>
    <row r="91" spans="2:8">
      <c r="B91" s="59" t="s">
        <v>184</v>
      </c>
      <c r="C91" s="59"/>
      <c r="D91" s="59"/>
      <c r="E91" s="60"/>
      <c r="F91" s="61">
        <f>F92-(+F50+F63+F69+F86+F90)</f>
        <v>901.0399999999936</v>
      </c>
      <c r="G91" s="61">
        <f>G92-(+G50+G63+G69+G86+G90)</f>
        <v>0.89000000000000057</v>
      </c>
      <c r="H91" s="61"/>
    </row>
    <row r="92" spans="2:8">
      <c r="B92" s="59" t="s">
        <v>185</v>
      </c>
      <c r="C92" s="59"/>
      <c r="D92" s="59"/>
      <c r="E92" s="60"/>
      <c r="F92" s="61">
        <v>104456.09</v>
      </c>
      <c r="G92" s="61">
        <v>100</v>
      </c>
      <c r="H92" s="61"/>
    </row>
    <row r="94" spans="2:8">
      <c r="B94" s="62" t="s">
        <v>186</v>
      </c>
    </row>
  </sheetData>
  <mergeCells count="4">
    <mergeCell ref="B1:H1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2022-01-07T11:51:37Z</dcterms:created>
  <dcterms:modified xsi:type="dcterms:W3CDTF">2022-01-07T11:51:39Z</dcterms:modified>
</cp:coreProperties>
</file>