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November 2023\"/>
    </mc:Choice>
  </mc:AlternateContent>
  <bookViews>
    <workbookView xWindow="0" yWindow="0" windowWidth="20490" windowHeight="7620"/>
  </bookViews>
  <sheets>
    <sheet name="VF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5" i="1" l="1"/>
  <c r="G64" i="1"/>
  <c r="F64" i="1"/>
  <c r="F65" i="1" s="1"/>
  <c r="G61" i="1"/>
  <c r="G66" i="1" s="1"/>
  <c r="G60" i="1"/>
  <c r="F60" i="1"/>
  <c r="F61" i="1" s="1"/>
  <c r="F66" i="1" l="1"/>
</calcChain>
</file>

<file path=xl/sharedStrings.xml><?xml version="1.0" encoding="utf-8"?>
<sst xmlns="http://schemas.openxmlformats.org/spreadsheetml/2006/main" count="237" uniqueCount="158">
  <si>
    <t>CANARA ROBECO VALUE FUND</t>
  </si>
  <si>
    <t>Monthly Portfolio Statement as on November 30,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</si>
  <si>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</si>
  <si>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</si>
  <si>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</si>
  <si>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</si>
  <si>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</si>
  <si>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</si>
  <si>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</si>
  <si>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Nov'23</t>
  </si>
  <si>
    <t>Benchmark Risk-o-meter Level- Nov'23</t>
  </si>
  <si>
    <t>Scheme Risk-o-meter Level- Oct'23</t>
  </si>
  <si>
    <t>Equity &amp; Equity related</t>
  </si>
  <si>
    <t>(a) Listed / awaiting listing on Stock Exchanges</t>
  </si>
  <si>
    <t>HDFC Bank Ltd</t>
  </si>
  <si>
    <t>INE040A01034</t>
  </si>
  <si>
    <t>Banks</t>
  </si>
  <si>
    <t>Large Cap</t>
  </si>
  <si>
    <t>ICICI Bank Ltd</t>
  </si>
  <si>
    <t>INE090A01021</t>
  </si>
  <si>
    <t>Infosys Ltd</t>
  </si>
  <si>
    <t>INE009A01021</t>
  </si>
  <si>
    <t>IT - Software</t>
  </si>
  <si>
    <t>NTPC Ltd</t>
  </si>
  <si>
    <t>INE733E01010</t>
  </si>
  <si>
    <t>Power</t>
  </si>
  <si>
    <t>Reliance Industries Ltd</t>
  </si>
  <si>
    <t>INE002A01018</t>
  </si>
  <si>
    <t>Petroleum Products</t>
  </si>
  <si>
    <t>Creditaccess Grameen Ltd</t>
  </si>
  <si>
    <t>INE741K01010</t>
  </si>
  <si>
    <t>Finance</t>
  </si>
  <si>
    <t>Small Cap</t>
  </si>
  <si>
    <t>ITC Ltd</t>
  </si>
  <si>
    <t>INE154A01025</t>
  </si>
  <si>
    <t>Diversified Fmcg</t>
  </si>
  <si>
    <t>Benchmark: S&amp;P BSE 500 TRI</t>
  </si>
  <si>
    <t>Bharat Electronics Ltd</t>
  </si>
  <si>
    <t>INE263A01024</t>
  </si>
  <si>
    <t>Aerospace &amp; Defense</t>
  </si>
  <si>
    <t>Bharti Airtel Ltd</t>
  </si>
  <si>
    <t>INE397D01024</t>
  </si>
  <si>
    <t>Telecom - Services</t>
  </si>
  <si>
    <t>Brigade Enterprises Ltd</t>
  </si>
  <si>
    <t>INE791I01019</t>
  </si>
  <si>
    <t>Realty</t>
  </si>
  <si>
    <t>Larsen &amp; Toubro Ltd</t>
  </si>
  <si>
    <t>INE018A01030</t>
  </si>
  <si>
    <t>Construction</t>
  </si>
  <si>
    <t>REC Ltd</t>
  </si>
  <si>
    <t>INE020B01018</t>
  </si>
  <si>
    <t>Mid Cap</t>
  </si>
  <si>
    <t>KEI Industries Ltd</t>
  </si>
  <si>
    <t>INE878B01027</t>
  </si>
  <si>
    <t>Industrial Products</t>
  </si>
  <si>
    <t>Varun Beverages Ltd</t>
  </si>
  <si>
    <t>INE200M01021</t>
  </si>
  <si>
    <t>Beverages</t>
  </si>
  <si>
    <t>Sun Pharmaceutical Industries Ltd</t>
  </si>
  <si>
    <t>INE044A01036</t>
  </si>
  <si>
    <t>Pharmaceuticals &amp; Biotechnology</t>
  </si>
  <si>
    <t>Axis Bank Ltd</t>
  </si>
  <si>
    <t>INE238A01034</t>
  </si>
  <si>
    <t>Federal Bank Ltd</t>
  </si>
  <si>
    <t>INE171A01029</t>
  </si>
  <si>
    <t>J.B. Chemicals &amp; Pharmaceuticals Ltd</t>
  </si>
  <si>
    <t>INE572A01036</t>
  </si>
  <si>
    <t>HCL Technologies Ltd</t>
  </si>
  <si>
    <t>INE860A01027</t>
  </si>
  <si>
    <t>Bajaj Auto Ltd</t>
  </si>
  <si>
    <t>INE917I01010</t>
  </si>
  <si>
    <t>Automobiles</t>
  </si>
  <si>
    <t>State Bank of India</t>
  </si>
  <si>
    <t>INE062A01020</t>
  </si>
  <si>
    <t>Tata Motors Ltd</t>
  </si>
  <si>
    <t>INE155A01022</t>
  </si>
  <si>
    <t>Samvardhana Motherson International Ltd</t>
  </si>
  <si>
    <t>INE775A01035</t>
  </si>
  <si>
    <t>Auto Components</t>
  </si>
  <si>
    <t>SBI Life Insurance Co Ltd</t>
  </si>
  <si>
    <t>INE123W01016</t>
  </si>
  <si>
    <t>Insurance</t>
  </si>
  <si>
    <t>Coforge Ltd</t>
  </si>
  <si>
    <t>INE591G01017</t>
  </si>
  <si>
    <t>ICICI Lombard General Insurance Co Ltd</t>
  </si>
  <si>
    <t>INE765G01017</t>
  </si>
  <si>
    <t>Sundaram Finance Ltd</t>
  </si>
  <si>
    <t>INE660A01013</t>
  </si>
  <si>
    <t>IndusInd Bank Ltd</t>
  </si>
  <si>
    <t>INE095A01012</t>
  </si>
  <si>
    <t>Equitas Small Finance Bank Ltd</t>
  </si>
  <si>
    <t>INE063P01018</t>
  </si>
  <si>
    <t>K.P.R. Mill Ltd</t>
  </si>
  <si>
    <t>INE930H01031</t>
  </si>
  <si>
    <t>Textiles &amp; Apparels</t>
  </si>
  <si>
    <t>Max Healthcare Institute Ltd</t>
  </si>
  <si>
    <t>INE027H01010</t>
  </si>
  <si>
    <t>Healthcare Services</t>
  </si>
  <si>
    <t>Cera Sanitaryware Ltd</t>
  </si>
  <si>
    <t>INE739E01017</t>
  </si>
  <si>
    <t>Consumer Durables</t>
  </si>
  <si>
    <t>Vijaya Diagnostic Centre Ltd</t>
  </si>
  <si>
    <t>INE043W01024</t>
  </si>
  <si>
    <t>Interglobe Aviation Ltd</t>
  </si>
  <si>
    <t>INE646L01027</t>
  </si>
  <si>
    <t>Transport Services</t>
  </si>
  <si>
    <t>CCL Products (India) Ltd</t>
  </si>
  <si>
    <t>INE421D01022</t>
  </si>
  <si>
    <t>Agricultural Food &amp; Other Products</t>
  </si>
  <si>
    <t>AIA Engineering Ltd</t>
  </si>
  <si>
    <t>INE212H01026</t>
  </si>
  <si>
    <t>Tech Mahindra Ltd</t>
  </si>
  <si>
    <t>INE669C01036</t>
  </si>
  <si>
    <t>EID Parry India Ltd</t>
  </si>
  <si>
    <t>INE126A01031</t>
  </si>
  <si>
    <t>Fertilizers &amp; Agrochemicals</t>
  </si>
  <si>
    <t>KEC International Ltd</t>
  </si>
  <si>
    <t>INE389H01022</t>
  </si>
  <si>
    <t>Electrical Equipment</t>
  </si>
  <si>
    <t>Bharat Petroleum Corporation Ltd</t>
  </si>
  <si>
    <t>INE029A01011</t>
  </si>
  <si>
    <t>Jyothy Labs Ltd</t>
  </si>
  <si>
    <t>INE668F01031</t>
  </si>
  <si>
    <t>Household Products</t>
  </si>
  <si>
    <t>Deepak Nitrite Ltd</t>
  </si>
  <si>
    <t>INE288B01029</t>
  </si>
  <si>
    <t>Chemicals &amp; Petrochemicals</t>
  </si>
  <si>
    <t>Dabur India Ltd</t>
  </si>
  <si>
    <t>INE016A01026</t>
  </si>
  <si>
    <t>Personal Products</t>
  </si>
  <si>
    <t>Sumitomo Chemical India Ltd</t>
  </si>
  <si>
    <t>INE258G01013</t>
  </si>
  <si>
    <t>V.I.P. Industries Ltd</t>
  </si>
  <si>
    <t>INE054A01027</t>
  </si>
  <si>
    <t>Ashok Leyland Ltd</t>
  </si>
  <si>
    <t>INE208A01029</t>
  </si>
  <si>
    <t>Agricultural, Commercial &amp; Construction Vehicles</t>
  </si>
  <si>
    <t>Maruti Suzuki India Ltd</t>
  </si>
  <si>
    <t>INE585B01010</t>
  </si>
  <si>
    <t>VRL Logistics Ltd</t>
  </si>
  <si>
    <t>INE366I01010</t>
  </si>
  <si>
    <t>Cipla Ltd</t>
  </si>
  <si>
    <t>INE059A01026</t>
  </si>
  <si>
    <t>Mankind Pharma Ltd</t>
  </si>
  <si>
    <t>INE634S01028</t>
  </si>
  <si>
    <t>Tata Technologies Ltd</t>
  </si>
  <si>
    <t>INE142M01025</t>
  </si>
  <si>
    <t>Jio Financial Services Ltd</t>
  </si>
  <si>
    <t>INE758E01017</t>
  </si>
  <si>
    <t>Bharti Airtel Ltd - Partly Paid</t>
  </si>
  <si>
    <t>IN9397D01014</t>
  </si>
  <si>
    <t>Sub Total</t>
  </si>
  <si>
    <t>Total</t>
  </si>
  <si>
    <t>TREPS</t>
  </si>
  <si>
    <t>Net Receivables / (Payables)</t>
  </si>
  <si>
    <t>Grand Total</t>
  </si>
  <si>
    <t>Residual Maturity</t>
  </si>
  <si>
    <t>0.0027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</si>
</sst>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0" fontId="3" fillId="3" borderId="7" xfId="0" applyNumberFormat="1" applyFont="1" applyFill="1" applyBorder="1"/>
    <xf numFmtId="4" fontId="3" fillId="3" borderId="7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43" fontId="3" fillId="3" borderId="10" xfId="1" applyFont="1" applyFill="1" applyBorder="1" applyAlignment="1">
      <alignment horizontal="center"/>
    </xf>
    <xf numFmtId="0" fontId="3" fillId="3" borderId="8" xfId="0" applyFont="1" applyFill="1" applyBorder="1"/>
    <xf numFmtId="3" fontId="3" fillId="3" borderId="9" xfId="0" applyNumberFormat="1" applyFont="1" applyFill="1" applyBorder="1"/>
    <xf numFmtId="43" fontId="3" fillId="3" borderId="0" xfId="1" applyFont="1" applyFill="1"/>
    <xf numFmtId="43" fontId="3" fillId="3" borderId="11" xfId="1" applyFont="1" applyFill="1" applyBorder="1" applyAlignment="1">
      <alignment horizontal="center"/>
    </xf>
    <xf numFmtId="43" fontId="3" fillId="3" borderId="0" xfId="1" applyFont="1" applyFill="1" applyAlignment="1"/>
    <xf numFmtId="0" fontId="9" fillId="3" borderId="12" xfId="0" applyFont="1" applyFill="1" applyBorder="1"/>
    <xf numFmtId="0" fontId="9" fillId="3" borderId="13" xfId="0" applyFont="1" applyFill="1" applyBorder="1"/>
    <xf numFmtId="0" fontId="9" fillId="3" borderId="13" xfId="0" applyNumberFormat="1" applyFont="1" applyFill="1" applyBorder="1"/>
    <xf numFmtId="4" fontId="9" fillId="3" borderId="14" xfId="0" applyNumberFormat="1" applyFont="1" applyFill="1" applyBorder="1"/>
    <xf numFmtId="0" fontId="9" fillId="3" borderId="15" xfId="0" applyFont="1" applyFill="1" applyBorder="1"/>
    <xf numFmtId="0" fontId="9" fillId="3" borderId="15" xfId="0" applyNumberFormat="1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3" fillId="3" borderId="17" xfId="0" applyFont="1" applyFill="1" applyBorder="1"/>
    <xf numFmtId="0" fontId="3" fillId="3" borderId="17" xfId="0" applyNumberFormat="1" applyFont="1" applyFill="1" applyBorder="1"/>
    <xf numFmtId="4" fontId="3" fillId="3" borderId="17" xfId="0" applyNumberFormat="1" applyFont="1" applyFill="1" applyBorder="1"/>
    <xf numFmtId="0" fontId="9" fillId="3" borderId="18" xfId="0" applyFont="1" applyFill="1" applyBorder="1"/>
    <xf numFmtId="0" fontId="9" fillId="3" borderId="18" xfId="0" applyNumberFormat="1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0" fontId="9" fillId="3" borderId="19" xfId="0" applyNumberFormat="1" applyFont="1" applyFill="1" applyBorder="1"/>
    <xf numFmtId="4" fontId="9" fillId="3" borderId="19" xfId="0" applyNumberFormat="1" applyFont="1" applyFill="1" applyBorder="1"/>
    <xf numFmtId="0" fontId="3" fillId="3" borderId="0" xfId="0" applyNumberFormat="1" applyFont="1" applyFill="1"/>
    <xf numFmtId="4" fontId="3" fillId="3" borderId="0" xfId="0" applyNumberFormat="1" applyFont="1" applyFill="1"/>
    <xf numFmtId="0" fontId="10" fillId="4" borderId="20" xfId="0" applyFont="1" applyFill="1" applyBorder="1"/>
    <xf numFmtId="164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107723</xdr:colOff>
      <xdr:row>4</xdr:row>
      <xdr:rowOff>19050</xdr:rowOff>
    </xdr:from>
    <xdr:to>
      <xdr:col>9</xdr:col>
      <xdr:colOff>1971675</xdr:colOff>
      <xdr:row>11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09173" y="1009650"/>
          <a:ext cx="1863952" cy="1123949"/>
        </a:xfrm>
        <a:prstGeom prst="rect">
          <a:avLst/>
        </a:prstGeom>
      </xdr:spPr>
    </xdr:pic>
    <xdr:clientData/>
  </xdr:twoCellAnchor>
  <xdr:twoCellAnchor editAs="oneCell">
    <xdr:from>
      <xdr:col>10</xdr:col>
      <xdr:colOff>150609</xdr:colOff>
      <xdr:row>4</xdr:row>
      <xdr:rowOff>47625</xdr:rowOff>
    </xdr:from>
    <xdr:to>
      <xdr:col>10</xdr:col>
      <xdr:colOff>1905001</xdr:colOff>
      <xdr:row>11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857084" y="1038225"/>
          <a:ext cx="1754392" cy="1066800"/>
        </a:xfrm>
        <a:prstGeom prst="rect">
          <a:avLst/>
        </a:prstGeom>
      </xdr:spPr>
    </xdr:pic>
    <xdr:clientData/>
  </xdr:twoCellAnchor>
  <xdr:oneCellAnchor>
    <xdr:from>
      <xdr:col>11</xdr:col>
      <xdr:colOff>296534</xdr:colOff>
      <xdr:row>4</xdr:row>
      <xdr:rowOff>31102</xdr:rowOff>
    </xdr:from>
    <xdr:ext cx="1665144" cy="11049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231859" y="1021702"/>
          <a:ext cx="1665144" cy="11049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97"/>
  <sheetViews>
    <sheetView tabSelected="1" workbookViewId="0">
      <selection activeCell="B1" sqref="B1:G1"/>
    </sheetView>
  </sheetViews>
  <sheetFormatPr defaultRowHeight="12" x14ac:dyDescent="0.2"/>
  <cols>
    <col min="1" max="1" width="9.140625" style="3"/>
    <col min="2" max="2" width="61" style="3" bestFit="1" customWidth="1"/>
    <col min="3" max="3" width="13.5703125" style="3" bestFit="1" customWidth="1"/>
    <col min="4" max="4" width="40.42578125" style="3" bestFit="1" customWidth="1"/>
    <col min="5" max="5" width="8.85546875" style="47" bestFit="1" customWidth="1"/>
    <col min="6" max="6" width="15.28515625" style="48" bestFit="1" customWidth="1"/>
    <col min="7" max="7" width="7.42578125" style="48" bestFit="1" customWidth="1"/>
    <col min="8" max="8" width="13.5703125" style="3" customWidth="1"/>
    <col min="9" max="9" width="4.7109375" style="3" bestFit="1" customWidth="1"/>
    <col min="10" max="10" width="31.5703125" style="3" customWidth="1"/>
    <col min="11" max="11" width="33.42578125" style="3" customWidth="1"/>
    <col min="12" max="12" width="31.42578125" style="3" customWidth="1"/>
    <col min="13" max="16384" width="9.140625" style="3"/>
  </cols>
  <sheetData>
    <row r="1" spans="2:12" ht="21" customHeight="1" x14ac:dyDescent="0.2">
      <c r="B1" s="1" t="s">
        <v>0</v>
      </c>
      <c r="C1" s="2"/>
      <c r="D1" s="2"/>
      <c r="E1" s="2"/>
      <c r="F1" s="2"/>
      <c r="G1" s="2"/>
    </row>
    <row r="3" spans="2:12" ht="16.5" thickBot="1" x14ac:dyDescent="0.25">
      <c r="B3" s="4" t="s">
        <v>1</v>
      </c>
      <c r="C3" s="5"/>
      <c r="D3" s="6"/>
      <c r="E3" s="7"/>
      <c r="F3" s="8"/>
      <c r="G3" s="8"/>
    </row>
    <row r="4" spans="2:12" ht="28.5" x14ac:dyDescent="0.2">
      <c r="B4" s="9" t="s">
        <v>2</v>
      </c>
      <c r="C4" s="10" t="s">
        <v>3</v>
      </c>
      <c r="D4" s="10" t="s">
        <v>4</v>
      </c>
      <c r="E4" s="11" t="s">
        <v>5</v>
      </c>
      <c r="F4" s="12" t="s">
        <v>6</v>
      </c>
      <c r="G4" s="13" t="s">
        <v>7</v>
      </c>
      <c r="H4" s="13" t="s">
        <v>8</v>
      </c>
      <c r="J4" s="14" t="s">
        <v>9</v>
      </c>
      <c r="K4" s="14" t="s">
        <v>10</v>
      </c>
      <c r="L4" s="14" t="s">
        <v>11</v>
      </c>
    </row>
    <row r="5" spans="2:12" x14ac:dyDescent="0.2">
      <c r="B5" s="15" t="s">
        <v>12</v>
      </c>
      <c r="C5" s="16"/>
      <c r="D5" s="16"/>
      <c r="E5" s="17"/>
      <c r="F5" s="18"/>
      <c r="G5" s="18"/>
      <c r="H5" s="18"/>
      <c r="J5" s="19"/>
      <c r="K5" s="19"/>
      <c r="L5" s="19"/>
    </row>
    <row r="6" spans="2:12" x14ac:dyDescent="0.2">
      <c r="B6" s="20" t="s">
        <v>13</v>
      </c>
      <c r="C6" s="21"/>
      <c r="D6" s="21"/>
      <c r="E6" s="22"/>
      <c r="F6" s="23"/>
      <c r="G6" s="23"/>
      <c r="H6" s="23"/>
      <c r="J6" s="24"/>
      <c r="K6" s="24"/>
      <c r="L6" s="24"/>
    </row>
    <row r="7" spans="2:12" x14ac:dyDescent="0.2">
      <c r="B7" s="25" t="s">
        <v>14</v>
      </c>
      <c r="C7" s="21" t="s">
        <v>15</v>
      </c>
      <c r="D7" s="21" t="s">
        <v>16</v>
      </c>
      <c r="E7" s="26">
        <v>459667</v>
      </c>
      <c r="F7" s="23">
        <v>7165.29</v>
      </c>
      <c r="G7" s="23">
        <v>7.17</v>
      </c>
      <c r="H7" s="23" t="s">
        <v>17</v>
      </c>
      <c r="I7" s="27"/>
      <c r="J7" s="24"/>
      <c r="K7" s="24"/>
      <c r="L7" s="24"/>
    </row>
    <row r="8" spans="2:12" x14ac:dyDescent="0.2">
      <c r="B8" s="25" t="s">
        <v>18</v>
      </c>
      <c r="C8" s="21" t="s">
        <v>19</v>
      </c>
      <c r="D8" s="21" t="s">
        <v>16</v>
      </c>
      <c r="E8" s="26">
        <v>610585</v>
      </c>
      <c r="F8" s="23">
        <v>5708.66</v>
      </c>
      <c r="G8" s="23">
        <v>5.72</v>
      </c>
      <c r="H8" s="23" t="s">
        <v>17</v>
      </c>
      <c r="I8" s="27"/>
      <c r="J8" s="24"/>
      <c r="K8" s="24"/>
      <c r="L8" s="24"/>
    </row>
    <row r="9" spans="2:12" x14ac:dyDescent="0.2">
      <c r="B9" s="25" t="s">
        <v>20</v>
      </c>
      <c r="C9" s="21" t="s">
        <v>21</v>
      </c>
      <c r="D9" s="21" t="s">
        <v>22</v>
      </c>
      <c r="E9" s="26">
        <v>324000</v>
      </c>
      <c r="F9" s="23">
        <v>4714.6899999999996</v>
      </c>
      <c r="G9" s="23">
        <v>4.72</v>
      </c>
      <c r="H9" s="23" t="s">
        <v>17</v>
      </c>
      <c r="I9" s="27"/>
      <c r="J9" s="24"/>
      <c r="K9" s="24"/>
      <c r="L9" s="24"/>
    </row>
    <row r="10" spans="2:12" x14ac:dyDescent="0.2">
      <c r="B10" s="25" t="s">
        <v>23</v>
      </c>
      <c r="C10" s="21" t="s">
        <v>24</v>
      </c>
      <c r="D10" s="21" t="s">
        <v>25</v>
      </c>
      <c r="E10" s="26">
        <v>1670000</v>
      </c>
      <c r="F10" s="23">
        <v>4363.71</v>
      </c>
      <c r="G10" s="23">
        <v>4.37</v>
      </c>
      <c r="H10" s="23" t="s">
        <v>17</v>
      </c>
      <c r="I10" s="27"/>
      <c r="J10" s="24"/>
      <c r="K10" s="24"/>
      <c r="L10" s="24"/>
    </row>
    <row r="11" spans="2:12" x14ac:dyDescent="0.2">
      <c r="B11" s="25" t="s">
        <v>26</v>
      </c>
      <c r="C11" s="21" t="s">
        <v>27</v>
      </c>
      <c r="D11" s="21" t="s">
        <v>28</v>
      </c>
      <c r="E11" s="26">
        <v>142799</v>
      </c>
      <c r="F11" s="23">
        <v>3394.97</v>
      </c>
      <c r="G11" s="23">
        <v>3.4</v>
      </c>
      <c r="H11" s="23" t="s">
        <v>17</v>
      </c>
      <c r="I11" s="27"/>
      <c r="J11" s="24"/>
      <c r="K11" s="24"/>
      <c r="L11" s="24"/>
    </row>
    <row r="12" spans="2:12" x14ac:dyDescent="0.2">
      <c r="B12" s="25" t="s">
        <v>29</v>
      </c>
      <c r="C12" s="21" t="s">
        <v>30</v>
      </c>
      <c r="D12" s="21" t="s">
        <v>31</v>
      </c>
      <c r="E12" s="26">
        <v>195638</v>
      </c>
      <c r="F12" s="23">
        <v>3320.86</v>
      </c>
      <c r="G12" s="23">
        <v>3.33</v>
      </c>
      <c r="H12" s="23" t="s">
        <v>32</v>
      </c>
      <c r="I12" s="27"/>
      <c r="J12" s="28"/>
      <c r="K12" s="28"/>
      <c r="L12" s="28"/>
    </row>
    <row r="13" spans="2:12" x14ac:dyDescent="0.2">
      <c r="B13" s="25" t="s">
        <v>33</v>
      </c>
      <c r="C13" s="21" t="s">
        <v>34</v>
      </c>
      <c r="D13" s="21" t="s">
        <v>35</v>
      </c>
      <c r="E13" s="26">
        <v>726880</v>
      </c>
      <c r="F13" s="23">
        <v>3167.74</v>
      </c>
      <c r="G13" s="23">
        <v>3.17</v>
      </c>
      <c r="H13" s="23" t="s">
        <v>17</v>
      </c>
      <c r="I13" s="27"/>
      <c r="J13" s="27"/>
      <c r="K13" s="29" t="s">
        <v>36</v>
      </c>
      <c r="L13" s="27"/>
    </row>
    <row r="14" spans="2:12" x14ac:dyDescent="0.2">
      <c r="B14" s="25" t="s">
        <v>37</v>
      </c>
      <c r="C14" s="21" t="s">
        <v>38</v>
      </c>
      <c r="D14" s="21" t="s">
        <v>39</v>
      </c>
      <c r="E14" s="26">
        <v>2165783</v>
      </c>
      <c r="F14" s="23">
        <v>3159.88</v>
      </c>
      <c r="G14" s="23">
        <v>3.16</v>
      </c>
      <c r="H14" s="23" t="s">
        <v>17</v>
      </c>
      <c r="I14" s="27"/>
      <c r="K14" s="27"/>
    </row>
    <row r="15" spans="2:12" x14ac:dyDescent="0.2">
      <c r="B15" s="25" t="s">
        <v>40</v>
      </c>
      <c r="C15" s="21" t="s">
        <v>41</v>
      </c>
      <c r="D15" s="21" t="s">
        <v>42</v>
      </c>
      <c r="E15" s="26">
        <v>283000</v>
      </c>
      <c r="F15" s="23">
        <v>2871.6</v>
      </c>
      <c r="G15" s="23">
        <v>2.88</v>
      </c>
      <c r="H15" s="23" t="s">
        <v>17</v>
      </c>
      <c r="I15" s="27"/>
      <c r="K15" s="27"/>
    </row>
    <row r="16" spans="2:12" x14ac:dyDescent="0.2">
      <c r="B16" s="25" t="s">
        <v>43</v>
      </c>
      <c r="C16" s="21" t="s">
        <v>44</v>
      </c>
      <c r="D16" s="21" t="s">
        <v>45</v>
      </c>
      <c r="E16" s="26">
        <v>327165</v>
      </c>
      <c r="F16" s="23">
        <v>2670.48</v>
      </c>
      <c r="G16" s="23">
        <v>2.67</v>
      </c>
      <c r="H16" s="23" t="s">
        <v>32</v>
      </c>
      <c r="I16" s="27"/>
      <c r="K16" s="27"/>
    </row>
    <row r="17" spans="2:11" x14ac:dyDescent="0.2">
      <c r="B17" s="25" t="s">
        <v>46</v>
      </c>
      <c r="C17" s="21" t="s">
        <v>47</v>
      </c>
      <c r="D17" s="21" t="s">
        <v>48</v>
      </c>
      <c r="E17" s="26">
        <v>80650</v>
      </c>
      <c r="F17" s="23">
        <v>2507.5700000000002</v>
      </c>
      <c r="G17" s="23">
        <v>2.5099999999999998</v>
      </c>
      <c r="H17" s="23" t="s">
        <v>17</v>
      </c>
      <c r="I17" s="27"/>
      <c r="K17" s="27"/>
    </row>
    <row r="18" spans="2:11" x14ac:dyDescent="0.2">
      <c r="B18" s="25" t="s">
        <v>49</v>
      </c>
      <c r="C18" s="21" t="s">
        <v>50</v>
      </c>
      <c r="D18" s="21" t="s">
        <v>31</v>
      </c>
      <c r="E18" s="26">
        <v>652000</v>
      </c>
      <c r="F18" s="23">
        <v>2273.52</v>
      </c>
      <c r="G18" s="23">
        <v>2.2799999999999998</v>
      </c>
      <c r="H18" s="23" t="s">
        <v>51</v>
      </c>
      <c r="I18" s="27"/>
      <c r="K18" s="27"/>
    </row>
    <row r="19" spans="2:11" x14ac:dyDescent="0.2">
      <c r="B19" s="25" t="s">
        <v>52</v>
      </c>
      <c r="C19" s="21" t="s">
        <v>53</v>
      </c>
      <c r="D19" s="21" t="s">
        <v>54</v>
      </c>
      <c r="E19" s="26">
        <v>76790</v>
      </c>
      <c r="F19" s="23">
        <v>2211.9699999999998</v>
      </c>
      <c r="G19" s="23">
        <v>2.21</v>
      </c>
      <c r="H19" s="23" t="s">
        <v>32</v>
      </c>
      <c r="I19" s="27"/>
      <c r="K19" s="27"/>
    </row>
    <row r="20" spans="2:11" x14ac:dyDescent="0.2">
      <c r="B20" s="25" t="s">
        <v>55</v>
      </c>
      <c r="C20" s="21" t="s">
        <v>56</v>
      </c>
      <c r="D20" s="21" t="s">
        <v>57</v>
      </c>
      <c r="E20" s="26">
        <v>188984</v>
      </c>
      <c r="F20" s="23">
        <v>2088.27</v>
      </c>
      <c r="G20" s="23">
        <v>2.09</v>
      </c>
      <c r="H20" s="23" t="s">
        <v>17</v>
      </c>
      <c r="I20" s="27"/>
      <c r="K20" s="27"/>
    </row>
    <row r="21" spans="2:11" x14ac:dyDescent="0.2">
      <c r="B21" s="25" t="s">
        <v>58</v>
      </c>
      <c r="C21" s="21" t="s">
        <v>59</v>
      </c>
      <c r="D21" s="21" t="s">
        <v>60</v>
      </c>
      <c r="E21" s="26">
        <v>166938</v>
      </c>
      <c r="F21" s="23">
        <v>2046.41</v>
      </c>
      <c r="G21" s="23">
        <v>2.0499999999999998</v>
      </c>
      <c r="H21" s="23" t="s">
        <v>17</v>
      </c>
      <c r="I21" s="27"/>
      <c r="K21" s="27"/>
    </row>
    <row r="22" spans="2:11" x14ac:dyDescent="0.2">
      <c r="B22" s="25" t="s">
        <v>61</v>
      </c>
      <c r="C22" s="21" t="s">
        <v>62</v>
      </c>
      <c r="D22" s="21" t="s">
        <v>16</v>
      </c>
      <c r="E22" s="26">
        <v>182357</v>
      </c>
      <c r="F22" s="23">
        <v>1958.97</v>
      </c>
      <c r="G22" s="23">
        <v>1.96</v>
      </c>
      <c r="H22" s="23" t="s">
        <v>17</v>
      </c>
      <c r="I22" s="27"/>
      <c r="K22" s="27"/>
    </row>
    <row r="23" spans="2:11" x14ac:dyDescent="0.2">
      <c r="B23" s="25" t="s">
        <v>63</v>
      </c>
      <c r="C23" s="21" t="s">
        <v>64</v>
      </c>
      <c r="D23" s="21" t="s">
        <v>16</v>
      </c>
      <c r="E23" s="26">
        <v>1299741</v>
      </c>
      <c r="F23" s="23">
        <v>1915.17</v>
      </c>
      <c r="G23" s="23">
        <v>1.92</v>
      </c>
      <c r="H23" s="23" t="s">
        <v>51</v>
      </c>
      <c r="I23" s="27"/>
      <c r="K23" s="27"/>
    </row>
    <row r="24" spans="2:11" x14ac:dyDescent="0.2">
      <c r="B24" s="25" t="s">
        <v>65</v>
      </c>
      <c r="C24" s="21" t="s">
        <v>66</v>
      </c>
      <c r="D24" s="21" t="s">
        <v>60</v>
      </c>
      <c r="E24" s="26">
        <v>131328</v>
      </c>
      <c r="F24" s="23">
        <v>1905.44</v>
      </c>
      <c r="G24" s="23">
        <v>1.91</v>
      </c>
      <c r="H24" s="23" t="s">
        <v>32</v>
      </c>
      <c r="I24" s="27"/>
      <c r="K24" s="27"/>
    </row>
    <row r="25" spans="2:11" x14ac:dyDescent="0.2">
      <c r="B25" s="25" t="s">
        <v>67</v>
      </c>
      <c r="C25" s="21" t="s">
        <v>68</v>
      </c>
      <c r="D25" s="21" t="s">
        <v>22</v>
      </c>
      <c r="E25" s="26">
        <v>132430</v>
      </c>
      <c r="F25" s="23">
        <v>1775.75</v>
      </c>
      <c r="G25" s="23">
        <v>1.78</v>
      </c>
      <c r="H25" s="23" t="s">
        <v>17</v>
      </c>
      <c r="I25" s="27"/>
      <c r="K25" s="27"/>
    </row>
    <row r="26" spans="2:11" x14ac:dyDescent="0.2">
      <c r="B26" s="25" t="s">
        <v>69</v>
      </c>
      <c r="C26" s="21" t="s">
        <v>70</v>
      </c>
      <c r="D26" s="21" t="s">
        <v>71</v>
      </c>
      <c r="E26" s="26">
        <v>28925</v>
      </c>
      <c r="F26" s="23">
        <v>1761.69</v>
      </c>
      <c r="G26" s="23">
        <v>1.76</v>
      </c>
      <c r="H26" s="23" t="s">
        <v>17</v>
      </c>
      <c r="I26" s="27"/>
      <c r="K26" s="27"/>
    </row>
    <row r="27" spans="2:11" x14ac:dyDescent="0.2">
      <c r="B27" s="25" t="s">
        <v>72</v>
      </c>
      <c r="C27" s="21" t="s">
        <v>73</v>
      </c>
      <c r="D27" s="21" t="s">
        <v>16</v>
      </c>
      <c r="E27" s="26">
        <v>276415</v>
      </c>
      <c r="F27" s="23">
        <v>1561.05</v>
      </c>
      <c r="G27" s="23">
        <v>1.56</v>
      </c>
      <c r="H27" s="23" t="s">
        <v>17</v>
      </c>
      <c r="I27" s="27"/>
      <c r="K27" s="27"/>
    </row>
    <row r="28" spans="2:11" x14ac:dyDescent="0.2">
      <c r="B28" s="25" t="s">
        <v>74</v>
      </c>
      <c r="C28" s="21" t="s">
        <v>75</v>
      </c>
      <c r="D28" s="21" t="s">
        <v>71</v>
      </c>
      <c r="E28" s="26">
        <v>219504</v>
      </c>
      <c r="F28" s="23">
        <v>1550.58</v>
      </c>
      <c r="G28" s="23">
        <v>1.55</v>
      </c>
      <c r="H28" s="23" t="s">
        <v>17</v>
      </c>
      <c r="I28" s="27"/>
      <c r="K28" s="27"/>
    </row>
    <row r="29" spans="2:11" x14ac:dyDescent="0.2">
      <c r="B29" s="25" t="s">
        <v>76</v>
      </c>
      <c r="C29" s="21" t="s">
        <v>77</v>
      </c>
      <c r="D29" s="21" t="s">
        <v>78</v>
      </c>
      <c r="E29" s="26">
        <v>1675000</v>
      </c>
      <c r="F29" s="23">
        <v>1541.84</v>
      </c>
      <c r="G29" s="23">
        <v>1.54</v>
      </c>
      <c r="H29" s="23" t="s">
        <v>17</v>
      </c>
      <c r="I29" s="27"/>
      <c r="K29" s="27"/>
    </row>
    <row r="30" spans="2:11" x14ac:dyDescent="0.2">
      <c r="B30" s="25" t="s">
        <v>79</v>
      </c>
      <c r="C30" s="21" t="s">
        <v>80</v>
      </c>
      <c r="D30" s="21" t="s">
        <v>81</v>
      </c>
      <c r="E30" s="26">
        <v>105000</v>
      </c>
      <c r="F30" s="23">
        <v>1507.01</v>
      </c>
      <c r="G30" s="23">
        <v>1.51</v>
      </c>
      <c r="H30" s="23" t="s">
        <v>17</v>
      </c>
      <c r="I30" s="27"/>
      <c r="K30" s="27"/>
    </row>
    <row r="31" spans="2:11" x14ac:dyDescent="0.2">
      <c r="B31" s="25" t="s">
        <v>82</v>
      </c>
      <c r="C31" s="21" t="s">
        <v>83</v>
      </c>
      <c r="D31" s="21" t="s">
        <v>22</v>
      </c>
      <c r="E31" s="26">
        <v>26000</v>
      </c>
      <c r="F31" s="23">
        <v>1497.82</v>
      </c>
      <c r="G31" s="23">
        <v>1.5</v>
      </c>
      <c r="H31" s="23" t="s">
        <v>51</v>
      </c>
      <c r="I31" s="27"/>
      <c r="K31" s="27"/>
    </row>
    <row r="32" spans="2:11" x14ac:dyDescent="0.2">
      <c r="B32" s="25" t="s">
        <v>84</v>
      </c>
      <c r="C32" s="21" t="s">
        <v>85</v>
      </c>
      <c r="D32" s="21" t="s">
        <v>81</v>
      </c>
      <c r="E32" s="26">
        <v>100000</v>
      </c>
      <c r="F32" s="23">
        <v>1480</v>
      </c>
      <c r="G32" s="23">
        <v>1.48</v>
      </c>
      <c r="H32" s="23" t="s">
        <v>17</v>
      </c>
      <c r="I32" s="27"/>
      <c r="K32" s="27"/>
    </row>
    <row r="33" spans="2:11" x14ac:dyDescent="0.2">
      <c r="B33" s="25" t="s">
        <v>86</v>
      </c>
      <c r="C33" s="21" t="s">
        <v>87</v>
      </c>
      <c r="D33" s="21" t="s">
        <v>31</v>
      </c>
      <c r="E33" s="26">
        <v>42500</v>
      </c>
      <c r="F33" s="23">
        <v>1448.44</v>
      </c>
      <c r="G33" s="23">
        <v>1.45</v>
      </c>
      <c r="H33" s="23" t="s">
        <v>51</v>
      </c>
      <c r="I33" s="27"/>
      <c r="K33" s="27"/>
    </row>
    <row r="34" spans="2:11" x14ac:dyDescent="0.2">
      <c r="B34" s="25" t="s">
        <v>88</v>
      </c>
      <c r="C34" s="21" t="s">
        <v>89</v>
      </c>
      <c r="D34" s="21" t="s">
        <v>16</v>
      </c>
      <c r="E34" s="26">
        <v>96000</v>
      </c>
      <c r="F34" s="23">
        <v>1407.46</v>
      </c>
      <c r="G34" s="23">
        <v>1.41</v>
      </c>
      <c r="H34" s="23" t="s">
        <v>17</v>
      </c>
      <c r="I34" s="27"/>
      <c r="K34" s="27"/>
    </row>
    <row r="35" spans="2:11" x14ac:dyDescent="0.2">
      <c r="B35" s="25" t="s">
        <v>90</v>
      </c>
      <c r="C35" s="21" t="s">
        <v>91</v>
      </c>
      <c r="D35" s="21" t="s">
        <v>16</v>
      </c>
      <c r="E35" s="26">
        <v>1463266</v>
      </c>
      <c r="F35" s="23">
        <v>1374.01</v>
      </c>
      <c r="G35" s="23">
        <v>1.38</v>
      </c>
      <c r="H35" s="23" t="s">
        <v>32</v>
      </c>
      <c r="I35" s="27"/>
      <c r="K35" s="27"/>
    </row>
    <row r="36" spans="2:11" x14ac:dyDescent="0.2">
      <c r="B36" s="25" t="s">
        <v>92</v>
      </c>
      <c r="C36" s="21" t="s">
        <v>93</v>
      </c>
      <c r="D36" s="21" t="s">
        <v>94</v>
      </c>
      <c r="E36" s="26">
        <v>144147</v>
      </c>
      <c r="F36" s="23">
        <v>1245.72</v>
      </c>
      <c r="G36" s="23">
        <v>1.25</v>
      </c>
      <c r="H36" s="23" t="s">
        <v>51</v>
      </c>
      <c r="I36" s="27"/>
      <c r="K36" s="27"/>
    </row>
    <row r="37" spans="2:11" x14ac:dyDescent="0.2">
      <c r="B37" s="25" t="s">
        <v>95</v>
      </c>
      <c r="C37" s="21" t="s">
        <v>96</v>
      </c>
      <c r="D37" s="21" t="s">
        <v>97</v>
      </c>
      <c r="E37" s="26">
        <v>185437</v>
      </c>
      <c r="F37" s="23">
        <v>1179.01</v>
      </c>
      <c r="G37" s="23">
        <v>1.18</v>
      </c>
      <c r="H37" s="23" t="s">
        <v>51</v>
      </c>
      <c r="I37" s="27"/>
      <c r="K37" s="27"/>
    </row>
    <row r="38" spans="2:11" x14ac:dyDescent="0.2">
      <c r="B38" s="25" t="s">
        <v>98</v>
      </c>
      <c r="C38" s="21" t="s">
        <v>99</v>
      </c>
      <c r="D38" s="21" t="s">
        <v>100</v>
      </c>
      <c r="E38" s="26">
        <v>12736</v>
      </c>
      <c r="F38" s="23">
        <v>1093.6500000000001</v>
      </c>
      <c r="G38" s="23">
        <v>1.1000000000000001</v>
      </c>
      <c r="H38" s="23" t="s">
        <v>32</v>
      </c>
      <c r="I38" s="27"/>
      <c r="K38" s="27"/>
    </row>
    <row r="39" spans="2:11" x14ac:dyDescent="0.2">
      <c r="B39" s="25" t="s">
        <v>101</v>
      </c>
      <c r="C39" s="21" t="s">
        <v>102</v>
      </c>
      <c r="D39" s="21" t="s">
        <v>97</v>
      </c>
      <c r="E39" s="26">
        <v>159258</v>
      </c>
      <c r="F39" s="23">
        <v>1017.34</v>
      </c>
      <c r="G39" s="23">
        <v>1.02</v>
      </c>
      <c r="H39" s="23" t="s">
        <v>32</v>
      </c>
      <c r="I39" s="27"/>
      <c r="K39" s="27"/>
    </row>
    <row r="40" spans="2:11" x14ac:dyDescent="0.2">
      <c r="B40" s="25" t="s">
        <v>103</v>
      </c>
      <c r="C40" s="21" t="s">
        <v>104</v>
      </c>
      <c r="D40" s="21" t="s">
        <v>105</v>
      </c>
      <c r="E40" s="26">
        <v>37500</v>
      </c>
      <c r="F40" s="23">
        <v>1014.51</v>
      </c>
      <c r="G40" s="23">
        <v>1.02</v>
      </c>
      <c r="H40" s="23" t="s">
        <v>17</v>
      </c>
      <c r="I40" s="27"/>
      <c r="K40" s="27"/>
    </row>
    <row r="41" spans="2:11" x14ac:dyDescent="0.2">
      <c r="B41" s="25" t="s">
        <v>106</v>
      </c>
      <c r="C41" s="21" t="s">
        <v>107</v>
      </c>
      <c r="D41" s="21" t="s">
        <v>108</v>
      </c>
      <c r="E41" s="26">
        <v>152500</v>
      </c>
      <c r="F41" s="23">
        <v>1006.73</v>
      </c>
      <c r="G41" s="23">
        <v>1.01</v>
      </c>
      <c r="H41" s="23" t="s">
        <v>32</v>
      </c>
      <c r="I41" s="27"/>
      <c r="K41" s="27"/>
    </row>
    <row r="42" spans="2:11" x14ac:dyDescent="0.2">
      <c r="B42" s="25" t="s">
        <v>109</v>
      </c>
      <c r="C42" s="21" t="s">
        <v>110</v>
      </c>
      <c r="D42" s="21" t="s">
        <v>54</v>
      </c>
      <c r="E42" s="26">
        <v>26000</v>
      </c>
      <c r="F42" s="23">
        <v>933.83</v>
      </c>
      <c r="G42" s="23">
        <v>0.94</v>
      </c>
      <c r="H42" s="23" t="s">
        <v>51</v>
      </c>
      <c r="I42" s="27"/>
      <c r="K42" s="27"/>
    </row>
    <row r="43" spans="2:11" x14ac:dyDescent="0.2">
      <c r="B43" s="25" t="s">
        <v>111</v>
      </c>
      <c r="C43" s="21" t="s">
        <v>112</v>
      </c>
      <c r="D43" s="21" t="s">
        <v>22</v>
      </c>
      <c r="E43" s="26">
        <v>75000</v>
      </c>
      <c r="F43" s="23">
        <v>915.71</v>
      </c>
      <c r="G43" s="23">
        <v>0.92</v>
      </c>
      <c r="H43" s="23" t="s">
        <v>17</v>
      </c>
      <c r="I43" s="27"/>
      <c r="K43" s="27"/>
    </row>
    <row r="44" spans="2:11" x14ac:dyDescent="0.2">
      <c r="B44" s="25" t="s">
        <v>113</v>
      </c>
      <c r="C44" s="21" t="s">
        <v>114</v>
      </c>
      <c r="D44" s="21" t="s">
        <v>115</v>
      </c>
      <c r="E44" s="26">
        <v>170000</v>
      </c>
      <c r="F44" s="23">
        <v>909.67</v>
      </c>
      <c r="G44" s="23">
        <v>0.91</v>
      </c>
      <c r="H44" s="23" t="s">
        <v>32</v>
      </c>
      <c r="I44" s="27"/>
      <c r="K44" s="27"/>
    </row>
    <row r="45" spans="2:11" x14ac:dyDescent="0.2">
      <c r="B45" s="25" t="s">
        <v>116</v>
      </c>
      <c r="C45" s="21" t="s">
        <v>117</v>
      </c>
      <c r="D45" s="21" t="s">
        <v>118</v>
      </c>
      <c r="E45" s="26">
        <v>151102</v>
      </c>
      <c r="F45" s="23">
        <v>873.9</v>
      </c>
      <c r="G45" s="23">
        <v>0.88</v>
      </c>
      <c r="H45" s="23" t="s">
        <v>32</v>
      </c>
      <c r="I45" s="27"/>
      <c r="K45" s="27"/>
    </row>
    <row r="46" spans="2:11" x14ac:dyDescent="0.2">
      <c r="B46" s="25" t="s">
        <v>119</v>
      </c>
      <c r="C46" s="21" t="s">
        <v>120</v>
      </c>
      <c r="D46" s="21" t="s">
        <v>28</v>
      </c>
      <c r="E46" s="26">
        <v>200000</v>
      </c>
      <c r="F46" s="23">
        <v>871.4</v>
      </c>
      <c r="G46" s="23">
        <v>0.87</v>
      </c>
      <c r="H46" s="23" t="s">
        <v>17</v>
      </c>
      <c r="I46" s="27"/>
      <c r="K46" s="27"/>
    </row>
    <row r="47" spans="2:11" x14ac:dyDescent="0.2">
      <c r="B47" s="25" t="s">
        <v>121</v>
      </c>
      <c r="C47" s="21" t="s">
        <v>122</v>
      </c>
      <c r="D47" s="21" t="s">
        <v>123</v>
      </c>
      <c r="E47" s="26">
        <v>192500</v>
      </c>
      <c r="F47" s="23">
        <v>836.32</v>
      </c>
      <c r="G47" s="23">
        <v>0.84</v>
      </c>
      <c r="H47" s="23" t="s">
        <v>32</v>
      </c>
      <c r="I47" s="27"/>
      <c r="K47" s="27"/>
    </row>
    <row r="48" spans="2:11" x14ac:dyDescent="0.2">
      <c r="B48" s="25" t="s">
        <v>124</v>
      </c>
      <c r="C48" s="21" t="s">
        <v>125</v>
      </c>
      <c r="D48" s="21" t="s">
        <v>126</v>
      </c>
      <c r="E48" s="26">
        <v>37500</v>
      </c>
      <c r="F48" s="23">
        <v>823.54</v>
      </c>
      <c r="G48" s="23">
        <v>0.82</v>
      </c>
      <c r="H48" s="23" t="s">
        <v>51</v>
      </c>
      <c r="I48" s="27"/>
      <c r="K48" s="27"/>
    </row>
    <row r="49" spans="2:11" x14ac:dyDescent="0.2">
      <c r="B49" s="25" t="s">
        <v>127</v>
      </c>
      <c r="C49" s="21" t="s">
        <v>128</v>
      </c>
      <c r="D49" s="21" t="s">
        <v>129</v>
      </c>
      <c r="E49" s="26">
        <v>152500</v>
      </c>
      <c r="F49" s="23">
        <v>820.53</v>
      </c>
      <c r="G49" s="23">
        <v>0.82</v>
      </c>
      <c r="H49" s="23" t="s">
        <v>17</v>
      </c>
      <c r="I49" s="27"/>
      <c r="K49" s="27"/>
    </row>
    <row r="50" spans="2:11" x14ac:dyDescent="0.2">
      <c r="B50" s="25" t="s">
        <v>130</v>
      </c>
      <c r="C50" s="21" t="s">
        <v>131</v>
      </c>
      <c r="D50" s="21" t="s">
        <v>115</v>
      </c>
      <c r="E50" s="26">
        <v>195000</v>
      </c>
      <c r="F50" s="23">
        <v>793.55</v>
      </c>
      <c r="G50" s="23">
        <v>0.79</v>
      </c>
      <c r="H50" s="23" t="s">
        <v>51</v>
      </c>
      <c r="I50" s="27"/>
      <c r="K50" s="27"/>
    </row>
    <row r="51" spans="2:11" x14ac:dyDescent="0.2">
      <c r="B51" s="25" t="s">
        <v>132</v>
      </c>
      <c r="C51" s="21" t="s">
        <v>133</v>
      </c>
      <c r="D51" s="21" t="s">
        <v>100</v>
      </c>
      <c r="E51" s="26">
        <v>130000</v>
      </c>
      <c r="F51" s="23">
        <v>788.19</v>
      </c>
      <c r="G51" s="23">
        <v>0.79</v>
      </c>
      <c r="H51" s="23" t="s">
        <v>32</v>
      </c>
      <c r="I51" s="27"/>
      <c r="K51" s="27"/>
    </row>
    <row r="52" spans="2:11" x14ac:dyDescent="0.2">
      <c r="B52" s="25" t="s">
        <v>134</v>
      </c>
      <c r="C52" s="21" t="s">
        <v>135</v>
      </c>
      <c r="D52" s="21" t="s">
        <v>136</v>
      </c>
      <c r="E52" s="26">
        <v>430000</v>
      </c>
      <c r="F52" s="23">
        <v>787.55</v>
      </c>
      <c r="G52" s="23">
        <v>0.79</v>
      </c>
      <c r="H52" s="23" t="s">
        <v>51</v>
      </c>
      <c r="I52" s="27"/>
      <c r="K52" s="27"/>
    </row>
    <row r="53" spans="2:11" x14ac:dyDescent="0.2">
      <c r="B53" s="25" t="s">
        <v>137</v>
      </c>
      <c r="C53" s="21" t="s">
        <v>138</v>
      </c>
      <c r="D53" s="21" t="s">
        <v>71</v>
      </c>
      <c r="E53" s="26">
        <v>7000</v>
      </c>
      <c r="F53" s="23">
        <v>742.61</v>
      </c>
      <c r="G53" s="23">
        <v>0.74</v>
      </c>
      <c r="H53" s="23" t="s">
        <v>17</v>
      </c>
      <c r="I53" s="27"/>
      <c r="K53" s="27"/>
    </row>
    <row r="54" spans="2:11" x14ac:dyDescent="0.2">
      <c r="B54" s="25" t="s">
        <v>139</v>
      </c>
      <c r="C54" s="21" t="s">
        <v>140</v>
      </c>
      <c r="D54" s="21" t="s">
        <v>105</v>
      </c>
      <c r="E54" s="26">
        <v>69060</v>
      </c>
      <c r="F54" s="23">
        <v>489.77</v>
      </c>
      <c r="G54" s="23">
        <v>0.49</v>
      </c>
      <c r="H54" s="23" t="s">
        <v>32</v>
      </c>
      <c r="I54" s="27"/>
      <c r="K54" s="27"/>
    </row>
    <row r="55" spans="2:11" x14ac:dyDescent="0.2">
      <c r="B55" s="25" t="s">
        <v>141</v>
      </c>
      <c r="C55" s="21" t="s">
        <v>142</v>
      </c>
      <c r="D55" s="21" t="s">
        <v>60</v>
      </c>
      <c r="E55" s="26">
        <v>36831</v>
      </c>
      <c r="F55" s="23">
        <v>446.5</v>
      </c>
      <c r="G55" s="23">
        <v>0.45</v>
      </c>
      <c r="H55" s="23" t="s">
        <v>17</v>
      </c>
      <c r="I55" s="27"/>
      <c r="K55" s="27"/>
    </row>
    <row r="56" spans="2:11" x14ac:dyDescent="0.2">
      <c r="B56" s="25" t="s">
        <v>143</v>
      </c>
      <c r="C56" s="21" t="s">
        <v>144</v>
      </c>
      <c r="D56" s="21" t="s">
        <v>60</v>
      </c>
      <c r="E56" s="26">
        <v>23193</v>
      </c>
      <c r="F56" s="23">
        <v>440.11</v>
      </c>
      <c r="G56" s="23">
        <v>0.44</v>
      </c>
      <c r="H56" s="23" t="s">
        <v>17</v>
      </c>
      <c r="I56" s="27"/>
      <c r="K56" s="27"/>
    </row>
    <row r="57" spans="2:11" x14ac:dyDescent="0.2">
      <c r="B57" s="25" t="s">
        <v>145</v>
      </c>
      <c r="C57" s="21" t="s">
        <v>146</v>
      </c>
      <c r="D57" s="21" t="s">
        <v>22</v>
      </c>
      <c r="E57" s="26">
        <v>32743</v>
      </c>
      <c r="F57" s="23">
        <v>429.92</v>
      </c>
      <c r="G57" s="23">
        <v>0.43</v>
      </c>
      <c r="H57" s="23" t="s">
        <v>17</v>
      </c>
      <c r="I57" s="27"/>
      <c r="K57" s="27"/>
    </row>
    <row r="58" spans="2:11" x14ac:dyDescent="0.2">
      <c r="B58" s="25" t="s">
        <v>147</v>
      </c>
      <c r="C58" s="21" t="s">
        <v>148</v>
      </c>
      <c r="D58" s="21" t="s">
        <v>31</v>
      </c>
      <c r="E58" s="26">
        <v>170299</v>
      </c>
      <c r="F58" s="23">
        <v>390.67</v>
      </c>
      <c r="G58" s="23">
        <v>0.39</v>
      </c>
      <c r="H58" s="23" t="s">
        <v>17</v>
      </c>
      <c r="I58" s="27"/>
      <c r="K58" s="27"/>
    </row>
    <row r="59" spans="2:11" x14ac:dyDescent="0.2">
      <c r="B59" s="25" t="s">
        <v>149</v>
      </c>
      <c r="C59" s="21" t="s">
        <v>150</v>
      </c>
      <c r="D59" s="21" t="s">
        <v>42</v>
      </c>
      <c r="E59" s="26">
        <v>10357</v>
      </c>
      <c r="F59" s="23">
        <v>63.72</v>
      </c>
      <c r="G59" s="23">
        <v>0.06</v>
      </c>
      <c r="H59" s="23" t="s">
        <v>17</v>
      </c>
      <c r="I59" s="27"/>
      <c r="K59" s="27"/>
    </row>
    <row r="60" spans="2:11" x14ac:dyDescent="0.2">
      <c r="B60" s="30" t="s">
        <v>151</v>
      </c>
      <c r="C60" s="31"/>
      <c r="D60" s="31"/>
      <c r="E60" s="32"/>
      <c r="F60" s="33">
        <f>SUM(F7:F59)</f>
        <v>93265.299999999988</v>
      </c>
      <c r="G60" s="33">
        <f>SUM(G7:G59)</f>
        <v>93.390000000000015</v>
      </c>
      <c r="H60" s="33"/>
      <c r="I60" s="27"/>
      <c r="K60" s="27"/>
    </row>
    <row r="61" spans="2:11" x14ac:dyDescent="0.2">
      <c r="B61" s="34" t="s">
        <v>152</v>
      </c>
      <c r="C61" s="34"/>
      <c r="D61" s="34"/>
      <c r="E61" s="35"/>
      <c r="F61" s="36">
        <f>F60</f>
        <v>93265.299999999988</v>
      </c>
      <c r="G61" s="36">
        <f>G60</f>
        <v>93.390000000000015</v>
      </c>
      <c r="H61" s="36"/>
      <c r="I61" s="27"/>
      <c r="K61" s="27"/>
    </row>
    <row r="62" spans="2:11" x14ac:dyDescent="0.2">
      <c r="B62" s="37" t="s">
        <v>153</v>
      </c>
      <c r="C62" s="38"/>
      <c r="D62" s="38"/>
      <c r="E62" s="39"/>
      <c r="F62" s="40"/>
      <c r="G62" s="40"/>
      <c r="H62" s="40"/>
      <c r="I62" s="27"/>
      <c r="K62" s="27"/>
    </row>
    <row r="63" spans="2:11" x14ac:dyDescent="0.2">
      <c r="B63" s="25" t="s">
        <v>153</v>
      </c>
      <c r="C63" s="25"/>
      <c r="D63" s="21"/>
      <c r="E63" s="22"/>
      <c r="F63" s="23">
        <v>6599.92</v>
      </c>
      <c r="G63" s="23">
        <v>6.61</v>
      </c>
      <c r="H63" s="23"/>
      <c r="I63" s="27"/>
      <c r="K63" s="27"/>
    </row>
    <row r="64" spans="2:11" x14ac:dyDescent="0.2">
      <c r="B64" s="30" t="s">
        <v>151</v>
      </c>
      <c r="C64" s="31"/>
      <c r="D64" s="31"/>
      <c r="E64" s="32"/>
      <c r="F64" s="33">
        <f>SUM(F62:F63)</f>
        <v>6599.92</v>
      </c>
      <c r="G64" s="33">
        <f>SUM(G62:G63)</f>
        <v>6.61</v>
      </c>
      <c r="H64" s="33"/>
      <c r="I64" s="27"/>
      <c r="K64" s="27"/>
    </row>
    <row r="65" spans="2:12" x14ac:dyDescent="0.2">
      <c r="B65" s="41" t="s">
        <v>152</v>
      </c>
      <c r="C65" s="41"/>
      <c r="D65" s="41"/>
      <c r="E65" s="42"/>
      <c r="F65" s="43">
        <f>F64</f>
        <v>6599.92</v>
      </c>
      <c r="G65" s="43">
        <f>G64</f>
        <v>6.61</v>
      </c>
      <c r="H65" s="43"/>
      <c r="I65" s="27"/>
      <c r="K65" s="27"/>
    </row>
    <row r="66" spans="2:12" x14ac:dyDescent="0.2">
      <c r="B66" s="44" t="s">
        <v>154</v>
      </c>
      <c r="C66" s="44"/>
      <c r="D66" s="44"/>
      <c r="E66" s="45"/>
      <c r="F66" s="46">
        <f>F67-(+F61+F65)</f>
        <v>1.3300000000162981</v>
      </c>
      <c r="G66" s="46">
        <f>G67-(+G61+G65)</f>
        <v>0</v>
      </c>
      <c r="H66" s="46"/>
      <c r="I66" s="27"/>
      <c r="K66" s="27"/>
    </row>
    <row r="67" spans="2:12" x14ac:dyDescent="0.2">
      <c r="B67" s="44" t="s">
        <v>155</v>
      </c>
      <c r="C67" s="44"/>
      <c r="D67" s="44"/>
      <c r="E67" s="45"/>
      <c r="F67" s="46">
        <v>99866.55</v>
      </c>
      <c r="G67" s="46">
        <v>100</v>
      </c>
      <c r="H67" s="46"/>
      <c r="I67" s="27"/>
      <c r="K67" s="27"/>
    </row>
    <row r="68" spans="2:12" ht="12.75" thickBot="1" x14ac:dyDescent="0.25">
      <c r="I68" s="27"/>
      <c r="K68" s="27"/>
    </row>
    <row r="69" spans="2:12" ht="13.5" thickTop="1" thickBot="1" x14ac:dyDescent="0.25">
      <c r="B69" s="49" t="s">
        <v>156</v>
      </c>
      <c r="C69" s="50" t="s">
        <v>157</v>
      </c>
      <c r="I69" s="27"/>
      <c r="J69" s="27"/>
      <c r="K69" s="27"/>
      <c r="L69" s="27"/>
    </row>
    <row r="70" spans="2:12" ht="12.75" thickTop="1" x14ac:dyDescent="0.2">
      <c r="I70" s="27"/>
      <c r="K70" s="27"/>
    </row>
    <row r="71" spans="2:12" x14ac:dyDescent="0.2">
      <c r="I71" s="27"/>
      <c r="K71" s="27"/>
    </row>
    <row r="72" spans="2:12" x14ac:dyDescent="0.2">
      <c r="I72" s="27"/>
      <c r="K72" s="27"/>
    </row>
    <row r="73" spans="2:12" x14ac:dyDescent="0.2">
      <c r="I73" s="27"/>
      <c r="K73" s="27"/>
    </row>
    <row r="74" spans="2:12" x14ac:dyDescent="0.2">
      <c r="I74" s="27"/>
      <c r="K74" s="27"/>
    </row>
    <row r="75" spans="2:12" x14ac:dyDescent="0.2">
      <c r="I75" s="27"/>
      <c r="K75" s="27"/>
    </row>
    <row r="76" spans="2:12" x14ac:dyDescent="0.2">
      <c r="I76" s="27"/>
      <c r="K76" s="27"/>
    </row>
    <row r="77" spans="2:12" x14ac:dyDescent="0.2">
      <c r="I77" s="27"/>
      <c r="K77" s="27"/>
    </row>
    <row r="78" spans="2:12" x14ac:dyDescent="0.2">
      <c r="I78" s="27"/>
      <c r="K78" s="27"/>
    </row>
    <row r="79" spans="2:12" x14ac:dyDescent="0.2">
      <c r="I79" s="27"/>
      <c r="K79" s="27"/>
    </row>
    <row r="80" spans="2:12" x14ac:dyDescent="0.2">
      <c r="I80" s="27"/>
      <c r="K80" s="27"/>
    </row>
    <row r="81" spans="9:11" x14ac:dyDescent="0.2">
      <c r="I81" s="27"/>
      <c r="K81" s="27"/>
    </row>
    <row r="82" spans="9:11" x14ac:dyDescent="0.2">
      <c r="I82" s="27"/>
      <c r="K82" s="27"/>
    </row>
    <row r="83" spans="9:11" x14ac:dyDescent="0.2">
      <c r="I83" s="27"/>
      <c r="K83" s="27"/>
    </row>
    <row r="84" spans="9:11" x14ac:dyDescent="0.2">
      <c r="I84" s="27"/>
      <c r="K84" s="27"/>
    </row>
    <row r="85" spans="9:11" x14ac:dyDescent="0.2">
      <c r="I85" s="27"/>
      <c r="K85" s="27"/>
    </row>
    <row r="86" spans="9:11" x14ac:dyDescent="0.2">
      <c r="I86" s="27"/>
      <c r="K86" s="27"/>
    </row>
    <row r="87" spans="9:11" x14ac:dyDescent="0.2">
      <c r="I87" s="27"/>
      <c r="K87" s="27"/>
    </row>
    <row r="88" spans="9:11" x14ac:dyDescent="0.2">
      <c r="I88" s="27"/>
      <c r="K88" s="27"/>
    </row>
    <row r="89" spans="9:11" x14ac:dyDescent="0.2">
      <c r="I89" s="27"/>
      <c r="K89" s="27"/>
    </row>
    <row r="90" spans="9:11" x14ac:dyDescent="0.2">
      <c r="I90" s="27"/>
      <c r="K90" s="27"/>
    </row>
    <row r="91" spans="9:11" x14ac:dyDescent="0.2">
      <c r="I91" s="27"/>
      <c r="K91" s="27"/>
    </row>
    <row r="92" spans="9:11" x14ac:dyDescent="0.2">
      <c r="I92" s="27"/>
      <c r="K92" s="27"/>
    </row>
    <row r="93" spans="9:11" x14ac:dyDescent="0.2">
      <c r="I93" s="27"/>
      <c r="K93" s="27"/>
    </row>
    <row r="94" spans="9:11" x14ac:dyDescent="0.2">
      <c r="I94" s="27"/>
      <c r="K94" s="27"/>
    </row>
    <row r="95" spans="9:11" x14ac:dyDescent="0.2">
      <c r="I95" s="27"/>
      <c r="K95" s="27"/>
    </row>
    <row r="96" spans="9:11" x14ac:dyDescent="0.2">
      <c r="I96" s="27"/>
      <c r="K96" s="27"/>
    </row>
    <row r="97" spans="9:11" x14ac:dyDescent="0.2">
      <c r="I97" s="27"/>
      <c r="K97" s="27"/>
    </row>
  </sheetData>
  <mergeCells count="4">
    <mergeCell ref="B1:G1"/>
    <mergeCell ref="J5:J12"/>
    <mergeCell ref="K5:K12"/>
    <mergeCell ref="L5:L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2023-12-07 11:44:24</KDate>
  <Classification>Public</Classification>
  <Subclassification/>
  <HostName>MUMCMP00935</HostName>
  <Domain_User>CANARAROBECOMF/628</Domain_User>
  <IPAdd>192.9.198.194</IPAdd>
  <FilePath>Book9</FilePath>
  <KID>C025A5607E97638375462648682662</KID>
  <UniqueName/>
  <Suggested/>
  <Justification/>
</Klassify>
</file>

<file path=customXml/itemProps1.xml><?xml version="1.0" encoding="utf-8"?>
<ds:datastoreItem xmlns:ds="http://schemas.openxmlformats.org/officeDocument/2006/customXml" ds:itemID="{E40C959F-9BCC-42C6-B7B0-539E7823971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2023-12-07T06:14:19Z</dcterms:created>
  <dcterms:modified xsi:type="dcterms:W3CDTF">2023-12-07T06:14:24Z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C025A5607E97638375462648682662</vt:lpwstr>
  </property>
</Properties>
</file>