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C9B51B0E-8A18-428C-8A1C-FDDD85ED860D}" xr6:coauthVersionLast="47" xr6:coauthVersionMax="47" xr10:uidLastSave="{00000000-0000-0000-0000-000000000000}"/>
  <bookViews>
    <workbookView xWindow="-120" yWindow="-120" windowWidth="20730" windowHeight="11160" xr2:uid="{EB2F574B-EA83-411A-8F44-4C72ACC95748}"/>
  </bookViews>
  <sheets>
    <sheet name="F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G50" i="1" s="1"/>
  <c r="F49" i="1"/>
  <c r="F50" i="1" s="1"/>
  <c r="G46" i="1"/>
  <c r="F46" i="1"/>
  <c r="G43" i="1"/>
  <c r="F43" i="1"/>
  <c r="G38" i="1"/>
  <c r="F38" i="1"/>
  <c r="G35" i="1"/>
  <c r="G39" i="1" s="1"/>
  <c r="G51" i="1" s="1"/>
  <c r="F35" i="1"/>
  <c r="F39" i="1" s="1"/>
  <c r="G27" i="1"/>
  <c r="F27" i="1"/>
  <c r="G26" i="1"/>
  <c r="F26" i="1"/>
  <c r="F51" i="1" l="1"/>
</calcChain>
</file>

<file path=xl/sharedStrings.xml><?xml version="1.0" encoding="utf-8"?>
<sst xmlns="http://schemas.openxmlformats.org/spreadsheetml/2006/main" count="132" uniqueCount="103">
  <si>
    <t>CANARA ROBECO SAVINGS FUND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</si>
  <si>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</si>
  <si>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</si>
  <si>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</si>
  <si>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</si>
  <si>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</si>
  <si>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</si>
  <si>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</si>
  <si>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</si>
  <si>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Mar'24</t>
  </si>
  <si>
    <t>Benchmark Risk-o-meter Level- Mar'24</t>
  </si>
  <si>
    <t>Scheme Risk-o-meter Level- Feb'24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</si>
  <si>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</si>
  <si>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</si>
  <si>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</si>
  <si>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</si>
  <si>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</si>
  <si>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</si>
  <si>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</si>
  <si>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</si>
  <si>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7.42% Power Finance Corporation Ltd (19/11/2024) **</t>
  </si>
  <si>
    <t>INE134E08KH0</t>
  </si>
  <si>
    <t>CRISIL AAA</t>
  </si>
  <si>
    <t>Relatively Low (Class I)</t>
  </si>
  <si>
    <t>B-I</t>
  </si>
  <si>
    <t>7.77% REC Ltd (30/09/2026) **</t>
  </si>
  <si>
    <t>INE020B08EP3</t>
  </si>
  <si>
    <t>7.25% Small Industries Development Bank Of India (31/07/2025) **</t>
  </si>
  <si>
    <t>INE556F08KA6</t>
  </si>
  <si>
    <t>CARE AAA</t>
  </si>
  <si>
    <t>Moderate 
(Class II)</t>
  </si>
  <si>
    <t>7.60% Grasim Industries Ltd (04/06/2024) **</t>
  </si>
  <si>
    <t>INE047A08158</t>
  </si>
  <si>
    <t>7.83% Bajaj Housing Finance Ltd (12/12/2025) **</t>
  </si>
  <si>
    <t>INE377Y07391</t>
  </si>
  <si>
    <t>Relatively High (Class III)</t>
  </si>
  <si>
    <t>8.09% Kotak Mahindra Prime Ltd (09/11/2026) **</t>
  </si>
  <si>
    <t>INE916DA7SL3</t>
  </si>
  <si>
    <t>5.27% National Bank For Agriculture &amp; Rural Development (29/04/2024) **</t>
  </si>
  <si>
    <t>INE261F08DD2</t>
  </si>
  <si>
    <t>ICRA AAA</t>
  </si>
  <si>
    <t>Benchmark: CRISIL Low Duration Debt A-I Index</t>
  </si>
  <si>
    <t>7.8925% BAJAJ FINANCE LTD 10-JUN-25 **</t>
  </si>
  <si>
    <t>INE296A07SK4</t>
  </si>
  <si>
    <t>7.96% HDB Financial Services Ltd (17/11/2025) **</t>
  </si>
  <si>
    <t>INE756I07EM6</t>
  </si>
  <si>
    <t>7.17% Power Finance Corporation Ltd (22/05/2025) **</t>
  </si>
  <si>
    <t>INE134E08KT5</t>
  </si>
  <si>
    <t>6.88% National Housing Bank (21/01/2025) **</t>
  </si>
  <si>
    <t>INE557F08FH9</t>
  </si>
  <si>
    <t>7.38% LIC Housing Finance Ltd (18/08/2025) **</t>
  </si>
  <si>
    <t>INE115A07PZ0</t>
  </si>
  <si>
    <t>5.74% Kotak Mahindra Prime Ltd (22/10/2024)</t>
  </si>
  <si>
    <t>INE916DA7RI1</t>
  </si>
  <si>
    <t>5.96% National Bank For Agriculture &amp; Rural Development (06/02/2025) **</t>
  </si>
  <si>
    <t>INE261F08DM3</t>
  </si>
  <si>
    <t>6.30% HDB Financial Services Ltd (17/03/2025) **</t>
  </si>
  <si>
    <t>INE756I07ED5</t>
  </si>
  <si>
    <t>5.59% Small Industries Development Bank Of India (21/02/2025)</t>
  </si>
  <si>
    <t>INE556F08JU6</t>
  </si>
  <si>
    <t>5.23% National Bank For Agriculture &amp; Rural Development (31/01/2025)</t>
  </si>
  <si>
    <t>INE261F08DI1</t>
  </si>
  <si>
    <t>5.94% REC Ltd (31/01/2026) **</t>
  </si>
  <si>
    <t>INE020B08DK6</t>
  </si>
  <si>
    <t>7.9237% BAJAJ HOUSING FINANCE LTD 16-MAR-26 **</t>
  </si>
  <si>
    <t>INE377Y07375</t>
  </si>
  <si>
    <t>Sub Total</t>
  </si>
  <si>
    <t>Total</t>
  </si>
  <si>
    <t>Money Market Instruments</t>
  </si>
  <si>
    <t>Certificate of Deposit</t>
  </si>
  <si>
    <t>Axis Bank Ltd (18/09/2024) ** #</t>
  </si>
  <si>
    <t>INE238AD6538</t>
  </si>
  <si>
    <t>CRISIL A1+</t>
  </si>
  <si>
    <t>HDFC Bank Ltd (12/03/2025) ** #</t>
  </si>
  <si>
    <t>INE040A16EU6</t>
  </si>
  <si>
    <t>CARE A1+</t>
  </si>
  <si>
    <t>State Bank Of India (17/05/2024) #</t>
  </si>
  <si>
    <t>INE062A16499</t>
  </si>
  <si>
    <t>IND A1+</t>
  </si>
  <si>
    <t>HDFC Bank Ltd (06/12/2024) ** #</t>
  </si>
  <si>
    <t>INE040A16EH3</t>
  </si>
  <si>
    <t>Axis Bank Ltd (26/12/2024) ** #</t>
  </si>
  <si>
    <t>INE238AD6603</t>
  </si>
  <si>
    <t>Commercial Paper</t>
  </si>
  <si>
    <t>ICICI Securities Ltd (21/02/2025) **</t>
  </si>
  <si>
    <t>INE763G14TE7</t>
  </si>
  <si>
    <t>Government Bonds</t>
  </si>
  <si>
    <t>0.00% GOI 19-SEP-26</t>
  </si>
  <si>
    <t>IN000926C047</t>
  </si>
  <si>
    <t>Sovereign</t>
  </si>
  <si>
    <t>GOI FRB 2033 (22-SEP-2033)</t>
  </si>
  <si>
    <t>IN0020200120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</si>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</sst>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" fontId="3" fillId="3" borderId="0" xfId="0" applyNumberFormat="1" applyFont="1" applyFill="1"/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" fontId="3" fillId="3" borderId="0" xfId="1" applyNumberFormat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4</xdr:row>
      <xdr:rowOff>266699</xdr:rowOff>
    </xdr:from>
    <xdr:ext cx="1846201" cy="1129875"/>
    <xdr:pic>
      <xdr:nvPicPr>
        <xdr:cNvPr id="2" name="Picture 1">
          <a:extLst>
            <a:ext uri="{FF2B5EF4-FFF2-40B4-BE49-F238E27FC236}">
              <a16:creationId xmlns:a16="http://schemas.microsoft.com/office/drawing/2014/main" id="{1685EE98-3B8F-4B11-8F92-293DCEB31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5575" y="1257299"/>
          <a:ext cx="1846201" cy="1129875"/>
        </a:xfrm>
        <a:prstGeom prst="rect">
          <a:avLst/>
        </a:prstGeom>
      </xdr:spPr>
    </xdr:pic>
    <xdr:clientData/>
  </xdr:oneCellAnchor>
  <xdr:oneCellAnchor>
    <xdr:from>
      <xdr:col>11</xdr:col>
      <xdr:colOff>123824</xdr:colOff>
      <xdr:row>4</xdr:row>
      <xdr:rowOff>209550</xdr:rowOff>
    </xdr:from>
    <xdr:ext cx="1838326" cy="1200150"/>
    <xdr:pic>
      <xdr:nvPicPr>
        <xdr:cNvPr id="3" name="Picture 2">
          <a:extLst>
            <a:ext uri="{FF2B5EF4-FFF2-40B4-BE49-F238E27FC236}">
              <a16:creationId xmlns:a16="http://schemas.microsoft.com/office/drawing/2014/main" id="{0EFBCC3B-2D70-4D7D-A1D5-9A661B5D0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499" y="1200150"/>
          <a:ext cx="1838326" cy="1200150"/>
        </a:xfrm>
        <a:prstGeom prst="rect">
          <a:avLst/>
        </a:prstGeom>
      </xdr:spPr>
    </xdr:pic>
    <xdr:clientData/>
  </xdr:oneCellAnchor>
  <xdr:twoCellAnchor editAs="oneCell">
    <xdr:from>
      <xdr:col>10</xdr:col>
      <xdr:colOff>104774</xdr:colOff>
      <xdr:row>4</xdr:row>
      <xdr:rowOff>228599</xdr:rowOff>
    </xdr:from>
    <xdr:to>
      <xdr:col>10</xdr:col>
      <xdr:colOff>2052123</xdr:colOff>
      <xdr:row>10</xdr:row>
      <xdr:rowOff>17538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DB63D5-B5F2-4EB4-BCC1-8443BF5A0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20599" y="1219199"/>
          <a:ext cx="1947349" cy="1160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AED3-3BC8-4D89-904D-E81B1842C68B}">
  <dimension ref="B1:Q161"/>
  <sheetViews>
    <sheetView tabSelected="1" topLeftCell="F1" workbookViewId="0">
      <selection activeCell="B1" sqref="B1:H1"/>
    </sheetView>
  </sheetViews>
  <sheetFormatPr defaultRowHeight="12" x14ac:dyDescent="0.2"/>
  <cols>
    <col min="1" max="1" width="9.140625" style="5"/>
    <col min="2" max="2" width="60.28515625" style="5" bestFit="1" customWidth="1"/>
    <col min="3" max="3" width="13.5703125" style="5" bestFit="1" customWidth="1"/>
    <col min="4" max="4" width="22.85546875" style="5" bestFit="1" customWidth="1"/>
    <col min="5" max="5" width="8.85546875" style="5" bestFit="1" customWidth="1"/>
    <col min="6" max="6" width="15.28515625" style="3" bestFit="1" customWidth="1"/>
    <col min="7" max="7" width="7.42578125" style="3" bestFit="1" customWidth="1"/>
    <col min="8" max="8" width="6.5703125" style="3" bestFit="1" customWidth="1"/>
    <col min="9" max="9" width="9.140625" style="3"/>
    <col min="10" max="10" width="31.5703125" style="4" customWidth="1"/>
    <col min="11" max="11" width="33.42578125" style="4" customWidth="1"/>
    <col min="12" max="12" width="31.42578125" style="4" customWidth="1"/>
    <col min="13" max="13" width="9.140625" style="4"/>
    <col min="14" max="16384" width="9.140625" style="5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6" t="s">
        <v>1</v>
      </c>
      <c r="C3" s="7"/>
      <c r="D3" s="8"/>
      <c r="E3" s="8"/>
      <c r="F3" s="9"/>
      <c r="G3" s="9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M4" s="5"/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M5" s="5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M6" s="5"/>
      <c r="N6" s="27" t="s">
        <v>19</v>
      </c>
      <c r="O6" s="23"/>
      <c r="P6" s="23"/>
      <c r="Q6" s="23"/>
    </row>
    <row r="7" spans="2:17" x14ac:dyDescent="0.2">
      <c r="B7" s="25" t="s">
        <v>20</v>
      </c>
      <c r="C7" s="25" t="s">
        <v>21</v>
      </c>
      <c r="D7" s="25" t="s">
        <v>22</v>
      </c>
      <c r="E7" s="28">
        <v>500</v>
      </c>
      <c r="F7" s="26">
        <v>4986.3</v>
      </c>
      <c r="G7" s="26">
        <v>6.01</v>
      </c>
      <c r="H7" s="26">
        <v>7.67</v>
      </c>
      <c r="I7" s="29"/>
      <c r="J7" s="21"/>
      <c r="K7" s="21"/>
      <c r="L7" s="21"/>
      <c r="M7" s="5"/>
      <c r="N7" s="30" t="s">
        <v>23</v>
      </c>
      <c r="O7" s="31"/>
      <c r="P7" s="32" t="s">
        <v>24</v>
      </c>
      <c r="Q7" s="31"/>
    </row>
    <row r="8" spans="2:17" x14ac:dyDescent="0.2">
      <c r="B8" s="25" t="s">
        <v>25</v>
      </c>
      <c r="C8" s="25" t="s">
        <v>26</v>
      </c>
      <c r="D8" s="25" t="s">
        <v>22</v>
      </c>
      <c r="E8" s="28">
        <v>3500</v>
      </c>
      <c r="F8" s="26">
        <v>3507.02</v>
      </c>
      <c r="G8" s="26">
        <v>4.2300000000000004</v>
      </c>
      <c r="H8" s="26">
        <v>7.66</v>
      </c>
      <c r="I8" s="29"/>
      <c r="J8" s="21"/>
      <c r="K8" s="21"/>
      <c r="L8" s="21"/>
      <c r="M8" s="5"/>
      <c r="N8" s="30"/>
      <c r="O8" s="33"/>
      <c r="P8" s="34"/>
      <c r="Q8" s="33"/>
    </row>
    <row r="9" spans="2:17" x14ac:dyDescent="0.2">
      <c r="B9" s="25" t="s">
        <v>27</v>
      </c>
      <c r="C9" s="25" t="s">
        <v>28</v>
      </c>
      <c r="D9" s="25" t="s">
        <v>29</v>
      </c>
      <c r="E9" s="28">
        <v>350</v>
      </c>
      <c r="F9" s="26">
        <v>3475.65</v>
      </c>
      <c r="G9" s="26">
        <v>4.1900000000000004</v>
      </c>
      <c r="H9" s="26">
        <v>7.77</v>
      </c>
      <c r="I9" s="29"/>
      <c r="J9" s="21"/>
      <c r="K9" s="21"/>
      <c r="L9" s="21"/>
      <c r="M9" s="5"/>
      <c r="N9" s="30" t="s">
        <v>30</v>
      </c>
      <c r="O9" s="31"/>
      <c r="P9" s="31"/>
      <c r="Q9" s="31"/>
    </row>
    <row r="10" spans="2:17" x14ac:dyDescent="0.2">
      <c r="B10" s="25" t="s">
        <v>31</v>
      </c>
      <c r="C10" s="25" t="s">
        <v>32</v>
      </c>
      <c r="D10" s="25" t="s">
        <v>22</v>
      </c>
      <c r="E10" s="28">
        <v>250</v>
      </c>
      <c r="F10" s="26">
        <v>2497.71</v>
      </c>
      <c r="G10" s="26">
        <v>3.01</v>
      </c>
      <c r="H10" s="26">
        <v>7.65</v>
      </c>
      <c r="I10" s="29"/>
      <c r="J10" s="21"/>
      <c r="K10" s="21"/>
      <c r="L10" s="21"/>
      <c r="M10" s="5"/>
      <c r="N10" s="30"/>
      <c r="O10" s="33"/>
      <c r="P10" s="33"/>
      <c r="Q10" s="33"/>
    </row>
    <row r="11" spans="2:17" x14ac:dyDescent="0.2">
      <c r="B11" s="25" t="s">
        <v>33</v>
      </c>
      <c r="C11" s="25" t="s">
        <v>34</v>
      </c>
      <c r="D11" s="25" t="s">
        <v>22</v>
      </c>
      <c r="E11" s="28">
        <v>250</v>
      </c>
      <c r="F11" s="26">
        <v>2495.42</v>
      </c>
      <c r="G11" s="26">
        <v>3.01</v>
      </c>
      <c r="H11" s="26">
        <v>7.91</v>
      </c>
      <c r="I11" s="29"/>
      <c r="J11" s="21"/>
      <c r="K11" s="21"/>
      <c r="L11" s="21"/>
      <c r="M11" s="5"/>
      <c r="N11" s="30" t="s">
        <v>35</v>
      </c>
      <c r="O11" s="31"/>
      <c r="P11" s="31"/>
      <c r="Q11" s="31"/>
    </row>
    <row r="12" spans="2:17" x14ac:dyDescent="0.2">
      <c r="B12" s="25" t="s">
        <v>36</v>
      </c>
      <c r="C12" s="25" t="s">
        <v>37</v>
      </c>
      <c r="D12" s="25" t="s">
        <v>22</v>
      </c>
      <c r="E12" s="28">
        <v>2500</v>
      </c>
      <c r="F12" s="26">
        <v>2495.29</v>
      </c>
      <c r="G12" s="26">
        <v>3.01</v>
      </c>
      <c r="H12" s="26">
        <v>8.14</v>
      </c>
      <c r="I12" s="29"/>
      <c r="J12" s="21"/>
      <c r="K12" s="21"/>
      <c r="L12" s="21"/>
      <c r="M12" s="5"/>
      <c r="N12" s="30"/>
      <c r="O12" s="33"/>
      <c r="P12" s="33"/>
      <c r="Q12" s="33"/>
    </row>
    <row r="13" spans="2:17" x14ac:dyDescent="0.2">
      <c r="B13" s="25" t="s">
        <v>38</v>
      </c>
      <c r="C13" s="25" t="s">
        <v>39</v>
      </c>
      <c r="D13" s="25" t="s">
        <v>40</v>
      </c>
      <c r="E13" s="28">
        <v>250</v>
      </c>
      <c r="F13" s="26">
        <v>2494.7600000000002</v>
      </c>
      <c r="G13" s="26">
        <v>3.01</v>
      </c>
      <c r="H13" s="26">
        <v>7.65</v>
      </c>
      <c r="I13" s="29"/>
      <c r="J13" s="35"/>
      <c r="K13" s="5" t="s">
        <v>41</v>
      </c>
      <c r="M13" s="5"/>
    </row>
    <row r="14" spans="2:17" x14ac:dyDescent="0.2">
      <c r="B14" s="25" t="s">
        <v>42</v>
      </c>
      <c r="C14" s="25" t="s">
        <v>43</v>
      </c>
      <c r="D14" s="25" t="s">
        <v>22</v>
      </c>
      <c r="E14" s="28">
        <v>250</v>
      </c>
      <c r="F14" s="26">
        <v>2494.5</v>
      </c>
      <c r="G14" s="26">
        <v>3.01</v>
      </c>
      <c r="H14" s="26">
        <v>8.0500000000000007</v>
      </c>
      <c r="I14" s="29"/>
    </row>
    <row r="15" spans="2:17" x14ac:dyDescent="0.2">
      <c r="B15" s="25" t="s">
        <v>44</v>
      </c>
      <c r="C15" s="25" t="s">
        <v>45</v>
      </c>
      <c r="D15" s="25" t="s">
        <v>29</v>
      </c>
      <c r="E15" s="28">
        <v>250</v>
      </c>
      <c r="F15" s="26">
        <v>2489.1</v>
      </c>
      <c r="G15" s="26">
        <v>3</v>
      </c>
      <c r="H15" s="26">
        <v>8.2100000000000009</v>
      </c>
      <c r="I15" s="29"/>
    </row>
    <row r="16" spans="2:17" x14ac:dyDescent="0.2">
      <c r="B16" s="25" t="s">
        <v>46</v>
      </c>
      <c r="C16" s="25" t="s">
        <v>47</v>
      </c>
      <c r="D16" s="25" t="s">
        <v>22</v>
      </c>
      <c r="E16" s="28">
        <v>250</v>
      </c>
      <c r="F16" s="26">
        <v>2485.5100000000002</v>
      </c>
      <c r="G16" s="26">
        <v>2.99</v>
      </c>
      <c r="H16" s="26">
        <v>7.69</v>
      </c>
      <c r="I16" s="29"/>
    </row>
    <row r="17" spans="2:9" x14ac:dyDescent="0.2">
      <c r="B17" s="25" t="s">
        <v>48</v>
      </c>
      <c r="C17" s="25" t="s">
        <v>49</v>
      </c>
      <c r="D17" s="25" t="s">
        <v>22</v>
      </c>
      <c r="E17" s="28">
        <v>250</v>
      </c>
      <c r="F17" s="26">
        <v>2483.64</v>
      </c>
      <c r="G17" s="26">
        <v>2.99</v>
      </c>
      <c r="H17" s="26">
        <v>7.64</v>
      </c>
      <c r="I17" s="29"/>
    </row>
    <row r="18" spans="2:9" x14ac:dyDescent="0.2">
      <c r="B18" s="25" t="s">
        <v>50</v>
      </c>
      <c r="C18" s="25" t="s">
        <v>51</v>
      </c>
      <c r="D18" s="25" t="s">
        <v>22</v>
      </c>
      <c r="E18" s="28">
        <v>250</v>
      </c>
      <c r="F18" s="26">
        <v>2482.11</v>
      </c>
      <c r="G18" s="26">
        <v>2.99</v>
      </c>
      <c r="H18" s="26">
        <v>7.9</v>
      </c>
      <c r="I18" s="29"/>
    </row>
    <row r="19" spans="2:9" x14ac:dyDescent="0.2">
      <c r="B19" s="25" t="s">
        <v>52</v>
      </c>
      <c r="C19" s="25" t="s">
        <v>53</v>
      </c>
      <c r="D19" s="25" t="s">
        <v>22</v>
      </c>
      <c r="E19" s="28">
        <v>250</v>
      </c>
      <c r="F19" s="26">
        <v>2466.4</v>
      </c>
      <c r="G19" s="26">
        <v>2.97</v>
      </c>
      <c r="H19" s="26">
        <v>8.0500000000000007</v>
      </c>
      <c r="I19" s="29"/>
    </row>
    <row r="20" spans="2:9" x14ac:dyDescent="0.2">
      <c r="B20" s="25" t="s">
        <v>54</v>
      </c>
      <c r="C20" s="25" t="s">
        <v>55</v>
      </c>
      <c r="D20" s="25" t="s">
        <v>40</v>
      </c>
      <c r="E20" s="28">
        <v>250</v>
      </c>
      <c r="F20" s="26">
        <v>2464.38</v>
      </c>
      <c r="G20" s="26">
        <v>2.97</v>
      </c>
      <c r="H20" s="26">
        <v>7.68</v>
      </c>
      <c r="I20" s="29"/>
    </row>
    <row r="21" spans="2:9" x14ac:dyDescent="0.2">
      <c r="B21" s="25" t="s">
        <v>56</v>
      </c>
      <c r="C21" s="25" t="s">
        <v>57</v>
      </c>
      <c r="D21" s="25" t="s">
        <v>22</v>
      </c>
      <c r="E21" s="28">
        <v>250</v>
      </c>
      <c r="F21" s="26">
        <v>2457.79</v>
      </c>
      <c r="G21" s="26">
        <v>2.96</v>
      </c>
      <c r="H21" s="26">
        <v>8.18</v>
      </c>
      <c r="I21" s="29"/>
    </row>
    <row r="22" spans="2:9" x14ac:dyDescent="0.2">
      <c r="B22" s="25" t="s">
        <v>58</v>
      </c>
      <c r="C22" s="25" t="s">
        <v>59</v>
      </c>
      <c r="D22" s="25" t="s">
        <v>29</v>
      </c>
      <c r="E22" s="28">
        <v>250</v>
      </c>
      <c r="F22" s="26">
        <v>2454.02</v>
      </c>
      <c r="G22" s="26">
        <v>2.96</v>
      </c>
      <c r="H22" s="26">
        <v>7.75</v>
      </c>
      <c r="I22" s="29"/>
    </row>
    <row r="23" spans="2:9" x14ac:dyDescent="0.2">
      <c r="B23" s="25" t="s">
        <v>60</v>
      </c>
      <c r="C23" s="25" t="s">
        <v>61</v>
      </c>
      <c r="D23" s="25" t="s">
        <v>22</v>
      </c>
      <c r="E23" s="28">
        <v>250</v>
      </c>
      <c r="F23" s="26">
        <v>2449.36</v>
      </c>
      <c r="G23" s="26">
        <v>2.95</v>
      </c>
      <c r="H23" s="26">
        <v>7.75</v>
      </c>
      <c r="I23" s="29"/>
    </row>
    <row r="24" spans="2:9" x14ac:dyDescent="0.2">
      <c r="B24" s="25" t="s">
        <v>62</v>
      </c>
      <c r="C24" s="25" t="s">
        <v>63</v>
      </c>
      <c r="D24" s="25" t="s">
        <v>22</v>
      </c>
      <c r="E24" s="28">
        <v>250</v>
      </c>
      <c r="F24" s="26">
        <v>2428.61</v>
      </c>
      <c r="G24" s="26">
        <v>2.93</v>
      </c>
      <c r="H24" s="26">
        <v>7.65</v>
      </c>
      <c r="I24" s="29"/>
    </row>
    <row r="25" spans="2:9" x14ac:dyDescent="0.2">
      <c r="B25" s="25" t="s">
        <v>64</v>
      </c>
      <c r="C25" s="25" t="s">
        <v>65</v>
      </c>
      <c r="D25" s="25" t="s">
        <v>22</v>
      </c>
      <c r="E25" s="28">
        <v>150</v>
      </c>
      <c r="F25" s="26">
        <v>1500.7</v>
      </c>
      <c r="G25" s="26">
        <v>1.81</v>
      </c>
      <c r="H25" s="26">
        <v>7.89</v>
      </c>
      <c r="I25" s="29"/>
    </row>
    <row r="26" spans="2:9" x14ac:dyDescent="0.2">
      <c r="B26" s="36" t="s">
        <v>66</v>
      </c>
      <c r="C26" s="36"/>
      <c r="D26" s="36"/>
      <c r="E26" s="36"/>
      <c r="F26" s="37">
        <f>SUM(F6:F25)</f>
        <v>50608.27</v>
      </c>
      <c r="G26" s="37">
        <f>SUM(G6:G25)</f>
        <v>61</v>
      </c>
      <c r="H26" s="38"/>
      <c r="I26" s="29"/>
    </row>
    <row r="27" spans="2:9" x14ac:dyDescent="0.2">
      <c r="B27" s="39" t="s">
        <v>67</v>
      </c>
      <c r="C27" s="39"/>
      <c r="D27" s="39"/>
      <c r="E27" s="39"/>
      <c r="F27" s="40">
        <f>F26</f>
        <v>50608.27</v>
      </c>
      <c r="G27" s="40">
        <f>G26</f>
        <v>61</v>
      </c>
      <c r="H27" s="40"/>
      <c r="I27" s="29"/>
    </row>
    <row r="28" spans="2:9" x14ac:dyDescent="0.2">
      <c r="B28" s="24" t="s">
        <v>68</v>
      </c>
      <c r="C28" s="25"/>
      <c r="D28" s="25"/>
      <c r="E28" s="25"/>
      <c r="F28" s="26"/>
      <c r="G28" s="26"/>
      <c r="H28" s="26"/>
      <c r="I28" s="29"/>
    </row>
    <row r="29" spans="2:9" x14ac:dyDescent="0.2">
      <c r="B29" s="24" t="s">
        <v>69</v>
      </c>
      <c r="C29" s="25"/>
      <c r="D29" s="25"/>
      <c r="E29" s="25"/>
      <c r="F29" s="26"/>
      <c r="G29" s="26"/>
      <c r="H29" s="26"/>
      <c r="I29" s="29"/>
    </row>
    <row r="30" spans="2:9" x14ac:dyDescent="0.2">
      <c r="B30" s="25" t="s">
        <v>70</v>
      </c>
      <c r="C30" s="25" t="s">
        <v>71</v>
      </c>
      <c r="D30" s="25" t="s">
        <v>72</v>
      </c>
      <c r="E30" s="28">
        <v>1000</v>
      </c>
      <c r="F30" s="26">
        <v>4829.6099999999997</v>
      </c>
      <c r="G30" s="26">
        <v>5.82</v>
      </c>
      <c r="H30" s="26">
        <v>7.57</v>
      </c>
      <c r="I30" s="29"/>
    </row>
    <row r="31" spans="2:9" x14ac:dyDescent="0.2">
      <c r="B31" s="25" t="s">
        <v>73</v>
      </c>
      <c r="C31" s="25" t="s">
        <v>74</v>
      </c>
      <c r="D31" s="25" t="s">
        <v>75</v>
      </c>
      <c r="E31" s="28">
        <v>1000</v>
      </c>
      <c r="F31" s="26">
        <v>4665.93</v>
      </c>
      <c r="G31" s="26">
        <v>5.62</v>
      </c>
      <c r="H31" s="26">
        <v>7.58</v>
      </c>
      <c r="I31" s="29"/>
    </row>
    <row r="32" spans="2:9" x14ac:dyDescent="0.2">
      <c r="B32" s="25" t="s">
        <v>76</v>
      </c>
      <c r="C32" s="25" t="s">
        <v>77</v>
      </c>
      <c r="D32" s="25" t="s">
        <v>78</v>
      </c>
      <c r="E32" s="28">
        <v>500</v>
      </c>
      <c r="F32" s="26">
        <v>2476.5</v>
      </c>
      <c r="G32" s="26">
        <v>2.98</v>
      </c>
      <c r="H32" s="26">
        <v>7.53</v>
      </c>
      <c r="I32" s="29"/>
    </row>
    <row r="33" spans="2:9" x14ac:dyDescent="0.2">
      <c r="B33" s="25" t="s">
        <v>79</v>
      </c>
      <c r="C33" s="25" t="s">
        <v>80</v>
      </c>
      <c r="D33" s="25" t="s">
        <v>75</v>
      </c>
      <c r="E33" s="28">
        <v>500</v>
      </c>
      <c r="F33" s="26">
        <v>2377.16</v>
      </c>
      <c r="G33" s="26">
        <v>2.86</v>
      </c>
      <c r="H33" s="26">
        <v>7.58</v>
      </c>
      <c r="I33" s="29"/>
    </row>
    <row r="34" spans="2:9" x14ac:dyDescent="0.2">
      <c r="B34" s="25" t="s">
        <v>81</v>
      </c>
      <c r="C34" s="25" t="s">
        <v>82</v>
      </c>
      <c r="D34" s="25" t="s">
        <v>72</v>
      </c>
      <c r="E34" s="28">
        <v>500</v>
      </c>
      <c r="F34" s="26">
        <v>2367.73</v>
      </c>
      <c r="G34" s="26">
        <v>2.85</v>
      </c>
      <c r="H34" s="26">
        <v>7.58</v>
      </c>
      <c r="I34" s="29"/>
    </row>
    <row r="35" spans="2:9" x14ac:dyDescent="0.2">
      <c r="B35" s="24" t="s">
        <v>66</v>
      </c>
      <c r="C35" s="24"/>
      <c r="D35" s="24"/>
      <c r="E35" s="24"/>
      <c r="F35" s="41">
        <f>SUM(F29:F34)</f>
        <v>16716.93</v>
      </c>
      <c r="G35" s="41">
        <f>SUM(G29:G34)</f>
        <v>20.130000000000003</v>
      </c>
      <c r="H35" s="42"/>
      <c r="I35" s="29"/>
    </row>
    <row r="36" spans="2:9" x14ac:dyDescent="0.2">
      <c r="B36" s="24" t="s">
        <v>83</v>
      </c>
      <c r="C36" s="25"/>
      <c r="D36" s="25"/>
      <c r="E36" s="25"/>
      <c r="F36" s="26"/>
      <c r="G36" s="26"/>
      <c r="H36" s="26"/>
      <c r="I36" s="29"/>
    </row>
    <row r="37" spans="2:9" x14ac:dyDescent="0.2">
      <c r="B37" s="25" t="s">
        <v>84</v>
      </c>
      <c r="C37" s="25" t="s">
        <v>85</v>
      </c>
      <c r="D37" s="25" t="s">
        <v>72</v>
      </c>
      <c r="E37" s="28">
        <v>500</v>
      </c>
      <c r="F37" s="26">
        <v>2329.98</v>
      </c>
      <c r="G37" s="26">
        <v>2.81</v>
      </c>
      <c r="H37" s="26">
        <v>8.17</v>
      </c>
      <c r="I37" s="29"/>
    </row>
    <row r="38" spans="2:9" x14ac:dyDescent="0.2">
      <c r="B38" s="36" t="s">
        <v>66</v>
      </c>
      <c r="C38" s="36"/>
      <c r="D38" s="36"/>
      <c r="E38" s="36"/>
      <c r="F38" s="37">
        <f>SUM(F36:F37)</f>
        <v>2329.98</v>
      </c>
      <c r="G38" s="37">
        <f>SUM(G36:G37)</f>
        <v>2.81</v>
      </c>
      <c r="H38" s="38"/>
      <c r="I38" s="29"/>
    </row>
    <row r="39" spans="2:9" x14ac:dyDescent="0.2">
      <c r="B39" s="39" t="s">
        <v>67</v>
      </c>
      <c r="C39" s="39"/>
      <c r="D39" s="39"/>
      <c r="E39" s="39"/>
      <c r="F39" s="40">
        <f>F35+F38</f>
        <v>19046.91</v>
      </c>
      <c r="G39" s="40">
        <f>G35+G38</f>
        <v>22.94</v>
      </c>
      <c r="H39" s="40"/>
      <c r="I39" s="29"/>
    </row>
    <row r="40" spans="2:9" x14ac:dyDescent="0.2">
      <c r="B40" s="24" t="s">
        <v>86</v>
      </c>
      <c r="C40" s="25"/>
      <c r="D40" s="25"/>
      <c r="E40" s="25"/>
      <c r="F40" s="26"/>
      <c r="G40" s="26"/>
      <c r="H40" s="26"/>
      <c r="I40" s="29"/>
    </row>
    <row r="41" spans="2:9" x14ac:dyDescent="0.2">
      <c r="B41" s="25" t="s">
        <v>87</v>
      </c>
      <c r="C41" s="25" t="s">
        <v>88</v>
      </c>
      <c r="D41" s="25" t="s">
        <v>89</v>
      </c>
      <c r="E41" s="28">
        <v>4545000</v>
      </c>
      <c r="F41" s="26">
        <v>3824.67</v>
      </c>
      <c r="G41" s="26">
        <v>4.6100000000000003</v>
      </c>
      <c r="H41" s="26">
        <v>7.25</v>
      </c>
      <c r="I41" s="29"/>
    </row>
    <row r="42" spans="2:9" x14ac:dyDescent="0.2">
      <c r="B42" s="43" t="s">
        <v>90</v>
      </c>
      <c r="C42" s="43" t="s">
        <v>91</v>
      </c>
      <c r="D42" s="43" t="s">
        <v>89</v>
      </c>
      <c r="E42" s="44">
        <v>1000000</v>
      </c>
      <c r="F42" s="45">
        <v>1016.88</v>
      </c>
      <c r="G42" s="45">
        <v>1.23</v>
      </c>
      <c r="H42" s="45">
        <v>8.08</v>
      </c>
      <c r="I42" s="29"/>
    </row>
    <row r="43" spans="2:9" x14ac:dyDescent="0.2">
      <c r="B43" s="46" t="s">
        <v>67</v>
      </c>
      <c r="C43" s="46"/>
      <c r="D43" s="46"/>
      <c r="E43" s="46"/>
      <c r="F43" s="41">
        <f>SUM(F41:F42)</f>
        <v>4841.55</v>
      </c>
      <c r="G43" s="41">
        <f>SUM(G41:G42)</f>
        <v>5.84</v>
      </c>
      <c r="H43" s="41"/>
      <c r="I43" s="29"/>
    </row>
    <row r="44" spans="2:9" x14ac:dyDescent="0.2">
      <c r="B44" s="24" t="s">
        <v>92</v>
      </c>
      <c r="C44" s="25"/>
      <c r="D44" s="25"/>
      <c r="E44" s="25"/>
      <c r="F44" s="26"/>
      <c r="G44" s="26"/>
      <c r="H44" s="26"/>
      <c r="I44" s="29"/>
    </row>
    <row r="45" spans="2:9" x14ac:dyDescent="0.2">
      <c r="B45" s="43" t="s">
        <v>93</v>
      </c>
      <c r="C45" s="43" t="s">
        <v>94</v>
      </c>
      <c r="D45" s="43" t="s">
        <v>92</v>
      </c>
      <c r="E45" s="44">
        <v>2623.3690000000001</v>
      </c>
      <c r="F45" s="45">
        <v>267.20999999999998</v>
      </c>
      <c r="G45" s="45">
        <v>0.32</v>
      </c>
      <c r="H45" s="45">
        <v>6.95</v>
      </c>
      <c r="I45" s="29"/>
    </row>
    <row r="46" spans="2:9" x14ac:dyDescent="0.2">
      <c r="B46" s="46" t="s">
        <v>67</v>
      </c>
      <c r="C46" s="46"/>
      <c r="D46" s="46"/>
      <c r="E46" s="46"/>
      <c r="F46" s="41">
        <f>SUM(F45:F45)</f>
        <v>267.20999999999998</v>
      </c>
      <c r="G46" s="41">
        <f>SUM(G45:G45)</f>
        <v>0.32</v>
      </c>
      <c r="H46" s="41"/>
      <c r="I46" s="29"/>
    </row>
    <row r="47" spans="2:9" x14ac:dyDescent="0.2">
      <c r="B47" s="24" t="s">
        <v>95</v>
      </c>
      <c r="C47" s="25"/>
      <c r="D47" s="25"/>
      <c r="E47" s="25"/>
      <c r="F47" s="26"/>
      <c r="G47" s="26"/>
      <c r="H47" s="26"/>
      <c r="I47" s="29"/>
    </row>
    <row r="48" spans="2:9" x14ac:dyDescent="0.2">
      <c r="B48" s="25" t="s">
        <v>95</v>
      </c>
      <c r="C48" s="25"/>
      <c r="D48" s="25"/>
      <c r="E48" s="25"/>
      <c r="F48" s="26">
        <v>6321.82</v>
      </c>
      <c r="G48" s="26">
        <v>7.62</v>
      </c>
      <c r="H48" s="26"/>
      <c r="I48" s="29"/>
    </row>
    <row r="49" spans="2:9" x14ac:dyDescent="0.2">
      <c r="B49" s="36" t="s">
        <v>66</v>
      </c>
      <c r="C49" s="36"/>
      <c r="D49" s="36"/>
      <c r="E49" s="36"/>
      <c r="F49" s="37">
        <f>SUM(F47:F48)</f>
        <v>6321.82</v>
      </c>
      <c r="G49" s="37">
        <f>SUM(G47:G48)</f>
        <v>7.62</v>
      </c>
      <c r="H49" s="38"/>
      <c r="I49" s="29"/>
    </row>
    <row r="50" spans="2:9" x14ac:dyDescent="0.2">
      <c r="B50" s="47" t="s">
        <v>67</v>
      </c>
      <c r="C50" s="47"/>
      <c r="D50" s="47"/>
      <c r="E50" s="47"/>
      <c r="F50" s="48">
        <f>F49</f>
        <v>6321.82</v>
      </c>
      <c r="G50" s="48">
        <f>G49</f>
        <v>7.62</v>
      </c>
      <c r="H50" s="48"/>
      <c r="I50" s="29"/>
    </row>
    <row r="51" spans="2:9" x14ac:dyDescent="0.2">
      <c r="B51" s="49" t="s">
        <v>96</v>
      </c>
      <c r="C51" s="49"/>
      <c r="D51" s="49"/>
      <c r="E51" s="49"/>
      <c r="F51" s="50">
        <f>F52-(+F27+F39+F43+F46+F50)</f>
        <v>1920.0999999999913</v>
      </c>
      <c r="G51" s="50">
        <f>G52-(+G27+G39+G43+G46+G50)</f>
        <v>2.2800000000000011</v>
      </c>
      <c r="H51" s="50"/>
      <c r="I51" s="29"/>
    </row>
    <row r="52" spans="2:9" x14ac:dyDescent="0.2">
      <c r="B52" s="49" t="s">
        <v>97</v>
      </c>
      <c r="C52" s="49"/>
      <c r="D52" s="49"/>
      <c r="E52" s="49"/>
      <c r="F52" s="50">
        <v>83005.86</v>
      </c>
      <c r="G52" s="50">
        <v>100</v>
      </c>
      <c r="H52" s="50"/>
      <c r="I52" s="29"/>
    </row>
    <row r="53" spans="2:9" x14ac:dyDescent="0.2">
      <c r="I53" s="29"/>
    </row>
    <row r="54" spans="2:9" x14ac:dyDescent="0.2">
      <c r="B54" s="51" t="s">
        <v>98</v>
      </c>
      <c r="I54" s="29"/>
    </row>
    <row r="55" spans="2:9" x14ac:dyDescent="0.2">
      <c r="B55" s="51" t="s">
        <v>99</v>
      </c>
      <c r="I55" s="29"/>
    </row>
    <row r="56" spans="2:9" ht="12.75" thickBot="1" x14ac:dyDescent="0.25">
      <c r="I56" s="29"/>
    </row>
    <row r="57" spans="2:9" ht="13.5" thickTop="1" thickBot="1" x14ac:dyDescent="0.25">
      <c r="B57" s="52" t="s">
        <v>100</v>
      </c>
      <c r="C57" s="53">
        <v>0.92259999999999998</v>
      </c>
      <c r="I57" s="29"/>
    </row>
    <row r="58" spans="2:9" ht="13.5" thickTop="1" thickBot="1" x14ac:dyDescent="0.25">
      <c r="I58" s="29"/>
    </row>
    <row r="59" spans="2:9" ht="13.5" thickTop="1" thickBot="1" x14ac:dyDescent="0.25">
      <c r="B59" s="52" t="s">
        <v>101</v>
      </c>
      <c r="C59" s="54">
        <v>7.6700000000000004E-2</v>
      </c>
      <c r="I59" s="29"/>
    </row>
    <row r="60" spans="2:9" ht="13.5" thickTop="1" thickBot="1" x14ac:dyDescent="0.25">
      <c r="I60" s="29"/>
    </row>
    <row r="61" spans="2:9" ht="13.5" thickTop="1" thickBot="1" x14ac:dyDescent="0.25">
      <c r="B61" s="52" t="s">
        <v>102</v>
      </c>
      <c r="C61" s="53">
        <v>0.99009999999999998</v>
      </c>
      <c r="I61" s="29"/>
    </row>
    <row r="62" spans="2:9" ht="12.75" thickTop="1" x14ac:dyDescent="0.2">
      <c r="I62" s="29"/>
    </row>
    <row r="63" spans="2:9" x14ac:dyDescent="0.2">
      <c r="I63" s="29"/>
    </row>
    <row r="64" spans="2:9" x14ac:dyDescent="0.2">
      <c r="I64" s="29"/>
    </row>
    <row r="65" spans="9:9" x14ac:dyDescent="0.2">
      <c r="I65" s="29"/>
    </row>
    <row r="66" spans="9:9" x14ac:dyDescent="0.2">
      <c r="I66" s="29"/>
    </row>
    <row r="67" spans="9:9" x14ac:dyDescent="0.2">
      <c r="I67" s="29"/>
    </row>
    <row r="68" spans="9:9" x14ac:dyDescent="0.2">
      <c r="I68" s="29"/>
    </row>
    <row r="69" spans="9:9" x14ac:dyDescent="0.2">
      <c r="I69" s="29"/>
    </row>
    <row r="70" spans="9:9" x14ac:dyDescent="0.2">
      <c r="I70" s="29"/>
    </row>
    <row r="71" spans="9:9" x14ac:dyDescent="0.2">
      <c r="I71" s="29"/>
    </row>
    <row r="72" spans="9:9" x14ac:dyDescent="0.2">
      <c r="I72" s="29"/>
    </row>
    <row r="73" spans="9:9" x14ac:dyDescent="0.2">
      <c r="I73" s="29"/>
    </row>
    <row r="74" spans="9:9" x14ac:dyDescent="0.2">
      <c r="I74" s="29"/>
    </row>
    <row r="75" spans="9:9" x14ac:dyDescent="0.2">
      <c r="I75" s="29"/>
    </row>
    <row r="76" spans="9:9" x14ac:dyDescent="0.2">
      <c r="I76" s="29"/>
    </row>
    <row r="77" spans="9:9" x14ac:dyDescent="0.2">
      <c r="I77" s="29"/>
    </row>
    <row r="78" spans="9:9" x14ac:dyDescent="0.2">
      <c r="I78" s="29"/>
    </row>
    <row r="79" spans="9:9" x14ac:dyDescent="0.2">
      <c r="I79" s="29"/>
    </row>
    <row r="80" spans="9:9" x14ac:dyDescent="0.2">
      <c r="I80" s="29"/>
    </row>
    <row r="81" spans="9:9" x14ac:dyDescent="0.2">
      <c r="I81" s="29"/>
    </row>
    <row r="82" spans="9:9" x14ac:dyDescent="0.2">
      <c r="I82" s="29"/>
    </row>
    <row r="83" spans="9:9" x14ac:dyDescent="0.2">
      <c r="I83" s="29"/>
    </row>
    <row r="84" spans="9:9" x14ac:dyDescent="0.2">
      <c r="I84" s="29"/>
    </row>
    <row r="85" spans="9:9" x14ac:dyDescent="0.2">
      <c r="I85" s="29"/>
    </row>
    <row r="86" spans="9:9" x14ac:dyDescent="0.2">
      <c r="I86" s="29"/>
    </row>
    <row r="87" spans="9:9" x14ac:dyDescent="0.2">
      <c r="I87" s="29"/>
    </row>
    <row r="88" spans="9:9" x14ac:dyDescent="0.2">
      <c r="I88" s="29"/>
    </row>
    <row r="89" spans="9:9" x14ac:dyDescent="0.2">
      <c r="I89" s="29"/>
    </row>
    <row r="90" spans="9:9" x14ac:dyDescent="0.2">
      <c r="I90" s="29"/>
    </row>
    <row r="91" spans="9:9" x14ac:dyDescent="0.2">
      <c r="I91" s="29"/>
    </row>
    <row r="92" spans="9:9" x14ac:dyDescent="0.2">
      <c r="I92" s="29"/>
    </row>
    <row r="93" spans="9:9" x14ac:dyDescent="0.2">
      <c r="I93" s="29"/>
    </row>
    <row r="94" spans="9:9" x14ac:dyDescent="0.2">
      <c r="I94" s="29"/>
    </row>
    <row r="95" spans="9:9" x14ac:dyDescent="0.2">
      <c r="I95" s="29"/>
    </row>
    <row r="96" spans="9:9" x14ac:dyDescent="0.2">
      <c r="I96" s="29"/>
    </row>
    <row r="97" spans="9:9" x14ac:dyDescent="0.2">
      <c r="I97" s="29"/>
    </row>
    <row r="98" spans="9:9" x14ac:dyDescent="0.2">
      <c r="I98" s="29"/>
    </row>
    <row r="99" spans="9:9" x14ac:dyDescent="0.2">
      <c r="I99" s="29"/>
    </row>
    <row r="100" spans="9:9" x14ac:dyDescent="0.2">
      <c r="I100" s="29"/>
    </row>
    <row r="101" spans="9:9" x14ac:dyDescent="0.2">
      <c r="I101" s="29"/>
    </row>
    <row r="102" spans="9:9" x14ac:dyDescent="0.2">
      <c r="I102" s="29"/>
    </row>
    <row r="103" spans="9:9" x14ac:dyDescent="0.2">
      <c r="I103" s="29"/>
    </row>
    <row r="104" spans="9:9" x14ac:dyDescent="0.2">
      <c r="I104" s="29"/>
    </row>
    <row r="105" spans="9:9" x14ac:dyDescent="0.2">
      <c r="I105" s="29"/>
    </row>
    <row r="106" spans="9:9" x14ac:dyDescent="0.2">
      <c r="I106" s="29"/>
    </row>
    <row r="107" spans="9:9" x14ac:dyDescent="0.2">
      <c r="I107" s="29"/>
    </row>
    <row r="108" spans="9:9" x14ac:dyDescent="0.2">
      <c r="I108" s="29"/>
    </row>
    <row r="109" spans="9:9" x14ac:dyDescent="0.2">
      <c r="I109" s="29"/>
    </row>
    <row r="110" spans="9:9" x14ac:dyDescent="0.2">
      <c r="I110" s="29"/>
    </row>
    <row r="111" spans="9:9" x14ac:dyDescent="0.2">
      <c r="I111" s="29"/>
    </row>
    <row r="112" spans="9:9" x14ac:dyDescent="0.2">
      <c r="I112" s="29"/>
    </row>
    <row r="113" spans="9:9" x14ac:dyDescent="0.2">
      <c r="I113" s="29"/>
    </row>
    <row r="114" spans="9:9" x14ac:dyDescent="0.2">
      <c r="I114" s="29"/>
    </row>
    <row r="115" spans="9:9" x14ac:dyDescent="0.2">
      <c r="I115" s="29"/>
    </row>
    <row r="116" spans="9:9" x14ac:dyDescent="0.2">
      <c r="I116" s="29"/>
    </row>
    <row r="117" spans="9:9" x14ac:dyDescent="0.2">
      <c r="I117" s="29"/>
    </row>
    <row r="118" spans="9:9" x14ac:dyDescent="0.2">
      <c r="I118" s="29"/>
    </row>
    <row r="119" spans="9:9" x14ac:dyDescent="0.2">
      <c r="I119" s="29"/>
    </row>
    <row r="120" spans="9:9" x14ac:dyDescent="0.2">
      <c r="I120" s="29"/>
    </row>
    <row r="121" spans="9:9" x14ac:dyDescent="0.2">
      <c r="I121" s="29"/>
    </row>
    <row r="122" spans="9:9" x14ac:dyDescent="0.2">
      <c r="I122" s="29"/>
    </row>
    <row r="123" spans="9:9" x14ac:dyDescent="0.2">
      <c r="I123" s="29"/>
    </row>
    <row r="124" spans="9:9" x14ac:dyDescent="0.2">
      <c r="I124" s="29"/>
    </row>
    <row r="125" spans="9:9" x14ac:dyDescent="0.2">
      <c r="I125" s="29"/>
    </row>
    <row r="126" spans="9:9" x14ac:dyDescent="0.2">
      <c r="I126" s="29"/>
    </row>
    <row r="127" spans="9:9" x14ac:dyDescent="0.2">
      <c r="I127" s="29"/>
    </row>
    <row r="128" spans="9:9" x14ac:dyDescent="0.2">
      <c r="I128" s="29"/>
    </row>
    <row r="129" spans="9:9" x14ac:dyDescent="0.2">
      <c r="I129" s="29"/>
    </row>
    <row r="130" spans="9:9" x14ac:dyDescent="0.2">
      <c r="I130" s="29"/>
    </row>
    <row r="131" spans="9:9" x14ac:dyDescent="0.2">
      <c r="I131" s="29"/>
    </row>
    <row r="132" spans="9:9" x14ac:dyDescent="0.2">
      <c r="I132" s="29"/>
    </row>
    <row r="133" spans="9:9" x14ac:dyDescent="0.2">
      <c r="I133" s="29"/>
    </row>
    <row r="134" spans="9:9" x14ac:dyDescent="0.2">
      <c r="I134" s="29"/>
    </row>
    <row r="135" spans="9:9" x14ac:dyDescent="0.2">
      <c r="I135" s="29"/>
    </row>
    <row r="136" spans="9:9" x14ac:dyDescent="0.2">
      <c r="I136" s="29"/>
    </row>
    <row r="137" spans="9:9" x14ac:dyDescent="0.2">
      <c r="I137" s="29"/>
    </row>
    <row r="138" spans="9:9" x14ac:dyDescent="0.2">
      <c r="I138" s="29"/>
    </row>
    <row r="139" spans="9:9" x14ac:dyDescent="0.2">
      <c r="I139" s="29"/>
    </row>
    <row r="140" spans="9:9" x14ac:dyDescent="0.2">
      <c r="I140" s="29"/>
    </row>
    <row r="141" spans="9:9" x14ac:dyDescent="0.2">
      <c r="I141" s="29"/>
    </row>
    <row r="142" spans="9:9" x14ac:dyDescent="0.2">
      <c r="I142" s="29"/>
    </row>
    <row r="143" spans="9:9" x14ac:dyDescent="0.2">
      <c r="I143" s="29"/>
    </row>
    <row r="144" spans="9:9" x14ac:dyDescent="0.2">
      <c r="I144" s="29"/>
    </row>
    <row r="145" spans="9:9" x14ac:dyDescent="0.2">
      <c r="I145" s="29"/>
    </row>
    <row r="146" spans="9:9" x14ac:dyDescent="0.2">
      <c r="I146" s="29"/>
    </row>
    <row r="147" spans="9:9" x14ac:dyDescent="0.2">
      <c r="I147" s="29"/>
    </row>
    <row r="148" spans="9:9" x14ac:dyDescent="0.2">
      <c r="I148" s="29"/>
    </row>
    <row r="149" spans="9:9" x14ac:dyDescent="0.2">
      <c r="I149" s="29"/>
    </row>
    <row r="150" spans="9:9" x14ac:dyDescent="0.2">
      <c r="I150" s="29"/>
    </row>
    <row r="151" spans="9:9" x14ac:dyDescent="0.2">
      <c r="I151" s="29"/>
    </row>
    <row r="152" spans="9:9" x14ac:dyDescent="0.2">
      <c r="I152" s="29"/>
    </row>
    <row r="153" spans="9:9" x14ac:dyDescent="0.2">
      <c r="I153" s="29"/>
    </row>
    <row r="154" spans="9:9" x14ac:dyDescent="0.2">
      <c r="I154" s="29"/>
    </row>
    <row r="155" spans="9:9" x14ac:dyDescent="0.2">
      <c r="I155" s="29"/>
    </row>
    <row r="156" spans="9:9" x14ac:dyDescent="0.2">
      <c r="I156" s="29"/>
    </row>
    <row r="157" spans="9:9" x14ac:dyDescent="0.2">
      <c r="I157" s="29"/>
    </row>
    <row r="158" spans="9:9" x14ac:dyDescent="0.2">
      <c r="I158" s="29"/>
    </row>
    <row r="159" spans="9:9" x14ac:dyDescent="0.2">
      <c r="I159" s="29"/>
    </row>
    <row r="160" spans="9:9" x14ac:dyDescent="0.2">
      <c r="I160" s="29"/>
    </row>
    <row r="161" spans="9:9" x14ac:dyDescent="0.2">
      <c r="I161" s="29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10:53:21</KDate>
  <Classification>Public</Classification>
  <Subclassification/>
  <HostName>MUMCMP00935</HostName>
  <Domain_User>CANARAROBECOMF/628</Domain_User>
  <IPAdd>192.9.198.194</IPAdd>
  <FilePath>Book17</FilePath>
  <KID>C025A5607E97638479112015329815</KID>
  <UniqueName/>
  <Suggested/>
  <Justification/>
</Klassify>
</file>

<file path=customXml/itemProps1.xml><?xml version="1.0" encoding="utf-8"?>
<ds:datastoreItem xmlns:ds="http://schemas.openxmlformats.org/officeDocument/2006/customXml" ds:itemID="{CF9000A0-7235-4950-AA0D-6DCFFA223BC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2024-04-05T05:23:17Z</dcterms:created>
  <dcterms:modified xsi:type="dcterms:W3CDTF">2024-04-05T05:23:21Z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C025A5607E97638479112015329815</vt:lpwstr>
  </property>
</Properties>
</file>