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TA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7" i="1"/>
  <c r="F37" i="1"/>
  <c r="G34" i="1"/>
  <c r="F34" i="1"/>
  <c r="G30" i="1"/>
  <c r="G38" i="1" s="1"/>
  <c r="F30" i="1"/>
  <c r="F38" i="1" s="1"/>
  <c r="G18" i="1"/>
  <c r="G17" i="1"/>
  <c r="F17" i="1"/>
  <c r="F18" i="1" s="1"/>
  <c r="F46" i="1" l="1"/>
  <c r="G46" i="1"/>
</calcChain>
</file>

<file path=xl/sharedStrings.xml><?xml version="1.0" encoding="utf-8"?>
<sst xmlns="http://schemas.openxmlformats.org/spreadsheetml/2006/main" count="114" uniqueCount="92">
  <si>
    <t>CANARA ROBECO ULTRA SHORT TERM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</si>
  <si>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</si>
  <si>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</si>
  <si>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</si>
  <si>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</si>
  <si>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</si>
  <si>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</si>
  <si>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</si>
  <si>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</si>
  <si>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Nov'22</t>
  </si>
  <si>
    <t>Benchmark Risk-o-meter Level- Nov'22</t>
  </si>
  <si>
    <t>Previous Scheme Risk-o-meter Level- Oct'22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</si>
  <si>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</si>
  <si>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</si>
  <si>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</si>
  <si>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</si>
  <si>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</si>
  <si>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</si>
  <si>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</si>
  <si>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</si>
  <si>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7.6351% KOTAK MAHINDRA PRIME LTD 23-FEB-23 **</t>
  </si>
  <si>
    <t>INE916DA7QG7</t>
  </si>
  <si>
    <t>CRISIL AAA</t>
  </si>
  <si>
    <t>Relatively Low (Class I)</t>
  </si>
  <si>
    <t>B-I</t>
  </si>
  <si>
    <t>6.55% NTPC Ltd (17/04/2023) **</t>
  </si>
  <si>
    <t>INE733E08148</t>
  </si>
  <si>
    <t>7.10% Bajaj Finance Ltd (10/02/2023) **</t>
  </si>
  <si>
    <t>INE296A07RB5</t>
  </si>
  <si>
    <t>Moderate 
(Class II)</t>
  </si>
  <si>
    <t>7.12% REC Ltd (31/03/2023) **</t>
  </si>
  <si>
    <t>INE020B08CH4</t>
  </si>
  <si>
    <t>6.98% Power Finance Corporation Ltd (20/04/2023) **</t>
  </si>
  <si>
    <t>INE134E08KN8</t>
  </si>
  <si>
    <t>Relatively High (Class III)</t>
  </si>
  <si>
    <t>6.72% National Bank For Agriculture &amp; Rural Development (14/04/2023) **</t>
  </si>
  <si>
    <t>INE261F08BW6</t>
  </si>
  <si>
    <t>ICRA AAA</t>
  </si>
  <si>
    <t>5.35% LIC Housing Finance Ltd (20/03/2023) **</t>
  </si>
  <si>
    <t>INE115A07PC9</t>
  </si>
  <si>
    <t>CARE AAA</t>
  </si>
  <si>
    <t>Benchmark: CRISIL Ultra Short Duration Fund B-I Index</t>
  </si>
  <si>
    <t>6.99% Housing Development Finance Corporation Ltd (13/02/2023) **</t>
  </si>
  <si>
    <t>INE001A07SH4</t>
  </si>
  <si>
    <t>7.42% Sundaram Finance Ltd (03/04/2023) **</t>
  </si>
  <si>
    <t>INE660A07QF5</t>
  </si>
  <si>
    <t>7.25% Larsen &amp; Toubro Ltd (24/04/2023) **</t>
  </si>
  <si>
    <t>INE018A08AY9</t>
  </si>
  <si>
    <t>Sub Total</t>
  </si>
  <si>
    <t>Total</t>
  </si>
  <si>
    <t>Money Market Instruments</t>
  </si>
  <si>
    <t>Certificate of Deposit</t>
  </si>
  <si>
    <t>Small Industries Development Bank of India (22/02/2023) #</t>
  </si>
  <si>
    <t>INE556F16937</t>
  </si>
  <si>
    <t>CARE A1+</t>
  </si>
  <si>
    <t>Kotak Mahindra Bank Ltd (21/06/2023) #</t>
  </si>
  <si>
    <t>INE237A169O1</t>
  </si>
  <si>
    <t>CRISIL A1+</t>
  </si>
  <si>
    <t>HDFC Bank Ltd (14/08/2023) ** #</t>
  </si>
  <si>
    <t>INE040A16DI3</t>
  </si>
  <si>
    <t>Export-Import Bank Of India (17/08/2023) #</t>
  </si>
  <si>
    <t>INE514E16CC4</t>
  </si>
  <si>
    <t>State Bank Of India (12/09/2023) ** #</t>
  </si>
  <si>
    <t>INE062A16465</t>
  </si>
  <si>
    <t>IND A1+</t>
  </si>
  <si>
    <t>ICICI Bank Ltd (17/11/2023) ** #</t>
  </si>
  <si>
    <t>INE090A169Y6</t>
  </si>
  <si>
    <t>ICRA A1+</t>
  </si>
  <si>
    <t>Bank of Baroda (15/11/2023) ** #</t>
  </si>
  <si>
    <t>INE028A16CY7</t>
  </si>
  <si>
    <t>Axis Bank Ltd (23/11/2023) ** #</t>
  </si>
  <si>
    <t>INE238AD6157</t>
  </si>
  <si>
    <t>ICICI Bank Ltd (11/09/2023) ** #</t>
  </si>
  <si>
    <t>INE090A161Y3</t>
  </si>
  <si>
    <t>Commercial Paper</t>
  </si>
  <si>
    <t xml:space="preserve">Larsen &amp; Toubro Ltd (30/12/2022) ** </t>
  </si>
  <si>
    <t>INE018A14IQ6</t>
  </si>
  <si>
    <t xml:space="preserve">Housing Development Finance Corporation Ltd (30/08/2023) ** </t>
  </si>
  <si>
    <t>INE001A14ZK9</t>
  </si>
  <si>
    <t>Treasury Bill</t>
  </si>
  <si>
    <t>364 DAYS TREASURY BILLS 19-JAN-23</t>
  </si>
  <si>
    <t>IN002021Z442</t>
  </si>
  <si>
    <t xml:space="preserve"> Sovereign</t>
  </si>
  <si>
    <t>Government Bonds</t>
  </si>
  <si>
    <t>8.21% RAJASTHAN SDL UDAY 31-MAR-23</t>
  </si>
  <si>
    <t>IN2920150421</t>
  </si>
  <si>
    <t>Sovereign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</si>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</sst>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318470</xdr:colOff>
      <xdr:row>4</xdr:row>
      <xdr:rowOff>85723</xdr:rowOff>
    </xdr:from>
    <xdr:ext cx="1805605" cy="1504951"/>
    <xdr:pic>
      <xdr:nvPicPr>
        <xdr:cNvPr id="2" name="Picture 1">
          <a:extLst>
            <a:ext uri="{FF2B5EF4-FFF2-40B4-BE49-F238E27FC236}">
              <a16:creationId xmlns:a16="http://schemas.microsoft.com/office/drawing/2014/main" id="{A34A51E6-14BC-4E31-B1F4-264E60C4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91695" y="1095373"/>
          <a:ext cx="1805605" cy="1504951"/>
        </a:xfrm>
        <a:prstGeom prst="rect">
          <a:avLst/>
        </a:prstGeom>
      </xdr:spPr>
    </xdr:pic>
    <xdr:clientData/>
  </xdr:oneCellAnchor>
  <xdr:oneCellAnchor>
    <xdr:from>
      <xdr:col>9</xdr:col>
      <xdr:colOff>28575</xdr:colOff>
      <xdr:row>4</xdr:row>
      <xdr:rowOff>161925</xdr:rowOff>
    </xdr:from>
    <xdr:ext cx="1863481" cy="1438276"/>
    <xdr:pic>
      <xdr:nvPicPr>
        <xdr:cNvPr id="3" name="Picture 2">
          <a:extLst>
            <a:ext uri="{FF2B5EF4-FFF2-40B4-BE49-F238E27FC236}">
              <a16:creationId xmlns:a16="http://schemas.microsoft.com/office/drawing/2014/main" id="{D4E53565-52DA-47D8-BA3D-BD7C539F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1171575"/>
          <a:ext cx="1863481" cy="1438276"/>
        </a:xfrm>
        <a:prstGeom prst="rect">
          <a:avLst/>
        </a:prstGeom>
      </xdr:spPr>
    </xdr:pic>
    <xdr:clientData/>
  </xdr:oneCellAnchor>
  <xdr:twoCellAnchor editAs="oneCell">
    <xdr:from>
      <xdr:col>10</xdr:col>
      <xdr:colOff>342900</xdr:colOff>
      <xdr:row>4</xdr:row>
      <xdr:rowOff>104776</xdr:rowOff>
    </xdr:from>
    <xdr:to>
      <xdr:col>10</xdr:col>
      <xdr:colOff>2190751</xdr:colOff>
      <xdr:row>11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C2138D-050C-475A-A52B-55E3C060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9625" y="1114426"/>
          <a:ext cx="1847851" cy="1514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0"/>
  <sheetViews>
    <sheetView tabSelected="1" topLeftCell="C1" workbookViewId="0">
      <selection activeCell="K15" sqref="K15"/>
    </sheetView>
  </sheetViews>
  <sheetFormatPr defaultRowHeight="12"/>
  <cols>
    <col min="1" max="1" width="9.140625" style="3"/>
    <col min="2" max="2" width="61" style="3" bestFit="1" customWidth="1"/>
    <col min="3" max="3" width="13.85546875" style="3" bestFit="1" customWidth="1"/>
    <col min="4" max="4" width="14.140625" style="3" bestFit="1" customWidth="1"/>
    <col min="5" max="5" width="8.85546875" style="6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3" style="4" customWidth="1"/>
    <col min="11" max="11" width="37.140625" style="4" customWidth="1"/>
    <col min="12" max="12" width="36.5703125" style="4" customWidth="1"/>
    <col min="13" max="13" width="4.710937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32"/>
      <c r="P6" s="32"/>
      <c r="Q6" s="32"/>
    </row>
    <row r="7" spans="2:17">
      <c r="B7" s="28" t="s">
        <v>20</v>
      </c>
      <c r="C7" s="28" t="s">
        <v>21</v>
      </c>
      <c r="D7" s="28" t="s">
        <v>22</v>
      </c>
      <c r="E7" s="33">
        <v>350</v>
      </c>
      <c r="F7" s="30">
        <v>3500.85</v>
      </c>
      <c r="G7" s="30">
        <v>6.16</v>
      </c>
      <c r="H7" s="30">
        <v>7.11</v>
      </c>
      <c r="J7" s="24"/>
      <c r="K7" s="24"/>
      <c r="L7" s="24"/>
      <c r="N7" s="34" t="s">
        <v>23</v>
      </c>
      <c r="O7" s="35"/>
      <c r="P7" s="36" t="s">
        <v>24</v>
      </c>
      <c r="Q7" s="35"/>
    </row>
    <row r="8" spans="2:17">
      <c r="B8" s="28" t="s">
        <v>25</v>
      </c>
      <c r="C8" s="28" t="s">
        <v>26</v>
      </c>
      <c r="D8" s="28" t="s">
        <v>22</v>
      </c>
      <c r="E8" s="33">
        <v>300</v>
      </c>
      <c r="F8" s="30">
        <v>2989.74</v>
      </c>
      <c r="G8" s="30">
        <v>5.26</v>
      </c>
      <c r="H8" s="30">
        <v>7.19</v>
      </c>
      <c r="J8" s="24"/>
      <c r="K8" s="24"/>
      <c r="L8" s="24"/>
      <c r="N8" s="34"/>
      <c r="O8" s="37"/>
      <c r="P8" s="38"/>
      <c r="Q8" s="37"/>
    </row>
    <row r="9" spans="2:17">
      <c r="B9" s="28" t="s">
        <v>27</v>
      </c>
      <c r="C9" s="28" t="s">
        <v>28</v>
      </c>
      <c r="D9" s="28" t="s">
        <v>22</v>
      </c>
      <c r="E9" s="33">
        <v>250</v>
      </c>
      <c r="F9" s="30">
        <v>2498.54</v>
      </c>
      <c r="G9" s="30">
        <v>4.4000000000000004</v>
      </c>
      <c r="H9" s="30">
        <v>7.01</v>
      </c>
      <c r="J9" s="24"/>
      <c r="K9" s="24"/>
      <c r="L9" s="24"/>
      <c r="N9" s="34" t="s">
        <v>29</v>
      </c>
      <c r="O9" s="35"/>
      <c r="P9" s="35"/>
      <c r="Q9" s="35"/>
    </row>
    <row r="10" spans="2:17">
      <c r="B10" s="28" t="s">
        <v>30</v>
      </c>
      <c r="C10" s="28" t="s">
        <v>31</v>
      </c>
      <c r="D10" s="28" t="s">
        <v>22</v>
      </c>
      <c r="E10" s="33">
        <v>250</v>
      </c>
      <c r="F10" s="30">
        <v>2498.4</v>
      </c>
      <c r="G10" s="30">
        <v>4.4000000000000004</v>
      </c>
      <c r="H10" s="30">
        <v>6.99</v>
      </c>
      <c r="J10" s="24"/>
      <c r="K10" s="24"/>
      <c r="L10" s="24"/>
      <c r="N10" s="34"/>
      <c r="O10" s="37"/>
      <c r="P10" s="37"/>
      <c r="Q10" s="37"/>
    </row>
    <row r="11" spans="2:17">
      <c r="B11" s="28" t="s">
        <v>32</v>
      </c>
      <c r="C11" s="28" t="s">
        <v>33</v>
      </c>
      <c r="D11" s="28" t="s">
        <v>22</v>
      </c>
      <c r="E11" s="33">
        <v>250</v>
      </c>
      <c r="F11" s="30">
        <v>2495.25</v>
      </c>
      <c r="G11" s="30">
        <v>4.3899999999999997</v>
      </c>
      <c r="H11" s="30">
        <v>7.18</v>
      </c>
      <c r="J11" s="24"/>
      <c r="K11" s="24"/>
      <c r="L11" s="24"/>
      <c r="N11" s="34" t="s">
        <v>34</v>
      </c>
      <c r="O11" s="35"/>
      <c r="P11" s="35"/>
      <c r="Q11" s="35"/>
    </row>
    <row r="12" spans="2:17">
      <c r="B12" s="28" t="s">
        <v>35</v>
      </c>
      <c r="C12" s="28" t="s">
        <v>36</v>
      </c>
      <c r="D12" s="28" t="s">
        <v>37</v>
      </c>
      <c r="E12" s="33">
        <v>250</v>
      </c>
      <c r="F12" s="30">
        <v>2492.6</v>
      </c>
      <c r="G12" s="30">
        <v>4.3899999999999997</v>
      </c>
      <c r="H12" s="30">
        <v>7.24</v>
      </c>
      <c r="J12" s="24"/>
      <c r="K12" s="24"/>
      <c r="L12" s="24"/>
      <c r="N12" s="34"/>
      <c r="O12" s="37"/>
      <c r="P12" s="37"/>
      <c r="Q12" s="37"/>
    </row>
    <row r="13" spans="2:17">
      <c r="B13" s="28" t="s">
        <v>38</v>
      </c>
      <c r="C13" s="28" t="s">
        <v>39</v>
      </c>
      <c r="D13" s="28" t="s">
        <v>40</v>
      </c>
      <c r="E13" s="33">
        <v>250</v>
      </c>
      <c r="F13" s="30">
        <v>2485.15</v>
      </c>
      <c r="G13" s="30">
        <v>4.37</v>
      </c>
      <c r="H13" s="30">
        <v>7.12</v>
      </c>
      <c r="J13" s="39"/>
      <c r="K13" s="39" t="s">
        <v>41</v>
      </c>
      <c r="L13" s="39"/>
    </row>
    <row r="14" spans="2:17">
      <c r="B14" s="28" t="s">
        <v>42</v>
      </c>
      <c r="C14" s="28" t="s">
        <v>43</v>
      </c>
      <c r="D14" s="28" t="s">
        <v>22</v>
      </c>
      <c r="E14" s="33">
        <v>100</v>
      </c>
      <c r="F14" s="30">
        <v>999.31</v>
      </c>
      <c r="G14" s="30">
        <v>1.76</v>
      </c>
      <c r="H14" s="30">
        <v>6.95</v>
      </c>
    </row>
    <row r="15" spans="2:17">
      <c r="B15" s="28" t="s">
        <v>44</v>
      </c>
      <c r="C15" s="28" t="s">
        <v>45</v>
      </c>
      <c r="D15" s="28" t="s">
        <v>22</v>
      </c>
      <c r="E15" s="33">
        <v>100</v>
      </c>
      <c r="F15" s="30">
        <v>998.99</v>
      </c>
      <c r="G15" s="30">
        <v>1.76</v>
      </c>
      <c r="H15" s="30">
        <v>7.37</v>
      </c>
    </row>
    <row r="16" spans="2:17">
      <c r="B16" s="28" t="s">
        <v>46</v>
      </c>
      <c r="C16" s="28" t="s">
        <v>47</v>
      </c>
      <c r="D16" s="28" t="s">
        <v>22</v>
      </c>
      <c r="E16" s="33">
        <v>100</v>
      </c>
      <c r="F16" s="30">
        <v>998.59</v>
      </c>
      <c r="G16" s="30">
        <v>1.76</v>
      </c>
      <c r="H16" s="30">
        <v>7.3</v>
      </c>
    </row>
    <row r="17" spans="2:9">
      <c r="B17" s="40" t="s">
        <v>48</v>
      </c>
      <c r="C17" s="40"/>
      <c r="D17" s="40"/>
      <c r="E17" s="41"/>
      <c r="F17" s="42">
        <f>SUM(F6:F16)</f>
        <v>21957.420000000006</v>
      </c>
      <c r="G17" s="42">
        <f>SUM(G6:G16)</f>
        <v>38.649999999999991</v>
      </c>
      <c r="H17" s="43"/>
      <c r="I17" s="44"/>
    </row>
    <row r="18" spans="2:9">
      <c r="B18" s="45" t="s">
        <v>49</v>
      </c>
      <c r="C18" s="45"/>
      <c r="D18" s="45"/>
      <c r="E18" s="46"/>
      <c r="F18" s="47">
        <f>F17</f>
        <v>21957.420000000006</v>
      </c>
      <c r="G18" s="47">
        <f>G17</f>
        <v>38.649999999999991</v>
      </c>
      <c r="H18" s="47"/>
      <c r="I18" s="44"/>
    </row>
    <row r="19" spans="2:9">
      <c r="B19" s="27" t="s">
        <v>50</v>
      </c>
      <c r="C19" s="28"/>
      <c r="D19" s="28"/>
      <c r="E19" s="29"/>
      <c r="F19" s="30"/>
      <c r="G19" s="30"/>
      <c r="H19" s="30"/>
    </row>
    <row r="20" spans="2:9">
      <c r="B20" s="27" t="s">
        <v>51</v>
      </c>
      <c r="C20" s="28"/>
      <c r="D20" s="28"/>
      <c r="E20" s="29"/>
      <c r="F20" s="30"/>
      <c r="G20" s="30"/>
      <c r="H20" s="30"/>
    </row>
    <row r="21" spans="2:9">
      <c r="B21" s="28" t="s">
        <v>52</v>
      </c>
      <c r="C21" s="28" t="s">
        <v>53</v>
      </c>
      <c r="D21" s="28" t="s">
        <v>54</v>
      </c>
      <c r="E21" s="33">
        <v>500</v>
      </c>
      <c r="F21" s="30">
        <v>2461.9299999999998</v>
      </c>
      <c r="G21" s="30">
        <v>4.33</v>
      </c>
      <c r="H21" s="30">
        <v>6.8</v>
      </c>
    </row>
    <row r="22" spans="2:9">
      <c r="B22" s="28" t="s">
        <v>55</v>
      </c>
      <c r="C22" s="28" t="s">
        <v>56</v>
      </c>
      <c r="D22" s="28" t="s">
        <v>57</v>
      </c>
      <c r="E22" s="33">
        <v>500</v>
      </c>
      <c r="F22" s="30">
        <v>2403.56</v>
      </c>
      <c r="G22" s="30">
        <v>4.2300000000000004</v>
      </c>
      <c r="H22" s="30">
        <v>7.25</v>
      </c>
    </row>
    <row r="23" spans="2:9">
      <c r="B23" s="28" t="s">
        <v>58</v>
      </c>
      <c r="C23" s="28" t="s">
        <v>59</v>
      </c>
      <c r="D23" s="28" t="s">
        <v>54</v>
      </c>
      <c r="E23" s="33">
        <v>500</v>
      </c>
      <c r="F23" s="30">
        <v>2376.1799999999998</v>
      </c>
      <c r="G23" s="30">
        <v>4.18</v>
      </c>
      <c r="H23" s="30">
        <v>7.43</v>
      </c>
    </row>
    <row r="24" spans="2:9">
      <c r="B24" s="28" t="s">
        <v>60</v>
      </c>
      <c r="C24" s="28" t="s">
        <v>61</v>
      </c>
      <c r="D24" s="28" t="s">
        <v>57</v>
      </c>
      <c r="E24" s="33">
        <v>500</v>
      </c>
      <c r="F24" s="30">
        <v>2375.44</v>
      </c>
      <c r="G24" s="30">
        <v>4.18</v>
      </c>
      <c r="H24" s="30">
        <v>7.39</v>
      </c>
    </row>
    <row r="25" spans="2:9">
      <c r="B25" s="28" t="s">
        <v>62</v>
      </c>
      <c r="C25" s="28" t="s">
        <v>63</v>
      </c>
      <c r="D25" s="28" t="s">
        <v>64</v>
      </c>
      <c r="E25" s="33">
        <v>500</v>
      </c>
      <c r="F25" s="30">
        <v>2365.0100000000002</v>
      </c>
      <c r="G25" s="30">
        <v>4.16</v>
      </c>
      <c r="H25" s="30">
        <v>7.31</v>
      </c>
    </row>
    <row r="26" spans="2:9">
      <c r="B26" s="28" t="s">
        <v>65</v>
      </c>
      <c r="C26" s="28" t="s">
        <v>66</v>
      </c>
      <c r="D26" s="28" t="s">
        <v>67</v>
      </c>
      <c r="E26" s="33">
        <v>500</v>
      </c>
      <c r="F26" s="30">
        <v>2331.4</v>
      </c>
      <c r="G26" s="30">
        <v>4.0999999999999996</v>
      </c>
      <c r="H26" s="30">
        <v>7.52</v>
      </c>
    </row>
    <row r="27" spans="2:9">
      <c r="B27" s="28" t="s">
        <v>68</v>
      </c>
      <c r="C27" s="28" t="s">
        <v>69</v>
      </c>
      <c r="D27" s="28" t="s">
        <v>64</v>
      </c>
      <c r="E27" s="33">
        <v>500</v>
      </c>
      <c r="F27" s="30">
        <v>2331.37</v>
      </c>
      <c r="G27" s="30">
        <v>4.0999999999999996</v>
      </c>
      <c r="H27" s="30">
        <v>7.57</v>
      </c>
    </row>
    <row r="28" spans="2:9">
      <c r="B28" s="28" t="s">
        <v>70</v>
      </c>
      <c r="C28" s="28" t="s">
        <v>71</v>
      </c>
      <c r="D28" s="28" t="s">
        <v>57</v>
      </c>
      <c r="E28" s="33">
        <v>500</v>
      </c>
      <c r="F28" s="30">
        <v>2326.6</v>
      </c>
      <c r="G28" s="30">
        <v>4.09</v>
      </c>
      <c r="H28" s="30">
        <v>7.62</v>
      </c>
    </row>
    <row r="29" spans="2:9">
      <c r="B29" s="28" t="s">
        <v>72</v>
      </c>
      <c r="C29" s="28" t="s">
        <v>73</v>
      </c>
      <c r="D29" s="28" t="s">
        <v>67</v>
      </c>
      <c r="E29" s="33">
        <v>200</v>
      </c>
      <c r="F29" s="30">
        <v>945.63</v>
      </c>
      <c r="G29" s="30">
        <v>1.66</v>
      </c>
      <c r="H29" s="30">
        <v>7.39</v>
      </c>
    </row>
    <row r="30" spans="2:9">
      <c r="B30" s="27" t="s">
        <v>48</v>
      </c>
      <c r="C30" s="27"/>
      <c r="D30" s="27"/>
      <c r="E30" s="48"/>
      <c r="F30" s="49">
        <f>SUM(F20:F29)</f>
        <v>19917.12</v>
      </c>
      <c r="G30" s="49">
        <f>SUM(G20:G29)</f>
        <v>35.03</v>
      </c>
      <c r="H30" s="50"/>
      <c r="I30" s="44"/>
    </row>
    <row r="31" spans="2:9">
      <c r="B31" s="27" t="s">
        <v>74</v>
      </c>
      <c r="C31" s="28"/>
      <c r="D31" s="28"/>
      <c r="E31" s="29"/>
      <c r="F31" s="30"/>
      <c r="G31" s="30"/>
      <c r="H31" s="30"/>
    </row>
    <row r="32" spans="2:9">
      <c r="B32" s="28" t="s">
        <v>75</v>
      </c>
      <c r="C32" s="28" t="s">
        <v>76</v>
      </c>
      <c r="D32" s="28" t="s">
        <v>57</v>
      </c>
      <c r="E32" s="33">
        <v>500</v>
      </c>
      <c r="F32" s="30">
        <v>2487.2399999999998</v>
      </c>
      <c r="G32" s="30">
        <v>4.38</v>
      </c>
      <c r="H32" s="30">
        <v>6.46</v>
      </c>
    </row>
    <row r="33" spans="2:9">
      <c r="B33" s="28" t="s">
        <v>77</v>
      </c>
      <c r="C33" s="28" t="s">
        <v>78</v>
      </c>
      <c r="D33" s="28" t="s">
        <v>67</v>
      </c>
      <c r="E33" s="33">
        <v>500</v>
      </c>
      <c r="F33" s="30">
        <v>2365.21</v>
      </c>
      <c r="G33" s="30">
        <v>4.16</v>
      </c>
      <c r="H33" s="30">
        <v>7.65</v>
      </c>
    </row>
    <row r="34" spans="2:9">
      <c r="B34" s="27" t="s">
        <v>48</v>
      </c>
      <c r="C34" s="27"/>
      <c r="D34" s="27"/>
      <c r="E34" s="48"/>
      <c r="F34" s="49">
        <f>SUM(F31:F33)</f>
        <v>4852.45</v>
      </c>
      <c r="G34" s="49">
        <f>SUM(G31:G33)</f>
        <v>8.5399999999999991</v>
      </c>
      <c r="H34" s="50"/>
      <c r="I34" s="44"/>
    </row>
    <row r="35" spans="2:9">
      <c r="B35" s="27" t="s">
        <v>79</v>
      </c>
      <c r="C35" s="28"/>
      <c r="D35" s="28"/>
      <c r="E35" s="29"/>
      <c r="F35" s="30"/>
      <c r="G35" s="30"/>
      <c r="H35" s="30"/>
    </row>
    <row r="36" spans="2:9">
      <c r="B36" s="28" t="s">
        <v>80</v>
      </c>
      <c r="C36" s="28" t="s">
        <v>81</v>
      </c>
      <c r="D36" s="28" t="s">
        <v>82</v>
      </c>
      <c r="E36" s="33">
        <v>5000000</v>
      </c>
      <c r="F36" s="30">
        <v>4958.8100000000004</v>
      </c>
      <c r="G36" s="30">
        <v>8.73</v>
      </c>
      <c r="H36" s="30">
        <v>6.19</v>
      </c>
    </row>
    <row r="37" spans="2:9">
      <c r="B37" s="40" t="s">
        <v>48</v>
      </c>
      <c r="C37" s="40"/>
      <c r="D37" s="40"/>
      <c r="E37" s="41"/>
      <c r="F37" s="42">
        <f>SUM(F35:F36)</f>
        <v>4958.8100000000004</v>
      </c>
      <c r="G37" s="42">
        <f>SUM(G35:G36)</f>
        <v>8.73</v>
      </c>
      <c r="H37" s="43"/>
      <c r="I37" s="44"/>
    </row>
    <row r="38" spans="2:9">
      <c r="B38" s="45" t="s">
        <v>49</v>
      </c>
      <c r="C38" s="45"/>
      <c r="D38" s="45"/>
      <c r="E38" s="46"/>
      <c r="F38" s="47">
        <f>F30+F34+F37</f>
        <v>29728.38</v>
      </c>
      <c r="G38" s="47">
        <f>G30+G34+G37</f>
        <v>52.3</v>
      </c>
      <c r="H38" s="47"/>
      <c r="I38" s="44"/>
    </row>
    <row r="39" spans="2:9">
      <c r="B39" s="27" t="s">
        <v>83</v>
      </c>
      <c r="C39" s="28"/>
      <c r="D39" s="28"/>
      <c r="E39" s="29"/>
      <c r="F39" s="30"/>
      <c r="G39" s="30"/>
      <c r="H39" s="30"/>
    </row>
    <row r="40" spans="2:9">
      <c r="B40" s="51" t="s">
        <v>84</v>
      </c>
      <c r="C40" s="51" t="s">
        <v>85</v>
      </c>
      <c r="D40" s="51" t="s">
        <v>86</v>
      </c>
      <c r="E40" s="52">
        <v>2000000</v>
      </c>
      <c r="F40" s="53">
        <v>2008.82</v>
      </c>
      <c r="G40" s="53">
        <v>3.53</v>
      </c>
      <c r="H40" s="53">
        <v>6.79</v>
      </c>
    </row>
    <row r="41" spans="2:9">
      <c r="B41" s="54" t="s">
        <v>49</v>
      </c>
      <c r="C41" s="54"/>
      <c r="D41" s="54"/>
      <c r="E41" s="55"/>
      <c r="F41" s="49">
        <f>SUM(F40:F40)</f>
        <v>2008.82</v>
      </c>
      <c r="G41" s="49">
        <f>SUM(G40:G40)</f>
        <v>3.53</v>
      </c>
      <c r="H41" s="49"/>
      <c r="I41" s="44"/>
    </row>
    <row r="42" spans="2:9">
      <c r="B42" s="27" t="s">
        <v>87</v>
      </c>
      <c r="C42" s="28"/>
      <c r="D42" s="28"/>
      <c r="E42" s="29"/>
      <c r="F42" s="30"/>
      <c r="G42" s="30"/>
      <c r="H42" s="30"/>
    </row>
    <row r="43" spans="2:9">
      <c r="B43" s="28" t="s">
        <v>87</v>
      </c>
      <c r="C43" s="28"/>
      <c r="D43" s="28"/>
      <c r="E43" s="29"/>
      <c r="F43" s="30">
        <v>2223.23</v>
      </c>
      <c r="G43" s="30">
        <v>3.91</v>
      </c>
      <c r="H43" s="30"/>
    </row>
    <row r="44" spans="2:9">
      <c r="B44" s="40" t="s">
        <v>48</v>
      </c>
      <c r="C44" s="40"/>
      <c r="D44" s="40"/>
      <c r="E44" s="41"/>
      <c r="F44" s="42">
        <f>SUM(F42:F43)</f>
        <v>2223.23</v>
      </c>
      <c r="G44" s="42">
        <f>SUM(G42:G43)</f>
        <v>3.91</v>
      </c>
      <c r="H44" s="43"/>
      <c r="I44" s="44"/>
    </row>
    <row r="45" spans="2:9">
      <c r="B45" s="56" t="s">
        <v>49</v>
      </c>
      <c r="C45" s="56"/>
      <c r="D45" s="56"/>
      <c r="E45" s="57"/>
      <c r="F45" s="58">
        <f>F44</f>
        <v>2223.23</v>
      </c>
      <c r="G45" s="58">
        <f>G44</f>
        <v>3.91</v>
      </c>
      <c r="H45" s="58"/>
      <c r="I45" s="44"/>
    </row>
    <row r="46" spans="2:9">
      <c r="B46" s="59" t="s">
        <v>88</v>
      </c>
      <c r="C46" s="59"/>
      <c r="D46" s="59"/>
      <c r="E46" s="60"/>
      <c r="F46" s="61">
        <f>F47-(+F18+F38+F41+F45)</f>
        <v>913.14999999999418</v>
      </c>
      <c r="G46" s="61">
        <f>G47-(+G18+G38+G41+G45)</f>
        <v>1.6100000000000136</v>
      </c>
      <c r="H46" s="61"/>
      <c r="I46" s="44"/>
    </row>
    <row r="47" spans="2:9">
      <c r="B47" s="59" t="s">
        <v>89</v>
      </c>
      <c r="C47" s="59"/>
      <c r="D47" s="59"/>
      <c r="E47" s="60"/>
      <c r="F47" s="61">
        <v>56831</v>
      </c>
      <c r="G47" s="61">
        <v>100</v>
      </c>
      <c r="H47" s="61"/>
      <c r="I47" s="44"/>
    </row>
    <row r="49" spans="2:2">
      <c r="B49" s="44" t="s">
        <v>90</v>
      </c>
    </row>
    <row r="50" spans="2:2">
      <c r="B50" s="44" t="s">
        <v>91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13:35:30</KDate>
  <Classification>Public</Classification>
  <Subclassification/>
  <HostName>MUMCMP00935</HostName>
  <Domain_User>CANARAROBECOMF/628</Domain_User>
  <IPAdd>192.9.198.194</IPAdd>
  <FilePath>Book18</FilePath>
  <KID>C025A5607E97638059305304805808</KID>
  <UniqueName/>
  <Suggested/>
  <Justification/>
</Klassify>
</file>

<file path=customXml/itemProps1.xml><?xml version="1.0" encoding="utf-8"?>
<ds:datastoreItem xmlns:ds="http://schemas.openxmlformats.org/officeDocument/2006/customXml" ds:itemID="{96859AA9-3F9A-41C2-AB7F-C9FB2F9760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2022-12-06T08:05:26Z</dcterms:created>
  <dcterms:modified xsi:type="dcterms:W3CDTF">2022-12-06T08:05:30Z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C025A5607E97638059305304805808</vt:lpwstr>
  </property>
</Properties>
</file>