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1" l="1"/>
  <c r="G41" i="1"/>
  <c r="G42" i="1" s="1"/>
  <c r="F41" i="1"/>
  <c r="F38" i="1"/>
  <c r="F43" i="1" s="1"/>
  <c r="G37" i="1"/>
  <c r="G38" i="1" s="1"/>
  <c r="G43" i="1" s="1"/>
  <c r="F37" i="1"/>
</calcChain>
</file>

<file path=xl/sharedStrings.xml><?xml version="1.0" encoding="utf-8"?>
<sst xmlns="http://schemas.openxmlformats.org/spreadsheetml/2006/main" count="112" uniqueCount="100">
  <si>
    <t>CANARA ROBECO FOCUSED EQUITY FUND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</si>
  <si>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</si>
  <si>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</si>
  <si>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</si>
  <si>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</si>
  <si>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</si>
  <si>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</si>
  <si>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</si>
  <si>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Mar'22</t>
  </si>
  <si>
    <t>Benchmark Risk-o-meter Level- Mar'22</t>
  </si>
  <si>
    <t>Previous Scheme Risk-o-meter Level- Feb'22</t>
  </si>
  <si>
    <t>Equity &amp; Equity related</t>
  </si>
  <si>
    <t>(a) Listed / awaiting listing on Stock Exchanges</t>
  </si>
  <si>
    <t>HDFC Bank Ltd</t>
  </si>
  <si>
    <t>INE040A01034</t>
  </si>
  <si>
    <t>Banks</t>
  </si>
  <si>
    <t>Infosys Ltd</t>
  </si>
  <si>
    <t>INE009A01021</t>
  </si>
  <si>
    <t>Software</t>
  </si>
  <si>
    <t>ICICI Bank Ltd</t>
  </si>
  <si>
    <t>INE090A01021</t>
  </si>
  <si>
    <t>Bajaj Finance Ltd</t>
  </si>
  <si>
    <t>INE296A01024</t>
  </si>
  <si>
    <t>Finance</t>
  </si>
  <si>
    <t>Tata Consultancy Services Ltd</t>
  </si>
  <si>
    <t>INE467B01029</t>
  </si>
  <si>
    <t>Larsen &amp; Toubro Ltd</t>
  </si>
  <si>
    <t>INE018A01030</t>
  </si>
  <si>
    <t>Construction Project</t>
  </si>
  <si>
    <t>Bharti Airtel Ltd</t>
  </si>
  <si>
    <t>INE397D01024</t>
  </si>
  <si>
    <t>Telecom - Services</t>
  </si>
  <si>
    <t>Benchmark: S&amp;P BSE 500 TRI</t>
  </si>
  <si>
    <t>Ultratech Cement Ltd</t>
  </si>
  <si>
    <t>INE481G01011</t>
  </si>
  <si>
    <t>Cement &amp; Cement Products</t>
  </si>
  <si>
    <t>Maruti Suzuki India Ltd</t>
  </si>
  <si>
    <t>INE585B01010</t>
  </si>
  <si>
    <t>Auto</t>
  </si>
  <si>
    <t>Avenue Supermarts Ltd</t>
  </si>
  <si>
    <t>INE192R01011</t>
  </si>
  <si>
    <t>Retailing</t>
  </si>
  <si>
    <t>SBI Life Insurance Co Ltd</t>
  </si>
  <si>
    <t>INE123W01016</t>
  </si>
  <si>
    <t>Insurance</t>
  </si>
  <si>
    <t>State Bank of India</t>
  </si>
  <si>
    <t>INE062A01020</t>
  </si>
  <si>
    <t>Axis Bank Ltd</t>
  </si>
  <si>
    <t>INE238A01034</t>
  </si>
  <si>
    <t>Indian Hotels Co Ltd</t>
  </si>
  <si>
    <t>INE053A01029</t>
  </si>
  <si>
    <t>Leisure Services</t>
  </si>
  <si>
    <t>ZF Commercial Vehicle Control Systems India Ltd</t>
  </si>
  <si>
    <t>INE342J01019</t>
  </si>
  <si>
    <t>Auto Ancillaries</t>
  </si>
  <si>
    <t>Navin Fluorine International Ltd</t>
  </si>
  <si>
    <t>INE048G01026</t>
  </si>
  <si>
    <t>Chemicals</t>
  </si>
  <si>
    <t>Tata Consumer Products Ltd</t>
  </si>
  <si>
    <t>INE192A01025</t>
  </si>
  <si>
    <t>Consumer Non Durables</t>
  </si>
  <si>
    <t>Max Healthcare Institute Ltd</t>
  </si>
  <si>
    <t>INE027H01010</t>
  </si>
  <si>
    <t>Healthcare Services</t>
  </si>
  <si>
    <t>Gland Pharma Ltd</t>
  </si>
  <si>
    <t>INE068V01023</t>
  </si>
  <si>
    <t>Pharmaceuticals</t>
  </si>
  <si>
    <t>PI Industries Ltd</t>
  </si>
  <si>
    <t>INE603J01030</t>
  </si>
  <si>
    <t>Pesticides</t>
  </si>
  <si>
    <t>Minda Industries Ltd</t>
  </si>
  <si>
    <t>INE405E01023</t>
  </si>
  <si>
    <t>Trent Ltd</t>
  </si>
  <si>
    <t>INE849A01020</t>
  </si>
  <si>
    <t>Abbott India Ltd</t>
  </si>
  <si>
    <t>INE358A01014</t>
  </si>
  <si>
    <t>Polycab India Ltd</t>
  </si>
  <si>
    <t>INE455K01017</t>
  </si>
  <si>
    <t>Industrial Products</t>
  </si>
  <si>
    <t>Gujarat Gas Ltd</t>
  </si>
  <si>
    <t>INE844O01030</t>
  </si>
  <si>
    <t>Gas</t>
  </si>
  <si>
    <t>Divi's Laboratories Ltd</t>
  </si>
  <si>
    <t>INE361B01024</t>
  </si>
  <si>
    <t>Honeywell Automation India Ltd</t>
  </si>
  <si>
    <t>INE671A01010</t>
  </si>
  <si>
    <t>Industrial Capital Goods</t>
  </si>
  <si>
    <t>Titan Co Ltd</t>
  </si>
  <si>
    <t>INE280A01028</t>
  </si>
  <si>
    <t>Consumer Durables</t>
  </si>
  <si>
    <t>Tata Motors Ltd</t>
  </si>
  <si>
    <t>INE155A01022</t>
  </si>
  <si>
    <t>TCI Express Ltd</t>
  </si>
  <si>
    <t>INE586V01016</t>
  </si>
  <si>
    <t>Transportation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</si>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</sst>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74195</xdr:colOff>
      <xdr:row>4</xdr:row>
      <xdr:rowOff>47972</xdr:rowOff>
    </xdr:from>
    <xdr:ext cx="1621255" cy="112360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5870" y="1057622"/>
          <a:ext cx="1621255" cy="1123603"/>
        </a:xfrm>
        <a:prstGeom prst="rect">
          <a:avLst/>
        </a:prstGeom>
      </xdr:spPr>
    </xdr:pic>
    <xdr:clientData/>
  </xdr:oneCellAnchor>
  <xdr:twoCellAnchor editAs="oneCell">
    <xdr:from>
      <xdr:col>10</xdr:col>
      <xdr:colOff>96629</xdr:colOff>
      <xdr:row>4</xdr:row>
      <xdr:rowOff>51949</xdr:rowOff>
    </xdr:from>
    <xdr:to>
      <xdr:col>10</xdr:col>
      <xdr:colOff>1685925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74279" y="1061599"/>
          <a:ext cx="1589296" cy="1119626"/>
        </a:xfrm>
        <a:prstGeom prst="rect">
          <a:avLst/>
        </a:prstGeom>
      </xdr:spPr>
    </xdr:pic>
    <xdr:clientData/>
  </xdr:twoCellAnchor>
  <xdr:twoCellAnchor editAs="oneCell">
    <xdr:from>
      <xdr:col>9</xdr:col>
      <xdr:colOff>84551</xdr:colOff>
      <xdr:row>4</xdr:row>
      <xdr:rowOff>59155</xdr:rowOff>
    </xdr:from>
    <xdr:to>
      <xdr:col>9</xdr:col>
      <xdr:colOff>1704974</xdr:colOff>
      <xdr:row>11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076" y="1068805"/>
          <a:ext cx="1620423" cy="1102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6"/>
  <sheetViews>
    <sheetView tabSelected="1" workbookViewId="0">
      <selection activeCell="K20" sqref="K20"/>
    </sheetView>
  </sheetViews>
  <sheetFormatPr defaultRowHeight="12"/>
  <cols>
    <col min="1" max="1" width="9.140625" style="4"/>
    <col min="2" max="2" width="56.28515625" style="4" bestFit="1" customWidth="1"/>
    <col min="3" max="3" width="13.5703125" style="4" bestFit="1" customWidth="1"/>
    <col min="4" max="4" width="23.42578125" style="4" bestFit="1" customWidth="1"/>
    <col min="5" max="5" width="8.85546875" style="45" bestFit="1" customWidth="1"/>
    <col min="6" max="6" width="15.28515625" style="46" bestFit="1" customWidth="1"/>
    <col min="7" max="7" width="7.42578125" style="46" bestFit="1" customWidth="1"/>
    <col min="8" max="8" width="10" style="3" bestFit="1" customWidth="1"/>
    <col min="9" max="9" width="4.7109375" style="3" bestFit="1" customWidth="1"/>
    <col min="10" max="10" width="26.42578125" style="3" customWidth="1"/>
    <col min="11" max="11" width="25.85546875" style="3" customWidth="1"/>
    <col min="12" max="12" width="25.85546875" style="4" customWidth="1"/>
    <col min="13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0"/>
    </row>
    <row r="6" spans="2:12">
      <c r="B6" s="21" t="s">
        <v>12</v>
      </c>
      <c r="C6" s="22"/>
      <c r="D6" s="22"/>
      <c r="E6" s="23"/>
      <c r="F6" s="24"/>
      <c r="G6" s="24"/>
      <c r="J6" s="20"/>
      <c r="K6" s="20"/>
      <c r="L6" s="20"/>
    </row>
    <row r="7" spans="2:12">
      <c r="B7" s="25" t="s">
        <v>13</v>
      </c>
      <c r="C7" s="22" t="s">
        <v>14</v>
      </c>
      <c r="D7" s="22" t="s">
        <v>15</v>
      </c>
      <c r="E7" s="26">
        <v>917500</v>
      </c>
      <c r="F7" s="24">
        <v>13490.46</v>
      </c>
      <c r="G7" s="24">
        <v>9.1300000000000008</v>
      </c>
      <c r="J7" s="20"/>
      <c r="K7" s="20"/>
      <c r="L7" s="20"/>
    </row>
    <row r="8" spans="2:12">
      <c r="B8" s="25" t="s">
        <v>16</v>
      </c>
      <c r="C8" s="22" t="s">
        <v>17</v>
      </c>
      <c r="D8" s="22" t="s">
        <v>18</v>
      </c>
      <c r="E8" s="26">
        <v>682000</v>
      </c>
      <c r="F8" s="24">
        <v>13004.72</v>
      </c>
      <c r="G8" s="24">
        <v>8.8000000000000007</v>
      </c>
      <c r="J8" s="20"/>
      <c r="K8" s="20"/>
      <c r="L8" s="20"/>
    </row>
    <row r="9" spans="2:12">
      <c r="B9" s="25" t="s">
        <v>19</v>
      </c>
      <c r="C9" s="22" t="s">
        <v>20</v>
      </c>
      <c r="D9" s="22" t="s">
        <v>15</v>
      </c>
      <c r="E9" s="26">
        <v>1705000</v>
      </c>
      <c r="F9" s="24">
        <v>12451.62</v>
      </c>
      <c r="G9" s="24">
        <v>8.43</v>
      </c>
      <c r="J9" s="20"/>
      <c r="K9" s="20"/>
      <c r="L9" s="20"/>
    </row>
    <row r="10" spans="2:12">
      <c r="B10" s="25" t="s">
        <v>21</v>
      </c>
      <c r="C10" s="22" t="s">
        <v>22</v>
      </c>
      <c r="D10" s="22" t="s">
        <v>23</v>
      </c>
      <c r="E10" s="26">
        <v>126500</v>
      </c>
      <c r="F10" s="24">
        <v>9183.84</v>
      </c>
      <c r="G10" s="24">
        <v>6.22</v>
      </c>
      <c r="J10" s="20"/>
      <c r="K10" s="20"/>
      <c r="L10" s="20"/>
    </row>
    <row r="11" spans="2:12">
      <c r="B11" s="25" t="s">
        <v>24</v>
      </c>
      <c r="C11" s="22" t="s">
        <v>25</v>
      </c>
      <c r="D11" s="22" t="s">
        <v>18</v>
      </c>
      <c r="E11" s="26">
        <v>190444</v>
      </c>
      <c r="F11" s="24">
        <v>7122.51</v>
      </c>
      <c r="G11" s="24">
        <v>4.82</v>
      </c>
      <c r="J11" s="20"/>
      <c r="K11" s="20"/>
      <c r="L11" s="20"/>
    </row>
    <row r="12" spans="2:12">
      <c r="B12" s="25" t="s">
        <v>26</v>
      </c>
      <c r="C12" s="22" t="s">
        <v>27</v>
      </c>
      <c r="D12" s="22" t="s">
        <v>28</v>
      </c>
      <c r="E12" s="26">
        <v>360000</v>
      </c>
      <c r="F12" s="24">
        <v>6363.54</v>
      </c>
      <c r="G12" s="24">
        <v>4.3099999999999996</v>
      </c>
      <c r="J12" s="20"/>
      <c r="K12" s="20"/>
      <c r="L12" s="20"/>
    </row>
    <row r="13" spans="2:12">
      <c r="B13" s="25" t="s">
        <v>29</v>
      </c>
      <c r="C13" s="22" t="s">
        <v>30</v>
      </c>
      <c r="D13" s="22" t="s">
        <v>31</v>
      </c>
      <c r="E13" s="26">
        <v>710000</v>
      </c>
      <c r="F13" s="24">
        <v>5360.15</v>
      </c>
      <c r="G13" s="24">
        <v>3.63</v>
      </c>
      <c r="K13" s="3" t="s">
        <v>32</v>
      </c>
    </row>
    <row r="14" spans="2:12">
      <c r="B14" s="25" t="s">
        <v>33</v>
      </c>
      <c r="C14" s="22" t="s">
        <v>34</v>
      </c>
      <c r="D14" s="22" t="s">
        <v>35</v>
      </c>
      <c r="E14" s="26">
        <v>76000</v>
      </c>
      <c r="F14" s="24">
        <v>5017.75</v>
      </c>
      <c r="G14" s="24">
        <v>3.4</v>
      </c>
    </row>
    <row r="15" spans="2:12">
      <c r="B15" s="25" t="s">
        <v>36</v>
      </c>
      <c r="C15" s="22" t="s">
        <v>37</v>
      </c>
      <c r="D15" s="22" t="s">
        <v>38</v>
      </c>
      <c r="E15" s="26">
        <v>66000</v>
      </c>
      <c r="F15" s="24">
        <v>4990.46</v>
      </c>
      <c r="G15" s="24">
        <v>3.38</v>
      </c>
    </row>
    <row r="16" spans="2:12">
      <c r="B16" s="25" t="s">
        <v>39</v>
      </c>
      <c r="C16" s="22" t="s">
        <v>40</v>
      </c>
      <c r="D16" s="22" t="s">
        <v>41</v>
      </c>
      <c r="E16" s="26">
        <v>109500</v>
      </c>
      <c r="F16" s="24">
        <v>4383.67</v>
      </c>
      <c r="G16" s="24">
        <v>2.97</v>
      </c>
    </row>
    <row r="17" spans="2:7">
      <c r="B17" s="25" t="s">
        <v>42</v>
      </c>
      <c r="C17" s="22" t="s">
        <v>43</v>
      </c>
      <c r="D17" s="22" t="s">
        <v>44</v>
      </c>
      <c r="E17" s="26">
        <v>385000</v>
      </c>
      <c r="F17" s="24">
        <v>4317.58</v>
      </c>
      <c r="G17" s="24">
        <v>2.92</v>
      </c>
    </row>
    <row r="18" spans="2:7">
      <c r="B18" s="25" t="s">
        <v>45</v>
      </c>
      <c r="C18" s="22" t="s">
        <v>46</v>
      </c>
      <c r="D18" s="22" t="s">
        <v>15</v>
      </c>
      <c r="E18" s="26">
        <v>845000</v>
      </c>
      <c r="F18" s="24">
        <v>4170.5</v>
      </c>
      <c r="G18" s="24">
        <v>2.82</v>
      </c>
    </row>
    <row r="19" spans="2:7">
      <c r="B19" s="25" t="s">
        <v>47</v>
      </c>
      <c r="C19" s="22" t="s">
        <v>48</v>
      </c>
      <c r="D19" s="22" t="s">
        <v>15</v>
      </c>
      <c r="E19" s="26">
        <v>475000</v>
      </c>
      <c r="F19" s="24">
        <v>3615.46</v>
      </c>
      <c r="G19" s="24">
        <v>2.4500000000000002</v>
      </c>
    </row>
    <row r="20" spans="2:7">
      <c r="B20" s="25" t="s">
        <v>49</v>
      </c>
      <c r="C20" s="22" t="s">
        <v>50</v>
      </c>
      <c r="D20" s="22" t="s">
        <v>51</v>
      </c>
      <c r="E20" s="26">
        <v>1500000</v>
      </c>
      <c r="F20" s="24">
        <v>3577.5</v>
      </c>
      <c r="G20" s="24">
        <v>2.42</v>
      </c>
    </row>
    <row r="21" spans="2:7">
      <c r="B21" s="25" t="s">
        <v>52</v>
      </c>
      <c r="C21" s="22" t="s">
        <v>53</v>
      </c>
      <c r="D21" s="22" t="s">
        <v>54</v>
      </c>
      <c r="E21" s="26">
        <v>42566</v>
      </c>
      <c r="F21" s="24">
        <v>3248.51</v>
      </c>
      <c r="G21" s="24">
        <v>2.2000000000000002</v>
      </c>
    </row>
    <row r="22" spans="2:7">
      <c r="B22" s="25" t="s">
        <v>55</v>
      </c>
      <c r="C22" s="22" t="s">
        <v>56</v>
      </c>
      <c r="D22" s="22" t="s">
        <v>57</v>
      </c>
      <c r="E22" s="26">
        <v>76100</v>
      </c>
      <c r="F22" s="24">
        <v>3106.55</v>
      </c>
      <c r="G22" s="24">
        <v>2.1</v>
      </c>
    </row>
    <row r="23" spans="2:7">
      <c r="B23" s="25" t="s">
        <v>58</v>
      </c>
      <c r="C23" s="22" t="s">
        <v>59</v>
      </c>
      <c r="D23" s="22" t="s">
        <v>60</v>
      </c>
      <c r="E23" s="26">
        <v>390000</v>
      </c>
      <c r="F23" s="24">
        <v>3031.86</v>
      </c>
      <c r="G23" s="24">
        <v>2.0499999999999998</v>
      </c>
    </row>
    <row r="24" spans="2:7">
      <c r="B24" s="25" t="s">
        <v>61</v>
      </c>
      <c r="C24" s="22" t="s">
        <v>62</v>
      </c>
      <c r="D24" s="22" t="s">
        <v>63</v>
      </c>
      <c r="E24" s="26">
        <v>870373</v>
      </c>
      <c r="F24" s="24">
        <v>3025.85</v>
      </c>
      <c r="G24" s="24">
        <v>2.0499999999999998</v>
      </c>
    </row>
    <row r="25" spans="2:7">
      <c r="B25" s="25" t="s">
        <v>64</v>
      </c>
      <c r="C25" s="22" t="s">
        <v>65</v>
      </c>
      <c r="D25" s="22" t="s">
        <v>66</v>
      </c>
      <c r="E25" s="26">
        <v>91500</v>
      </c>
      <c r="F25" s="24">
        <v>2994.47</v>
      </c>
      <c r="G25" s="24">
        <v>2.0299999999999998</v>
      </c>
    </row>
    <row r="26" spans="2:7">
      <c r="B26" s="25" t="s">
        <v>67</v>
      </c>
      <c r="C26" s="22" t="s">
        <v>68</v>
      </c>
      <c r="D26" s="22" t="s">
        <v>69</v>
      </c>
      <c r="E26" s="26">
        <v>105000</v>
      </c>
      <c r="F26" s="24">
        <v>2960.63</v>
      </c>
      <c r="G26" s="24">
        <v>2</v>
      </c>
    </row>
    <row r="27" spans="2:7">
      <c r="B27" s="25" t="s">
        <v>70</v>
      </c>
      <c r="C27" s="22" t="s">
        <v>71</v>
      </c>
      <c r="D27" s="22" t="s">
        <v>54</v>
      </c>
      <c r="E27" s="26">
        <v>311499</v>
      </c>
      <c r="F27" s="24">
        <v>2904.11</v>
      </c>
      <c r="G27" s="24">
        <v>1.97</v>
      </c>
    </row>
    <row r="28" spans="2:7">
      <c r="B28" s="25" t="s">
        <v>72</v>
      </c>
      <c r="C28" s="22" t="s">
        <v>73</v>
      </c>
      <c r="D28" s="22" t="s">
        <v>41</v>
      </c>
      <c r="E28" s="26">
        <v>225000</v>
      </c>
      <c r="F28" s="24">
        <v>2869.88</v>
      </c>
      <c r="G28" s="24">
        <v>1.94</v>
      </c>
    </row>
    <row r="29" spans="2:7">
      <c r="B29" s="25" t="s">
        <v>74</v>
      </c>
      <c r="C29" s="22" t="s">
        <v>75</v>
      </c>
      <c r="D29" s="22" t="s">
        <v>66</v>
      </c>
      <c r="E29" s="26">
        <v>15500</v>
      </c>
      <c r="F29" s="24">
        <v>2743.94</v>
      </c>
      <c r="G29" s="24">
        <v>1.86</v>
      </c>
    </row>
    <row r="30" spans="2:7">
      <c r="B30" s="25" t="s">
        <v>76</v>
      </c>
      <c r="C30" s="22" t="s">
        <v>77</v>
      </c>
      <c r="D30" s="22" t="s">
        <v>78</v>
      </c>
      <c r="E30" s="26">
        <v>107500</v>
      </c>
      <c r="F30" s="24">
        <v>2541.73</v>
      </c>
      <c r="G30" s="24">
        <v>1.72</v>
      </c>
    </row>
    <row r="31" spans="2:7">
      <c r="B31" s="25" t="s">
        <v>79</v>
      </c>
      <c r="C31" s="22" t="s">
        <v>80</v>
      </c>
      <c r="D31" s="22" t="s">
        <v>81</v>
      </c>
      <c r="E31" s="26">
        <v>505000</v>
      </c>
      <c r="F31" s="24">
        <v>2541.41</v>
      </c>
      <c r="G31" s="24">
        <v>1.72</v>
      </c>
    </row>
    <row r="32" spans="2:7">
      <c r="B32" s="25" t="s">
        <v>82</v>
      </c>
      <c r="C32" s="22" t="s">
        <v>83</v>
      </c>
      <c r="D32" s="22" t="s">
        <v>66</v>
      </c>
      <c r="E32" s="26">
        <v>55500</v>
      </c>
      <c r="F32" s="24">
        <v>2443.14</v>
      </c>
      <c r="G32" s="24">
        <v>1.65</v>
      </c>
    </row>
    <row r="33" spans="2:7">
      <c r="B33" s="25" t="s">
        <v>84</v>
      </c>
      <c r="C33" s="22" t="s">
        <v>85</v>
      </c>
      <c r="D33" s="22" t="s">
        <v>86</v>
      </c>
      <c r="E33" s="26">
        <v>6050</v>
      </c>
      <c r="F33" s="24">
        <v>2400.4499999999998</v>
      </c>
      <c r="G33" s="24">
        <v>1.63</v>
      </c>
    </row>
    <row r="34" spans="2:7">
      <c r="B34" s="25" t="s">
        <v>87</v>
      </c>
      <c r="C34" s="22" t="s">
        <v>88</v>
      </c>
      <c r="D34" s="22" t="s">
        <v>89</v>
      </c>
      <c r="E34" s="26">
        <v>85000</v>
      </c>
      <c r="F34" s="24">
        <v>2155.73</v>
      </c>
      <c r="G34" s="24">
        <v>1.46</v>
      </c>
    </row>
    <row r="35" spans="2:7">
      <c r="B35" s="25" t="s">
        <v>90</v>
      </c>
      <c r="C35" s="22" t="s">
        <v>91</v>
      </c>
      <c r="D35" s="22" t="s">
        <v>38</v>
      </c>
      <c r="E35" s="26">
        <v>375000</v>
      </c>
      <c r="F35" s="24">
        <v>1626.56</v>
      </c>
      <c r="G35" s="24">
        <v>1.1000000000000001</v>
      </c>
    </row>
    <row r="36" spans="2:7">
      <c r="B36" s="25" t="s">
        <v>92</v>
      </c>
      <c r="C36" s="22" t="s">
        <v>93</v>
      </c>
      <c r="D36" s="22" t="s">
        <v>94</v>
      </c>
      <c r="E36" s="26">
        <v>90057</v>
      </c>
      <c r="F36" s="24">
        <v>1536.6</v>
      </c>
      <c r="G36" s="24">
        <v>1.04</v>
      </c>
    </row>
    <row r="37" spans="2:7">
      <c r="B37" s="27" t="s">
        <v>95</v>
      </c>
      <c r="C37" s="28"/>
      <c r="D37" s="28"/>
      <c r="E37" s="29"/>
      <c r="F37" s="30">
        <f>SUM(F7:F36)</f>
        <v>139181.18000000005</v>
      </c>
      <c r="G37" s="30">
        <f>SUM(G7:G36)</f>
        <v>94.219999999999985</v>
      </c>
    </row>
    <row r="38" spans="2:7">
      <c r="B38" s="31" t="s">
        <v>96</v>
      </c>
      <c r="C38" s="31"/>
      <c r="D38" s="31"/>
      <c r="E38" s="32"/>
      <c r="F38" s="33">
        <f>F37</f>
        <v>139181.18000000005</v>
      </c>
      <c r="G38" s="33">
        <f>G37</f>
        <v>94.219999999999985</v>
      </c>
    </row>
    <row r="39" spans="2:7">
      <c r="B39" s="34" t="s">
        <v>97</v>
      </c>
      <c r="C39" s="35"/>
      <c r="D39" s="35"/>
      <c r="E39" s="36"/>
      <c r="F39" s="37"/>
      <c r="G39" s="37"/>
    </row>
    <row r="40" spans="2:7">
      <c r="B40" s="25" t="s">
        <v>97</v>
      </c>
      <c r="C40" s="25"/>
      <c r="D40" s="22"/>
      <c r="E40" s="23"/>
      <c r="F40" s="24">
        <v>9777.7099999999991</v>
      </c>
      <c r="G40" s="24">
        <v>6.62</v>
      </c>
    </row>
    <row r="41" spans="2:7">
      <c r="B41" s="27" t="s">
        <v>95</v>
      </c>
      <c r="C41" s="28"/>
      <c r="D41" s="28"/>
      <c r="E41" s="29"/>
      <c r="F41" s="30">
        <f>SUM(F39:F40)</f>
        <v>9777.7099999999991</v>
      </c>
      <c r="G41" s="30">
        <f>SUM(G39:G40)</f>
        <v>6.62</v>
      </c>
    </row>
    <row r="42" spans="2:7">
      <c r="B42" s="38" t="s">
        <v>96</v>
      </c>
      <c r="C42" s="38"/>
      <c r="D42" s="38"/>
      <c r="E42" s="39"/>
      <c r="F42" s="40">
        <f>F41</f>
        <v>9777.7099999999991</v>
      </c>
      <c r="G42" s="40">
        <f>G41</f>
        <v>6.62</v>
      </c>
    </row>
    <row r="43" spans="2:7">
      <c r="B43" s="41" t="s">
        <v>98</v>
      </c>
      <c r="C43" s="41"/>
      <c r="D43" s="41"/>
      <c r="E43" s="42"/>
      <c r="F43" s="43">
        <f>F44-(+F38+F42)</f>
        <v>-1245.4600000000501</v>
      </c>
      <c r="G43" s="43">
        <f>G44-(+G38+G42)</f>
        <v>-0.8399999999999892</v>
      </c>
    </row>
    <row r="44" spans="2:7">
      <c r="B44" s="41" t="s">
        <v>99</v>
      </c>
      <c r="C44" s="41"/>
      <c r="D44" s="41"/>
      <c r="E44" s="42"/>
      <c r="F44" s="43">
        <v>147713.43</v>
      </c>
      <c r="G44" s="43">
        <v>100</v>
      </c>
    </row>
    <row r="46" spans="2:7">
      <c r="B46" s="4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2022-04-08T12:33:01Z</dcterms:created>
  <dcterms:modified xsi:type="dcterms:W3CDTF">2022-04-08T12:33:04Z</dcterms:modified>
</cp:coreProperties>
</file>