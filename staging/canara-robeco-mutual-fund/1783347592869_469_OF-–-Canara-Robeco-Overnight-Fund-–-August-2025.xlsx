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6E91D515-3B80-4A0E-BB81-EE0DEE9AB19B}" xr6:coauthVersionLast="47" xr6:coauthVersionMax="47" xr10:uidLastSave="{00000000-0000-0000-0000-000000000000}"/>
  <bookViews>
    <workbookView xWindow="-110" yWindow="-110" windowWidth="19420" windowHeight="10300" xr2:uid="{0A2D460F-C4C2-4074-80D1-2B4EAEA7CC5A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 s="1"/>
  <c r="F13" i="1"/>
  <c r="F14" i="1" s="1"/>
  <c r="G10" i="1"/>
  <c r="G9" i="1"/>
  <c r="F9" i="1"/>
  <c r="F10" i="1" s="1"/>
  <c r="F15" i="1" l="1"/>
  <c r="G1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<sst xmlns="http://schemas.openxmlformats.org/spreadsheetml/2006/main" count="45" uniqueCount="41">
  <si>
    <t>CANARA ROBECO OVERNIGHT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</si>
  <si>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</si>
  <si>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</si>
  <si>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</si>
  <si>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</si>
  <si>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</si>
  <si>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</si>
  <si>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</si>
  <si>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</si>
  <si>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</si>
  <si>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</si>
  <si>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</si>
  <si>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</si>
  <si>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</si>
  <si>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</si>
  <si>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</si>
  <si>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</si>
  <si>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</si>
  <si>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</si>
  <si>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</si>
  <si>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</si>
  <si>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91 DTB (18-SEP-2025)</t>
  </si>
  <si>
    <t>IN002025X125</t>
  </si>
  <si>
    <t xml:space="preserve"> Sovereign</t>
  </si>
  <si>
    <t>Relatively Low (Class I)</t>
  </si>
  <si>
    <t>A-I</t>
  </si>
  <si>
    <t>182 DTB (11-SEP-2025)</t>
  </si>
  <si>
    <t>IN002024Y480</t>
  </si>
  <si>
    <t>Sub Total</t>
  </si>
  <si>
    <t>Moderate (Class II)</t>
  </si>
  <si>
    <t>Total</t>
  </si>
  <si>
    <t>TREPS</t>
  </si>
  <si>
    <t>Relatively High (Class III)</t>
  </si>
  <si>
    <t>Benchmark: CRISIL Liquid Overnight Index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</si>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</sst>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164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0965-5481-4905-AE49-B3F8281D0246}">
  <dimension ref="B1:S29"/>
  <sheetViews>
    <sheetView tabSelected="1" topLeftCell="A14" workbookViewId="0">
      <selection activeCell="B27" sqref="B27:F29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1.26953125" style="3" bestFit="1" customWidth="1"/>
    <col min="4" max="4" width="13.7265625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6.726562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5.54296875" style="3" bestFit="1" customWidth="1"/>
    <col min="16" max="16" width="12.81640625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0" t="e" vm="2">
        <v>#VALUE!</v>
      </c>
      <c r="M5" s="20" t="e" vm="1">
        <v>#VALUE!</v>
      </c>
      <c r="N5" s="20" t="e" vm="2">
        <v>#VALUE!</v>
      </c>
      <c r="P5" s="21" t="s">
        <v>15</v>
      </c>
      <c r="Q5" s="22" t="s">
        <v>16</v>
      </c>
      <c r="R5" s="22" t="s">
        <v>17</v>
      </c>
      <c r="S5" s="22" t="s">
        <v>18</v>
      </c>
    </row>
    <row r="6" spans="2:19" ht="23">
      <c r="B6" s="23" t="s">
        <v>19</v>
      </c>
      <c r="C6" s="24"/>
      <c r="D6" s="24"/>
      <c r="E6" s="24"/>
      <c r="F6" s="25"/>
      <c r="G6" s="25"/>
      <c r="H6" s="25"/>
      <c r="K6" s="20"/>
      <c r="L6" s="20"/>
      <c r="M6" s="20"/>
      <c r="N6" s="20"/>
      <c r="O6" s="26"/>
      <c r="P6" s="27" t="s">
        <v>20</v>
      </c>
      <c r="Q6" s="22"/>
      <c r="R6" s="22"/>
      <c r="S6" s="22"/>
    </row>
    <row r="7" spans="2:19">
      <c r="B7" s="24" t="s">
        <v>21</v>
      </c>
      <c r="C7" s="24" t="s">
        <v>22</v>
      </c>
      <c r="D7" s="24" t="s">
        <v>23</v>
      </c>
      <c r="E7" s="28">
        <v>1000000</v>
      </c>
      <c r="F7" s="25">
        <v>997.48</v>
      </c>
      <c r="G7" s="25">
        <v>3.76</v>
      </c>
      <c r="H7" s="25">
        <v>5.42</v>
      </c>
      <c r="K7" s="20"/>
      <c r="L7" s="20"/>
      <c r="M7" s="20"/>
      <c r="N7" s="20"/>
      <c r="O7" s="26"/>
      <c r="P7" s="29" t="s">
        <v>24</v>
      </c>
      <c r="Q7" s="30" t="s">
        <v>25</v>
      </c>
      <c r="R7" s="31"/>
      <c r="S7" s="31"/>
    </row>
    <row r="8" spans="2:19">
      <c r="B8" s="24" t="s">
        <v>26</v>
      </c>
      <c r="C8" s="24" t="s">
        <v>27</v>
      </c>
      <c r="D8" s="24" t="s">
        <v>23</v>
      </c>
      <c r="E8" s="28">
        <v>500000</v>
      </c>
      <c r="F8" s="25">
        <v>499.25</v>
      </c>
      <c r="G8" s="25">
        <v>1.88</v>
      </c>
      <c r="H8" s="25">
        <v>5.46</v>
      </c>
      <c r="K8" s="20"/>
      <c r="L8" s="20"/>
      <c r="M8" s="20"/>
      <c r="N8" s="20"/>
      <c r="O8" s="26"/>
      <c r="P8" s="29"/>
      <c r="Q8" s="32"/>
      <c r="R8" s="33"/>
      <c r="S8" s="33"/>
    </row>
    <row r="9" spans="2:19">
      <c r="B9" s="34" t="s">
        <v>28</v>
      </c>
      <c r="C9" s="34"/>
      <c r="D9" s="34"/>
      <c r="E9" s="34"/>
      <c r="F9" s="35">
        <f>SUM(F6:F8)</f>
        <v>1496.73</v>
      </c>
      <c r="G9" s="35">
        <f>SUM(G6:G8)</f>
        <v>5.64</v>
      </c>
      <c r="H9" s="36"/>
      <c r="I9" s="37"/>
      <c r="K9" s="20"/>
      <c r="L9" s="20"/>
      <c r="M9" s="20"/>
      <c r="N9" s="20"/>
      <c r="O9" s="26"/>
      <c r="P9" s="29" t="s">
        <v>29</v>
      </c>
      <c r="Q9" s="31"/>
      <c r="R9" s="31"/>
      <c r="S9" s="31"/>
    </row>
    <row r="10" spans="2:19">
      <c r="B10" s="38" t="s">
        <v>30</v>
      </c>
      <c r="C10" s="38"/>
      <c r="D10" s="38"/>
      <c r="E10" s="38"/>
      <c r="F10" s="39">
        <f>+F9</f>
        <v>1496.73</v>
      </c>
      <c r="G10" s="39">
        <f>+G9</f>
        <v>5.64</v>
      </c>
      <c r="H10" s="39"/>
      <c r="I10" s="37"/>
      <c r="K10" s="20"/>
      <c r="L10" s="20"/>
      <c r="M10" s="20"/>
      <c r="N10" s="20"/>
      <c r="O10" s="26"/>
      <c r="P10" s="29"/>
      <c r="Q10" s="33"/>
      <c r="R10" s="33"/>
      <c r="S10" s="33"/>
    </row>
    <row r="11" spans="2:19">
      <c r="B11" s="23" t="s">
        <v>31</v>
      </c>
      <c r="C11" s="24"/>
      <c r="D11" s="24"/>
      <c r="E11" s="24"/>
      <c r="F11" s="25"/>
      <c r="G11" s="25"/>
      <c r="H11" s="25"/>
      <c r="K11" s="20"/>
      <c r="L11" s="20"/>
      <c r="M11" s="20"/>
      <c r="N11" s="20"/>
      <c r="O11" s="26"/>
      <c r="P11" s="29" t="s">
        <v>32</v>
      </c>
      <c r="Q11" s="31"/>
      <c r="R11" s="31"/>
      <c r="S11" s="31"/>
    </row>
    <row r="12" spans="2:19">
      <c r="B12" s="24" t="s">
        <v>31</v>
      </c>
      <c r="C12" s="24"/>
      <c r="D12" s="24"/>
      <c r="E12" s="24"/>
      <c r="F12" s="25">
        <v>24989.18</v>
      </c>
      <c r="G12" s="25">
        <v>94.23</v>
      </c>
      <c r="H12" s="25"/>
      <c r="K12" s="20"/>
      <c r="L12" s="20"/>
      <c r="M12" s="20"/>
      <c r="N12" s="20"/>
      <c r="O12" s="26"/>
      <c r="P12" s="29"/>
      <c r="Q12" s="33"/>
      <c r="R12" s="33"/>
      <c r="S12" s="33"/>
    </row>
    <row r="13" spans="2:19">
      <c r="B13" s="34" t="s">
        <v>28</v>
      </c>
      <c r="C13" s="34"/>
      <c r="D13" s="34"/>
      <c r="E13" s="34"/>
      <c r="F13" s="35">
        <f>SUM(F11:F12)</f>
        <v>24989.18</v>
      </c>
      <c r="G13" s="35">
        <f>SUM(G11:G12)</f>
        <v>94.23</v>
      </c>
      <c r="H13" s="36"/>
      <c r="I13" s="37"/>
      <c r="K13" s="40"/>
      <c r="L13" s="40" t="s">
        <v>33</v>
      </c>
      <c r="M13" s="26"/>
      <c r="N13" s="26"/>
      <c r="O13" s="26"/>
    </row>
    <row r="14" spans="2:19">
      <c r="B14" s="41" t="s">
        <v>30</v>
      </c>
      <c r="C14" s="41"/>
      <c r="D14" s="41"/>
      <c r="E14" s="41"/>
      <c r="F14" s="42">
        <f>F13</f>
        <v>24989.18</v>
      </c>
      <c r="G14" s="42">
        <f>G13</f>
        <v>94.23</v>
      </c>
      <c r="H14" s="42"/>
      <c r="I14" s="37"/>
    </row>
    <row r="15" spans="2:19">
      <c r="B15" s="43" t="s">
        <v>34</v>
      </c>
      <c r="C15" s="43"/>
      <c r="D15" s="43"/>
      <c r="E15" s="43"/>
      <c r="F15" s="44">
        <f>F16-(+F10+F14)</f>
        <v>34.25</v>
      </c>
      <c r="G15" s="44">
        <f>G16-(+G10+G14)</f>
        <v>0.12999999999999545</v>
      </c>
      <c r="H15" s="44"/>
      <c r="I15" s="37"/>
    </row>
    <row r="16" spans="2:19">
      <c r="B16" s="43" t="s">
        <v>35</v>
      </c>
      <c r="C16" s="43"/>
      <c r="D16" s="43"/>
      <c r="E16" s="43"/>
      <c r="F16" s="44">
        <v>26520.16</v>
      </c>
      <c r="G16" s="44">
        <v>100</v>
      </c>
      <c r="H16" s="44"/>
      <c r="I16" s="37"/>
    </row>
    <row r="18" spans="2:3">
      <c r="B18" s="37"/>
    </row>
    <row r="19" spans="2:3" ht="12" thickBot="1"/>
    <row r="20" spans="2:3" ht="12.5" thickTop="1" thickBot="1">
      <c r="B20" s="45" t="s">
        <v>36</v>
      </c>
      <c r="C20" s="46">
        <v>4.7999999999999996E-3</v>
      </c>
    </row>
    <row r="21" spans="2:3" ht="12.5" thickTop="1" thickBot="1"/>
    <row r="22" spans="2:3" ht="12.5" thickTop="1" thickBot="1">
      <c r="B22" s="45" t="s">
        <v>37</v>
      </c>
      <c r="C22" s="47">
        <v>5.3699999999999998E-2</v>
      </c>
    </row>
    <row r="23" spans="2:3" ht="12.5" thickTop="1" thickBot="1"/>
    <row r="24" spans="2:3" ht="12.5" thickTop="1" thickBot="1">
      <c r="B24" s="45" t="s">
        <v>38</v>
      </c>
      <c r="C24" s="46">
        <v>5.0000000000000001E-3</v>
      </c>
    </row>
    <row r="25" spans="2:3" ht="12" thickTop="1"/>
    <row r="27" spans="2:3">
      <c r="B27" s="37" t="s">
        <v>39</v>
      </c>
    </row>
    <row r="29" spans="2:3" ht="14.5">
      <c r="B29" s="48" t="s">
        <v>40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29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7D237793-93F5-4C55-83B4-C3F878CA0C1C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17:21:19</KDate>
  <Classification>Public</Classification>
  <Subclassification/>
  <HostName>MUMCMP01346</HostName>
  <Domain_User>CANARAROBECOMF/396</Domain_User>
  <IPAdd>192.9.198.198</IPAdd>
  <FilePath>Book53</FilePath>
  <KID>1098191A8D7D638929488796173694</KID>
  <UniqueName/>
  <Suggested/>
  <Justification/>
</Klassify>
</file>

<file path=customXml/itemProps1.xml><?xml version="1.0" encoding="utf-8"?>
<ds:datastoreItem xmlns:ds="http://schemas.openxmlformats.org/officeDocument/2006/customXml" ds:itemID="{F8222998-69EE-4434-A42B-B2DC1C8E87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2025-09-08T11:51:14Z</dcterms:created>
  <dcterms:modified xsi:type="dcterms:W3CDTF">2025-09-08T11:51:19Z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1098191A8D7D638929488796173694</vt:lpwstr>
  </property>
</Properties>
</file>