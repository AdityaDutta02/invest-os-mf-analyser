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3-24\January 2024\"/>
    </mc:Choice>
  </mc:AlternateContent>
  <bookViews>
    <workbookView xWindow="0" yWindow="0" windowWidth="20490" windowHeight="7020"/>
  </bookViews>
  <sheets>
    <sheet name="LI" sheetId="1" r:id="rId1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66" i="1" l="1"/>
  <c r="G67" i="1" s="1"/>
  <c r="F66" i="1"/>
  <c r="F67" i="1" s="1"/>
  <c r="G63" i="1"/>
  <c r="F63" i="1"/>
  <c r="G59" i="1"/>
  <c r="F59" i="1"/>
  <c r="G51" i="1"/>
  <c r="F51" i="1"/>
  <c r="G25" i="1"/>
  <c r="G60" i="1" s="1"/>
  <c r="F25" i="1"/>
  <c r="F60" i="1" s="1"/>
  <c r="F11" i="1"/>
  <c r="G10" i="1"/>
  <c r="G11" i="1" s="1"/>
  <c r="G68" i="1" s="1"/>
  <c r="F10" i="1"/>
  <c r="F68" i="1" l="1"/>
</calcChain>
</file>

<file path=xl/sharedStrings.xml><?xml version="1.0" encoding="utf-8"?>
<sst xmlns="http://schemas.openxmlformats.org/spreadsheetml/2006/main" count="183" uniqueCount="135">
  <si>
    <t>CANARA ROBECO LIQUID FUND</t>
  </si>
  <si>
    <t>Monthly Portfolio Statement as on January 31, 2024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</si>
  <si>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</si>
  <si>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</si>
  <si>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</si>
  <si>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</si>
  <si>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</si>
  <si>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</si>
  <si>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>Yield %</t>
  </si>
  <si>
    <t>Scheme Risk-o-meter Level- Jan'24</t>
  </si>
  <si>
    <t>Benchmark Risk-o-meter Level- Jan'24</t>
  </si>
  <si>
    <t>Scheme Risk-o-meter Level- Dec'23</t>
  </si>
  <si>
    <t>Potential Risk Class (PRC) Matrix</t>
  </si>
  <si>
    <t>Debt Instruments</t>
  </si>
  <si>
    <t>Credit Risk →</t>
  </si>
  <si>
    <t>Relatively Low (Class A)</t>
  </si>
  <si>
    <t>Moderate (Class B)</t>
  </si>
  <si>
    <t>Relatively High (Class C)</t>
  </si>
  <si>
    <t>(a) Listed / awaiting listing on Stock Exchanges</t>
  </si>
  <si>
    <t>Interest Rate Risk ↓</t>
  </si>
  <si>
    <t>5.84% Bajaj Housing Finance Ltd (21/02/2024) **</t>
  </si>
  <si>
    <t>INE377Y07292</t>
  </si>
  <si>
    <t>CRISIL AAA</t>
  </si>
  <si>
    <t>Relatively Low (Class I)</t>
  </si>
  <si>
    <t>A-I</t>
  </si>
  <si>
    <t>5.86% Tata Capital Housing Finance Ltd (23/02/2024) **</t>
  </si>
  <si>
    <t>INE033L07HP0</t>
  </si>
  <si>
    <t>8.25% Indian Railway Finance Corporation Ltd (28/02/2024) **</t>
  </si>
  <si>
    <t>INE053F07BB3</t>
  </si>
  <si>
    <t>Moderate 
(Class II)</t>
  </si>
  <si>
    <t>Sub Total</t>
  </si>
  <si>
    <t>Total</t>
  </si>
  <si>
    <t>Relatively High (Class III)</t>
  </si>
  <si>
    <t>Money Market Instruments</t>
  </si>
  <si>
    <t>Certificate of Deposit</t>
  </si>
  <si>
    <t>Benchmark: CRISIL Liquid Debt A-I Index</t>
  </si>
  <si>
    <t>HDFC Bank Ltd (20/03/2024) ** #</t>
  </si>
  <si>
    <t>INE040A16DU8</t>
  </si>
  <si>
    <t>CARE A1+</t>
  </si>
  <si>
    <t>Small Industries Development Bank of India (27/03/2024) ** #</t>
  </si>
  <si>
    <t>INE556F16AH5</t>
  </si>
  <si>
    <t>Punjab National Bank (20/03/2024) ** #</t>
  </si>
  <si>
    <t>INE160A16OG0</t>
  </si>
  <si>
    <t>CRISIL A1+</t>
  </si>
  <si>
    <t>Axis Bank Ltd (28/03/2024) ** #</t>
  </si>
  <si>
    <t>INE238AD6405</t>
  </si>
  <si>
    <t>Union Bank of India (15/03/2024) ** #</t>
  </si>
  <si>
    <t>INE692A16GP9</t>
  </si>
  <si>
    <t>ICRA A1+</t>
  </si>
  <si>
    <t>Axis Bank Ltd (27/03/2024) ** #</t>
  </si>
  <si>
    <t>INE238AD6611</t>
  </si>
  <si>
    <t>Axis Bank Ltd (28/02/2024) #</t>
  </si>
  <si>
    <t>INE238AD6470</t>
  </si>
  <si>
    <t>Indian Bank (05/03/2024) #</t>
  </si>
  <si>
    <t>INE562A16LN9</t>
  </si>
  <si>
    <t>Axis Bank Ltd (14/03/2024) ** #</t>
  </si>
  <si>
    <t>INE238AD6389</t>
  </si>
  <si>
    <t>National Bank For Agriculture &amp; Rural Development (28/03/2024) #</t>
  </si>
  <si>
    <t>INE261F16728</t>
  </si>
  <si>
    <t>Punjab National Bank (02/04/2024) #</t>
  </si>
  <si>
    <t>INE160A16OD7</t>
  </si>
  <si>
    <t>Commercial Paper</t>
  </si>
  <si>
    <t xml:space="preserve">Export-Import Bank Of India (26/03/2024) ** </t>
  </si>
  <si>
    <t>INE514E14RH6</t>
  </si>
  <si>
    <t xml:space="preserve">National Bank For Agriculture &amp; Rural Development (02/04/2024) ** </t>
  </si>
  <si>
    <t>INE261F14KR5</t>
  </si>
  <si>
    <t xml:space="preserve">REC Ltd (01/03/2024) ** </t>
  </si>
  <si>
    <t>INE020B14672</t>
  </si>
  <si>
    <t xml:space="preserve">Reliance Retail Ventures Ltd (23/02/2024) ** </t>
  </si>
  <si>
    <t>INE929O14BD8</t>
  </si>
  <si>
    <t xml:space="preserve">LIC Housing Finance Ltd (01/03/2024) ** </t>
  </si>
  <si>
    <t>INE115A14EI6</t>
  </si>
  <si>
    <t xml:space="preserve">Reliance Industries Ltd (11/03/2024) ** </t>
  </si>
  <si>
    <t>INE002A14KP8</t>
  </si>
  <si>
    <t xml:space="preserve">ICICI Securities Ltd (20/03/2024) ** </t>
  </si>
  <si>
    <t>INE763G14PZ0</t>
  </si>
  <si>
    <t xml:space="preserve">National Bank For Agriculture &amp; Rural Development (30/04/2024) </t>
  </si>
  <si>
    <t>INE261F14KT1</t>
  </si>
  <si>
    <t xml:space="preserve">Bajaj Finance Ltd (12/03/2024) </t>
  </si>
  <si>
    <t>INE296A14WO4</t>
  </si>
  <si>
    <t xml:space="preserve">HDFC Securities Ltd (15/03/2024) ** </t>
  </si>
  <si>
    <t>INE700G14HU0</t>
  </si>
  <si>
    <t xml:space="preserve">ICICI Securities Ltd (22/03/2024) ** </t>
  </si>
  <si>
    <t>INE763G14QB9</t>
  </si>
  <si>
    <t xml:space="preserve">HDFC Securities Ltd (05/02/2024) ** </t>
  </si>
  <si>
    <t>INE700G14ID4</t>
  </si>
  <si>
    <t xml:space="preserve">Kotak Securities Ltd (12/02/2024) ** </t>
  </si>
  <si>
    <t>INE028E14MO4</t>
  </si>
  <si>
    <t xml:space="preserve">Aditya Birla Finance Ltd (15/02/2024) ** </t>
  </si>
  <si>
    <t>INE860H141M1</t>
  </si>
  <si>
    <t xml:space="preserve">ICICI Securities Ltd (06/03/2024) ** </t>
  </si>
  <si>
    <t>INE763G14RY9</t>
  </si>
  <si>
    <t xml:space="preserve">Aditya Birla Finance Ltd (07/03/2024) ** </t>
  </si>
  <si>
    <t>INE860H140X0</t>
  </si>
  <si>
    <t xml:space="preserve">ICICI Securities Ltd (07/03/2024) ** </t>
  </si>
  <si>
    <t>INE763G14PA3</t>
  </si>
  <si>
    <t xml:space="preserve">Small Industries Development Bank Of India (15/03/2024) </t>
  </si>
  <si>
    <t>INE556F14JB4</t>
  </si>
  <si>
    <t xml:space="preserve">Tata Capital Financial Services Ltd (20/02/2024) ** </t>
  </si>
  <si>
    <t>INE306N14VR9</t>
  </si>
  <si>
    <t xml:space="preserve">ICICI Securities Ltd (04/03/2024) ** </t>
  </si>
  <si>
    <t>INE763G14RX1</t>
  </si>
  <si>
    <t xml:space="preserve">Aditya Birla Finance Ltd (14/03/2024) ** </t>
  </si>
  <si>
    <t>INE860H140H3</t>
  </si>
  <si>
    <t xml:space="preserve">HDFC Bank Ltd (19/03/2024) </t>
  </si>
  <si>
    <t>INE040A14250</t>
  </si>
  <si>
    <t xml:space="preserve">Aditya Birla Finance Ltd (20/03/2024) ** </t>
  </si>
  <si>
    <t>INE860H142A4</t>
  </si>
  <si>
    <t xml:space="preserve">SBICAP Securities Ltd (27/03/2024) ** </t>
  </si>
  <si>
    <t>INE212K14320</t>
  </si>
  <si>
    <t>Treasury Bill</t>
  </si>
  <si>
    <t>91 DTB (08-FEB-2024)</t>
  </si>
  <si>
    <t>IN002023X336</t>
  </si>
  <si>
    <t xml:space="preserve"> Sovereign</t>
  </si>
  <si>
    <t>364 DTB (14-MAR-2024)</t>
  </si>
  <si>
    <t>IN002022Z507</t>
  </si>
  <si>
    <t>91 DTB (11-APR-2024)</t>
  </si>
  <si>
    <t>IN002023X427</t>
  </si>
  <si>
    <t>364 DAYS TREASURY BILLS 01-FEB-24</t>
  </si>
  <si>
    <t>IN002022Z440</t>
  </si>
  <si>
    <t>364 DTB (08-FEB-2024)</t>
  </si>
  <si>
    <t>IN002022Z457</t>
  </si>
  <si>
    <t>182 DTB (07-MAR-2024)</t>
  </si>
  <si>
    <t>IN002023Y243</t>
  </si>
  <si>
    <t>Alternative Investment Fund</t>
  </si>
  <si>
    <t>Corporate Debt Market Development Fund Class A2</t>
  </si>
  <si>
    <t>INF0RQ622028</t>
  </si>
  <si>
    <t>TREPS</t>
  </si>
  <si>
    <t>Net Receivables / (Payables)</t>
  </si>
  <si>
    <t>Grand Total</t>
  </si>
  <si>
    <t>**  Non Traded Security</t>
  </si>
  <si>
    <t>#  Unlisted Security</t>
  </si>
  <si>
    <t>Modified Duration</t>
  </si>
  <si>
    <t>Annualised Portfolio YTM</t>
  </si>
  <si>
    <t>Macaulay 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</si>
</sst>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3D3D3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3" fillId="3" borderId="0" xfId="0" applyFont="1" applyFill="1"/>
    <xf numFmtId="43" fontId="3" fillId="3" borderId="0" xfId="1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0" fontId="6" fillId="3" borderId="0" xfId="0" applyNumberFormat="1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4" fontId="3" fillId="3" borderId="0" xfId="0" applyNumberFormat="1" applyFont="1" applyFill="1"/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0" fontId="7" fillId="3" borderId="3" xfId="0" applyNumberFormat="1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3" borderId="9" xfId="0" applyFont="1" applyFill="1" applyBorder="1"/>
    <xf numFmtId="0" fontId="3" fillId="3" borderId="9" xfId="0" applyFont="1" applyFill="1" applyBorder="1"/>
    <xf numFmtId="0" fontId="3" fillId="3" borderId="9" xfId="0" applyNumberFormat="1" applyFont="1" applyFill="1" applyBorder="1"/>
    <xf numFmtId="4" fontId="3" fillId="3" borderId="9" xfId="0" applyNumberFormat="1" applyFont="1" applyFill="1" applyBorder="1"/>
    <xf numFmtId="43" fontId="3" fillId="3" borderId="5" xfId="1" applyFont="1" applyFill="1" applyBorder="1" applyAlignment="1">
      <alignment horizontal="center"/>
    </xf>
    <xf numFmtId="0" fontId="9" fillId="0" borderId="10" xfId="0" applyFont="1" applyBorder="1" applyAlignment="1">
      <alignment horizontal="center" wrapText="1"/>
    </xf>
    <xf numFmtId="0" fontId="9" fillId="0" borderId="5" xfId="0" applyFont="1" applyBorder="1" applyAlignment="1">
      <alignment horizontal="center" wrapText="1"/>
    </xf>
    <xf numFmtId="0" fontId="9" fillId="3" borderId="11" xfId="0" applyFont="1" applyFill="1" applyBorder="1"/>
    <xf numFmtId="0" fontId="3" fillId="3" borderId="11" xfId="0" applyFont="1" applyFill="1" applyBorder="1"/>
    <xf numFmtId="0" fontId="3" fillId="3" borderId="11" xfId="0" applyNumberFormat="1" applyFont="1" applyFill="1" applyBorder="1"/>
    <xf numFmtId="4" fontId="3" fillId="3" borderId="11" xfId="0" applyNumberFormat="1" applyFont="1" applyFill="1" applyBorder="1"/>
    <xf numFmtId="43" fontId="3" fillId="3" borderId="12" xfId="1" applyFont="1" applyFill="1" applyBorder="1" applyAlignment="1">
      <alignment horizontal="center"/>
    </xf>
    <xf numFmtId="0" fontId="9" fillId="0" borderId="10" xfId="0" applyFont="1" applyBorder="1" applyAlignment="1">
      <alignment horizontal="left" vertical="top" wrapText="1"/>
    </xf>
    <xf numFmtId="0" fontId="9" fillId="0" borderId="13" xfId="0" applyFont="1" applyBorder="1" applyAlignment="1">
      <alignment horizontal="center" wrapText="1"/>
    </xf>
    <xf numFmtId="3" fontId="3" fillId="3" borderId="11" xfId="0" applyNumberFormat="1" applyFont="1" applyFill="1" applyBorder="1"/>
    <xf numFmtId="0" fontId="9" fillId="0" borderId="5" xfId="0" applyFont="1" applyBorder="1" applyAlignment="1">
      <alignment horizontal="left" wrapText="1"/>
    </xf>
    <xf numFmtId="0" fontId="9" fillId="4" borderId="5" xfId="0" applyFont="1" applyFill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9" fillId="0" borderId="13" xfId="0" applyFont="1" applyBorder="1" applyAlignment="1">
      <alignment horizontal="left" wrapText="1"/>
    </xf>
    <xf numFmtId="0" fontId="9" fillId="4" borderId="13" xfId="0" applyFont="1" applyFill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/>
    </xf>
    <xf numFmtId="0" fontId="9" fillId="3" borderId="14" xfId="0" applyFont="1" applyFill="1" applyBorder="1"/>
    <xf numFmtId="0" fontId="9" fillId="3" borderId="14" xfId="0" applyNumberFormat="1" applyFont="1" applyFill="1" applyBorder="1"/>
    <xf numFmtId="4" fontId="9" fillId="3" borderId="15" xfId="0" applyNumberFormat="1" applyFont="1" applyFill="1" applyBorder="1"/>
    <xf numFmtId="4" fontId="9" fillId="3" borderId="14" xfId="0" applyNumberFormat="1" applyFont="1" applyFill="1" applyBorder="1"/>
    <xf numFmtId="0" fontId="9" fillId="3" borderId="16" xfId="0" applyFont="1" applyFill="1" applyBorder="1"/>
    <xf numFmtId="0" fontId="9" fillId="3" borderId="16" xfId="0" applyNumberFormat="1" applyFont="1" applyFill="1" applyBorder="1"/>
    <xf numFmtId="4" fontId="9" fillId="3" borderId="16" xfId="0" applyNumberFormat="1" applyFont="1" applyFill="1" applyBorder="1"/>
    <xf numFmtId="43" fontId="3" fillId="3" borderId="13" xfId="1" applyFont="1" applyFill="1" applyBorder="1" applyAlignment="1">
      <alignment horizontal="center"/>
    </xf>
    <xf numFmtId="43" fontId="3" fillId="3" borderId="0" xfId="1" applyFont="1" applyFill="1" applyAlignment="1"/>
    <xf numFmtId="0" fontId="9" fillId="3" borderId="11" xfId="0" applyNumberFormat="1" applyFont="1" applyFill="1" applyBorder="1"/>
    <xf numFmtId="4" fontId="9" fillId="3" borderId="17" xfId="0" applyNumberFormat="1" applyFont="1" applyFill="1" applyBorder="1"/>
    <xf numFmtId="4" fontId="9" fillId="3" borderId="11" xfId="0" applyNumberFormat="1" applyFont="1" applyFill="1" applyBorder="1"/>
    <xf numFmtId="0" fontId="3" fillId="3" borderId="18" xfId="0" applyFont="1" applyFill="1" applyBorder="1"/>
    <xf numFmtId="3" fontId="3" fillId="3" borderId="18" xfId="0" applyNumberFormat="1" applyFont="1" applyFill="1" applyBorder="1"/>
    <xf numFmtId="4" fontId="3" fillId="3" borderId="18" xfId="0" applyNumberFormat="1" applyFont="1" applyFill="1" applyBorder="1"/>
    <xf numFmtId="0" fontId="9" fillId="3" borderId="17" xfId="0" applyFont="1" applyFill="1" applyBorder="1"/>
    <xf numFmtId="0" fontId="9" fillId="3" borderId="17" xfId="0" applyNumberFormat="1" applyFont="1" applyFill="1" applyBorder="1"/>
    <xf numFmtId="0" fontId="9" fillId="3" borderId="19" xfId="0" applyFont="1" applyFill="1" applyBorder="1"/>
    <xf numFmtId="0" fontId="9" fillId="3" borderId="19" xfId="0" applyNumberFormat="1" applyFont="1" applyFill="1" applyBorder="1"/>
    <xf numFmtId="4" fontId="9" fillId="3" borderId="19" xfId="0" applyNumberFormat="1" applyFont="1" applyFill="1" applyBorder="1"/>
    <xf numFmtId="0" fontId="9" fillId="3" borderId="10" xfId="0" applyFont="1" applyFill="1" applyBorder="1"/>
    <xf numFmtId="0" fontId="9" fillId="3" borderId="10" xfId="0" applyNumberFormat="1" applyFont="1" applyFill="1" applyBorder="1"/>
    <xf numFmtId="4" fontId="9" fillId="3" borderId="10" xfId="0" applyNumberFormat="1" applyFont="1" applyFill="1" applyBorder="1"/>
    <xf numFmtId="0" fontId="3" fillId="3" borderId="0" xfId="0" applyNumberFormat="1" applyFont="1" applyFill="1"/>
    <xf numFmtId="0" fontId="9" fillId="3" borderId="0" xfId="0" applyFont="1" applyFill="1"/>
    <xf numFmtId="0" fontId="10" fillId="5" borderId="20" xfId="0" applyFont="1" applyFill="1" applyBorder="1"/>
    <xf numFmtId="2" fontId="9" fillId="3" borderId="21" xfId="0" applyNumberFormat="1" applyFont="1" applyFill="1" applyBorder="1"/>
    <xf numFmtId="10" fontId="9" fillId="3" borderId="21" xfId="0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59640</xdr:colOff>
      <xdr:row>4</xdr:row>
      <xdr:rowOff>82117</xdr:rowOff>
    </xdr:from>
    <xdr:ext cx="1988235" cy="1337107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289490" y="1072717"/>
          <a:ext cx="1988235" cy="1337107"/>
        </a:xfrm>
        <a:prstGeom prst="rect">
          <a:avLst/>
        </a:prstGeom>
      </xdr:spPr>
    </xdr:pic>
    <xdr:clientData/>
  </xdr:oneCellAnchor>
  <xdr:twoCellAnchor editAs="oneCell">
    <xdr:from>
      <xdr:col>10</xdr:col>
      <xdr:colOff>47918</xdr:colOff>
      <xdr:row>4</xdr:row>
      <xdr:rowOff>49135</xdr:rowOff>
    </xdr:from>
    <xdr:to>
      <xdr:col>10</xdr:col>
      <xdr:colOff>2166717</xdr:colOff>
      <xdr:row>10</xdr:row>
      <xdr:rowOff>19050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382793" y="1039735"/>
          <a:ext cx="2118799" cy="1341515"/>
        </a:xfrm>
        <a:prstGeom prst="rect">
          <a:avLst/>
        </a:prstGeom>
      </xdr:spPr>
    </xdr:pic>
    <xdr:clientData/>
  </xdr:twoCellAnchor>
  <xdr:oneCellAnchor>
    <xdr:from>
      <xdr:col>11</xdr:col>
      <xdr:colOff>78690</xdr:colOff>
      <xdr:row>4</xdr:row>
      <xdr:rowOff>63067</xdr:rowOff>
    </xdr:from>
    <xdr:ext cx="1988235" cy="1337107"/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1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642415" y="1053667"/>
          <a:ext cx="1988235" cy="133710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79"/>
  <sheetViews>
    <sheetView tabSelected="1" topLeftCell="C1" workbookViewId="0">
      <selection activeCell="B1" sqref="B1:H1"/>
    </sheetView>
  </sheetViews>
  <sheetFormatPr defaultRowHeight="12" x14ac:dyDescent="0.2"/>
  <cols>
    <col min="1" max="1" width="9.140625" style="3"/>
    <col min="2" max="2" width="58.42578125" style="3" bestFit="1" customWidth="1"/>
    <col min="3" max="3" width="13.85546875" style="3" bestFit="1" customWidth="1"/>
    <col min="4" max="4" width="22.85546875" style="3" bestFit="1" customWidth="1"/>
    <col min="5" max="5" width="9.85546875" style="66" bestFit="1" customWidth="1"/>
    <col min="6" max="6" width="15.28515625" style="10" bestFit="1" customWidth="1"/>
    <col min="7" max="7" width="7.42578125" style="10" bestFit="1" customWidth="1"/>
    <col min="8" max="8" width="6.5703125" style="10" bestFit="1" customWidth="1"/>
    <col min="9" max="9" width="10" style="3" bestFit="1" customWidth="1"/>
    <col min="10" max="10" width="31.5703125" style="4" customWidth="1"/>
    <col min="11" max="11" width="33.42578125" style="4" customWidth="1"/>
    <col min="12" max="12" width="31.42578125" style="3" customWidth="1"/>
    <col min="13" max="13" width="4.7109375" style="3" customWidth="1"/>
    <col min="14" max="16384" width="9.140625" style="3"/>
  </cols>
  <sheetData>
    <row r="1" spans="2:17" ht="21" customHeight="1" x14ac:dyDescent="0.2">
      <c r="B1" s="1" t="s">
        <v>0</v>
      </c>
      <c r="C1" s="2"/>
      <c r="D1" s="2"/>
      <c r="E1" s="2"/>
      <c r="F1" s="2"/>
      <c r="G1" s="2"/>
      <c r="H1" s="2"/>
    </row>
    <row r="3" spans="2:17" ht="16.5" thickBot="1" x14ac:dyDescent="0.25">
      <c r="B3" s="5" t="s">
        <v>1</v>
      </c>
      <c r="C3" s="6"/>
      <c r="D3" s="7"/>
      <c r="E3" s="8"/>
      <c r="F3" s="9"/>
      <c r="G3" s="9"/>
    </row>
    <row r="4" spans="2:17" ht="28.5" x14ac:dyDescent="0.2">
      <c r="B4" s="11" t="s">
        <v>2</v>
      </c>
      <c r="C4" s="12" t="s">
        <v>3</v>
      </c>
      <c r="D4" s="12" t="s">
        <v>4</v>
      </c>
      <c r="E4" s="13" t="s">
        <v>5</v>
      </c>
      <c r="F4" s="14" t="s">
        <v>6</v>
      </c>
      <c r="G4" s="15" t="s">
        <v>7</v>
      </c>
      <c r="H4" s="15" t="s">
        <v>8</v>
      </c>
      <c r="J4" s="16" t="s">
        <v>9</v>
      </c>
      <c r="K4" s="16" t="s">
        <v>10</v>
      </c>
      <c r="L4" s="16" t="s">
        <v>11</v>
      </c>
      <c r="N4" s="17" t="s">
        <v>12</v>
      </c>
      <c r="O4" s="18"/>
      <c r="P4" s="18"/>
      <c r="Q4" s="19"/>
    </row>
    <row r="5" spans="2:17" ht="24" x14ac:dyDescent="0.2">
      <c r="B5" s="20" t="s">
        <v>13</v>
      </c>
      <c r="C5" s="21"/>
      <c r="D5" s="21"/>
      <c r="E5" s="22"/>
      <c r="F5" s="23"/>
      <c r="G5" s="23"/>
      <c r="H5" s="23"/>
      <c r="J5" s="24"/>
      <c r="K5" s="24"/>
      <c r="L5" s="24"/>
      <c r="N5" s="25" t="s">
        <v>14</v>
      </c>
      <c r="O5" s="26" t="s">
        <v>15</v>
      </c>
      <c r="P5" s="26" t="s">
        <v>16</v>
      </c>
      <c r="Q5" s="26" t="s">
        <v>17</v>
      </c>
    </row>
    <row r="6" spans="2:17" ht="36" x14ac:dyDescent="0.2">
      <c r="B6" s="27" t="s">
        <v>18</v>
      </c>
      <c r="C6" s="28"/>
      <c r="D6" s="28"/>
      <c r="E6" s="29"/>
      <c r="F6" s="30"/>
      <c r="G6" s="30"/>
      <c r="H6" s="30"/>
      <c r="J6" s="31"/>
      <c r="K6" s="31"/>
      <c r="L6" s="31"/>
      <c r="N6" s="32" t="s">
        <v>19</v>
      </c>
      <c r="O6" s="33"/>
      <c r="P6" s="33"/>
      <c r="Q6" s="33"/>
    </row>
    <row r="7" spans="2:17" x14ac:dyDescent="0.2">
      <c r="B7" s="28" t="s">
        <v>20</v>
      </c>
      <c r="C7" s="28" t="s">
        <v>21</v>
      </c>
      <c r="D7" s="28" t="s">
        <v>22</v>
      </c>
      <c r="E7" s="34">
        <v>500</v>
      </c>
      <c r="F7" s="30">
        <v>4994.8599999999997</v>
      </c>
      <c r="G7" s="30">
        <v>1.42</v>
      </c>
      <c r="H7" s="30">
        <v>7.32</v>
      </c>
      <c r="I7" s="4"/>
      <c r="J7" s="31"/>
      <c r="K7" s="31"/>
      <c r="L7" s="31"/>
      <c r="M7" s="4"/>
      <c r="N7" s="35" t="s">
        <v>23</v>
      </c>
      <c r="O7" s="36" t="s">
        <v>24</v>
      </c>
      <c r="P7" s="37"/>
      <c r="Q7" s="38"/>
    </row>
    <row r="8" spans="2:17" x14ac:dyDescent="0.2">
      <c r="B8" s="28" t="s">
        <v>25</v>
      </c>
      <c r="C8" s="28" t="s">
        <v>26</v>
      </c>
      <c r="D8" s="28" t="s">
        <v>22</v>
      </c>
      <c r="E8" s="34">
        <v>500</v>
      </c>
      <c r="F8" s="30">
        <v>4994.32</v>
      </c>
      <c r="G8" s="30">
        <v>1.42</v>
      </c>
      <c r="H8" s="30">
        <v>7.35</v>
      </c>
      <c r="I8" s="4"/>
      <c r="J8" s="31"/>
      <c r="K8" s="31"/>
      <c r="L8" s="31"/>
      <c r="M8" s="4"/>
      <c r="N8" s="39"/>
      <c r="O8" s="40"/>
      <c r="P8" s="41"/>
      <c r="Q8" s="42"/>
    </row>
    <row r="9" spans="2:17" x14ac:dyDescent="0.2">
      <c r="B9" s="28" t="s">
        <v>27</v>
      </c>
      <c r="C9" s="28" t="s">
        <v>28</v>
      </c>
      <c r="D9" s="28" t="s">
        <v>22</v>
      </c>
      <c r="E9" s="34">
        <v>250</v>
      </c>
      <c r="F9" s="30">
        <v>2501.1799999999998</v>
      </c>
      <c r="G9" s="30">
        <v>0.71</v>
      </c>
      <c r="H9" s="30">
        <v>7.42</v>
      </c>
      <c r="I9" s="4"/>
      <c r="J9" s="31"/>
      <c r="K9" s="31"/>
      <c r="L9" s="31"/>
      <c r="M9" s="4"/>
      <c r="N9" s="35" t="s">
        <v>29</v>
      </c>
      <c r="O9" s="38"/>
      <c r="P9" s="38"/>
      <c r="Q9" s="38"/>
    </row>
    <row r="10" spans="2:17" x14ac:dyDescent="0.2">
      <c r="B10" s="43" t="s">
        <v>30</v>
      </c>
      <c r="C10" s="43"/>
      <c r="D10" s="43"/>
      <c r="E10" s="44"/>
      <c r="F10" s="45">
        <f>SUM(F6:F9)</f>
        <v>12490.36</v>
      </c>
      <c r="G10" s="45">
        <f>SUM(G6:G9)</f>
        <v>3.55</v>
      </c>
      <c r="H10" s="46"/>
      <c r="I10" s="4"/>
      <c r="J10" s="31"/>
      <c r="K10" s="31"/>
      <c r="L10" s="31"/>
      <c r="M10" s="4"/>
      <c r="N10" s="39"/>
      <c r="O10" s="42"/>
      <c r="P10" s="42"/>
      <c r="Q10" s="42"/>
    </row>
    <row r="11" spans="2:17" x14ac:dyDescent="0.2">
      <c r="B11" s="47" t="s">
        <v>31</v>
      </c>
      <c r="C11" s="47"/>
      <c r="D11" s="47"/>
      <c r="E11" s="48"/>
      <c r="F11" s="49">
        <f>F10</f>
        <v>12490.36</v>
      </c>
      <c r="G11" s="49">
        <f>G10</f>
        <v>3.55</v>
      </c>
      <c r="H11" s="49"/>
      <c r="I11" s="4"/>
      <c r="J11" s="31"/>
      <c r="K11" s="31"/>
      <c r="L11" s="31"/>
      <c r="M11" s="4"/>
      <c r="N11" s="35" t="s">
        <v>32</v>
      </c>
      <c r="O11" s="38"/>
      <c r="P11" s="38"/>
      <c r="Q11" s="38"/>
    </row>
    <row r="12" spans="2:17" x14ac:dyDescent="0.2">
      <c r="B12" s="27" t="s">
        <v>33</v>
      </c>
      <c r="C12" s="28"/>
      <c r="D12" s="28"/>
      <c r="E12" s="29"/>
      <c r="F12" s="30"/>
      <c r="G12" s="30"/>
      <c r="H12" s="30"/>
      <c r="I12" s="4"/>
      <c r="J12" s="50"/>
      <c r="K12" s="50"/>
      <c r="L12" s="50"/>
      <c r="M12" s="4"/>
      <c r="N12" s="39"/>
      <c r="O12" s="42"/>
      <c r="P12" s="42"/>
      <c r="Q12" s="42"/>
    </row>
    <row r="13" spans="2:17" x14ac:dyDescent="0.2">
      <c r="B13" s="27" t="s">
        <v>34</v>
      </c>
      <c r="C13" s="28"/>
      <c r="D13" s="28"/>
      <c r="E13" s="29"/>
      <c r="F13" s="30"/>
      <c r="G13" s="30"/>
      <c r="H13" s="30"/>
      <c r="I13" s="4"/>
      <c r="J13" s="51"/>
      <c r="K13" s="51" t="s">
        <v>35</v>
      </c>
      <c r="L13" s="4"/>
      <c r="M13" s="4"/>
    </row>
    <row r="14" spans="2:17" x14ac:dyDescent="0.2">
      <c r="B14" s="28" t="s">
        <v>36</v>
      </c>
      <c r="C14" s="28" t="s">
        <v>37</v>
      </c>
      <c r="D14" s="28" t="s">
        <v>38</v>
      </c>
      <c r="E14" s="34">
        <v>4500</v>
      </c>
      <c r="F14" s="30">
        <v>22284.54</v>
      </c>
      <c r="G14" s="30">
        <v>6.34</v>
      </c>
      <c r="H14" s="30">
        <v>7.35</v>
      </c>
      <c r="I14" s="4"/>
      <c r="L14" s="4"/>
    </row>
    <row r="15" spans="2:17" x14ac:dyDescent="0.2">
      <c r="B15" s="28" t="s">
        <v>39</v>
      </c>
      <c r="C15" s="28" t="s">
        <v>40</v>
      </c>
      <c r="D15" s="28" t="s">
        <v>38</v>
      </c>
      <c r="E15" s="34">
        <v>4000</v>
      </c>
      <c r="F15" s="30">
        <v>19778.86</v>
      </c>
      <c r="G15" s="30">
        <v>5.63</v>
      </c>
      <c r="H15" s="30">
        <v>7.42</v>
      </c>
      <c r="I15" s="4"/>
      <c r="L15" s="4"/>
    </row>
    <row r="16" spans="2:17" x14ac:dyDescent="0.2">
      <c r="B16" s="28" t="s">
        <v>41</v>
      </c>
      <c r="C16" s="28" t="s">
        <v>42</v>
      </c>
      <c r="D16" s="28" t="s">
        <v>43</v>
      </c>
      <c r="E16" s="34">
        <v>3000</v>
      </c>
      <c r="F16" s="30">
        <v>14855.93</v>
      </c>
      <c r="G16" s="30">
        <v>4.2300000000000004</v>
      </c>
      <c r="H16" s="30">
        <v>7.38</v>
      </c>
      <c r="I16" s="4"/>
      <c r="L16" s="4"/>
    </row>
    <row r="17" spans="2:12" x14ac:dyDescent="0.2">
      <c r="B17" s="28" t="s">
        <v>44</v>
      </c>
      <c r="C17" s="28" t="s">
        <v>45</v>
      </c>
      <c r="D17" s="28" t="s">
        <v>43</v>
      </c>
      <c r="E17" s="34">
        <v>2000</v>
      </c>
      <c r="F17" s="30">
        <v>9887.86</v>
      </c>
      <c r="G17" s="30">
        <v>2.81</v>
      </c>
      <c r="H17" s="30">
        <v>7.39</v>
      </c>
      <c r="I17" s="4"/>
      <c r="L17" s="4"/>
    </row>
    <row r="18" spans="2:12" x14ac:dyDescent="0.2">
      <c r="B18" s="28" t="s">
        <v>46</v>
      </c>
      <c r="C18" s="28" t="s">
        <v>47</v>
      </c>
      <c r="D18" s="28" t="s">
        <v>48</v>
      </c>
      <c r="E18" s="34">
        <v>1500</v>
      </c>
      <c r="F18" s="30">
        <v>7435.45</v>
      </c>
      <c r="G18" s="30">
        <v>2.12</v>
      </c>
      <c r="H18" s="30">
        <v>7.37</v>
      </c>
      <c r="I18" s="4"/>
      <c r="L18" s="4"/>
    </row>
    <row r="19" spans="2:12" x14ac:dyDescent="0.2">
      <c r="B19" s="28" t="s">
        <v>49</v>
      </c>
      <c r="C19" s="28" t="s">
        <v>50</v>
      </c>
      <c r="D19" s="28" t="s">
        <v>43</v>
      </c>
      <c r="E19" s="34">
        <v>1000</v>
      </c>
      <c r="F19" s="30">
        <v>4944.92</v>
      </c>
      <c r="G19" s="30">
        <v>1.41</v>
      </c>
      <c r="H19" s="30">
        <v>7.39</v>
      </c>
      <c r="I19" s="4"/>
      <c r="L19" s="4"/>
    </row>
    <row r="20" spans="2:12" x14ac:dyDescent="0.2">
      <c r="B20" s="28" t="s">
        <v>51</v>
      </c>
      <c r="C20" s="28" t="s">
        <v>52</v>
      </c>
      <c r="D20" s="28" t="s">
        <v>43</v>
      </c>
      <c r="E20" s="34">
        <v>500</v>
      </c>
      <c r="F20" s="30">
        <v>2486.4899999999998</v>
      </c>
      <c r="G20" s="30">
        <v>0.71</v>
      </c>
      <c r="H20" s="30">
        <v>7.34</v>
      </c>
      <c r="I20" s="4"/>
      <c r="L20" s="4"/>
    </row>
    <row r="21" spans="2:12" x14ac:dyDescent="0.2">
      <c r="B21" s="28" t="s">
        <v>53</v>
      </c>
      <c r="C21" s="28" t="s">
        <v>54</v>
      </c>
      <c r="D21" s="28" t="s">
        <v>43</v>
      </c>
      <c r="E21" s="34">
        <v>500</v>
      </c>
      <c r="F21" s="30">
        <v>2483.56</v>
      </c>
      <c r="G21" s="30">
        <v>0.71</v>
      </c>
      <c r="H21" s="30">
        <v>7.32</v>
      </c>
      <c r="I21" s="4"/>
      <c r="L21" s="4"/>
    </row>
    <row r="22" spans="2:12" x14ac:dyDescent="0.2">
      <c r="B22" s="28" t="s">
        <v>55</v>
      </c>
      <c r="C22" s="28" t="s">
        <v>56</v>
      </c>
      <c r="D22" s="28" t="s">
        <v>43</v>
      </c>
      <c r="E22" s="34">
        <v>500</v>
      </c>
      <c r="F22" s="30">
        <v>2478.98</v>
      </c>
      <c r="G22" s="30">
        <v>0.71</v>
      </c>
      <c r="H22" s="30">
        <v>7.37</v>
      </c>
      <c r="I22" s="4"/>
      <c r="L22" s="4"/>
    </row>
    <row r="23" spans="2:12" x14ac:dyDescent="0.2">
      <c r="B23" s="28" t="s">
        <v>57</v>
      </c>
      <c r="C23" s="28" t="s">
        <v>58</v>
      </c>
      <c r="D23" s="28" t="s">
        <v>43</v>
      </c>
      <c r="E23" s="34">
        <v>500</v>
      </c>
      <c r="F23" s="30">
        <v>2472.0100000000002</v>
      </c>
      <c r="G23" s="30">
        <v>0.7</v>
      </c>
      <c r="H23" s="30">
        <v>7.38</v>
      </c>
      <c r="I23" s="4"/>
      <c r="L23" s="4"/>
    </row>
    <row r="24" spans="2:12" x14ac:dyDescent="0.2">
      <c r="B24" s="28" t="s">
        <v>59</v>
      </c>
      <c r="C24" s="28" t="s">
        <v>60</v>
      </c>
      <c r="D24" s="28" t="s">
        <v>43</v>
      </c>
      <c r="E24" s="34">
        <v>500</v>
      </c>
      <c r="F24" s="30">
        <v>2467.75</v>
      </c>
      <c r="G24" s="30">
        <v>0.7</v>
      </c>
      <c r="H24" s="30">
        <v>7.82</v>
      </c>
      <c r="I24" s="4"/>
      <c r="L24" s="4"/>
    </row>
    <row r="25" spans="2:12" x14ac:dyDescent="0.2">
      <c r="B25" s="27" t="s">
        <v>30</v>
      </c>
      <c r="C25" s="27"/>
      <c r="D25" s="27"/>
      <c r="E25" s="52"/>
      <c r="F25" s="53">
        <f>SUM(F13:F24)</f>
        <v>91576.349999999991</v>
      </c>
      <c r="G25" s="53">
        <f>SUM(G13:G24)</f>
        <v>26.07</v>
      </c>
      <c r="H25" s="54"/>
      <c r="I25" s="4"/>
      <c r="L25" s="4"/>
    </row>
    <row r="26" spans="2:12" x14ac:dyDescent="0.2">
      <c r="B26" s="27" t="s">
        <v>61</v>
      </c>
      <c r="C26" s="28"/>
      <c r="D26" s="28"/>
      <c r="E26" s="29"/>
      <c r="F26" s="30"/>
      <c r="G26" s="30"/>
      <c r="H26" s="30"/>
      <c r="I26" s="4"/>
      <c r="L26" s="4"/>
    </row>
    <row r="27" spans="2:12" x14ac:dyDescent="0.2">
      <c r="B27" s="28" t="s">
        <v>62</v>
      </c>
      <c r="C27" s="28" t="s">
        <v>63</v>
      </c>
      <c r="D27" s="28" t="s">
        <v>48</v>
      </c>
      <c r="E27" s="34">
        <v>3000</v>
      </c>
      <c r="F27" s="30">
        <v>14839.29</v>
      </c>
      <c r="G27" s="30">
        <v>4.22</v>
      </c>
      <c r="H27" s="30">
        <v>7.32</v>
      </c>
      <c r="I27" s="4"/>
      <c r="L27" s="4"/>
    </row>
    <row r="28" spans="2:12" x14ac:dyDescent="0.2">
      <c r="B28" s="28" t="s">
        <v>64</v>
      </c>
      <c r="C28" s="28" t="s">
        <v>65</v>
      </c>
      <c r="D28" s="28" t="s">
        <v>48</v>
      </c>
      <c r="E28" s="34">
        <v>2800</v>
      </c>
      <c r="F28" s="30">
        <v>13818.71</v>
      </c>
      <c r="G28" s="30">
        <v>3.93</v>
      </c>
      <c r="H28" s="30">
        <v>7.85</v>
      </c>
      <c r="I28" s="4"/>
      <c r="L28" s="4"/>
    </row>
    <row r="29" spans="2:12" x14ac:dyDescent="0.2">
      <c r="B29" s="28" t="s">
        <v>66</v>
      </c>
      <c r="C29" s="28" t="s">
        <v>67</v>
      </c>
      <c r="D29" s="28" t="s">
        <v>43</v>
      </c>
      <c r="E29" s="34">
        <v>2500</v>
      </c>
      <c r="F29" s="30">
        <v>12427.83</v>
      </c>
      <c r="G29" s="30">
        <v>3.54</v>
      </c>
      <c r="H29" s="30">
        <v>7.31</v>
      </c>
      <c r="I29" s="4"/>
      <c r="L29" s="4"/>
    </row>
    <row r="30" spans="2:12" x14ac:dyDescent="0.2">
      <c r="B30" s="28" t="s">
        <v>68</v>
      </c>
      <c r="C30" s="28" t="s">
        <v>69</v>
      </c>
      <c r="D30" s="28" t="s">
        <v>43</v>
      </c>
      <c r="E30" s="34">
        <v>2000</v>
      </c>
      <c r="F30" s="30">
        <v>9955.66</v>
      </c>
      <c r="G30" s="30">
        <v>2.83</v>
      </c>
      <c r="H30" s="30">
        <v>7.39</v>
      </c>
      <c r="I30" s="4"/>
      <c r="L30" s="4"/>
    </row>
    <row r="31" spans="2:12" x14ac:dyDescent="0.2">
      <c r="B31" s="28" t="s">
        <v>70</v>
      </c>
      <c r="C31" s="28" t="s">
        <v>71</v>
      </c>
      <c r="D31" s="28" t="s">
        <v>43</v>
      </c>
      <c r="E31" s="34">
        <v>2000</v>
      </c>
      <c r="F31" s="30">
        <v>9941.67</v>
      </c>
      <c r="G31" s="30">
        <v>2.83</v>
      </c>
      <c r="H31" s="30">
        <v>7.39</v>
      </c>
      <c r="I31" s="4"/>
      <c r="L31" s="4"/>
    </row>
    <row r="32" spans="2:12" x14ac:dyDescent="0.2">
      <c r="B32" s="28" t="s">
        <v>72</v>
      </c>
      <c r="C32" s="28" t="s">
        <v>73</v>
      </c>
      <c r="D32" s="28" t="s">
        <v>38</v>
      </c>
      <c r="E32" s="34">
        <v>2000</v>
      </c>
      <c r="F32" s="30">
        <v>9921.77</v>
      </c>
      <c r="G32" s="30">
        <v>2.82</v>
      </c>
      <c r="H32" s="30">
        <v>7.38</v>
      </c>
      <c r="I32" s="4"/>
      <c r="L32" s="4"/>
    </row>
    <row r="33" spans="2:12" x14ac:dyDescent="0.2">
      <c r="B33" s="28" t="s">
        <v>74</v>
      </c>
      <c r="C33" s="28" t="s">
        <v>75</v>
      </c>
      <c r="D33" s="28" t="s">
        <v>43</v>
      </c>
      <c r="E33" s="34">
        <v>2000</v>
      </c>
      <c r="F33" s="30">
        <v>9896.5300000000007</v>
      </c>
      <c r="G33" s="30">
        <v>2.82</v>
      </c>
      <c r="H33" s="30">
        <v>7.95</v>
      </c>
      <c r="I33" s="4"/>
      <c r="L33" s="4"/>
    </row>
    <row r="34" spans="2:12" x14ac:dyDescent="0.2">
      <c r="B34" s="28" t="s">
        <v>76</v>
      </c>
      <c r="C34" s="28" t="s">
        <v>77</v>
      </c>
      <c r="D34" s="28" t="s">
        <v>48</v>
      </c>
      <c r="E34" s="34">
        <v>2000</v>
      </c>
      <c r="F34" s="30">
        <v>9812.18</v>
      </c>
      <c r="G34" s="30">
        <v>2.79</v>
      </c>
      <c r="H34" s="30">
        <v>7.85</v>
      </c>
      <c r="I34" s="4"/>
      <c r="L34" s="4"/>
    </row>
    <row r="35" spans="2:12" x14ac:dyDescent="0.2">
      <c r="B35" s="28" t="s">
        <v>78</v>
      </c>
      <c r="C35" s="28" t="s">
        <v>79</v>
      </c>
      <c r="D35" s="28" t="s">
        <v>43</v>
      </c>
      <c r="E35" s="34">
        <v>1500</v>
      </c>
      <c r="F35" s="30">
        <v>7436.84</v>
      </c>
      <c r="G35" s="30">
        <v>2.12</v>
      </c>
      <c r="H35" s="30">
        <v>7.75</v>
      </c>
      <c r="I35" s="4"/>
      <c r="L35" s="4"/>
    </row>
    <row r="36" spans="2:12" x14ac:dyDescent="0.2">
      <c r="B36" s="28" t="s">
        <v>80</v>
      </c>
      <c r="C36" s="28" t="s">
        <v>81</v>
      </c>
      <c r="D36" s="28" t="s">
        <v>48</v>
      </c>
      <c r="E36" s="34">
        <v>1500</v>
      </c>
      <c r="F36" s="30">
        <v>7430.8</v>
      </c>
      <c r="G36" s="30">
        <v>2.12</v>
      </c>
      <c r="H36" s="30">
        <v>7.91</v>
      </c>
      <c r="I36" s="4"/>
      <c r="L36" s="4"/>
    </row>
    <row r="37" spans="2:12" x14ac:dyDescent="0.2">
      <c r="B37" s="28" t="s">
        <v>82</v>
      </c>
      <c r="C37" s="28" t="s">
        <v>83</v>
      </c>
      <c r="D37" s="28" t="s">
        <v>43</v>
      </c>
      <c r="E37" s="34">
        <v>1500</v>
      </c>
      <c r="F37" s="30">
        <v>7419.2</v>
      </c>
      <c r="G37" s="30">
        <v>2.11</v>
      </c>
      <c r="H37" s="30">
        <v>7.95</v>
      </c>
      <c r="I37" s="4"/>
      <c r="L37" s="4"/>
    </row>
    <row r="38" spans="2:12" x14ac:dyDescent="0.2">
      <c r="B38" s="28" t="s">
        <v>84</v>
      </c>
      <c r="C38" s="28" t="s">
        <v>85</v>
      </c>
      <c r="D38" s="28" t="s">
        <v>48</v>
      </c>
      <c r="E38" s="34">
        <v>1000</v>
      </c>
      <c r="F38" s="30">
        <v>4995.83</v>
      </c>
      <c r="G38" s="30">
        <v>1.42</v>
      </c>
      <c r="H38" s="30">
        <v>7.63</v>
      </c>
      <c r="I38" s="4"/>
      <c r="L38" s="4"/>
    </row>
    <row r="39" spans="2:12" x14ac:dyDescent="0.2">
      <c r="B39" s="28" t="s">
        <v>86</v>
      </c>
      <c r="C39" s="28" t="s">
        <v>87</v>
      </c>
      <c r="D39" s="28" t="s">
        <v>43</v>
      </c>
      <c r="E39" s="34">
        <v>1000</v>
      </c>
      <c r="F39" s="30">
        <v>4988.62</v>
      </c>
      <c r="G39" s="30">
        <v>1.42</v>
      </c>
      <c r="H39" s="30">
        <v>7.57</v>
      </c>
      <c r="I39" s="4"/>
      <c r="L39" s="4"/>
    </row>
    <row r="40" spans="2:12" x14ac:dyDescent="0.2">
      <c r="B40" s="28" t="s">
        <v>88</v>
      </c>
      <c r="C40" s="28" t="s">
        <v>89</v>
      </c>
      <c r="D40" s="28" t="s">
        <v>48</v>
      </c>
      <c r="E40" s="34">
        <v>1000</v>
      </c>
      <c r="F40" s="30">
        <v>4985.6099999999997</v>
      </c>
      <c r="G40" s="30">
        <v>1.42</v>
      </c>
      <c r="H40" s="30">
        <v>7.53</v>
      </c>
      <c r="I40" s="4"/>
      <c r="L40" s="4"/>
    </row>
    <row r="41" spans="2:12" x14ac:dyDescent="0.2">
      <c r="B41" s="28" t="s">
        <v>90</v>
      </c>
      <c r="C41" s="28" t="s">
        <v>91</v>
      </c>
      <c r="D41" s="28" t="s">
        <v>43</v>
      </c>
      <c r="E41" s="34">
        <v>1000</v>
      </c>
      <c r="F41" s="30">
        <v>4963.3599999999997</v>
      </c>
      <c r="G41" s="30">
        <v>1.41</v>
      </c>
      <c r="H41" s="30">
        <v>7.92</v>
      </c>
      <c r="I41" s="4"/>
      <c r="L41" s="4"/>
    </row>
    <row r="42" spans="2:12" x14ac:dyDescent="0.2">
      <c r="B42" s="28" t="s">
        <v>92</v>
      </c>
      <c r="C42" s="28" t="s">
        <v>93</v>
      </c>
      <c r="D42" s="28" t="s">
        <v>48</v>
      </c>
      <c r="E42" s="34">
        <v>1000</v>
      </c>
      <c r="F42" s="30">
        <v>4962.7700000000004</v>
      </c>
      <c r="G42" s="30">
        <v>1.41</v>
      </c>
      <c r="H42" s="30">
        <v>7.83</v>
      </c>
      <c r="I42" s="4"/>
      <c r="L42" s="4"/>
    </row>
    <row r="43" spans="2:12" x14ac:dyDescent="0.2">
      <c r="B43" s="28" t="s">
        <v>94</v>
      </c>
      <c r="C43" s="28" t="s">
        <v>95</v>
      </c>
      <c r="D43" s="28" t="s">
        <v>43</v>
      </c>
      <c r="E43" s="34">
        <v>1000</v>
      </c>
      <c r="F43" s="30">
        <v>4962.29</v>
      </c>
      <c r="G43" s="30">
        <v>1.41</v>
      </c>
      <c r="H43" s="30">
        <v>7.93</v>
      </c>
      <c r="I43" s="4"/>
      <c r="L43" s="4"/>
    </row>
    <row r="44" spans="2:12" x14ac:dyDescent="0.2">
      <c r="B44" s="28" t="s">
        <v>96</v>
      </c>
      <c r="C44" s="28" t="s">
        <v>97</v>
      </c>
      <c r="D44" s="28" t="s">
        <v>38</v>
      </c>
      <c r="E44" s="34">
        <v>1000</v>
      </c>
      <c r="F44" s="30">
        <v>4956.79</v>
      </c>
      <c r="G44" s="30">
        <v>1.41</v>
      </c>
      <c r="H44" s="30">
        <v>7.4</v>
      </c>
      <c r="I44" s="4"/>
      <c r="L44" s="4"/>
    </row>
    <row r="45" spans="2:12" x14ac:dyDescent="0.2">
      <c r="B45" s="28" t="s">
        <v>98</v>
      </c>
      <c r="C45" s="28" t="s">
        <v>99</v>
      </c>
      <c r="D45" s="28" t="s">
        <v>43</v>
      </c>
      <c r="E45" s="34">
        <v>500</v>
      </c>
      <c r="F45" s="30">
        <v>2490.31</v>
      </c>
      <c r="G45" s="30">
        <v>0.71</v>
      </c>
      <c r="H45" s="30">
        <v>7.48</v>
      </c>
      <c r="I45" s="4"/>
      <c r="L45" s="4"/>
    </row>
    <row r="46" spans="2:12" x14ac:dyDescent="0.2">
      <c r="B46" s="28" t="s">
        <v>100</v>
      </c>
      <c r="C46" s="28" t="s">
        <v>101</v>
      </c>
      <c r="D46" s="28" t="s">
        <v>43</v>
      </c>
      <c r="E46" s="34">
        <v>500</v>
      </c>
      <c r="F46" s="30">
        <v>2482.75</v>
      </c>
      <c r="G46" s="30">
        <v>0.71</v>
      </c>
      <c r="H46" s="30">
        <v>7.93</v>
      </c>
      <c r="I46" s="4"/>
      <c r="L46" s="4"/>
    </row>
    <row r="47" spans="2:12" x14ac:dyDescent="0.2">
      <c r="B47" s="28" t="s">
        <v>102</v>
      </c>
      <c r="C47" s="28" t="s">
        <v>103</v>
      </c>
      <c r="D47" s="28" t="s">
        <v>48</v>
      </c>
      <c r="E47" s="34">
        <v>500</v>
      </c>
      <c r="F47" s="30">
        <v>2477.69</v>
      </c>
      <c r="G47" s="30">
        <v>0.71</v>
      </c>
      <c r="H47" s="30">
        <v>7.83</v>
      </c>
      <c r="I47" s="4"/>
      <c r="L47" s="4"/>
    </row>
    <row r="48" spans="2:12" x14ac:dyDescent="0.2">
      <c r="B48" s="28" t="s">
        <v>104</v>
      </c>
      <c r="C48" s="28" t="s">
        <v>105</v>
      </c>
      <c r="D48" s="28" t="s">
        <v>43</v>
      </c>
      <c r="E48" s="34">
        <v>500</v>
      </c>
      <c r="F48" s="30">
        <v>2474.5100000000002</v>
      </c>
      <c r="G48" s="30">
        <v>0.7</v>
      </c>
      <c r="H48" s="30">
        <v>8</v>
      </c>
      <c r="I48" s="4"/>
      <c r="L48" s="4"/>
    </row>
    <row r="49" spans="2:12" x14ac:dyDescent="0.2">
      <c r="B49" s="28" t="s">
        <v>106</v>
      </c>
      <c r="C49" s="28" t="s">
        <v>107</v>
      </c>
      <c r="D49" s="28" t="s">
        <v>48</v>
      </c>
      <c r="E49" s="34">
        <v>500</v>
      </c>
      <c r="F49" s="30">
        <v>2474.46</v>
      </c>
      <c r="G49" s="30">
        <v>0.7</v>
      </c>
      <c r="H49" s="30">
        <v>7.85</v>
      </c>
      <c r="I49" s="4"/>
      <c r="L49" s="4"/>
    </row>
    <row r="50" spans="2:12" x14ac:dyDescent="0.2">
      <c r="B50" s="28" t="s">
        <v>108</v>
      </c>
      <c r="C50" s="28" t="s">
        <v>109</v>
      </c>
      <c r="D50" s="28" t="s">
        <v>43</v>
      </c>
      <c r="E50" s="34">
        <v>500</v>
      </c>
      <c r="F50" s="30">
        <v>2469.6</v>
      </c>
      <c r="G50" s="30">
        <v>0.7</v>
      </c>
      <c r="H50" s="30">
        <v>8.17</v>
      </c>
      <c r="I50" s="4"/>
      <c r="L50" s="4"/>
    </row>
    <row r="51" spans="2:12" x14ac:dyDescent="0.2">
      <c r="B51" s="27" t="s">
        <v>30</v>
      </c>
      <c r="C51" s="27"/>
      <c r="D51" s="27"/>
      <c r="E51" s="52"/>
      <c r="F51" s="53">
        <f>SUM(F26:F50)</f>
        <v>162585.07</v>
      </c>
      <c r="G51" s="53">
        <f>SUM(G26:G50)</f>
        <v>46.260000000000005</v>
      </c>
      <c r="H51" s="54"/>
      <c r="I51" s="4"/>
      <c r="L51" s="4"/>
    </row>
    <row r="52" spans="2:12" x14ac:dyDescent="0.2">
      <c r="B52" s="27" t="s">
        <v>110</v>
      </c>
      <c r="C52" s="28"/>
      <c r="D52" s="28"/>
      <c r="E52" s="29"/>
      <c r="F52" s="30"/>
      <c r="G52" s="30"/>
      <c r="H52" s="30"/>
      <c r="I52" s="4"/>
      <c r="L52" s="4"/>
    </row>
    <row r="53" spans="2:12" x14ac:dyDescent="0.2">
      <c r="B53" s="28" t="s">
        <v>111</v>
      </c>
      <c r="C53" s="28" t="s">
        <v>112</v>
      </c>
      <c r="D53" s="28" t="s">
        <v>113</v>
      </c>
      <c r="E53" s="34">
        <v>25500000</v>
      </c>
      <c r="F53" s="30">
        <v>25466.799999999999</v>
      </c>
      <c r="G53" s="30">
        <v>7.25</v>
      </c>
      <c r="H53" s="30">
        <v>6.8</v>
      </c>
      <c r="I53" s="4"/>
      <c r="L53" s="4"/>
    </row>
    <row r="54" spans="2:12" x14ac:dyDescent="0.2">
      <c r="B54" s="28" t="s">
        <v>114</v>
      </c>
      <c r="C54" s="28" t="s">
        <v>115</v>
      </c>
      <c r="D54" s="28" t="s">
        <v>113</v>
      </c>
      <c r="E54" s="34">
        <v>10000000</v>
      </c>
      <c r="F54" s="30">
        <v>9921.9500000000007</v>
      </c>
      <c r="G54" s="30">
        <v>2.82</v>
      </c>
      <c r="H54" s="30">
        <v>6.84</v>
      </c>
      <c r="I54" s="4"/>
      <c r="L54" s="4"/>
    </row>
    <row r="55" spans="2:12" x14ac:dyDescent="0.2">
      <c r="B55" s="28" t="s">
        <v>116</v>
      </c>
      <c r="C55" s="28" t="s">
        <v>117</v>
      </c>
      <c r="D55" s="28" t="s">
        <v>113</v>
      </c>
      <c r="E55" s="34">
        <v>10000000</v>
      </c>
      <c r="F55" s="30">
        <v>9868.56</v>
      </c>
      <c r="G55" s="30">
        <v>2.81</v>
      </c>
      <c r="H55" s="30">
        <v>6.94</v>
      </c>
      <c r="I55" s="4"/>
      <c r="L55" s="4"/>
    </row>
    <row r="56" spans="2:12" x14ac:dyDescent="0.2">
      <c r="B56" s="28" t="s">
        <v>118</v>
      </c>
      <c r="C56" s="28" t="s">
        <v>119</v>
      </c>
      <c r="D56" s="28" t="s">
        <v>113</v>
      </c>
      <c r="E56" s="34">
        <v>8000000</v>
      </c>
      <c r="F56" s="30">
        <v>8000</v>
      </c>
      <c r="G56" s="30">
        <v>2.2799999999999998</v>
      </c>
      <c r="H56" s="30">
        <v>6.84</v>
      </c>
      <c r="I56" s="4"/>
      <c r="L56" s="4"/>
    </row>
    <row r="57" spans="2:12" x14ac:dyDescent="0.2">
      <c r="B57" s="28" t="s">
        <v>120</v>
      </c>
      <c r="C57" s="28" t="s">
        <v>121</v>
      </c>
      <c r="D57" s="28" t="s">
        <v>113</v>
      </c>
      <c r="E57" s="34">
        <v>2500000</v>
      </c>
      <c r="F57" s="30">
        <v>2496.75</v>
      </c>
      <c r="G57" s="30">
        <v>0.71</v>
      </c>
      <c r="H57" s="30">
        <v>6.8</v>
      </c>
      <c r="I57" s="4"/>
      <c r="L57" s="4"/>
    </row>
    <row r="58" spans="2:12" x14ac:dyDescent="0.2">
      <c r="B58" s="28" t="s">
        <v>122</v>
      </c>
      <c r="C58" s="28" t="s">
        <v>123</v>
      </c>
      <c r="D58" s="28" t="s">
        <v>113</v>
      </c>
      <c r="E58" s="34">
        <v>2500000</v>
      </c>
      <c r="F58" s="30">
        <v>2483.7800000000002</v>
      </c>
      <c r="G58" s="30">
        <v>0.71</v>
      </c>
      <c r="H58" s="30">
        <v>6.81</v>
      </c>
      <c r="I58" s="4"/>
      <c r="L58" s="4"/>
    </row>
    <row r="59" spans="2:12" x14ac:dyDescent="0.2">
      <c r="B59" s="43" t="s">
        <v>30</v>
      </c>
      <c r="C59" s="43"/>
      <c r="D59" s="43"/>
      <c r="E59" s="44"/>
      <c r="F59" s="45">
        <f>SUM(F52:F58)</f>
        <v>58237.84</v>
      </c>
      <c r="G59" s="45">
        <f>SUM(G52:G58)</f>
        <v>16.580000000000002</v>
      </c>
      <c r="H59" s="46"/>
      <c r="I59" s="4"/>
      <c r="L59" s="4"/>
    </row>
    <row r="60" spans="2:12" x14ac:dyDescent="0.2">
      <c r="B60" s="47" t="s">
        <v>31</v>
      </c>
      <c r="C60" s="47"/>
      <c r="D60" s="47"/>
      <c r="E60" s="48"/>
      <c r="F60" s="49">
        <f>F25+F51+F59</f>
        <v>312399.26</v>
      </c>
      <c r="G60" s="49">
        <f>G25+G51+G59</f>
        <v>88.910000000000011</v>
      </c>
      <c r="H60" s="49"/>
      <c r="I60" s="4"/>
      <c r="L60" s="4"/>
    </row>
    <row r="61" spans="2:12" x14ac:dyDescent="0.2">
      <c r="B61" s="27" t="s">
        <v>124</v>
      </c>
      <c r="C61" s="28"/>
      <c r="D61" s="28"/>
      <c r="E61" s="29"/>
      <c r="F61" s="30"/>
      <c r="G61" s="30"/>
      <c r="H61" s="30"/>
      <c r="I61" s="4"/>
      <c r="L61" s="4"/>
    </row>
    <row r="62" spans="2:12" x14ac:dyDescent="0.2">
      <c r="B62" s="55" t="s">
        <v>125</v>
      </c>
      <c r="C62" s="55" t="s">
        <v>126</v>
      </c>
      <c r="D62" s="55" t="s">
        <v>124</v>
      </c>
      <c r="E62" s="56">
        <v>6377.6809999999996</v>
      </c>
      <c r="F62" s="57">
        <v>645.39</v>
      </c>
      <c r="G62" s="57">
        <v>0.18</v>
      </c>
      <c r="H62" s="57">
        <v>7.1400000000000006</v>
      </c>
      <c r="I62" s="4"/>
      <c r="L62" s="4"/>
    </row>
    <row r="63" spans="2:12" x14ac:dyDescent="0.2">
      <c r="B63" s="58" t="s">
        <v>31</v>
      </c>
      <c r="C63" s="58"/>
      <c r="D63" s="58"/>
      <c r="E63" s="59"/>
      <c r="F63" s="53">
        <f>SUM(F62:F62)</f>
        <v>645.39</v>
      </c>
      <c r="G63" s="53">
        <f>SUM(G62:G62)</f>
        <v>0.18</v>
      </c>
      <c r="H63" s="53"/>
      <c r="I63" s="4"/>
      <c r="L63" s="4"/>
    </row>
    <row r="64" spans="2:12" x14ac:dyDescent="0.2">
      <c r="B64" s="27" t="s">
        <v>127</v>
      </c>
      <c r="C64" s="28"/>
      <c r="D64" s="28"/>
      <c r="E64" s="29"/>
      <c r="F64" s="30"/>
      <c r="G64" s="30"/>
      <c r="H64" s="30"/>
      <c r="I64" s="4"/>
      <c r="L64" s="4"/>
    </row>
    <row r="65" spans="2:12" x14ac:dyDescent="0.2">
      <c r="B65" s="28" t="s">
        <v>127</v>
      </c>
      <c r="C65" s="28"/>
      <c r="D65" s="28"/>
      <c r="E65" s="29"/>
      <c r="F65" s="30">
        <v>2091.5500000000002</v>
      </c>
      <c r="G65" s="30">
        <v>0.6</v>
      </c>
      <c r="H65" s="30"/>
      <c r="I65" s="4"/>
      <c r="L65" s="4"/>
    </row>
    <row r="66" spans="2:12" x14ac:dyDescent="0.2">
      <c r="B66" s="43" t="s">
        <v>30</v>
      </c>
      <c r="C66" s="43"/>
      <c r="D66" s="43"/>
      <c r="E66" s="44"/>
      <c r="F66" s="45">
        <f>SUM(F64:F65)</f>
        <v>2091.5500000000002</v>
      </c>
      <c r="G66" s="45">
        <f>SUM(G64:G65)</f>
        <v>0.6</v>
      </c>
      <c r="H66" s="46"/>
      <c r="I66" s="4"/>
      <c r="L66" s="4"/>
    </row>
    <row r="67" spans="2:12" x14ac:dyDescent="0.2">
      <c r="B67" s="60" t="s">
        <v>31</v>
      </c>
      <c r="C67" s="60"/>
      <c r="D67" s="60"/>
      <c r="E67" s="61"/>
      <c r="F67" s="62">
        <f>F66</f>
        <v>2091.5500000000002</v>
      </c>
      <c r="G67" s="62">
        <f>G66</f>
        <v>0.6</v>
      </c>
      <c r="H67" s="62"/>
      <c r="I67" s="4"/>
      <c r="L67" s="4"/>
    </row>
    <row r="68" spans="2:12" x14ac:dyDescent="0.2">
      <c r="B68" s="63" t="s">
        <v>128</v>
      </c>
      <c r="C68" s="63"/>
      <c r="D68" s="63"/>
      <c r="E68" s="64"/>
      <c r="F68" s="65">
        <f>F69-(+F11+F60+F63+F67)</f>
        <v>23646.260000000009</v>
      </c>
      <c r="G68" s="65">
        <f>G69-(+G11+G60+G63+G67)</f>
        <v>6.7599999999999909</v>
      </c>
      <c r="H68" s="65"/>
      <c r="I68" s="4"/>
      <c r="L68" s="4"/>
    </row>
    <row r="69" spans="2:12" x14ac:dyDescent="0.2">
      <c r="B69" s="63" t="s">
        <v>129</v>
      </c>
      <c r="C69" s="63"/>
      <c r="D69" s="63"/>
      <c r="E69" s="64"/>
      <c r="F69" s="65">
        <v>351272.82</v>
      </c>
      <c r="G69" s="65">
        <v>100</v>
      </c>
      <c r="H69" s="65"/>
      <c r="I69" s="4"/>
      <c r="L69" s="4"/>
    </row>
    <row r="70" spans="2:12" x14ac:dyDescent="0.2">
      <c r="I70" s="4"/>
      <c r="L70" s="4"/>
    </row>
    <row r="71" spans="2:12" x14ac:dyDescent="0.2">
      <c r="B71" s="67" t="s">
        <v>130</v>
      </c>
      <c r="I71" s="4"/>
      <c r="L71" s="4"/>
    </row>
    <row r="72" spans="2:12" x14ac:dyDescent="0.2">
      <c r="B72" s="67" t="s">
        <v>131</v>
      </c>
    </row>
    <row r="73" spans="2:12" ht="12.75" thickBot="1" x14ac:dyDescent="0.25"/>
    <row r="74" spans="2:12" ht="13.5" thickTop="1" thickBot="1" x14ac:dyDescent="0.25">
      <c r="B74" s="68" t="s">
        <v>132</v>
      </c>
      <c r="C74" s="69">
        <v>9.4799999999999995E-2</v>
      </c>
    </row>
    <row r="75" spans="2:12" ht="13.5" thickTop="1" thickBot="1" x14ac:dyDescent="0.25"/>
    <row r="76" spans="2:12" ht="13.5" thickTop="1" thickBot="1" x14ac:dyDescent="0.25">
      <c r="B76" s="68" t="s">
        <v>133</v>
      </c>
      <c r="C76" s="70">
        <v>7.3700000000000002E-2</v>
      </c>
    </row>
    <row r="77" spans="2:12" ht="13.5" thickTop="1" thickBot="1" x14ac:dyDescent="0.25"/>
    <row r="78" spans="2:12" ht="13.5" thickTop="1" thickBot="1" x14ac:dyDescent="0.25">
      <c r="B78" s="68" t="s">
        <v>134</v>
      </c>
      <c r="C78" s="69">
        <v>0.10349999999999999</v>
      </c>
    </row>
    <row r="79" spans="2:12" ht="12.75" thickTop="1" x14ac:dyDescent="0.2"/>
  </sheetData>
  <mergeCells count="20">
    <mergeCell ref="N11:N12"/>
    <mergeCell ref="O11:O12"/>
    <mergeCell ref="P11:P12"/>
    <mergeCell ref="Q11:Q12"/>
    <mergeCell ref="P7:P8"/>
    <mergeCell ref="Q7:Q8"/>
    <mergeCell ref="N9:N10"/>
    <mergeCell ref="O9:O10"/>
    <mergeCell ref="P9:P10"/>
    <mergeCell ref="Q9:Q10"/>
    <mergeCell ref="B1:H1"/>
    <mergeCell ref="N4:Q4"/>
    <mergeCell ref="J5:J12"/>
    <mergeCell ref="K5:K12"/>
    <mergeCell ref="L5:L12"/>
    <mergeCell ref="O5:O6"/>
    <mergeCell ref="P5:P6"/>
    <mergeCell ref="Q5:Q6"/>
    <mergeCell ref="N7:N8"/>
    <mergeCell ref="O7:O8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2024-02-07 17:18:55</KDate>
  <Classification>Public</Classification>
  <Subclassification/>
  <HostName>MUMCMP00935</HostName>
  <Domain_User>CANARAROBECOMF/628</Domain_User>
  <IPAdd>192.9.198.194</IPAdd>
  <FilePath>Book18</FilePath>
  <KID>C025A5607E97638429231356978276</KID>
  <UniqueName/>
  <Suggested/>
  <Justification/>
</Klassify>
</file>

<file path=customXml/itemProps1.xml><?xml version="1.0" encoding="utf-8"?>
<ds:datastoreItem xmlns:ds="http://schemas.openxmlformats.org/officeDocument/2006/customXml" ds:itemID="{B8E4552C-A123-4AB1-9B9D-A143608A935C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2024-02-07T11:48:51Z</dcterms:created>
  <dcterms:modified xsi:type="dcterms:W3CDTF">2024-02-07T11:48:55Z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Rules">
    <vt:lpwstr/>
  </property>
  <property fmtid="{D5CDD505-2E9C-101B-9397-08002B2CF9AE}" pid="4" name="KID">
    <vt:lpwstr>C025A5607E97638429231356978276</vt:lpwstr>
  </property>
</Properties>
</file>