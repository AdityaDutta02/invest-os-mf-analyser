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C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F36" i="1"/>
  <c r="G35" i="1"/>
  <c r="F35" i="1"/>
  <c r="G32" i="1"/>
  <c r="F32" i="1"/>
  <c r="G25" i="1"/>
  <c r="G26" i="1" s="1"/>
  <c r="F25" i="1"/>
  <c r="F26" i="1" s="1"/>
  <c r="G15" i="1"/>
  <c r="G16" i="1" s="1"/>
  <c r="F15" i="1"/>
  <c r="F16" i="1" s="1"/>
  <c r="F37" i="1" l="1"/>
  <c r="G37" i="1"/>
</calcChain>
</file>

<file path=xl/sharedStrings.xml><?xml version="1.0" encoding="utf-8"?>
<sst xmlns="http://schemas.openxmlformats.org/spreadsheetml/2006/main" count="84" uniqueCount="68">
  <si>
    <t>CANARA  ROBECO  CAPITAL  PROTECTION  ORIENTED FUND– SERIES 10</t>
  </si>
  <si>
    <t>Monthly Portfolio Statement as on January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</si>
  <si>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</si>
  <si>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</si>
  <si>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</si>
  <si>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</si>
  <si>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</si>
  <si>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</si>
  <si>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</si>
  <si>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Jan'22</t>
  </si>
  <si>
    <t>Benchmark Risk-o-meter Level- Jan'22</t>
  </si>
  <si>
    <t>Previous Scheme Risk-o-meter Level- Dec'21</t>
  </si>
  <si>
    <t>Equity &amp; Equity related</t>
  </si>
  <si>
    <t>(a) Listed / awaiting listing on Stock Exchanges</t>
  </si>
  <si>
    <t>HDFC Bank Ltd</t>
  </si>
  <si>
    <t>INE040A01034</t>
  </si>
  <si>
    <t>Banks</t>
  </si>
  <si>
    <t>Hindustan Unilever Ltd</t>
  </si>
  <si>
    <t>INE030A01027</t>
  </si>
  <si>
    <t>Consumer Non Durables</t>
  </si>
  <si>
    <t>Larsen &amp; Toubro Ltd</t>
  </si>
  <si>
    <t>INE018A01030</t>
  </si>
  <si>
    <t>Construction Project</t>
  </si>
  <si>
    <t>Reliance Industries Ltd</t>
  </si>
  <si>
    <t>INE002A01018</t>
  </si>
  <si>
    <t>Petroleum Products</t>
  </si>
  <si>
    <t>Kansai Nerolac Paints Ltd</t>
  </si>
  <si>
    <t>INE531A01024</t>
  </si>
  <si>
    <t>Honeywell Automation India Ltd</t>
  </si>
  <si>
    <t>INE671A01010</t>
  </si>
  <si>
    <t>Industrial Capital Goods</t>
  </si>
  <si>
    <t>Ultratech Cement Ltd</t>
  </si>
  <si>
    <t>INE481G01011</t>
  </si>
  <si>
    <t>Cement &amp; Cement Products</t>
  </si>
  <si>
    <t>Benchmark: CRISIL Hybrid 85+15 - Conservative Index</t>
  </si>
  <si>
    <t>Maruti Suzuki India Ltd</t>
  </si>
  <si>
    <t>INE585B01010</t>
  </si>
  <si>
    <t>Auto</t>
  </si>
  <si>
    <t>Sub Total</t>
  </si>
  <si>
    <t>Total</t>
  </si>
  <si>
    <t>Debt Instruments</t>
  </si>
  <si>
    <t>8.58% Housing Development Finance Corporation Ltd (18/03/2022) **</t>
  </si>
  <si>
    <t>INE001A07RS3</t>
  </si>
  <si>
    <t>CRISIL AAA</t>
  </si>
  <si>
    <t>8.18% Power Finance Corporation Ltd (19/03/2022) **</t>
  </si>
  <si>
    <t>INE134E08JW1</t>
  </si>
  <si>
    <t>7.95% LIC Housing Finance Ltd (24/03/2022) **</t>
  </si>
  <si>
    <t>INE115A07LM7</t>
  </si>
  <si>
    <t>8.30% Reliance Industries Ltd (08/03/2022)</t>
  </si>
  <si>
    <t>INE002A08575</t>
  </si>
  <si>
    <t>6.60% REC Ltd (21/03/2022) **</t>
  </si>
  <si>
    <t>INE020B08CV5</t>
  </si>
  <si>
    <t>9.43% LIC Housing Finance Ltd (10/02/2022) **</t>
  </si>
  <si>
    <t>INE115A07CA1</t>
  </si>
  <si>
    <t>Government Bonds</t>
  </si>
  <si>
    <t>8.21% Haryana SDL Uday 31-Mar-22</t>
  </si>
  <si>
    <t>IN1620150145</t>
  </si>
  <si>
    <t>Sovereign</t>
  </si>
  <si>
    <t>8.49% Punjab SDL Uday 31-Mar-22</t>
  </si>
  <si>
    <t>IN2820150273</t>
  </si>
  <si>
    <t>8.20% GOI (15/02/2022)</t>
  </si>
  <si>
    <t>IN0020060037</t>
  </si>
  <si>
    <t>8.99% GUJARAT SDL 14-MAR-22</t>
  </si>
  <si>
    <t>IN1520110132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</si>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</sst>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0" fontId="3" fillId="3" borderId="9" xfId="0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" fontId="3" fillId="3" borderId="12" xfId="0" applyNumberFormat="1" applyFont="1" applyFill="1" applyBorder="1"/>
    <xf numFmtId="0" fontId="3" fillId="3" borderId="13" xfId="0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0" fontId="3" fillId="3" borderId="14" xfId="0" applyFont="1" applyFill="1" applyBorder="1" applyAlignment="1">
      <alignment horizontal="center"/>
    </xf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4" fontId="9" fillId="3" borderId="0" xfId="0" applyNumberFormat="1" applyFont="1" applyFill="1"/>
    <xf numFmtId="0" fontId="9" fillId="3" borderId="20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11" xfId="0" applyFont="1" applyFill="1" applyBorder="1"/>
    <xf numFmtId="4" fontId="9" fillId="3" borderId="16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3" fillId="3" borderId="22" xfId="0" applyFont="1" applyFill="1" applyBorder="1"/>
    <xf numFmtId="3" fontId="3" fillId="3" borderId="22" xfId="0" applyNumberFormat="1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200025</xdr:colOff>
      <xdr:row>4</xdr:row>
      <xdr:rowOff>47625</xdr:rowOff>
    </xdr:from>
    <xdr:to>
      <xdr:col>11</xdr:col>
      <xdr:colOff>1819275</xdr:colOff>
      <xdr:row>11</xdr:row>
      <xdr:rowOff>149751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D8070091-B9B5-4ED5-AFAB-BA21A16E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1047750"/>
          <a:ext cx="1619250" cy="1168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123825</xdr:colOff>
      <xdr:row>4</xdr:row>
      <xdr:rowOff>38100</xdr:rowOff>
    </xdr:from>
    <xdr:to>
      <xdr:col>12</xdr:col>
      <xdr:colOff>1743075</xdr:colOff>
      <xdr:row>11</xdr:row>
      <xdr:rowOff>133350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36F95E19-E76A-4403-94DF-3972B5870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0675" y="1038225"/>
          <a:ext cx="16192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1609725</xdr:colOff>
      <xdr:row>11</xdr:row>
      <xdr:rowOff>95250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D8070091-B9B5-4ED5-AFAB-BA21A16E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000125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0"/>
  <sheetViews>
    <sheetView tabSelected="1" workbookViewId="0">
      <selection activeCell="M22" sqref="M22"/>
    </sheetView>
  </sheetViews>
  <sheetFormatPr defaultRowHeight="12"/>
  <cols>
    <col min="1" max="1" width="9.140625" style="4"/>
    <col min="2" max="2" width="58.42578125" style="4" bestFit="1" customWidth="1"/>
    <col min="3" max="3" width="13.5703125" style="4" bestFit="1" customWidth="1"/>
    <col min="4" max="4" width="23.42578125" style="4" bestFit="1" customWidth="1"/>
    <col min="5" max="5" width="8.85546875" style="63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4.7109375" style="3" bestFit="1" customWidth="1"/>
    <col min="11" max="11" width="6.5703125" style="3" bestFit="1" customWidth="1"/>
    <col min="12" max="12" width="30.42578125" style="3" customWidth="1"/>
    <col min="13" max="13" width="29.42578125" style="4" customWidth="1"/>
    <col min="14" max="14" width="28.42578125" style="4" customWidth="1"/>
    <col min="15" max="16384" width="9.140625" style="4"/>
  </cols>
  <sheetData>
    <row r="1" spans="2:14" ht="20.25">
      <c r="B1" s="1" t="s">
        <v>0</v>
      </c>
      <c r="C1" s="2"/>
      <c r="D1" s="2"/>
      <c r="E1" s="2"/>
      <c r="F1" s="2"/>
      <c r="G1" s="2"/>
      <c r="H1" s="2"/>
    </row>
    <row r="3" spans="2:14" ht="16.5" thickBot="1">
      <c r="B3" s="5" t="s">
        <v>1</v>
      </c>
      <c r="C3" s="6"/>
      <c r="D3" s="7"/>
      <c r="E3" s="8"/>
      <c r="F3" s="9"/>
      <c r="G3" s="9"/>
    </row>
    <row r="4" spans="2:14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L4" s="16" t="s">
        <v>9</v>
      </c>
      <c r="M4" s="16" t="s">
        <v>10</v>
      </c>
      <c r="N4" s="16" t="s">
        <v>11</v>
      </c>
    </row>
    <row r="5" spans="2:14">
      <c r="B5" s="17" t="s">
        <v>12</v>
      </c>
      <c r="C5" s="18"/>
      <c r="D5" s="18"/>
      <c r="E5" s="19"/>
      <c r="F5" s="20"/>
      <c r="G5" s="20"/>
      <c r="H5" s="21"/>
      <c r="L5" s="22"/>
      <c r="M5" s="22"/>
      <c r="N5" s="22"/>
    </row>
    <row r="6" spans="2:14">
      <c r="B6" s="23" t="s">
        <v>13</v>
      </c>
      <c r="C6" s="24"/>
      <c r="D6" s="24"/>
      <c r="E6" s="25"/>
      <c r="F6" s="26"/>
      <c r="G6" s="26"/>
      <c r="H6" s="27"/>
      <c r="L6" s="28"/>
      <c r="M6" s="28"/>
      <c r="N6" s="28"/>
    </row>
    <row r="7" spans="2:14">
      <c r="B7" s="29" t="s">
        <v>14</v>
      </c>
      <c r="C7" s="24" t="s">
        <v>15</v>
      </c>
      <c r="D7" s="24" t="s">
        <v>16</v>
      </c>
      <c r="E7" s="30">
        <v>21240</v>
      </c>
      <c r="F7" s="26">
        <v>315.56</v>
      </c>
      <c r="G7" s="26">
        <v>1.44</v>
      </c>
      <c r="H7" s="27"/>
      <c r="L7" s="28"/>
      <c r="M7" s="28"/>
      <c r="N7" s="28"/>
    </row>
    <row r="8" spans="2:14">
      <c r="B8" s="29" t="s">
        <v>17</v>
      </c>
      <c r="C8" s="24" t="s">
        <v>18</v>
      </c>
      <c r="D8" s="24" t="s">
        <v>19</v>
      </c>
      <c r="E8" s="30">
        <v>5730</v>
      </c>
      <c r="F8" s="26">
        <v>130.29</v>
      </c>
      <c r="G8" s="26">
        <v>0.59</v>
      </c>
      <c r="H8" s="27"/>
      <c r="L8" s="28"/>
      <c r="M8" s="28"/>
      <c r="N8" s="28"/>
    </row>
    <row r="9" spans="2:14">
      <c r="B9" s="29" t="s">
        <v>20</v>
      </c>
      <c r="C9" s="24" t="s">
        <v>21</v>
      </c>
      <c r="D9" s="24" t="s">
        <v>22</v>
      </c>
      <c r="E9" s="30">
        <v>4370</v>
      </c>
      <c r="F9" s="26">
        <v>83.43</v>
      </c>
      <c r="G9" s="26">
        <v>0.38</v>
      </c>
      <c r="H9" s="27"/>
      <c r="L9" s="28"/>
      <c r="M9" s="28"/>
      <c r="N9" s="28"/>
    </row>
    <row r="10" spans="2:14">
      <c r="B10" s="29" t="s">
        <v>23</v>
      </c>
      <c r="C10" s="24" t="s">
        <v>24</v>
      </c>
      <c r="D10" s="24" t="s">
        <v>25</v>
      </c>
      <c r="E10" s="30">
        <v>3000</v>
      </c>
      <c r="F10" s="26">
        <v>71.599999999999994</v>
      </c>
      <c r="G10" s="26">
        <v>0.33</v>
      </c>
      <c r="H10" s="27"/>
      <c r="L10" s="28"/>
      <c r="M10" s="28"/>
      <c r="N10" s="28"/>
    </row>
    <row r="11" spans="2:14">
      <c r="B11" s="29" t="s">
        <v>26</v>
      </c>
      <c r="C11" s="24" t="s">
        <v>27</v>
      </c>
      <c r="D11" s="24" t="s">
        <v>19</v>
      </c>
      <c r="E11" s="30">
        <v>12500</v>
      </c>
      <c r="F11" s="26">
        <v>70.88</v>
      </c>
      <c r="G11" s="26">
        <v>0.32</v>
      </c>
      <c r="H11" s="27"/>
      <c r="L11" s="28"/>
      <c r="M11" s="28"/>
      <c r="N11" s="28"/>
    </row>
    <row r="12" spans="2:14">
      <c r="B12" s="29" t="s">
        <v>28</v>
      </c>
      <c r="C12" s="24" t="s">
        <v>29</v>
      </c>
      <c r="D12" s="24" t="s">
        <v>30</v>
      </c>
      <c r="E12" s="30">
        <v>165</v>
      </c>
      <c r="F12" s="26">
        <v>70.64</v>
      </c>
      <c r="G12" s="26">
        <v>0.32</v>
      </c>
      <c r="H12" s="27"/>
      <c r="L12" s="31"/>
      <c r="M12" s="31"/>
      <c r="N12" s="31"/>
    </row>
    <row r="13" spans="2:14">
      <c r="B13" s="29" t="s">
        <v>31</v>
      </c>
      <c r="C13" s="24" t="s">
        <v>32</v>
      </c>
      <c r="D13" s="24" t="s">
        <v>33</v>
      </c>
      <c r="E13" s="30">
        <v>900</v>
      </c>
      <c r="F13" s="26">
        <v>64.95</v>
      </c>
      <c r="G13" s="26">
        <v>0.3</v>
      </c>
      <c r="H13" s="27"/>
      <c r="M13" s="4" t="s">
        <v>34</v>
      </c>
    </row>
    <row r="14" spans="2:14">
      <c r="B14" s="29" t="s">
        <v>35</v>
      </c>
      <c r="C14" s="24" t="s">
        <v>36</v>
      </c>
      <c r="D14" s="24" t="s">
        <v>37</v>
      </c>
      <c r="E14" s="30">
        <v>500</v>
      </c>
      <c r="F14" s="26">
        <v>42.99</v>
      </c>
      <c r="G14" s="26">
        <v>0.2</v>
      </c>
      <c r="H14" s="27"/>
    </row>
    <row r="15" spans="2:14">
      <c r="B15" s="32" t="s">
        <v>38</v>
      </c>
      <c r="C15" s="33"/>
      <c r="D15" s="33"/>
      <c r="E15" s="34"/>
      <c r="F15" s="35">
        <f>SUM(F7:F14)</f>
        <v>850.34</v>
      </c>
      <c r="G15" s="35">
        <f>SUM(G7:G14)</f>
        <v>3.8799999999999994</v>
      </c>
      <c r="H15" s="36"/>
    </row>
    <row r="16" spans="2:14">
      <c r="B16" s="37" t="s">
        <v>39</v>
      </c>
      <c r="C16" s="37"/>
      <c r="D16" s="37"/>
      <c r="E16" s="38"/>
      <c r="F16" s="39">
        <f>F15</f>
        <v>850.34</v>
      </c>
      <c r="G16" s="39">
        <f>G15</f>
        <v>3.8799999999999994</v>
      </c>
      <c r="H16" s="40"/>
    </row>
    <row r="17" spans="2:8">
      <c r="B17" s="41" t="s">
        <v>40</v>
      </c>
      <c r="C17" s="42"/>
      <c r="D17" s="42"/>
      <c r="E17" s="43"/>
      <c r="F17" s="44"/>
      <c r="G17" s="44"/>
      <c r="H17" s="44"/>
    </row>
    <row r="18" spans="2:8">
      <c r="B18" s="45" t="s">
        <v>13</v>
      </c>
      <c r="C18" s="24"/>
      <c r="D18" s="24"/>
      <c r="E18" s="25"/>
      <c r="F18" s="26"/>
      <c r="G18" s="26"/>
      <c r="H18" s="26"/>
    </row>
    <row r="19" spans="2:8">
      <c r="B19" s="24" t="s">
        <v>41</v>
      </c>
      <c r="C19" s="24" t="s">
        <v>42</v>
      </c>
      <c r="D19" s="24" t="s">
        <v>43</v>
      </c>
      <c r="E19" s="30">
        <v>200</v>
      </c>
      <c r="F19" s="26">
        <v>2010.94</v>
      </c>
      <c r="G19" s="26">
        <v>9.15</v>
      </c>
      <c r="H19" s="26">
        <v>3.92</v>
      </c>
    </row>
    <row r="20" spans="2:8">
      <c r="B20" s="24" t="s">
        <v>44</v>
      </c>
      <c r="C20" s="24" t="s">
        <v>45</v>
      </c>
      <c r="D20" s="24" t="s">
        <v>43</v>
      </c>
      <c r="E20" s="30">
        <v>150</v>
      </c>
      <c r="F20" s="26">
        <v>1507.84</v>
      </c>
      <c r="G20" s="26">
        <v>6.86</v>
      </c>
      <c r="H20" s="26">
        <v>3.83</v>
      </c>
    </row>
    <row r="21" spans="2:8">
      <c r="B21" s="24" t="s">
        <v>46</v>
      </c>
      <c r="C21" s="24" t="s">
        <v>47</v>
      </c>
      <c r="D21" s="24" t="s">
        <v>43</v>
      </c>
      <c r="E21" s="30">
        <v>150</v>
      </c>
      <c r="F21" s="26">
        <v>1507.73</v>
      </c>
      <c r="G21" s="26">
        <v>6.86</v>
      </c>
      <c r="H21" s="26">
        <v>4.04</v>
      </c>
    </row>
    <row r="22" spans="2:8">
      <c r="B22" s="24" t="s">
        <v>48</v>
      </c>
      <c r="C22" s="24" t="s">
        <v>49</v>
      </c>
      <c r="D22" s="24" t="s">
        <v>43</v>
      </c>
      <c r="E22" s="30">
        <v>150</v>
      </c>
      <c r="F22" s="26">
        <v>1506.04</v>
      </c>
      <c r="G22" s="26">
        <v>6.85</v>
      </c>
      <c r="H22" s="26">
        <v>3.91</v>
      </c>
    </row>
    <row r="23" spans="2:8">
      <c r="B23" s="24" t="s">
        <v>50</v>
      </c>
      <c r="C23" s="24" t="s">
        <v>51</v>
      </c>
      <c r="D23" s="24" t="s">
        <v>43</v>
      </c>
      <c r="E23" s="30">
        <v>100</v>
      </c>
      <c r="F23" s="26">
        <v>1003.42</v>
      </c>
      <c r="G23" s="26">
        <v>4.57</v>
      </c>
      <c r="H23" s="26">
        <v>3.82</v>
      </c>
    </row>
    <row r="24" spans="2:8">
      <c r="B24" s="24" t="s">
        <v>52</v>
      </c>
      <c r="C24" s="24" t="s">
        <v>53</v>
      </c>
      <c r="D24" s="24" t="s">
        <v>43</v>
      </c>
      <c r="E24" s="30">
        <v>50</v>
      </c>
      <c r="F24" s="26">
        <v>500.64</v>
      </c>
      <c r="G24" s="26">
        <v>2.2799999999999998</v>
      </c>
      <c r="H24" s="26">
        <v>4.3499999999999996</v>
      </c>
    </row>
    <row r="25" spans="2:8">
      <c r="B25" s="33" t="s">
        <v>38</v>
      </c>
      <c r="C25" s="33"/>
      <c r="D25" s="33"/>
      <c r="E25" s="34"/>
      <c r="F25" s="35">
        <f>SUM(F18:F24)</f>
        <v>8036.6100000000006</v>
      </c>
      <c r="G25" s="35">
        <f>SUM(G18:G24)</f>
        <v>36.57</v>
      </c>
      <c r="H25" s="46"/>
    </row>
    <row r="26" spans="2:8">
      <c r="B26" s="47" t="s">
        <v>39</v>
      </c>
      <c r="C26" s="47"/>
      <c r="D26" s="47"/>
      <c r="E26" s="48"/>
      <c r="F26" s="49">
        <f>F25</f>
        <v>8036.6100000000006</v>
      </c>
      <c r="G26" s="49">
        <f>G25</f>
        <v>36.57</v>
      </c>
      <c r="H26" s="49"/>
    </row>
    <row r="27" spans="2:8">
      <c r="B27" s="45" t="s">
        <v>54</v>
      </c>
      <c r="C27" s="24"/>
      <c r="D27" s="24"/>
      <c r="E27" s="25"/>
      <c r="F27" s="26"/>
      <c r="G27" s="26"/>
      <c r="H27" s="26"/>
    </row>
    <row r="28" spans="2:8">
      <c r="B28" s="24" t="s">
        <v>55</v>
      </c>
      <c r="C28" s="24" t="s">
        <v>56</v>
      </c>
      <c r="D28" s="24" t="s">
        <v>57</v>
      </c>
      <c r="E28" s="30">
        <v>4200000</v>
      </c>
      <c r="F28" s="26">
        <v>4229.18</v>
      </c>
      <c r="G28" s="26">
        <v>19.239999999999998</v>
      </c>
      <c r="H28" s="26">
        <v>3.79</v>
      </c>
    </row>
    <row r="29" spans="2:8">
      <c r="B29" s="24" t="s">
        <v>58</v>
      </c>
      <c r="C29" s="24" t="s">
        <v>59</v>
      </c>
      <c r="D29" s="24" t="s">
        <v>57</v>
      </c>
      <c r="E29" s="30">
        <v>2200000</v>
      </c>
      <c r="F29" s="26">
        <v>2216.15</v>
      </c>
      <c r="G29" s="26">
        <v>10.08</v>
      </c>
      <c r="H29" s="26">
        <v>3.82</v>
      </c>
    </row>
    <row r="30" spans="2:8">
      <c r="B30" s="24" t="s">
        <v>60</v>
      </c>
      <c r="C30" s="24" t="s">
        <v>61</v>
      </c>
      <c r="D30" s="24" t="s">
        <v>57</v>
      </c>
      <c r="E30" s="30">
        <v>400000</v>
      </c>
      <c r="F30" s="26">
        <v>400.7</v>
      </c>
      <c r="G30" s="26">
        <v>1.82</v>
      </c>
      <c r="H30" s="26">
        <v>3.77</v>
      </c>
    </row>
    <row r="31" spans="2:8">
      <c r="B31" s="50" t="s">
        <v>62</v>
      </c>
      <c r="C31" s="50" t="s">
        <v>63</v>
      </c>
      <c r="D31" s="50" t="s">
        <v>57</v>
      </c>
      <c r="E31" s="51">
        <v>220000</v>
      </c>
      <c r="F31" s="52">
        <v>221.39</v>
      </c>
      <c r="G31" s="52">
        <v>1.01</v>
      </c>
      <c r="H31" s="52">
        <v>3.39</v>
      </c>
    </row>
    <row r="32" spans="2:8">
      <c r="B32" s="53" t="s">
        <v>39</v>
      </c>
      <c r="C32" s="53"/>
      <c r="D32" s="53"/>
      <c r="E32" s="54"/>
      <c r="F32" s="55">
        <f>SUM(F28:F31)</f>
        <v>7067.42</v>
      </c>
      <c r="G32" s="55">
        <f>SUM(G28:G31)</f>
        <v>32.15</v>
      </c>
      <c r="H32" s="55"/>
    </row>
    <row r="33" spans="2:8">
      <c r="B33" s="45" t="s">
        <v>64</v>
      </c>
      <c r="C33" s="24"/>
      <c r="D33" s="24"/>
      <c r="E33" s="25"/>
      <c r="F33" s="26"/>
      <c r="G33" s="26"/>
      <c r="H33" s="26"/>
    </row>
    <row r="34" spans="2:8">
      <c r="B34" s="24" t="s">
        <v>64</v>
      </c>
      <c r="C34" s="24"/>
      <c r="D34" s="24"/>
      <c r="E34" s="25"/>
      <c r="F34" s="26">
        <v>5130.71</v>
      </c>
      <c r="G34" s="26">
        <v>23.34</v>
      </c>
      <c r="H34" s="26"/>
    </row>
    <row r="35" spans="2:8">
      <c r="B35" s="33" t="s">
        <v>38</v>
      </c>
      <c r="C35" s="33"/>
      <c r="D35" s="33"/>
      <c r="E35" s="34"/>
      <c r="F35" s="35">
        <f>SUM(F33:F34)</f>
        <v>5130.71</v>
      </c>
      <c r="G35" s="35">
        <f>SUM(G33:G34)</f>
        <v>23.34</v>
      </c>
      <c r="H35" s="46"/>
    </row>
    <row r="36" spans="2:8">
      <c r="B36" s="56" t="s">
        <v>39</v>
      </c>
      <c r="C36" s="56"/>
      <c r="D36" s="56"/>
      <c r="E36" s="57"/>
      <c r="F36" s="58">
        <f>F35</f>
        <v>5130.71</v>
      </c>
      <c r="G36" s="58">
        <f>G35</f>
        <v>23.34</v>
      </c>
      <c r="H36" s="58"/>
    </row>
    <row r="37" spans="2:8">
      <c r="B37" s="59" t="s">
        <v>65</v>
      </c>
      <c r="C37" s="59"/>
      <c r="D37" s="59"/>
      <c r="E37" s="60"/>
      <c r="F37" s="61">
        <f>F38-(+F16+F26+F32+F36)</f>
        <v>893.15999999999985</v>
      </c>
      <c r="G37" s="61">
        <f>G38-(+G16+G26+G32+G36)</f>
        <v>4.0600000000000023</v>
      </c>
      <c r="H37" s="61"/>
    </row>
    <row r="38" spans="2:8">
      <c r="B38" s="59" t="s">
        <v>66</v>
      </c>
      <c r="C38" s="59"/>
      <c r="D38" s="59"/>
      <c r="E38" s="60"/>
      <c r="F38" s="61">
        <v>21978.240000000002</v>
      </c>
      <c r="G38" s="61">
        <v>100</v>
      </c>
      <c r="H38" s="61"/>
    </row>
    <row r="40" spans="2:8">
      <c r="B40" s="62" t="s">
        <v>67</v>
      </c>
    </row>
  </sheetData>
  <mergeCells count="4">
    <mergeCell ref="B1:H1"/>
    <mergeCell ref="L5:L12"/>
    <mergeCell ref="M5:M12"/>
    <mergeCell ref="N5:N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2022-02-08T11:12:35Z</dcterms:created>
  <dcterms:modified xsi:type="dcterms:W3CDTF">2022-02-08T11:12:38Z</dcterms:modified>
</cp:coreProperties>
</file>