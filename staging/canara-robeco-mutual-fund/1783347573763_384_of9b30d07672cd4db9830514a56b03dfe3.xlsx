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December 2022\"/>
    </mc:Choice>
  </mc:AlternateContent>
  <bookViews>
    <workbookView xWindow="0" yWindow="0" windowWidth="20490" windowHeight="7620"/>
  </bookViews>
  <sheets>
    <sheet name="OF" sheetId="1" r:id="rId1"/>
  </sheets>
  <calcPr calcId="162913" calcMode="manual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9" i="1" s="1"/>
  <c r="G7" i="1"/>
  <c r="F7" i="1"/>
  <c r="F8" i="1" s="1"/>
  <c r="F9" i="1" s="1"/>
</calcChain>
</file>

<file path=xl/sharedStrings.xml><?xml version="1.0" encoding="utf-8"?>
<sst xmlns="http://schemas.openxmlformats.org/spreadsheetml/2006/main" count="32" uniqueCount="31">
  <si>
    <t>CANARA ROBECO OVERNIGHT FUND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</si>
  <si>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</si>
  <si>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</si>
  <si>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</si>
  <si>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</si>
  <si>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</si>
  <si>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</si>
  <si>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</si>
  <si>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</si>
  <si>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Dec'22</t>
  </si>
  <si>
    <t>Benchmark Risk-o-meter Level- Dec'22</t>
  </si>
  <si>
    <t>Previous Scheme Risk-o-meter Level- Nov'22</t>
  </si>
  <si>
    <t>Potential Risk Class (PRC) Matrix</t>
  </si>
  <si>
    <t>TREPS</t>
  </si>
  <si>
    <t>Credit Risk →</t>
  </si>
  <si>
    <t>Relatively Low (Class A)</t>
  </si>
  <si>
    <t>Moderate (Class B)</t>
  </si>
  <si>
    <t>Relatively High 
(Class C)</t>
  </si>
  <si>
    <t>Interest Rate Risk ↓</t>
  </si>
  <si>
    <t>Sub Total</t>
  </si>
  <si>
    <t>Relatively Low (Class I)</t>
  </si>
  <si>
    <t>A-I</t>
  </si>
  <si>
    <t>Total</t>
  </si>
  <si>
    <t>Net Receivables / (Payables)</t>
  </si>
  <si>
    <t>Moderate (Class II)</t>
  </si>
  <si>
    <t>Grand Total</t>
  </si>
  <si>
    <t>Relatively High (Class III)</t>
  </si>
  <si>
    <t>Residual Maturity</t>
  </si>
  <si>
    <t>Benchmark: CRISIL Overnight Fund A-I Index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</si>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</sst>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4" fontId="3" fillId="3" borderId="10" xfId="0" applyNumberFormat="1" applyFont="1" applyFill="1" applyBorder="1"/>
    <xf numFmtId="4" fontId="3" fillId="3" borderId="11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top" wrapText="1"/>
    </xf>
    <xf numFmtId="0" fontId="3" fillId="3" borderId="12" xfId="0" applyFont="1" applyFill="1" applyBorder="1"/>
    <xf numFmtId="0" fontId="3" fillId="3" borderId="13" xfId="0" applyFont="1" applyFill="1" applyBorder="1"/>
    <xf numFmtId="4" fontId="3" fillId="3" borderId="13" xfId="0" applyNumberFormat="1" applyFont="1" applyFill="1" applyBorder="1"/>
    <xf numFmtId="4" fontId="3" fillId="3" borderId="14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0" fontId="9" fillId="3" borderId="15" xfId="0" applyFont="1" applyFill="1" applyBorder="1"/>
    <xf numFmtId="0" fontId="9" fillId="3" borderId="16" xfId="0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0" fontId="9" fillId="3" borderId="0" xfId="0" applyFont="1" applyFill="1"/>
    <xf numFmtId="0" fontId="9" fillId="0" borderId="5" xfId="0" applyFont="1" applyBorder="1" applyAlignment="1">
      <alignment horizontal="left" wrapText="1"/>
    </xf>
    <xf numFmtId="0" fontId="9" fillId="4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9" fillId="3" borderId="20" xfId="0" applyFont="1" applyFill="1" applyBorder="1"/>
    <xf numFmtId="4" fontId="9" fillId="3" borderId="20" xfId="0" applyNumberFormat="1" applyFont="1" applyFill="1" applyBorder="1"/>
    <xf numFmtId="0" fontId="9" fillId="4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9" fillId="3" borderId="5" xfId="0" applyFont="1" applyFill="1" applyBorder="1"/>
    <xf numFmtId="4" fontId="9" fillId="3" borderId="5" xfId="0" applyNumberFormat="1" applyFont="1" applyFill="1" applyBorder="1"/>
    <xf numFmtId="49" fontId="10" fillId="5" borderId="22" xfId="0" applyNumberFormat="1" applyFont="1" applyFill="1" applyBorder="1"/>
    <xf numFmtId="2" fontId="10" fillId="0" borderId="23" xfId="0" applyNumberFormat="1" applyFont="1" applyBorder="1" applyAlignment="1">
      <alignment horizontal="right"/>
    </xf>
    <xf numFmtId="0" fontId="6" fillId="3" borderId="0" xfId="0" applyFont="1" applyFill="1"/>
    <xf numFmtId="43" fontId="3" fillId="3" borderId="0" xfId="1" applyFont="1" applyFill="1" applyAlignment="1"/>
    <xf numFmtId="10" fontId="10" fillId="0" borderId="23" xfId="2" applyNumberFormat="1" applyFont="1" applyBorder="1" applyAlignment="1">
      <alignment horizontal="right"/>
    </xf>
    <xf numFmtId="2" fontId="10" fillId="0" borderId="23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4</xdr:row>
      <xdr:rowOff>58976</xdr:rowOff>
    </xdr:from>
    <xdr:to>
      <xdr:col>9</xdr:col>
      <xdr:colOff>1847850</xdr:colOff>
      <xdr:row>11</xdr:row>
      <xdr:rowOff>115646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9725" y="1068626"/>
          <a:ext cx="1657350" cy="1590195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285750</xdr:colOff>
      <xdr:row>4</xdr:row>
      <xdr:rowOff>99333</xdr:rowOff>
    </xdr:from>
    <xdr:to>
      <xdr:col>10</xdr:col>
      <xdr:colOff>1966232</xdr:colOff>
      <xdr:row>11</xdr:row>
      <xdr:rowOff>58512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72850" y="1108983"/>
          <a:ext cx="1680482" cy="1492704"/>
        </a:xfrm>
        <a:prstGeom prst="rect">
          <a:avLst/>
        </a:prstGeom>
      </xdr:spPr>
    </xdr:pic>
    <xdr:clientData/>
  </xdr:twoCellAnchor>
  <xdr:oneCellAnchor>
    <xdr:from>
      <xdr:col>11</xdr:col>
      <xdr:colOff>190500</xdr:colOff>
      <xdr:row>4</xdr:row>
      <xdr:rowOff>58976</xdr:rowOff>
    </xdr:from>
    <xdr:ext cx="1657350" cy="159019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1700" y="1068626"/>
          <a:ext cx="1657350" cy="15901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9"/>
  <sheetViews>
    <sheetView tabSelected="1" workbookViewId="0"/>
  </sheetViews>
  <sheetFormatPr defaultRowHeight="12"/>
  <cols>
    <col min="1" max="1" width="9.140625" style="3"/>
    <col min="2" max="2" width="60.85546875" style="3" bestFit="1" customWidth="1"/>
    <col min="3" max="3" width="5.28515625" style="3" bestFit="1" customWidth="1"/>
    <col min="4" max="4" width="14.140625" style="3" bestFit="1" customWidth="1"/>
    <col min="5" max="5" width="7.71093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0.7109375" style="4" customWidth="1"/>
    <col min="11" max="11" width="34.85546875" style="4" customWidth="1"/>
    <col min="12" max="12" width="33.42578125" style="4" customWidth="1"/>
    <col min="13" max="13" width="5.5703125" style="4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>
      <c r="B5" s="18" t="s">
        <v>13</v>
      </c>
      <c r="C5" s="19"/>
      <c r="D5" s="19"/>
      <c r="E5" s="19"/>
      <c r="F5" s="20"/>
      <c r="G5" s="20"/>
      <c r="H5" s="21"/>
      <c r="J5" s="22"/>
      <c r="K5" s="22"/>
      <c r="L5" s="22"/>
      <c r="N5" s="23" t="s">
        <v>14</v>
      </c>
      <c r="O5" s="24" t="s">
        <v>15</v>
      </c>
      <c r="P5" s="24" t="s">
        <v>16</v>
      </c>
      <c r="Q5" s="24" t="s">
        <v>17</v>
      </c>
    </row>
    <row r="6" spans="2:17" ht="36">
      <c r="B6" s="25" t="s">
        <v>13</v>
      </c>
      <c r="C6" s="25"/>
      <c r="D6" s="26"/>
      <c r="E6" s="26"/>
      <c r="F6" s="27">
        <v>16171.93</v>
      </c>
      <c r="G6" s="27">
        <v>99.52</v>
      </c>
      <c r="H6" s="28"/>
      <c r="J6" s="22"/>
      <c r="K6" s="22"/>
      <c r="L6" s="22"/>
      <c r="N6" s="29" t="s">
        <v>18</v>
      </c>
      <c r="O6" s="24"/>
      <c r="P6" s="24"/>
      <c r="Q6" s="24"/>
    </row>
    <row r="7" spans="2:17">
      <c r="B7" s="30" t="s">
        <v>19</v>
      </c>
      <c r="C7" s="31"/>
      <c r="D7" s="31"/>
      <c r="E7" s="31"/>
      <c r="F7" s="32">
        <f>SUM(F5:F6)</f>
        <v>16171.93</v>
      </c>
      <c r="G7" s="32">
        <f>SUM(G5:G6)</f>
        <v>99.52</v>
      </c>
      <c r="H7" s="33"/>
      <c r="I7" s="34"/>
      <c r="J7" s="22"/>
      <c r="K7" s="22"/>
      <c r="L7" s="22"/>
      <c r="N7" s="35" t="s">
        <v>20</v>
      </c>
      <c r="O7" s="36" t="s">
        <v>21</v>
      </c>
      <c r="P7" s="37"/>
      <c r="Q7" s="37"/>
    </row>
    <row r="8" spans="2:17">
      <c r="B8" s="38" t="s">
        <v>22</v>
      </c>
      <c r="C8" s="38"/>
      <c r="D8" s="38"/>
      <c r="E8" s="38"/>
      <c r="F8" s="39">
        <f>F7</f>
        <v>16171.93</v>
      </c>
      <c r="G8" s="39">
        <f>G7</f>
        <v>99.52</v>
      </c>
      <c r="H8" s="39"/>
      <c r="I8" s="34"/>
      <c r="J8" s="22"/>
      <c r="K8" s="22"/>
      <c r="L8" s="22"/>
      <c r="N8" s="35"/>
      <c r="O8" s="40"/>
      <c r="P8" s="41"/>
      <c r="Q8" s="41"/>
    </row>
    <row r="9" spans="2:17">
      <c r="B9" s="42" t="s">
        <v>23</v>
      </c>
      <c r="C9" s="42"/>
      <c r="D9" s="42"/>
      <c r="E9" s="42"/>
      <c r="F9" s="43">
        <f>F10-(+F8)</f>
        <v>78.270000000000437</v>
      </c>
      <c r="G9" s="43">
        <f>G10-(+G8)</f>
        <v>0.48000000000000398</v>
      </c>
      <c r="H9" s="43"/>
      <c r="I9" s="34"/>
      <c r="J9" s="22"/>
      <c r="K9" s="22"/>
      <c r="L9" s="22"/>
      <c r="N9" s="35" t="s">
        <v>24</v>
      </c>
      <c r="O9" s="37"/>
      <c r="P9" s="37"/>
      <c r="Q9" s="37"/>
    </row>
    <row r="10" spans="2:17">
      <c r="B10" s="42" t="s">
        <v>25</v>
      </c>
      <c r="C10" s="42"/>
      <c r="D10" s="42"/>
      <c r="E10" s="42"/>
      <c r="F10" s="43">
        <v>16250.2</v>
      </c>
      <c r="G10" s="43">
        <v>100</v>
      </c>
      <c r="H10" s="43"/>
      <c r="I10" s="34"/>
      <c r="J10" s="22"/>
      <c r="K10" s="22"/>
      <c r="L10" s="22"/>
      <c r="N10" s="35"/>
      <c r="O10" s="41"/>
      <c r="P10" s="41"/>
      <c r="Q10" s="41"/>
    </row>
    <row r="11" spans="2:17" ht="12.75" thickBot="1">
      <c r="J11" s="22"/>
      <c r="K11" s="22"/>
      <c r="L11" s="22"/>
      <c r="N11" s="35" t="s">
        <v>26</v>
      </c>
      <c r="O11" s="37"/>
      <c r="P11" s="37"/>
      <c r="Q11" s="37"/>
    </row>
    <row r="12" spans="2:17" ht="13.5" thickTop="1" thickBot="1">
      <c r="B12" s="44" t="s">
        <v>27</v>
      </c>
      <c r="C12" s="45">
        <v>5.453060525173325E-3</v>
      </c>
      <c r="J12" s="22"/>
      <c r="K12" s="22"/>
      <c r="L12" s="22"/>
      <c r="N12" s="35"/>
      <c r="O12" s="41"/>
      <c r="P12" s="41"/>
      <c r="Q12" s="41"/>
    </row>
    <row r="13" spans="2:17" ht="12.75" thickTop="1">
      <c r="B13" s="46"/>
      <c r="C13" s="46"/>
      <c r="J13" s="47"/>
      <c r="K13" s="47" t="s">
        <v>28</v>
      </c>
    </row>
    <row r="14" spans="2:17" ht="12.75" thickBot="1">
      <c r="B14" s="46"/>
      <c r="C14" s="46"/>
    </row>
    <row r="15" spans="2:17" ht="13.5" thickTop="1" thickBot="1">
      <c r="B15" s="44" t="s">
        <v>29</v>
      </c>
      <c r="C15" s="48">
        <v>6.5014967959177133E-2</v>
      </c>
    </row>
    <row r="16" spans="2:17" ht="12.75" thickTop="1">
      <c r="B16" s="46"/>
      <c r="C16" s="46"/>
    </row>
    <row r="17" spans="2:3" ht="12.75" thickBot="1">
      <c r="B17" s="46"/>
      <c r="C17" s="46"/>
    </row>
    <row r="18" spans="2:3" ht="13.5" thickTop="1" thickBot="1">
      <c r="B18" s="44" t="s">
        <v>30</v>
      </c>
      <c r="C18" s="49">
        <v>5.4794520547945206E-3</v>
      </c>
    </row>
    <row r="19" spans="2:3" ht="12.75" thickTop="1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2023-01-05 12:44:26</KDate>
  <Classification>Public</Classification>
  <Subclassification/>
  <HostName>MUMCMP00935</HostName>
  <Domain_User>CANARAROBECOMF/628</Domain_User>
  <IPAdd>192.9.198.194</IPAdd>
  <FilePath>Book20</FilePath>
  <KID>C025A5607E97638085194668301834</KID>
  <UniqueName/>
  <Suggested/>
  <Justification/>
</Klassify>
</file>

<file path=customXml/itemProps1.xml><?xml version="1.0" encoding="utf-8"?>
<ds:datastoreItem xmlns:ds="http://schemas.openxmlformats.org/officeDocument/2006/customXml" ds:itemID="{4A03E55A-E53A-4B7A-9E0A-995D4CB4FB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2023-01-05T07:14:22Z</dcterms:created>
  <dcterms:modified xsi:type="dcterms:W3CDTF">2023-01-05T07:14:26Z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C025A5607E97638085194668301834</vt:lpwstr>
  </property>
</Properties>
</file>