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October 2023\"/>
    </mc:Choice>
  </mc:AlternateContent>
  <bookViews>
    <workbookView xWindow="0" yWindow="0" windowWidth="20490" windowHeight="76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7" i="1" l="1"/>
  <c r="G98" i="1" s="1"/>
  <c r="F97" i="1"/>
  <c r="F98" i="1" s="1"/>
  <c r="G93" i="1"/>
  <c r="G94" i="1" s="1"/>
  <c r="G99" i="1" s="1"/>
  <c r="F93" i="1"/>
  <c r="F94" i="1" s="1"/>
  <c r="F99" i="1" s="1"/>
</calcChain>
</file>

<file path=xl/sharedStrings.xml><?xml version="1.0" encoding="utf-8"?>
<sst xmlns="http://schemas.openxmlformats.org/spreadsheetml/2006/main" count="369" uniqueCount="226">
  <si>
    <t>CANARA ROBECO SMALL CAP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</si>
  <si>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</si>
  <si>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</si>
  <si>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</si>
  <si>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</si>
  <si>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</si>
  <si>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</si>
  <si>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</si>
  <si>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</si>
  <si>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Oct'23</t>
  </si>
  <si>
    <t>Benchmark Risk-o-meter Level- Oct'23</t>
  </si>
  <si>
    <t>Scheme Risk-o-meter Level- Sep'23</t>
  </si>
  <si>
    <t>Equity &amp; Equity related</t>
  </si>
  <si>
    <t>(a) Listed / awaiting listing on Stock Exchanges</t>
  </si>
  <si>
    <t>KEI Industries Ltd</t>
  </si>
  <si>
    <t>INE878B01027</t>
  </si>
  <si>
    <t>Industrial Products</t>
  </si>
  <si>
    <t>Small Cap</t>
  </si>
  <si>
    <t>Cera Sanitaryware Ltd</t>
  </si>
  <si>
    <t>INE739E01017</t>
  </si>
  <si>
    <t>Consumer Durables</t>
  </si>
  <si>
    <t>Equitas Small Finance Bank Ltd</t>
  </si>
  <si>
    <t>INE063P01018</t>
  </si>
  <si>
    <t>Banks</t>
  </si>
  <si>
    <t>Multi Commodity Exchange Of India Ltd</t>
  </si>
  <si>
    <t>INE745G01035</t>
  </si>
  <si>
    <t>Capital Markets</t>
  </si>
  <si>
    <t>Kaynes Technology India Ltd</t>
  </si>
  <si>
    <t>INE918Z01012</t>
  </si>
  <si>
    <t>Industrial Manufacturing</t>
  </si>
  <si>
    <t>Bharat Electronics Ltd</t>
  </si>
  <si>
    <t>INE263A01024</t>
  </si>
  <si>
    <t>Aerospace &amp; Defense</t>
  </si>
  <si>
    <t>Large Cap</t>
  </si>
  <si>
    <t>Creditaccess Grameen Ltd</t>
  </si>
  <si>
    <t>INE741K01010</t>
  </si>
  <si>
    <t>Finance</t>
  </si>
  <si>
    <t>Benchmark: Nifty Smallcap 250 Index TRI</t>
  </si>
  <si>
    <t>Can Fin Homes Ltd</t>
  </si>
  <si>
    <t>INE477A01020</t>
  </si>
  <si>
    <t>Titagarh Railsystems Ltd</t>
  </si>
  <si>
    <t>INE615H01020</t>
  </si>
  <si>
    <t>KEC International Ltd</t>
  </si>
  <si>
    <t>INE389H01022</t>
  </si>
  <si>
    <t>Electrical Equipment</t>
  </si>
  <si>
    <t>V-Guard Industries Ltd</t>
  </si>
  <si>
    <t>INE951I01027</t>
  </si>
  <si>
    <t>Indian Bank</t>
  </si>
  <si>
    <t>INE562A01011</t>
  </si>
  <si>
    <t>Mid Cap</t>
  </si>
  <si>
    <t>Ultratech Cement Ltd</t>
  </si>
  <si>
    <t>INE481G01011</t>
  </si>
  <si>
    <t>Cement &amp; Cement Products</t>
  </si>
  <si>
    <t>PVR Inox Ltd</t>
  </si>
  <si>
    <t>INE191H01014</t>
  </si>
  <si>
    <t>Entertainment</t>
  </si>
  <si>
    <t>Bikaji Foods International Ltd</t>
  </si>
  <si>
    <t>INE00E101023</t>
  </si>
  <si>
    <t>Food Products</t>
  </si>
  <si>
    <t>Bajaj Finance Ltd</t>
  </si>
  <si>
    <t>INE296A01024</t>
  </si>
  <si>
    <t>City Union Bank Ltd</t>
  </si>
  <si>
    <t>INE491A01021</t>
  </si>
  <si>
    <t>Persistent Systems Ltd</t>
  </si>
  <si>
    <t>INE262H01013</t>
  </si>
  <si>
    <t>IT - Software</t>
  </si>
  <si>
    <t>J.B. Chemicals &amp; Pharmaceuticals Ltd</t>
  </si>
  <si>
    <t>INE572A01036</t>
  </si>
  <si>
    <t>Pharmaceuticals &amp; Biotechnology</t>
  </si>
  <si>
    <t>Cholamandalam Financial Holdings Ltd</t>
  </si>
  <si>
    <t>INE149A01033</t>
  </si>
  <si>
    <t>PNC Infratech Ltd</t>
  </si>
  <si>
    <t>INE195J01029</t>
  </si>
  <si>
    <t>Construction</t>
  </si>
  <si>
    <t>Sun Pharmaceutical Industries Ltd</t>
  </si>
  <si>
    <t>INE044A01036</t>
  </si>
  <si>
    <t>JK Lakshmi Cement Ltd</t>
  </si>
  <si>
    <t>INE786A01032</t>
  </si>
  <si>
    <t>Westlife Foodworld Ltd</t>
  </si>
  <si>
    <t>INE274F01020</t>
  </si>
  <si>
    <t>Leisure Services</t>
  </si>
  <si>
    <t>Indian Hotels Co Ltd</t>
  </si>
  <si>
    <t>INE053A01029</t>
  </si>
  <si>
    <t>Century Textile &amp; Industries Ltd</t>
  </si>
  <si>
    <t>INE055A01016</t>
  </si>
  <si>
    <t>Paper, Forest &amp; Jute Products</t>
  </si>
  <si>
    <t>ZF Commercial Vehicle Control Systems India Ltd</t>
  </si>
  <si>
    <t>INE342J01019</t>
  </si>
  <si>
    <t>Auto Components</t>
  </si>
  <si>
    <t>Ajanta Pharma Ltd</t>
  </si>
  <si>
    <t>INE031B01049</t>
  </si>
  <si>
    <t>Global Health Ltd</t>
  </si>
  <si>
    <t>INE474Q01031</t>
  </si>
  <si>
    <t>Healthcare Services</t>
  </si>
  <si>
    <t>Suven Pharmaceuticals Ltd</t>
  </si>
  <si>
    <t>INE03QK01018</t>
  </si>
  <si>
    <t>Ltimindtree Ltd</t>
  </si>
  <si>
    <t>INE214T01019</t>
  </si>
  <si>
    <t>Rhi Magnesita India Ltd</t>
  </si>
  <si>
    <t>INE743M01012</t>
  </si>
  <si>
    <t>Great Eastern Shipping Co Ltd</t>
  </si>
  <si>
    <t>INE017A01032</t>
  </si>
  <si>
    <t>Transport Services</t>
  </si>
  <si>
    <t>ITC Ltd</t>
  </si>
  <si>
    <t>INE154A01025</t>
  </si>
  <si>
    <t>Diversified Fmcg</t>
  </si>
  <si>
    <t>VRL Logistics Ltd</t>
  </si>
  <si>
    <t>INE366I01010</t>
  </si>
  <si>
    <t>ICRA Ltd</t>
  </si>
  <si>
    <t>INE725G01011</t>
  </si>
  <si>
    <t>Reliance Industries Ltd</t>
  </si>
  <si>
    <t>INE002A01018</t>
  </si>
  <si>
    <t>Petroleum Products</t>
  </si>
  <si>
    <t>Max Healthcare Institute Ltd</t>
  </si>
  <si>
    <t>INE027H01010</t>
  </si>
  <si>
    <t>V.I.P. Industries Ltd</t>
  </si>
  <si>
    <t>INE054A01027</t>
  </si>
  <si>
    <t>Kotak Mahindra Bank Ltd</t>
  </si>
  <si>
    <t>INE237A01028</t>
  </si>
  <si>
    <t>Schaeffler India Ltd</t>
  </si>
  <si>
    <t>INE513A01022</t>
  </si>
  <si>
    <t>CIE Automotive India Ltd</t>
  </si>
  <si>
    <t>INE536H01010</t>
  </si>
  <si>
    <t>DCB Bank Ltd</t>
  </si>
  <si>
    <t>INE503A01015</t>
  </si>
  <si>
    <t>Avenue Supermarts Ltd</t>
  </si>
  <si>
    <t>INE192R01011</t>
  </si>
  <si>
    <t>Retailing</t>
  </si>
  <si>
    <t>Rolex Rings Ltd</t>
  </si>
  <si>
    <t>INE645S01016</t>
  </si>
  <si>
    <t>GMM Pfaudler Ltd</t>
  </si>
  <si>
    <t>INE541A01023</t>
  </si>
  <si>
    <t>Rossari Biotech Ltd</t>
  </si>
  <si>
    <t>INE02A801020</t>
  </si>
  <si>
    <t>Chemicals &amp; Petrochemicals</t>
  </si>
  <si>
    <t>Anand Rathi Wealth Ltd</t>
  </si>
  <si>
    <t>INE463V01026</t>
  </si>
  <si>
    <t>KNR Constructions Ltd</t>
  </si>
  <si>
    <t>INE634I01029</t>
  </si>
  <si>
    <t>EPL Ltd</t>
  </si>
  <si>
    <t>INE255A01020</t>
  </si>
  <si>
    <t>Mold Tek Packaging Ltd</t>
  </si>
  <si>
    <t>INE893J01029</t>
  </si>
  <si>
    <t>Balrampur Chini Mills Ltd</t>
  </si>
  <si>
    <t>INE119A01028</t>
  </si>
  <si>
    <t>Agricultural Food &amp; Other Products</t>
  </si>
  <si>
    <t>Grindwell Norton Ltd</t>
  </si>
  <si>
    <t>INE536A01023</t>
  </si>
  <si>
    <t>Abbott India Ltd</t>
  </si>
  <si>
    <t>INE358A01014</t>
  </si>
  <si>
    <t>Mahindra Lifespace Developers Ltd</t>
  </si>
  <si>
    <t>INE813A01018</t>
  </si>
  <si>
    <t>Realty</t>
  </si>
  <si>
    <t>EID Parry India Ltd</t>
  </si>
  <si>
    <t>INE126A01031</t>
  </si>
  <si>
    <t>Fertilizers &amp; Agrochemicals</t>
  </si>
  <si>
    <t>K.P.R. Mill Ltd</t>
  </si>
  <si>
    <t>INE930H01031</t>
  </si>
  <si>
    <t>Textiles &amp; Apparels</t>
  </si>
  <si>
    <t>Vijaya Diagnostic Centre Ltd</t>
  </si>
  <si>
    <t>INE043W01024</t>
  </si>
  <si>
    <t>Angel One Ltd</t>
  </si>
  <si>
    <t>INE732I01013</t>
  </si>
  <si>
    <t>Deepak Nitrite Ltd</t>
  </si>
  <si>
    <t>INE288B01029</t>
  </si>
  <si>
    <t>Galaxy Surfactants Ltd</t>
  </si>
  <si>
    <t>INE600K01018</t>
  </si>
  <si>
    <t>Go Fashion India Ltd</t>
  </si>
  <si>
    <t>INE0BJS01011</t>
  </si>
  <si>
    <t>Timken India Ltd</t>
  </si>
  <si>
    <t>INE325A01013</t>
  </si>
  <si>
    <t>Greenpanel Industries Ltd</t>
  </si>
  <si>
    <t>INE08ZM01014</t>
  </si>
  <si>
    <t>Rallis India Ltd</t>
  </si>
  <si>
    <t>INE613A01020</t>
  </si>
  <si>
    <t>National Aluminium Co Ltd</t>
  </si>
  <si>
    <t>INE139A01034</t>
  </si>
  <si>
    <t>Non - Ferrous Metals</t>
  </si>
  <si>
    <t>Vedant Fashions Ltd</t>
  </si>
  <si>
    <t>INE825V01034</t>
  </si>
  <si>
    <t>NOCIL Ltd</t>
  </si>
  <si>
    <t>INE163A01018</t>
  </si>
  <si>
    <t>Ahluwalia Contracts (India) Ltd</t>
  </si>
  <si>
    <t>INE758C01029</t>
  </si>
  <si>
    <t>Computer Age Management Services Ltd</t>
  </si>
  <si>
    <t>INE596I01012</t>
  </si>
  <si>
    <t>V-Mart Retail Ltd</t>
  </si>
  <si>
    <t>INE665J01013</t>
  </si>
  <si>
    <t>Thermax Ltd</t>
  </si>
  <si>
    <t>INE152A01029</t>
  </si>
  <si>
    <t>Prudent Corporate Advisory Services Ltd</t>
  </si>
  <si>
    <t>INE00F201020</t>
  </si>
  <si>
    <t>Subros Ltd</t>
  </si>
  <si>
    <t>INE287B01021</t>
  </si>
  <si>
    <t>Greenlam Industries Ltd</t>
  </si>
  <si>
    <t>INE544R01021</t>
  </si>
  <si>
    <t>UTI Asset Management Co Ltd</t>
  </si>
  <si>
    <t>INE094J01016</t>
  </si>
  <si>
    <t>CCL Products (India) Ltd</t>
  </si>
  <si>
    <t>INE421D01022</t>
  </si>
  <si>
    <t>Fine Organic Industries Ltd</t>
  </si>
  <si>
    <t>INE686Y01026</t>
  </si>
  <si>
    <t>Clean Science And Technology Ltd</t>
  </si>
  <si>
    <t>INE227W01023</t>
  </si>
  <si>
    <t>Sobha Ltd</t>
  </si>
  <si>
    <t>INE671H01015</t>
  </si>
  <si>
    <t>Greenply Industries Ltd</t>
  </si>
  <si>
    <t>INE461C01038</t>
  </si>
  <si>
    <t>TCI Express Ltd</t>
  </si>
  <si>
    <t>INE586V01016</t>
  </si>
  <si>
    <t>Kfin Technologies Ltd</t>
  </si>
  <si>
    <t>INE138Y01010</t>
  </si>
  <si>
    <t>Teamlease Services Ltd</t>
  </si>
  <si>
    <t>INE985S01024</t>
  </si>
  <si>
    <t>Commercial Services &amp; Supplies</t>
  </si>
  <si>
    <t>Central Depository Services (India) Ltd</t>
  </si>
  <si>
    <t>INE736A01011</t>
  </si>
  <si>
    <t>Jio Financial Services Ltd</t>
  </si>
  <si>
    <t>INE758E01017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</si>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</sst>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909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5700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178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4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5703125" style="3" bestFit="1" customWidth="1"/>
    <col min="4" max="4" width="28.42578125" style="3" bestFit="1" customWidth="1"/>
    <col min="5" max="5" width="10.28515625" style="48" bestFit="1" customWidth="1"/>
    <col min="6" max="6" width="15.28515625" style="49" bestFit="1" customWidth="1"/>
    <col min="7" max="7" width="7.42578125" style="49" bestFit="1" customWidth="1"/>
    <col min="8" max="8" width="13.5703125" style="3" customWidth="1"/>
    <col min="9" max="9" width="9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793764</v>
      </c>
      <c r="F7" s="23">
        <v>19069.39</v>
      </c>
      <c r="G7" s="23">
        <v>2.4300000000000002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20</v>
      </c>
      <c r="E8" s="26">
        <v>219581</v>
      </c>
      <c r="F8" s="23">
        <v>18627.71</v>
      </c>
      <c r="G8" s="23">
        <v>2.37</v>
      </c>
      <c r="H8" s="23" t="s">
        <v>17</v>
      </c>
      <c r="I8" s="27"/>
      <c r="J8" s="24"/>
      <c r="K8" s="24"/>
      <c r="L8" s="24"/>
    </row>
    <row r="9" spans="2:12" x14ac:dyDescent="0.2">
      <c r="B9" s="25" t="s">
        <v>21</v>
      </c>
      <c r="C9" s="21" t="s">
        <v>22</v>
      </c>
      <c r="D9" s="21" t="s">
        <v>23</v>
      </c>
      <c r="E9" s="26">
        <v>19241649</v>
      </c>
      <c r="F9" s="23">
        <v>17846.63</v>
      </c>
      <c r="G9" s="23">
        <v>2.27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24</v>
      </c>
      <c r="C10" s="21" t="s">
        <v>25</v>
      </c>
      <c r="D10" s="21" t="s">
        <v>26</v>
      </c>
      <c r="E10" s="26">
        <v>745000</v>
      </c>
      <c r="F10" s="23">
        <v>17365.21</v>
      </c>
      <c r="G10" s="23">
        <v>2.21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27</v>
      </c>
      <c r="C11" s="21" t="s">
        <v>28</v>
      </c>
      <c r="D11" s="21" t="s">
        <v>29</v>
      </c>
      <c r="E11" s="26">
        <v>703816</v>
      </c>
      <c r="F11" s="23">
        <v>16774.75</v>
      </c>
      <c r="G11" s="23">
        <v>2.13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30</v>
      </c>
      <c r="C12" s="21" t="s">
        <v>31</v>
      </c>
      <c r="D12" s="21" t="s">
        <v>32</v>
      </c>
      <c r="E12" s="26">
        <v>12383366</v>
      </c>
      <c r="F12" s="23">
        <v>16500.84</v>
      </c>
      <c r="G12" s="23">
        <v>2.1</v>
      </c>
      <c r="H12" s="23" t="s">
        <v>33</v>
      </c>
      <c r="I12" s="27"/>
      <c r="J12" s="28"/>
      <c r="K12" s="28"/>
      <c r="L12" s="28"/>
    </row>
    <row r="13" spans="2:12" x14ac:dyDescent="0.2">
      <c r="B13" s="25" t="s">
        <v>34</v>
      </c>
      <c r="C13" s="21" t="s">
        <v>35</v>
      </c>
      <c r="D13" s="21" t="s">
        <v>36</v>
      </c>
      <c r="E13" s="26">
        <v>976771</v>
      </c>
      <c r="F13" s="23">
        <v>15600.99</v>
      </c>
      <c r="G13" s="23">
        <v>1.98</v>
      </c>
      <c r="H13" s="23" t="s">
        <v>17</v>
      </c>
      <c r="I13" s="27"/>
      <c r="J13" s="27"/>
      <c r="K13" s="29" t="s">
        <v>37</v>
      </c>
      <c r="L13" s="27"/>
    </row>
    <row r="14" spans="2:12" x14ac:dyDescent="0.2">
      <c r="B14" s="25" t="s">
        <v>38</v>
      </c>
      <c r="C14" s="21" t="s">
        <v>39</v>
      </c>
      <c r="D14" s="21" t="s">
        <v>36</v>
      </c>
      <c r="E14" s="26">
        <v>1856598</v>
      </c>
      <c r="F14" s="23">
        <v>14174.2</v>
      </c>
      <c r="G14" s="23">
        <v>1.8</v>
      </c>
      <c r="H14" s="23" t="s">
        <v>17</v>
      </c>
      <c r="I14" s="27"/>
      <c r="J14" s="27"/>
      <c r="K14" s="27"/>
      <c r="L14" s="27"/>
    </row>
    <row r="15" spans="2:12" x14ac:dyDescent="0.2">
      <c r="B15" s="25" t="s">
        <v>40</v>
      </c>
      <c r="C15" s="21" t="s">
        <v>41</v>
      </c>
      <c r="D15" s="21" t="s">
        <v>29</v>
      </c>
      <c r="E15" s="26">
        <v>1832500</v>
      </c>
      <c r="F15" s="23">
        <v>13957.24</v>
      </c>
      <c r="G15" s="23">
        <v>1.78</v>
      </c>
      <c r="H15" s="23" t="s">
        <v>17</v>
      </c>
      <c r="I15" s="27"/>
      <c r="J15" s="27"/>
      <c r="K15" s="27"/>
      <c r="L15" s="27"/>
    </row>
    <row r="16" spans="2:12" x14ac:dyDescent="0.2">
      <c r="B16" s="25" t="s">
        <v>42</v>
      </c>
      <c r="C16" s="21" t="s">
        <v>43</v>
      </c>
      <c r="D16" s="21" t="s">
        <v>44</v>
      </c>
      <c r="E16" s="26">
        <v>2215932</v>
      </c>
      <c r="F16" s="23">
        <v>13922.7</v>
      </c>
      <c r="G16" s="23">
        <v>1.77</v>
      </c>
      <c r="H16" s="23" t="s">
        <v>17</v>
      </c>
      <c r="I16" s="27"/>
      <c r="J16" s="27"/>
      <c r="K16" s="27"/>
      <c r="L16" s="27"/>
    </row>
    <row r="17" spans="2:12" x14ac:dyDescent="0.2">
      <c r="B17" s="25" t="s">
        <v>45</v>
      </c>
      <c r="C17" s="21" t="s">
        <v>46</v>
      </c>
      <c r="D17" s="21" t="s">
        <v>20</v>
      </c>
      <c r="E17" s="26">
        <v>4432458</v>
      </c>
      <c r="F17" s="23">
        <v>13279.64</v>
      </c>
      <c r="G17" s="23">
        <v>1.69</v>
      </c>
      <c r="H17" s="23" t="s">
        <v>17</v>
      </c>
      <c r="I17" s="27"/>
      <c r="J17" s="27"/>
      <c r="K17" s="27"/>
      <c r="L17" s="27"/>
    </row>
    <row r="18" spans="2:12" x14ac:dyDescent="0.2">
      <c r="B18" s="25" t="s">
        <v>47</v>
      </c>
      <c r="C18" s="21" t="s">
        <v>48</v>
      </c>
      <c r="D18" s="21" t="s">
        <v>23</v>
      </c>
      <c r="E18" s="26">
        <v>2888743</v>
      </c>
      <c r="F18" s="23">
        <v>12134.16</v>
      </c>
      <c r="G18" s="23">
        <v>1.54</v>
      </c>
      <c r="H18" s="23" t="s">
        <v>49</v>
      </c>
      <c r="I18" s="27"/>
      <c r="J18" s="27"/>
      <c r="K18" s="27"/>
      <c r="L18" s="27"/>
    </row>
    <row r="19" spans="2:12" x14ac:dyDescent="0.2">
      <c r="B19" s="25" t="s">
        <v>50</v>
      </c>
      <c r="C19" s="21" t="s">
        <v>51</v>
      </c>
      <c r="D19" s="21" t="s">
        <v>52</v>
      </c>
      <c r="E19" s="26">
        <v>143594</v>
      </c>
      <c r="F19" s="23">
        <v>12093.85</v>
      </c>
      <c r="G19" s="23">
        <v>1.54</v>
      </c>
      <c r="H19" s="23" t="s">
        <v>33</v>
      </c>
      <c r="I19" s="27"/>
      <c r="J19" s="27"/>
      <c r="K19" s="27"/>
      <c r="L19" s="27"/>
    </row>
    <row r="20" spans="2:12" x14ac:dyDescent="0.2">
      <c r="B20" s="25" t="s">
        <v>53</v>
      </c>
      <c r="C20" s="21" t="s">
        <v>54</v>
      </c>
      <c r="D20" s="21" t="s">
        <v>55</v>
      </c>
      <c r="E20" s="26">
        <v>744500</v>
      </c>
      <c r="F20" s="23">
        <v>11898.97</v>
      </c>
      <c r="G20" s="23">
        <v>1.51</v>
      </c>
      <c r="H20" s="23" t="s">
        <v>17</v>
      </c>
      <c r="I20" s="27"/>
      <c r="J20" s="27"/>
      <c r="K20" s="27"/>
      <c r="L20" s="27"/>
    </row>
    <row r="21" spans="2:12" x14ac:dyDescent="0.2">
      <c r="B21" s="25" t="s">
        <v>56</v>
      </c>
      <c r="C21" s="21" t="s">
        <v>57</v>
      </c>
      <c r="D21" s="21" t="s">
        <v>58</v>
      </c>
      <c r="E21" s="26">
        <v>2380308</v>
      </c>
      <c r="F21" s="23">
        <v>11261.24</v>
      </c>
      <c r="G21" s="23">
        <v>1.43</v>
      </c>
      <c r="H21" s="23" t="s">
        <v>17</v>
      </c>
      <c r="I21" s="27"/>
      <c r="J21" s="27"/>
      <c r="K21" s="27"/>
      <c r="L21" s="27"/>
    </row>
    <row r="22" spans="2:12" x14ac:dyDescent="0.2">
      <c r="B22" s="25" t="s">
        <v>59</v>
      </c>
      <c r="C22" s="21" t="s">
        <v>60</v>
      </c>
      <c r="D22" s="21" t="s">
        <v>36</v>
      </c>
      <c r="E22" s="26">
        <v>149500</v>
      </c>
      <c r="F22" s="23">
        <v>11201.51</v>
      </c>
      <c r="G22" s="23">
        <v>1.42</v>
      </c>
      <c r="H22" s="23" t="s">
        <v>33</v>
      </c>
      <c r="I22" s="27"/>
      <c r="J22" s="27"/>
      <c r="K22" s="27"/>
      <c r="L22" s="27"/>
    </row>
    <row r="23" spans="2:12" x14ac:dyDescent="0.2">
      <c r="B23" s="25" t="s">
        <v>61</v>
      </c>
      <c r="C23" s="21" t="s">
        <v>62</v>
      </c>
      <c r="D23" s="21" t="s">
        <v>23</v>
      </c>
      <c r="E23" s="26">
        <v>8086154</v>
      </c>
      <c r="F23" s="23">
        <v>11166.98</v>
      </c>
      <c r="G23" s="23">
        <v>1.42</v>
      </c>
      <c r="H23" s="23" t="s">
        <v>17</v>
      </c>
      <c r="I23" s="27"/>
      <c r="J23" s="27"/>
      <c r="K23" s="27"/>
      <c r="L23" s="27"/>
    </row>
    <row r="24" spans="2:12" x14ac:dyDescent="0.2">
      <c r="B24" s="25" t="s">
        <v>63</v>
      </c>
      <c r="C24" s="21" t="s">
        <v>64</v>
      </c>
      <c r="D24" s="21" t="s">
        <v>65</v>
      </c>
      <c r="E24" s="26">
        <v>180430</v>
      </c>
      <c r="F24" s="23">
        <v>11114.85</v>
      </c>
      <c r="G24" s="23">
        <v>1.41</v>
      </c>
      <c r="H24" s="23" t="s">
        <v>49</v>
      </c>
      <c r="I24" s="27"/>
      <c r="J24" s="27"/>
      <c r="K24" s="27"/>
      <c r="L24" s="27"/>
    </row>
    <row r="25" spans="2:12" x14ac:dyDescent="0.2">
      <c r="B25" s="25" t="s">
        <v>66</v>
      </c>
      <c r="C25" s="21" t="s">
        <v>67</v>
      </c>
      <c r="D25" s="21" t="s">
        <v>68</v>
      </c>
      <c r="E25" s="26">
        <v>790068</v>
      </c>
      <c r="F25" s="23">
        <v>11047.13</v>
      </c>
      <c r="G25" s="23">
        <v>1.41</v>
      </c>
      <c r="H25" s="23" t="s">
        <v>17</v>
      </c>
      <c r="I25" s="27"/>
      <c r="J25" s="27"/>
      <c r="K25" s="27"/>
      <c r="L25" s="27"/>
    </row>
    <row r="26" spans="2:12" x14ac:dyDescent="0.2">
      <c r="B26" s="25" t="s">
        <v>69</v>
      </c>
      <c r="C26" s="21" t="s">
        <v>70</v>
      </c>
      <c r="D26" s="21" t="s">
        <v>36</v>
      </c>
      <c r="E26" s="26">
        <v>943730</v>
      </c>
      <c r="F26" s="23">
        <v>10741.53</v>
      </c>
      <c r="G26" s="23">
        <v>1.37</v>
      </c>
      <c r="H26" s="23" t="s">
        <v>17</v>
      </c>
      <c r="I26" s="27"/>
      <c r="J26" s="27"/>
      <c r="K26" s="27"/>
      <c r="L26" s="27"/>
    </row>
    <row r="27" spans="2:12" x14ac:dyDescent="0.2">
      <c r="B27" s="25" t="s">
        <v>71</v>
      </c>
      <c r="C27" s="21" t="s">
        <v>72</v>
      </c>
      <c r="D27" s="21" t="s">
        <v>73</v>
      </c>
      <c r="E27" s="26">
        <v>3203246</v>
      </c>
      <c r="F27" s="23">
        <v>10702.04</v>
      </c>
      <c r="G27" s="23">
        <v>1.36</v>
      </c>
      <c r="H27" s="23" t="s">
        <v>17</v>
      </c>
      <c r="I27" s="27"/>
      <c r="J27" s="27"/>
      <c r="K27" s="27"/>
      <c r="L27" s="27"/>
    </row>
    <row r="28" spans="2:12" x14ac:dyDescent="0.2">
      <c r="B28" s="25" t="s">
        <v>74</v>
      </c>
      <c r="C28" s="21" t="s">
        <v>75</v>
      </c>
      <c r="D28" s="21" t="s">
        <v>68</v>
      </c>
      <c r="E28" s="26">
        <v>950000</v>
      </c>
      <c r="F28" s="23">
        <v>10341.700000000001</v>
      </c>
      <c r="G28" s="23">
        <v>1.32</v>
      </c>
      <c r="H28" s="23" t="s">
        <v>33</v>
      </c>
      <c r="I28" s="27"/>
      <c r="J28" s="27"/>
      <c r="K28" s="27"/>
      <c r="L28" s="27"/>
    </row>
    <row r="29" spans="2:12" x14ac:dyDescent="0.2">
      <c r="B29" s="25" t="s">
        <v>76</v>
      </c>
      <c r="C29" s="21" t="s">
        <v>77</v>
      </c>
      <c r="D29" s="21" t="s">
        <v>52</v>
      </c>
      <c r="E29" s="26">
        <v>1496226</v>
      </c>
      <c r="F29" s="23">
        <v>10272.34</v>
      </c>
      <c r="G29" s="23">
        <v>1.31</v>
      </c>
      <c r="H29" s="23" t="s">
        <v>17</v>
      </c>
      <c r="I29" s="27"/>
      <c r="J29" s="27"/>
      <c r="K29" s="27"/>
      <c r="L29" s="27"/>
    </row>
    <row r="30" spans="2:12" x14ac:dyDescent="0.2">
      <c r="B30" s="25" t="s">
        <v>78</v>
      </c>
      <c r="C30" s="21" t="s">
        <v>79</v>
      </c>
      <c r="D30" s="21" t="s">
        <v>80</v>
      </c>
      <c r="E30" s="26">
        <v>1281431</v>
      </c>
      <c r="F30" s="23">
        <v>10169.44</v>
      </c>
      <c r="G30" s="23">
        <v>1.29</v>
      </c>
      <c r="H30" s="23" t="s">
        <v>17</v>
      </c>
      <c r="I30" s="27"/>
      <c r="J30" s="27"/>
      <c r="K30" s="27"/>
      <c r="L30" s="27"/>
    </row>
    <row r="31" spans="2:12" x14ac:dyDescent="0.2">
      <c r="B31" s="25" t="s">
        <v>81</v>
      </c>
      <c r="C31" s="21" t="s">
        <v>82</v>
      </c>
      <c r="D31" s="21" t="s">
        <v>80</v>
      </c>
      <c r="E31" s="26">
        <v>2620981</v>
      </c>
      <c r="F31" s="23">
        <v>10048.84</v>
      </c>
      <c r="G31" s="23">
        <v>1.28</v>
      </c>
      <c r="H31" s="23" t="s">
        <v>49</v>
      </c>
      <c r="I31" s="27"/>
      <c r="J31" s="27"/>
      <c r="K31" s="27"/>
      <c r="L31" s="27"/>
    </row>
    <row r="32" spans="2:12" x14ac:dyDescent="0.2">
      <c r="B32" s="25" t="s">
        <v>83</v>
      </c>
      <c r="C32" s="21" t="s">
        <v>84</v>
      </c>
      <c r="D32" s="21" t="s">
        <v>85</v>
      </c>
      <c r="E32" s="26">
        <v>927022</v>
      </c>
      <c r="F32" s="23">
        <v>10037.790000000001</v>
      </c>
      <c r="G32" s="23">
        <v>1.28</v>
      </c>
      <c r="H32" s="23" t="s">
        <v>17</v>
      </c>
      <c r="I32" s="27"/>
      <c r="J32" s="27"/>
      <c r="K32" s="27"/>
      <c r="L32" s="27"/>
    </row>
    <row r="33" spans="2:12" x14ac:dyDescent="0.2">
      <c r="B33" s="25" t="s">
        <v>86</v>
      </c>
      <c r="C33" s="21" t="s">
        <v>87</v>
      </c>
      <c r="D33" s="21" t="s">
        <v>88</v>
      </c>
      <c r="E33" s="26">
        <v>63163</v>
      </c>
      <c r="F33" s="23">
        <v>9919.5300000000007</v>
      </c>
      <c r="G33" s="23">
        <v>1.26</v>
      </c>
      <c r="H33" s="23" t="s">
        <v>49</v>
      </c>
      <c r="I33" s="27"/>
      <c r="J33" s="27"/>
      <c r="K33" s="27"/>
      <c r="L33" s="27"/>
    </row>
    <row r="34" spans="2:12" x14ac:dyDescent="0.2">
      <c r="B34" s="25" t="s">
        <v>89</v>
      </c>
      <c r="C34" s="21" t="s">
        <v>90</v>
      </c>
      <c r="D34" s="21" t="s">
        <v>68</v>
      </c>
      <c r="E34" s="26">
        <v>559200</v>
      </c>
      <c r="F34" s="23">
        <v>9859.81</v>
      </c>
      <c r="G34" s="23">
        <v>1.25</v>
      </c>
      <c r="H34" s="23" t="s">
        <v>17</v>
      </c>
      <c r="I34" s="27"/>
      <c r="J34" s="27"/>
      <c r="K34" s="27"/>
      <c r="L34" s="27"/>
    </row>
    <row r="35" spans="2:12" x14ac:dyDescent="0.2">
      <c r="B35" s="25" t="s">
        <v>91</v>
      </c>
      <c r="C35" s="21" t="s">
        <v>92</v>
      </c>
      <c r="D35" s="21" t="s">
        <v>93</v>
      </c>
      <c r="E35" s="26">
        <v>1250000</v>
      </c>
      <c r="F35" s="23">
        <v>9807.5</v>
      </c>
      <c r="G35" s="23">
        <v>1.25</v>
      </c>
      <c r="H35" s="23" t="s">
        <v>17</v>
      </c>
      <c r="I35" s="27"/>
      <c r="J35" s="27"/>
      <c r="K35" s="27"/>
      <c r="L35" s="27"/>
    </row>
    <row r="36" spans="2:12" x14ac:dyDescent="0.2">
      <c r="B36" s="25" t="s">
        <v>94</v>
      </c>
      <c r="C36" s="21" t="s">
        <v>95</v>
      </c>
      <c r="D36" s="21" t="s">
        <v>68</v>
      </c>
      <c r="E36" s="26">
        <v>1675983</v>
      </c>
      <c r="F36" s="23">
        <v>9698.91</v>
      </c>
      <c r="G36" s="23">
        <v>1.23</v>
      </c>
      <c r="H36" s="23" t="s">
        <v>17</v>
      </c>
      <c r="I36" s="27"/>
      <c r="J36" s="27"/>
      <c r="K36" s="27"/>
      <c r="L36" s="27"/>
    </row>
    <row r="37" spans="2:12" x14ac:dyDescent="0.2">
      <c r="B37" s="25" t="s">
        <v>96</v>
      </c>
      <c r="C37" s="21" t="s">
        <v>97</v>
      </c>
      <c r="D37" s="21" t="s">
        <v>65</v>
      </c>
      <c r="E37" s="26">
        <v>189093</v>
      </c>
      <c r="F37" s="23">
        <v>9568.86</v>
      </c>
      <c r="G37" s="23">
        <v>1.22</v>
      </c>
      <c r="H37" s="23" t="s">
        <v>33</v>
      </c>
      <c r="I37" s="27"/>
      <c r="J37" s="27"/>
      <c r="K37" s="27"/>
      <c r="L37" s="27"/>
    </row>
    <row r="38" spans="2:12" x14ac:dyDescent="0.2">
      <c r="B38" s="25" t="s">
        <v>98</v>
      </c>
      <c r="C38" s="21" t="s">
        <v>99</v>
      </c>
      <c r="D38" s="21" t="s">
        <v>16</v>
      </c>
      <c r="E38" s="26">
        <v>1376829</v>
      </c>
      <c r="F38" s="23">
        <v>9439.5400000000009</v>
      </c>
      <c r="G38" s="23">
        <v>1.2</v>
      </c>
      <c r="H38" s="23" t="s">
        <v>17</v>
      </c>
      <c r="I38" s="27"/>
      <c r="J38" s="27"/>
      <c r="K38" s="27"/>
      <c r="L38" s="27"/>
    </row>
    <row r="39" spans="2:12" x14ac:dyDescent="0.2">
      <c r="B39" s="25" t="s">
        <v>100</v>
      </c>
      <c r="C39" s="21" t="s">
        <v>101</v>
      </c>
      <c r="D39" s="21" t="s">
        <v>102</v>
      </c>
      <c r="E39" s="26">
        <v>1170363</v>
      </c>
      <c r="F39" s="23">
        <v>9295.61</v>
      </c>
      <c r="G39" s="23">
        <v>1.18</v>
      </c>
      <c r="H39" s="23" t="s">
        <v>17</v>
      </c>
      <c r="I39" s="27"/>
      <c r="J39" s="27"/>
      <c r="K39" s="27"/>
      <c r="L39" s="27"/>
    </row>
    <row r="40" spans="2:12" x14ac:dyDescent="0.2">
      <c r="B40" s="25" t="s">
        <v>103</v>
      </c>
      <c r="C40" s="21" t="s">
        <v>104</v>
      </c>
      <c r="D40" s="21" t="s">
        <v>105</v>
      </c>
      <c r="E40" s="26">
        <v>2150000</v>
      </c>
      <c r="F40" s="23">
        <v>9210.6</v>
      </c>
      <c r="G40" s="23">
        <v>1.17</v>
      </c>
      <c r="H40" s="23" t="s">
        <v>33</v>
      </c>
      <c r="I40" s="27"/>
      <c r="J40" s="27"/>
      <c r="K40" s="27"/>
      <c r="L40" s="27"/>
    </row>
    <row r="41" spans="2:12" x14ac:dyDescent="0.2">
      <c r="B41" s="25" t="s">
        <v>106</v>
      </c>
      <c r="C41" s="21" t="s">
        <v>107</v>
      </c>
      <c r="D41" s="21" t="s">
        <v>102</v>
      </c>
      <c r="E41" s="26">
        <v>1382331</v>
      </c>
      <c r="F41" s="23">
        <v>9194.57</v>
      </c>
      <c r="G41" s="23">
        <v>1.17</v>
      </c>
      <c r="H41" s="23" t="s">
        <v>17</v>
      </c>
      <c r="I41" s="27"/>
      <c r="J41" s="27"/>
      <c r="K41" s="27"/>
      <c r="L41" s="27"/>
    </row>
    <row r="42" spans="2:12" x14ac:dyDescent="0.2">
      <c r="B42" s="25" t="s">
        <v>108</v>
      </c>
      <c r="C42" s="21" t="s">
        <v>109</v>
      </c>
      <c r="D42" s="21" t="s">
        <v>26</v>
      </c>
      <c r="E42" s="26">
        <v>168320</v>
      </c>
      <c r="F42" s="23">
        <v>9187.33</v>
      </c>
      <c r="G42" s="23">
        <v>1.17</v>
      </c>
      <c r="H42" s="23" t="s">
        <v>17</v>
      </c>
      <c r="I42" s="27"/>
      <c r="J42" s="27"/>
      <c r="K42" s="27"/>
      <c r="L42" s="27"/>
    </row>
    <row r="43" spans="2:12" x14ac:dyDescent="0.2">
      <c r="B43" s="25" t="s">
        <v>110</v>
      </c>
      <c r="C43" s="21" t="s">
        <v>111</v>
      </c>
      <c r="D43" s="21" t="s">
        <v>112</v>
      </c>
      <c r="E43" s="26">
        <v>400000</v>
      </c>
      <c r="F43" s="23">
        <v>9151.6</v>
      </c>
      <c r="G43" s="23">
        <v>1.1599999999999999</v>
      </c>
      <c r="H43" s="23" t="s">
        <v>33</v>
      </c>
      <c r="I43" s="27"/>
      <c r="J43" s="27"/>
      <c r="K43" s="27"/>
      <c r="L43" s="27"/>
    </row>
    <row r="44" spans="2:12" x14ac:dyDescent="0.2">
      <c r="B44" s="25" t="s">
        <v>113</v>
      </c>
      <c r="C44" s="21" t="s">
        <v>114</v>
      </c>
      <c r="D44" s="21" t="s">
        <v>93</v>
      </c>
      <c r="E44" s="26">
        <v>1555862</v>
      </c>
      <c r="F44" s="23">
        <v>8926.76</v>
      </c>
      <c r="G44" s="23">
        <v>1.1399999999999999</v>
      </c>
      <c r="H44" s="23" t="s">
        <v>49</v>
      </c>
      <c r="I44" s="27"/>
      <c r="J44" s="27"/>
      <c r="K44" s="27"/>
      <c r="L44" s="27"/>
    </row>
    <row r="45" spans="2:12" x14ac:dyDescent="0.2">
      <c r="B45" s="25" t="s">
        <v>115</v>
      </c>
      <c r="C45" s="21" t="s">
        <v>116</v>
      </c>
      <c r="D45" s="21" t="s">
        <v>20</v>
      </c>
      <c r="E45" s="26">
        <v>1432529</v>
      </c>
      <c r="F45" s="23">
        <v>8729.1200000000008</v>
      </c>
      <c r="G45" s="23">
        <v>1.1100000000000001</v>
      </c>
      <c r="H45" s="23" t="s">
        <v>17</v>
      </c>
      <c r="I45" s="27"/>
      <c r="J45" s="27"/>
      <c r="K45" s="27"/>
      <c r="L45" s="27"/>
    </row>
    <row r="46" spans="2:12" x14ac:dyDescent="0.2">
      <c r="B46" s="25" t="s">
        <v>117</v>
      </c>
      <c r="C46" s="21" t="s">
        <v>118</v>
      </c>
      <c r="D46" s="21" t="s">
        <v>23</v>
      </c>
      <c r="E46" s="26">
        <v>500000</v>
      </c>
      <c r="F46" s="23">
        <v>8697</v>
      </c>
      <c r="G46" s="23">
        <v>1.1100000000000001</v>
      </c>
      <c r="H46" s="23" t="s">
        <v>33</v>
      </c>
      <c r="I46" s="27"/>
      <c r="J46" s="27"/>
      <c r="K46" s="27"/>
      <c r="L46" s="27"/>
    </row>
    <row r="47" spans="2:12" x14ac:dyDescent="0.2">
      <c r="B47" s="25" t="s">
        <v>119</v>
      </c>
      <c r="C47" s="21" t="s">
        <v>120</v>
      </c>
      <c r="D47" s="21" t="s">
        <v>88</v>
      </c>
      <c r="E47" s="26">
        <v>307600</v>
      </c>
      <c r="F47" s="23">
        <v>8666.32</v>
      </c>
      <c r="G47" s="23">
        <v>1.1000000000000001</v>
      </c>
      <c r="H47" s="23" t="s">
        <v>49</v>
      </c>
      <c r="I47" s="27"/>
      <c r="J47" s="27"/>
      <c r="K47" s="27"/>
      <c r="L47" s="27"/>
    </row>
    <row r="48" spans="2:12" x14ac:dyDescent="0.2">
      <c r="B48" s="25" t="s">
        <v>121</v>
      </c>
      <c r="C48" s="21" t="s">
        <v>122</v>
      </c>
      <c r="D48" s="21" t="s">
        <v>88</v>
      </c>
      <c r="E48" s="26">
        <v>1834433</v>
      </c>
      <c r="F48" s="23">
        <v>8441.14</v>
      </c>
      <c r="G48" s="23">
        <v>1.07</v>
      </c>
      <c r="H48" s="23" t="s">
        <v>17</v>
      </c>
      <c r="I48" s="27"/>
      <c r="J48" s="27"/>
      <c r="K48" s="27"/>
      <c r="L48" s="27"/>
    </row>
    <row r="49" spans="2:12" x14ac:dyDescent="0.2">
      <c r="B49" s="25" t="s">
        <v>123</v>
      </c>
      <c r="C49" s="21" t="s">
        <v>124</v>
      </c>
      <c r="D49" s="21" t="s">
        <v>23</v>
      </c>
      <c r="E49" s="26">
        <v>7112169</v>
      </c>
      <c r="F49" s="23">
        <v>8154.1</v>
      </c>
      <c r="G49" s="23">
        <v>1.04</v>
      </c>
      <c r="H49" s="23" t="s">
        <v>17</v>
      </c>
      <c r="I49" s="27"/>
      <c r="J49" s="27"/>
      <c r="K49" s="27"/>
      <c r="L49" s="27"/>
    </row>
    <row r="50" spans="2:12" x14ac:dyDescent="0.2">
      <c r="B50" s="25" t="s">
        <v>125</v>
      </c>
      <c r="C50" s="21" t="s">
        <v>126</v>
      </c>
      <c r="D50" s="21" t="s">
        <v>127</v>
      </c>
      <c r="E50" s="26">
        <v>222330</v>
      </c>
      <c r="F50" s="23">
        <v>8078.14</v>
      </c>
      <c r="G50" s="23">
        <v>1.03</v>
      </c>
      <c r="H50" s="23" t="s">
        <v>33</v>
      </c>
      <c r="I50" s="27"/>
      <c r="J50" s="27"/>
      <c r="K50" s="27"/>
      <c r="L50" s="27"/>
    </row>
    <row r="51" spans="2:12" x14ac:dyDescent="0.2">
      <c r="B51" s="25" t="s">
        <v>128</v>
      </c>
      <c r="C51" s="21" t="s">
        <v>129</v>
      </c>
      <c r="D51" s="21" t="s">
        <v>88</v>
      </c>
      <c r="E51" s="26">
        <v>359510</v>
      </c>
      <c r="F51" s="23">
        <v>7957.21</v>
      </c>
      <c r="G51" s="23">
        <v>1.01</v>
      </c>
      <c r="H51" s="23" t="s">
        <v>17</v>
      </c>
      <c r="I51" s="27"/>
      <c r="J51" s="27"/>
      <c r="K51" s="27"/>
      <c r="L51" s="27"/>
    </row>
    <row r="52" spans="2:12" x14ac:dyDescent="0.2">
      <c r="B52" s="25" t="s">
        <v>130</v>
      </c>
      <c r="C52" s="21" t="s">
        <v>131</v>
      </c>
      <c r="D52" s="21" t="s">
        <v>29</v>
      </c>
      <c r="E52" s="26">
        <v>458129</v>
      </c>
      <c r="F52" s="23">
        <v>7948.77</v>
      </c>
      <c r="G52" s="23">
        <v>1.01</v>
      </c>
      <c r="H52" s="23" t="s">
        <v>17</v>
      </c>
      <c r="I52" s="27"/>
      <c r="J52" s="27"/>
      <c r="K52" s="27"/>
      <c r="L52" s="27"/>
    </row>
    <row r="53" spans="2:12" x14ac:dyDescent="0.2">
      <c r="B53" s="25" t="s">
        <v>132</v>
      </c>
      <c r="C53" s="21" t="s">
        <v>133</v>
      </c>
      <c r="D53" s="21" t="s">
        <v>134</v>
      </c>
      <c r="E53" s="26">
        <v>1067293</v>
      </c>
      <c r="F53" s="23">
        <v>7888.9</v>
      </c>
      <c r="G53" s="23">
        <v>1</v>
      </c>
      <c r="H53" s="23" t="s">
        <v>17</v>
      </c>
      <c r="I53" s="27"/>
      <c r="J53" s="27"/>
      <c r="K53" s="27"/>
      <c r="L53" s="27"/>
    </row>
    <row r="54" spans="2:12" x14ac:dyDescent="0.2">
      <c r="B54" s="25" t="s">
        <v>135</v>
      </c>
      <c r="C54" s="21" t="s">
        <v>136</v>
      </c>
      <c r="D54" s="21" t="s">
        <v>26</v>
      </c>
      <c r="E54" s="26">
        <v>412771</v>
      </c>
      <c r="F54" s="23">
        <v>7880.21</v>
      </c>
      <c r="G54" s="23">
        <v>1</v>
      </c>
      <c r="H54" s="23" t="s">
        <v>17</v>
      </c>
      <c r="I54" s="27"/>
      <c r="J54" s="27"/>
      <c r="K54" s="27"/>
      <c r="L54" s="27"/>
    </row>
    <row r="55" spans="2:12" x14ac:dyDescent="0.2">
      <c r="B55" s="25" t="s">
        <v>137</v>
      </c>
      <c r="C55" s="21" t="s">
        <v>138</v>
      </c>
      <c r="D55" s="21" t="s">
        <v>73</v>
      </c>
      <c r="E55" s="26">
        <v>2964070</v>
      </c>
      <c r="F55" s="23">
        <v>7823.66</v>
      </c>
      <c r="G55" s="23">
        <v>1</v>
      </c>
      <c r="H55" s="23" t="s">
        <v>17</v>
      </c>
      <c r="I55" s="27"/>
      <c r="J55" s="27"/>
      <c r="K55" s="27"/>
      <c r="L55" s="27"/>
    </row>
    <row r="56" spans="2:12" x14ac:dyDescent="0.2">
      <c r="B56" s="25" t="s">
        <v>139</v>
      </c>
      <c r="C56" s="21" t="s">
        <v>140</v>
      </c>
      <c r="D56" s="21" t="s">
        <v>16</v>
      </c>
      <c r="E56" s="26">
        <v>4214685</v>
      </c>
      <c r="F56" s="23">
        <v>7609.61</v>
      </c>
      <c r="G56" s="23">
        <v>0.97</v>
      </c>
      <c r="H56" s="23" t="s">
        <v>17</v>
      </c>
      <c r="I56" s="27"/>
      <c r="J56" s="27"/>
      <c r="K56" s="27"/>
      <c r="L56" s="27"/>
    </row>
    <row r="57" spans="2:12" x14ac:dyDescent="0.2">
      <c r="B57" s="25" t="s">
        <v>141</v>
      </c>
      <c r="C57" s="21" t="s">
        <v>142</v>
      </c>
      <c r="D57" s="21" t="s">
        <v>16</v>
      </c>
      <c r="E57" s="26">
        <v>853725</v>
      </c>
      <c r="F57" s="23">
        <v>7603.27</v>
      </c>
      <c r="G57" s="23">
        <v>0.97</v>
      </c>
      <c r="H57" s="23" t="s">
        <v>17</v>
      </c>
      <c r="I57" s="27"/>
      <c r="J57" s="27"/>
      <c r="K57" s="27"/>
      <c r="L57" s="27"/>
    </row>
    <row r="58" spans="2:12" x14ac:dyDescent="0.2">
      <c r="B58" s="25" t="s">
        <v>143</v>
      </c>
      <c r="C58" s="21" t="s">
        <v>144</v>
      </c>
      <c r="D58" s="21" t="s">
        <v>145</v>
      </c>
      <c r="E58" s="26">
        <v>1839296</v>
      </c>
      <c r="F58" s="23">
        <v>7599.05</v>
      </c>
      <c r="G58" s="23">
        <v>0.97</v>
      </c>
      <c r="H58" s="23" t="s">
        <v>17</v>
      </c>
      <c r="I58" s="27"/>
      <c r="J58" s="27"/>
      <c r="K58" s="27"/>
      <c r="L58" s="27"/>
    </row>
    <row r="59" spans="2:12" x14ac:dyDescent="0.2">
      <c r="B59" s="25" t="s">
        <v>146</v>
      </c>
      <c r="C59" s="21" t="s">
        <v>147</v>
      </c>
      <c r="D59" s="21" t="s">
        <v>16</v>
      </c>
      <c r="E59" s="26">
        <v>352736</v>
      </c>
      <c r="F59" s="23">
        <v>7564.07</v>
      </c>
      <c r="G59" s="23">
        <v>0.96</v>
      </c>
      <c r="H59" s="23" t="s">
        <v>49</v>
      </c>
      <c r="I59" s="27"/>
      <c r="J59" s="27"/>
      <c r="K59" s="27"/>
      <c r="L59" s="27"/>
    </row>
    <row r="60" spans="2:12" x14ac:dyDescent="0.2">
      <c r="B60" s="25" t="s">
        <v>148</v>
      </c>
      <c r="C60" s="21" t="s">
        <v>149</v>
      </c>
      <c r="D60" s="21" t="s">
        <v>68</v>
      </c>
      <c r="E60" s="26">
        <v>33600</v>
      </c>
      <c r="F60" s="23">
        <v>7530.99</v>
      </c>
      <c r="G60" s="23">
        <v>0.96</v>
      </c>
      <c r="H60" s="23" t="s">
        <v>49</v>
      </c>
      <c r="I60" s="27"/>
      <c r="J60" s="27"/>
      <c r="K60" s="27"/>
      <c r="L60" s="27"/>
    </row>
    <row r="61" spans="2:12" x14ac:dyDescent="0.2">
      <c r="B61" s="25" t="s">
        <v>150</v>
      </c>
      <c r="C61" s="21" t="s">
        <v>151</v>
      </c>
      <c r="D61" s="21" t="s">
        <v>152</v>
      </c>
      <c r="E61" s="26">
        <v>1525450</v>
      </c>
      <c r="F61" s="23">
        <v>7487.67</v>
      </c>
      <c r="G61" s="23">
        <v>0.95</v>
      </c>
      <c r="H61" s="23" t="s">
        <v>17</v>
      </c>
      <c r="I61" s="27"/>
      <c r="J61" s="27"/>
      <c r="K61" s="27"/>
      <c r="L61" s="27"/>
    </row>
    <row r="62" spans="2:12" x14ac:dyDescent="0.2">
      <c r="B62" s="25" t="s">
        <v>153</v>
      </c>
      <c r="C62" s="21" t="s">
        <v>154</v>
      </c>
      <c r="D62" s="21" t="s">
        <v>155</v>
      </c>
      <c r="E62" s="26">
        <v>1595358</v>
      </c>
      <c r="F62" s="23">
        <v>7363.37</v>
      </c>
      <c r="G62" s="23">
        <v>0.94</v>
      </c>
      <c r="H62" s="23" t="s">
        <v>17</v>
      </c>
      <c r="I62" s="27"/>
      <c r="J62" s="27"/>
      <c r="K62" s="27"/>
      <c r="L62" s="27"/>
    </row>
    <row r="63" spans="2:12" x14ac:dyDescent="0.2">
      <c r="B63" s="25" t="s">
        <v>156</v>
      </c>
      <c r="C63" s="21" t="s">
        <v>157</v>
      </c>
      <c r="D63" s="21" t="s">
        <v>158</v>
      </c>
      <c r="E63" s="26">
        <v>900995</v>
      </c>
      <c r="F63" s="23">
        <v>7253.46</v>
      </c>
      <c r="G63" s="23">
        <v>0.92</v>
      </c>
      <c r="H63" s="23" t="s">
        <v>49</v>
      </c>
      <c r="I63" s="27"/>
      <c r="J63" s="27"/>
      <c r="K63" s="27"/>
      <c r="L63" s="27"/>
    </row>
    <row r="64" spans="2:12" x14ac:dyDescent="0.2">
      <c r="B64" s="25" t="s">
        <v>159</v>
      </c>
      <c r="C64" s="21" t="s">
        <v>160</v>
      </c>
      <c r="D64" s="21" t="s">
        <v>93</v>
      </c>
      <c r="E64" s="26">
        <v>1192000</v>
      </c>
      <c r="F64" s="23">
        <v>6994.06</v>
      </c>
      <c r="G64" s="23">
        <v>0.89</v>
      </c>
      <c r="H64" s="23" t="s">
        <v>17</v>
      </c>
      <c r="I64" s="27"/>
      <c r="J64" s="27"/>
      <c r="K64" s="27"/>
      <c r="L64" s="27"/>
    </row>
    <row r="65" spans="2:12" x14ac:dyDescent="0.2">
      <c r="B65" s="25" t="s">
        <v>161</v>
      </c>
      <c r="C65" s="21" t="s">
        <v>162</v>
      </c>
      <c r="D65" s="21" t="s">
        <v>26</v>
      </c>
      <c r="E65" s="26">
        <v>266897</v>
      </c>
      <c r="F65" s="23">
        <v>6891.15</v>
      </c>
      <c r="G65" s="23">
        <v>0.88</v>
      </c>
      <c r="H65" s="23" t="s">
        <v>17</v>
      </c>
      <c r="I65" s="27"/>
      <c r="J65" s="27"/>
      <c r="K65" s="27"/>
      <c r="L65" s="27"/>
    </row>
    <row r="66" spans="2:12" x14ac:dyDescent="0.2">
      <c r="B66" s="25" t="s">
        <v>163</v>
      </c>
      <c r="C66" s="21" t="s">
        <v>164</v>
      </c>
      <c r="D66" s="21" t="s">
        <v>134</v>
      </c>
      <c r="E66" s="26">
        <v>345175</v>
      </c>
      <c r="F66" s="23">
        <v>6857.76</v>
      </c>
      <c r="G66" s="23">
        <v>0.87</v>
      </c>
      <c r="H66" s="23" t="s">
        <v>49</v>
      </c>
      <c r="I66" s="27"/>
      <c r="J66" s="27"/>
      <c r="K66" s="27"/>
      <c r="L66" s="27"/>
    </row>
    <row r="67" spans="2:12" x14ac:dyDescent="0.2">
      <c r="B67" s="25" t="s">
        <v>165</v>
      </c>
      <c r="C67" s="21" t="s">
        <v>166</v>
      </c>
      <c r="D67" s="21" t="s">
        <v>134</v>
      </c>
      <c r="E67" s="26">
        <v>249751</v>
      </c>
      <c r="F67" s="23">
        <v>6817.58</v>
      </c>
      <c r="G67" s="23">
        <v>0.87</v>
      </c>
      <c r="H67" s="23" t="s">
        <v>17</v>
      </c>
      <c r="I67" s="27"/>
      <c r="J67" s="27"/>
      <c r="K67" s="27"/>
      <c r="L67" s="27"/>
    </row>
    <row r="68" spans="2:12" x14ac:dyDescent="0.2">
      <c r="B68" s="25" t="s">
        <v>167</v>
      </c>
      <c r="C68" s="21" t="s">
        <v>168</v>
      </c>
      <c r="D68" s="21" t="s">
        <v>127</v>
      </c>
      <c r="E68" s="26">
        <v>541255</v>
      </c>
      <c r="F68" s="23">
        <v>6707.77</v>
      </c>
      <c r="G68" s="23">
        <v>0.85</v>
      </c>
      <c r="H68" s="23" t="s">
        <v>17</v>
      </c>
      <c r="I68" s="27"/>
      <c r="J68" s="27"/>
      <c r="K68" s="27"/>
      <c r="L68" s="27"/>
    </row>
    <row r="69" spans="2:12" x14ac:dyDescent="0.2">
      <c r="B69" s="25" t="s">
        <v>169</v>
      </c>
      <c r="C69" s="21" t="s">
        <v>170</v>
      </c>
      <c r="D69" s="21" t="s">
        <v>16</v>
      </c>
      <c r="E69" s="26">
        <v>219771</v>
      </c>
      <c r="F69" s="23">
        <v>6375.12</v>
      </c>
      <c r="G69" s="23">
        <v>0.81</v>
      </c>
      <c r="H69" s="23" t="s">
        <v>49</v>
      </c>
      <c r="I69" s="27"/>
      <c r="J69" s="27"/>
      <c r="K69" s="27"/>
      <c r="L69" s="27"/>
    </row>
    <row r="70" spans="2:12" x14ac:dyDescent="0.2">
      <c r="B70" s="25" t="s">
        <v>171</v>
      </c>
      <c r="C70" s="21" t="s">
        <v>172</v>
      </c>
      <c r="D70" s="21" t="s">
        <v>20</v>
      </c>
      <c r="E70" s="26">
        <v>1745533</v>
      </c>
      <c r="F70" s="23">
        <v>6180.06</v>
      </c>
      <c r="G70" s="23">
        <v>0.79</v>
      </c>
      <c r="H70" s="23" t="s">
        <v>17</v>
      </c>
      <c r="I70" s="27"/>
      <c r="J70" s="27"/>
      <c r="K70" s="27"/>
      <c r="L70" s="27"/>
    </row>
    <row r="71" spans="2:12" x14ac:dyDescent="0.2">
      <c r="B71" s="25" t="s">
        <v>173</v>
      </c>
      <c r="C71" s="21" t="s">
        <v>174</v>
      </c>
      <c r="D71" s="21" t="s">
        <v>155</v>
      </c>
      <c r="E71" s="26">
        <v>2749564</v>
      </c>
      <c r="F71" s="23">
        <v>5969.3</v>
      </c>
      <c r="G71" s="23">
        <v>0.76</v>
      </c>
      <c r="H71" s="23" t="s">
        <v>17</v>
      </c>
      <c r="I71" s="27"/>
      <c r="J71" s="27"/>
      <c r="K71" s="27"/>
      <c r="L71" s="27"/>
    </row>
    <row r="72" spans="2:12" x14ac:dyDescent="0.2">
      <c r="B72" s="25" t="s">
        <v>175</v>
      </c>
      <c r="C72" s="21" t="s">
        <v>176</v>
      </c>
      <c r="D72" s="21" t="s">
        <v>177</v>
      </c>
      <c r="E72" s="26">
        <v>6460000</v>
      </c>
      <c r="F72" s="23">
        <v>5959.35</v>
      </c>
      <c r="G72" s="23">
        <v>0.76</v>
      </c>
      <c r="H72" s="23" t="s">
        <v>17</v>
      </c>
      <c r="I72" s="27"/>
      <c r="J72" s="27"/>
      <c r="K72" s="27"/>
      <c r="L72" s="27"/>
    </row>
    <row r="73" spans="2:12" x14ac:dyDescent="0.2">
      <c r="B73" s="25" t="s">
        <v>178</v>
      </c>
      <c r="C73" s="21" t="s">
        <v>179</v>
      </c>
      <c r="D73" s="21" t="s">
        <v>127</v>
      </c>
      <c r="E73" s="26">
        <v>438127</v>
      </c>
      <c r="F73" s="23">
        <v>5661.26</v>
      </c>
      <c r="G73" s="23">
        <v>0.72</v>
      </c>
      <c r="H73" s="23" t="s">
        <v>49</v>
      </c>
      <c r="I73" s="27"/>
      <c r="J73" s="27"/>
      <c r="K73" s="27"/>
      <c r="L73" s="27"/>
    </row>
    <row r="74" spans="2:12" x14ac:dyDescent="0.2">
      <c r="B74" s="25" t="s">
        <v>180</v>
      </c>
      <c r="C74" s="21" t="s">
        <v>181</v>
      </c>
      <c r="D74" s="21" t="s">
        <v>134</v>
      </c>
      <c r="E74" s="26">
        <v>2180021</v>
      </c>
      <c r="F74" s="23">
        <v>4828.75</v>
      </c>
      <c r="G74" s="23">
        <v>0.61</v>
      </c>
      <c r="H74" s="23" t="s">
        <v>17</v>
      </c>
      <c r="I74" s="27"/>
      <c r="J74" s="27"/>
      <c r="K74" s="27"/>
      <c r="L74" s="27"/>
    </row>
    <row r="75" spans="2:12" x14ac:dyDescent="0.2">
      <c r="B75" s="25" t="s">
        <v>182</v>
      </c>
      <c r="C75" s="21" t="s">
        <v>183</v>
      </c>
      <c r="D75" s="21" t="s">
        <v>73</v>
      </c>
      <c r="E75" s="26">
        <v>684477</v>
      </c>
      <c r="F75" s="23">
        <v>4651.3599999999997</v>
      </c>
      <c r="G75" s="23">
        <v>0.59</v>
      </c>
      <c r="H75" s="23" t="s">
        <v>17</v>
      </c>
      <c r="I75" s="27"/>
      <c r="J75" s="27"/>
      <c r="K75" s="27"/>
      <c r="L75" s="27"/>
    </row>
    <row r="76" spans="2:12" x14ac:dyDescent="0.2">
      <c r="B76" s="25" t="s">
        <v>184</v>
      </c>
      <c r="C76" s="21" t="s">
        <v>185</v>
      </c>
      <c r="D76" s="21" t="s">
        <v>26</v>
      </c>
      <c r="E76" s="26">
        <v>200496</v>
      </c>
      <c r="F76" s="23">
        <v>4504.9399999999996</v>
      </c>
      <c r="G76" s="23">
        <v>0.56999999999999995</v>
      </c>
      <c r="H76" s="23" t="s">
        <v>17</v>
      </c>
      <c r="I76" s="27"/>
      <c r="J76" s="27"/>
      <c r="K76" s="27"/>
      <c r="L76" s="27"/>
    </row>
    <row r="77" spans="2:12" x14ac:dyDescent="0.2">
      <c r="B77" s="25" t="s">
        <v>186</v>
      </c>
      <c r="C77" s="21" t="s">
        <v>187</v>
      </c>
      <c r="D77" s="21" t="s">
        <v>127</v>
      </c>
      <c r="E77" s="26">
        <v>264123</v>
      </c>
      <c r="F77" s="23">
        <v>4333.7299999999996</v>
      </c>
      <c r="G77" s="23">
        <v>0.55000000000000004</v>
      </c>
      <c r="H77" s="23" t="s">
        <v>17</v>
      </c>
      <c r="I77" s="27"/>
      <c r="J77" s="27"/>
      <c r="K77" s="27"/>
      <c r="L77" s="27"/>
    </row>
    <row r="78" spans="2:12" x14ac:dyDescent="0.2">
      <c r="B78" s="25" t="s">
        <v>188</v>
      </c>
      <c r="C78" s="21" t="s">
        <v>189</v>
      </c>
      <c r="D78" s="21" t="s">
        <v>44</v>
      </c>
      <c r="E78" s="26">
        <v>149653</v>
      </c>
      <c r="F78" s="23">
        <v>4237.72</v>
      </c>
      <c r="G78" s="23">
        <v>0.54</v>
      </c>
      <c r="H78" s="23" t="s">
        <v>49</v>
      </c>
      <c r="I78" s="27"/>
      <c r="J78" s="27"/>
      <c r="K78" s="27"/>
      <c r="L78" s="27"/>
    </row>
    <row r="79" spans="2:12" x14ac:dyDescent="0.2">
      <c r="B79" s="25" t="s">
        <v>190</v>
      </c>
      <c r="C79" s="21" t="s">
        <v>191</v>
      </c>
      <c r="D79" s="21" t="s">
        <v>26</v>
      </c>
      <c r="E79" s="26">
        <v>351730</v>
      </c>
      <c r="F79" s="23">
        <v>4218.12</v>
      </c>
      <c r="G79" s="23">
        <v>0.54</v>
      </c>
      <c r="H79" s="23" t="s">
        <v>17</v>
      </c>
      <c r="I79" s="27"/>
      <c r="J79" s="27"/>
      <c r="K79" s="27"/>
      <c r="L79" s="27"/>
    </row>
    <row r="80" spans="2:12" x14ac:dyDescent="0.2">
      <c r="B80" s="25" t="s">
        <v>192</v>
      </c>
      <c r="C80" s="21" t="s">
        <v>193</v>
      </c>
      <c r="D80" s="21" t="s">
        <v>88</v>
      </c>
      <c r="E80" s="26">
        <v>1098926</v>
      </c>
      <c r="F80" s="23">
        <v>4078.11</v>
      </c>
      <c r="G80" s="23">
        <v>0.52</v>
      </c>
      <c r="H80" s="23" t="s">
        <v>17</v>
      </c>
      <c r="I80" s="27"/>
      <c r="J80" s="27"/>
      <c r="K80" s="27"/>
      <c r="L80" s="27"/>
    </row>
    <row r="81" spans="2:12" x14ac:dyDescent="0.2">
      <c r="B81" s="25" t="s">
        <v>194</v>
      </c>
      <c r="C81" s="21" t="s">
        <v>195</v>
      </c>
      <c r="D81" s="21" t="s">
        <v>20</v>
      </c>
      <c r="E81" s="26">
        <v>839673</v>
      </c>
      <c r="F81" s="23">
        <v>4026.65</v>
      </c>
      <c r="G81" s="23">
        <v>0.51</v>
      </c>
      <c r="H81" s="23" t="s">
        <v>17</v>
      </c>
      <c r="I81" s="27"/>
      <c r="J81" s="27"/>
      <c r="K81" s="27"/>
      <c r="L81" s="27"/>
    </row>
    <row r="82" spans="2:12" x14ac:dyDescent="0.2">
      <c r="B82" s="25" t="s">
        <v>196</v>
      </c>
      <c r="C82" s="21" t="s">
        <v>197</v>
      </c>
      <c r="D82" s="21" t="s">
        <v>26</v>
      </c>
      <c r="E82" s="26">
        <v>470821</v>
      </c>
      <c r="F82" s="23">
        <v>3541.99</v>
      </c>
      <c r="G82" s="23">
        <v>0.45</v>
      </c>
      <c r="H82" s="23" t="s">
        <v>17</v>
      </c>
      <c r="I82" s="27"/>
      <c r="J82" s="27"/>
      <c r="K82" s="27"/>
      <c r="L82" s="27"/>
    </row>
    <row r="83" spans="2:12" x14ac:dyDescent="0.2">
      <c r="B83" s="25" t="s">
        <v>198</v>
      </c>
      <c r="C83" s="21" t="s">
        <v>199</v>
      </c>
      <c r="D83" s="21" t="s">
        <v>145</v>
      </c>
      <c r="E83" s="26">
        <v>580275</v>
      </c>
      <c r="F83" s="23">
        <v>3424.49</v>
      </c>
      <c r="G83" s="23">
        <v>0.44</v>
      </c>
      <c r="H83" s="23" t="s">
        <v>17</v>
      </c>
      <c r="I83" s="27"/>
      <c r="J83" s="27"/>
      <c r="K83" s="27"/>
      <c r="L83" s="27"/>
    </row>
    <row r="84" spans="2:12" x14ac:dyDescent="0.2">
      <c r="B84" s="25" t="s">
        <v>200</v>
      </c>
      <c r="C84" s="21" t="s">
        <v>201</v>
      </c>
      <c r="D84" s="21" t="s">
        <v>134</v>
      </c>
      <c r="E84" s="26">
        <v>77057</v>
      </c>
      <c r="F84" s="23">
        <v>3405.69</v>
      </c>
      <c r="G84" s="23">
        <v>0.43</v>
      </c>
      <c r="H84" s="23" t="s">
        <v>17</v>
      </c>
      <c r="I84" s="27"/>
      <c r="J84" s="27"/>
      <c r="K84" s="27"/>
      <c r="L84" s="27"/>
    </row>
    <row r="85" spans="2:12" x14ac:dyDescent="0.2">
      <c r="B85" s="25" t="s">
        <v>202</v>
      </c>
      <c r="C85" s="21" t="s">
        <v>203</v>
      </c>
      <c r="D85" s="21" t="s">
        <v>134</v>
      </c>
      <c r="E85" s="26">
        <v>259000</v>
      </c>
      <c r="F85" s="23">
        <v>3377.88</v>
      </c>
      <c r="G85" s="23">
        <v>0.43</v>
      </c>
      <c r="H85" s="23" t="s">
        <v>17</v>
      </c>
      <c r="I85" s="27"/>
      <c r="J85" s="27"/>
      <c r="K85" s="27"/>
      <c r="L85" s="27"/>
    </row>
    <row r="86" spans="2:12" x14ac:dyDescent="0.2">
      <c r="B86" s="25" t="s">
        <v>204</v>
      </c>
      <c r="C86" s="21" t="s">
        <v>205</v>
      </c>
      <c r="D86" s="21" t="s">
        <v>152</v>
      </c>
      <c r="E86" s="26">
        <v>472124</v>
      </c>
      <c r="F86" s="23">
        <v>3365.54</v>
      </c>
      <c r="G86" s="23">
        <v>0.43</v>
      </c>
      <c r="H86" s="23" t="s">
        <v>17</v>
      </c>
      <c r="I86" s="27"/>
      <c r="J86" s="27"/>
      <c r="K86" s="27"/>
      <c r="L86" s="27"/>
    </row>
    <row r="87" spans="2:12" x14ac:dyDescent="0.2">
      <c r="B87" s="25" t="s">
        <v>206</v>
      </c>
      <c r="C87" s="21" t="s">
        <v>207</v>
      </c>
      <c r="D87" s="21" t="s">
        <v>20</v>
      </c>
      <c r="E87" s="26">
        <v>2056234</v>
      </c>
      <c r="F87" s="23">
        <v>3322.87</v>
      </c>
      <c r="G87" s="23">
        <v>0.42</v>
      </c>
      <c r="H87" s="23" t="s">
        <v>17</v>
      </c>
      <c r="I87" s="27"/>
      <c r="J87" s="27"/>
      <c r="K87" s="27"/>
      <c r="L87" s="27"/>
    </row>
    <row r="88" spans="2:12" x14ac:dyDescent="0.2">
      <c r="B88" s="25" t="s">
        <v>208</v>
      </c>
      <c r="C88" s="21" t="s">
        <v>209</v>
      </c>
      <c r="D88" s="21" t="s">
        <v>102</v>
      </c>
      <c r="E88" s="26">
        <v>214272</v>
      </c>
      <c r="F88" s="23">
        <v>2833.64</v>
      </c>
      <c r="G88" s="23">
        <v>0.36</v>
      </c>
      <c r="H88" s="23" t="s">
        <v>17</v>
      </c>
      <c r="I88" s="27"/>
      <c r="J88" s="27"/>
      <c r="K88" s="27"/>
      <c r="L88" s="27"/>
    </row>
    <row r="89" spans="2:12" x14ac:dyDescent="0.2">
      <c r="B89" s="25" t="s">
        <v>210</v>
      </c>
      <c r="C89" s="21" t="s">
        <v>211</v>
      </c>
      <c r="D89" s="21" t="s">
        <v>26</v>
      </c>
      <c r="E89" s="26">
        <v>601008</v>
      </c>
      <c r="F89" s="23">
        <v>2715.35</v>
      </c>
      <c r="G89" s="23">
        <v>0.35</v>
      </c>
      <c r="H89" s="23" t="s">
        <v>17</v>
      </c>
      <c r="I89" s="27"/>
      <c r="J89" s="27"/>
      <c r="K89" s="27"/>
      <c r="L89" s="27"/>
    </row>
    <row r="90" spans="2:12" x14ac:dyDescent="0.2">
      <c r="B90" s="25" t="s">
        <v>212</v>
      </c>
      <c r="C90" s="21" t="s">
        <v>213</v>
      </c>
      <c r="D90" s="21" t="s">
        <v>214</v>
      </c>
      <c r="E90" s="26">
        <v>114502</v>
      </c>
      <c r="F90" s="23">
        <v>2686.45</v>
      </c>
      <c r="G90" s="23">
        <v>0.34</v>
      </c>
      <c r="H90" s="23" t="s">
        <v>17</v>
      </c>
      <c r="I90" s="27"/>
      <c r="J90" s="27"/>
      <c r="K90" s="27"/>
      <c r="L90" s="27"/>
    </row>
    <row r="91" spans="2:12" x14ac:dyDescent="0.2">
      <c r="B91" s="25" t="s">
        <v>215</v>
      </c>
      <c r="C91" s="21" t="s">
        <v>216</v>
      </c>
      <c r="D91" s="21" t="s">
        <v>26</v>
      </c>
      <c r="E91" s="26">
        <v>165016</v>
      </c>
      <c r="F91" s="23">
        <v>2402.88</v>
      </c>
      <c r="G91" s="23">
        <v>0.31</v>
      </c>
      <c r="H91" s="23" t="s">
        <v>17</v>
      </c>
      <c r="I91" s="27"/>
      <c r="J91" s="27"/>
      <c r="K91" s="27"/>
      <c r="L91" s="27"/>
    </row>
    <row r="92" spans="2:12" x14ac:dyDescent="0.2">
      <c r="B92" s="25" t="s">
        <v>217</v>
      </c>
      <c r="C92" s="21" t="s">
        <v>218</v>
      </c>
      <c r="D92" s="21" t="s">
        <v>36</v>
      </c>
      <c r="E92" s="26">
        <v>400000</v>
      </c>
      <c r="F92" s="23">
        <v>876</v>
      </c>
      <c r="G92" s="23">
        <v>0.11</v>
      </c>
      <c r="H92" s="23" t="s">
        <v>33</v>
      </c>
      <c r="I92" s="27"/>
      <c r="J92" s="27"/>
      <c r="K92" s="27"/>
      <c r="L92" s="27"/>
    </row>
    <row r="93" spans="2:12" x14ac:dyDescent="0.2">
      <c r="B93" s="30" t="s">
        <v>219</v>
      </c>
      <c r="C93" s="31"/>
      <c r="D93" s="31"/>
      <c r="E93" s="32"/>
      <c r="F93" s="33">
        <f>SUM(F7:F92)</f>
        <v>736133.91999999993</v>
      </c>
      <c r="G93" s="33">
        <f>SUM(G7:G92)</f>
        <v>93.640000000000029</v>
      </c>
      <c r="H93" s="33"/>
      <c r="I93" s="27"/>
      <c r="J93" s="27"/>
      <c r="K93" s="27"/>
      <c r="L93" s="27"/>
    </row>
    <row r="94" spans="2:12" x14ac:dyDescent="0.2">
      <c r="B94" s="34" t="s">
        <v>220</v>
      </c>
      <c r="C94" s="34"/>
      <c r="D94" s="34"/>
      <c r="E94" s="35"/>
      <c r="F94" s="36">
        <f>F93</f>
        <v>736133.91999999993</v>
      </c>
      <c r="G94" s="36">
        <f>G93</f>
        <v>93.640000000000029</v>
      </c>
      <c r="H94" s="36"/>
      <c r="I94" s="27"/>
      <c r="J94" s="27"/>
      <c r="K94" s="27"/>
      <c r="L94" s="27"/>
    </row>
    <row r="95" spans="2:12" x14ac:dyDescent="0.2">
      <c r="B95" s="37" t="s">
        <v>221</v>
      </c>
      <c r="C95" s="38"/>
      <c r="D95" s="38"/>
      <c r="E95" s="39"/>
      <c r="F95" s="40"/>
      <c r="G95" s="40"/>
      <c r="H95" s="40"/>
      <c r="I95" s="27"/>
      <c r="J95" s="27"/>
      <c r="K95" s="27"/>
      <c r="L95" s="27"/>
    </row>
    <row r="96" spans="2:12" x14ac:dyDescent="0.2">
      <c r="B96" s="25" t="s">
        <v>221</v>
      </c>
      <c r="C96" s="25"/>
      <c r="D96" s="21"/>
      <c r="E96" s="22"/>
      <c r="F96" s="23">
        <v>48114.98</v>
      </c>
      <c r="G96" s="23">
        <v>6.12</v>
      </c>
      <c r="H96" s="23"/>
      <c r="I96" s="27"/>
      <c r="J96" s="27"/>
      <c r="K96" s="27"/>
      <c r="L96" s="27"/>
    </row>
    <row r="97" spans="2:12" x14ac:dyDescent="0.2">
      <c r="B97" s="30" t="s">
        <v>219</v>
      </c>
      <c r="C97" s="31"/>
      <c r="D97" s="31"/>
      <c r="E97" s="32"/>
      <c r="F97" s="33">
        <f>SUM(F95:F96)</f>
        <v>48114.98</v>
      </c>
      <c r="G97" s="33">
        <f>SUM(G95:G96)</f>
        <v>6.12</v>
      </c>
      <c r="H97" s="33"/>
      <c r="I97" s="27"/>
      <c r="J97" s="27"/>
      <c r="K97" s="27"/>
      <c r="L97" s="27"/>
    </row>
    <row r="98" spans="2:12" x14ac:dyDescent="0.2">
      <c r="B98" s="41" t="s">
        <v>220</v>
      </c>
      <c r="C98" s="41"/>
      <c r="D98" s="41"/>
      <c r="E98" s="42"/>
      <c r="F98" s="43">
        <f>F97</f>
        <v>48114.98</v>
      </c>
      <c r="G98" s="43">
        <f>G97</f>
        <v>6.12</v>
      </c>
      <c r="H98" s="43"/>
      <c r="I98" s="27"/>
      <c r="J98" s="27"/>
      <c r="K98" s="27"/>
      <c r="L98" s="27"/>
    </row>
    <row r="99" spans="2:12" x14ac:dyDescent="0.2">
      <c r="B99" s="44" t="s">
        <v>222</v>
      </c>
      <c r="C99" s="44"/>
      <c r="D99" s="44"/>
      <c r="E99" s="45"/>
      <c r="F99" s="46">
        <f>F100-(+F94+F98)</f>
        <v>2009.770000000135</v>
      </c>
      <c r="G99" s="46">
        <f>G100-(+G94+G98)</f>
        <v>0.23999999999996646</v>
      </c>
      <c r="H99" s="46"/>
      <c r="I99" s="27"/>
      <c r="J99" s="27"/>
      <c r="K99" s="27"/>
      <c r="L99" s="27"/>
    </row>
    <row r="100" spans="2:12" x14ac:dyDescent="0.2">
      <c r="B100" s="44" t="s">
        <v>223</v>
      </c>
      <c r="C100" s="44"/>
      <c r="D100" s="44"/>
      <c r="E100" s="45"/>
      <c r="F100" s="46">
        <v>786258.67</v>
      </c>
      <c r="G100" s="46">
        <v>100</v>
      </c>
      <c r="H100" s="46"/>
      <c r="I100" s="27"/>
      <c r="J100" s="27"/>
      <c r="K100" s="27"/>
      <c r="L100" s="27"/>
    </row>
    <row r="102" spans="2:12" ht="12.75" thickBot="1" x14ac:dyDescent="0.25">
      <c r="B102" s="47"/>
    </row>
    <row r="103" spans="2:12" ht="13.5" thickTop="1" thickBot="1" x14ac:dyDescent="0.25">
      <c r="B103" s="50" t="s">
        <v>224</v>
      </c>
      <c r="C103" s="51" t="s">
        <v>225</v>
      </c>
    </row>
    <row r="104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2023-11-06 12:20:51</KDate>
  <Classification>Public</Classification>
  <Subclassification/>
  <HostName>MUMCMP00935</HostName>
  <Domain_User>CANARAROBECOMF/628</Domain_User>
  <IPAdd>192.9.198.194</IPAdd>
  <FilePath>Book7</FilePath>
  <KID>C025A5607E97638348700517855524</KID>
  <UniqueName/>
  <Suggested/>
  <Justification/>
</Klassify>
</file>

<file path=customXml/itemProps1.xml><?xml version="1.0" encoding="utf-8"?>
<ds:datastoreItem xmlns:ds="http://schemas.openxmlformats.org/officeDocument/2006/customXml" ds:itemID="{F057F6D7-507F-4EED-B90D-897481626F4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2023-11-06T06:50:47Z</dcterms:created>
  <dcterms:modified xsi:type="dcterms:W3CDTF">2023-11-06T06:50:51Z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C025A5607E97638348700517855524</vt:lpwstr>
  </property>
</Properties>
</file>