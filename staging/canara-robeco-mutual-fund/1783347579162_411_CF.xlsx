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FB657766-7907-43EE-AF0E-87C9B5A27BD3}" xr6:coauthVersionLast="47" xr6:coauthVersionMax="47" xr10:uidLastSave="{00000000-0000-0000-0000-000000000000}"/>
  <bookViews>
    <workbookView xWindow="-120" yWindow="-120" windowWidth="20730" windowHeight="11040" xr2:uid="{E3AB6D20-5110-46D5-A8B9-AA12A67E4153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3" i="1"/>
  <c r="G58" i="1" s="1"/>
  <c r="G52" i="1"/>
  <c r="F52" i="1"/>
  <c r="F53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<sst xmlns="http://schemas.openxmlformats.org/spreadsheetml/2006/main" count="206" uniqueCount="136">
  <si>
    <t>CANARA ROBECO CONSUMER TRENDS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</si>
  <si>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</si>
  <si>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</si>
  <si>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</si>
  <si>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</si>
  <si>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</si>
  <si>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</si>
  <si>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</si>
  <si>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</si>
  <si>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</si>
  <si>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</si>
  <si>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</si>
  <si>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</si>
  <si>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</si>
  <si>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</si>
  <si>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</si>
  <si>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</si>
  <si>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</si>
  <si>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</si>
  <si>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Bharti Airtel Ltd</t>
  </si>
  <si>
    <t>INE397D01024</t>
  </si>
  <si>
    <t>Telecom - Services</t>
  </si>
  <si>
    <t>Bajaj Finance Ltd</t>
  </si>
  <si>
    <t>INE296A01024</t>
  </si>
  <si>
    <t>Finance</t>
  </si>
  <si>
    <t>ITC Ltd</t>
  </si>
  <si>
    <t>INE154A01025</t>
  </si>
  <si>
    <t>Diversified Fmcg</t>
  </si>
  <si>
    <t>ICICI Bank Ltd</t>
  </si>
  <si>
    <t>INE090A01021</t>
  </si>
  <si>
    <t>Eternal Ltd</t>
  </si>
  <si>
    <t>INE758T01015</t>
  </si>
  <si>
    <t>Retailing</t>
  </si>
  <si>
    <t>Maruti Suzuki India Ltd</t>
  </si>
  <si>
    <t>INE585B01010</t>
  </si>
  <si>
    <t>Automobiles</t>
  </si>
  <si>
    <t>Benchmark: BSE 100 TRI</t>
  </si>
  <si>
    <t>United Spirits Ltd</t>
  </si>
  <si>
    <t>INE854D01024</t>
  </si>
  <si>
    <t>Beverages</t>
  </si>
  <si>
    <t>Trent Ltd</t>
  </si>
  <si>
    <t>INE849A01020</t>
  </si>
  <si>
    <t>Interglobe Aviation Ltd</t>
  </si>
  <si>
    <t>INE646L01027</t>
  </si>
  <si>
    <t>Transport Services</t>
  </si>
  <si>
    <t>United Breweries Ltd</t>
  </si>
  <si>
    <t>INE686F01025</t>
  </si>
  <si>
    <t>Mid Cap</t>
  </si>
  <si>
    <t>Cholamandalam Financial Holdings Ltd</t>
  </si>
  <si>
    <t>INE149A01033</t>
  </si>
  <si>
    <t>Small Cap</t>
  </si>
  <si>
    <t>Godrej Consumer Products Ltd</t>
  </si>
  <si>
    <t>INE102D01028</t>
  </si>
  <si>
    <t>Personal Products</t>
  </si>
  <si>
    <t>Varun Beverages Ltd</t>
  </si>
  <si>
    <t>INE200M01039</t>
  </si>
  <si>
    <t>Mahindra &amp; Mahindra Ltd</t>
  </si>
  <si>
    <t>INE101A01026</t>
  </si>
  <si>
    <t>Titan Co Ltd</t>
  </si>
  <si>
    <t>INE280A01028</t>
  </si>
  <si>
    <t>Consumer Durables</t>
  </si>
  <si>
    <t>Shriram Finance Ltd</t>
  </si>
  <si>
    <t>INE721A01047</t>
  </si>
  <si>
    <t>BSE Ltd</t>
  </si>
  <si>
    <t>INE118H01025</t>
  </si>
  <si>
    <t>Capital Markets</t>
  </si>
  <si>
    <t>Vishal Mega Mart Ltd</t>
  </si>
  <si>
    <t>INE01EA01019</t>
  </si>
  <si>
    <t>Voltas Ltd</t>
  </si>
  <si>
    <t>INE226A01021</t>
  </si>
  <si>
    <t>ICICI Lombard General Insurance Co Ltd</t>
  </si>
  <si>
    <t>INE765G01017</t>
  </si>
  <si>
    <t>Insurance</t>
  </si>
  <si>
    <t>Indian Bank</t>
  </si>
  <si>
    <t>INE562A01011</t>
  </si>
  <si>
    <t>Page Industries Ltd</t>
  </si>
  <si>
    <t>INE761H01022</t>
  </si>
  <si>
    <t>Textiles &amp; Apparels</t>
  </si>
  <si>
    <t>KEI Industries Ltd</t>
  </si>
  <si>
    <t>INE878B01027</t>
  </si>
  <si>
    <t>Industrial Products</t>
  </si>
  <si>
    <t>Crompton Greaves Consumer Electricals Ltd</t>
  </si>
  <si>
    <t>INE299U01018</t>
  </si>
  <si>
    <t>Jyothy Labs Ltd</t>
  </si>
  <si>
    <t>INE668F01031</t>
  </si>
  <si>
    <t>Household Products</t>
  </si>
  <si>
    <t>Samvardhana Motherson International Ltd</t>
  </si>
  <si>
    <t>INE775A01035</t>
  </si>
  <si>
    <t>Auto Components</t>
  </si>
  <si>
    <t>Max Financial Services Ltd</t>
  </si>
  <si>
    <t>INE180A01020</t>
  </si>
  <si>
    <t>PNB Housing Finance Ltd</t>
  </si>
  <si>
    <t>INE572E01012</t>
  </si>
  <si>
    <t>FSN E-Commerce Ventures Ltd</t>
  </si>
  <si>
    <t>INE388Y01029</t>
  </si>
  <si>
    <t>EIH Ltd</t>
  </si>
  <si>
    <t>INE230A01023</t>
  </si>
  <si>
    <t>Leisure Services</t>
  </si>
  <si>
    <t>SBI Life Insurance Co Ltd</t>
  </si>
  <si>
    <t>INE123W01016</t>
  </si>
  <si>
    <t>Mrs Bectors Food Specialities Ltd</t>
  </si>
  <si>
    <t>INE495P01012</t>
  </si>
  <si>
    <t>Food Products</t>
  </si>
  <si>
    <t>Arvind Fashions Ltd</t>
  </si>
  <si>
    <t>INE955V01021</t>
  </si>
  <si>
    <t>J.B. Chemicals &amp; Pharmaceuticals Ltd</t>
  </si>
  <si>
    <t>INE572A01036</t>
  </si>
  <si>
    <t>Pharmaceuticals &amp; Biotechnology</t>
  </si>
  <si>
    <t>Tata Motors Ltd</t>
  </si>
  <si>
    <t>INE155A01022</t>
  </si>
  <si>
    <t>Power Finance Corporation Ltd</t>
  </si>
  <si>
    <t>INE134E01011</t>
  </si>
  <si>
    <t>Angel One Ltd</t>
  </si>
  <si>
    <t>INE732I01013</t>
  </si>
  <si>
    <t>Westlife Foodworld Ltd</t>
  </si>
  <si>
    <t>INE274F01020</t>
  </si>
  <si>
    <t>PVR Inox Ltd</t>
  </si>
  <si>
    <t>INE191H01014</t>
  </si>
  <si>
    <t>Entertainment</t>
  </si>
  <si>
    <t>Vedant Fashions Ltd</t>
  </si>
  <si>
    <t>INE825V01034</t>
  </si>
  <si>
    <t>Shoppers Stop Ltd</t>
  </si>
  <si>
    <t>INE498B01024</t>
  </si>
  <si>
    <t>Medi Assist Healthcare Services Ltd</t>
  </si>
  <si>
    <t>INE456Z01021</t>
  </si>
  <si>
    <t>V.I.P. Industries Ltd</t>
  </si>
  <si>
    <t>INE054A01027</t>
  </si>
  <si>
    <t>ITC Hotels Ltd</t>
  </si>
  <si>
    <t>INE379A01028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</si>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</sst>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9960-EB2A-40C1-9480-9A5D37A8DF06}">
  <dimension ref="B1:M6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497000</v>
      </c>
      <c r="F7" s="19">
        <v>9567.25</v>
      </c>
      <c r="G7" s="19">
        <v>5.37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503000</v>
      </c>
      <c r="F8" s="19">
        <v>9378.44</v>
      </c>
      <c r="G8" s="19">
        <v>5.27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96000</v>
      </c>
      <c r="F9" s="19">
        <v>8289.1200000000008</v>
      </c>
      <c r="G9" s="19">
        <v>4.66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25</v>
      </c>
      <c r="C10" s="18" t="s">
        <v>26</v>
      </c>
      <c r="D10" s="18" t="s">
        <v>27</v>
      </c>
      <c r="E10" s="22">
        <v>1825000</v>
      </c>
      <c r="F10" s="19">
        <v>7770.85</v>
      </c>
      <c r="G10" s="19">
        <v>4.3600000000000003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17</v>
      </c>
      <c r="E11" s="22">
        <v>502000</v>
      </c>
      <c r="F11" s="19">
        <v>7163.54</v>
      </c>
      <c r="G11" s="19">
        <v>4.0199999999999996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3000000</v>
      </c>
      <c r="F12" s="19">
        <v>6975.6</v>
      </c>
      <c r="G12" s="19">
        <v>3.92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52500</v>
      </c>
      <c r="F13" s="19">
        <v>6434.93</v>
      </c>
      <c r="G13" s="19">
        <v>3.61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310000</v>
      </c>
      <c r="F14" s="19">
        <v>4848.09</v>
      </c>
      <c r="G14" s="19">
        <v>2.72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32</v>
      </c>
      <c r="E15" s="22">
        <v>90000</v>
      </c>
      <c r="F15" s="19">
        <v>4655.25</v>
      </c>
      <c r="G15" s="19">
        <v>2.61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88500</v>
      </c>
      <c r="F16" s="19">
        <v>4645.8100000000004</v>
      </c>
      <c r="G16" s="19">
        <v>2.61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39</v>
      </c>
      <c r="E17" s="22">
        <v>209000</v>
      </c>
      <c r="F17" s="19">
        <v>4514.3999999999996</v>
      </c>
      <c r="G17" s="19">
        <v>2.54</v>
      </c>
      <c r="H17" s="19" t="s">
        <v>47</v>
      </c>
    </row>
    <row r="18" spans="2:8" x14ac:dyDescent="0.2">
      <c r="B18" s="21" t="s">
        <v>48</v>
      </c>
      <c r="C18" s="18" t="s">
        <v>49</v>
      </c>
      <c r="D18" s="18" t="s">
        <v>24</v>
      </c>
      <c r="E18" s="22">
        <v>240200</v>
      </c>
      <c r="F18" s="19">
        <v>4477.57</v>
      </c>
      <c r="G18" s="19">
        <v>2.5099999999999998</v>
      </c>
      <c r="H18" s="19" t="s">
        <v>50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350000</v>
      </c>
      <c r="F19" s="19">
        <v>4411.75</v>
      </c>
      <c r="G19" s="19">
        <v>2.48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39</v>
      </c>
      <c r="E20" s="22">
        <v>819483</v>
      </c>
      <c r="F20" s="19">
        <v>4280.57</v>
      </c>
      <c r="G20" s="19">
        <v>2.4</v>
      </c>
      <c r="H20" s="19" t="s">
        <v>18</v>
      </c>
    </row>
    <row r="21" spans="2:8" x14ac:dyDescent="0.2">
      <c r="B21" s="21" t="s">
        <v>56</v>
      </c>
      <c r="C21" s="18" t="s">
        <v>57</v>
      </c>
      <c r="D21" s="18" t="s">
        <v>35</v>
      </c>
      <c r="E21" s="22">
        <v>144000</v>
      </c>
      <c r="F21" s="19">
        <v>4217.47</v>
      </c>
      <c r="G21" s="19">
        <v>2.37</v>
      </c>
      <c r="H21" s="19" t="s">
        <v>18</v>
      </c>
    </row>
    <row r="22" spans="2:8" x14ac:dyDescent="0.2">
      <c r="B22" s="21" t="s">
        <v>58</v>
      </c>
      <c r="C22" s="18" t="s">
        <v>59</v>
      </c>
      <c r="D22" s="18" t="s">
        <v>60</v>
      </c>
      <c r="E22" s="22">
        <v>123000</v>
      </c>
      <c r="F22" s="19">
        <v>4157.03</v>
      </c>
      <c r="G22" s="19">
        <v>2.33</v>
      </c>
      <c r="H22" s="19" t="s">
        <v>18</v>
      </c>
    </row>
    <row r="23" spans="2:8" x14ac:dyDescent="0.2">
      <c r="B23" s="21" t="s">
        <v>61</v>
      </c>
      <c r="C23" s="18" t="s">
        <v>62</v>
      </c>
      <c r="D23" s="18" t="s">
        <v>24</v>
      </c>
      <c r="E23" s="22">
        <v>625000</v>
      </c>
      <c r="F23" s="19">
        <v>3823.13</v>
      </c>
      <c r="G23" s="19">
        <v>2.15</v>
      </c>
      <c r="H23" s="19" t="s">
        <v>18</v>
      </c>
    </row>
    <row r="24" spans="2:8" x14ac:dyDescent="0.2">
      <c r="B24" s="21" t="s">
        <v>63</v>
      </c>
      <c r="C24" s="18" t="s">
        <v>64</v>
      </c>
      <c r="D24" s="18" t="s">
        <v>65</v>
      </c>
      <c r="E24" s="22">
        <v>60000</v>
      </c>
      <c r="F24" s="19">
        <v>3815.4</v>
      </c>
      <c r="G24" s="19">
        <v>2.14</v>
      </c>
      <c r="H24" s="19" t="s">
        <v>47</v>
      </c>
    </row>
    <row r="25" spans="2:8" x14ac:dyDescent="0.2">
      <c r="B25" s="21" t="s">
        <v>66</v>
      </c>
      <c r="C25" s="18" t="s">
        <v>67</v>
      </c>
      <c r="D25" s="18" t="s">
        <v>32</v>
      </c>
      <c r="E25" s="22">
        <v>3205110</v>
      </c>
      <c r="F25" s="19">
        <v>3797.41</v>
      </c>
      <c r="G25" s="19">
        <v>2.13</v>
      </c>
      <c r="H25" s="19" t="s">
        <v>47</v>
      </c>
    </row>
    <row r="26" spans="2:8" x14ac:dyDescent="0.2">
      <c r="B26" s="21" t="s">
        <v>68</v>
      </c>
      <c r="C26" s="18" t="s">
        <v>69</v>
      </c>
      <c r="D26" s="18" t="s">
        <v>60</v>
      </c>
      <c r="E26" s="22">
        <v>295000</v>
      </c>
      <c r="F26" s="19">
        <v>3646.5</v>
      </c>
      <c r="G26" s="19">
        <v>2.0499999999999998</v>
      </c>
      <c r="H26" s="19" t="s">
        <v>47</v>
      </c>
    </row>
    <row r="27" spans="2:8" x14ac:dyDescent="0.2">
      <c r="B27" s="21" t="s">
        <v>70</v>
      </c>
      <c r="C27" s="18" t="s">
        <v>71</v>
      </c>
      <c r="D27" s="18" t="s">
        <v>72</v>
      </c>
      <c r="E27" s="22">
        <v>182500</v>
      </c>
      <c r="F27" s="19">
        <v>3424.61</v>
      </c>
      <c r="G27" s="19">
        <v>1.92</v>
      </c>
      <c r="H27" s="19" t="s">
        <v>47</v>
      </c>
    </row>
    <row r="28" spans="2:8" x14ac:dyDescent="0.2">
      <c r="B28" s="21" t="s">
        <v>73</v>
      </c>
      <c r="C28" s="18" t="s">
        <v>74</v>
      </c>
      <c r="D28" s="18" t="s">
        <v>17</v>
      </c>
      <c r="E28" s="22">
        <v>605000</v>
      </c>
      <c r="F28" s="19">
        <v>3423.09</v>
      </c>
      <c r="G28" s="19">
        <v>1.92</v>
      </c>
      <c r="H28" s="19" t="s">
        <v>47</v>
      </c>
    </row>
    <row r="29" spans="2:8" x14ac:dyDescent="0.2">
      <c r="B29" s="21" t="s">
        <v>75</v>
      </c>
      <c r="C29" s="18" t="s">
        <v>76</v>
      </c>
      <c r="D29" s="18" t="s">
        <v>77</v>
      </c>
      <c r="E29" s="22">
        <v>7500</v>
      </c>
      <c r="F29" s="19">
        <v>3421.13</v>
      </c>
      <c r="G29" s="19">
        <v>1.92</v>
      </c>
      <c r="H29" s="19" t="s">
        <v>47</v>
      </c>
    </row>
    <row r="30" spans="2:8" x14ac:dyDescent="0.2">
      <c r="B30" s="21" t="s">
        <v>78</v>
      </c>
      <c r="C30" s="18" t="s">
        <v>79</v>
      </c>
      <c r="D30" s="18" t="s">
        <v>80</v>
      </c>
      <c r="E30" s="22">
        <v>109000</v>
      </c>
      <c r="F30" s="19">
        <v>3339.32</v>
      </c>
      <c r="G30" s="19">
        <v>1.88</v>
      </c>
      <c r="H30" s="19" t="s">
        <v>47</v>
      </c>
    </row>
    <row r="31" spans="2:8" x14ac:dyDescent="0.2">
      <c r="B31" s="21" t="s">
        <v>81</v>
      </c>
      <c r="C31" s="18" t="s">
        <v>82</v>
      </c>
      <c r="D31" s="18" t="s">
        <v>60</v>
      </c>
      <c r="E31" s="22">
        <v>980000</v>
      </c>
      <c r="F31" s="19">
        <v>3305.54</v>
      </c>
      <c r="G31" s="19">
        <v>1.86</v>
      </c>
      <c r="H31" s="19" t="s">
        <v>50</v>
      </c>
    </row>
    <row r="32" spans="2:8" x14ac:dyDescent="0.2">
      <c r="B32" s="21" t="s">
        <v>83</v>
      </c>
      <c r="C32" s="18" t="s">
        <v>84</v>
      </c>
      <c r="D32" s="18" t="s">
        <v>85</v>
      </c>
      <c r="E32" s="22">
        <v>877000</v>
      </c>
      <c r="F32" s="19">
        <v>3279.98</v>
      </c>
      <c r="G32" s="19">
        <v>1.84</v>
      </c>
      <c r="H32" s="19" t="s">
        <v>50</v>
      </c>
    </row>
    <row r="33" spans="2:8" x14ac:dyDescent="0.2">
      <c r="B33" s="21" t="s">
        <v>86</v>
      </c>
      <c r="C33" s="18" t="s">
        <v>87</v>
      </c>
      <c r="D33" s="18" t="s">
        <v>88</v>
      </c>
      <c r="E33" s="22">
        <v>2325000</v>
      </c>
      <c r="F33" s="19">
        <v>3098.53</v>
      </c>
      <c r="G33" s="19">
        <v>1.74</v>
      </c>
      <c r="H33" s="19" t="s">
        <v>18</v>
      </c>
    </row>
    <row r="34" spans="2:8" x14ac:dyDescent="0.2">
      <c r="B34" s="21" t="s">
        <v>89</v>
      </c>
      <c r="C34" s="18" t="s">
        <v>90</v>
      </c>
      <c r="D34" s="18" t="s">
        <v>72</v>
      </c>
      <c r="E34" s="22">
        <v>237000</v>
      </c>
      <c r="F34" s="19">
        <v>3092.85</v>
      </c>
      <c r="G34" s="19">
        <v>1.74</v>
      </c>
      <c r="H34" s="19" t="s">
        <v>47</v>
      </c>
    </row>
    <row r="35" spans="2:8" x14ac:dyDescent="0.2">
      <c r="B35" s="21" t="s">
        <v>91</v>
      </c>
      <c r="C35" s="18" t="s">
        <v>92</v>
      </c>
      <c r="D35" s="18" t="s">
        <v>24</v>
      </c>
      <c r="E35" s="22">
        <v>300000</v>
      </c>
      <c r="F35" s="19">
        <v>3030.6</v>
      </c>
      <c r="G35" s="19">
        <v>1.7</v>
      </c>
      <c r="H35" s="19" t="s">
        <v>50</v>
      </c>
    </row>
    <row r="36" spans="2:8" x14ac:dyDescent="0.2">
      <c r="B36" s="21" t="s">
        <v>93</v>
      </c>
      <c r="C36" s="18" t="s">
        <v>94</v>
      </c>
      <c r="D36" s="18" t="s">
        <v>32</v>
      </c>
      <c r="E36" s="22">
        <v>1500000</v>
      </c>
      <c r="F36" s="19">
        <v>2915.55</v>
      </c>
      <c r="G36" s="19">
        <v>1.64</v>
      </c>
      <c r="H36" s="19" t="s">
        <v>47</v>
      </c>
    </row>
    <row r="37" spans="2:8" x14ac:dyDescent="0.2">
      <c r="B37" s="21" t="s">
        <v>95</v>
      </c>
      <c r="C37" s="18" t="s">
        <v>96</v>
      </c>
      <c r="D37" s="18" t="s">
        <v>97</v>
      </c>
      <c r="E37" s="22">
        <v>700000</v>
      </c>
      <c r="F37" s="19">
        <v>2593.15</v>
      </c>
      <c r="G37" s="19">
        <v>1.46</v>
      </c>
      <c r="H37" s="19" t="s">
        <v>50</v>
      </c>
    </row>
    <row r="38" spans="2:8" x14ac:dyDescent="0.2">
      <c r="B38" s="21" t="s">
        <v>98</v>
      </c>
      <c r="C38" s="18" t="s">
        <v>99</v>
      </c>
      <c r="D38" s="18" t="s">
        <v>72</v>
      </c>
      <c r="E38" s="22">
        <v>135000</v>
      </c>
      <c r="F38" s="19">
        <v>2383.83</v>
      </c>
      <c r="G38" s="19">
        <v>1.34</v>
      </c>
      <c r="H38" s="19" t="s">
        <v>18</v>
      </c>
    </row>
    <row r="39" spans="2:8" x14ac:dyDescent="0.2">
      <c r="B39" s="21" t="s">
        <v>100</v>
      </c>
      <c r="C39" s="18" t="s">
        <v>101</v>
      </c>
      <c r="D39" s="18" t="s">
        <v>102</v>
      </c>
      <c r="E39" s="22">
        <v>145000</v>
      </c>
      <c r="F39" s="19">
        <v>2160.94</v>
      </c>
      <c r="G39" s="19">
        <v>1.21</v>
      </c>
      <c r="H39" s="19" t="s">
        <v>50</v>
      </c>
    </row>
    <row r="40" spans="2:8" x14ac:dyDescent="0.2">
      <c r="B40" s="21" t="s">
        <v>103</v>
      </c>
      <c r="C40" s="18" t="s">
        <v>104</v>
      </c>
      <c r="D40" s="18" t="s">
        <v>32</v>
      </c>
      <c r="E40" s="22">
        <v>545000</v>
      </c>
      <c r="F40" s="19">
        <v>2160.11</v>
      </c>
      <c r="G40" s="19">
        <v>1.21</v>
      </c>
      <c r="H40" s="19" t="s">
        <v>50</v>
      </c>
    </row>
    <row r="41" spans="2:8" x14ac:dyDescent="0.2">
      <c r="B41" s="21" t="s">
        <v>105</v>
      </c>
      <c r="C41" s="18" t="s">
        <v>106</v>
      </c>
      <c r="D41" s="18" t="s">
        <v>107</v>
      </c>
      <c r="E41" s="22">
        <v>133000</v>
      </c>
      <c r="F41" s="19">
        <v>2144.4899999999998</v>
      </c>
      <c r="G41" s="19">
        <v>1.2</v>
      </c>
      <c r="H41" s="19" t="s">
        <v>50</v>
      </c>
    </row>
    <row r="42" spans="2:8" x14ac:dyDescent="0.2">
      <c r="B42" s="21" t="s">
        <v>108</v>
      </c>
      <c r="C42" s="18" t="s">
        <v>109</v>
      </c>
      <c r="D42" s="18" t="s">
        <v>35</v>
      </c>
      <c r="E42" s="22">
        <v>310000</v>
      </c>
      <c r="F42" s="19">
        <v>1997.18</v>
      </c>
      <c r="G42" s="19">
        <v>1.1200000000000001</v>
      </c>
      <c r="H42" s="19" t="s">
        <v>18</v>
      </c>
    </row>
    <row r="43" spans="2:8" x14ac:dyDescent="0.2">
      <c r="B43" s="21" t="s">
        <v>110</v>
      </c>
      <c r="C43" s="18" t="s">
        <v>111</v>
      </c>
      <c r="D43" s="18" t="s">
        <v>24</v>
      </c>
      <c r="E43" s="22">
        <v>480000</v>
      </c>
      <c r="F43" s="19">
        <v>1955.52</v>
      </c>
      <c r="G43" s="19">
        <v>1.1000000000000001</v>
      </c>
      <c r="H43" s="19" t="s">
        <v>18</v>
      </c>
    </row>
    <row r="44" spans="2:8" x14ac:dyDescent="0.2">
      <c r="B44" s="21" t="s">
        <v>112</v>
      </c>
      <c r="C44" s="18" t="s">
        <v>113</v>
      </c>
      <c r="D44" s="18" t="s">
        <v>65</v>
      </c>
      <c r="E44" s="22">
        <v>80000</v>
      </c>
      <c r="F44" s="19">
        <v>1849.84</v>
      </c>
      <c r="G44" s="19">
        <v>1.04</v>
      </c>
      <c r="H44" s="19" t="s">
        <v>50</v>
      </c>
    </row>
    <row r="45" spans="2:8" x14ac:dyDescent="0.2">
      <c r="B45" s="21" t="s">
        <v>114</v>
      </c>
      <c r="C45" s="18" t="s">
        <v>115</v>
      </c>
      <c r="D45" s="18" t="s">
        <v>97</v>
      </c>
      <c r="E45" s="22">
        <v>275000</v>
      </c>
      <c r="F45" s="19">
        <v>1844.43</v>
      </c>
      <c r="G45" s="19">
        <v>1.04</v>
      </c>
      <c r="H45" s="19" t="s">
        <v>50</v>
      </c>
    </row>
    <row r="46" spans="2:8" x14ac:dyDescent="0.2">
      <c r="B46" s="21" t="s">
        <v>116</v>
      </c>
      <c r="C46" s="18" t="s">
        <v>117</v>
      </c>
      <c r="D46" s="18" t="s">
        <v>118</v>
      </c>
      <c r="E46" s="22">
        <v>158000</v>
      </c>
      <c r="F46" s="19">
        <v>1488.99</v>
      </c>
      <c r="G46" s="19">
        <v>0.84</v>
      </c>
      <c r="H46" s="19" t="s">
        <v>50</v>
      </c>
    </row>
    <row r="47" spans="2:8" x14ac:dyDescent="0.2">
      <c r="B47" s="21" t="s">
        <v>119</v>
      </c>
      <c r="C47" s="18" t="s">
        <v>120</v>
      </c>
      <c r="D47" s="18" t="s">
        <v>32</v>
      </c>
      <c r="E47" s="22">
        <v>175000</v>
      </c>
      <c r="F47" s="19">
        <v>1368.41</v>
      </c>
      <c r="G47" s="19">
        <v>0.77</v>
      </c>
      <c r="H47" s="19" t="s">
        <v>50</v>
      </c>
    </row>
    <row r="48" spans="2:8" x14ac:dyDescent="0.2">
      <c r="B48" s="21" t="s">
        <v>121</v>
      </c>
      <c r="C48" s="18" t="s">
        <v>122</v>
      </c>
      <c r="D48" s="18" t="s">
        <v>32</v>
      </c>
      <c r="E48" s="22">
        <v>222500</v>
      </c>
      <c r="F48" s="19">
        <v>1134.42</v>
      </c>
      <c r="G48" s="19">
        <v>0.64</v>
      </c>
      <c r="H48" s="19" t="s">
        <v>50</v>
      </c>
    </row>
    <row r="49" spans="2:8" x14ac:dyDescent="0.2">
      <c r="B49" s="21" t="s">
        <v>123</v>
      </c>
      <c r="C49" s="18" t="s">
        <v>124</v>
      </c>
      <c r="D49" s="18" t="s">
        <v>72</v>
      </c>
      <c r="E49" s="22">
        <v>250000</v>
      </c>
      <c r="F49" s="19">
        <v>1122.1300000000001</v>
      </c>
      <c r="G49" s="19">
        <v>0.63</v>
      </c>
      <c r="H49" s="19" t="s">
        <v>50</v>
      </c>
    </row>
    <row r="50" spans="2:8" x14ac:dyDescent="0.2">
      <c r="B50" s="21" t="s">
        <v>125</v>
      </c>
      <c r="C50" s="18" t="s">
        <v>126</v>
      </c>
      <c r="D50" s="18" t="s">
        <v>60</v>
      </c>
      <c r="E50" s="22">
        <v>230000</v>
      </c>
      <c r="F50" s="19">
        <v>703.69</v>
      </c>
      <c r="G50" s="19">
        <v>0.4</v>
      </c>
      <c r="H50" s="19" t="s">
        <v>50</v>
      </c>
    </row>
    <row r="51" spans="2:8" x14ac:dyDescent="0.2">
      <c r="B51" s="21" t="s">
        <v>127</v>
      </c>
      <c r="C51" s="18" t="s">
        <v>128</v>
      </c>
      <c r="D51" s="18" t="s">
        <v>97</v>
      </c>
      <c r="E51" s="22">
        <v>182500</v>
      </c>
      <c r="F51" s="19">
        <v>354.83</v>
      </c>
      <c r="G51" s="19">
        <v>0.2</v>
      </c>
      <c r="H51" s="19" t="s">
        <v>47</v>
      </c>
    </row>
    <row r="52" spans="2:8" x14ac:dyDescent="0.2">
      <c r="B52" s="25" t="s">
        <v>129</v>
      </c>
      <c r="C52" s="26"/>
      <c r="D52" s="26"/>
      <c r="E52" s="26"/>
      <c r="F52" s="27">
        <f>SUM(F7:F51)</f>
        <v>168463.26999999996</v>
      </c>
      <c r="G52" s="27">
        <f>SUM(G7:G51)</f>
        <v>94.609999999999985</v>
      </c>
      <c r="H52" s="27"/>
    </row>
    <row r="53" spans="2:8" x14ac:dyDescent="0.2">
      <c r="B53" s="28" t="s">
        <v>130</v>
      </c>
      <c r="C53" s="28"/>
      <c r="D53" s="28"/>
      <c r="E53" s="28"/>
      <c r="F53" s="29">
        <f>F52</f>
        <v>168463.26999999996</v>
      </c>
      <c r="G53" s="29">
        <f>G52</f>
        <v>94.609999999999985</v>
      </c>
      <c r="H53" s="29"/>
    </row>
    <row r="54" spans="2:8" x14ac:dyDescent="0.2">
      <c r="B54" s="30" t="s">
        <v>131</v>
      </c>
      <c r="C54" s="31"/>
      <c r="D54" s="31"/>
      <c r="E54" s="31"/>
      <c r="F54" s="32"/>
      <c r="G54" s="32"/>
      <c r="H54" s="32"/>
    </row>
    <row r="55" spans="2:8" x14ac:dyDescent="0.2">
      <c r="B55" s="21" t="s">
        <v>131</v>
      </c>
      <c r="C55" s="18"/>
      <c r="D55" s="18"/>
      <c r="E55" s="18"/>
      <c r="F55" s="19">
        <v>9968.59</v>
      </c>
      <c r="G55" s="19">
        <v>5.6</v>
      </c>
      <c r="H55" s="19"/>
    </row>
    <row r="56" spans="2:8" x14ac:dyDescent="0.2">
      <c r="B56" s="25" t="s">
        <v>129</v>
      </c>
      <c r="C56" s="26"/>
      <c r="D56" s="26"/>
      <c r="E56" s="26"/>
      <c r="F56" s="27">
        <f>SUM(F54:F55)</f>
        <v>9968.59</v>
      </c>
      <c r="G56" s="27">
        <f>SUM(G54:G55)</f>
        <v>5.6</v>
      </c>
      <c r="H56" s="27"/>
    </row>
    <row r="57" spans="2:8" x14ac:dyDescent="0.2">
      <c r="B57" s="33" t="s">
        <v>130</v>
      </c>
      <c r="C57" s="33"/>
      <c r="D57" s="33"/>
      <c r="E57" s="33"/>
      <c r="F57" s="34">
        <f>F56</f>
        <v>9968.59</v>
      </c>
      <c r="G57" s="34">
        <f>G56</f>
        <v>5.6</v>
      </c>
      <c r="H57" s="34"/>
    </row>
    <row r="58" spans="2:8" x14ac:dyDescent="0.2">
      <c r="B58" s="35" t="s">
        <v>132</v>
      </c>
      <c r="C58" s="35"/>
      <c r="D58" s="35"/>
      <c r="E58" s="35"/>
      <c r="F58" s="36">
        <f>F59-(+F53+F57)</f>
        <v>-383.85999999995693</v>
      </c>
      <c r="G58" s="36">
        <f>G59-(+G53+G57)</f>
        <v>-0.20999999999997954</v>
      </c>
      <c r="H58" s="36"/>
    </row>
    <row r="59" spans="2:8" x14ac:dyDescent="0.2">
      <c r="B59" s="35" t="s">
        <v>133</v>
      </c>
      <c r="C59" s="35"/>
      <c r="D59" s="35"/>
      <c r="E59" s="35"/>
      <c r="F59" s="36">
        <v>178048</v>
      </c>
      <c r="G59" s="36">
        <v>100</v>
      </c>
      <c r="H59" s="36"/>
    </row>
    <row r="61" spans="2:8" ht="12.75" thickBot="1" x14ac:dyDescent="0.25">
      <c r="B61" s="37"/>
    </row>
    <row r="62" spans="2:8" ht="13.5" thickTop="1" thickBot="1" x14ac:dyDescent="0.25">
      <c r="B62" s="39" t="s">
        <v>134</v>
      </c>
      <c r="C62" s="40" t="s">
        <v>135</v>
      </c>
    </row>
    <row r="63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12:34:56</KDate>
  <Classification>MIS Internal</Classification>
  <Subclassification/>
  <HostName>MUMCMP01323</HostName>
  <Domain_User>CANARAROBECOMF/628</Domain_User>
  <IPAdd>192.9.198.194</IPAdd>
  <FilePath>Book5</FilePath>
  <KID>109819A0F0A5638823044965850525</KID>
  <UniqueName/>
  <Suggested/>
  <Justification/>
</Klassify>
</file>

<file path=customXml/itemProps1.xml><?xml version="1.0" encoding="utf-8"?>
<ds:datastoreItem xmlns:ds="http://schemas.openxmlformats.org/officeDocument/2006/customXml" ds:itemID="{32AB5139-2FE6-44D9-B1D4-9F9F3976BD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2025-05-08T07:04:55Z</dcterms:created>
  <dcterms:modified xsi:type="dcterms:W3CDTF">2025-05-08T07:04:56Z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109819A0F0A5638823044965850525</vt:lpwstr>
  </property>
</Properties>
</file>