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C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6" i="1" l="1"/>
  <c r="G57" i="1" s="1"/>
  <c r="F56" i="1"/>
  <c r="F57" i="1" s="1"/>
  <c r="G52" i="1"/>
  <c r="G53" i="1" s="1"/>
  <c r="F52" i="1"/>
  <c r="F53" i="1" s="1"/>
  <c r="F58" i="1" l="1"/>
  <c r="G58" i="1"/>
</calcChain>
</file>

<file path=xl/sharedStrings.xml><?xml version="1.0" encoding="utf-8"?>
<sst xmlns="http://schemas.openxmlformats.org/spreadsheetml/2006/main" count="205" uniqueCount="134">
  <si>
    <t>CANARA ROBECO CONSUMER TRENDS FUND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</si>
  <si>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</si>
  <si>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</si>
  <si>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</si>
  <si>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</si>
  <si>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</si>
  <si>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</si>
  <si>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</si>
  <si>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</si>
  <si>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Feb'24</t>
  </si>
  <si>
    <t>Benchmark Risk-o-meter Level- Feb'24</t>
  </si>
  <si>
    <t>Scheme Risk-o-meter Level- Jan'24</t>
  </si>
  <si>
    <t>Equity &amp; Equity related</t>
  </si>
  <si>
    <t>(a) Listed / awaiting listing on Stock Exchanges</t>
  </si>
  <si>
    <t>ITC Ltd</t>
  </si>
  <si>
    <t>INE154A01025</t>
  </si>
  <si>
    <t>Diversified Fmcg</t>
  </si>
  <si>
    <t>Large Cap</t>
  </si>
  <si>
    <t>HDFC Bank Ltd</t>
  </si>
  <si>
    <t>INE040A01034</t>
  </si>
  <si>
    <t>Banks</t>
  </si>
  <si>
    <t>Bharti Airtel Ltd</t>
  </si>
  <si>
    <t>INE397D01024</t>
  </si>
  <si>
    <t>Telecom - Services</t>
  </si>
  <si>
    <t>Trent Ltd</t>
  </si>
  <si>
    <t>INE849A01020</t>
  </si>
  <si>
    <t>Retailing</t>
  </si>
  <si>
    <t>Zomato Ltd</t>
  </si>
  <si>
    <t>INE758T01015</t>
  </si>
  <si>
    <t>Titan Co Ltd</t>
  </si>
  <si>
    <t>INE280A01028</t>
  </si>
  <si>
    <t>Consumer Durables</t>
  </si>
  <si>
    <t>Godrej Consumer Products Ltd</t>
  </si>
  <si>
    <t>INE102D01028</t>
  </si>
  <si>
    <t>Personal Products</t>
  </si>
  <si>
    <t>Benchmark: S&amp;P BSE 100 TRI</t>
  </si>
  <si>
    <t>Bajaj Auto Ltd</t>
  </si>
  <si>
    <t>INE917I01010</t>
  </si>
  <si>
    <t>Automobiles</t>
  </si>
  <si>
    <t>Tata Motors Ltd</t>
  </si>
  <si>
    <t>INE155A01022</t>
  </si>
  <si>
    <t>Varun Beverages Ltd</t>
  </si>
  <si>
    <t>INE200M01021</t>
  </si>
  <si>
    <t>Beverages</t>
  </si>
  <si>
    <t>KEI Industries Ltd</t>
  </si>
  <si>
    <t>INE878B01027</t>
  </si>
  <si>
    <t>Industrial Products</t>
  </si>
  <si>
    <t>Mid Cap</t>
  </si>
  <si>
    <t>United Spirits Ltd</t>
  </si>
  <si>
    <t>INE854D01024</t>
  </si>
  <si>
    <t>Bajaj Finance Ltd</t>
  </si>
  <si>
    <t>INE296A01024</t>
  </si>
  <si>
    <t>Finance</t>
  </si>
  <si>
    <t>EIH Ltd</t>
  </si>
  <si>
    <t>INE230A01023</t>
  </si>
  <si>
    <t>Leisure Services</t>
  </si>
  <si>
    <t>Small Cap</t>
  </si>
  <si>
    <t>ICICI Lombard General Insurance Co Ltd</t>
  </si>
  <si>
    <t>INE765G01017</t>
  </si>
  <si>
    <t>Insurance</t>
  </si>
  <si>
    <t>ICICI Bank Ltd</t>
  </si>
  <si>
    <t>INE090A01021</t>
  </si>
  <si>
    <t>Jyothy Labs Ltd</t>
  </si>
  <si>
    <t>INE668F01031</t>
  </si>
  <si>
    <t>Household Products</t>
  </si>
  <si>
    <t>IndusInd Bank Ltd</t>
  </si>
  <si>
    <t>INE095A01012</t>
  </si>
  <si>
    <t>Interglobe Aviation Ltd</t>
  </si>
  <si>
    <t>INE646L01027</t>
  </si>
  <si>
    <t>Transport Services</t>
  </si>
  <si>
    <t>United Breweries Ltd</t>
  </si>
  <si>
    <t>INE686F01025</t>
  </si>
  <si>
    <t>Dabur India Ltd</t>
  </si>
  <si>
    <t>INE016A01026</t>
  </si>
  <si>
    <t>Voltas Ltd</t>
  </si>
  <si>
    <t>INE226A01021</t>
  </si>
  <si>
    <t>Samvardhana Motherson International Ltd</t>
  </si>
  <si>
    <t>INE775A01035</t>
  </si>
  <si>
    <t>Auto Components</t>
  </si>
  <si>
    <t>J.B. Chemicals &amp; Pharmaceuticals Ltd</t>
  </si>
  <si>
    <t>INE572A01036</t>
  </si>
  <si>
    <t>Pharmaceuticals &amp; Biotechnology</t>
  </si>
  <si>
    <t>Havells India Ltd</t>
  </si>
  <si>
    <t>INE176B01034</t>
  </si>
  <si>
    <t>BSE Ltd</t>
  </si>
  <si>
    <t>INE118H01025</t>
  </si>
  <si>
    <t>Capital Markets</t>
  </si>
  <si>
    <t>Crompton Greaves Consumer Electricals Ltd</t>
  </si>
  <si>
    <t>INE299U01018</t>
  </si>
  <si>
    <t>Axis Bank Ltd</t>
  </si>
  <si>
    <t>INE238A01034</t>
  </si>
  <si>
    <t>Max Financial Services Ltd</t>
  </si>
  <si>
    <t>INE180A01020</t>
  </si>
  <si>
    <t>Arvind Fashions Ltd</t>
  </si>
  <si>
    <t>INE955V01021</t>
  </si>
  <si>
    <t>Bata India Ltd</t>
  </si>
  <si>
    <t>INE176A01028</t>
  </si>
  <si>
    <t>SBI Life Insurance Co Ltd</t>
  </si>
  <si>
    <t>INE123W01016</t>
  </si>
  <si>
    <t>Westlife Foodworld Ltd</t>
  </si>
  <si>
    <t>INE274F01020</t>
  </si>
  <si>
    <t>Maruti Suzuki India Ltd</t>
  </si>
  <si>
    <t>INE585B01010</t>
  </si>
  <si>
    <t>PVR Inox Ltd</t>
  </si>
  <si>
    <t>INE191H01014</t>
  </si>
  <si>
    <t>Entertainment</t>
  </si>
  <si>
    <t>Vedant Fashions Ltd</t>
  </si>
  <si>
    <t>INE825V01034</t>
  </si>
  <si>
    <t>Finolex Industries Ltd</t>
  </si>
  <si>
    <t>INE183A01024</t>
  </si>
  <si>
    <t>Cholamandalam Financial Holdings Ltd</t>
  </si>
  <si>
    <t>INE149A01033</t>
  </si>
  <si>
    <t>Page Industries Ltd</t>
  </si>
  <si>
    <t>INE761H01022</t>
  </si>
  <si>
    <t>Textiles &amp; Apparels</t>
  </si>
  <si>
    <t>Federal Bank Ltd</t>
  </si>
  <si>
    <t>INE171A01029</t>
  </si>
  <si>
    <t>REC Ltd</t>
  </si>
  <si>
    <t>INE020B01018</t>
  </si>
  <si>
    <t>Medi Assist Healthcare Services Ltd</t>
  </si>
  <si>
    <t>INE456Z01021</t>
  </si>
  <si>
    <t>V.I.P. Industries Ltd</t>
  </si>
  <si>
    <t>INE054A01027</t>
  </si>
  <si>
    <t>Power Finance Corporation Ltd</t>
  </si>
  <si>
    <t>INE134E01011</t>
  </si>
  <si>
    <t>TVS Motor Co Ltd</t>
  </si>
  <si>
    <t>INE494B01023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</si>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</sst>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0A10B4-24AE-4C03-9D51-2D7F66E04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6147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096F57-DAFD-4331-877D-1E67DEBD5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938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6F11952A-2911-47C2-A908-57A1089D1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8415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6"/>
      <c r="F3" s="7"/>
      <c r="G3" s="7"/>
    </row>
    <row r="4" spans="2:12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 x14ac:dyDescent="0.2">
      <c r="B5" s="13" t="s">
        <v>12</v>
      </c>
      <c r="C5" s="14"/>
      <c r="D5" s="14"/>
      <c r="E5" s="14"/>
      <c r="F5" s="15"/>
      <c r="G5" s="15"/>
      <c r="H5" s="15"/>
      <c r="J5" s="16"/>
      <c r="K5" s="16"/>
      <c r="L5" s="16"/>
    </row>
    <row r="6" spans="2:12" x14ac:dyDescent="0.2">
      <c r="B6" s="17" t="s">
        <v>13</v>
      </c>
      <c r="C6" s="18"/>
      <c r="D6" s="18"/>
      <c r="E6" s="18"/>
      <c r="F6" s="19"/>
      <c r="G6" s="19"/>
      <c r="H6" s="19"/>
      <c r="J6" s="20"/>
      <c r="K6" s="20"/>
      <c r="L6" s="20"/>
    </row>
    <row r="7" spans="2:12" x14ac:dyDescent="0.2">
      <c r="B7" s="21" t="s">
        <v>14</v>
      </c>
      <c r="C7" s="18" t="s">
        <v>15</v>
      </c>
      <c r="D7" s="18" t="s">
        <v>16</v>
      </c>
      <c r="E7" s="22">
        <v>2225000</v>
      </c>
      <c r="F7" s="19">
        <v>9040.18</v>
      </c>
      <c r="G7" s="19">
        <v>6.63</v>
      </c>
      <c r="H7" s="19" t="s">
        <v>17</v>
      </c>
      <c r="I7" s="23"/>
      <c r="J7" s="20"/>
      <c r="K7" s="20"/>
      <c r="L7" s="20"/>
    </row>
    <row r="8" spans="2:12" x14ac:dyDescent="0.2">
      <c r="B8" s="21" t="s">
        <v>18</v>
      </c>
      <c r="C8" s="18" t="s">
        <v>19</v>
      </c>
      <c r="D8" s="18" t="s">
        <v>20</v>
      </c>
      <c r="E8" s="22">
        <v>452000</v>
      </c>
      <c r="F8" s="19">
        <v>6343.37</v>
      </c>
      <c r="G8" s="19">
        <v>4.6500000000000004</v>
      </c>
      <c r="H8" s="19" t="s">
        <v>17</v>
      </c>
      <c r="I8" s="23"/>
      <c r="J8" s="20"/>
      <c r="K8" s="20"/>
      <c r="L8" s="20"/>
    </row>
    <row r="9" spans="2:12" x14ac:dyDescent="0.2">
      <c r="B9" s="21" t="s">
        <v>21</v>
      </c>
      <c r="C9" s="18" t="s">
        <v>22</v>
      </c>
      <c r="D9" s="18" t="s">
        <v>23</v>
      </c>
      <c r="E9" s="22">
        <v>503000</v>
      </c>
      <c r="F9" s="19">
        <v>5650.45</v>
      </c>
      <c r="G9" s="19">
        <v>4.1399999999999997</v>
      </c>
      <c r="H9" s="19" t="s">
        <v>17</v>
      </c>
      <c r="I9" s="23"/>
      <c r="J9" s="20"/>
      <c r="K9" s="20"/>
      <c r="L9" s="20"/>
    </row>
    <row r="10" spans="2:12" x14ac:dyDescent="0.2">
      <c r="B10" s="21" t="s">
        <v>24</v>
      </c>
      <c r="C10" s="18" t="s">
        <v>25</v>
      </c>
      <c r="D10" s="18" t="s">
        <v>26</v>
      </c>
      <c r="E10" s="22">
        <v>143000</v>
      </c>
      <c r="F10" s="19">
        <v>5550.97</v>
      </c>
      <c r="G10" s="19">
        <v>4.07</v>
      </c>
      <c r="H10" s="19" t="s">
        <v>17</v>
      </c>
      <c r="I10" s="23"/>
      <c r="J10" s="20"/>
      <c r="K10" s="20"/>
      <c r="L10" s="20"/>
    </row>
    <row r="11" spans="2:12" x14ac:dyDescent="0.2">
      <c r="B11" s="21" t="s">
        <v>27</v>
      </c>
      <c r="C11" s="18" t="s">
        <v>28</v>
      </c>
      <c r="D11" s="18" t="s">
        <v>26</v>
      </c>
      <c r="E11" s="22">
        <v>2750000</v>
      </c>
      <c r="F11" s="19">
        <v>4549.88</v>
      </c>
      <c r="G11" s="19">
        <v>3.34</v>
      </c>
      <c r="H11" s="19" t="s">
        <v>17</v>
      </c>
      <c r="I11" s="23"/>
      <c r="J11" s="20"/>
      <c r="K11" s="20"/>
      <c r="L11" s="20"/>
    </row>
    <row r="12" spans="2:12" x14ac:dyDescent="0.2">
      <c r="B12" s="21" t="s">
        <v>29</v>
      </c>
      <c r="C12" s="18" t="s">
        <v>30</v>
      </c>
      <c r="D12" s="18" t="s">
        <v>31</v>
      </c>
      <c r="E12" s="22">
        <v>125000</v>
      </c>
      <c r="F12" s="19">
        <v>4530.5</v>
      </c>
      <c r="G12" s="19">
        <v>3.32</v>
      </c>
      <c r="H12" s="19" t="s">
        <v>17</v>
      </c>
      <c r="I12" s="23"/>
      <c r="J12" s="24"/>
      <c r="K12" s="24"/>
      <c r="L12" s="24"/>
    </row>
    <row r="13" spans="2:12" x14ac:dyDescent="0.2">
      <c r="B13" s="21" t="s">
        <v>32</v>
      </c>
      <c r="C13" s="18" t="s">
        <v>33</v>
      </c>
      <c r="D13" s="18" t="s">
        <v>34</v>
      </c>
      <c r="E13" s="22">
        <v>350000</v>
      </c>
      <c r="F13" s="19">
        <v>4401.95</v>
      </c>
      <c r="G13" s="19">
        <v>3.23</v>
      </c>
      <c r="H13" s="19" t="s">
        <v>17</v>
      </c>
      <c r="I13" s="23"/>
      <c r="J13" s="23"/>
      <c r="K13" s="25" t="s">
        <v>35</v>
      </c>
    </row>
    <row r="14" spans="2:12" x14ac:dyDescent="0.2">
      <c r="B14" s="21" t="s">
        <v>36</v>
      </c>
      <c r="C14" s="18" t="s">
        <v>37</v>
      </c>
      <c r="D14" s="18" t="s">
        <v>38</v>
      </c>
      <c r="E14" s="22">
        <v>50000</v>
      </c>
      <c r="F14" s="19">
        <v>3954.68</v>
      </c>
      <c r="G14" s="19">
        <v>2.9</v>
      </c>
      <c r="H14" s="19" t="s">
        <v>17</v>
      </c>
      <c r="I14" s="23"/>
      <c r="J14" s="23"/>
      <c r="K14" s="23"/>
    </row>
    <row r="15" spans="2:12" x14ac:dyDescent="0.2">
      <c r="B15" s="21" t="s">
        <v>39</v>
      </c>
      <c r="C15" s="18" t="s">
        <v>40</v>
      </c>
      <c r="D15" s="18" t="s">
        <v>38</v>
      </c>
      <c r="E15" s="22">
        <v>410000</v>
      </c>
      <c r="F15" s="19">
        <v>3895.82</v>
      </c>
      <c r="G15" s="19">
        <v>2.86</v>
      </c>
      <c r="H15" s="19" t="s">
        <v>17</v>
      </c>
      <c r="I15" s="23"/>
      <c r="J15" s="23"/>
      <c r="K15" s="23"/>
    </row>
    <row r="16" spans="2:12" x14ac:dyDescent="0.2">
      <c r="B16" s="21" t="s">
        <v>41</v>
      </c>
      <c r="C16" s="18" t="s">
        <v>42</v>
      </c>
      <c r="D16" s="18" t="s">
        <v>43</v>
      </c>
      <c r="E16" s="22">
        <v>270000</v>
      </c>
      <c r="F16" s="19">
        <v>3802.95</v>
      </c>
      <c r="G16" s="19">
        <v>2.79</v>
      </c>
      <c r="H16" s="19" t="s">
        <v>17</v>
      </c>
      <c r="I16" s="23"/>
      <c r="J16" s="23"/>
      <c r="K16" s="23"/>
    </row>
    <row r="17" spans="2:11" x14ac:dyDescent="0.2">
      <c r="B17" s="21" t="s">
        <v>44</v>
      </c>
      <c r="C17" s="18" t="s">
        <v>45</v>
      </c>
      <c r="D17" s="18" t="s">
        <v>46</v>
      </c>
      <c r="E17" s="22">
        <v>112500</v>
      </c>
      <c r="F17" s="19">
        <v>3612.09</v>
      </c>
      <c r="G17" s="19">
        <v>2.65</v>
      </c>
      <c r="H17" s="19" t="s">
        <v>47</v>
      </c>
      <c r="I17" s="23"/>
      <c r="J17" s="23"/>
      <c r="K17" s="23"/>
    </row>
    <row r="18" spans="2:11" x14ac:dyDescent="0.2">
      <c r="B18" s="21" t="s">
        <v>48</v>
      </c>
      <c r="C18" s="18" t="s">
        <v>49</v>
      </c>
      <c r="D18" s="18" t="s">
        <v>43</v>
      </c>
      <c r="E18" s="22">
        <v>300000</v>
      </c>
      <c r="F18" s="19">
        <v>3497.55</v>
      </c>
      <c r="G18" s="19">
        <v>2.56</v>
      </c>
      <c r="H18" s="19" t="s">
        <v>17</v>
      </c>
      <c r="I18" s="23"/>
      <c r="J18" s="23"/>
      <c r="K18" s="23"/>
    </row>
    <row r="19" spans="2:11" x14ac:dyDescent="0.2">
      <c r="B19" s="21" t="s">
        <v>50</v>
      </c>
      <c r="C19" s="18" t="s">
        <v>51</v>
      </c>
      <c r="D19" s="18" t="s">
        <v>52</v>
      </c>
      <c r="E19" s="22">
        <v>50000</v>
      </c>
      <c r="F19" s="19">
        <v>3247.68</v>
      </c>
      <c r="G19" s="19">
        <v>2.38</v>
      </c>
      <c r="H19" s="19" t="s">
        <v>17</v>
      </c>
      <c r="I19" s="23"/>
      <c r="J19" s="23"/>
      <c r="K19" s="23"/>
    </row>
    <row r="20" spans="2:11" x14ac:dyDescent="0.2">
      <c r="B20" s="21" t="s">
        <v>53</v>
      </c>
      <c r="C20" s="18" t="s">
        <v>54</v>
      </c>
      <c r="D20" s="18" t="s">
        <v>55</v>
      </c>
      <c r="E20" s="22">
        <v>800000</v>
      </c>
      <c r="F20" s="19">
        <v>3231.6</v>
      </c>
      <c r="G20" s="19">
        <v>2.37</v>
      </c>
      <c r="H20" s="19" t="s">
        <v>56</v>
      </c>
      <c r="I20" s="23"/>
      <c r="J20" s="23"/>
      <c r="K20" s="23"/>
    </row>
    <row r="21" spans="2:11" x14ac:dyDescent="0.2">
      <c r="B21" s="21" t="s">
        <v>57</v>
      </c>
      <c r="C21" s="18" t="s">
        <v>58</v>
      </c>
      <c r="D21" s="18" t="s">
        <v>59</v>
      </c>
      <c r="E21" s="22">
        <v>182500</v>
      </c>
      <c r="F21" s="19">
        <v>3123.94</v>
      </c>
      <c r="G21" s="19">
        <v>2.29</v>
      </c>
      <c r="H21" s="19" t="s">
        <v>17</v>
      </c>
      <c r="I21" s="23"/>
      <c r="J21" s="23"/>
      <c r="K21" s="23"/>
    </row>
    <row r="22" spans="2:11" x14ac:dyDescent="0.2">
      <c r="B22" s="21" t="s">
        <v>60</v>
      </c>
      <c r="C22" s="18" t="s">
        <v>61</v>
      </c>
      <c r="D22" s="18" t="s">
        <v>20</v>
      </c>
      <c r="E22" s="22">
        <v>292000</v>
      </c>
      <c r="F22" s="19">
        <v>3072.42</v>
      </c>
      <c r="G22" s="19">
        <v>2.25</v>
      </c>
      <c r="H22" s="19" t="s">
        <v>17</v>
      </c>
      <c r="I22" s="23"/>
      <c r="J22" s="23"/>
      <c r="K22" s="23"/>
    </row>
    <row r="23" spans="2:11" x14ac:dyDescent="0.2">
      <c r="B23" s="21" t="s">
        <v>62</v>
      </c>
      <c r="C23" s="18" t="s">
        <v>63</v>
      </c>
      <c r="D23" s="18" t="s">
        <v>64</v>
      </c>
      <c r="E23" s="22">
        <v>660000</v>
      </c>
      <c r="F23" s="19">
        <v>3049.53</v>
      </c>
      <c r="G23" s="19">
        <v>2.2400000000000002</v>
      </c>
      <c r="H23" s="19" t="s">
        <v>56</v>
      </c>
      <c r="I23" s="23"/>
      <c r="J23" s="23"/>
      <c r="K23" s="23"/>
    </row>
    <row r="24" spans="2:11" x14ac:dyDescent="0.2">
      <c r="B24" s="21" t="s">
        <v>65</v>
      </c>
      <c r="C24" s="18" t="s">
        <v>66</v>
      </c>
      <c r="D24" s="18" t="s">
        <v>20</v>
      </c>
      <c r="E24" s="22">
        <v>200000</v>
      </c>
      <c r="F24" s="19">
        <v>2949.8</v>
      </c>
      <c r="G24" s="19">
        <v>2.16</v>
      </c>
      <c r="H24" s="19" t="s">
        <v>17</v>
      </c>
      <c r="I24" s="23"/>
      <c r="J24" s="23"/>
      <c r="K24" s="23"/>
    </row>
    <row r="25" spans="2:11" x14ac:dyDescent="0.2">
      <c r="B25" s="21" t="s">
        <v>67</v>
      </c>
      <c r="C25" s="18" t="s">
        <v>68</v>
      </c>
      <c r="D25" s="18" t="s">
        <v>69</v>
      </c>
      <c r="E25" s="22">
        <v>88500</v>
      </c>
      <c r="F25" s="19">
        <v>2792.48</v>
      </c>
      <c r="G25" s="19">
        <v>2.0499999999999998</v>
      </c>
      <c r="H25" s="19" t="s">
        <v>17</v>
      </c>
      <c r="I25" s="23"/>
      <c r="J25" s="23"/>
      <c r="K25" s="23"/>
    </row>
    <row r="26" spans="2:11" x14ac:dyDescent="0.2">
      <c r="B26" s="21" t="s">
        <v>70</v>
      </c>
      <c r="C26" s="18" t="s">
        <v>71</v>
      </c>
      <c r="D26" s="18" t="s">
        <v>43</v>
      </c>
      <c r="E26" s="22">
        <v>162000</v>
      </c>
      <c r="F26" s="19">
        <v>2749.46</v>
      </c>
      <c r="G26" s="19">
        <v>2.02</v>
      </c>
      <c r="H26" s="19" t="s">
        <v>47</v>
      </c>
      <c r="I26" s="23"/>
      <c r="J26" s="23"/>
      <c r="K26" s="23"/>
    </row>
    <row r="27" spans="2:11" x14ac:dyDescent="0.2">
      <c r="B27" s="21" t="s">
        <v>72</v>
      </c>
      <c r="C27" s="18" t="s">
        <v>73</v>
      </c>
      <c r="D27" s="18" t="s">
        <v>34</v>
      </c>
      <c r="E27" s="22">
        <v>510000</v>
      </c>
      <c r="F27" s="19">
        <v>2744.57</v>
      </c>
      <c r="G27" s="19">
        <v>2.0099999999999998</v>
      </c>
      <c r="H27" s="19" t="s">
        <v>17</v>
      </c>
      <c r="I27" s="23"/>
      <c r="J27" s="23"/>
      <c r="K27" s="23"/>
    </row>
    <row r="28" spans="2:11" x14ac:dyDescent="0.2">
      <c r="B28" s="21" t="s">
        <v>74</v>
      </c>
      <c r="C28" s="18" t="s">
        <v>75</v>
      </c>
      <c r="D28" s="18" t="s">
        <v>31</v>
      </c>
      <c r="E28" s="22">
        <v>245000</v>
      </c>
      <c r="F28" s="19">
        <v>2717.3</v>
      </c>
      <c r="G28" s="19">
        <v>1.99</v>
      </c>
      <c r="H28" s="19" t="s">
        <v>47</v>
      </c>
      <c r="I28" s="23"/>
      <c r="J28" s="23"/>
      <c r="K28" s="23"/>
    </row>
    <row r="29" spans="2:11" x14ac:dyDescent="0.2">
      <c r="B29" s="21" t="s">
        <v>76</v>
      </c>
      <c r="C29" s="18" t="s">
        <v>77</v>
      </c>
      <c r="D29" s="18" t="s">
        <v>78</v>
      </c>
      <c r="E29" s="22">
        <v>2125000</v>
      </c>
      <c r="F29" s="19">
        <v>2533</v>
      </c>
      <c r="G29" s="19">
        <v>1.86</v>
      </c>
      <c r="H29" s="19" t="s">
        <v>47</v>
      </c>
      <c r="I29" s="23"/>
      <c r="J29" s="23"/>
      <c r="K29" s="23"/>
    </row>
    <row r="30" spans="2:11" x14ac:dyDescent="0.2">
      <c r="B30" s="21" t="s">
        <v>79</v>
      </c>
      <c r="C30" s="18" t="s">
        <v>80</v>
      </c>
      <c r="D30" s="18" t="s">
        <v>81</v>
      </c>
      <c r="E30" s="22">
        <v>158000</v>
      </c>
      <c r="F30" s="19">
        <v>2467.7199999999998</v>
      </c>
      <c r="G30" s="19">
        <v>1.81</v>
      </c>
      <c r="H30" s="19" t="s">
        <v>56</v>
      </c>
      <c r="I30" s="23"/>
      <c r="J30" s="23"/>
      <c r="K30" s="23"/>
    </row>
    <row r="31" spans="2:11" x14ac:dyDescent="0.2">
      <c r="B31" s="21" t="s">
        <v>82</v>
      </c>
      <c r="C31" s="18" t="s">
        <v>83</v>
      </c>
      <c r="D31" s="18" t="s">
        <v>31</v>
      </c>
      <c r="E31" s="22">
        <v>155000</v>
      </c>
      <c r="F31" s="19">
        <v>2373.59</v>
      </c>
      <c r="G31" s="19">
        <v>1.74</v>
      </c>
      <c r="H31" s="19" t="s">
        <v>17</v>
      </c>
      <c r="I31" s="23"/>
      <c r="J31" s="23"/>
      <c r="K31" s="23"/>
    </row>
    <row r="32" spans="2:11" x14ac:dyDescent="0.2">
      <c r="B32" s="21" t="s">
        <v>84</v>
      </c>
      <c r="C32" s="18" t="s">
        <v>85</v>
      </c>
      <c r="D32" s="18" t="s">
        <v>86</v>
      </c>
      <c r="E32" s="22">
        <v>100000</v>
      </c>
      <c r="F32" s="19">
        <v>2366.85</v>
      </c>
      <c r="G32" s="19">
        <v>1.74</v>
      </c>
      <c r="H32" s="19" t="s">
        <v>56</v>
      </c>
      <c r="I32" s="23"/>
      <c r="J32" s="23"/>
      <c r="K32" s="23"/>
    </row>
    <row r="33" spans="2:11" x14ac:dyDescent="0.2">
      <c r="B33" s="21" t="s">
        <v>87</v>
      </c>
      <c r="C33" s="18" t="s">
        <v>88</v>
      </c>
      <c r="D33" s="18" t="s">
        <v>31</v>
      </c>
      <c r="E33" s="22">
        <v>800000</v>
      </c>
      <c r="F33" s="19">
        <v>2328</v>
      </c>
      <c r="G33" s="19">
        <v>1.71</v>
      </c>
      <c r="H33" s="19" t="s">
        <v>56</v>
      </c>
      <c r="I33" s="23"/>
      <c r="J33" s="23"/>
      <c r="K33" s="23"/>
    </row>
    <row r="34" spans="2:11" x14ac:dyDescent="0.2">
      <c r="B34" s="21" t="s">
        <v>89</v>
      </c>
      <c r="C34" s="18" t="s">
        <v>90</v>
      </c>
      <c r="D34" s="18" t="s">
        <v>20</v>
      </c>
      <c r="E34" s="22">
        <v>216000</v>
      </c>
      <c r="F34" s="19">
        <v>2322.2199999999998</v>
      </c>
      <c r="G34" s="19">
        <v>1.7</v>
      </c>
      <c r="H34" s="19" t="s">
        <v>17</v>
      </c>
      <c r="I34" s="23"/>
      <c r="J34" s="23"/>
      <c r="K34" s="23"/>
    </row>
    <row r="35" spans="2:11" x14ac:dyDescent="0.2">
      <c r="B35" s="21" t="s">
        <v>91</v>
      </c>
      <c r="C35" s="18" t="s">
        <v>92</v>
      </c>
      <c r="D35" s="18" t="s">
        <v>59</v>
      </c>
      <c r="E35" s="22">
        <v>237000</v>
      </c>
      <c r="F35" s="19">
        <v>2298.19</v>
      </c>
      <c r="G35" s="19">
        <v>1.69</v>
      </c>
      <c r="H35" s="19" t="s">
        <v>47</v>
      </c>
      <c r="I35" s="23"/>
      <c r="J35" s="23"/>
      <c r="K35" s="23"/>
    </row>
    <row r="36" spans="2:11" x14ac:dyDescent="0.2">
      <c r="B36" s="21" t="s">
        <v>93</v>
      </c>
      <c r="C36" s="18" t="s">
        <v>94</v>
      </c>
      <c r="D36" s="18" t="s">
        <v>26</v>
      </c>
      <c r="E36" s="22">
        <v>500000</v>
      </c>
      <c r="F36" s="19">
        <v>2287.5</v>
      </c>
      <c r="G36" s="19">
        <v>1.68</v>
      </c>
      <c r="H36" s="19" t="s">
        <v>56</v>
      </c>
      <c r="I36" s="23"/>
      <c r="J36" s="23"/>
      <c r="K36" s="23"/>
    </row>
    <row r="37" spans="2:11" x14ac:dyDescent="0.2">
      <c r="B37" s="21" t="s">
        <v>95</v>
      </c>
      <c r="C37" s="18" t="s">
        <v>96</v>
      </c>
      <c r="D37" s="18" t="s">
        <v>31</v>
      </c>
      <c r="E37" s="22">
        <v>160000</v>
      </c>
      <c r="F37" s="19">
        <v>2255.2800000000002</v>
      </c>
      <c r="G37" s="19">
        <v>1.65</v>
      </c>
      <c r="H37" s="19" t="s">
        <v>56</v>
      </c>
      <c r="I37" s="23"/>
      <c r="J37" s="23"/>
      <c r="K37" s="23"/>
    </row>
    <row r="38" spans="2:11" x14ac:dyDescent="0.2">
      <c r="B38" s="21" t="s">
        <v>97</v>
      </c>
      <c r="C38" s="18" t="s">
        <v>98</v>
      </c>
      <c r="D38" s="18" t="s">
        <v>59</v>
      </c>
      <c r="E38" s="22">
        <v>135000</v>
      </c>
      <c r="F38" s="19">
        <v>2095.94</v>
      </c>
      <c r="G38" s="19">
        <v>1.54</v>
      </c>
      <c r="H38" s="19" t="s">
        <v>17</v>
      </c>
      <c r="I38" s="23"/>
      <c r="J38" s="23"/>
      <c r="K38" s="23"/>
    </row>
    <row r="39" spans="2:11" x14ac:dyDescent="0.2">
      <c r="B39" s="21" t="s">
        <v>99</v>
      </c>
      <c r="C39" s="18" t="s">
        <v>100</v>
      </c>
      <c r="D39" s="18" t="s">
        <v>55</v>
      </c>
      <c r="E39" s="22">
        <v>275000</v>
      </c>
      <c r="F39" s="19">
        <v>2059.1999999999998</v>
      </c>
      <c r="G39" s="19">
        <v>1.51</v>
      </c>
      <c r="H39" s="19" t="s">
        <v>56</v>
      </c>
      <c r="I39" s="23"/>
      <c r="J39" s="23"/>
      <c r="K39" s="23"/>
    </row>
    <row r="40" spans="2:11" x14ac:dyDescent="0.2">
      <c r="B40" s="21" t="s">
        <v>101</v>
      </c>
      <c r="C40" s="18" t="s">
        <v>102</v>
      </c>
      <c r="D40" s="18" t="s">
        <v>38</v>
      </c>
      <c r="E40" s="22">
        <v>18000</v>
      </c>
      <c r="F40" s="19">
        <v>2031.9</v>
      </c>
      <c r="G40" s="19">
        <v>1.49</v>
      </c>
      <c r="H40" s="19" t="s">
        <v>17</v>
      </c>
      <c r="I40" s="23"/>
      <c r="J40" s="23"/>
      <c r="K40" s="23"/>
    </row>
    <row r="41" spans="2:11" x14ac:dyDescent="0.2">
      <c r="B41" s="21" t="s">
        <v>103</v>
      </c>
      <c r="C41" s="18" t="s">
        <v>104</v>
      </c>
      <c r="D41" s="18" t="s">
        <v>105</v>
      </c>
      <c r="E41" s="22">
        <v>132000</v>
      </c>
      <c r="F41" s="19">
        <v>1809.79</v>
      </c>
      <c r="G41" s="19">
        <v>1.33</v>
      </c>
      <c r="H41" s="19" t="s">
        <v>56</v>
      </c>
      <c r="I41" s="23"/>
      <c r="J41" s="23"/>
      <c r="K41" s="23"/>
    </row>
    <row r="42" spans="2:11" x14ac:dyDescent="0.2">
      <c r="B42" s="21" t="s">
        <v>106</v>
      </c>
      <c r="C42" s="18" t="s">
        <v>107</v>
      </c>
      <c r="D42" s="18" t="s">
        <v>26</v>
      </c>
      <c r="E42" s="22">
        <v>175000</v>
      </c>
      <c r="F42" s="19">
        <v>1801.01</v>
      </c>
      <c r="G42" s="19">
        <v>1.32</v>
      </c>
      <c r="H42" s="19" t="s">
        <v>47</v>
      </c>
      <c r="I42" s="23"/>
      <c r="J42" s="23"/>
      <c r="K42" s="23"/>
    </row>
    <row r="43" spans="2:11" x14ac:dyDescent="0.2">
      <c r="B43" s="21" t="s">
        <v>108</v>
      </c>
      <c r="C43" s="18" t="s">
        <v>109</v>
      </c>
      <c r="D43" s="18" t="s">
        <v>46</v>
      </c>
      <c r="E43" s="22">
        <v>800000</v>
      </c>
      <c r="F43" s="19">
        <v>1746.4</v>
      </c>
      <c r="G43" s="19">
        <v>1.28</v>
      </c>
      <c r="H43" s="19" t="s">
        <v>56</v>
      </c>
      <c r="I43" s="23"/>
      <c r="J43" s="23"/>
      <c r="K43" s="23"/>
    </row>
    <row r="44" spans="2:11" x14ac:dyDescent="0.2">
      <c r="B44" s="21" t="s">
        <v>110</v>
      </c>
      <c r="C44" s="18" t="s">
        <v>111</v>
      </c>
      <c r="D44" s="18" t="s">
        <v>52</v>
      </c>
      <c r="E44" s="22">
        <v>165000</v>
      </c>
      <c r="F44" s="19">
        <v>1735.47</v>
      </c>
      <c r="G44" s="19">
        <v>1.27</v>
      </c>
      <c r="H44" s="19" t="s">
        <v>56</v>
      </c>
      <c r="I44" s="23"/>
      <c r="J44" s="23"/>
      <c r="K44" s="23"/>
    </row>
    <row r="45" spans="2:11" x14ac:dyDescent="0.2">
      <c r="B45" s="21" t="s">
        <v>112</v>
      </c>
      <c r="C45" s="18" t="s">
        <v>113</v>
      </c>
      <c r="D45" s="18" t="s">
        <v>114</v>
      </c>
      <c r="E45" s="22">
        <v>4800</v>
      </c>
      <c r="F45" s="19">
        <v>1646.86</v>
      </c>
      <c r="G45" s="19">
        <v>1.21</v>
      </c>
      <c r="H45" s="19" t="s">
        <v>47</v>
      </c>
      <c r="I45" s="23"/>
      <c r="J45" s="23"/>
      <c r="K45" s="23"/>
    </row>
    <row r="46" spans="2:11" x14ac:dyDescent="0.2">
      <c r="B46" s="21" t="s">
        <v>115</v>
      </c>
      <c r="C46" s="18" t="s">
        <v>116</v>
      </c>
      <c r="D46" s="18" t="s">
        <v>20</v>
      </c>
      <c r="E46" s="22">
        <v>985000</v>
      </c>
      <c r="F46" s="19">
        <v>1481.44</v>
      </c>
      <c r="G46" s="19">
        <v>1.0900000000000001</v>
      </c>
      <c r="H46" s="19" t="s">
        <v>47</v>
      </c>
      <c r="I46" s="23"/>
      <c r="J46" s="23"/>
      <c r="K46" s="23"/>
    </row>
    <row r="47" spans="2:11" x14ac:dyDescent="0.2">
      <c r="B47" s="21" t="s">
        <v>117</v>
      </c>
      <c r="C47" s="18" t="s">
        <v>118</v>
      </c>
      <c r="D47" s="18" t="s">
        <v>52</v>
      </c>
      <c r="E47" s="22">
        <v>305000</v>
      </c>
      <c r="F47" s="19">
        <v>1348.25</v>
      </c>
      <c r="G47" s="19">
        <v>0.99</v>
      </c>
      <c r="H47" s="19" t="s">
        <v>17</v>
      </c>
      <c r="I47" s="23"/>
      <c r="J47" s="23"/>
      <c r="K47" s="23"/>
    </row>
    <row r="48" spans="2:11" x14ac:dyDescent="0.2">
      <c r="B48" s="21" t="s">
        <v>119</v>
      </c>
      <c r="C48" s="18" t="s">
        <v>120</v>
      </c>
      <c r="D48" s="18" t="s">
        <v>59</v>
      </c>
      <c r="E48" s="22">
        <v>250000</v>
      </c>
      <c r="F48" s="19">
        <v>1283</v>
      </c>
      <c r="G48" s="19">
        <v>0.94</v>
      </c>
      <c r="H48" s="19" t="s">
        <v>56</v>
      </c>
      <c r="I48" s="23"/>
      <c r="J48" s="23"/>
      <c r="K48" s="23"/>
    </row>
    <row r="49" spans="2:11" x14ac:dyDescent="0.2">
      <c r="B49" s="21" t="s">
        <v>121</v>
      </c>
      <c r="C49" s="18" t="s">
        <v>122</v>
      </c>
      <c r="D49" s="18" t="s">
        <v>31</v>
      </c>
      <c r="E49" s="22">
        <v>230000</v>
      </c>
      <c r="F49" s="19">
        <v>1271.56</v>
      </c>
      <c r="G49" s="19">
        <v>0.93</v>
      </c>
      <c r="H49" s="19" t="s">
        <v>56</v>
      </c>
      <c r="I49" s="23"/>
      <c r="J49" s="23"/>
      <c r="K49" s="23"/>
    </row>
    <row r="50" spans="2:11" x14ac:dyDescent="0.2">
      <c r="B50" s="21" t="s">
        <v>123</v>
      </c>
      <c r="C50" s="18" t="s">
        <v>124</v>
      </c>
      <c r="D50" s="18" t="s">
        <v>52</v>
      </c>
      <c r="E50" s="22">
        <v>305000</v>
      </c>
      <c r="F50" s="19">
        <v>1222.1400000000001</v>
      </c>
      <c r="G50" s="19">
        <v>0.9</v>
      </c>
      <c r="H50" s="19" t="s">
        <v>17</v>
      </c>
      <c r="I50" s="23"/>
      <c r="J50" s="23"/>
      <c r="K50" s="23"/>
    </row>
    <row r="51" spans="2:11" x14ac:dyDescent="0.2">
      <c r="B51" s="21" t="s">
        <v>125</v>
      </c>
      <c r="C51" s="18" t="s">
        <v>126</v>
      </c>
      <c r="D51" s="18" t="s">
        <v>38</v>
      </c>
      <c r="E51" s="22">
        <v>30000</v>
      </c>
      <c r="F51" s="19">
        <v>641.76</v>
      </c>
      <c r="G51" s="19">
        <v>0.47</v>
      </c>
      <c r="H51" s="19" t="s">
        <v>17</v>
      </c>
      <c r="I51" s="23"/>
      <c r="J51" s="23"/>
      <c r="K51" s="23"/>
    </row>
    <row r="52" spans="2:11" x14ac:dyDescent="0.2">
      <c r="B52" s="26" t="s">
        <v>127</v>
      </c>
      <c r="C52" s="27"/>
      <c r="D52" s="27"/>
      <c r="E52" s="27"/>
      <c r="F52" s="28">
        <f>SUM(F7:F51)</f>
        <v>131916.24000000002</v>
      </c>
      <c r="G52" s="28">
        <f>SUM(G7:G51)</f>
        <v>96.749999999999986</v>
      </c>
      <c r="H52" s="28"/>
      <c r="I52" s="23"/>
      <c r="J52" s="23"/>
      <c r="K52" s="23"/>
    </row>
    <row r="53" spans="2:11" x14ac:dyDescent="0.2">
      <c r="B53" s="29" t="s">
        <v>128</v>
      </c>
      <c r="C53" s="29"/>
      <c r="D53" s="29"/>
      <c r="E53" s="29"/>
      <c r="F53" s="30">
        <f>F52</f>
        <v>131916.24000000002</v>
      </c>
      <c r="G53" s="30">
        <f>G52</f>
        <v>96.749999999999986</v>
      </c>
      <c r="H53" s="30"/>
      <c r="I53" s="23"/>
      <c r="J53" s="23"/>
      <c r="K53" s="23"/>
    </row>
    <row r="54" spans="2:11" x14ac:dyDescent="0.2">
      <c r="B54" s="31" t="s">
        <v>129</v>
      </c>
      <c r="C54" s="32"/>
      <c r="D54" s="32"/>
      <c r="E54" s="32"/>
      <c r="F54" s="33"/>
      <c r="G54" s="33"/>
      <c r="H54" s="33"/>
      <c r="I54" s="23"/>
      <c r="J54" s="23"/>
      <c r="K54" s="23"/>
    </row>
    <row r="55" spans="2:11" x14ac:dyDescent="0.2">
      <c r="B55" s="21" t="s">
        <v>129</v>
      </c>
      <c r="C55" s="21"/>
      <c r="D55" s="18"/>
      <c r="E55" s="18"/>
      <c r="F55" s="19">
        <v>4855.59</v>
      </c>
      <c r="G55" s="19">
        <v>3.56</v>
      </c>
      <c r="H55" s="19"/>
      <c r="I55" s="23"/>
      <c r="J55" s="23"/>
      <c r="K55" s="23"/>
    </row>
    <row r="56" spans="2:11" x14ac:dyDescent="0.2">
      <c r="B56" s="26" t="s">
        <v>127</v>
      </c>
      <c r="C56" s="27"/>
      <c r="D56" s="27"/>
      <c r="E56" s="27"/>
      <c r="F56" s="28">
        <f>SUM(F54:F55)</f>
        <v>4855.59</v>
      </c>
      <c r="G56" s="28">
        <f>SUM(G54:G55)</f>
        <v>3.56</v>
      </c>
      <c r="H56" s="28"/>
      <c r="I56" s="23"/>
      <c r="J56" s="23"/>
      <c r="K56" s="23"/>
    </row>
    <row r="57" spans="2:11" x14ac:dyDescent="0.2">
      <c r="B57" s="34" t="s">
        <v>128</v>
      </c>
      <c r="C57" s="34"/>
      <c r="D57" s="34"/>
      <c r="E57" s="34"/>
      <c r="F57" s="35">
        <f>F56</f>
        <v>4855.59</v>
      </c>
      <c r="G57" s="35">
        <f>G56</f>
        <v>3.56</v>
      </c>
      <c r="H57" s="35"/>
      <c r="I57" s="23"/>
      <c r="J57" s="23"/>
      <c r="K57" s="23"/>
    </row>
    <row r="58" spans="2:11" x14ac:dyDescent="0.2">
      <c r="B58" s="36" t="s">
        <v>130</v>
      </c>
      <c r="C58" s="36"/>
      <c r="D58" s="36"/>
      <c r="E58" s="36"/>
      <c r="F58" s="37">
        <f>F59-(+F53+F57)</f>
        <v>-383.7500000000291</v>
      </c>
      <c r="G58" s="37">
        <f>G59-(+G53+G57)</f>
        <v>-0.30999999999998806</v>
      </c>
      <c r="H58" s="37"/>
      <c r="I58" s="23"/>
      <c r="J58" s="23"/>
      <c r="K58" s="23"/>
    </row>
    <row r="59" spans="2:11" x14ac:dyDescent="0.2">
      <c r="B59" s="36" t="s">
        <v>131</v>
      </c>
      <c r="C59" s="36"/>
      <c r="D59" s="36"/>
      <c r="E59" s="36"/>
      <c r="F59" s="37">
        <v>136388.07999999999</v>
      </c>
      <c r="G59" s="37">
        <v>100</v>
      </c>
      <c r="H59" s="37"/>
      <c r="I59" s="23"/>
      <c r="J59" s="23"/>
      <c r="K59" s="23"/>
    </row>
    <row r="60" spans="2:11" ht="12.75" thickBot="1" x14ac:dyDescent="0.25">
      <c r="H60" s="23"/>
      <c r="I60" s="23"/>
      <c r="J60" s="23"/>
      <c r="K60" s="23"/>
    </row>
    <row r="61" spans="2:11" ht="13.5" thickTop="1" thickBot="1" x14ac:dyDescent="0.25">
      <c r="B61" s="39" t="s">
        <v>132</v>
      </c>
      <c r="C61" s="40" t="s">
        <v>133</v>
      </c>
      <c r="H61" s="23"/>
      <c r="I61" s="23"/>
      <c r="J61" s="23"/>
      <c r="K61" s="23"/>
    </row>
    <row r="62" spans="2:11" ht="12.75" thickTop="1" x14ac:dyDescent="0.2">
      <c r="H62" s="23"/>
      <c r="I62" s="23"/>
      <c r="J62" s="23"/>
      <c r="K62" s="23"/>
    </row>
    <row r="63" spans="2:11" x14ac:dyDescent="0.2">
      <c r="H63" s="23"/>
      <c r="I63" s="23"/>
      <c r="J63" s="23"/>
      <c r="K63" s="23"/>
    </row>
    <row r="64" spans="2:11" x14ac:dyDescent="0.2">
      <c r="H64" s="23"/>
      <c r="I64" s="23"/>
      <c r="J64" s="23"/>
      <c r="K64" s="23"/>
    </row>
    <row r="65" spans="8:11" x14ac:dyDescent="0.2">
      <c r="H65" s="23"/>
      <c r="I65" s="23"/>
      <c r="J65" s="23"/>
      <c r="K65" s="23"/>
    </row>
    <row r="66" spans="8:11" x14ac:dyDescent="0.2">
      <c r="H66" s="23"/>
      <c r="I66" s="23"/>
      <c r="J66" s="23"/>
      <c r="K66" s="23"/>
    </row>
    <row r="67" spans="8:11" x14ac:dyDescent="0.2">
      <c r="H67" s="23"/>
      <c r="I67" s="23"/>
      <c r="J67" s="23"/>
      <c r="K67" s="23"/>
    </row>
    <row r="68" spans="8:11" x14ac:dyDescent="0.2">
      <c r="H68" s="23"/>
      <c r="I68" s="23"/>
      <c r="J68" s="23"/>
      <c r="K68" s="23"/>
    </row>
    <row r="69" spans="8:11" x14ac:dyDescent="0.2">
      <c r="H69" s="23"/>
      <c r="I69" s="23"/>
      <c r="J69" s="23"/>
      <c r="K69" s="23"/>
    </row>
    <row r="70" spans="8:11" x14ac:dyDescent="0.2">
      <c r="H70" s="23"/>
      <c r="I70" s="23"/>
      <c r="J70" s="23"/>
      <c r="K70" s="23"/>
    </row>
    <row r="71" spans="8:11" x14ac:dyDescent="0.2">
      <c r="H71" s="23"/>
      <c r="I71" s="23"/>
      <c r="J71" s="23"/>
      <c r="K71" s="23"/>
    </row>
    <row r="72" spans="8:11" x14ac:dyDescent="0.2">
      <c r="H72" s="23"/>
      <c r="I72" s="23"/>
      <c r="J72" s="23"/>
      <c r="K72" s="23"/>
    </row>
    <row r="73" spans="8:11" x14ac:dyDescent="0.2">
      <c r="H73" s="23"/>
      <c r="I73" s="23"/>
      <c r="J73" s="23"/>
      <c r="K73" s="23"/>
    </row>
    <row r="74" spans="8:11" x14ac:dyDescent="0.2">
      <c r="H74" s="23"/>
      <c r="I74" s="23"/>
      <c r="J74" s="23"/>
      <c r="K74" s="23"/>
    </row>
    <row r="75" spans="8:11" x14ac:dyDescent="0.2">
      <c r="H75" s="23"/>
      <c r="I75" s="23"/>
      <c r="J75" s="23"/>
      <c r="K75" s="23"/>
    </row>
    <row r="76" spans="8:11" x14ac:dyDescent="0.2">
      <c r="H76" s="23"/>
      <c r="I76" s="23"/>
      <c r="J76" s="23"/>
      <c r="K76" s="23"/>
    </row>
    <row r="77" spans="8:11" x14ac:dyDescent="0.2">
      <c r="H77" s="23"/>
      <c r="I77" s="23"/>
      <c r="J77" s="23"/>
      <c r="K77" s="23"/>
    </row>
    <row r="78" spans="8:11" x14ac:dyDescent="0.2">
      <c r="H78" s="23"/>
      <c r="I78" s="23"/>
      <c r="J78" s="23"/>
      <c r="K78" s="23"/>
    </row>
    <row r="79" spans="8:11" x14ac:dyDescent="0.2">
      <c r="H79" s="23"/>
      <c r="I79" s="23"/>
      <c r="J79" s="23"/>
      <c r="K79" s="23"/>
    </row>
    <row r="80" spans="8:11" x14ac:dyDescent="0.2">
      <c r="H80" s="23"/>
      <c r="I80" s="23"/>
      <c r="J80" s="23"/>
      <c r="K80" s="23"/>
    </row>
    <row r="81" spans="8:11" x14ac:dyDescent="0.2">
      <c r="H81" s="23"/>
      <c r="I81" s="23"/>
      <c r="J81" s="23"/>
      <c r="K81" s="23"/>
    </row>
    <row r="82" spans="8:11" x14ac:dyDescent="0.2">
      <c r="H82" s="23"/>
      <c r="I82" s="23"/>
      <c r="J82" s="23"/>
      <c r="K82" s="23"/>
    </row>
    <row r="83" spans="8:11" x14ac:dyDescent="0.2">
      <c r="H83" s="23"/>
      <c r="I83" s="23"/>
      <c r="J83" s="23"/>
      <c r="K83" s="23"/>
    </row>
    <row r="84" spans="8:11" x14ac:dyDescent="0.2">
      <c r="H84" s="23"/>
      <c r="I84" s="23"/>
      <c r="J84" s="23"/>
      <c r="K84" s="23"/>
    </row>
    <row r="85" spans="8:11" x14ac:dyDescent="0.2">
      <c r="H85" s="23"/>
      <c r="I85" s="23"/>
      <c r="J85" s="23"/>
      <c r="K85" s="23"/>
    </row>
    <row r="86" spans="8:11" x14ac:dyDescent="0.2">
      <c r="H86" s="23"/>
      <c r="I86" s="23"/>
      <c r="J86" s="23"/>
      <c r="K86" s="23"/>
    </row>
    <row r="87" spans="8:11" x14ac:dyDescent="0.2">
      <c r="H87" s="23"/>
      <c r="I87" s="23"/>
      <c r="J87" s="23"/>
      <c r="K87" s="23"/>
    </row>
    <row r="88" spans="8:11" x14ac:dyDescent="0.2">
      <c r="H88" s="23"/>
      <c r="I88" s="23"/>
      <c r="J88" s="23"/>
      <c r="K88" s="23"/>
    </row>
    <row r="89" spans="8:11" x14ac:dyDescent="0.2">
      <c r="H89" s="23"/>
      <c r="I89" s="23"/>
      <c r="J89" s="23"/>
      <c r="K89" s="23"/>
    </row>
    <row r="90" spans="8:11" x14ac:dyDescent="0.2">
      <c r="H90" s="23"/>
      <c r="I90" s="23"/>
      <c r="J90" s="23"/>
      <c r="K90" s="23"/>
    </row>
    <row r="91" spans="8:11" x14ac:dyDescent="0.2">
      <c r="H91" s="23"/>
      <c r="I91" s="23"/>
      <c r="J91" s="23"/>
      <c r="K91" s="23"/>
    </row>
    <row r="92" spans="8:11" x14ac:dyDescent="0.2">
      <c r="H92" s="23"/>
      <c r="I92" s="23"/>
      <c r="J92" s="23"/>
      <c r="K92" s="23"/>
    </row>
    <row r="93" spans="8:11" x14ac:dyDescent="0.2">
      <c r="H93" s="23"/>
      <c r="I93" s="23"/>
      <c r="J93" s="23"/>
      <c r="K93" s="23"/>
    </row>
    <row r="94" spans="8:11" x14ac:dyDescent="0.2">
      <c r="H94" s="23"/>
      <c r="I94" s="23"/>
      <c r="J94" s="23"/>
      <c r="K94" s="23"/>
    </row>
    <row r="95" spans="8:11" x14ac:dyDescent="0.2">
      <c r="H95" s="23"/>
      <c r="I95" s="23"/>
      <c r="J95" s="23"/>
      <c r="K95" s="23"/>
    </row>
    <row r="96" spans="8:11" x14ac:dyDescent="0.2">
      <c r="H96" s="23"/>
      <c r="I96" s="23"/>
      <c r="J96" s="23"/>
      <c r="K96" s="23"/>
    </row>
    <row r="97" spans="8:11" x14ac:dyDescent="0.2">
      <c r="H97" s="23"/>
      <c r="I97" s="23"/>
      <c r="J97" s="23"/>
      <c r="K97" s="23"/>
    </row>
    <row r="98" spans="8:11" x14ac:dyDescent="0.2">
      <c r="H98" s="23"/>
      <c r="I98" s="23"/>
      <c r="J98" s="23"/>
      <c r="K98" s="23"/>
    </row>
    <row r="99" spans="8:11" x14ac:dyDescent="0.2">
      <c r="H99" s="23"/>
      <c r="I99" s="23"/>
      <c r="J99" s="23"/>
      <c r="K99" s="23"/>
    </row>
    <row r="100" spans="8:11" x14ac:dyDescent="0.2">
      <c r="H100" s="23"/>
      <c r="I100" s="23"/>
      <c r="J100" s="23"/>
      <c r="K100" s="23"/>
    </row>
    <row r="101" spans="8:11" x14ac:dyDescent="0.2">
      <c r="H101" s="23"/>
      <c r="I101" s="23"/>
      <c r="J101" s="23"/>
      <c r="K101" s="23"/>
    </row>
    <row r="102" spans="8:11" x14ac:dyDescent="0.2">
      <c r="H102" s="23"/>
      <c r="I102" s="23"/>
      <c r="J102" s="23"/>
      <c r="K102" s="23"/>
    </row>
    <row r="103" spans="8:11" x14ac:dyDescent="0.2">
      <c r="H103" s="23"/>
      <c r="I103" s="23"/>
      <c r="J103" s="23"/>
      <c r="K103" s="23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17:11:21</KDate>
  <Classification>Public</Classification>
  <Subclassification/>
  <HostName>MUMCMP00935</HostName>
  <Domain_User>CANARAROBECOMF/628</Domain_User>
  <IPAdd>192.9.198.194</IPAdd>
  <FilePath>Book5</FilePath>
  <KID>C025A5607E97638452554815298138</KID>
  <UniqueName/>
  <Suggested/>
  <Justification/>
</Klassify>
</file>

<file path=customXml/itemProps1.xml><?xml version="1.0" encoding="utf-8"?>
<ds:datastoreItem xmlns:ds="http://schemas.openxmlformats.org/officeDocument/2006/customXml" ds:itemID="{A700F993-4F05-4CC0-9258-F4CECC9F55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2024-03-05T11:41:17Z</dcterms:created>
  <dcterms:modified xsi:type="dcterms:W3CDTF">2024-03-05T11:41:21Z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C025A5607E97638452554815298138</vt:lpwstr>
  </property>
</Properties>
</file>