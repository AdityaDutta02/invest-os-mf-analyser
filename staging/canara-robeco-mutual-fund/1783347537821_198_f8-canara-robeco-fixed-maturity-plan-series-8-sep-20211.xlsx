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Sept 21\"/>
    </mc:Choice>
  </mc:AlternateContent>
  <bookViews>
    <workbookView xWindow="0" yWindow="0" windowWidth="20490" windowHeight="7650"/>
  </bookViews>
  <sheets>
    <sheet name="F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19" i="1" s="1"/>
  <c r="F18" i="1"/>
  <c r="F19" i="1" s="1"/>
  <c r="G14" i="1"/>
  <c r="G15" i="1" s="1"/>
  <c r="F14" i="1"/>
  <c r="F15" i="1" s="1"/>
  <c r="G9" i="1"/>
  <c r="G10" i="1" s="1"/>
  <c r="G20" i="1" s="1"/>
  <c r="F9" i="1"/>
  <c r="F10" i="1" s="1"/>
  <c r="F20" i="1" s="1"/>
</calcChain>
</file>

<file path=xl/sharedStrings.xml><?xml version="1.0" encoding="utf-8"?>
<sst xmlns="http://schemas.openxmlformats.org/spreadsheetml/2006/main" count="37" uniqueCount="31">
  <si>
    <t>CANARA ROBECO FIXED MATURITY PLAN SERIES 8</t>
  </si>
  <si>
    <t>Monthly Portfolio Statement as on September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</si>
  <si>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</si>
  <si>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</si>
  <si>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</si>
  <si>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</si>
  <si>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</si>
  <si>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</si>
  <si>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</si>
  <si>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Revised Risk-o-meter Level- Aug'21</t>
  </si>
  <si>
    <t>Revised Risk-o-meter Level- Sep'21</t>
  </si>
  <si>
    <t>Benchmark Risk-o-meter Level- Sep'21</t>
  </si>
  <si>
    <t>Debt Instruments</t>
  </si>
  <si>
    <t>(a) Listed / awaiting listing on Stock Exchanges</t>
  </si>
  <si>
    <t>0.00% Aditya Birla Finance Ltd (12/10/2021) **</t>
  </si>
  <si>
    <t>INE860H07GD2</t>
  </si>
  <si>
    <t>ICRA AAA</t>
  </si>
  <si>
    <t>9.4041% L&amp;T Housing Finance Ltd (11/10/2021) **</t>
  </si>
  <si>
    <t>INE476M07BQ0</t>
  </si>
  <si>
    <t>Sub Total</t>
  </si>
  <si>
    <t>Total</t>
  </si>
  <si>
    <t>Money Market Instruments</t>
  </si>
  <si>
    <t>Treasury Bill</t>
  </si>
  <si>
    <t>182 DAYS INDIA TREASURY BILLS 14-OCT-21</t>
  </si>
  <si>
    <t>IN002021Y023</t>
  </si>
  <si>
    <t xml:space="preserve"> Sovereign</t>
  </si>
  <si>
    <t>Benchmark: CRISIL Short Term Bond Fund Index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</si>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</sst>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6" xfId="0" applyFont="1" applyFill="1" applyBorder="1"/>
    <xf numFmtId="0" fontId="2" fillId="3" borderId="6" xfId="0" applyNumberFormat="1" applyFont="1" applyFill="1" applyBorder="1"/>
    <xf numFmtId="4" fontId="2" fillId="3" borderId="6" xfId="0" applyNumberFormat="1" applyFont="1" applyFill="1" applyBorder="1"/>
    <xf numFmtId="0" fontId="2" fillId="3" borderId="7" xfId="0" applyFont="1" applyFill="1" applyBorder="1" applyAlignment="1">
      <alignment horizontal="center"/>
    </xf>
    <xf numFmtId="0" fontId="8" fillId="3" borderId="8" xfId="0" applyFont="1" applyFill="1" applyBorder="1"/>
    <xf numFmtId="0" fontId="2" fillId="3" borderId="8" xfId="0" applyFont="1" applyFill="1" applyBorder="1"/>
    <xf numFmtId="0" fontId="2" fillId="3" borderId="8" xfId="0" applyNumberFormat="1" applyFont="1" applyFill="1" applyBorder="1"/>
    <xf numFmtId="4" fontId="2" fillId="3" borderId="8" xfId="0" applyNumberFormat="1" applyFont="1" applyFill="1" applyBorder="1"/>
    <xf numFmtId="0" fontId="2" fillId="3" borderId="9" xfId="0" applyFont="1" applyFill="1" applyBorder="1" applyAlignment="1">
      <alignment horizontal="center"/>
    </xf>
    <xf numFmtId="3" fontId="2" fillId="3" borderId="8" xfId="0" applyNumberFormat="1" applyFont="1" applyFill="1" applyBorder="1"/>
    <xf numFmtId="0" fontId="8" fillId="3" borderId="10" xfId="0" applyFont="1" applyFill="1" applyBorder="1"/>
    <xf numFmtId="0" fontId="8" fillId="3" borderId="10" xfId="0" applyNumberFormat="1" applyFont="1" applyFill="1" applyBorder="1"/>
    <xf numFmtId="4" fontId="8" fillId="3" borderId="11" xfId="0" applyNumberFormat="1" applyFont="1" applyFill="1" applyBorder="1"/>
    <xf numFmtId="4" fontId="8" fillId="3" borderId="10" xfId="0" applyNumberFormat="1" applyFont="1" applyFill="1" applyBorder="1"/>
    <xf numFmtId="0" fontId="8" fillId="3" borderId="0" xfId="0" applyFont="1" applyFill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2" fillId="3" borderId="13" xfId="0" applyFont="1" applyFill="1" applyBorder="1" applyAlignment="1">
      <alignment horizontal="center"/>
    </xf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4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4</xdr:row>
      <xdr:rowOff>38100</xdr:rowOff>
    </xdr:from>
    <xdr:to>
      <xdr:col>9</xdr:col>
      <xdr:colOff>1714500</xdr:colOff>
      <xdr:row>11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220061-9DEA-422E-A4C0-42DF77E33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4225" y="1047750"/>
          <a:ext cx="1676400" cy="116205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</xdr:row>
      <xdr:rowOff>47625</xdr:rowOff>
    </xdr:from>
    <xdr:to>
      <xdr:col>10</xdr:col>
      <xdr:colOff>1571625</xdr:colOff>
      <xdr:row>11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A9149F-8953-45AC-AEB6-E2C8D1D0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6825" y="1057275"/>
          <a:ext cx="1533525" cy="116205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4</xdr:row>
      <xdr:rowOff>47625</xdr:rowOff>
    </xdr:from>
    <xdr:to>
      <xdr:col>11</xdr:col>
      <xdr:colOff>1676399</xdr:colOff>
      <xdr:row>11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804C89-4BDC-4F06-88CF-9643D139B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16075" y="1057275"/>
          <a:ext cx="1638299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tabSelected="1" topLeftCell="D1" workbookViewId="0">
      <selection activeCell="B1" sqref="B1:H1"/>
    </sheetView>
  </sheetViews>
  <sheetFormatPr defaultRowHeight="12"/>
  <cols>
    <col min="1" max="1" width="9.140625" style="3"/>
    <col min="2" max="2" width="61.5703125" style="3" bestFit="1" customWidth="1"/>
    <col min="3" max="3" width="13.85546875" style="3" bestFit="1" customWidth="1"/>
    <col min="4" max="4" width="18.28515625" style="3" bestFit="1" customWidth="1"/>
    <col min="5" max="5" width="22.28515625" style="4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26.28515625" style="3" customWidth="1"/>
    <col min="11" max="11" width="24.28515625" style="3" customWidth="1"/>
    <col min="12" max="12" width="25.8554687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  <c r="H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9"/>
      <c r="J5" s="20"/>
      <c r="K5" s="20"/>
      <c r="L5" s="20"/>
    </row>
    <row r="6" spans="2:12">
      <c r="B6" s="21" t="s">
        <v>13</v>
      </c>
      <c r="C6" s="22"/>
      <c r="D6" s="22"/>
      <c r="E6" s="23"/>
      <c r="F6" s="24"/>
      <c r="G6" s="24"/>
      <c r="H6" s="24"/>
      <c r="J6" s="25"/>
      <c r="K6" s="25"/>
      <c r="L6" s="25"/>
    </row>
    <row r="7" spans="2:12">
      <c r="B7" s="22" t="s">
        <v>14</v>
      </c>
      <c r="C7" s="22" t="s">
        <v>15</v>
      </c>
      <c r="D7" s="22" t="s">
        <v>16</v>
      </c>
      <c r="E7" s="26">
        <v>30</v>
      </c>
      <c r="F7" s="24">
        <v>392.16</v>
      </c>
      <c r="G7" s="24">
        <v>10.31</v>
      </c>
      <c r="H7" s="24">
        <v>3.52</v>
      </c>
      <c r="J7" s="25"/>
      <c r="K7" s="25"/>
      <c r="L7" s="25"/>
    </row>
    <row r="8" spans="2:12">
      <c r="B8" s="22" t="s">
        <v>17</v>
      </c>
      <c r="C8" s="22" t="s">
        <v>18</v>
      </c>
      <c r="D8" s="22" t="s">
        <v>16</v>
      </c>
      <c r="E8" s="26">
        <v>30</v>
      </c>
      <c r="F8" s="24">
        <v>300.52</v>
      </c>
      <c r="G8" s="24">
        <v>7.9</v>
      </c>
      <c r="H8" s="24">
        <v>2.88</v>
      </c>
      <c r="J8" s="25"/>
      <c r="K8" s="25"/>
      <c r="L8" s="25"/>
    </row>
    <row r="9" spans="2:12">
      <c r="B9" s="27" t="s">
        <v>19</v>
      </c>
      <c r="C9" s="27"/>
      <c r="D9" s="27"/>
      <c r="E9" s="28"/>
      <c r="F9" s="29">
        <f>SUM(F6:F8)</f>
        <v>692.68000000000006</v>
      </c>
      <c r="G9" s="29">
        <f>SUM(G6:G8)</f>
        <v>18.21</v>
      </c>
      <c r="H9" s="30"/>
      <c r="I9" s="31"/>
      <c r="J9" s="25"/>
      <c r="K9" s="25"/>
      <c r="L9" s="25"/>
    </row>
    <row r="10" spans="2:12">
      <c r="B10" s="32" t="s">
        <v>20</v>
      </c>
      <c r="C10" s="32"/>
      <c r="D10" s="32"/>
      <c r="E10" s="33"/>
      <c r="F10" s="34">
        <f>F9</f>
        <v>692.68000000000006</v>
      </c>
      <c r="G10" s="34">
        <f>G9</f>
        <v>18.21</v>
      </c>
      <c r="H10" s="34"/>
      <c r="I10" s="31"/>
      <c r="J10" s="25"/>
      <c r="K10" s="25"/>
      <c r="L10" s="25"/>
    </row>
    <row r="11" spans="2:12">
      <c r="B11" s="21" t="s">
        <v>21</v>
      </c>
      <c r="C11" s="22"/>
      <c r="D11" s="22"/>
      <c r="E11" s="23"/>
      <c r="F11" s="24"/>
      <c r="G11" s="24"/>
      <c r="H11" s="24"/>
      <c r="J11" s="25"/>
      <c r="K11" s="25"/>
      <c r="L11" s="25"/>
    </row>
    <row r="12" spans="2:12">
      <c r="B12" s="21" t="s">
        <v>22</v>
      </c>
      <c r="C12" s="22"/>
      <c r="D12" s="22"/>
      <c r="E12" s="23"/>
      <c r="F12" s="24"/>
      <c r="G12" s="24"/>
      <c r="H12" s="24"/>
      <c r="J12" s="35"/>
      <c r="K12" s="35"/>
      <c r="L12" s="35"/>
    </row>
    <row r="13" spans="2:12">
      <c r="B13" s="22" t="s">
        <v>23</v>
      </c>
      <c r="C13" s="22" t="s">
        <v>24</v>
      </c>
      <c r="D13" s="22" t="s">
        <v>25</v>
      </c>
      <c r="E13" s="26">
        <v>700000</v>
      </c>
      <c r="F13" s="24">
        <v>699.19</v>
      </c>
      <c r="G13" s="24">
        <v>18.37</v>
      </c>
      <c r="H13" s="24">
        <v>3.24</v>
      </c>
      <c r="L13" s="3" t="s">
        <v>26</v>
      </c>
    </row>
    <row r="14" spans="2:12">
      <c r="B14" s="27" t="s">
        <v>19</v>
      </c>
      <c r="C14" s="27"/>
      <c r="D14" s="27"/>
      <c r="E14" s="28"/>
      <c r="F14" s="29">
        <f>SUM(F12:F13)</f>
        <v>699.19</v>
      </c>
      <c r="G14" s="29">
        <f>SUM(G12:G13)</f>
        <v>18.37</v>
      </c>
      <c r="H14" s="30"/>
      <c r="I14" s="31"/>
      <c r="J14" s="31"/>
    </row>
    <row r="15" spans="2:12">
      <c r="B15" s="32" t="s">
        <v>20</v>
      </c>
      <c r="C15" s="32"/>
      <c r="D15" s="32"/>
      <c r="E15" s="33"/>
      <c r="F15" s="34">
        <f>+F14</f>
        <v>699.19</v>
      </c>
      <c r="G15" s="34">
        <f>+G14</f>
        <v>18.37</v>
      </c>
      <c r="H15" s="34"/>
      <c r="I15" s="31"/>
      <c r="J15" s="31"/>
    </row>
    <row r="16" spans="2:12">
      <c r="B16" s="21" t="s">
        <v>27</v>
      </c>
      <c r="C16" s="22"/>
      <c r="D16" s="22"/>
      <c r="E16" s="23"/>
      <c r="F16" s="24"/>
      <c r="G16" s="24"/>
      <c r="H16" s="24"/>
    </row>
    <row r="17" spans="2:10">
      <c r="B17" s="22" t="s">
        <v>27</v>
      </c>
      <c r="C17" s="22"/>
      <c r="D17" s="22"/>
      <c r="E17" s="23"/>
      <c r="F17" s="24">
        <v>2313.8000000000002</v>
      </c>
      <c r="G17" s="24">
        <v>60.8</v>
      </c>
      <c r="H17" s="24"/>
    </row>
    <row r="18" spans="2:10">
      <c r="B18" s="27" t="s">
        <v>19</v>
      </c>
      <c r="C18" s="27"/>
      <c r="D18" s="27"/>
      <c r="E18" s="28"/>
      <c r="F18" s="29">
        <f>SUM(F16:F17)</f>
        <v>2313.8000000000002</v>
      </c>
      <c r="G18" s="29">
        <f>SUM(G16:G17)</f>
        <v>60.8</v>
      </c>
      <c r="H18" s="30"/>
      <c r="I18" s="31"/>
      <c r="J18" s="31"/>
    </row>
    <row r="19" spans="2:10">
      <c r="B19" s="36" t="s">
        <v>20</v>
      </c>
      <c r="C19" s="36"/>
      <c r="D19" s="36"/>
      <c r="E19" s="37"/>
      <c r="F19" s="38">
        <f>F18</f>
        <v>2313.8000000000002</v>
      </c>
      <c r="G19" s="38">
        <f>G18</f>
        <v>60.8</v>
      </c>
      <c r="H19" s="38"/>
      <c r="I19" s="31"/>
      <c r="J19" s="31"/>
    </row>
    <row r="20" spans="2:10">
      <c r="B20" s="39" t="s">
        <v>28</v>
      </c>
      <c r="C20" s="39"/>
      <c r="D20" s="39"/>
      <c r="E20" s="40"/>
      <c r="F20" s="41">
        <f>F21-(+F10+F15+F19)</f>
        <v>99.769999999999982</v>
      </c>
      <c r="G20" s="41">
        <f>G21-(+G10+G15+G19)</f>
        <v>2.6200000000000045</v>
      </c>
      <c r="H20" s="41"/>
      <c r="I20" s="31"/>
      <c r="J20" s="31"/>
    </row>
    <row r="21" spans="2:10">
      <c r="B21" s="39" t="s">
        <v>29</v>
      </c>
      <c r="C21" s="39"/>
      <c r="D21" s="39"/>
      <c r="E21" s="40"/>
      <c r="F21" s="41">
        <v>3805.44</v>
      </c>
      <c r="G21" s="41">
        <v>100</v>
      </c>
      <c r="H21" s="41"/>
      <c r="I21" s="31"/>
      <c r="J21" s="31"/>
    </row>
    <row r="23" spans="2:10">
      <c r="B23" s="31" t="s">
        <v>30</v>
      </c>
    </row>
    <row r="24" spans="2:10">
      <c r="B24" s="31"/>
    </row>
  </sheetData>
  <mergeCells count="4">
    <mergeCell ref="B1:H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2021-10-08T11:19:31Z</dcterms:created>
  <dcterms:modified xsi:type="dcterms:W3CDTF">2021-10-08T11:19:33Z</dcterms:modified>
</cp:coreProperties>
</file>