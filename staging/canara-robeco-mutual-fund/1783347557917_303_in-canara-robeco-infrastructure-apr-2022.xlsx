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A73AEA0A-B22E-4C15-83D0-2D969A49E82F}" xr6:coauthVersionLast="47" xr6:coauthVersionMax="47" xr10:uidLastSave="{00000000-0000-0000-0000-000000000000}"/>
  <bookViews>
    <workbookView xWindow="-120" yWindow="-120" windowWidth="20730" windowHeight="11160" xr2:uid="{0263FE91-6EFB-4ED5-8C27-B00F75D62A5C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G43" i="1"/>
  <c r="F43" i="1"/>
  <c r="G40" i="1"/>
  <c r="G45" i="1" s="1"/>
  <c r="F40" i="1"/>
  <c r="F45" i="1" s="1"/>
  <c r="G39" i="1"/>
  <c r="F39" i="1"/>
</calcChain>
</file>

<file path=xl/sharedStrings.xml><?xml version="1.0" encoding="utf-8"?>
<sst xmlns="http://schemas.openxmlformats.org/spreadsheetml/2006/main" count="118" uniqueCount="98">
  <si>
    <t>CANARA ROBECO INFRASTRUCTURE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</si>
  <si>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</si>
  <si>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</si>
  <si>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</si>
  <si>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</si>
  <si>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</si>
  <si>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</si>
  <si>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</si>
  <si>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Apr'22</t>
  </si>
  <si>
    <t>Benchmark Risk-o-meter Level- Apr'22</t>
  </si>
  <si>
    <t>Previous Scheme Risk-o-meter Level- Mar'22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</si>
  <si>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</si>
  <si>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</si>
  <si>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</si>
  <si>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</si>
  <si>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</si>
  <si>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Bharat Electronics Ltd</t>
  </si>
  <si>
    <t>INE263A01024</t>
  </si>
  <si>
    <t>Aerospace &amp; Defense</t>
  </si>
  <si>
    <t>ICICI Bank Ltd</t>
  </si>
  <si>
    <t>INE090A01021</t>
  </si>
  <si>
    <t>Banks</t>
  </si>
  <si>
    <t>Schaeffler India Ltd</t>
  </si>
  <si>
    <t>INE513A01022</t>
  </si>
  <si>
    <t>Auto Components</t>
  </si>
  <si>
    <t>KNR Constructions Ltd</t>
  </si>
  <si>
    <t>INE634I01029</t>
  </si>
  <si>
    <t>State Bank of India</t>
  </si>
  <si>
    <t>INE062A01020</t>
  </si>
  <si>
    <t>Siemens Ltd</t>
  </si>
  <si>
    <t>INE003A01024</t>
  </si>
  <si>
    <t>Electrical Equipment</t>
  </si>
  <si>
    <t>Benchmark: S&amp;P BSE India Infrastructure TRI</t>
  </si>
  <si>
    <t>Thermax Ltd</t>
  </si>
  <si>
    <t>INE152A01029</t>
  </si>
  <si>
    <t>ABB India Ltd</t>
  </si>
  <si>
    <t>INE117A01022</t>
  </si>
  <si>
    <t>NTPC Ltd</t>
  </si>
  <si>
    <t>INE733E01010</t>
  </si>
  <si>
    <t>Power</t>
  </si>
  <si>
    <t>Timken India Ltd</t>
  </si>
  <si>
    <t>INE325A01013</t>
  </si>
  <si>
    <t>Industrial Products</t>
  </si>
  <si>
    <t>Ahluwalia Contracts (India) Ltd</t>
  </si>
  <si>
    <t>INE758C01029</t>
  </si>
  <si>
    <t>Grindwell Norton Ltd</t>
  </si>
  <si>
    <t>INE536A01023</t>
  </si>
  <si>
    <t>Power Grid Corporation of India Ltd</t>
  </si>
  <si>
    <t>INE752E01010</t>
  </si>
  <si>
    <t>PNC Infratech Ltd</t>
  </si>
  <si>
    <t>INE195J01029</t>
  </si>
  <si>
    <t>Honeywell Automation India Ltd</t>
  </si>
  <si>
    <t>INE671A01010</t>
  </si>
  <si>
    <t>Industrial Manufacturing</t>
  </si>
  <si>
    <t>TCI Express Ltd</t>
  </si>
  <si>
    <t>INE586V01016</t>
  </si>
  <si>
    <t>Transport Services</t>
  </si>
  <si>
    <t>Brigade Enterprises Ltd</t>
  </si>
  <si>
    <t>INE791I01019</t>
  </si>
  <si>
    <t>Realty</t>
  </si>
  <si>
    <t>Ultratech Cement Ltd</t>
  </si>
  <si>
    <t>INE481G01011</t>
  </si>
  <si>
    <t>Cement &amp; Cement Products</t>
  </si>
  <si>
    <t>Reliance Industries Ltd</t>
  </si>
  <si>
    <t>INE002A01018</t>
  </si>
  <si>
    <t>Petroleum Products</t>
  </si>
  <si>
    <t>Hindalco Industries Ltd</t>
  </si>
  <si>
    <t>INE038A01020</t>
  </si>
  <si>
    <t>Non - Ferrous Metals</t>
  </si>
  <si>
    <t>GAIL (India) Ltd</t>
  </si>
  <si>
    <t>INE129A01019</t>
  </si>
  <si>
    <t>Gas</t>
  </si>
  <si>
    <t>Sobha Ltd</t>
  </si>
  <si>
    <t>INE671H01015</t>
  </si>
  <si>
    <t>Ambuja Cements Ltd</t>
  </si>
  <si>
    <t>INE079A01024</t>
  </si>
  <si>
    <t>Bosch Ltd</t>
  </si>
  <si>
    <t>INE323A01026</t>
  </si>
  <si>
    <t>Indian Oil Corporation Ltd</t>
  </si>
  <si>
    <t>INE242A01010</t>
  </si>
  <si>
    <t>Gujarat Gas Ltd</t>
  </si>
  <si>
    <t>INE844O01030</t>
  </si>
  <si>
    <t>Grasim Industries Ltd</t>
  </si>
  <si>
    <t>INE047A01021</t>
  </si>
  <si>
    <t>Tata Steel Ltd</t>
  </si>
  <si>
    <t>INE081A01012</t>
  </si>
  <si>
    <t>Ferrous Metals</t>
  </si>
  <si>
    <t>J.K. Cement Ltd</t>
  </si>
  <si>
    <t>INE823G01014</t>
  </si>
  <si>
    <t>Container Corporation Of India Ltd</t>
  </si>
  <si>
    <t>INE111A01025</t>
  </si>
  <si>
    <t>Dalmia Bharat Ltd</t>
  </si>
  <si>
    <t>INE00R701025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</si>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</sst>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0" fontId="3" fillId="3" borderId="0" xfId="0" applyFont="1" applyFill="1" applyAlignment="1">
      <alignment horizontal="left"/>
    </xf>
    <xf numFmtId="0" fontId="9" fillId="3" borderId="10" xfId="0" applyFont="1" applyFill="1" applyBorder="1"/>
    <xf numFmtId="0" fontId="9" fillId="3" borderId="11" xfId="0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51196</xdr:colOff>
      <xdr:row>4</xdr:row>
      <xdr:rowOff>66675</xdr:rowOff>
    </xdr:from>
    <xdr:to>
      <xdr:col>9</xdr:col>
      <xdr:colOff>1666875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93220D-3671-4DDB-8876-6EFF16407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5446" y="1076325"/>
          <a:ext cx="1615679" cy="1104900"/>
        </a:xfrm>
        <a:prstGeom prst="rect">
          <a:avLst/>
        </a:prstGeom>
      </xdr:spPr>
    </xdr:pic>
    <xdr:clientData/>
  </xdr:twoCellAnchor>
  <xdr:twoCellAnchor editAs="oneCell">
    <xdr:from>
      <xdr:col>8</xdr:col>
      <xdr:colOff>49203</xdr:colOff>
      <xdr:row>4</xdr:row>
      <xdr:rowOff>104776</xdr:rowOff>
    </xdr:from>
    <xdr:to>
      <xdr:col>8</xdr:col>
      <xdr:colOff>1724025</xdr:colOff>
      <xdr:row>11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98BBC8-F3AA-4C4D-933E-F4366261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31328" y="1114426"/>
          <a:ext cx="1674822" cy="1057274"/>
        </a:xfrm>
        <a:prstGeom prst="rect">
          <a:avLst/>
        </a:prstGeom>
      </xdr:spPr>
    </xdr:pic>
    <xdr:clientData/>
  </xdr:twoCellAnchor>
  <xdr:oneCellAnchor>
    <xdr:from>
      <xdr:col>10</xdr:col>
      <xdr:colOff>39831</xdr:colOff>
      <xdr:row>4</xdr:row>
      <xdr:rowOff>57150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906ACCEB-FB86-464D-9DA9-0178672CD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46206" y="1066800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DE8E-5CF5-4C74-83F9-54D7348C60D8}">
  <dimension ref="B1:K48"/>
  <sheetViews>
    <sheetView tabSelected="1" workbookViewId="0">
      <selection activeCell="B1" sqref="B1:G1"/>
    </sheetView>
  </sheetViews>
  <sheetFormatPr defaultRowHeight="12"/>
  <cols>
    <col min="1" max="1" width="9.140625" style="3"/>
    <col min="2" max="2" width="54.42578125" style="3" bestFit="1" customWidth="1"/>
    <col min="3" max="3" width="13.28515625" style="3" bestFit="1" customWidth="1"/>
    <col min="4" max="4" width="23.42578125" style="3" bestFit="1" customWidth="1"/>
    <col min="5" max="5" width="7.7109375" style="3" bestFit="1" customWidth="1"/>
    <col min="6" max="6" width="15.28515625" style="37" bestFit="1" customWidth="1"/>
    <col min="7" max="7" width="7.42578125" style="37" bestFit="1" customWidth="1"/>
    <col min="8" max="8" width="10" style="3" bestFit="1" customWidth="1"/>
    <col min="9" max="10" width="26.42578125" style="3" customWidth="1"/>
    <col min="11" max="11" width="26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6"/>
      <c r="F3" s="7"/>
      <c r="G3" s="7"/>
    </row>
    <row r="4" spans="2:11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I4" s="12" t="s">
        <v>8</v>
      </c>
      <c r="J4" s="12" t="s">
        <v>9</v>
      </c>
      <c r="K4" s="12" t="s">
        <v>10</v>
      </c>
    </row>
    <row r="5" spans="2:11">
      <c r="B5" s="13" t="s">
        <v>11</v>
      </c>
      <c r="C5" s="14"/>
      <c r="D5" s="14"/>
      <c r="E5" s="14"/>
      <c r="F5" s="15"/>
      <c r="G5" s="15"/>
      <c r="I5" s="16"/>
      <c r="J5" s="16"/>
      <c r="K5" s="16"/>
    </row>
    <row r="6" spans="2:11">
      <c r="B6" s="17" t="s">
        <v>12</v>
      </c>
      <c r="C6" s="18"/>
      <c r="D6" s="18"/>
      <c r="E6" s="18"/>
      <c r="F6" s="19"/>
      <c r="G6" s="19"/>
      <c r="I6" s="16"/>
      <c r="J6" s="16"/>
      <c r="K6" s="16"/>
    </row>
    <row r="7" spans="2:11">
      <c r="B7" s="20" t="s">
        <v>13</v>
      </c>
      <c r="C7" s="18" t="s">
        <v>14</v>
      </c>
      <c r="D7" s="18" t="s">
        <v>15</v>
      </c>
      <c r="E7" s="21">
        <v>79300</v>
      </c>
      <c r="F7" s="19">
        <v>1343.62</v>
      </c>
      <c r="G7" s="19">
        <v>6.54</v>
      </c>
      <c r="H7" s="22"/>
      <c r="I7" s="16"/>
      <c r="J7" s="16"/>
      <c r="K7" s="16"/>
    </row>
    <row r="8" spans="2:11">
      <c r="B8" s="20" t="s">
        <v>16</v>
      </c>
      <c r="C8" s="18" t="s">
        <v>17</v>
      </c>
      <c r="D8" s="18" t="s">
        <v>18</v>
      </c>
      <c r="E8" s="21">
        <v>528000</v>
      </c>
      <c r="F8" s="19">
        <v>1259.54</v>
      </c>
      <c r="G8" s="19">
        <v>6.13</v>
      </c>
      <c r="H8" s="22"/>
      <c r="I8" s="16"/>
      <c r="J8" s="16"/>
      <c r="K8" s="16"/>
    </row>
    <row r="9" spans="2:11">
      <c r="B9" s="20" t="s">
        <v>19</v>
      </c>
      <c r="C9" s="18" t="s">
        <v>20</v>
      </c>
      <c r="D9" s="18" t="s">
        <v>21</v>
      </c>
      <c r="E9" s="21">
        <v>163500</v>
      </c>
      <c r="F9" s="19">
        <v>1215.3</v>
      </c>
      <c r="G9" s="19">
        <v>5.91</v>
      </c>
      <c r="H9" s="22"/>
      <c r="I9" s="16"/>
      <c r="J9" s="16"/>
      <c r="K9" s="16"/>
    </row>
    <row r="10" spans="2:11">
      <c r="B10" s="20" t="s">
        <v>22</v>
      </c>
      <c r="C10" s="18" t="s">
        <v>23</v>
      </c>
      <c r="D10" s="18" t="s">
        <v>24</v>
      </c>
      <c r="E10" s="21">
        <v>51950</v>
      </c>
      <c r="F10" s="19">
        <v>1198.8</v>
      </c>
      <c r="G10" s="19">
        <v>5.83</v>
      </c>
      <c r="H10" s="22"/>
      <c r="I10" s="16"/>
      <c r="J10" s="16"/>
      <c r="K10" s="16"/>
    </row>
    <row r="11" spans="2:11">
      <c r="B11" s="20" t="s">
        <v>25</v>
      </c>
      <c r="C11" s="18" t="s">
        <v>26</v>
      </c>
      <c r="D11" s="18" t="s">
        <v>15</v>
      </c>
      <c r="E11" s="21">
        <v>382874</v>
      </c>
      <c r="F11" s="19">
        <v>1035.0999999999999</v>
      </c>
      <c r="G11" s="19">
        <v>5.04</v>
      </c>
      <c r="H11" s="22"/>
      <c r="I11" s="16"/>
      <c r="J11" s="16"/>
      <c r="K11" s="16"/>
    </row>
    <row r="12" spans="2:11">
      <c r="B12" s="20" t="s">
        <v>27</v>
      </c>
      <c r="C12" s="18" t="s">
        <v>28</v>
      </c>
      <c r="D12" s="18" t="s">
        <v>21</v>
      </c>
      <c r="E12" s="21">
        <v>189500</v>
      </c>
      <c r="F12" s="19">
        <v>940.49</v>
      </c>
      <c r="G12" s="19">
        <v>4.58</v>
      </c>
      <c r="H12" s="22"/>
      <c r="I12" s="16"/>
      <c r="J12" s="16"/>
      <c r="K12" s="16"/>
    </row>
    <row r="13" spans="2:11">
      <c r="B13" s="20" t="s">
        <v>29</v>
      </c>
      <c r="C13" s="18" t="s">
        <v>30</v>
      </c>
      <c r="D13" s="18" t="s">
        <v>31</v>
      </c>
      <c r="E13" s="21">
        <v>40550</v>
      </c>
      <c r="F13" s="19">
        <v>921.03</v>
      </c>
      <c r="G13" s="19">
        <v>4.4800000000000004</v>
      </c>
      <c r="H13" s="22"/>
      <c r="I13" s="22"/>
      <c r="J13" s="23" t="s">
        <v>32</v>
      </c>
    </row>
    <row r="14" spans="2:11">
      <c r="B14" s="20" t="s">
        <v>33</v>
      </c>
      <c r="C14" s="18" t="s">
        <v>34</v>
      </c>
      <c r="D14" s="18" t="s">
        <v>31</v>
      </c>
      <c r="E14" s="21">
        <v>43044</v>
      </c>
      <c r="F14" s="19">
        <v>912.53</v>
      </c>
      <c r="G14" s="19">
        <v>4.4400000000000004</v>
      </c>
      <c r="H14" s="22"/>
      <c r="I14" s="22"/>
      <c r="J14" s="22"/>
      <c r="K14" s="22"/>
    </row>
    <row r="15" spans="2:11">
      <c r="B15" s="20" t="s">
        <v>35</v>
      </c>
      <c r="C15" s="18" t="s">
        <v>36</v>
      </c>
      <c r="D15" s="18" t="s">
        <v>31</v>
      </c>
      <c r="E15" s="21">
        <v>37750</v>
      </c>
      <c r="F15" s="19">
        <v>791.45</v>
      </c>
      <c r="G15" s="19">
        <v>3.85</v>
      </c>
      <c r="H15" s="22"/>
      <c r="I15" s="22"/>
      <c r="J15" s="22"/>
      <c r="K15" s="22"/>
    </row>
    <row r="16" spans="2:11">
      <c r="B16" s="20" t="s">
        <v>37</v>
      </c>
      <c r="C16" s="18" t="s">
        <v>38</v>
      </c>
      <c r="D16" s="18" t="s">
        <v>39</v>
      </c>
      <c r="E16" s="21">
        <v>472600</v>
      </c>
      <c r="F16" s="19">
        <v>738.2</v>
      </c>
      <c r="G16" s="19">
        <v>3.59</v>
      </c>
      <c r="H16" s="22"/>
      <c r="I16" s="22"/>
      <c r="J16" s="22"/>
      <c r="K16" s="22"/>
    </row>
    <row r="17" spans="2:11">
      <c r="B17" s="20" t="s">
        <v>40</v>
      </c>
      <c r="C17" s="18" t="s">
        <v>41</v>
      </c>
      <c r="D17" s="18" t="s">
        <v>42</v>
      </c>
      <c r="E17" s="21">
        <v>36750</v>
      </c>
      <c r="F17" s="19">
        <v>729.18</v>
      </c>
      <c r="G17" s="19">
        <v>3.55</v>
      </c>
      <c r="H17" s="22"/>
      <c r="I17" s="22"/>
      <c r="J17" s="22"/>
      <c r="K17" s="22"/>
    </row>
    <row r="18" spans="2:11">
      <c r="B18" s="20" t="s">
        <v>43</v>
      </c>
      <c r="C18" s="18" t="s">
        <v>44</v>
      </c>
      <c r="D18" s="18" t="s">
        <v>15</v>
      </c>
      <c r="E18" s="21">
        <v>131772</v>
      </c>
      <c r="F18" s="19">
        <v>684.23</v>
      </c>
      <c r="G18" s="19">
        <v>3.33</v>
      </c>
      <c r="H18" s="22"/>
      <c r="I18" s="22"/>
      <c r="J18" s="22"/>
      <c r="K18" s="22"/>
    </row>
    <row r="19" spans="2:11">
      <c r="B19" s="20" t="s">
        <v>45</v>
      </c>
      <c r="C19" s="18" t="s">
        <v>46</v>
      </c>
      <c r="D19" s="18" t="s">
        <v>42</v>
      </c>
      <c r="E19" s="21">
        <v>38500</v>
      </c>
      <c r="F19" s="19">
        <v>659.49</v>
      </c>
      <c r="G19" s="19">
        <v>3.21</v>
      </c>
      <c r="H19" s="22"/>
      <c r="I19" s="22"/>
      <c r="J19" s="22"/>
      <c r="K19" s="22"/>
    </row>
    <row r="20" spans="2:11">
      <c r="B20" s="20" t="s">
        <v>47</v>
      </c>
      <c r="C20" s="18" t="s">
        <v>48</v>
      </c>
      <c r="D20" s="18" t="s">
        <v>39</v>
      </c>
      <c r="E20" s="21">
        <v>289410</v>
      </c>
      <c r="F20" s="19">
        <v>659.13</v>
      </c>
      <c r="G20" s="19">
        <v>3.21</v>
      </c>
      <c r="H20" s="22"/>
      <c r="I20" s="22"/>
      <c r="J20" s="22"/>
      <c r="K20" s="22"/>
    </row>
    <row r="21" spans="2:11">
      <c r="B21" s="20" t="s">
        <v>49</v>
      </c>
      <c r="C21" s="18" t="s">
        <v>50</v>
      </c>
      <c r="D21" s="18" t="s">
        <v>15</v>
      </c>
      <c r="E21" s="21">
        <v>236000</v>
      </c>
      <c r="F21" s="19">
        <v>605.1</v>
      </c>
      <c r="G21" s="19">
        <v>2.94</v>
      </c>
      <c r="H21" s="22"/>
      <c r="I21" s="22"/>
      <c r="J21" s="22"/>
      <c r="K21" s="22"/>
    </row>
    <row r="22" spans="2:11">
      <c r="B22" s="20" t="s">
        <v>51</v>
      </c>
      <c r="C22" s="18" t="s">
        <v>52</v>
      </c>
      <c r="D22" s="18" t="s">
        <v>53</v>
      </c>
      <c r="E22" s="21">
        <v>1465</v>
      </c>
      <c r="F22" s="19">
        <v>587.72</v>
      </c>
      <c r="G22" s="19">
        <v>2.86</v>
      </c>
      <c r="H22" s="22"/>
      <c r="I22" s="22"/>
      <c r="J22" s="22"/>
      <c r="K22" s="22"/>
    </row>
    <row r="23" spans="2:11">
      <c r="B23" s="20" t="s">
        <v>54</v>
      </c>
      <c r="C23" s="18" t="s">
        <v>55</v>
      </c>
      <c r="D23" s="18" t="s">
        <v>56</v>
      </c>
      <c r="E23" s="21">
        <v>28243</v>
      </c>
      <c r="F23" s="19">
        <v>527.49</v>
      </c>
      <c r="G23" s="19">
        <v>2.57</v>
      </c>
      <c r="H23" s="22"/>
      <c r="I23" s="22"/>
      <c r="J23" s="22"/>
      <c r="K23" s="22"/>
    </row>
    <row r="24" spans="2:11">
      <c r="B24" s="20" t="s">
        <v>57</v>
      </c>
      <c r="C24" s="18" t="s">
        <v>58</v>
      </c>
      <c r="D24" s="18" t="s">
        <v>59</v>
      </c>
      <c r="E24" s="21">
        <v>114000</v>
      </c>
      <c r="F24" s="19">
        <v>519.61</v>
      </c>
      <c r="G24" s="19">
        <v>2.5299999999999998</v>
      </c>
      <c r="H24" s="22"/>
      <c r="I24" s="22"/>
      <c r="J24" s="22"/>
      <c r="K24" s="22"/>
    </row>
    <row r="25" spans="2:11">
      <c r="B25" s="20" t="s">
        <v>60</v>
      </c>
      <c r="C25" s="18" t="s">
        <v>61</v>
      </c>
      <c r="D25" s="18" t="s">
        <v>62</v>
      </c>
      <c r="E25" s="21">
        <v>7750</v>
      </c>
      <c r="F25" s="19">
        <v>513.84</v>
      </c>
      <c r="G25" s="19">
        <v>2.5</v>
      </c>
      <c r="H25" s="22"/>
      <c r="I25" s="22"/>
      <c r="J25" s="22"/>
      <c r="K25" s="22"/>
    </row>
    <row r="26" spans="2:11">
      <c r="B26" s="20" t="s">
        <v>63</v>
      </c>
      <c r="C26" s="18" t="s">
        <v>64</v>
      </c>
      <c r="D26" s="18" t="s">
        <v>65</v>
      </c>
      <c r="E26" s="21">
        <v>15000</v>
      </c>
      <c r="F26" s="19">
        <v>418.54</v>
      </c>
      <c r="G26" s="19">
        <v>2.04</v>
      </c>
      <c r="H26" s="22"/>
      <c r="I26" s="22"/>
      <c r="J26" s="22"/>
      <c r="K26" s="22"/>
    </row>
    <row r="27" spans="2:11">
      <c r="B27" s="20" t="s">
        <v>66</v>
      </c>
      <c r="C27" s="18" t="s">
        <v>67</v>
      </c>
      <c r="D27" s="18" t="s">
        <v>68</v>
      </c>
      <c r="E27" s="21">
        <v>84800</v>
      </c>
      <c r="F27" s="19">
        <v>409.29</v>
      </c>
      <c r="G27" s="19">
        <v>1.99</v>
      </c>
      <c r="H27" s="22"/>
      <c r="I27" s="22"/>
      <c r="J27" s="22"/>
      <c r="K27" s="22"/>
    </row>
    <row r="28" spans="2:11">
      <c r="B28" s="20" t="s">
        <v>69</v>
      </c>
      <c r="C28" s="18" t="s">
        <v>70</v>
      </c>
      <c r="D28" s="18" t="s">
        <v>71</v>
      </c>
      <c r="E28" s="21">
        <v>250000</v>
      </c>
      <c r="F28" s="19">
        <v>397.88</v>
      </c>
      <c r="G28" s="19">
        <v>1.94</v>
      </c>
      <c r="H28" s="22"/>
      <c r="I28" s="22"/>
      <c r="J28" s="22"/>
      <c r="K28" s="22"/>
    </row>
    <row r="29" spans="2:11">
      <c r="B29" s="20" t="s">
        <v>72</v>
      </c>
      <c r="C29" s="18" t="s">
        <v>73</v>
      </c>
      <c r="D29" s="18" t="s">
        <v>59</v>
      </c>
      <c r="E29" s="21">
        <v>61000</v>
      </c>
      <c r="F29" s="19">
        <v>395.59</v>
      </c>
      <c r="G29" s="19">
        <v>1.92</v>
      </c>
      <c r="H29" s="22"/>
      <c r="I29" s="22"/>
      <c r="J29" s="22"/>
      <c r="K29" s="22"/>
    </row>
    <row r="30" spans="2:11">
      <c r="B30" s="20" t="s">
        <v>74</v>
      </c>
      <c r="C30" s="18" t="s">
        <v>75</v>
      </c>
      <c r="D30" s="18" t="s">
        <v>62</v>
      </c>
      <c r="E30" s="21">
        <v>103500</v>
      </c>
      <c r="F30" s="19">
        <v>385.23</v>
      </c>
      <c r="G30" s="19">
        <v>1.87</v>
      </c>
      <c r="H30" s="22"/>
      <c r="I30" s="22"/>
      <c r="J30" s="22"/>
      <c r="K30" s="22"/>
    </row>
    <row r="31" spans="2:11">
      <c r="B31" s="20" t="s">
        <v>76</v>
      </c>
      <c r="C31" s="18" t="s">
        <v>77</v>
      </c>
      <c r="D31" s="18" t="s">
        <v>24</v>
      </c>
      <c r="E31" s="21">
        <v>2650</v>
      </c>
      <c r="F31" s="19">
        <v>384.03</v>
      </c>
      <c r="G31" s="19">
        <v>1.87</v>
      </c>
      <c r="H31" s="22"/>
      <c r="I31" s="22"/>
      <c r="J31" s="22"/>
      <c r="K31" s="22"/>
    </row>
    <row r="32" spans="2:11">
      <c r="B32" s="20" t="s">
        <v>78</v>
      </c>
      <c r="C32" s="18" t="s">
        <v>79</v>
      </c>
      <c r="D32" s="18" t="s">
        <v>65</v>
      </c>
      <c r="E32" s="21">
        <v>285000</v>
      </c>
      <c r="F32" s="19">
        <v>359.1</v>
      </c>
      <c r="G32" s="19">
        <v>1.75</v>
      </c>
      <c r="H32" s="22"/>
      <c r="I32" s="22"/>
      <c r="J32" s="22"/>
      <c r="K32" s="22"/>
    </row>
    <row r="33" spans="2:11">
      <c r="B33" s="20" t="s">
        <v>80</v>
      </c>
      <c r="C33" s="18" t="s">
        <v>81</v>
      </c>
      <c r="D33" s="18" t="s">
        <v>71</v>
      </c>
      <c r="E33" s="21">
        <v>65842</v>
      </c>
      <c r="F33" s="19">
        <v>317.62</v>
      </c>
      <c r="G33" s="19">
        <v>1.55</v>
      </c>
      <c r="H33" s="22"/>
      <c r="I33" s="22"/>
      <c r="J33" s="22"/>
      <c r="K33" s="22"/>
    </row>
    <row r="34" spans="2:11">
      <c r="B34" s="20" t="s">
        <v>82</v>
      </c>
      <c r="C34" s="18" t="s">
        <v>83</v>
      </c>
      <c r="D34" s="18" t="s">
        <v>62</v>
      </c>
      <c r="E34" s="21">
        <v>17500</v>
      </c>
      <c r="F34" s="19">
        <v>296.14999999999998</v>
      </c>
      <c r="G34" s="19">
        <v>1.44</v>
      </c>
      <c r="H34" s="22"/>
      <c r="I34" s="22"/>
      <c r="J34" s="22"/>
      <c r="K34" s="22"/>
    </row>
    <row r="35" spans="2:11">
      <c r="B35" s="20" t="s">
        <v>84</v>
      </c>
      <c r="C35" s="18" t="s">
        <v>85</v>
      </c>
      <c r="D35" s="18" t="s">
        <v>86</v>
      </c>
      <c r="E35" s="21">
        <v>22750</v>
      </c>
      <c r="F35" s="19">
        <v>289.16000000000003</v>
      </c>
      <c r="G35" s="19">
        <v>1.41</v>
      </c>
      <c r="H35" s="22"/>
      <c r="I35" s="22"/>
      <c r="J35" s="22"/>
      <c r="K35" s="22"/>
    </row>
    <row r="36" spans="2:11">
      <c r="B36" s="20" t="s">
        <v>87</v>
      </c>
      <c r="C36" s="18" t="s">
        <v>88</v>
      </c>
      <c r="D36" s="18" t="s">
        <v>62</v>
      </c>
      <c r="E36" s="21">
        <v>9500</v>
      </c>
      <c r="F36" s="19">
        <v>251.47</v>
      </c>
      <c r="G36" s="19">
        <v>1.22</v>
      </c>
      <c r="H36" s="22"/>
      <c r="I36" s="22"/>
      <c r="J36" s="22"/>
      <c r="K36" s="22"/>
    </row>
    <row r="37" spans="2:11">
      <c r="B37" s="20" t="s">
        <v>89</v>
      </c>
      <c r="C37" s="18" t="s">
        <v>90</v>
      </c>
      <c r="D37" s="18" t="s">
        <v>56</v>
      </c>
      <c r="E37" s="21">
        <v>30000</v>
      </c>
      <c r="F37" s="19">
        <v>193.92</v>
      </c>
      <c r="G37" s="19">
        <v>0.94</v>
      </c>
      <c r="H37" s="22"/>
      <c r="I37" s="22"/>
      <c r="J37" s="22"/>
      <c r="K37" s="22"/>
    </row>
    <row r="38" spans="2:11">
      <c r="B38" s="20" t="s">
        <v>91</v>
      </c>
      <c r="C38" s="18" t="s">
        <v>92</v>
      </c>
      <c r="D38" s="18" t="s">
        <v>62</v>
      </c>
      <c r="E38" s="21">
        <v>11000</v>
      </c>
      <c r="F38" s="19">
        <v>167.11</v>
      </c>
      <c r="G38" s="19">
        <v>0.81</v>
      </c>
      <c r="H38" s="22"/>
      <c r="I38" s="22"/>
      <c r="J38" s="22"/>
      <c r="K38" s="22"/>
    </row>
    <row r="39" spans="2:11">
      <c r="B39" s="24" t="s">
        <v>93</v>
      </c>
      <c r="C39" s="25"/>
      <c r="D39" s="25"/>
      <c r="E39" s="25"/>
      <c r="F39" s="26">
        <f>SUM(F7:F38)</f>
        <v>20106.939999999999</v>
      </c>
      <c r="G39" s="26">
        <f>SUM(G7:G38)</f>
        <v>97.839999999999975</v>
      </c>
      <c r="H39" s="22"/>
      <c r="I39" s="22"/>
      <c r="J39" s="22"/>
      <c r="K39" s="22"/>
    </row>
    <row r="40" spans="2:11">
      <c r="B40" s="27" t="s">
        <v>94</v>
      </c>
      <c r="C40" s="27"/>
      <c r="D40" s="27"/>
      <c r="E40" s="27"/>
      <c r="F40" s="28">
        <f>F39</f>
        <v>20106.939999999999</v>
      </c>
      <c r="G40" s="28">
        <f>G39</f>
        <v>97.839999999999975</v>
      </c>
      <c r="H40" s="22"/>
      <c r="I40" s="22"/>
      <c r="J40" s="22"/>
      <c r="K40" s="22"/>
    </row>
    <row r="41" spans="2:11">
      <c r="B41" s="29" t="s">
        <v>95</v>
      </c>
      <c r="C41" s="30"/>
      <c r="D41" s="30"/>
      <c r="E41" s="30"/>
      <c r="F41" s="31"/>
      <c r="G41" s="31"/>
      <c r="H41" s="22"/>
      <c r="I41" s="22"/>
      <c r="J41" s="22"/>
      <c r="K41" s="22"/>
    </row>
    <row r="42" spans="2:11">
      <c r="B42" s="20" t="s">
        <v>95</v>
      </c>
      <c r="C42" s="20"/>
      <c r="D42" s="18"/>
      <c r="E42" s="18"/>
      <c r="F42" s="19">
        <v>479.6</v>
      </c>
      <c r="G42" s="19">
        <v>2.33</v>
      </c>
      <c r="H42" s="22"/>
      <c r="I42" s="22"/>
      <c r="J42" s="22"/>
      <c r="K42" s="22"/>
    </row>
    <row r="43" spans="2:11">
      <c r="B43" s="24" t="s">
        <v>93</v>
      </c>
      <c r="C43" s="25"/>
      <c r="D43" s="25"/>
      <c r="E43" s="25"/>
      <c r="F43" s="26">
        <f>SUM(F41:F42)</f>
        <v>479.6</v>
      </c>
      <c r="G43" s="26">
        <f>SUM(G41:G42)</f>
        <v>2.33</v>
      </c>
      <c r="H43" s="22"/>
      <c r="I43" s="22"/>
      <c r="J43" s="22"/>
      <c r="K43" s="22"/>
    </row>
    <row r="44" spans="2:11">
      <c r="B44" s="32" t="s">
        <v>94</v>
      </c>
      <c r="C44" s="32"/>
      <c r="D44" s="32"/>
      <c r="E44" s="32"/>
      <c r="F44" s="33">
        <f>F43</f>
        <v>479.6</v>
      </c>
      <c r="G44" s="33">
        <f>G43</f>
        <v>2.33</v>
      </c>
      <c r="H44" s="22"/>
      <c r="I44" s="22"/>
      <c r="J44" s="22"/>
      <c r="K44" s="22"/>
    </row>
    <row r="45" spans="2:11">
      <c r="B45" s="34" t="s">
        <v>96</v>
      </c>
      <c r="C45" s="34"/>
      <c r="D45" s="34"/>
      <c r="E45" s="34"/>
      <c r="F45" s="35">
        <f>F46-(+F40+F44)</f>
        <v>-35.059999999997672</v>
      </c>
      <c r="G45" s="35">
        <f>G46-(+G40+G44)</f>
        <v>-0.16999999999997328</v>
      </c>
      <c r="H45" s="22"/>
      <c r="I45" s="22"/>
      <c r="J45" s="22"/>
      <c r="K45" s="22"/>
    </row>
    <row r="46" spans="2:11">
      <c r="B46" s="34" t="s">
        <v>97</v>
      </c>
      <c r="C46" s="34"/>
      <c r="D46" s="34"/>
      <c r="E46" s="34"/>
      <c r="F46" s="35">
        <v>20551.48</v>
      </c>
      <c r="G46" s="35">
        <v>100</v>
      </c>
      <c r="H46" s="22"/>
      <c r="I46" s="22"/>
      <c r="J46" s="22"/>
      <c r="K46" s="22"/>
    </row>
    <row r="48" spans="2:11">
      <c r="B48" s="36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2022-05-06T06:26:47Z</dcterms:created>
  <dcterms:modified xsi:type="dcterms:W3CDTF">2022-05-06T06:26:47Z</dcterms:modified>
</cp:coreProperties>
</file>