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y 2022\"/>
    </mc:Choice>
  </mc:AlternateContent>
  <bookViews>
    <workbookView xWindow="0" yWindow="0" windowWidth="20490" windowHeight="7050"/>
  </bookViews>
  <sheets>
    <sheet name="L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6" i="1" l="1"/>
  <c r="G55" i="1"/>
  <c r="G56" i="1" s="1"/>
  <c r="F55" i="1"/>
  <c r="G51" i="1"/>
  <c r="G52" i="1" s="1"/>
  <c r="G57" i="1" s="1"/>
  <c r="F51" i="1"/>
  <c r="F52" i="1" s="1"/>
  <c r="F57" i="1" s="1"/>
</calcChain>
</file>

<file path=xl/sharedStrings.xml><?xml version="1.0" encoding="utf-8"?>
<sst xmlns="http://schemas.openxmlformats.org/spreadsheetml/2006/main" count="154" uniqueCount="130">
  <si>
    <t>CANARA ROBECO BLUE CHIP EQUITY FUND</t>
  </si>
  <si>
    <t>Monthly Portfolio Statement as on May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</si>
  <si>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</si>
  <si>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</si>
  <si>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</si>
  <si>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</si>
  <si>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</si>
  <si>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</si>
  <si>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May'22</t>
  </si>
  <si>
    <t>Benchmark Risk-o-meter Level- May'22</t>
  </si>
  <si>
    <t>Previous Scheme Risk-o-meter Level- Apr'22</t>
  </si>
  <si>
    <t>Equity &amp; Equity related</t>
  </si>
  <si>
    <t>(a) Listed / awaiting listing on Stock Exchanges</t>
  </si>
  <si>
    <t>ICICI Bank Ltd</t>
  </si>
  <si>
    <t>INE090A01021</t>
  </si>
  <si>
    <t>Banks</t>
  </si>
  <si>
    <t>Reliance Industries Ltd</t>
  </si>
  <si>
    <t>INE002A01018</t>
  </si>
  <si>
    <t>Petroleum Products</t>
  </si>
  <si>
    <t>HDFC Bank Ltd</t>
  </si>
  <si>
    <t>INE040A01034</t>
  </si>
  <si>
    <t>Infosys Ltd</t>
  </si>
  <si>
    <t>INE009A01021</t>
  </si>
  <si>
    <t>IT - Software</t>
  </si>
  <si>
    <t>Tata Consultancy Services Ltd</t>
  </si>
  <si>
    <t>INE467B01029</t>
  </si>
  <si>
    <t>State Bank of India</t>
  </si>
  <si>
    <t>INE062A01020</t>
  </si>
  <si>
    <t>Axis Bank Ltd</t>
  </si>
  <si>
    <t>INE238A01034</t>
  </si>
  <si>
    <t>Benchmark: S&amp;P BSE 100 TRI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</si>
  <si>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</si>
  <si>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</si>
  <si>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</si>
  <si>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</si>
  <si>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</si>
  <si>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</si>
  <si>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Bajaj Finance Ltd</t>
  </si>
  <si>
    <t>INE296A01024</t>
  </si>
  <si>
    <t>Finance</t>
  </si>
  <si>
    <t>Maruti Suzuki India Ltd</t>
  </si>
  <si>
    <t>INE585B01010</t>
  </si>
  <si>
    <t>Automobiles</t>
  </si>
  <si>
    <t>Hindustan Unilever Ltd</t>
  </si>
  <si>
    <t>INE030A01027</t>
  </si>
  <si>
    <t>Diversified Fmcg</t>
  </si>
  <si>
    <t>Kotak Mahindra Bank Ltd</t>
  </si>
  <si>
    <t>INE237A01028</t>
  </si>
  <si>
    <t>Housing Development Finance Corporation Ltd</t>
  </si>
  <si>
    <t>INE001A01036</t>
  </si>
  <si>
    <t>ITC Ltd</t>
  </si>
  <si>
    <t>INE154A01025</t>
  </si>
  <si>
    <t>Sun Pharmaceutical Industries Ltd</t>
  </si>
  <si>
    <t>INE044A01036</t>
  </si>
  <si>
    <t>Pharmaceuticals &amp; Biotechnology</t>
  </si>
  <si>
    <t>Ultratech Cement Ltd</t>
  </si>
  <si>
    <t>INE481G01011</t>
  </si>
  <si>
    <t>Cement &amp; Cement Products</t>
  </si>
  <si>
    <t>HCL Technologies Ltd</t>
  </si>
  <si>
    <t>INE860A01027</t>
  </si>
  <si>
    <t>Bajaj Auto Ltd</t>
  </si>
  <si>
    <t>INE917I01010</t>
  </si>
  <si>
    <t>United Spirits Ltd</t>
  </si>
  <si>
    <t>INE854D01024</t>
  </si>
  <si>
    <t>Beverages</t>
  </si>
  <si>
    <t>NTPC Ltd</t>
  </si>
  <si>
    <t>INE733E01010</t>
  </si>
  <si>
    <t>Power</t>
  </si>
  <si>
    <t>Tata Motors Ltd</t>
  </si>
  <si>
    <t>INE155A01022</t>
  </si>
  <si>
    <t>Avenue Supermarts Ltd</t>
  </si>
  <si>
    <t>INE192R01011</t>
  </si>
  <si>
    <t>Retailing</t>
  </si>
  <si>
    <t>Titan Co Ltd</t>
  </si>
  <si>
    <t>INE280A01028</t>
  </si>
  <si>
    <t>Consumer Durables</t>
  </si>
  <si>
    <t>Mphasis Ltd</t>
  </si>
  <si>
    <t>INE356A01018</t>
  </si>
  <si>
    <t>HDFC Life Insurance Co Ltd</t>
  </si>
  <si>
    <t>INE795G01014</t>
  </si>
  <si>
    <t>Insurance</t>
  </si>
  <si>
    <t>Gujarat Gas Ltd</t>
  </si>
  <si>
    <t>INE844O01030</t>
  </si>
  <si>
    <t>Gas</t>
  </si>
  <si>
    <t>Gland Pharma Ltd</t>
  </si>
  <si>
    <t>INE068V01023</t>
  </si>
  <si>
    <t>Max Financial Services Ltd</t>
  </si>
  <si>
    <t>INE180A01020</t>
  </si>
  <si>
    <t>Max Healthcare Institute Ltd</t>
  </si>
  <si>
    <t>INE027H01010</t>
  </si>
  <si>
    <t>Healthcare Services</t>
  </si>
  <si>
    <t>Tata Consumer Products Ltd</t>
  </si>
  <si>
    <t>INE192A01025</t>
  </si>
  <si>
    <t>Agricultural Food &amp; Other Products</t>
  </si>
  <si>
    <t>Voltas Ltd</t>
  </si>
  <si>
    <t>INE226A01021</t>
  </si>
  <si>
    <t>Cholamandalam Investment and Finance Co Ltd</t>
  </si>
  <si>
    <t>INE121A01024</t>
  </si>
  <si>
    <t>PI Industries Ltd</t>
  </si>
  <si>
    <t>INE603J01030</t>
  </si>
  <si>
    <t>Fertilizers &amp; Agrochemicals</t>
  </si>
  <si>
    <t>Page Industries Ltd</t>
  </si>
  <si>
    <t>INE761H01022</t>
  </si>
  <si>
    <t>Textiles &amp; Apparels</t>
  </si>
  <si>
    <t>ABB India Ltd</t>
  </si>
  <si>
    <t>INE117A01022</t>
  </si>
  <si>
    <t>Electrical Equipment</t>
  </si>
  <si>
    <t>Hindalco Industries Ltd</t>
  </si>
  <si>
    <t>INE038A01020</t>
  </si>
  <si>
    <t>Non - Ferrous Metals</t>
  </si>
  <si>
    <t>Abbott India Ltd</t>
  </si>
  <si>
    <t>INE358A01014</t>
  </si>
  <si>
    <t>Cipla Ltd</t>
  </si>
  <si>
    <t>INE059A01026</t>
  </si>
  <si>
    <t>Ambuja Cements Ltd</t>
  </si>
  <si>
    <t>INE079A01024</t>
  </si>
  <si>
    <t>Asian Paints Ltd</t>
  </si>
  <si>
    <t>INE021A01026</t>
  </si>
  <si>
    <t>Siemens Ltd</t>
  </si>
  <si>
    <t>INE003A01024</t>
  </si>
  <si>
    <t>Divi's Laboratories Ltd</t>
  </si>
  <si>
    <t>INE361B01024</t>
  </si>
  <si>
    <t>Tata Steel Ltd</t>
  </si>
  <si>
    <t>INE081A01012</t>
  </si>
  <si>
    <t>Ferrous Metals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</si>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</sst>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8" xfId="1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43" fontId="3" fillId="3" borderId="11" xfId="1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43" fontId="3" fillId="3" borderId="0" xfId="1" applyFont="1" applyFill="1"/>
    <xf numFmtId="43" fontId="3" fillId="3" borderId="12" xfId="1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9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85727</xdr:colOff>
      <xdr:row>4</xdr:row>
      <xdr:rowOff>28576</xdr:rowOff>
    </xdr:from>
    <xdr:to>
      <xdr:col>10</xdr:col>
      <xdr:colOff>1647825</xdr:colOff>
      <xdr:row>11</xdr:row>
      <xdr:rowOff>104776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EF2F4-6B46-42D2-8086-446D7C213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25302" y="1038226"/>
          <a:ext cx="1562098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19049</xdr:rowOff>
    </xdr:from>
    <xdr:to>
      <xdr:col>9</xdr:col>
      <xdr:colOff>1695450</xdr:colOff>
      <xdr:row>11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0F5C25-C170-403B-B96B-A9699F1F0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06025" y="1028699"/>
          <a:ext cx="1657350" cy="1123951"/>
        </a:xfrm>
        <a:prstGeom prst="rect">
          <a:avLst/>
        </a:prstGeom>
      </xdr:spPr>
    </xdr:pic>
    <xdr:clientData/>
  </xdr:twoCellAnchor>
  <xdr:oneCellAnchor>
    <xdr:from>
      <xdr:col>11</xdr:col>
      <xdr:colOff>66675</xdr:colOff>
      <xdr:row>4</xdr:row>
      <xdr:rowOff>57149</xdr:rowOff>
    </xdr:from>
    <xdr:ext cx="1581150" cy="1095375"/>
    <xdr:pic>
      <xdr:nvPicPr>
        <xdr:cNvPr id="4" name="Picture 3">
          <a:extLst>
            <a:ext uri="{FF2B5EF4-FFF2-40B4-BE49-F238E27FC236}">
              <a16:creationId xmlns:a16="http://schemas.microsoft.com/office/drawing/2014/main" id="{17705BF5-C618-401C-9C52-BCDEEF6B0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30275" y="1066799"/>
          <a:ext cx="1581150" cy="1095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5"/>
  <sheetViews>
    <sheetView tabSelected="1" workbookViewId="0">
      <selection activeCell="J18" sqref="J18"/>
    </sheetView>
  </sheetViews>
  <sheetFormatPr defaultRowHeight="12"/>
  <cols>
    <col min="1" max="1" width="9.140625" style="3"/>
    <col min="2" max="2" width="53.85546875" style="3" bestFit="1" customWidth="1"/>
    <col min="3" max="3" width="13.28515625" style="3" bestFit="1" customWidth="1"/>
    <col min="4" max="4" width="28.42578125" style="3" bestFit="1" customWidth="1"/>
    <col min="5" max="5" width="8.85546875" style="46" bestFit="1" customWidth="1"/>
    <col min="6" max="6" width="15.28515625" style="47" bestFit="1" customWidth="1"/>
    <col min="7" max="7" width="7.42578125" style="47" bestFit="1" customWidth="1"/>
    <col min="8" max="8" width="10" style="3" bestFit="1" customWidth="1"/>
    <col min="9" max="9" width="4.7109375" style="3" bestFit="1" customWidth="1"/>
    <col min="10" max="10" width="26.5703125" style="3" customWidth="1"/>
    <col min="11" max="12" width="25.8554687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J4" s="14" t="s">
        <v>8</v>
      </c>
      <c r="K4" s="14" t="s">
        <v>9</v>
      </c>
      <c r="L4" s="14" t="s">
        <v>10</v>
      </c>
    </row>
    <row r="5" spans="2:12">
      <c r="B5" s="15" t="s">
        <v>11</v>
      </c>
      <c r="C5" s="16"/>
      <c r="D5" s="16"/>
      <c r="E5" s="17"/>
      <c r="F5" s="18"/>
      <c r="G5" s="18"/>
      <c r="J5" s="19"/>
      <c r="K5" s="19"/>
      <c r="L5" s="19"/>
    </row>
    <row r="6" spans="2:12">
      <c r="B6" s="20" t="s">
        <v>12</v>
      </c>
      <c r="C6" s="21"/>
      <c r="D6" s="21"/>
      <c r="E6" s="22"/>
      <c r="F6" s="23"/>
      <c r="G6" s="23"/>
      <c r="J6" s="24"/>
      <c r="K6" s="24"/>
      <c r="L6" s="24"/>
    </row>
    <row r="7" spans="2:12">
      <c r="B7" s="25" t="s">
        <v>13</v>
      </c>
      <c r="C7" s="21" t="s">
        <v>14</v>
      </c>
      <c r="D7" s="21" t="s">
        <v>15</v>
      </c>
      <c r="E7" s="26">
        <v>8035600</v>
      </c>
      <c r="F7" s="23">
        <v>60496.01</v>
      </c>
      <c r="G7" s="23">
        <v>8.82</v>
      </c>
      <c r="H7" s="27"/>
      <c r="I7" s="27"/>
      <c r="J7" s="24"/>
      <c r="K7" s="24"/>
      <c r="L7" s="24"/>
    </row>
    <row r="8" spans="2:12">
      <c r="B8" s="25" t="s">
        <v>16</v>
      </c>
      <c r="C8" s="21" t="s">
        <v>17</v>
      </c>
      <c r="D8" s="21" t="s">
        <v>18</v>
      </c>
      <c r="E8" s="26">
        <v>2263250</v>
      </c>
      <c r="F8" s="23">
        <v>59583.45</v>
      </c>
      <c r="G8" s="23">
        <v>8.69</v>
      </c>
      <c r="H8" s="27"/>
      <c r="I8" s="27"/>
      <c r="J8" s="24"/>
      <c r="K8" s="24"/>
      <c r="L8" s="24"/>
    </row>
    <row r="9" spans="2:12">
      <c r="B9" s="25" t="s">
        <v>19</v>
      </c>
      <c r="C9" s="21" t="s">
        <v>20</v>
      </c>
      <c r="D9" s="21" t="s">
        <v>15</v>
      </c>
      <c r="E9" s="26">
        <v>4184700</v>
      </c>
      <c r="F9" s="23">
        <v>58123.39</v>
      </c>
      <c r="G9" s="23">
        <v>8.48</v>
      </c>
      <c r="H9" s="27"/>
      <c r="I9" s="27"/>
      <c r="J9" s="24"/>
      <c r="K9" s="24"/>
      <c r="L9" s="24"/>
    </row>
    <row r="10" spans="2:12">
      <c r="B10" s="25" t="s">
        <v>21</v>
      </c>
      <c r="C10" s="21" t="s">
        <v>22</v>
      </c>
      <c r="D10" s="21" t="s">
        <v>23</v>
      </c>
      <c r="E10" s="26">
        <v>3089142</v>
      </c>
      <c r="F10" s="23">
        <v>46448.34</v>
      </c>
      <c r="G10" s="23">
        <v>6.77</v>
      </c>
      <c r="H10" s="27"/>
      <c r="I10" s="27"/>
      <c r="J10" s="24"/>
      <c r="K10" s="24"/>
      <c r="L10" s="24"/>
    </row>
    <row r="11" spans="2:12">
      <c r="B11" s="25" t="s">
        <v>24</v>
      </c>
      <c r="C11" s="21" t="s">
        <v>25</v>
      </c>
      <c r="D11" s="21" t="s">
        <v>23</v>
      </c>
      <c r="E11" s="26">
        <v>775988</v>
      </c>
      <c r="F11" s="23">
        <v>26106.95</v>
      </c>
      <c r="G11" s="23">
        <v>3.81</v>
      </c>
      <c r="H11" s="27"/>
      <c r="I11" s="27"/>
      <c r="J11" s="24"/>
      <c r="K11" s="24"/>
      <c r="L11" s="24"/>
    </row>
    <row r="12" spans="2:12">
      <c r="B12" s="25" t="s">
        <v>26</v>
      </c>
      <c r="C12" s="21" t="s">
        <v>27</v>
      </c>
      <c r="D12" s="21" t="s">
        <v>15</v>
      </c>
      <c r="E12" s="26">
        <v>5050000</v>
      </c>
      <c r="F12" s="23">
        <v>23639.05</v>
      </c>
      <c r="G12" s="23">
        <v>3.45</v>
      </c>
      <c r="H12" s="27"/>
      <c r="I12" s="27"/>
      <c r="J12" s="28"/>
      <c r="K12" s="28"/>
      <c r="L12" s="28"/>
    </row>
    <row r="13" spans="2:12">
      <c r="B13" s="25" t="s">
        <v>28</v>
      </c>
      <c r="C13" s="21" t="s">
        <v>29</v>
      </c>
      <c r="D13" s="21" t="s">
        <v>15</v>
      </c>
      <c r="E13" s="26">
        <v>3284200</v>
      </c>
      <c r="F13" s="23">
        <v>22503.34</v>
      </c>
      <c r="G13" s="23">
        <v>3.28</v>
      </c>
      <c r="H13" s="27"/>
      <c r="I13" s="27"/>
      <c r="J13" s="27"/>
      <c r="K13" s="27" t="s">
        <v>30</v>
      </c>
    </row>
    <row r="14" spans="2:12">
      <c r="B14" s="25" t="s">
        <v>31</v>
      </c>
      <c r="C14" s="21" t="s">
        <v>32</v>
      </c>
      <c r="D14" s="21" t="s">
        <v>33</v>
      </c>
      <c r="E14" s="26">
        <v>3133316</v>
      </c>
      <c r="F14" s="23">
        <v>21939.48</v>
      </c>
      <c r="G14" s="23">
        <v>3.2</v>
      </c>
      <c r="H14" s="27"/>
      <c r="I14" s="27"/>
      <c r="J14" s="27"/>
      <c r="K14" s="27"/>
    </row>
    <row r="15" spans="2:12">
      <c r="B15" s="25" t="s">
        <v>34</v>
      </c>
      <c r="C15" s="21" t="s">
        <v>35</v>
      </c>
      <c r="D15" s="21" t="s">
        <v>36</v>
      </c>
      <c r="E15" s="26">
        <v>1215685</v>
      </c>
      <c r="F15" s="23">
        <v>20113.509999999998</v>
      </c>
      <c r="G15" s="23">
        <v>2.93</v>
      </c>
      <c r="H15" s="27"/>
      <c r="I15" s="27"/>
      <c r="J15" s="27"/>
      <c r="K15" s="27"/>
    </row>
    <row r="16" spans="2:12">
      <c r="B16" s="25" t="s">
        <v>37</v>
      </c>
      <c r="C16" s="21" t="s">
        <v>38</v>
      </c>
      <c r="D16" s="21" t="s">
        <v>39</v>
      </c>
      <c r="E16" s="26">
        <v>305434</v>
      </c>
      <c r="F16" s="23">
        <v>18576.95</v>
      </c>
      <c r="G16" s="23">
        <v>2.71</v>
      </c>
      <c r="H16" s="27"/>
      <c r="I16" s="27"/>
      <c r="J16" s="27"/>
      <c r="K16" s="27"/>
    </row>
    <row r="17" spans="2:11">
      <c r="B17" s="25" t="s">
        <v>40</v>
      </c>
      <c r="C17" s="21" t="s">
        <v>41</v>
      </c>
      <c r="D17" s="21" t="s">
        <v>42</v>
      </c>
      <c r="E17" s="26">
        <v>218400</v>
      </c>
      <c r="F17" s="23">
        <v>17398.509999999998</v>
      </c>
      <c r="G17" s="23">
        <v>2.54</v>
      </c>
      <c r="H17" s="27"/>
      <c r="I17" s="27"/>
      <c r="J17" s="27"/>
      <c r="K17" s="27"/>
    </row>
    <row r="18" spans="2:11">
      <c r="B18" s="25" t="s">
        <v>43</v>
      </c>
      <c r="C18" s="21" t="s">
        <v>44</v>
      </c>
      <c r="D18" s="21" t="s">
        <v>45</v>
      </c>
      <c r="E18" s="26">
        <v>722800</v>
      </c>
      <c r="F18" s="23">
        <v>17009.29</v>
      </c>
      <c r="G18" s="23">
        <v>2.48</v>
      </c>
      <c r="H18" s="27"/>
      <c r="I18" s="27"/>
      <c r="J18" s="27"/>
      <c r="K18" s="27"/>
    </row>
    <row r="19" spans="2:11">
      <c r="B19" s="25" t="s">
        <v>46</v>
      </c>
      <c r="C19" s="21" t="s">
        <v>47</v>
      </c>
      <c r="D19" s="21" t="s">
        <v>15</v>
      </c>
      <c r="E19" s="26">
        <v>878750</v>
      </c>
      <c r="F19" s="23">
        <v>16229.19</v>
      </c>
      <c r="G19" s="23">
        <v>2.37</v>
      </c>
      <c r="H19" s="27"/>
      <c r="I19" s="27"/>
      <c r="J19" s="27"/>
      <c r="K19" s="27"/>
    </row>
    <row r="20" spans="2:11">
      <c r="B20" s="25" t="s">
        <v>48</v>
      </c>
      <c r="C20" s="21" t="s">
        <v>49</v>
      </c>
      <c r="D20" s="21" t="s">
        <v>39</v>
      </c>
      <c r="E20" s="26">
        <v>685450</v>
      </c>
      <c r="F20" s="23">
        <v>15811.62</v>
      </c>
      <c r="G20" s="23">
        <v>2.31</v>
      </c>
      <c r="H20" s="27"/>
      <c r="I20" s="27"/>
      <c r="J20" s="27"/>
      <c r="K20" s="27"/>
    </row>
    <row r="21" spans="2:11">
      <c r="B21" s="25" t="s">
        <v>50</v>
      </c>
      <c r="C21" s="21" t="s">
        <v>51</v>
      </c>
      <c r="D21" s="21" t="s">
        <v>45</v>
      </c>
      <c r="E21" s="26">
        <v>5600000</v>
      </c>
      <c r="F21" s="23">
        <v>15156.4</v>
      </c>
      <c r="G21" s="23">
        <v>2.21</v>
      </c>
      <c r="H21" s="27"/>
      <c r="I21" s="27"/>
      <c r="J21" s="27"/>
      <c r="K21" s="27"/>
    </row>
    <row r="22" spans="2:11">
      <c r="B22" s="25" t="s">
        <v>52</v>
      </c>
      <c r="C22" s="21" t="s">
        <v>53</v>
      </c>
      <c r="D22" s="21" t="s">
        <v>54</v>
      </c>
      <c r="E22" s="26">
        <v>1694500</v>
      </c>
      <c r="F22" s="23">
        <v>14582.87</v>
      </c>
      <c r="G22" s="23">
        <v>2.13</v>
      </c>
      <c r="H22" s="27"/>
      <c r="I22" s="27"/>
      <c r="J22" s="27"/>
      <c r="K22" s="27"/>
    </row>
    <row r="23" spans="2:11">
      <c r="B23" s="25" t="s">
        <v>55</v>
      </c>
      <c r="C23" s="21" t="s">
        <v>56</v>
      </c>
      <c r="D23" s="21" t="s">
        <v>57</v>
      </c>
      <c r="E23" s="26">
        <v>238652</v>
      </c>
      <c r="F23" s="23">
        <v>14516.25</v>
      </c>
      <c r="G23" s="23">
        <v>2.12</v>
      </c>
      <c r="H23" s="27"/>
      <c r="I23" s="27"/>
      <c r="J23" s="27"/>
      <c r="K23" s="27"/>
    </row>
    <row r="24" spans="2:11">
      <c r="B24" s="25" t="s">
        <v>58</v>
      </c>
      <c r="C24" s="21" t="s">
        <v>59</v>
      </c>
      <c r="D24" s="21" t="s">
        <v>23</v>
      </c>
      <c r="E24" s="26">
        <v>1062000</v>
      </c>
      <c r="F24" s="23">
        <v>11052.77</v>
      </c>
      <c r="G24" s="23">
        <v>1.61</v>
      </c>
      <c r="H24" s="27"/>
      <c r="I24" s="27"/>
      <c r="J24" s="27"/>
      <c r="K24" s="27"/>
    </row>
    <row r="25" spans="2:11">
      <c r="B25" s="25" t="s">
        <v>60</v>
      </c>
      <c r="C25" s="21" t="s">
        <v>61</v>
      </c>
      <c r="D25" s="21" t="s">
        <v>42</v>
      </c>
      <c r="E25" s="26">
        <v>280500</v>
      </c>
      <c r="F25" s="23">
        <v>10838.8</v>
      </c>
      <c r="G25" s="23">
        <v>1.58</v>
      </c>
      <c r="H25" s="27"/>
      <c r="I25" s="27"/>
      <c r="J25" s="27"/>
      <c r="K25" s="27"/>
    </row>
    <row r="26" spans="2:11">
      <c r="B26" s="25" t="s">
        <v>62</v>
      </c>
      <c r="C26" s="21" t="s">
        <v>63</v>
      </c>
      <c r="D26" s="21" t="s">
        <v>64</v>
      </c>
      <c r="E26" s="26">
        <v>1310000</v>
      </c>
      <c r="F26" s="23">
        <v>10603.14</v>
      </c>
      <c r="G26" s="23">
        <v>1.55</v>
      </c>
      <c r="H26" s="27"/>
      <c r="I26" s="27"/>
      <c r="J26" s="27"/>
      <c r="K26" s="27"/>
    </row>
    <row r="27" spans="2:11">
      <c r="B27" s="25" t="s">
        <v>65</v>
      </c>
      <c r="C27" s="21" t="s">
        <v>66</v>
      </c>
      <c r="D27" s="21" t="s">
        <v>67</v>
      </c>
      <c r="E27" s="26">
        <v>6650000</v>
      </c>
      <c r="F27" s="23">
        <v>10374</v>
      </c>
      <c r="G27" s="23">
        <v>1.51</v>
      </c>
      <c r="H27" s="27"/>
      <c r="I27" s="27"/>
      <c r="J27" s="27"/>
      <c r="K27" s="27"/>
    </row>
    <row r="28" spans="2:11">
      <c r="B28" s="25" t="s">
        <v>68</v>
      </c>
      <c r="C28" s="21" t="s">
        <v>69</v>
      </c>
      <c r="D28" s="21" t="s">
        <v>42</v>
      </c>
      <c r="E28" s="26">
        <v>2300000</v>
      </c>
      <c r="F28" s="23">
        <v>10201.65</v>
      </c>
      <c r="G28" s="23">
        <v>1.49</v>
      </c>
      <c r="H28" s="27"/>
      <c r="I28" s="27"/>
      <c r="J28" s="27"/>
      <c r="K28" s="27"/>
    </row>
    <row r="29" spans="2:11">
      <c r="B29" s="25" t="s">
        <v>70</v>
      </c>
      <c r="C29" s="21" t="s">
        <v>71</v>
      </c>
      <c r="D29" s="21" t="s">
        <v>72</v>
      </c>
      <c r="E29" s="26">
        <v>242800</v>
      </c>
      <c r="F29" s="23">
        <v>9645.9599999999991</v>
      </c>
      <c r="G29" s="23">
        <v>1.41</v>
      </c>
      <c r="H29" s="27"/>
      <c r="I29" s="27"/>
      <c r="J29" s="27"/>
      <c r="K29" s="27"/>
    </row>
    <row r="30" spans="2:11">
      <c r="B30" s="25" t="s">
        <v>73</v>
      </c>
      <c r="C30" s="21" t="s">
        <v>74</v>
      </c>
      <c r="D30" s="21" t="s">
        <v>75</v>
      </c>
      <c r="E30" s="26">
        <v>422200</v>
      </c>
      <c r="F30" s="23">
        <v>9355.9500000000007</v>
      </c>
      <c r="G30" s="23">
        <v>1.36</v>
      </c>
      <c r="H30" s="27"/>
      <c r="I30" s="27"/>
      <c r="J30" s="27"/>
      <c r="K30" s="27"/>
    </row>
    <row r="31" spans="2:11">
      <c r="B31" s="25" t="s">
        <v>76</v>
      </c>
      <c r="C31" s="21" t="s">
        <v>77</v>
      </c>
      <c r="D31" s="21" t="s">
        <v>23</v>
      </c>
      <c r="E31" s="26">
        <v>327500</v>
      </c>
      <c r="F31" s="23">
        <v>8493.8799999999992</v>
      </c>
      <c r="G31" s="23">
        <v>1.24</v>
      </c>
      <c r="H31" s="27"/>
      <c r="I31" s="27"/>
      <c r="J31" s="27"/>
      <c r="K31" s="27"/>
    </row>
    <row r="32" spans="2:11">
      <c r="B32" s="25" t="s">
        <v>78</v>
      </c>
      <c r="C32" s="21" t="s">
        <v>79</v>
      </c>
      <c r="D32" s="21" t="s">
        <v>80</v>
      </c>
      <c r="E32" s="26">
        <v>1275000</v>
      </c>
      <c r="F32" s="23">
        <v>7636.61</v>
      </c>
      <c r="G32" s="23">
        <v>1.1100000000000001</v>
      </c>
      <c r="H32" s="27"/>
      <c r="I32" s="27"/>
      <c r="J32" s="27"/>
      <c r="K32" s="27"/>
    </row>
    <row r="33" spans="2:11">
      <c r="B33" s="25" t="s">
        <v>81</v>
      </c>
      <c r="C33" s="21" t="s">
        <v>82</v>
      </c>
      <c r="D33" s="21" t="s">
        <v>83</v>
      </c>
      <c r="E33" s="26">
        <v>1315994</v>
      </c>
      <c r="F33" s="23">
        <v>7360.35</v>
      </c>
      <c r="G33" s="23">
        <v>1.07</v>
      </c>
      <c r="H33" s="27"/>
      <c r="I33" s="27"/>
      <c r="J33" s="27"/>
      <c r="K33" s="27"/>
    </row>
    <row r="34" spans="2:11">
      <c r="B34" s="25" t="s">
        <v>84</v>
      </c>
      <c r="C34" s="21" t="s">
        <v>85</v>
      </c>
      <c r="D34" s="21" t="s">
        <v>54</v>
      </c>
      <c r="E34" s="26">
        <v>250600</v>
      </c>
      <c r="F34" s="23">
        <v>7169.54</v>
      </c>
      <c r="G34" s="23">
        <v>1.05</v>
      </c>
      <c r="H34" s="27"/>
      <c r="I34" s="27"/>
      <c r="J34" s="27"/>
      <c r="K34" s="27"/>
    </row>
    <row r="35" spans="2:11">
      <c r="B35" s="25" t="s">
        <v>86</v>
      </c>
      <c r="C35" s="21" t="s">
        <v>87</v>
      </c>
      <c r="D35" s="21" t="s">
        <v>80</v>
      </c>
      <c r="E35" s="26">
        <v>900700</v>
      </c>
      <c r="F35" s="23">
        <v>7157.86</v>
      </c>
      <c r="G35" s="23">
        <v>1.04</v>
      </c>
      <c r="H35" s="27"/>
      <c r="I35" s="27"/>
      <c r="J35" s="27"/>
      <c r="K35" s="27"/>
    </row>
    <row r="36" spans="2:11">
      <c r="B36" s="25" t="s">
        <v>88</v>
      </c>
      <c r="C36" s="21" t="s">
        <v>89</v>
      </c>
      <c r="D36" s="21" t="s">
        <v>90</v>
      </c>
      <c r="E36" s="26">
        <v>1875698</v>
      </c>
      <c r="F36" s="23">
        <v>7134.22</v>
      </c>
      <c r="G36" s="23">
        <v>1.04</v>
      </c>
      <c r="H36" s="27"/>
      <c r="I36" s="27"/>
      <c r="J36" s="27"/>
      <c r="K36" s="27"/>
    </row>
    <row r="37" spans="2:11">
      <c r="B37" s="25" t="s">
        <v>91</v>
      </c>
      <c r="C37" s="21" t="s">
        <v>92</v>
      </c>
      <c r="D37" s="21" t="s">
        <v>93</v>
      </c>
      <c r="E37" s="26">
        <v>936324</v>
      </c>
      <c r="F37" s="23">
        <v>7113.72</v>
      </c>
      <c r="G37" s="23">
        <v>1.04</v>
      </c>
      <c r="H37" s="27"/>
      <c r="I37" s="27"/>
      <c r="J37" s="27"/>
      <c r="K37" s="27"/>
    </row>
    <row r="38" spans="2:11">
      <c r="B38" s="25" t="s">
        <v>94</v>
      </c>
      <c r="C38" s="21" t="s">
        <v>95</v>
      </c>
      <c r="D38" s="21" t="s">
        <v>75</v>
      </c>
      <c r="E38" s="26">
        <v>696700</v>
      </c>
      <c r="F38" s="23">
        <v>7092.75</v>
      </c>
      <c r="G38" s="23">
        <v>1.03</v>
      </c>
      <c r="H38" s="27"/>
      <c r="I38" s="27"/>
      <c r="J38" s="27"/>
      <c r="K38" s="27"/>
    </row>
    <row r="39" spans="2:11">
      <c r="B39" s="25" t="s">
        <v>96</v>
      </c>
      <c r="C39" s="21" t="s">
        <v>97</v>
      </c>
      <c r="D39" s="21" t="s">
        <v>39</v>
      </c>
      <c r="E39" s="26">
        <v>1017952</v>
      </c>
      <c r="F39" s="23">
        <v>6918</v>
      </c>
      <c r="G39" s="23">
        <v>1.01</v>
      </c>
      <c r="H39" s="27"/>
      <c r="I39" s="27"/>
      <c r="J39" s="27"/>
      <c r="K39" s="27"/>
    </row>
    <row r="40" spans="2:11">
      <c r="B40" s="25" t="s">
        <v>98</v>
      </c>
      <c r="C40" s="21" t="s">
        <v>99</v>
      </c>
      <c r="D40" s="21" t="s">
        <v>100</v>
      </c>
      <c r="E40" s="26">
        <v>245185</v>
      </c>
      <c r="F40" s="23">
        <v>6763.06</v>
      </c>
      <c r="G40" s="23">
        <v>0.99</v>
      </c>
      <c r="H40" s="27"/>
      <c r="I40" s="27"/>
      <c r="J40" s="27"/>
      <c r="K40" s="27"/>
    </row>
    <row r="41" spans="2:11">
      <c r="B41" s="25" t="s">
        <v>101</v>
      </c>
      <c r="C41" s="21" t="s">
        <v>102</v>
      </c>
      <c r="D41" s="21" t="s">
        <v>103</v>
      </c>
      <c r="E41" s="26">
        <v>14750</v>
      </c>
      <c r="F41" s="23">
        <v>6666.12</v>
      </c>
      <c r="G41" s="23">
        <v>0.97</v>
      </c>
      <c r="H41" s="27"/>
      <c r="I41" s="27"/>
      <c r="J41" s="27"/>
      <c r="K41" s="27"/>
    </row>
    <row r="42" spans="2:11">
      <c r="B42" s="25" t="s">
        <v>104</v>
      </c>
      <c r="C42" s="21" t="s">
        <v>105</v>
      </c>
      <c r="D42" s="21" t="s">
        <v>106</v>
      </c>
      <c r="E42" s="26">
        <v>262000</v>
      </c>
      <c r="F42" s="23">
        <v>6359.4</v>
      </c>
      <c r="G42" s="23">
        <v>0.93</v>
      </c>
      <c r="H42" s="27"/>
      <c r="I42" s="27"/>
      <c r="J42" s="27"/>
      <c r="K42" s="27"/>
    </row>
    <row r="43" spans="2:11">
      <c r="B43" s="25" t="s">
        <v>107</v>
      </c>
      <c r="C43" s="21" t="s">
        <v>108</v>
      </c>
      <c r="D43" s="21" t="s">
        <v>109</v>
      </c>
      <c r="E43" s="26">
        <v>1370000</v>
      </c>
      <c r="F43" s="23">
        <v>5788.94</v>
      </c>
      <c r="G43" s="23">
        <v>0.84</v>
      </c>
      <c r="H43" s="27"/>
      <c r="I43" s="27"/>
      <c r="J43" s="27"/>
      <c r="K43" s="27"/>
    </row>
    <row r="44" spans="2:11">
      <c r="B44" s="25" t="s">
        <v>110</v>
      </c>
      <c r="C44" s="21" t="s">
        <v>111</v>
      </c>
      <c r="D44" s="21" t="s">
        <v>54</v>
      </c>
      <c r="E44" s="26">
        <v>27785</v>
      </c>
      <c r="F44" s="23">
        <v>4924.97</v>
      </c>
      <c r="G44" s="23">
        <v>0.72</v>
      </c>
      <c r="H44" s="27"/>
      <c r="I44" s="27"/>
      <c r="J44" s="27"/>
      <c r="K44" s="27"/>
    </row>
    <row r="45" spans="2:11">
      <c r="B45" s="25" t="s">
        <v>112</v>
      </c>
      <c r="C45" s="21" t="s">
        <v>113</v>
      </c>
      <c r="D45" s="21" t="s">
        <v>54</v>
      </c>
      <c r="E45" s="26">
        <v>442000</v>
      </c>
      <c r="F45" s="23">
        <v>4388.84</v>
      </c>
      <c r="G45" s="23">
        <v>0.64</v>
      </c>
      <c r="H45" s="27"/>
      <c r="I45" s="27"/>
      <c r="J45" s="27"/>
      <c r="K45" s="27"/>
    </row>
    <row r="46" spans="2:11">
      <c r="B46" s="25" t="s">
        <v>114</v>
      </c>
      <c r="C46" s="21" t="s">
        <v>115</v>
      </c>
      <c r="D46" s="21" t="s">
        <v>57</v>
      </c>
      <c r="E46" s="26">
        <v>1070000</v>
      </c>
      <c r="F46" s="23">
        <v>3952.58</v>
      </c>
      <c r="G46" s="23">
        <v>0.57999999999999996</v>
      </c>
      <c r="H46" s="27"/>
      <c r="I46" s="27"/>
      <c r="J46" s="27"/>
      <c r="K46" s="27"/>
    </row>
    <row r="47" spans="2:11">
      <c r="B47" s="25" t="s">
        <v>116</v>
      </c>
      <c r="C47" s="21" t="s">
        <v>117</v>
      </c>
      <c r="D47" s="21" t="s">
        <v>75</v>
      </c>
      <c r="E47" s="26">
        <v>114600</v>
      </c>
      <c r="F47" s="23">
        <v>3277.16</v>
      </c>
      <c r="G47" s="23">
        <v>0.48</v>
      </c>
      <c r="H47" s="27"/>
      <c r="I47" s="27"/>
      <c r="J47" s="27"/>
      <c r="K47" s="27"/>
    </row>
    <row r="48" spans="2:11">
      <c r="B48" s="25" t="s">
        <v>118</v>
      </c>
      <c r="C48" s="21" t="s">
        <v>119</v>
      </c>
      <c r="D48" s="21" t="s">
        <v>106</v>
      </c>
      <c r="E48" s="26">
        <v>125000</v>
      </c>
      <c r="F48" s="23">
        <v>3042.44</v>
      </c>
      <c r="G48" s="23">
        <v>0.44</v>
      </c>
      <c r="H48" s="27"/>
      <c r="I48" s="27"/>
      <c r="J48" s="27"/>
      <c r="K48" s="27"/>
    </row>
    <row r="49" spans="2:11">
      <c r="B49" s="25" t="s">
        <v>120</v>
      </c>
      <c r="C49" s="21" t="s">
        <v>121</v>
      </c>
      <c r="D49" s="21" t="s">
        <v>54</v>
      </c>
      <c r="E49" s="26">
        <v>32981</v>
      </c>
      <c r="F49" s="23">
        <v>1184.45</v>
      </c>
      <c r="G49" s="23">
        <v>0.17</v>
      </c>
      <c r="H49" s="27"/>
      <c r="I49" s="27"/>
      <c r="J49" s="27"/>
      <c r="K49" s="27"/>
    </row>
    <row r="50" spans="2:11">
      <c r="B50" s="25" t="s">
        <v>122</v>
      </c>
      <c r="C50" s="21" t="s">
        <v>123</v>
      </c>
      <c r="D50" s="21" t="s">
        <v>124</v>
      </c>
      <c r="E50" s="26">
        <v>45000</v>
      </c>
      <c r="F50" s="23">
        <v>475.04</v>
      </c>
      <c r="G50" s="23">
        <v>7.0000000000000007E-2</v>
      </c>
      <c r="H50" s="27"/>
      <c r="I50" s="27"/>
      <c r="J50" s="27"/>
      <c r="K50" s="27"/>
    </row>
    <row r="51" spans="2:11">
      <c r="B51" s="29" t="s">
        <v>125</v>
      </c>
      <c r="C51" s="30"/>
      <c r="D51" s="30"/>
      <c r="E51" s="31"/>
      <c r="F51" s="32">
        <f>SUM(F7:F50)</f>
        <v>653206.79999999981</v>
      </c>
      <c r="G51" s="32">
        <f>SUM(G7:G50)</f>
        <v>95.27</v>
      </c>
      <c r="H51" s="27"/>
      <c r="I51" s="27"/>
      <c r="J51" s="27"/>
      <c r="K51" s="27"/>
    </row>
    <row r="52" spans="2:11">
      <c r="B52" s="33" t="s">
        <v>126</v>
      </c>
      <c r="C52" s="33"/>
      <c r="D52" s="33"/>
      <c r="E52" s="34"/>
      <c r="F52" s="35">
        <f>F51</f>
        <v>653206.79999999981</v>
      </c>
      <c r="G52" s="35">
        <f>G51</f>
        <v>95.27</v>
      </c>
      <c r="H52" s="27"/>
      <c r="I52" s="27"/>
      <c r="J52" s="27"/>
      <c r="K52" s="27"/>
    </row>
    <row r="53" spans="2:11">
      <c r="B53" s="36" t="s">
        <v>127</v>
      </c>
      <c r="C53" s="37"/>
      <c r="D53" s="37"/>
      <c r="E53" s="38"/>
      <c r="F53" s="39"/>
      <c r="G53" s="39"/>
      <c r="H53" s="27"/>
      <c r="I53" s="27"/>
      <c r="J53" s="27"/>
      <c r="K53" s="27"/>
    </row>
    <row r="54" spans="2:11">
      <c r="B54" s="25" t="s">
        <v>127</v>
      </c>
      <c r="C54" s="25"/>
      <c r="D54" s="21"/>
      <c r="E54" s="22"/>
      <c r="F54" s="23">
        <v>32248.17</v>
      </c>
      <c r="G54" s="23">
        <v>4.7</v>
      </c>
      <c r="H54" s="27"/>
      <c r="I54" s="27"/>
      <c r="J54" s="27"/>
      <c r="K54" s="27"/>
    </row>
    <row r="55" spans="2:11">
      <c r="B55" s="29" t="s">
        <v>125</v>
      </c>
      <c r="C55" s="30"/>
      <c r="D55" s="30"/>
      <c r="E55" s="31"/>
      <c r="F55" s="32">
        <f>SUM(F53:F54)</f>
        <v>32248.17</v>
      </c>
      <c r="G55" s="32">
        <f>SUM(G53:G54)</f>
        <v>4.7</v>
      </c>
      <c r="H55" s="27"/>
      <c r="I55" s="27"/>
      <c r="J55" s="27"/>
      <c r="K55" s="27"/>
    </row>
    <row r="56" spans="2:11">
      <c r="B56" s="40" t="s">
        <v>126</v>
      </c>
      <c r="C56" s="40"/>
      <c r="D56" s="40"/>
      <c r="E56" s="41"/>
      <c r="F56" s="42">
        <f>F55</f>
        <v>32248.17</v>
      </c>
      <c r="G56" s="42">
        <f>G55</f>
        <v>4.7</v>
      </c>
      <c r="H56" s="27"/>
      <c r="I56" s="27"/>
      <c r="J56" s="27"/>
      <c r="K56" s="27"/>
    </row>
    <row r="57" spans="2:11">
      <c r="B57" s="43" t="s">
        <v>128</v>
      </c>
      <c r="C57" s="43"/>
      <c r="D57" s="43"/>
      <c r="E57" s="44"/>
      <c r="F57" s="45">
        <f>F58-(+F52+F56)</f>
        <v>350.79000000015367</v>
      </c>
      <c r="G57" s="45">
        <f>G58-(+G52+G56)</f>
        <v>3.0000000000001137E-2</v>
      </c>
      <c r="H57" s="27"/>
      <c r="I57" s="27"/>
      <c r="J57" s="27"/>
      <c r="K57" s="27"/>
    </row>
    <row r="58" spans="2:11">
      <c r="B58" s="43" t="s">
        <v>129</v>
      </c>
      <c r="C58" s="43"/>
      <c r="D58" s="43"/>
      <c r="E58" s="44"/>
      <c r="F58" s="45">
        <v>685805.76</v>
      </c>
      <c r="G58" s="45">
        <v>100</v>
      </c>
      <c r="H58" s="27"/>
      <c r="I58" s="27"/>
      <c r="J58" s="27"/>
      <c r="K58" s="27"/>
    </row>
    <row r="59" spans="2:11">
      <c r="H59" s="27"/>
      <c r="I59" s="27"/>
      <c r="J59" s="27"/>
      <c r="K59" s="27"/>
    </row>
    <row r="60" spans="2:11">
      <c r="B60" s="48"/>
      <c r="H60" s="27"/>
      <c r="I60" s="27"/>
      <c r="J60" s="27"/>
      <c r="K60" s="27"/>
    </row>
    <row r="61" spans="2:11">
      <c r="H61" s="27"/>
      <c r="I61" s="27"/>
      <c r="J61" s="27"/>
      <c r="K61" s="27"/>
    </row>
    <row r="62" spans="2:11">
      <c r="H62" s="27"/>
      <c r="I62" s="27"/>
      <c r="J62" s="27"/>
      <c r="K62" s="27"/>
    </row>
    <row r="63" spans="2:11">
      <c r="H63" s="27"/>
      <c r="I63" s="27"/>
      <c r="J63" s="27"/>
      <c r="K63" s="27"/>
    </row>
    <row r="64" spans="2:11">
      <c r="H64" s="27"/>
      <c r="I64" s="27"/>
      <c r="J64" s="27"/>
      <c r="K64" s="27"/>
    </row>
    <row r="65" spans="8:11">
      <c r="H65" s="27"/>
      <c r="I65" s="27"/>
      <c r="J65" s="27"/>
      <c r="K65" s="27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2022-06-07 14:58:46</KDate>
  <Classification>Public</Classification>
  <Subclassification/>
  <HostName>MUMCMP00935</HostName>
  <Domain_User>CANARAROBECOMF/628</Domain_User>
  <IPAdd>192.9.198.194</IPAdd>
  <FilePath>Book6</FilePath>
  <KID>C025A5607E97637902107269652146</KID>
  <UniqueName/>
  <Suggested/>
  <Justification/>
</Klassify>
</file>

<file path=customXml/itemProps1.xml><?xml version="1.0" encoding="utf-8"?>
<ds:datastoreItem xmlns:ds="http://schemas.openxmlformats.org/officeDocument/2006/customXml" ds:itemID="{E38BAD6C-2334-49A1-8118-EF8F777C5F8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2022-06-07T09:28:37Z</dcterms:created>
  <dcterms:modified xsi:type="dcterms:W3CDTF">2022-06-07T09:28:47Z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C025A5607E97637902107269652146</vt:lpwstr>
  </property>
</Properties>
</file>