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1" l="1"/>
  <c r="G57" i="1"/>
  <c r="F57" i="1"/>
  <c r="F58" i="1" s="1"/>
  <c r="G54" i="1"/>
  <c r="F54" i="1"/>
  <c r="G50" i="1"/>
  <c r="F50" i="1"/>
  <c r="G41" i="1"/>
  <c r="F41" i="1"/>
  <c r="G21" i="1"/>
  <c r="G51" i="1" s="1"/>
  <c r="G59" i="1" s="1"/>
  <c r="F21" i="1"/>
  <c r="F51" i="1" s="1"/>
  <c r="F59" i="1" s="1"/>
</calcChain>
</file>

<file path=xl/sharedStrings.xml><?xml version="1.0" encoding="utf-8"?>
<sst xmlns="http://schemas.openxmlformats.org/spreadsheetml/2006/main" count="164" uniqueCount="123">
  <si>
    <t>CANARA ROBECO LIQUID FUND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</si>
  <si>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</si>
  <si>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</si>
  <si>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</si>
  <si>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</si>
  <si>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</si>
  <si>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</si>
  <si>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</si>
  <si>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</si>
  <si>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Feb'24</t>
  </si>
  <si>
    <t>Benchmark Risk-o-meter Level- Feb'24</t>
  </si>
  <si>
    <t>Scheme Risk-o-meter Level- Jan'24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</si>
  <si>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</si>
  <si>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</si>
  <si>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</si>
  <si>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</si>
  <si>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</si>
  <si>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(Class C)</t>
  </si>
  <si>
    <t>Certificate of Deposit</t>
  </si>
  <si>
    <t>Interest Rate Risk ↓</t>
  </si>
  <si>
    <t>HDFC Bank Ltd (20/03/2024) ** #</t>
  </si>
  <si>
    <t>INE040A16DU8</t>
  </si>
  <si>
    <t>CARE A1+</t>
  </si>
  <si>
    <t>Relatively Low (Class I)</t>
  </si>
  <si>
    <t>A-I</t>
  </si>
  <si>
    <t>Kotak Mahindra Bank Ltd (15/03/2024) #</t>
  </si>
  <si>
    <t>INE237A169S2</t>
  </si>
  <si>
    <t>CRISIL A1+</t>
  </si>
  <si>
    <t>Small Industries Development Bank of India (27/03/2024) ** #</t>
  </si>
  <si>
    <t>INE556F16AH5</t>
  </si>
  <si>
    <t>Moderate 
(Class II)</t>
  </si>
  <si>
    <t>Bank of Baroda (17/05/2024) #</t>
  </si>
  <si>
    <t>INE028A16EJ4</t>
  </si>
  <si>
    <t>IND A1+</t>
  </si>
  <si>
    <t>Axis Bank Ltd (17/05/2024) ** #</t>
  </si>
  <si>
    <t>INE238AD6413</t>
  </si>
  <si>
    <t>Relatively High (Class III)</t>
  </si>
  <si>
    <t>Punjab National Bank (20/03/2024) #</t>
  </si>
  <si>
    <t>INE160A16OG0</t>
  </si>
  <si>
    <t>Axis Bank Ltd (28/03/2024) ** #</t>
  </si>
  <si>
    <t>INE238AD6405</t>
  </si>
  <si>
    <t>Benchmark: CRISIL Liquid Debt A-I Index</t>
  </si>
  <si>
    <t>Union Bank of India (06/05/2024) ** #</t>
  </si>
  <si>
    <t>INE692A16GT1</t>
  </si>
  <si>
    <t>Union Bank of India (02/04/2024) ** #</t>
  </si>
  <si>
    <t>INE692A16GH6</t>
  </si>
  <si>
    <t>Axis Bank Ltd (27/03/2024) ** #</t>
  </si>
  <si>
    <t>INE238AD6611</t>
  </si>
  <si>
    <t>Union Bank of India (22/05/2024) ** #</t>
  </si>
  <si>
    <t>INE692A16GW5</t>
  </si>
  <si>
    <t>Axis Bank Ltd (14/03/2024) ** #</t>
  </si>
  <si>
    <t>INE238AD6389</t>
  </si>
  <si>
    <t>National Bank For Agriculture &amp; Rural Development (28/03/2024) #</t>
  </si>
  <si>
    <t>INE261F16728</t>
  </si>
  <si>
    <t>Punjab National Bank (02/04/2024) #</t>
  </si>
  <si>
    <t>INE160A16OD7</t>
  </si>
  <si>
    <t>Sub Total</t>
  </si>
  <si>
    <t>Commercial Paper</t>
  </si>
  <si>
    <t xml:space="preserve">Larsen &amp; Toubro Ltd (27/03/2024) ** </t>
  </si>
  <si>
    <t>INE018A14KO7</t>
  </si>
  <si>
    <t xml:space="preserve">Export-Import Bank Of India (26/03/2024) ** </t>
  </si>
  <si>
    <t>INE514E14RH6</t>
  </si>
  <si>
    <t>ICRA A1+</t>
  </si>
  <si>
    <t xml:space="preserve">National Bank For Agriculture &amp; Rural Development (02/04/2024) ** </t>
  </si>
  <si>
    <t>INE261F14KR5</t>
  </si>
  <si>
    <t xml:space="preserve">Reliance Industries Ltd (11/03/2024) ** </t>
  </si>
  <si>
    <t>INE002A14KP8</t>
  </si>
  <si>
    <t xml:space="preserve">HDFC Bank Ltd (19/03/2024) ** </t>
  </si>
  <si>
    <t>INE040A14250</t>
  </si>
  <si>
    <t xml:space="preserve">ICICI Securities Ltd (20/03/2024) ** </t>
  </si>
  <si>
    <t>INE763G14PZ0</t>
  </si>
  <si>
    <t xml:space="preserve">National Bank For Agriculture &amp; Rural Development (30/04/2024) ** </t>
  </si>
  <si>
    <t>INE261F14KT1</t>
  </si>
  <si>
    <t xml:space="preserve">Bajaj Finance Ltd (12/03/2024) ** </t>
  </si>
  <si>
    <t>INE296A14WO4</t>
  </si>
  <si>
    <t xml:space="preserve">HDFC Securities Ltd (15/03/2024) ** </t>
  </si>
  <si>
    <t>INE700G14HU0</t>
  </si>
  <si>
    <t xml:space="preserve">ICICI Securities Ltd (22/03/2024) ** </t>
  </si>
  <si>
    <t>INE763G14QB9</t>
  </si>
  <si>
    <t xml:space="preserve">Aditya Birla Finance Ltd (07/03/2024) ** </t>
  </si>
  <si>
    <t>INE860H140X0</t>
  </si>
  <si>
    <t xml:space="preserve">ICICI Securities Ltd (07/03/2024) ** </t>
  </si>
  <si>
    <t>INE763G14PA3</t>
  </si>
  <si>
    <t xml:space="preserve">Tata Capital Housing Finance Ltd (16/05/2024) ** </t>
  </si>
  <si>
    <t>INE033L14ML5</t>
  </si>
  <si>
    <t xml:space="preserve">Bajaj Finance Ltd (15/05/2024) ** </t>
  </si>
  <si>
    <t>INE296A14XB9</t>
  </si>
  <si>
    <t xml:space="preserve">HDFC Bank Ltd (24/05/2024) ** </t>
  </si>
  <si>
    <t>INE040A14326</t>
  </si>
  <si>
    <t xml:space="preserve">Aditya Birla Finance Ltd (14/03/2024) </t>
  </si>
  <si>
    <t>INE860H140H3</t>
  </si>
  <si>
    <t xml:space="preserve">Aditya Birla Finance Ltd (20/03/2024) ** </t>
  </si>
  <si>
    <t>INE860H142A4</t>
  </si>
  <si>
    <t xml:space="preserve">SBICAP Securities Ltd (27/03/2024) ** </t>
  </si>
  <si>
    <t>INE212K14320</t>
  </si>
  <si>
    <t>Treasury Bill</t>
  </si>
  <si>
    <t>91 DTB (11-APR-2024)</t>
  </si>
  <si>
    <t>IN002023X427</t>
  </si>
  <si>
    <t xml:space="preserve"> Sovereign</t>
  </si>
  <si>
    <t>91 DTB (02-MAY-2024)</t>
  </si>
  <si>
    <t>IN002023X450</t>
  </si>
  <si>
    <t>91 DTB (25-APR-2024)</t>
  </si>
  <si>
    <t>IN002023X443</t>
  </si>
  <si>
    <t>182 DTB (04-APR-2024)</t>
  </si>
  <si>
    <t>IN002023Y284</t>
  </si>
  <si>
    <t>364 DTB (11-APR-2024)</t>
  </si>
  <si>
    <t>IN002023Z034</t>
  </si>
  <si>
    <t>364 DTB (25-APR-2024)</t>
  </si>
  <si>
    <t>IN002023Z059</t>
  </si>
  <si>
    <t>91 DTB (18-APR-2024)</t>
  </si>
  <si>
    <t>IN002023X435</t>
  </si>
  <si>
    <t>Total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</si>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</sst>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9" fillId="4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4" fontId="9" fillId="3" borderId="14" xfId="0" applyNumberFormat="1" applyFont="1" applyFill="1" applyBorder="1"/>
    <xf numFmtId="4" fontId="9" fillId="3" borderId="11" xfId="0" applyNumberFormat="1" applyFont="1" applyFill="1" applyBorder="1"/>
    <xf numFmtId="0" fontId="9" fillId="3" borderId="15" xfId="0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4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59640</xdr:colOff>
      <xdr:row>4</xdr:row>
      <xdr:rowOff>82117</xdr:rowOff>
    </xdr:from>
    <xdr:ext cx="1988235" cy="1337107"/>
    <xdr:pic>
      <xdr:nvPicPr>
        <xdr:cNvPr id="2" name="Picture 1">
          <a:extLst>
            <a:ext uri="{FF2B5EF4-FFF2-40B4-BE49-F238E27FC236}">
              <a16:creationId xmlns:a16="http://schemas.microsoft.com/office/drawing/2014/main" id="{A3B5CACD-2689-499B-A4E5-129A1A9C0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5690" y="1072717"/>
          <a:ext cx="1988235" cy="1337107"/>
        </a:xfrm>
        <a:prstGeom prst="rect">
          <a:avLst/>
        </a:prstGeom>
      </xdr:spPr>
    </xdr:pic>
    <xdr:clientData/>
  </xdr:oneCellAnchor>
  <xdr:twoCellAnchor editAs="oneCell">
    <xdr:from>
      <xdr:col>10</xdr:col>
      <xdr:colOff>47918</xdr:colOff>
      <xdr:row>4</xdr:row>
      <xdr:rowOff>49135</xdr:rowOff>
    </xdr:from>
    <xdr:to>
      <xdr:col>10</xdr:col>
      <xdr:colOff>2166717</xdr:colOff>
      <xdr:row>10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3D112F-DA32-40AC-A34E-AABBC123F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58993" y="1039735"/>
          <a:ext cx="2118799" cy="1341515"/>
        </a:xfrm>
        <a:prstGeom prst="rect">
          <a:avLst/>
        </a:prstGeom>
      </xdr:spPr>
    </xdr:pic>
    <xdr:clientData/>
  </xdr:twoCellAnchor>
  <xdr:oneCellAnchor>
    <xdr:from>
      <xdr:col>11</xdr:col>
      <xdr:colOff>78690</xdr:colOff>
      <xdr:row>4</xdr:row>
      <xdr:rowOff>63067</xdr:rowOff>
    </xdr:from>
    <xdr:ext cx="1988235" cy="1337107"/>
    <xdr:pic>
      <xdr:nvPicPr>
        <xdr:cNvPr id="4" name="Picture 3">
          <a:extLst>
            <a:ext uri="{FF2B5EF4-FFF2-40B4-BE49-F238E27FC236}">
              <a16:creationId xmlns:a16="http://schemas.microsoft.com/office/drawing/2014/main" id="{800B6F7B-FB17-4B46-802D-FA34CEC45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8615" y="1053667"/>
          <a:ext cx="1988235" cy="13371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9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85546875" style="3" bestFit="1" customWidth="1"/>
    <col min="4" max="4" width="22.85546875" style="3" bestFit="1" customWidth="1"/>
    <col min="5" max="5" width="9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0" style="3" bestFit="1" customWidth="1"/>
    <col min="10" max="10" width="31.5703125" style="4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7"/>
      <c r="K6" s="27"/>
      <c r="L6" s="27"/>
      <c r="N6" s="28" t="s">
        <v>19</v>
      </c>
      <c r="O6" s="29"/>
      <c r="P6" s="29"/>
      <c r="Q6" s="29"/>
    </row>
    <row r="7" spans="2:17" x14ac:dyDescent="0.2">
      <c r="B7" s="25" t="s">
        <v>20</v>
      </c>
      <c r="C7" s="25" t="s">
        <v>21</v>
      </c>
      <c r="D7" s="25" t="s">
        <v>22</v>
      </c>
      <c r="E7" s="30">
        <v>4500</v>
      </c>
      <c r="F7" s="26">
        <v>22417.34</v>
      </c>
      <c r="G7" s="26">
        <v>6.14</v>
      </c>
      <c r="H7" s="26">
        <v>7.08</v>
      </c>
      <c r="I7" s="4"/>
      <c r="J7" s="27"/>
      <c r="K7" s="27"/>
      <c r="L7" s="27"/>
      <c r="N7" s="31" t="s">
        <v>23</v>
      </c>
      <c r="O7" s="32" t="s">
        <v>24</v>
      </c>
      <c r="P7" s="33"/>
      <c r="Q7" s="34"/>
    </row>
    <row r="8" spans="2:17" x14ac:dyDescent="0.2">
      <c r="B8" s="25" t="s">
        <v>25</v>
      </c>
      <c r="C8" s="25" t="s">
        <v>26</v>
      </c>
      <c r="D8" s="25" t="s">
        <v>27</v>
      </c>
      <c r="E8" s="30">
        <v>4000</v>
      </c>
      <c r="F8" s="26">
        <v>19946.060000000001</v>
      </c>
      <c r="G8" s="26">
        <v>5.47</v>
      </c>
      <c r="H8" s="26">
        <v>7.05</v>
      </c>
      <c r="I8" s="4"/>
      <c r="J8" s="27"/>
      <c r="K8" s="27"/>
      <c r="L8" s="27"/>
      <c r="N8" s="35"/>
      <c r="O8" s="36"/>
      <c r="P8" s="37"/>
      <c r="Q8" s="38"/>
    </row>
    <row r="9" spans="2:17" x14ac:dyDescent="0.2">
      <c r="B9" s="25" t="s">
        <v>28</v>
      </c>
      <c r="C9" s="25" t="s">
        <v>29</v>
      </c>
      <c r="D9" s="25" t="s">
        <v>22</v>
      </c>
      <c r="E9" s="30">
        <v>3000</v>
      </c>
      <c r="F9" s="26">
        <v>14924.37</v>
      </c>
      <c r="G9" s="26">
        <v>4.09</v>
      </c>
      <c r="H9" s="26">
        <v>7.11</v>
      </c>
      <c r="I9" s="4"/>
      <c r="J9" s="27"/>
      <c r="K9" s="27"/>
      <c r="L9" s="27"/>
      <c r="N9" s="31" t="s">
        <v>30</v>
      </c>
      <c r="O9" s="34"/>
      <c r="P9" s="34"/>
      <c r="Q9" s="34"/>
    </row>
    <row r="10" spans="2:17" x14ac:dyDescent="0.2">
      <c r="B10" s="25" t="s">
        <v>31</v>
      </c>
      <c r="C10" s="25" t="s">
        <v>32</v>
      </c>
      <c r="D10" s="25" t="s">
        <v>33</v>
      </c>
      <c r="E10" s="30">
        <v>3000</v>
      </c>
      <c r="F10" s="26">
        <v>14760.24</v>
      </c>
      <c r="G10" s="26">
        <v>4.05</v>
      </c>
      <c r="H10" s="26">
        <v>7.7</v>
      </c>
      <c r="I10" s="4"/>
      <c r="J10" s="27"/>
      <c r="K10" s="27"/>
      <c r="L10" s="27"/>
      <c r="N10" s="35"/>
      <c r="O10" s="38"/>
      <c r="P10" s="38"/>
      <c r="Q10" s="38"/>
    </row>
    <row r="11" spans="2:17" x14ac:dyDescent="0.2">
      <c r="B11" s="25" t="s">
        <v>34</v>
      </c>
      <c r="C11" s="25" t="s">
        <v>35</v>
      </c>
      <c r="D11" s="25" t="s">
        <v>27</v>
      </c>
      <c r="E11" s="30">
        <v>3000</v>
      </c>
      <c r="F11" s="26">
        <v>14759.48</v>
      </c>
      <c r="G11" s="26">
        <v>4.05</v>
      </c>
      <c r="H11" s="26">
        <v>7.72</v>
      </c>
      <c r="I11" s="4"/>
      <c r="J11" s="27"/>
      <c r="K11" s="27"/>
      <c r="L11" s="27"/>
      <c r="N11" s="31" t="s">
        <v>36</v>
      </c>
      <c r="O11" s="34"/>
      <c r="P11" s="34"/>
      <c r="Q11" s="34"/>
    </row>
    <row r="12" spans="2:17" x14ac:dyDescent="0.2">
      <c r="B12" s="25" t="s">
        <v>37</v>
      </c>
      <c r="C12" s="25" t="s">
        <v>38</v>
      </c>
      <c r="D12" s="25" t="s">
        <v>27</v>
      </c>
      <c r="E12" s="30">
        <v>2500</v>
      </c>
      <c r="F12" s="26">
        <v>12454.18</v>
      </c>
      <c r="G12" s="26">
        <v>3.41</v>
      </c>
      <c r="H12" s="26">
        <v>7.07</v>
      </c>
      <c r="I12" s="4"/>
      <c r="J12" s="39"/>
      <c r="K12" s="39"/>
      <c r="L12" s="39"/>
      <c r="N12" s="35"/>
      <c r="O12" s="38"/>
      <c r="P12" s="38"/>
      <c r="Q12" s="38"/>
    </row>
    <row r="13" spans="2:17" x14ac:dyDescent="0.2">
      <c r="B13" s="25" t="s">
        <v>39</v>
      </c>
      <c r="C13" s="25" t="s">
        <v>40</v>
      </c>
      <c r="D13" s="25" t="s">
        <v>27</v>
      </c>
      <c r="E13" s="30">
        <v>2000</v>
      </c>
      <c r="F13" s="26">
        <v>9948.01</v>
      </c>
      <c r="G13" s="26">
        <v>2.73</v>
      </c>
      <c r="H13" s="26">
        <v>7.07</v>
      </c>
      <c r="I13" s="4"/>
      <c r="J13" s="40"/>
      <c r="K13" s="40" t="s">
        <v>41</v>
      </c>
      <c r="L13" s="4"/>
    </row>
    <row r="14" spans="2:17" x14ac:dyDescent="0.2">
      <c r="B14" s="25" t="s">
        <v>42</v>
      </c>
      <c r="C14" s="25" t="s">
        <v>43</v>
      </c>
      <c r="D14" s="25" t="s">
        <v>33</v>
      </c>
      <c r="E14" s="30">
        <v>2000</v>
      </c>
      <c r="F14" s="26">
        <v>9862.33</v>
      </c>
      <c r="G14" s="26">
        <v>2.7</v>
      </c>
      <c r="H14" s="26">
        <v>7.72</v>
      </c>
      <c r="I14" s="4"/>
      <c r="K14" s="4"/>
      <c r="L14" s="4"/>
    </row>
    <row r="15" spans="2:17" x14ac:dyDescent="0.2">
      <c r="B15" s="25" t="s">
        <v>44</v>
      </c>
      <c r="C15" s="25" t="s">
        <v>45</v>
      </c>
      <c r="D15" s="25" t="s">
        <v>33</v>
      </c>
      <c r="E15" s="30">
        <v>1500</v>
      </c>
      <c r="F15" s="26">
        <v>7449.19</v>
      </c>
      <c r="G15" s="26">
        <v>2.04</v>
      </c>
      <c r="H15" s="26">
        <v>7.78</v>
      </c>
      <c r="I15" s="4"/>
      <c r="K15" s="4"/>
      <c r="L15" s="4"/>
    </row>
    <row r="16" spans="2:17" x14ac:dyDescent="0.2">
      <c r="B16" s="25" t="s">
        <v>46</v>
      </c>
      <c r="C16" s="25" t="s">
        <v>47</v>
      </c>
      <c r="D16" s="25" t="s">
        <v>27</v>
      </c>
      <c r="E16" s="30">
        <v>1000</v>
      </c>
      <c r="F16" s="26">
        <v>4974.97</v>
      </c>
      <c r="G16" s="26">
        <v>1.36</v>
      </c>
      <c r="H16" s="26">
        <v>7.07</v>
      </c>
      <c r="I16" s="4"/>
      <c r="K16" s="4"/>
      <c r="L16" s="4"/>
    </row>
    <row r="17" spans="2:12" x14ac:dyDescent="0.2">
      <c r="B17" s="25" t="s">
        <v>48</v>
      </c>
      <c r="C17" s="25" t="s">
        <v>49</v>
      </c>
      <c r="D17" s="25" t="s">
        <v>33</v>
      </c>
      <c r="E17" s="30">
        <v>1000</v>
      </c>
      <c r="F17" s="26">
        <v>4914.76</v>
      </c>
      <c r="G17" s="26">
        <v>1.35</v>
      </c>
      <c r="H17" s="26">
        <v>7.72</v>
      </c>
      <c r="I17" s="4"/>
      <c r="K17" s="4"/>
      <c r="L17" s="4"/>
    </row>
    <row r="18" spans="2:12" x14ac:dyDescent="0.2">
      <c r="B18" s="25" t="s">
        <v>50</v>
      </c>
      <c r="C18" s="25" t="s">
        <v>51</v>
      </c>
      <c r="D18" s="25" t="s">
        <v>27</v>
      </c>
      <c r="E18" s="30">
        <v>500</v>
      </c>
      <c r="F18" s="26">
        <v>2493.7399999999998</v>
      </c>
      <c r="G18" s="26">
        <v>0.68</v>
      </c>
      <c r="H18" s="26">
        <v>7.05</v>
      </c>
      <c r="I18" s="4"/>
      <c r="K18" s="4"/>
      <c r="L18" s="4"/>
    </row>
    <row r="19" spans="2:12" x14ac:dyDescent="0.2">
      <c r="B19" s="25" t="s">
        <v>52</v>
      </c>
      <c r="C19" s="25" t="s">
        <v>53</v>
      </c>
      <c r="D19" s="25" t="s">
        <v>27</v>
      </c>
      <c r="E19" s="30">
        <v>500</v>
      </c>
      <c r="F19" s="26">
        <v>2486.9</v>
      </c>
      <c r="G19" s="26">
        <v>0.68</v>
      </c>
      <c r="H19" s="26">
        <v>7.12</v>
      </c>
      <c r="I19" s="4"/>
      <c r="K19" s="4"/>
      <c r="L19" s="4"/>
    </row>
    <row r="20" spans="2:12" x14ac:dyDescent="0.2">
      <c r="B20" s="25" t="s">
        <v>54</v>
      </c>
      <c r="C20" s="25" t="s">
        <v>55</v>
      </c>
      <c r="D20" s="25" t="s">
        <v>27</v>
      </c>
      <c r="E20" s="30">
        <v>500</v>
      </c>
      <c r="F20" s="26">
        <v>2482.98</v>
      </c>
      <c r="G20" s="26">
        <v>0.68</v>
      </c>
      <c r="H20" s="26">
        <v>7.82</v>
      </c>
      <c r="I20" s="4"/>
      <c r="K20" s="4"/>
      <c r="L20" s="4"/>
    </row>
    <row r="21" spans="2:12" x14ac:dyDescent="0.2">
      <c r="B21" s="24" t="s">
        <v>56</v>
      </c>
      <c r="C21" s="24"/>
      <c r="D21" s="24"/>
      <c r="E21" s="24"/>
      <c r="F21" s="41">
        <f>SUM(F6:F20)</f>
        <v>143874.55000000002</v>
      </c>
      <c r="G21" s="41">
        <f>SUM(G6:G20)</f>
        <v>39.43</v>
      </c>
      <c r="H21" s="42"/>
      <c r="I21" s="4"/>
      <c r="K21" s="4"/>
      <c r="L21" s="4"/>
    </row>
    <row r="22" spans="2:12" x14ac:dyDescent="0.2">
      <c r="B22" s="24" t="s">
        <v>57</v>
      </c>
      <c r="C22" s="25"/>
      <c r="D22" s="25"/>
      <c r="E22" s="25"/>
      <c r="F22" s="26"/>
      <c r="G22" s="26"/>
      <c r="H22" s="26"/>
      <c r="I22" s="4"/>
      <c r="K22" s="4"/>
      <c r="L22" s="4"/>
    </row>
    <row r="23" spans="2:12" x14ac:dyDescent="0.2">
      <c r="B23" s="25" t="s">
        <v>58</v>
      </c>
      <c r="C23" s="25" t="s">
        <v>59</v>
      </c>
      <c r="D23" s="25" t="s">
        <v>27</v>
      </c>
      <c r="E23" s="30">
        <v>4000</v>
      </c>
      <c r="F23" s="26">
        <v>19897.95</v>
      </c>
      <c r="G23" s="26">
        <v>5.45</v>
      </c>
      <c r="H23" s="26">
        <v>7.2</v>
      </c>
      <c r="I23" s="4"/>
      <c r="K23" s="4"/>
      <c r="L23" s="4"/>
    </row>
    <row r="24" spans="2:12" x14ac:dyDescent="0.2">
      <c r="B24" s="25" t="s">
        <v>60</v>
      </c>
      <c r="C24" s="25" t="s">
        <v>61</v>
      </c>
      <c r="D24" s="25" t="s">
        <v>62</v>
      </c>
      <c r="E24" s="30">
        <v>3000</v>
      </c>
      <c r="F24" s="26">
        <v>14927.12</v>
      </c>
      <c r="G24" s="26">
        <v>4.09</v>
      </c>
      <c r="H24" s="26">
        <v>7.13</v>
      </c>
      <c r="I24" s="4"/>
      <c r="K24" s="4"/>
      <c r="L24" s="4"/>
    </row>
    <row r="25" spans="2:12" x14ac:dyDescent="0.2">
      <c r="B25" s="25" t="s">
        <v>63</v>
      </c>
      <c r="C25" s="25" t="s">
        <v>64</v>
      </c>
      <c r="D25" s="25" t="s">
        <v>62</v>
      </c>
      <c r="E25" s="30">
        <v>2800</v>
      </c>
      <c r="F25" s="26">
        <v>13904.8</v>
      </c>
      <c r="G25" s="26">
        <v>3.81</v>
      </c>
      <c r="H25" s="26">
        <v>7.81</v>
      </c>
      <c r="I25" s="4"/>
      <c r="K25" s="4"/>
      <c r="L25" s="4"/>
    </row>
    <row r="26" spans="2:12" x14ac:dyDescent="0.2">
      <c r="B26" s="25" t="s">
        <v>65</v>
      </c>
      <c r="C26" s="25" t="s">
        <v>66</v>
      </c>
      <c r="D26" s="25" t="s">
        <v>22</v>
      </c>
      <c r="E26" s="30">
        <v>2000</v>
      </c>
      <c r="F26" s="26">
        <v>9980.6299999999992</v>
      </c>
      <c r="G26" s="26">
        <v>2.74</v>
      </c>
      <c r="H26" s="26">
        <v>7.09</v>
      </c>
      <c r="I26" s="4"/>
      <c r="K26" s="4"/>
      <c r="L26" s="4"/>
    </row>
    <row r="27" spans="2:12" x14ac:dyDescent="0.2">
      <c r="B27" s="25" t="s">
        <v>67</v>
      </c>
      <c r="C27" s="25" t="s">
        <v>68</v>
      </c>
      <c r="D27" s="25" t="s">
        <v>27</v>
      </c>
      <c r="E27" s="30">
        <v>2000</v>
      </c>
      <c r="F27" s="26">
        <v>9962.1299999999992</v>
      </c>
      <c r="G27" s="26">
        <v>2.73</v>
      </c>
      <c r="H27" s="26">
        <v>7.71</v>
      </c>
      <c r="I27" s="4"/>
      <c r="K27" s="4"/>
      <c r="L27" s="4"/>
    </row>
    <row r="28" spans="2:12" x14ac:dyDescent="0.2">
      <c r="B28" s="25" t="s">
        <v>69</v>
      </c>
      <c r="C28" s="25" t="s">
        <v>70</v>
      </c>
      <c r="D28" s="25" t="s">
        <v>27</v>
      </c>
      <c r="E28" s="30">
        <v>2000</v>
      </c>
      <c r="F28" s="26">
        <v>9959.56</v>
      </c>
      <c r="G28" s="26">
        <v>2.73</v>
      </c>
      <c r="H28" s="26">
        <v>7.8</v>
      </c>
      <c r="I28" s="4"/>
      <c r="K28" s="4"/>
      <c r="L28" s="4"/>
    </row>
    <row r="29" spans="2:12" x14ac:dyDescent="0.2">
      <c r="B29" s="25" t="s">
        <v>71</v>
      </c>
      <c r="C29" s="25" t="s">
        <v>72</v>
      </c>
      <c r="D29" s="25" t="s">
        <v>62</v>
      </c>
      <c r="E29" s="30">
        <v>2000</v>
      </c>
      <c r="F29" s="26">
        <v>9873.9699999999993</v>
      </c>
      <c r="G29" s="26">
        <v>2.71</v>
      </c>
      <c r="H29" s="26">
        <v>7.77</v>
      </c>
      <c r="I29" s="4"/>
      <c r="K29" s="4"/>
      <c r="L29" s="4"/>
    </row>
    <row r="30" spans="2:12" x14ac:dyDescent="0.2">
      <c r="B30" s="25" t="s">
        <v>73</v>
      </c>
      <c r="C30" s="25" t="s">
        <v>74</v>
      </c>
      <c r="D30" s="25" t="s">
        <v>27</v>
      </c>
      <c r="E30" s="30">
        <v>1500</v>
      </c>
      <c r="F30" s="26">
        <v>7482.86</v>
      </c>
      <c r="G30" s="26">
        <v>2.0499999999999998</v>
      </c>
      <c r="H30" s="26">
        <v>7.6</v>
      </c>
      <c r="I30" s="4"/>
      <c r="K30" s="4"/>
      <c r="L30" s="4"/>
    </row>
    <row r="31" spans="2:12" x14ac:dyDescent="0.2">
      <c r="B31" s="25" t="s">
        <v>75</v>
      </c>
      <c r="C31" s="25" t="s">
        <v>76</v>
      </c>
      <c r="D31" s="25" t="s">
        <v>62</v>
      </c>
      <c r="E31" s="30">
        <v>1500</v>
      </c>
      <c r="F31" s="26">
        <v>7477.64</v>
      </c>
      <c r="G31" s="26">
        <v>2.0499999999999998</v>
      </c>
      <c r="H31" s="26">
        <v>7.8</v>
      </c>
      <c r="I31" s="4"/>
      <c r="K31" s="4"/>
      <c r="L31" s="4"/>
    </row>
    <row r="32" spans="2:12" x14ac:dyDescent="0.2">
      <c r="B32" s="25" t="s">
        <v>77</v>
      </c>
      <c r="C32" s="25" t="s">
        <v>78</v>
      </c>
      <c r="D32" s="25" t="s">
        <v>27</v>
      </c>
      <c r="E32" s="30">
        <v>1500</v>
      </c>
      <c r="F32" s="26">
        <v>7466.49</v>
      </c>
      <c r="G32" s="26">
        <v>2.0499999999999998</v>
      </c>
      <c r="H32" s="26">
        <v>7.8</v>
      </c>
      <c r="I32" s="4"/>
      <c r="K32" s="4"/>
      <c r="L32" s="4"/>
    </row>
    <row r="33" spans="2:12" x14ac:dyDescent="0.2">
      <c r="B33" s="25" t="s">
        <v>79</v>
      </c>
      <c r="C33" s="25" t="s">
        <v>80</v>
      </c>
      <c r="D33" s="25" t="s">
        <v>62</v>
      </c>
      <c r="E33" s="30">
        <v>1000</v>
      </c>
      <c r="F33" s="26">
        <v>4994.01</v>
      </c>
      <c r="G33" s="26">
        <v>1.37</v>
      </c>
      <c r="H33" s="26">
        <v>7.31</v>
      </c>
      <c r="I33" s="4"/>
      <c r="K33" s="4"/>
      <c r="L33" s="4"/>
    </row>
    <row r="34" spans="2:12" x14ac:dyDescent="0.2">
      <c r="B34" s="25" t="s">
        <v>81</v>
      </c>
      <c r="C34" s="25" t="s">
        <v>82</v>
      </c>
      <c r="D34" s="25" t="s">
        <v>27</v>
      </c>
      <c r="E34" s="30">
        <v>1000</v>
      </c>
      <c r="F34" s="26">
        <v>4993.8900000000003</v>
      </c>
      <c r="G34" s="26">
        <v>1.37</v>
      </c>
      <c r="H34" s="26">
        <v>7.45</v>
      </c>
      <c r="I34" s="4"/>
      <c r="K34" s="4"/>
      <c r="L34" s="4"/>
    </row>
    <row r="35" spans="2:12" x14ac:dyDescent="0.2">
      <c r="B35" s="25" t="s">
        <v>83</v>
      </c>
      <c r="C35" s="25" t="s">
        <v>84</v>
      </c>
      <c r="D35" s="25" t="s">
        <v>27</v>
      </c>
      <c r="E35" s="30">
        <v>1000</v>
      </c>
      <c r="F35" s="26">
        <v>4920.45</v>
      </c>
      <c r="G35" s="26">
        <v>1.35</v>
      </c>
      <c r="H35" s="26">
        <v>7.77</v>
      </c>
      <c r="I35" s="4"/>
      <c r="K35" s="4"/>
      <c r="L35" s="4"/>
    </row>
    <row r="36" spans="2:12" x14ac:dyDescent="0.2">
      <c r="B36" s="25" t="s">
        <v>85</v>
      </c>
      <c r="C36" s="25" t="s">
        <v>86</v>
      </c>
      <c r="D36" s="25" t="s">
        <v>27</v>
      </c>
      <c r="E36" s="30">
        <v>1000</v>
      </c>
      <c r="F36" s="26">
        <v>4916.16</v>
      </c>
      <c r="G36" s="26">
        <v>1.35</v>
      </c>
      <c r="H36" s="26">
        <v>8.3000000000000007</v>
      </c>
      <c r="I36" s="4"/>
      <c r="K36" s="4"/>
      <c r="L36" s="4"/>
    </row>
    <row r="37" spans="2:12" x14ac:dyDescent="0.2">
      <c r="B37" s="25" t="s">
        <v>87</v>
      </c>
      <c r="C37" s="25" t="s">
        <v>88</v>
      </c>
      <c r="D37" s="25" t="s">
        <v>27</v>
      </c>
      <c r="E37" s="30">
        <v>1000</v>
      </c>
      <c r="F37" s="26">
        <v>4906.29</v>
      </c>
      <c r="G37" s="26">
        <v>1.34</v>
      </c>
      <c r="H37" s="26">
        <v>8.3000000000000007</v>
      </c>
      <c r="I37" s="4"/>
      <c r="K37" s="4"/>
      <c r="L37" s="4"/>
    </row>
    <row r="38" spans="2:12" x14ac:dyDescent="0.2">
      <c r="B38" s="25" t="s">
        <v>89</v>
      </c>
      <c r="C38" s="25" t="s">
        <v>90</v>
      </c>
      <c r="D38" s="25" t="s">
        <v>62</v>
      </c>
      <c r="E38" s="30">
        <v>500</v>
      </c>
      <c r="F38" s="26">
        <v>2493.25</v>
      </c>
      <c r="G38" s="26">
        <v>0.68</v>
      </c>
      <c r="H38" s="26">
        <v>7.6</v>
      </c>
      <c r="I38" s="4"/>
      <c r="K38" s="4"/>
      <c r="L38" s="4"/>
    </row>
    <row r="39" spans="2:12" x14ac:dyDescent="0.2">
      <c r="B39" s="25" t="s">
        <v>91</v>
      </c>
      <c r="C39" s="25" t="s">
        <v>92</v>
      </c>
      <c r="D39" s="25" t="s">
        <v>62</v>
      </c>
      <c r="E39" s="30">
        <v>500</v>
      </c>
      <c r="F39" s="26">
        <v>2490.09</v>
      </c>
      <c r="G39" s="26">
        <v>0.68</v>
      </c>
      <c r="H39" s="26">
        <v>7.65</v>
      </c>
      <c r="I39" s="4"/>
      <c r="K39" s="4"/>
      <c r="L39" s="4"/>
    </row>
    <row r="40" spans="2:12" x14ac:dyDescent="0.2">
      <c r="B40" s="25" t="s">
        <v>93</v>
      </c>
      <c r="C40" s="25" t="s">
        <v>94</v>
      </c>
      <c r="D40" s="25" t="s">
        <v>27</v>
      </c>
      <c r="E40" s="30">
        <v>500</v>
      </c>
      <c r="F40" s="26">
        <v>2485.9499999999998</v>
      </c>
      <c r="G40" s="26">
        <v>0.68</v>
      </c>
      <c r="H40" s="26">
        <v>7.94</v>
      </c>
      <c r="I40" s="4"/>
      <c r="K40" s="4"/>
      <c r="L40" s="4"/>
    </row>
    <row r="41" spans="2:12" x14ac:dyDescent="0.2">
      <c r="B41" s="24" t="s">
        <v>56</v>
      </c>
      <c r="C41" s="24"/>
      <c r="D41" s="24"/>
      <c r="E41" s="24"/>
      <c r="F41" s="41">
        <f>SUM(F22:F40)</f>
        <v>143133.24</v>
      </c>
      <c r="G41" s="41">
        <f>SUM(G22:G40)</f>
        <v>39.230000000000011</v>
      </c>
      <c r="H41" s="42"/>
      <c r="I41" s="4"/>
      <c r="K41" s="4"/>
      <c r="L41" s="4"/>
    </row>
    <row r="42" spans="2:12" x14ac:dyDescent="0.2">
      <c r="B42" s="24" t="s">
        <v>95</v>
      </c>
      <c r="C42" s="25"/>
      <c r="D42" s="25"/>
      <c r="E42" s="25"/>
      <c r="F42" s="26"/>
      <c r="G42" s="26"/>
      <c r="H42" s="26"/>
      <c r="I42" s="4"/>
      <c r="K42" s="4"/>
      <c r="L42" s="4"/>
    </row>
    <row r="43" spans="2:12" x14ac:dyDescent="0.2">
      <c r="B43" s="25" t="s">
        <v>96</v>
      </c>
      <c r="C43" s="25" t="s">
        <v>97</v>
      </c>
      <c r="D43" s="25" t="s">
        <v>98</v>
      </c>
      <c r="E43" s="30">
        <v>19500000</v>
      </c>
      <c r="F43" s="26">
        <v>19351.099999999999</v>
      </c>
      <c r="G43" s="26">
        <v>5.3</v>
      </c>
      <c r="H43" s="26">
        <v>6.85</v>
      </c>
      <c r="I43" s="4"/>
      <c r="K43" s="4"/>
      <c r="L43" s="4"/>
    </row>
    <row r="44" spans="2:12" x14ac:dyDescent="0.2">
      <c r="B44" s="25" t="s">
        <v>99</v>
      </c>
      <c r="C44" s="25" t="s">
        <v>100</v>
      </c>
      <c r="D44" s="25" t="s">
        <v>98</v>
      </c>
      <c r="E44" s="30">
        <v>15000000</v>
      </c>
      <c r="F44" s="26">
        <v>14827.47</v>
      </c>
      <c r="G44" s="26">
        <v>4.0599999999999996</v>
      </c>
      <c r="H44" s="26">
        <v>6.85</v>
      </c>
      <c r="I44" s="4"/>
      <c r="K44" s="4"/>
      <c r="L44" s="4"/>
    </row>
    <row r="45" spans="2:12" x14ac:dyDescent="0.2">
      <c r="B45" s="25" t="s">
        <v>101</v>
      </c>
      <c r="C45" s="25" t="s">
        <v>102</v>
      </c>
      <c r="D45" s="25" t="s">
        <v>98</v>
      </c>
      <c r="E45" s="30">
        <v>12500000</v>
      </c>
      <c r="F45" s="26">
        <v>12371.38</v>
      </c>
      <c r="G45" s="26">
        <v>3.39</v>
      </c>
      <c r="H45" s="26">
        <v>6.9</v>
      </c>
      <c r="I45" s="4"/>
      <c r="K45" s="4"/>
      <c r="L45" s="4"/>
    </row>
    <row r="46" spans="2:12" x14ac:dyDescent="0.2">
      <c r="B46" s="25" t="s">
        <v>103</v>
      </c>
      <c r="C46" s="25" t="s">
        <v>104</v>
      </c>
      <c r="D46" s="25" t="s">
        <v>98</v>
      </c>
      <c r="E46" s="30">
        <v>10000000</v>
      </c>
      <c r="F46" s="26">
        <v>9936.6</v>
      </c>
      <c r="G46" s="26">
        <v>2.72</v>
      </c>
      <c r="H46" s="26">
        <v>6.85</v>
      </c>
      <c r="I46" s="4"/>
      <c r="K46" s="4"/>
      <c r="L46" s="4"/>
    </row>
    <row r="47" spans="2:12" x14ac:dyDescent="0.2">
      <c r="B47" s="25" t="s">
        <v>105</v>
      </c>
      <c r="C47" s="25" t="s">
        <v>106</v>
      </c>
      <c r="D47" s="25" t="s">
        <v>98</v>
      </c>
      <c r="E47" s="30">
        <v>10000000</v>
      </c>
      <c r="F47" s="26">
        <v>9923.64</v>
      </c>
      <c r="G47" s="26">
        <v>2.72</v>
      </c>
      <c r="H47" s="26">
        <v>6.85</v>
      </c>
      <c r="I47" s="4"/>
      <c r="K47" s="4"/>
      <c r="L47" s="4"/>
    </row>
    <row r="48" spans="2:12" x14ac:dyDescent="0.2">
      <c r="B48" s="25" t="s">
        <v>107</v>
      </c>
      <c r="C48" s="25" t="s">
        <v>108</v>
      </c>
      <c r="D48" s="25" t="s">
        <v>98</v>
      </c>
      <c r="E48" s="30">
        <v>5000000</v>
      </c>
      <c r="F48" s="26">
        <v>4948.92</v>
      </c>
      <c r="G48" s="26">
        <v>1.36</v>
      </c>
      <c r="H48" s="26">
        <v>6.85</v>
      </c>
      <c r="I48" s="4"/>
      <c r="K48" s="4"/>
      <c r="L48" s="4"/>
    </row>
    <row r="49" spans="2:12" x14ac:dyDescent="0.2">
      <c r="B49" s="25" t="s">
        <v>109</v>
      </c>
      <c r="C49" s="25" t="s">
        <v>110</v>
      </c>
      <c r="D49" s="25" t="s">
        <v>98</v>
      </c>
      <c r="E49" s="30">
        <v>3000000</v>
      </c>
      <c r="F49" s="26">
        <v>2973.14</v>
      </c>
      <c r="G49" s="26">
        <v>0.81</v>
      </c>
      <c r="H49" s="26">
        <v>6.87</v>
      </c>
      <c r="I49" s="4"/>
      <c r="K49" s="4"/>
      <c r="L49" s="4"/>
    </row>
    <row r="50" spans="2:12" x14ac:dyDescent="0.2">
      <c r="B50" s="43" t="s">
        <v>56</v>
      </c>
      <c r="C50" s="43"/>
      <c r="D50" s="43"/>
      <c r="E50" s="43"/>
      <c r="F50" s="44">
        <f>SUM(F42:F49)</f>
        <v>74332.25</v>
      </c>
      <c r="G50" s="44">
        <f>SUM(G42:G49)</f>
        <v>20.36</v>
      </c>
      <c r="H50" s="45"/>
      <c r="I50" s="4"/>
      <c r="K50" s="4"/>
      <c r="L50" s="4"/>
    </row>
    <row r="51" spans="2:12" x14ac:dyDescent="0.2">
      <c r="B51" s="46" t="s">
        <v>111</v>
      </c>
      <c r="C51" s="46"/>
      <c r="D51" s="46"/>
      <c r="E51" s="46"/>
      <c r="F51" s="47">
        <f>F21+F41+F50</f>
        <v>361340.04000000004</v>
      </c>
      <c r="G51" s="47">
        <f>G21+G41+G50</f>
        <v>99.02000000000001</v>
      </c>
      <c r="H51" s="47"/>
      <c r="I51" s="4"/>
      <c r="K51" s="4"/>
      <c r="L51" s="4"/>
    </row>
    <row r="52" spans="2:12" x14ac:dyDescent="0.2">
      <c r="B52" s="24" t="s">
        <v>112</v>
      </c>
      <c r="C52" s="25"/>
      <c r="D52" s="25"/>
      <c r="E52" s="25"/>
      <c r="F52" s="26"/>
      <c r="G52" s="26"/>
      <c r="H52" s="26"/>
      <c r="I52" s="4"/>
      <c r="K52" s="4"/>
      <c r="L52" s="4"/>
    </row>
    <row r="53" spans="2:12" x14ac:dyDescent="0.2">
      <c r="B53" s="48" t="s">
        <v>113</v>
      </c>
      <c r="C53" s="48" t="s">
        <v>114</v>
      </c>
      <c r="D53" s="48" t="s">
        <v>112</v>
      </c>
      <c r="E53" s="49">
        <v>6377.6809999999996</v>
      </c>
      <c r="F53" s="50">
        <v>647.54999999999995</v>
      </c>
      <c r="G53" s="50">
        <v>0.18</v>
      </c>
      <c r="H53" s="50">
        <v>7.0349931203917899</v>
      </c>
      <c r="I53" s="4"/>
      <c r="K53" s="4"/>
      <c r="L53" s="4"/>
    </row>
    <row r="54" spans="2:12" x14ac:dyDescent="0.2">
      <c r="B54" s="51" t="s">
        <v>111</v>
      </c>
      <c r="C54" s="51"/>
      <c r="D54" s="51"/>
      <c r="E54" s="51"/>
      <c r="F54" s="41">
        <f>SUM(F53:F53)</f>
        <v>647.54999999999995</v>
      </c>
      <c r="G54" s="41">
        <f>SUM(G53:G53)</f>
        <v>0.18</v>
      </c>
      <c r="H54" s="41"/>
      <c r="I54" s="4"/>
      <c r="K54" s="4"/>
      <c r="L54" s="4"/>
    </row>
    <row r="55" spans="2:12" x14ac:dyDescent="0.2">
      <c r="B55" s="24" t="s">
        <v>115</v>
      </c>
      <c r="C55" s="25"/>
      <c r="D55" s="25"/>
      <c r="E55" s="25"/>
      <c r="F55" s="26"/>
      <c r="G55" s="26"/>
      <c r="H55" s="26"/>
      <c r="I55" s="4"/>
      <c r="K55" s="4"/>
      <c r="L55" s="4"/>
    </row>
    <row r="56" spans="2:12" x14ac:dyDescent="0.2">
      <c r="B56" s="25" t="s">
        <v>115</v>
      </c>
      <c r="C56" s="25"/>
      <c r="D56" s="25"/>
      <c r="E56" s="25"/>
      <c r="F56" s="26">
        <v>2311.0100000000002</v>
      </c>
      <c r="G56" s="26">
        <v>0.63</v>
      </c>
      <c r="H56" s="26"/>
      <c r="I56" s="4"/>
      <c r="K56" s="4"/>
      <c r="L56" s="4"/>
    </row>
    <row r="57" spans="2:12" x14ac:dyDescent="0.2">
      <c r="B57" s="43" t="s">
        <v>56</v>
      </c>
      <c r="C57" s="43"/>
      <c r="D57" s="43"/>
      <c r="E57" s="43"/>
      <c r="F57" s="44">
        <f>SUM(F55:F56)</f>
        <v>2311.0100000000002</v>
      </c>
      <c r="G57" s="44">
        <f>SUM(G55:G56)</f>
        <v>0.63</v>
      </c>
      <c r="H57" s="45"/>
      <c r="I57" s="4"/>
      <c r="K57" s="4"/>
      <c r="L57" s="4"/>
    </row>
    <row r="58" spans="2:12" x14ac:dyDescent="0.2">
      <c r="B58" s="52" t="s">
        <v>111</v>
      </c>
      <c r="C58" s="52"/>
      <c r="D58" s="52"/>
      <c r="E58" s="52"/>
      <c r="F58" s="53">
        <f>F57</f>
        <v>2311.0100000000002</v>
      </c>
      <c r="G58" s="53">
        <f>G57</f>
        <v>0.63</v>
      </c>
      <c r="H58" s="53"/>
      <c r="I58" s="4"/>
      <c r="K58" s="4"/>
      <c r="L58" s="4"/>
    </row>
    <row r="59" spans="2:12" x14ac:dyDescent="0.2">
      <c r="B59" s="54" t="s">
        <v>116</v>
      </c>
      <c r="C59" s="54"/>
      <c r="D59" s="54"/>
      <c r="E59" s="54"/>
      <c r="F59" s="55">
        <f>F60-(+F51+F54+F58)</f>
        <v>577.04999999998836</v>
      </c>
      <c r="G59" s="55">
        <f>G60-(+G51+G54+G58)</f>
        <v>0.16999999999998749</v>
      </c>
      <c r="H59" s="55"/>
      <c r="I59" s="4"/>
      <c r="K59" s="4"/>
      <c r="L59" s="4"/>
    </row>
    <row r="60" spans="2:12" x14ac:dyDescent="0.2">
      <c r="B60" s="54" t="s">
        <v>117</v>
      </c>
      <c r="C60" s="54"/>
      <c r="D60" s="54"/>
      <c r="E60" s="54"/>
      <c r="F60" s="55">
        <v>364875.65</v>
      </c>
      <c r="G60" s="55">
        <v>100</v>
      </c>
      <c r="H60" s="55"/>
      <c r="I60" s="4"/>
      <c r="K60" s="4"/>
      <c r="L60" s="4"/>
    </row>
    <row r="61" spans="2:12" x14ac:dyDescent="0.2">
      <c r="I61" s="4"/>
      <c r="K61" s="4"/>
      <c r="L61" s="4"/>
    </row>
    <row r="62" spans="2:12" x14ac:dyDescent="0.2">
      <c r="B62" s="56" t="s">
        <v>118</v>
      </c>
      <c r="I62" s="4"/>
      <c r="K62" s="4"/>
      <c r="L62" s="4"/>
    </row>
    <row r="63" spans="2:12" x14ac:dyDescent="0.2">
      <c r="B63" s="56" t="s">
        <v>119</v>
      </c>
      <c r="I63" s="4"/>
      <c r="K63" s="4"/>
      <c r="L63" s="4"/>
    </row>
    <row r="64" spans="2:12" ht="12.75" thickBot="1" x14ac:dyDescent="0.25">
      <c r="I64" s="4"/>
      <c r="K64" s="4"/>
      <c r="L64" s="4"/>
    </row>
    <row r="65" spans="2:12" ht="13.5" thickTop="1" thickBot="1" x14ac:dyDescent="0.25">
      <c r="B65" s="57" t="s">
        <v>120</v>
      </c>
      <c r="C65" s="58">
        <v>9.1800000000000007E-2</v>
      </c>
      <c r="I65" s="4"/>
      <c r="K65" s="4"/>
      <c r="L65" s="4"/>
    </row>
    <row r="66" spans="2:12" ht="13.5" thickTop="1" thickBot="1" x14ac:dyDescent="0.25">
      <c r="I66" s="4"/>
      <c r="K66" s="4"/>
      <c r="L66" s="4"/>
    </row>
    <row r="67" spans="2:12" ht="13.5" thickTop="1" thickBot="1" x14ac:dyDescent="0.25">
      <c r="B67" s="57" t="s">
        <v>121</v>
      </c>
      <c r="C67" s="59">
        <v>7.3200000000000001E-2</v>
      </c>
      <c r="I67" s="4"/>
      <c r="K67" s="4"/>
      <c r="L67" s="4"/>
    </row>
    <row r="68" spans="2:12" ht="13.5" thickTop="1" thickBot="1" x14ac:dyDescent="0.25">
      <c r="I68" s="4"/>
      <c r="K68" s="4"/>
      <c r="L68" s="4"/>
    </row>
    <row r="69" spans="2:12" ht="13.5" thickTop="1" thickBot="1" x14ac:dyDescent="0.25">
      <c r="B69" s="57" t="s">
        <v>122</v>
      </c>
      <c r="C69" s="58">
        <v>0.1013</v>
      </c>
      <c r="I69" s="4"/>
      <c r="K69" s="4"/>
      <c r="L69" s="4"/>
    </row>
    <row r="70" spans="2:12" ht="12.75" thickTop="1" x14ac:dyDescent="0.2">
      <c r="I70" s="4"/>
      <c r="K70" s="4"/>
      <c r="L70" s="4"/>
    </row>
    <row r="71" spans="2:12" x14ac:dyDescent="0.2">
      <c r="I71" s="4"/>
      <c r="K71" s="4"/>
      <c r="L71" s="4"/>
    </row>
    <row r="72" spans="2:12" x14ac:dyDescent="0.2">
      <c r="I72" s="4"/>
      <c r="K72" s="4"/>
      <c r="L72" s="4"/>
    </row>
    <row r="73" spans="2:12" x14ac:dyDescent="0.2">
      <c r="I73" s="4"/>
      <c r="K73" s="4"/>
      <c r="L73" s="4"/>
    </row>
    <row r="74" spans="2:12" x14ac:dyDescent="0.2">
      <c r="I74" s="4"/>
      <c r="K74" s="4"/>
      <c r="L74" s="4"/>
    </row>
    <row r="75" spans="2:12" x14ac:dyDescent="0.2">
      <c r="I75" s="4"/>
      <c r="K75" s="4"/>
      <c r="L75" s="4"/>
    </row>
    <row r="76" spans="2:12" x14ac:dyDescent="0.2">
      <c r="I76" s="4"/>
      <c r="K76" s="4"/>
      <c r="L76" s="4"/>
    </row>
    <row r="77" spans="2:12" x14ac:dyDescent="0.2">
      <c r="I77" s="4"/>
      <c r="K77" s="4"/>
      <c r="L77" s="4"/>
    </row>
    <row r="78" spans="2:12" x14ac:dyDescent="0.2">
      <c r="I78" s="4"/>
      <c r="K78" s="4"/>
      <c r="L78" s="4"/>
    </row>
    <row r="79" spans="2:12" x14ac:dyDescent="0.2">
      <c r="I79" s="4"/>
      <c r="K79" s="4"/>
      <c r="L79" s="4"/>
    </row>
    <row r="80" spans="2:12" x14ac:dyDescent="0.2">
      <c r="I80" s="4"/>
      <c r="K80" s="4"/>
      <c r="L80" s="4"/>
    </row>
    <row r="81" spans="9:12" x14ac:dyDescent="0.2">
      <c r="I81" s="4"/>
      <c r="K81" s="4"/>
      <c r="L81" s="4"/>
    </row>
    <row r="82" spans="9:12" x14ac:dyDescent="0.2">
      <c r="I82" s="4"/>
      <c r="K82" s="4"/>
      <c r="L82" s="4"/>
    </row>
    <row r="83" spans="9:12" x14ac:dyDescent="0.2">
      <c r="I83" s="4"/>
      <c r="K83" s="4"/>
      <c r="L83" s="4"/>
    </row>
    <row r="84" spans="9:12" x14ac:dyDescent="0.2">
      <c r="I84" s="4"/>
      <c r="K84" s="4"/>
      <c r="L84" s="4"/>
    </row>
    <row r="85" spans="9:12" x14ac:dyDescent="0.2">
      <c r="I85" s="4"/>
      <c r="K85" s="4"/>
      <c r="L85" s="4"/>
    </row>
    <row r="86" spans="9:12" x14ac:dyDescent="0.2">
      <c r="I86" s="4"/>
      <c r="K86" s="4"/>
      <c r="L86" s="4"/>
    </row>
    <row r="87" spans="9:12" x14ac:dyDescent="0.2">
      <c r="I87" s="4"/>
      <c r="K87" s="4"/>
      <c r="L87" s="4"/>
    </row>
    <row r="88" spans="9:12" x14ac:dyDescent="0.2">
      <c r="I88" s="4"/>
      <c r="K88" s="4"/>
      <c r="L88" s="4"/>
    </row>
    <row r="89" spans="9:12" x14ac:dyDescent="0.2">
      <c r="I89" s="4"/>
      <c r="K89" s="4"/>
      <c r="L89" s="4"/>
    </row>
    <row r="90" spans="9:12" x14ac:dyDescent="0.2">
      <c r="I90" s="4"/>
      <c r="K90" s="4"/>
      <c r="L90" s="4"/>
    </row>
    <row r="91" spans="9:12" x14ac:dyDescent="0.2">
      <c r="I91" s="4"/>
      <c r="K91" s="4"/>
      <c r="L91" s="4"/>
    </row>
    <row r="92" spans="9:12" x14ac:dyDescent="0.2">
      <c r="I92" s="4"/>
      <c r="K92" s="4"/>
      <c r="L92" s="4"/>
    </row>
    <row r="93" spans="9:12" x14ac:dyDescent="0.2">
      <c r="I93" s="4"/>
      <c r="K93" s="4"/>
      <c r="L93" s="4"/>
    </row>
    <row r="94" spans="9:12" x14ac:dyDescent="0.2">
      <c r="I94" s="4"/>
      <c r="K94" s="4"/>
      <c r="L94" s="4"/>
    </row>
    <row r="95" spans="9:12" x14ac:dyDescent="0.2">
      <c r="I95" s="4"/>
      <c r="K95" s="4"/>
      <c r="L95" s="4"/>
    </row>
    <row r="96" spans="9:12" x14ac:dyDescent="0.2">
      <c r="I96" s="4"/>
      <c r="K96" s="4"/>
      <c r="L96" s="4"/>
    </row>
    <row r="97" spans="9:12" x14ac:dyDescent="0.2">
      <c r="I97" s="4"/>
      <c r="K97" s="4"/>
      <c r="L97" s="4"/>
    </row>
    <row r="98" spans="9:12" x14ac:dyDescent="0.2">
      <c r="I98" s="4"/>
      <c r="K98" s="4"/>
      <c r="L98" s="4"/>
    </row>
    <row r="99" spans="9:12" x14ac:dyDescent="0.2">
      <c r="I99" s="4"/>
      <c r="K99" s="4"/>
      <c r="L99" s="4"/>
    </row>
    <row r="100" spans="9:12" x14ac:dyDescent="0.2">
      <c r="I100" s="4"/>
      <c r="K100" s="4"/>
      <c r="L100" s="4"/>
    </row>
    <row r="101" spans="9:12" x14ac:dyDescent="0.2">
      <c r="I101" s="4"/>
      <c r="K101" s="4"/>
      <c r="L101" s="4"/>
    </row>
    <row r="102" spans="9:12" x14ac:dyDescent="0.2">
      <c r="I102" s="4"/>
      <c r="K102" s="4"/>
      <c r="L102" s="4"/>
    </row>
    <row r="103" spans="9:12" x14ac:dyDescent="0.2">
      <c r="I103" s="4"/>
      <c r="K103" s="4"/>
      <c r="L103" s="4"/>
    </row>
    <row r="104" spans="9:12" x14ac:dyDescent="0.2">
      <c r="I104" s="4"/>
      <c r="K104" s="4"/>
      <c r="L104" s="4"/>
    </row>
    <row r="105" spans="9:12" x14ac:dyDescent="0.2">
      <c r="I105" s="4"/>
    </row>
    <row r="106" spans="9:12" x14ac:dyDescent="0.2">
      <c r="I106" s="4"/>
    </row>
    <row r="107" spans="9:12" x14ac:dyDescent="0.2">
      <c r="I107" s="4"/>
    </row>
    <row r="108" spans="9:12" x14ac:dyDescent="0.2">
      <c r="I108" s="4"/>
    </row>
    <row r="109" spans="9:12" x14ac:dyDescent="0.2">
      <c r="I109" s="4"/>
    </row>
    <row r="110" spans="9:12" x14ac:dyDescent="0.2">
      <c r="I110" s="4"/>
    </row>
    <row r="111" spans="9:12" x14ac:dyDescent="0.2">
      <c r="I111" s="4"/>
    </row>
    <row r="112" spans="9:12" x14ac:dyDescent="0.2">
      <c r="I112" s="4"/>
    </row>
    <row r="113" spans="9:9" x14ac:dyDescent="0.2">
      <c r="I113" s="4"/>
    </row>
    <row r="114" spans="9:9" x14ac:dyDescent="0.2">
      <c r="I114" s="4"/>
    </row>
    <row r="115" spans="9:9" x14ac:dyDescent="0.2">
      <c r="I115" s="4"/>
    </row>
    <row r="116" spans="9:9" x14ac:dyDescent="0.2">
      <c r="I116" s="4"/>
    </row>
    <row r="117" spans="9:9" x14ac:dyDescent="0.2">
      <c r="I117" s="4"/>
    </row>
    <row r="118" spans="9:9" x14ac:dyDescent="0.2">
      <c r="I118" s="4"/>
    </row>
    <row r="119" spans="9:9" x14ac:dyDescent="0.2">
      <c r="I119" s="4"/>
    </row>
    <row r="120" spans="9:9" x14ac:dyDescent="0.2">
      <c r="I120" s="4"/>
    </row>
    <row r="121" spans="9:9" x14ac:dyDescent="0.2">
      <c r="I121" s="4"/>
    </row>
    <row r="122" spans="9:9" x14ac:dyDescent="0.2">
      <c r="I122" s="4"/>
    </row>
    <row r="123" spans="9:9" x14ac:dyDescent="0.2">
      <c r="I123" s="4"/>
    </row>
    <row r="124" spans="9:9" x14ac:dyDescent="0.2">
      <c r="I124" s="4"/>
    </row>
    <row r="125" spans="9:9" x14ac:dyDescent="0.2">
      <c r="I125" s="4"/>
    </row>
    <row r="126" spans="9:9" x14ac:dyDescent="0.2">
      <c r="I126" s="4"/>
    </row>
    <row r="127" spans="9:9" x14ac:dyDescent="0.2">
      <c r="I127" s="4"/>
    </row>
    <row r="128" spans="9:9" x14ac:dyDescent="0.2">
      <c r="I128" s="4"/>
    </row>
    <row r="129" spans="9:9" x14ac:dyDescent="0.2">
      <c r="I129" s="4"/>
    </row>
    <row r="130" spans="9:9" x14ac:dyDescent="0.2">
      <c r="I130" s="4"/>
    </row>
    <row r="131" spans="9:9" x14ac:dyDescent="0.2">
      <c r="I131" s="4"/>
    </row>
    <row r="132" spans="9:9" x14ac:dyDescent="0.2">
      <c r="I132" s="4"/>
    </row>
    <row r="133" spans="9:9" x14ac:dyDescent="0.2">
      <c r="I133" s="4"/>
    </row>
    <row r="134" spans="9:9" x14ac:dyDescent="0.2">
      <c r="I134" s="4"/>
    </row>
    <row r="135" spans="9:9" x14ac:dyDescent="0.2">
      <c r="I135" s="4"/>
    </row>
    <row r="136" spans="9:9" x14ac:dyDescent="0.2">
      <c r="I136" s="4"/>
    </row>
    <row r="137" spans="9:9" x14ac:dyDescent="0.2">
      <c r="I137" s="4"/>
    </row>
    <row r="138" spans="9:9" x14ac:dyDescent="0.2">
      <c r="I138" s="4"/>
    </row>
    <row r="139" spans="9:9" x14ac:dyDescent="0.2">
      <c r="I139" s="4"/>
    </row>
    <row r="140" spans="9:9" x14ac:dyDescent="0.2">
      <c r="I140" s="4"/>
    </row>
    <row r="141" spans="9:9" x14ac:dyDescent="0.2">
      <c r="I141" s="4"/>
    </row>
    <row r="142" spans="9:9" x14ac:dyDescent="0.2">
      <c r="I142" s="4"/>
    </row>
    <row r="143" spans="9:9" x14ac:dyDescent="0.2">
      <c r="I143" s="4"/>
    </row>
    <row r="144" spans="9:9" x14ac:dyDescent="0.2">
      <c r="I144" s="4"/>
    </row>
    <row r="145" spans="9:9" x14ac:dyDescent="0.2">
      <c r="I145" s="4"/>
    </row>
    <row r="146" spans="9:9" x14ac:dyDescent="0.2">
      <c r="I146" s="4"/>
    </row>
    <row r="147" spans="9:9" x14ac:dyDescent="0.2">
      <c r="I147" s="4"/>
    </row>
    <row r="148" spans="9:9" x14ac:dyDescent="0.2">
      <c r="I148" s="4"/>
    </row>
    <row r="149" spans="9:9" x14ac:dyDescent="0.2">
      <c r="I149" s="4"/>
    </row>
    <row r="150" spans="9:9" x14ac:dyDescent="0.2">
      <c r="I150" s="4"/>
    </row>
    <row r="151" spans="9:9" x14ac:dyDescent="0.2">
      <c r="I151" s="4"/>
    </row>
    <row r="152" spans="9:9" x14ac:dyDescent="0.2">
      <c r="I152" s="4"/>
    </row>
    <row r="153" spans="9:9" x14ac:dyDescent="0.2">
      <c r="I153" s="4"/>
    </row>
    <row r="154" spans="9:9" x14ac:dyDescent="0.2">
      <c r="I154" s="4"/>
    </row>
    <row r="155" spans="9:9" x14ac:dyDescent="0.2">
      <c r="I155" s="4"/>
    </row>
    <row r="156" spans="9:9" x14ac:dyDescent="0.2">
      <c r="I156" s="4"/>
    </row>
    <row r="157" spans="9:9" x14ac:dyDescent="0.2">
      <c r="I157" s="4"/>
    </row>
    <row r="158" spans="9:9" x14ac:dyDescent="0.2">
      <c r="I158" s="4"/>
    </row>
    <row r="159" spans="9:9" x14ac:dyDescent="0.2">
      <c r="I159" s="4"/>
    </row>
    <row r="160" spans="9:9" x14ac:dyDescent="0.2">
      <c r="I160" s="4"/>
    </row>
    <row r="161" spans="9:9" x14ac:dyDescent="0.2">
      <c r="I161" s="4"/>
    </row>
    <row r="162" spans="9:9" x14ac:dyDescent="0.2">
      <c r="I162" s="4"/>
    </row>
    <row r="163" spans="9:9" x14ac:dyDescent="0.2">
      <c r="I163" s="4"/>
    </row>
    <row r="164" spans="9:9" x14ac:dyDescent="0.2">
      <c r="I164" s="4"/>
    </row>
    <row r="165" spans="9:9" x14ac:dyDescent="0.2">
      <c r="I165" s="4"/>
    </row>
    <row r="166" spans="9:9" x14ac:dyDescent="0.2">
      <c r="I166" s="4"/>
    </row>
    <row r="167" spans="9:9" x14ac:dyDescent="0.2">
      <c r="I167" s="4"/>
    </row>
    <row r="168" spans="9:9" x14ac:dyDescent="0.2">
      <c r="I168" s="4"/>
    </row>
    <row r="169" spans="9:9" x14ac:dyDescent="0.2">
      <c r="I169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17:12:42</KDate>
  <Classification>Public</Classification>
  <Subclassification/>
  <HostName>MUMCMP00935</HostName>
  <Domain_User>CANARAROBECOMF/628</Domain_User>
  <IPAdd>192.9.198.194</IPAdd>
  <FilePath>Book18</FilePath>
  <KID>C025A5607E97638452555629295829</KID>
  <UniqueName/>
  <Suggested/>
  <Justification/>
</Klassify>
</file>

<file path=customXml/itemProps1.xml><?xml version="1.0" encoding="utf-8"?>
<ds:datastoreItem xmlns:ds="http://schemas.openxmlformats.org/officeDocument/2006/customXml" ds:itemID="{8672D376-EB92-4880-84E6-2B56EB43D3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2024-03-05T11:42:39Z</dcterms:created>
  <dcterms:modified xsi:type="dcterms:W3CDTF">2024-03-05T11:42:43Z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C025A5607E97638452555629295829</vt:lpwstr>
  </property>
</Properties>
</file>