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Dec 21\"/>
    </mc:Choice>
  </mc:AlternateContent>
  <bookViews>
    <workbookView xWindow="0" yWindow="0" windowWidth="20490" windowHeight="7350"/>
  </bookViews>
  <sheets>
    <sheet name="SC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4" i="1" l="1"/>
  <c r="G65" i="1" s="1"/>
  <c r="F64" i="1"/>
  <c r="F65" i="1" s="1"/>
  <c r="G60" i="1"/>
  <c r="G61" i="1" s="1"/>
  <c r="G66" i="1" s="1"/>
  <c r="F60" i="1"/>
  <c r="F61" i="1" s="1"/>
  <c r="F66" i="1" s="1"/>
</calcChain>
</file>

<file path=xl/sharedStrings.xml><?xml version="1.0" encoding="utf-8"?>
<sst xmlns="http://schemas.openxmlformats.org/spreadsheetml/2006/main" count="181" uniqueCount="145">
  <si>
    <t>CANARA ROBECO SMALL CAP FUND</t>
  </si>
  <si>
    <t>Monthly Portfolio Statement as on December 31, 2021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</si>
  <si>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</si>
  <si>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</si>
  <si>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</si>
  <si>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</si>
  <si>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</si>
  <si>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</si>
  <si>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Scheme Risk-o-meter Level- Dec'21</t>
  </si>
  <si>
    <t>Benchmark Risk-o-meter Level- Dec'21</t>
  </si>
  <si>
    <t>Previous Scheme Risk-o-meter Level- Nov'21</t>
  </si>
  <si>
    <t>Equity &amp; Equity related</t>
  </si>
  <si>
    <t>(a) Listed / awaiting listing on Stock Exchanges</t>
  </si>
  <si>
    <t>K.P.R. Mill Ltd</t>
  </si>
  <si>
    <t>INE930H01031</t>
  </si>
  <si>
    <t>Textile Products</t>
  </si>
  <si>
    <t>Grindwell Norton Ltd</t>
  </si>
  <si>
    <t>INE536A01023</t>
  </si>
  <si>
    <t>Industrial Products</t>
  </si>
  <si>
    <t>Schaeffler India Ltd</t>
  </si>
  <si>
    <t>INE513A01014</t>
  </si>
  <si>
    <t>UTI Asset Management Co Ltd</t>
  </si>
  <si>
    <t>INE094J01016</t>
  </si>
  <si>
    <t>Capital Markets</t>
  </si>
  <si>
    <t>Persistent Systems Ltd</t>
  </si>
  <si>
    <t>INE262H01013</t>
  </si>
  <si>
    <t>Software</t>
  </si>
  <si>
    <t>BSE Ltd</t>
  </si>
  <si>
    <t>INE118H01025</t>
  </si>
  <si>
    <t>KNR Constructions Ltd</t>
  </si>
  <si>
    <t>INE634I01029</t>
  </si>
  <si>
    <t>Construction</t>
  </si>
  <si>
    <t>Benchmark: Nifty Smallcap 250 TRI</t>
  </si>
  <si>
    <t>VRL Logistics Ltd</t>
  </si>
  <si>
    <t>INE366I01010</t>
  </si>
  <si>
    <t>Transportation</t>
  </si>
  <si>
    <t>National Aluminium Co Ltd</t>
  </si>
  <si>
    <t>INE139A01034</t>
  </si>
  <si>
    <t>Non - Ferrous Metals</t>
  </si>
  <si>
    <t>PNC Infratech Ltd</t>
  </si>
  <si>
    <t>INE195J01029</t>
  </si>
  <si>
    <t>Balrampur Chini Mills Ltd</t>
  </si>
  <si>
    <t>INE119A01028</t>
  </si>
  <si>
    <t>Consumer Non Durables</t>
  </si>
  <si>
    <t>Can Fin Homes Ltd</t>
  </si>
  <si>
    <t>INE477A01020</t>
  </si>
  <si>
    <t>Finance</t>
  </si>
  <si>
    <t>Cera Sanitaryware Ltd</t>
  </si>
  <si>
    <t>INE739E01017</t>
  </si>
  <si>
    <t>Consumer Durables</t>
  </si>
  <si>
    <t>Central Depository Services (India) Ltd</t>
  </si>
  <si>
    <t>INE736A01011</t>
  </si>
  <si>
    <t>Greenpanel Industries Ltd</t>
  </si>
  <si>
    <t>INE08ZM01014</t>
  </si>
  <si>
    <t>Angel One Ltd</t>
  </si>
  <si>
    <t>INE732I01013</t>
  </si>
  <si>
    <t>Indian Energy Exchange Ltd</t>
  </si>
  <si>
    <t>INE022Q01020</t>
  </si>
  <si>
    <t>Mold Tek Packaging Ltd</t>
  </si>
  <si>
    <t>INE893J01029</t>
  </si>
  <si>
    <t>Clean Science And Technology Ltd</t>
  </si>
  <si>
    <t>INE227W01023</t>
  </si>
  <si>
    <t>Chemicals</t>
  </si>
  <si>
    <t>Equitas Holdings Ltd</t>
  </si>
  <si>
    <t>INE988K01017</t>
  </si>
  <si>
    <t>Century Textile &amp; Industries Ltd</t>
  </si>
  <si>
    <t>INE055A01016</t>
  </si>
  <si>
    <t>Paper</t>
  </si>
  <si>
    <t>Sobha Ltd</t>
  </si>
  <si>
    <t>INE671H01015</t>
  </si>
  <si>
    <t>Great Eastern Shipping Co Ltd</t>
  </si>
  <si>
    <t>INE017A01032</t>
  </si>
  <si>
    <t>Computer Age Management Services Ltd</t>
  </si>
  <si>
    <t>INE596I01012</t>
  </si>
  <si>
    <t>Mahindra Lifespace Developers Ltd</t>
  </si>
  <si>
    <t>INE813A01018</t>
  </si>
  <si>
    <t>KEC International Ltd</t>
  </si>
  <si>
    <t>INE389H01022</t>
  </si>
  <si>
    <t>Power</t>
  </si>
  <si>
    <t>Rhi Magnesita India Ltd</t>
  </si>
  <si>
    <t>INE743M01012</t>
  </si>
  <si>
    <t>Greenply Industries Ltd</t>
  </si>
  <si>
    <t>INE461C01038</t>
  </si>
  <si>
    <t>V.I.P. Industries Ltd</t>
  </si>
  <si>
    <t>INE054A01027</t>
  </si>
  <si>
    <t>TCI Express Ltd</t>
  </si>
  <si>
    <t>INE586V01016</t>
  </si>
  <si>
    <t>Timken India Ltd</t>
  </si>
  <si>
    <t>INE325A01013</t>
  </si>
  <si>
    <t>NOCIL Ltd</t>
  </si>
  <si>
    <t>INE163A01018</t>
  </si>
  <si>
    <t>Galaxy Surfactants Ltd</t>
  </si>
  <si>
    <t>INE600K01018</t>
  </si>
  <si>
    <t>Rallis India Ltd</t>
  </si>
  <si>
    <t>INE613A01020</t>
  </si>
  <si>
    <t>Pesticides</t>
  </si>
  <si>
    <t>EPL Ltd</t>
  </si>
  <si>
    <t>INE255A01020</t>
  </si>
  <si>
    <t>Creditaccess Grameen Ltd</t>
  </si>
  <si>
    <t>INE741K01010</t>
  </si>
  <si>
    <t>EID Parry India Ltd</t>
  </si>
  <si>
    <t>INE126A01031</t>
  </si>
  <si>
    <t>V-Mart Retail Ltd</t>
  </si>
  <si>
    <t>INE665J01013</t>
  </si>
  <si>
    <t>Retailing</t>
  </si>
  <si>
    <t>Indian Bank</t>
  </si>
  <si>
    <t>INE562A01011</t>
  </si>
  <si>
    <t>Banks</t>
  </si>
  <si>
    <t>Subros Ltd</t>
  </si>
  <si>
    <t>INE287B01021</t>
  </si>
  <si>
    <t>Auto Ancillaries</t>
  </si>
  <si>
    <t>Aditya Birla Fashion and Retail Ltd</t>
  </si>
  <si>
    <t>INE647O01011</t>
  </si>
  <si>
    <t>ICRA Ltd</t>
  </si>
  <si>
    <t>INE725G01011</t>
  </si>
  <si>
    <t>Ahluwalia Contracts (India) Ltd</t>
  </si>
  <si>
    <t>INE758C01029</t>
  </si>
  <si>
    <t>Honeywell Automation India Ltd</t>
  </si>
  <si>
    <t>INE671A01010</t>
  </si>
  <si>
    <t>Industrial Capital Goods</t>
  </si>
  <si>
    <t>Deepak Nitrite Ltd</t>
  </si>
  <si>
    <t>INE288B01029</t>
  </si>
  <si>
    <t>Teamlease Services Ltd</t>
  </si>
  <si>
    <t>INE985S01024</t>
  </si>
  <si>
    <t>Commercial Services</t>
  </si>
  <si>
    <t>DCB Bank Ltd</t>
  </si>
  <si>
    <t>INE503A01015</t>
  </si>
  <si>
    <t>Fine Organic Industries Ltd</t>
  </si>
  <si>
    <t>INE686Y01026</t>
  </si>
  <si>
    <t>Greenlam Industries Ltd</t>
  </si>
  <si>
    <t>INE544R01013</t>
  </si>
  <si>
    <t>Shriram City Union Finance Ltd</t>
  </si>
  <si>
    <t>INE722A01011</t>
  </si>
  <si>
    <t>Anand Rathi Wealth Ltd</t>
  </si>
  <si>
    <t>INE463V01026</t>
  </si>
  <si>
    <t>Thermax Ltd</t>
  </si>
  <si>
    <t>INE152A01029</t>
  </si>
  <si>
    <t>Gulf Oil Lubricants India Ltd</t>
  </si>
  <si>
    <t>INE635Q01029</t>
  </si>
  <si>
    <t>Petroleum Products</t>
  </si>
  <si>
    <t>Sub Total</t>
  </si>
  <si>
    <t>Total</t>
  </si>
  <si>
    <t>TREPS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</si>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</sst>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0" fontId="3" fillId="3" borderId="5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9" fillId="3" borderId="9" xfId="0" applyFont="1" applyFill="1" applyBorder="1"/>
    <xf numFmtId="0" fontId="3" fillId="3" borderId="10" xfId="0" applyFont="1" applyFill="1" applyBorder="1"/>
    <xf numFmtId="0" fontId="3" fillId="3" borderId="10" xfId="0" applyNumberFormat="1" applyFont="1" applyFill="1" applyBorder="1"/>
    <xf numFmtId="4" fontId="3" fillId="3" borderId="10" xfId="0" applyNumberFormat="1" applyFont="1" applyFill="1" applyBorder="1"/>
    <xf numFmtId="0" fontId="3" fillId="3" borderId="11" xfId="0" applyFont="1" applyFill="1" applyBorder="1" applyAlignment="1">
      <alignment horizontal="center"/>
    </xf>
    <xf numFmtId="0" fontId="3" fillId="3" borderId="9" xfId="0" applyFont="1" applyFill="1" applyBorder="1"/>
    <xf numFmtId="3" fontId="3" fillId="3" borderId="10" xfId="0" applyNumberFormat="1" applyFont="1" applyFill="1" applyBorder="1"/>
    <xf numFmtId="0" fontId="3" fillId="3" borderId="12" xfId="0" applyFont="1" applyFill="1" applyBorder="1" applyAlignment="1">
      <alignment horizontal="center"/>
    </xf>
    <xf numFmtId="0" fontId="9" fillId="3" borderId="13" xfId="0" applyFont="1" applyFill="1" applyBorder="1"/>
    <xf numFmtId="0" fontId="9" fillId="3" borderId="14" xfId="0" applyFont="1" applyFill="1" applyBorder="1"/>
    <xf numFmtId="0" fontId="9" fillId="3" borderId="14" xfId="0" applyNumberFormat="1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6" xfId="0" applyNumberFormat="1" applyFont="1" applyFill="1" applyBorder="1"/>
    <xf numFmtId="0" fontId="9" fillId="3" borderId="17" xfId="0" applyFont="1" applyFill="1" applyBorder="1"/>
    <xf numFmtId="0" fontId="3" fillId="3" borderId="18" xfId="0" applyFont="1" applyFill="1" applyBorder="1"/>
    <xf numFmtId="0" fontId="3" fillId="3" borderId="18" xfId="0" applyNumberFormat="1" applyFont="1" applyFill="1" applyBorder="1"/>
    <xf numFmtId="4" fontId="3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9" fillId="3" borderId="5" xfId="0" applyFont="1" applyFill="1" applyBorder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  <xf numFmtId="4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361950</xdr:colOff>
      <xdr:row>4</xdr:row>
      <xdr:rowOff>17433</xdr:rowOff>
    </xdr:from>
    <xdr:to>
      <xdr:col>11</xdr:col>
      <xdr:colOff>2095500</xdr:colOff>
      <xdr:row>11</xdr:row>
      <xdr:rowOff>109941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D056EF-FB47-460C-801A-05F800A67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1017558"/>
          <a:ext cx="1733550" cy="11593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150902</xdr:colOff>
      <xdr:row>4</xdr:row>
      <xdr:rowOff>28575</xdr:rowOff>
    </xdr:from>
    <xdr:to>
      <xdr:col>9</xdr:col>
      <xdr:colOff>1876425</xdr:colOff>
      <xdr:row>11</xdr:row>
      <xdr:rowOff>89028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AA1E18-9468-4C0E-B89D-4F4D3EAB4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52152" y="1028700"/>
          <a:ext cx="1725523" cy="11272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190499</xdr:colOff>
      <xdr:row>4</xdr:row>
      <xdr:rowOff>57150</xdr:rowOff>
    </xdr:from>
    <xdr:to>
      <xdr:col>10</xdr:col>
      <xdr:colOff>1790700</xdr:colOff>
      <xdr:row>11</xdr:row>
      <xdr:rowOff>117329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AA1E18-9468-4C0E-B89D-4F4D3EAB4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58674" y="1057275"/>
          <a:ext cx="1600201" cy="11269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69"/>
  <sheetViews>
    <sheetView tabSelected="1" workbookViewId="0">
      <selection activeCell="A2" sqref="A2"/>
    </sheetView>
  </sheetViews>
  <sheetFormatPr defaultRowHeight="12"/>
  <cols>
    <col min="1" max="1" width="9.140625" style="4"/>
    <col min="2" max="2" width="60.85546875" style="4" bestFit="1" customWidth="1"/>
    <col min="3" max="3" width="13.5703125" style="4" bestFit="1" customWidth="1"/>
    <col min="4" max="4" width="21.140625" style="4" bestFit="1" customWidth="1"/>
    <col min="5" max="5" width="8.85546875" style="48" bestFit="1" customWidth="1"/>
    <col min="6" max="6" width="15.28515625" style="49" bestFit="1" customWidth="1"/>
    <col min="7" max="7" width="7.42578125" style="49" bestFit="1" customWidth="1"/>
    <col min="8" max="8" width="9" style="3" bestFit="1" customWidth="1"/>
    <col min="9" max="9" width="4.7109375" style="3" bestFit="1" customWidth="1"/>
    <col min="10" max="10" width="31" style="3" customWidth="1"/>
    <col min="11" max="11" width="30" style="3" customWidth="1"/>
    <col min="12" max="12" width="36.7109375" style="4" customWidth="1"/>
    <col min="13" max="16384" width="9.140625" style="4"/>
  </cols>
  <sheetData>
    <row r="1" spans="2:12" ht="20.25">
      <c r="B1" s="1" t="s">
        <v>0</v>
      </c>
      <c r="C1" s="2"/>
      <c r="D1" s="2"/>
      <c r="E1" s="2"/>
      <c r="F1" s="2"/>
      <c r="G1" s="2"/>
    </row>
    <row r="3" spans="2:12" ht="16.5" thickBot="1">
      <c r="B3" s="5" t="s">
        <v>1</v>
      </c>
      <c r="C3" s="6"/>
      <c r="D3" s="7"/>
      <c r="E3" s="8"/>
      <c r="F3" s="9"/>
      <c r="G3" s="9"/>
    </row>
    <row r="4" spans="2:12" ht="30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J4" s="15" t="s">
        <v>8</v>
      </c>
      <c r="K4" s="15" t="s">
        <v>9</v>
      </c>
      <c r="L4" s="15" t="s">
        <v>10</v>
      </c>
    </row>
    <row r="5" spans="2:12">
      <c r="B5" s="16" t="s">
        <v>11</v>
      </c>
      <c r="C5" s="17"/>
      <c r="D5" s="17"/>
      <c r="E5" s="18"/>
      <c r="F5" s="19"/>
      <c r="G5" s="19"/>
      <c r="J5" s="20"/>
      <c r="K5" s="20"/>
      <c r="L5" s="21"/>
    </row>
    <row r="6" spans="2:12">
      <c r="B6" s="22" t="s">
        <v>12</v>
      </c>
      <c r="C6" s="23"/>
      <c r="D6" s="23"/>
      <c r="E6" s="24"/>
      <c r="F6" s="25"/>
      <c r="G6" s="25"/>
      <c r="J6" s="20"/>
      <c r="K6" s="20"/>
      <c r="L6" s="26"/>
    </row>
    <row r="7" spans="2:12">
      <c r="B7" s="27" t="s">
        <v>13</v>
      </c>
      <c r="C7" s="23" t="s">
        <v>14</v>
      </c>
      <c r="D7" s="23" t="s">
        <v>15</v>
      </c>
      <c r="E7" s="28">
        <v>1098580</v>
      </c>
      <c r="F7" s="25">
        <v>7352.8</v>
      </c>
      <c r="G7" s="25">
        <v>3.84</v>
      </c>
      <c r="J7" s="20"/>
      <c r="K7" s="20"/>
      <c r="L7" s="26"/>
    </row>
    <row r="8" spans="2:12">
      <c r="B8" s="27" t="s">
        <v>16</v>
      </c>
      <c r="C8" s="23" t="s">
        <v>17</v>
      </c>
      <c r="D8" s="23" t="s">
        <v>18</v>
      </c>
      <c r="E8" s="28">
        <v>322736</v>
      </c>
      <c r="F8" s="25">
        <v>6186.85</v>
      </c>
      <c r="G8" s="25">
        <v>3.23</v>
      </c>
      <c r="J8" s="20"/>
      <c r="K8" s="20"/>
      <c r="L8" s="26"/>
    </row>
    <row r="9" spans="2:12">
      <c r="B9" s="27" t="s">
        <v>19</v>
      </c>
      <c r="C9" s="23" t="s">
        <v>20</v>
      </c>
      <c r="D9" s="23" t="s">
        <v>18</v>
      </c>
      <c r="E9" s="28">
        <v>67520</v>
      </c>
      <c r="F9" s="25">
        <v>5931.23</v>
      </c>
      <c r="G9" s="25">
        <v>3.1</v>
      </c>
      <c r="J9" s="20"/>
      <c r="K9" s="20"/>
      <c r="L9" s="26"/>
    </row>
    <row r="10" spans="2:12">
      <c r="B10" s="27" t="s">
        <v>21</v>
      </c>
      <c r="C10" s="23" t="s">
        <v>22</v>
      </c>
      <c r="D10" s="23" t="s">
        <v>23</v>
      </c>
      <c r="E10" s="28">
        <v>524350</v>
      </c>
      <c r="F10" s="25">
        <v>5522.19</v>
      </c>
      <c r="G10" s="25">
        <v>2.89</v>
      </c>
      <c r="J10" s="20"/>
      <c r="K10" s="20"/>
      <c r="L10" s="26"/>
    </row>
    <row r="11" spans="2:12">
      <c r="B11" s="27" t="s">
        <v>24</v>
      </c>
      <c r="C11" s="23" t="s">
        <v>25</v>
      </c>
      <c r="D11" s="23" t="s">
        <v>26</v>
      </c>
      <c r="E11" s="28">
        <v>111530</v>
      </c>
      <c r="F11" s="25">
        <v>5469.82</v>
      </c>
      <c r="G11" s="25">
        <v>2.86</v>
      </c>
      <c r="J11" s="20"/>
      <c r="K11" s="20"/>
      <c r="L11" s="26"/>
    </row>
    <row r="12" spans="2:12">
      <c r="B12" s="27" t="s">
        <v>27</v>
      </c>
      <c r="C12" s="23" t="s">
        <v>28</v>
      </c>
      <c r="D12" s="23" t="s">
        <v>23</v>
      </c>
      <c r="E12" s="28">
        <v>263142</v>
      </c>
      <c r="F12" s="25">
        <v>5048.38</v>
      </c>
      <c r="G12" s="25">
        <v>2.64</v>
      </c>
      <c r="J12" s="20"/>
      <c r="K12" s="20"/>
      <c r="L12" s="29"/>
    </row>
    <row r="13" spans="2:12">
      <c r="B13" s="27" t="s">
        <v>29</v>
      </c>
      <c r="C13" s="23" t="s">
        <v>30</v>
      </c>
      <c r="D13" s="23" t="s">
        <v>31</v>
      </c>
      <c r="E13" s="28">
        <v>1675812</v>
      </c>
      <c r="F13" s="25">
        <v>5024.92</v>
      </c>
      <c r="G13" s="25">
        <v>2.63</v>
      </c>
      <c r="K13" s="3" t="s">
        <v>32</v>
      </c>
    </row>
    <row r="14" spans="2:12">
      <c r="B14" s="27" t="s">
        <v>33</v>
      </c>
      <c r="C14" s="23" t="s">
        <v>34</v>
      </c>
      <c r="D14" s="23" t="s">
        <v>35</v>
      </c>
      <c r="E14" s="28">
        <v>1097791</v>
      </c>
      <c r="F14" s="25">
        <v>4702.9399999999996</v>
      </c>
      <c r="G14" s="25">
        <v>2.46</v>
      </c>
    </row>
    <row r="15" spans="2:12">
      <c r="B15" s="27" t="s">
        <v>36</v>
      </c>
      <c r="C15" s="23" t="s">
        <v>37</v>
      </c>
      <c r="D15" s="23" t="s">
        <v>38</v>
      </c>
      <c r="E15" s="28">
        <v>4610000</v>
      </c>
      <c r="F15" s="25">
        <v>4656.1000000000004</v>
      </c>
      <c r="G15" s="25">
        <v>2.4300000000000002</v>
      </c>
    </row>
    <row r="16" spans="2:12">
      <c r="B16" s="27" t="s">
        <v>39</v>
      </c>
      <c r="C16" s="23" t="s">
        <v>40</v>
      </c>
      <c r="D16" s="23" t="s">
        <v>31</v>
      </c>
      <c r="E16" s="28">
        <v>1733246</v>
      </c>
      <c r="F16" s="25">
        <v>4564.5</v>
      </c>
      <c r="G16" s="25">
        <v>2.39</v>
      </c>
    </row>
    <row r="17" spans="2:7">
      <c r="B17" s="27" t="s">
        <v>41</v>
      </c>
      <c r="C17" s="23" t="s">
        <v>42</v>
      </c>
      <c r="D17" s="23" t="s">
        <v>43</v>
      </c>
      <c r="E17" s="28">
        <v>1234296</v>
      </c>
      <c r="F17" s="25">
        <v>4536.04</v>
      </c>
      <c r="G17" s="25">
        <v>2.37</v>
      </c>
    </row>
    <row r="18" spans="2:7">
      <c r="B18" s="27" t="s">
        <v>44</v>
      </c>
      <c r="C18" s="23" t="s">
        <v>45</v>
      </c>
      <c r="D18" s="23" t="s">
        <v>46</v>
      </c>
      <c r="E18" s="28">
        <v>817495</v>
      </c>
      <c r="F18" s="25">
        <v>4520.34</v>
      </c>
      <c r="G18" s="25">
        <v>2.36</v>
      </c>
    </row>
    <row r="19" spans="2:7">
      <c r="B19" s="27" t="s">
        <v>47</v>
      </c>
      <c r="C19" s="23" t="s">
        <v>48</v>
      </c>
      <c r="D19" s="23" t="s">
        <v>49</v>
      </c>
      <c r="E19" s="28">
        <v>92144</v>
      </c>
      <c r="F19" s="25">
        <v>4437.93</v>
      </c>
      <c r="G19" s="25">
        <v>2.3199999999999998</v>
      </c>
    </row>
    <row r="20" spans="2:7">
      <c r="B20" s="27" t="s">
        <v>50</v>
      </c>
      <c r="C20" s="23" t="s">
        <v>51</v>
      </c>
      <c r="D20" s="23" t="s">
        <v>23</v>
      </c>
      <c r="E20" s="28">
        <v>293016</v>
      </c>
      <c r="F20" s="25">
        <v>4394.6499999999996</v>
      </c>
      <c r="G20" s="25">
        <v>2.2999999999999998</v>
      </c>
    </row>
    <row r="21" spans="2:7">
      <c r="B21" s="27" t="s">
        <v>52</v>
      </c>
      <c r="C21" s="23" t="s">
        <v>53</v>
      </c>
      <c r="D21" s="23" t="s">
        <v>49</v>
      </c>
      <c r="E21" s="28">
        <v>962727</v>
      </c>
      <c r="F21" s="25">
        <v>4041.53</v>
      </c>
      <c r="G21" s="25">
        <v>2.11</v>
      </c>
    </row>
    <row r="22" spans="2:7">
      <c r="B22" s="27" t="s">
        <v>54</v>
      </c>
      <c r="C22" s="23" t="s">
        <v>55</v>
      </c>
      <c r="D22" s="23" t="s">
        <v>23</v>
      </c>
      <c r="E22" s="28">
        <v>334897</v>
      </c>
      <c r="F22" s="25">
        <v>3958.65</v>
      </c>
      <c r="G22" s="25">
        <v>2.0699999999999998</v>
      </c>
    </row>
    <row r="23" spans="2:7">
      <c r="B23" s="27" t="s">
        <v>56</v>
      </c>
      <c r="C23" s="23" t="s">
        <v>57</v>
      </c>
      <c r="D23" s="23" t="s">
        <v>23</v>
      </c>
      <c r="E23" s="28">
        <v>1501467</v>
      </c>
      <c r="F23" s="25">
        <v>3795.71</v>
      </c>
      <c r="G23" s="25">
        <v>1.98</v>
      </c>
    </row>
    <row r="24" spans="2:7">
      <c r="B24" s="27" t="s">
        <v>58</v>
      </c>
      <c r="C24" s="23" t="s">
        <v>59</v>
      </c>
      <c r="D24" s="23" t="s">
        <v>18</v>
      </c>
      <c r="E24" s="28">
        <v>465306</v>
      </c>
      <c r="F24" s="25">
        <v>3749.2</v>
      </c>
      <c r="G24" s="25">
        <v>1.96</v>
      </c>
    </row>
    <row r="25" spans="2:7">
      <c r="B25" s="27" t="s">
        <v>60</v>
      </c>
      <c r="C25" s="23" t="s">
        <v>61</v>
      </c>
      <c r="D25" s="23" t="s">
        <v>62</v>
      </c>
      <c r="E25" s="28">
        <v>145000</v>
      </c>
      <c r="F25" s="25">
        <v>3615.36</v>
      </c>
      <c r="G25" s="25">
        <v>1.89</v>
      </c>
    </row>
    <row r="26" spans="2:7">
      <c r="B26" s="27" t="s">
        <v>63</v>
      </c>
      <c r="C26" s="23" t="s">
        <v>64</v>
      </c>
      <c r="D26" s="23" t="s">
        <v>46</v>
      </c>
      <c r="E26" s="28">
        <v>3138793</v>
      </c>
      <c r="F26" s="25">
        <v>3479.35</v>
      </c>
      <c r="G26" s="25">
        <v>1.82</v>
      </c>
    </row>
    <row r="27" spans="2:7">
      <c r="B27" s="27" t="s">
        <v>65</v>
      </c>
      <c r="C27" s="23" t="s">
        <v>66</v>
      </c>
      <c r="D27" s="23" t="s">
        <v>67</v>
      </c>
      <c r="E27" s="28">
        <v>355000</v>
      </c>
      <c r="F27" s="25">
        <v>3257.3</v>
      </c>
      <c r="G27" s="25">
        <v>1.7</v>
      </c>
    </row>
    <row r="28" spans="2:7">
      <c r="B28" s="27" t="s">
        <v>68</v>
      </c>
      <c r="C28" s="23" t="s">
        <v>69</v>
      </c>
      <c r="D28" s="23" t="s">
        <v>31</v>
      </c>
      <c r="E28" s="28">
        <v>362124</v>
      </c>
      <c r="F28" s="25">
        <v>3242.64</v>
      </c>
      <c r="G28" s="25">
        <v>1.69</v>
      </c>
    </row>
    <row r="29" spans="2:7">
      <c r="B29" s="27" t="s">
        <v>70</v>
      </c>
      <c r="C29" s="23" t="s">
        <v>71</v>
      </c>
      <c r="D29" s="23" t="s">
        <v>35</v>
      </c>
      <c r="E29" s="28">
        <v>1074405</v>
      </c>
      <c r="F29" s="25">
        <v>3203.88</v>
      </c>
      <c r="G29" s="25">
        <v>1.67</v>
      </c>
    </row>
    <row r="30" spans="2:7">
      <c r="B30" s="27" t="s">
        <v>72</v>
      </c>
      <c r="C30" s="23" t="s">
        <v>73</v>
      </c>
      <c r="D30" s="23" t="s">
        <v>23</v>
      </c>
      <c r="E30" s="28">
        <v>119496</v>
      </c>
      <c r="F30" s="25">
        <v>3185.88</v>
      </c>
      <c r="G30" s="25">
        <v>1.66</v>
      </c>
    </row>
    <row r="31" spans="2:7">
      <c r="B31" s="27" t="s">
        <v>74</v>
      </c>
      <c r="C31" s="23" t="s">
        <v>75</v>
      </c>
      <c r="D31" s="23" t="s">
        <v>31</v>
      </c>
      <c r="E31" s="28">
        <v>1285450</v>
      </c>
      <c r="F31" s="25">
        <v>3118.5</v>
      </c>
      <c r="G31" s="25">
        <v>1.63</v>
      </c>
    </row>
    <row r="32" spans="2:7">
      <c r="B32" s="27" t="s">
        <v>76</v>
      </c>
      <c r="C32" s="23" t="s">
        <v>77</v>
      </c>
      <c r="D32" s="23" t="s">
        <v>78</v>
      </c>
      <c r="E32" s="28">
        <v>647068</v>
      </c>
      <c r="F32" s="25">
        <v>3100.1</v>
      </c>
      <c r="G32" s="25">
        <v>1.62</v>
      </c>
    </row>
    <row r="33" spans="2:7">
      <c r="B33" s="27" t="s">
        <v>79</v>
      </c>
      <c r="C33" s="23" t="s">
        <v>80</v>
      </c>
      <c r="D33" s="23" t="s">
        <v>18</v>
      </c>
      <c r="E33" s="28">
        <v>833505</v>
      </c>
      <c r="F33" s="25">
        <v>3056.05</v>
      </c>
      <c r="G33" s="25">
        <v>1.6</v>
      </c>
    </row>
    <row r="34" spans="2:7">
      <c r="B34" s="27" t="s">
        <v>81</v>
      </c>
      <c r="C34" s="23" t="s">
        <v>82</v>
      </c>
      <c r="D34" s="23" t="s">
        <v>49</v>
      </c>
      <c r="E34" s="28">
        <v>1431976</v>
      </c>
      <c r="F34" s="25">
        <v>2950.59</v>
      </c>
      <c r="G34" s="25">
        <v>1.54</v>
      </c>
    </row>
    <row r="35" spans="2:7">
      <c r="B35" s="27" t="s">
        <v>83</v>
      </c>
      <c r="C35" s="23" t="s">
        <v>84</v>
      </c>
      <c r="D35" s="23" t="s">
        <v>49</v>
      </c>
      <c r="E35" s="28">
        <v>529682</v>
      </c>
      <c r="F35" s="25">
        <v>2853.4</v>
      </c>
      <c r="G35" s="25">
        <v>1.49</v>
      </c>
    </row>
    <row r="36" spans="2:7">
      <c r="B36" s="27" t="s">
        <v>85</v>
      </c>
      <c r="C36" s="23" t="s">
        <v>86</v>
      </c>
      <c r="D36" s="23" t="s">
        <v>35</v>
      </c>
      <c r="E36" s="28">
        <v>128353</v>
      </c>
      <c r="F36" s="25">
        <v>2840.71</v>
      </c>
      <c r="G36" s="25">
        <v>1.48</v>
      </c>
    </row>
    <row r="37" spans="2:7">
      <c r="B37" s="27" t="s">
        <v>87</v>
      </c>
      <c r="C37" s="23" t="s">
        <v>88</v>
      </c>
      <c r="D37" s="23" t="s">
        <v>18</v>
      </c>
      <c r="E37" s="28">
        <v>140771</v>
      </c>
      <c r="F37" s="25">
        <v>2798.74</v>
      </c>
      <c r="G37" s="25">
        <v>1.46</v>
      </c>
    </row>
    <row r="38" spans="2:7">
      <c r="B38" s="27" t="s">
        <v>89</v>
      </c>
      <c r="C38" s="23" t="s">
        <v>90</v>
      </c>
      <c r="D38" s="23" t="s">
        <v>62</v>
      </c>
      <c r="E38" s="28">
        <v>1189865</v>
      </c>
      <c r="F38" s="25">
        <v>2767.03</v>
      </c>
      <c r="G38" s="25">
        <v>1.45</v>
      </c>
    </row>
    <row r="39" spans="2:7">
      <c r="B39" s="27" t="s">
        <v>91</v>
      </c>
      <c r="C39" s="23" t="s">
        <v>92</v>
      </c>
      <c r="D39" s="23" t="s">
        <v>62</v>
      </c>
      <c r="E39" s="28">
        <v>86351</v>
      </c>
      <c r="F39" s="25">
        <v>2713.54</v>
      </c>
      <c r="G39" s="25">
        <v>1.42</v>
      </c>
    </row>
    <row r="40" spans="2:7">
      <c r="B40" s="27" t="s">
        <v>93</v>
      </c>
      <c r="C40" s="23" t="s">
        <v>94</v>
      </c>
      <c r="D40" s="23" t="s">
        <v>95</v>
      </c>
      <c r="E40" s="28">
        <v>989404</v>
      </c>
      <c r="F40" s="25">
        <v>2710.97</v>
      </c>
      <c r="G40" s="25">
        <v>1.42</v>
      </c>
    </row>
    <row r="41" spans="2:7">
      <c r="B41" s="27" t="s">
        <v>96</v>
      </c>
      <c r="C41" s="23" t="s">
        <v>97</v>
      </c>
      <c r="D41" s="23" t="s">
        <v>18</v>
      </c>
      <c r="E41" s="28">
        <v>1279685</v>
      </c>
      <c r="F41" s="25">
        <v>2652.15</v>
      </c>
      <c r="G41" s="25">
        <v>1.39</v>
      </c>
    </row>
    <row r="42" spans="2:7">
      <c r="B42" s="27" t="s">
        <v>98</v>
      </c>
      <c r="C42" s="23" t="s">
        <v>99</v>
      </c>
      <c r="D42" s="23" t="s">
        <v>46</v>
      </c>
      <c r="E42" s="28">
        <v>429298</v>
      </c>
      <c r="F42" s="25">
        <v>2566.56</v>
      </c>
      <c r="G42" s="25">
        <v>1.34</v>
      </c>
    </row>
    <row r="43" spans="2:7">
      <c r="B43" s="27" t="s">
        <v>100</v>
      </c>
      <c r="C43" s="23" t="s">
        <v>101</v>
      </c>
      <c r="D43" s="23" t="s">
        <v>43</v>
      </c>
      <c r="E43" s="28">
        <v>558529</v>
      </c>
      <c r="F43" s="25">
        <v>2520.92</v>
      </c>
      <c r="G43" s="25">
        <v>1.32</v>
      </c>
    </row>
    <row r="44" spans="2:7">
      <c r="B44" s="27" t="s">
        <v>102</v>
      </c>
      <c r="C44" s="23" t="s">
        <v>103</v>
      </c>
      <c r="D44" s="23" t="s">
        <v>104</v>
      </c>
      <c r="E44" s="28">
        <v>66922</v>
      </c>
      <c r="F44" s="25">
        <v>2499.67</v>
      </c>
      <c r="G44" s="25">
        <v>1.31</v>
      </c>
    </row>
    <row r="45" spans="2:7">
      <c r="B45" s="27" t="s">
        <v>105</v>
      </c>
      <c r="C45" s="23" t="s">
        <v>106</v>
      </c>
      <c r="D45" s="23" t="s">
        <v>107</v>
      </c>
      <c r="E45" s="28">
        <v>1768743</v>
      </c>
      <c r="F45" s="25">
        <v>2469.17</v>
      </c>
      <c r="G45" s="25">
        <v>1.29</v>
      </c>
    </row>
    <row r="46" spans="2:7">
      <c r="B46" s="27" t="s">
        <v>108</v>
      </c>
      <c r="C46" s="23" t="s">
        <v>109</v>
      </c>
      <c r="D46" s="23" t="s">
        <v>110</v>
      </c>
      <c r="E46" s="28">
        <v>648968</v>
      </c>
      <c r="F46" s="25">
        <v>2438.8200000000002</v>
      </c>
      <c r="G46" s="25">
        <v>1.27</v>
      </c>
    </row>
    <row r="47" spans="2:7">
      <c r="B47" s="27" t="s">
        <v>111</v>
      </c>
      <c r="C47" s="23" t="s">
        <v>112</v>
      </c>
      <c r="D47" s="23" t="s">
        <v>104</v>
      </c>
      <c r="E47" s="28">
        <v>892941</v>
      </c>
      <c r="F47" s="25">
        <v>2431.0300000000002</v>
      </c>
      <c r="G47" s="25">
        <v>1.27</v>
      </c>
    </row>
    <row r="48" spans="2:7">
      <c r="B48" s="27" t="s">
        <v>113</v>
      </c>
      <c r="C48" s="23" t="s">
        <v>114</v>
      </c>
      <c r="D48" s="23" t="s">
        <v>23</v>
      </c>
      <c r="E48" s="28">
        <v>71077</v>
      </c>
      <c r="F48" s="25">
        <v>2411.89</v>
      </c>
      <c r="G48" s="25">
        <v>1.26</v>
      </c>
    </row>
    <row r="49" spans="2:7">
      <c r="B49" s="27" t="s">
        <v>115</v>
      </c>
      <c r="C49" s="23" t="s">
        <v>116</v>
      </c>
      <c r="D49" s="23" t="s">
        <v>31</v>
      </c>
      <c r="E49" s="28">
        <v>595477</v>
      </c>
      <c r="F49" s="25">
        <v>2395.6</v>
      </c>
      <c r="G49" s="25">
        <v>1.25</v>
      </c>
    </row>
    <row r="50" spans="2:7">
      <c r="B50" s="27" t="s">
        <v>117</v>
      </c>
      <c r="C50" s="23" t="s">
        <v>118</v>
      </c>
      <c r="D50" s="23" t="s">
        <v>119</v>
      </c>
      <c r="E50" s="28">
        <v>5425</v>
      </c>
      <c r="F50" s="25">
        <v>2287.77</v>
      </c>
      <c r="G50" s="25">
        <v>1.2</v>
      </c>
    </row>
    <row r="51" spans="2:7">
      <c r="B51" s="27" t="s">
        <v>120</v>
      </c>
      <c r="C51" s="23" t="s">
        <v>121</v>
      </c>
      <c r="D51" s="23" t="s">
        <v>62</v>
      </c>
      <c r="E51" s="28">
        <v>87175</v>
      </c>
      <c r="F51" s="25">
        <v>2170.83</v>
      </c>
      <c r="G51" s="25">
        <v>1.1299999999999999</v>
      </c>
    </row>
    <row r="52" spans="2:7">
      <c r="B52" s="27" t="s">
        <v>122</v>
      </c>
      <c r="C52" s="23" t="s">
        <v>123</v>
      </c>
      <c r="D52" s="23" t="s">
        <v>124</v>
      </c>
      <c r="E52" s="28">
        <v>51700</v>
      </c>
      <c r="F52" s="25">
        <v>2152.94</v>
      </c>
      <c r="G52" s="25">
        <v>1.1299999999999999</v>
      </c>
    </row>
    <row r="53" spans="2:7">
      <c r="B53" s="27" t="s">
        <v>125</v>
      </c>
      <c r="C53" s="23" t="s">
        <v>126</v>
      </c>
      <c r="D53" s="23" t="s">
        <v>107</v>
      </c>
      <c r="E53" s="28">
        <v>2599163</v>
      </c>
      <c r="F53" s="25">
        <v>2042.94</v>
      </c>
      <c r="G53" s="25">
        <v>1.07</v>
      </c>
    </row>
    <row r="54" spans="2:7">
      <c r="B54" s="27" t="s">
        <v>127</v>
      </c>
      <c r="C54" s="23" t="s">
        <v>128</v>
      </c>
      <c r="D54" s="23" t="s">
        <v>62</v>
      </c>
      <c r="E54" s="28">
        <v>53712</v>
      </c>
      <c r="F54" s="25">
        <v>1994.81</v>
      </c>
      <c r="G54" s="25">
        <v>1.04</v>
      </c>
    </row>
    <row r="55" spans="2:7">
      <c r="B55" s="27" t="s">
        <v>129</v>
      </c>
      <c r="C55" s="23" t="s">
        <v>130</v>
      </c>
      <c r="D55" s="23" t="s">
        <v>49</v>
      </c>
      <c r="E55" s="28">
        <v>106297</v>
      </c>
      <c r="F55" s="25">
        <v>1890.76</v>
      </c>
      <c r="G55" s="25">
        <v>0.99</v>
      </c>
    </row>
    <row r="56" spans="2:7">
      <c r="B56" s="27" t="s">
        <v>131</v>
      </c>
      <c r="C56" s="23" t="s">
        <v>132</v>
      </c>
      <c r="D56" s="23" t="s">
        <v>46</v>
      </c>
      <c r="E56" s="28">
        <v>101885</v>
      </c>
      <c r="F56" s="25">
        <v>1796.18</v>
      </c>
      <c r="G56" s="25">
        <v>0.94</v>
      </c>
    </row>
    <row r="57" spans="2:7">
      <c r="B57" s="27" t="s">
        <v>133</v>
      </c>
      <c r="C57" s="23" t="s">
        <v>134</v>
      </c>
      <c r="D57" s="23" t="s">
        <v>46</v>
      </c>
      <c r="E57" s="28">
        <v>246845</v>
      </c>
      <c r="F57" s="25">
        <v>1452.68</v>
      </c>
      <c r="G57" s="25">
        <v>0.76</v>
      </c>
    </row>
    <row r="58" spans="2:7">
      <c r="B58" s="27" t="s">
        <v>135</v>
      </c>
      <c r="C58" s="23" t="s">
        <v>136</v>
      </c>
      <c r="D58" s="23" t="s">
        <v>119</v>
      </c>
      <c r="E58" s="28">
        <v>73669</v>
      </c>
      <c r="F58" s="25">
        <v>1316.39</v>
      </c>
      <c r="G58" s="25">
        <v>0.69</v>
      </c>
    </row>
    <row r="59" spans="2:7">
      <c r="B59" s="27" t="s">
        <v>137</v>
      </c>
      <c r="C59" s="23" t="s">
        <v>138</v>
      </c>
      <c r="D59" s="23" t="s">
        <v>139</v>
      </c>
      <c r="E59" s="28">
        <v>75494</v>
      </c>
      <c r="F59" s="25">
        <v>340.59</v>
      </c>
      <c r="G59" s="25">
        <v>0.18</v>
      </c>
    </row>
    <row r="60" spans="2:7">
      <c r="B60" s="30" t="s">
        <v>140</v>
      </c>
      <c r="C60" s="31"/>
      <c r="D60" s="31"/>
      <c r="E60" s="32"/>
      <c r="F60" s="33">
        <f>SUM(F7:F59)</f>
        <v>176619.52000000008</v>
      </c>
      <c r="G60" s="33">
        <f>SUM(G7:G59)</f>
        <v>92.31</v>
      </c>
    </row>
    <row r="61" spans="2:7">
      <c r="B61" s="34" t="s">
        <v>141</v>
      </c>
      <c r="C61" s="34"/>
      <c r="D61" s="34"/>
      <c r="E61" s="35"/>
      <c r="F61" s="36">
        <f>F60</f>
        <v>176619.52000000008</v>
      </c>
      <c r="G61" s="36">
        <f>G60</f>
        <v>92.31</v>
      </c>
    </row>
    <row r="62" spans="2:7">
      <c r="B62" s="37" t="s">
        <v>142</v>
      </c>
      <c r="C62" s="38"/>
      <c r="D62" s="38"/>
      <c r="E62" s="39"/>
      <c r="F62" s="40"/>
      <c r="G62" s="40"/>
    </row>
    <row r="63" spans="2:7">
      <c r="B63" s="27" t="s">
        <v>142</v>
      </c>
      <c r="C63" s="23"/>
      <c r="D63" s="23"/>
      <c r="E63" s="24"/>
      <c r="F63" s="25">
        <v>15273.28</v>
      </c>
      <c r="G63" s="25">
        <v>7.98</v>
      </c>
    </row>
    <row r="64" spans="2:7">
      <c r="B64" s="30" t="s">
        <v>140</v>
      </c>
      <c r="C64" s="31"/>
      <c r="D64" s="31"/>
      <c r="E64" s="32"/>
      <c r="F64" s="33">
        <f>SUM(F62:F63)</f>
        <v>15273.28</v>
      </c>
      <c r="G64" s="33">
        <f>SUM(G62:G63)</f>
        <v>7.98</v>
      </c>
    </row>
    <row r="65" spans="2:7">
      <c r="B65" s="41" t="s">
        <v>141</v>
      </c>
      <c r="C65" s="41"/>
      <c r="D65" s="41"/>
      <c r="E65" s="42"/>
      <c r="F65" s="43">
        <f>F64</f>
        <v>15273.28</v>
      </c>
      <c r="G65" s="43">
        <f>G64</f>
        <v>7.98</v>
      </c>
    </row>
    <row r="66" spans="2:7">
      <c r="B66" s="44" t="s">
        <v>143</v>
      </c>
      <c r="C66" s="44"/>
      <c r="D66" s="44"/>
      <c r="E66" s="45"/>
      <c r="F66" s="46">
        <f>F67-(+F61+F65)</f>
        <v>-541.44000000008964</v>
      </c>
      <c r="G66" s="46">
        <f>G67-(+G61+G65)</f>
        <v>-0.29000000000000625</v>
      </c>
    </row>
    <row r="67" spans="2:7">
      <c r="B67" s="44" t="s">
        <v>144</v>
      </c>
      <c r="C67" s="44"/>
      <c r="D67" s="44"/>
      <c r="E67" s="45"/>
      <c r="F67" s="46">
        <v>191351.36</v>
      </c>
      <c r="G67" s="46">
        <v>100</v>
      </c>
    </row>
    <row r="69" spans="2:7">
      <c r="B69" s="47"/>
    </row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2022-01-07T11:51:05Z</dcterms:created>
  <dcterms:modified xsi:type="dcterms:W3CDTF">2022-01-07T11:51:08Z</dcterms:modified>
</cp:coreProperties>
</file>