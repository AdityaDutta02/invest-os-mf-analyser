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P:\hemangi\data\monthly portfolios with ISIN\FY 2026-27\MAY'26\REVISED\"/>
    </mc:Choice>
  </mc:AlternateContent>
  <xr:revisionPtr revIDLastSave="0" documentId="8_{F73B3F2F-959F-4828-9481-E267E9F3EFE3}" xr6:coauthVersionLast="47" xr6:coauthVersionMax="47" xr10:uidLastSave="{00000000-0000-0000-0000-000000000000}"/>
  <bookViews>
    <workbookView xWindow="-120" yWindow="-120" windowWidth="20730" windowHeight="11040" xr2:uid="{699014EB-D86A-449D-9EB6-806FCB8C4B48}"/>
  </bookViews>
  <sheets>
    <sheet name="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6" i="1" l="1"/>
  <c r="G47" i="1" s="1"/>
  <c r="F46" i="1"/>
  <c r="F47" i="1" s="1"/>
  <c r="G43" i="1"/>
  <c r="F43" i="1"/>
  <c r="G40" i="1"/>
  <c r="F40" i="1"/>
  <c r="G36" i="1"/>
  <c r="F36" i="1"/>
  <c r="G32" i="1"/>
  <c r="F32" i="1"/>
  <c r="G27" i="1"/>
  <c r="G37" i="1" s="1"/>
  <c r="F27" i="1"/>
  <c r="F37" i="1" s="1"/>
  <c r="G16" i="1"/>
  <c r="F16" i="1"/>
  <c r="G15" i="1"/>
  <c r="F15" i="1"/>
  <c r="F48" i="1" l="1"/>
  <c r="G4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<sst xmlns="http://schemas.openxmlformats.org/spreadsheetml/2006/main" count="152" uniqueCount="122">
  <si>
    <t>CANARA ROBECO ULTRA SHORT TERM FUND</t>
  </si>
  <si>
    <t>Monthly Portfolio Statement as on May 31, 2026</t>
  </si>
  <si>
    <t>Name of the Instrument</t>
  </si>
  <si>
    <t>ISIN</t>
  </si>
  <si>
    <t>Industry / Rating</t>
  </si>
  <si>
    <t>Quantity</t>
  </si>
  <si>
    <t>Market/Fair Value
 (Rs. in Lacs)</t>
  </si>
  <si>
    <t>% to Net
 Assets</t>
  </si>
  <si>
    <t>Yield %</t>
  </si>
  <si>
    <t>Scheme Risk-O-Meter Level - May'26</t>
  </si>
  <si>
    <t>Benchmark Risk-O-Meter Level - May'26</t>
  </si>
  <si>
    <t>Scheme Risk-O-Meter Level - April'26</t>
  </si>
  <si>
    <t>Benchmark Risk-O-Meter Level - April'26</t>
  </si>
  <si>
    <t>Potential Risk Class (PRC) Matrix</t>
  </si>
  <si>
    <t>Debt Instruments</t>
  </si>
  <si>
    <t>Credit Risk →</t>
  </si>
  <si>
    <t>Relatively Low (Class A)</t>
  </si>
  <si>
    <t>Moderate (Class B)</t>
  </si>
  <si>
    <t>Relatively High (Class C)</t>
  </si>
  <si>
    <t>(a) Listed / awaiting listing on Stock Exchanges</t>
  </si>
  <si>
    <t>Interest Rate Risk ↓</t>
  </si>
  <si>
    <t>7.50% National Bank For Agriculture &amp; Rural Development (31/08/2026) **</t>
  </si>
  <si>
    <t>INE261F08EA6</t>
  </si>
  <si>
    <t>CRISIL AAA</t>
  </si>
  <si>
    <t>Relatively Low (Class I)</t>
  </si>
  <si>
    <t>B-I</t>
  </si>
  <si>
    <t>7.63% Power Finance Corporation Ltd (14/08/2026)</t>
  </si>
  <si>
    <t>INE134E08II2</t>
  </si>
  <si>
    <t>7.70% REC Ltd (31/08/2026) **</t>
  </si>
  <si>
    <t>INE020B08FC8</t>
  </si>
  <si>
    <t>ICRA AAA</t>
  </si>
  <si>
    <t>Moderate 
(Class II)</t>
  </si>
  <si>
    <t>8.1350% KOTAK MAHINDRA PRIME LTD 10-FEB-27 **</t>
  </si>
  <si>
    <t>INE916DA7SR0</t>
  </si>
  <si>
    <t>7.55% Small Industries Development Bank Of India (22/09/2026) **</t>
  </si>
  <si>
    <t>INE556F08KJ7</t>
  </si>
  <si>
    <t>Relatively High (Class III)</t>
  </si>
  <si>
    <t>6.40% LIC Housing Finance Ltd (30/11/2026)</t>
  </si>
  <si>
    <t>INE115A07PN6</t>
  </si>
  <si>
    <t>7.64% Power Finance Corporation Ltd (25/08/2026)</t>
  </si>
  <si>
    <t>INE134E08MT1</t>
  </si>
  <si>
    <t>Benchmark: CRISIL Ultra Short Duration Debt A-I Index</t>
  </si>
  <si>
    <t>7.43% Small Industries Development Bank Of India (31/08/2026) **</t>
  </si>
  <si>
    <t>INE556F08KH1</t>
  </si>
  <si>
    <t>CARE AAA</t>
  </si>
  <si>
    <t>Sub Total</t>
  </si>
  <si>
    <t>Total</t>
  </si>
  <si>
    <t>Money Market Instruments</t>
  </si>
  <si>
    <t>Certificate of Deposit</t>
  </si>
  <si>
    <t>Axis Bank Ltd (12/06/2026) ** #</t>
  </si>
  <si>
    <t>INE238AD6AU5</t>
  </si>
  <si>
    <t>CRISIL A1+</t>
  </si>
  <si>
    <t>Kotak Mahindra Bank Ltd (21/12/2026) #</t>
  </si>
  <si>
    <t>INE237AD6158</t>
  </si>
  <si>
    <t>Indian Bank (03/02/2027) ** #</t>
  </si>
  <si>
    <t>INE562A16QH0</t>
  </si>
  <si>
    <t>Punjab National Bank (05/02/2027) #</t>
  </si>
  <si>
    <t>INE160A16UE2</t>
  </si>
  <si>
    <t>ICICI Bank Ltd (08/03/2027) ** #</t>
  </si>
  <si>
    <t>INE090AD6295</t>
  </si>
  <si>
    <t>ICRA A1+</t>
  </si>
  <si>
    <t>HDFC Bank Ltd (12/03/2027) ** #</t>
  </si>
  <si>
    <t>INE040A16IZ6</t>
  </si>
  <si>
    <t>CARE A1+</t>
  </si>
  <si>
    <t>HDFC Bank Ltd (21/12/2026) ** #</t>
  </si>
  <si>
    <t>INE040A16II2</t>
  </si>
  <si>
    <t>Kotak Mahindra Bank Ltd (12/02/2027) ** #</t>
  </si>
  <si>
    <t>INE237AD6141</t>
  </si>
  <si>
    <t>Commercial Paper</t>
  </si>
  <si>
    <t>HDFC Securities Ltd (05/06/2026) **</t>
  </si>
  <si>
    <t>INE700G14SV5</t>
  </si>
  <si>
    <t>Aditya Birla Capital Ltd (09/06/2026) **</t>
  </si>
  <si>
    <t>INE674K14BR8</t>
  </si>
  <si>
    <t>Axis Securities Ltd (25/08/2026) **</t>
  </si>
  <si>
    <t>INE110O14IN9</t>
  </si>
  <si>
    <t>Treasury Bill</t>
  </si>
  <si>
    <t>182 DTB (11-JUN-2026)</t>
  </si>
  <si>
    <t>IN002025Y370</t>
  </si>
  <si>
    <t xml:space="preserve"> Sovereign</t>
  </si>
  <si>
    <t>364 DTB (23-JUL-2026)</t>
  </si>
  <si>
    <t>IN002025Z179</t>
  </si>
  <si>
    <t>Government Bonds</t>
  </si>
  <si>
    <t>GOI FRB 2033 (22-SEP-2033)</t>
  </si>
  <si>
    <t>IN0020200120</t>
  </si>
  <si>
    <t>Sovereign</t>
  </si>
  <si>
    <t>Alternative Investment Fund</t>
  </si>
  <si>
    <t>CORPORATE DEBT MARKET DEVELOPMENT FUND CLASS A2</t>
  </si>
  <si>
    <t>INF0RQ622028</t>
  </si>
  <si>
    <t>TREPS</t>
  </si>
  <si>
    <t>Net Receivables / (Payables)</t>
  </si>
  <si>
    <t>Grand Total</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</si>
  <si>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</si>
  <si>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Non Traded Security</t>
  </si>
  <si>
    <t>#  Unlisted Security</t>
  </si>
  <si>
    <t>Modified Duration (In Years)</t>
  </si>
  <si>
    <t>Annualised Portfolio YTM</t>
  </si>
  <si>
    <t>Macaulay Duration (In Years)</t>
  </si>
  <si>
    <t>Average Maturity Yrs</t>
  </si>
  <si>
    <t>Notes</t>
  </si>
  <si>
    <t>(1) The provision made for Securities classified as below investment grade or default as of May,31 2026 is Rs Nil and its percentage to Net Asset Value is Nil.</t>
  </si>
  <si>
    <t>(2)  Plan/option wise per unit Net Asset Value are as follows:</t>
  </si>
  <si>
    <t xml:space="preserve">      Plan/Option</t>
  </si>
  <si>
    <t>As on April,30 2026</t>
  </si>
  <si>
    <t>As on May,29 2026</t>
  </si>
  <si>
    <t xml:space="preserve">      REGULAR PLAN - GROWTH OPTION</t>
  </si>
  <si>
    <t xml:space="preserve">      REGULAR PLAN - DAILY IDCW (Reinvestment)</t>
  </si>
  <si>
    <t xml:space="preserve">      REGULAR PLAN - WEEKLY IDCW (Payout/Reinvestment)</t>
  </si>
  <si>
    <t xml:space="preserve">      REGULAR PLAN - MONTHLY IDCW (Payout/Reinvestment)</t>
  </si>
  <si>
    <t xml:space="preserve">      DIRECT PLAN - GROWTH OPTION</t>
  </si>
  <si>
    <t xml:space="preserve">      DIRECT PLAN - IDCW (Payout/Reinvestment)</t>
  </si>
  <si>
    <t xml:space="preserve">      DIRECT PLAN - DAILY IDCW (Reinvestment)</t>
  </si>
  <si>
    <t xml:space="preserve">      DIRECT PLAN - WEEKLY IDCW (Payout/Reinvestment)</t>
  </si>
  <si>
    <t xml:space="preserve">      DIRECT PLAN - MONTHLY IDCW (Payout/Reinvestment)</t>
  </si>
  <si>
    <t xml:space="preserve">      REGULAR PLAN - IDCW (Payout)</t>
  </si>
  <si>
    <t>(3) Details of Dividend declared per unit (In Rupees) during the Month are as follows</t>
  </si>
  <si>
    <t>Individuals/HUF</t>
  </si>
  <si>
    <t>Others</t>
  </si>
  <si>
    <t>(4) Total outstanding exposure in derivative instruments as on May,31 2026 is Nil.</t>
  </si>
  <si>
    <t>(5) Total Market value of investments in Foreign Securities/American Depositary Receipts/Global Depositary Receipts as at May,31 2026 is Rs. Nil .</t>
  </si>
  <si>
    <t>(6)  Details of repo transaction in corporate debt securities for the Month ended May,31 2026 is Nil.</t>
  </si>
  <si>
    <t>Please refer the below link for the performance of the Schemes managed by Canara Robeco Mutual Fund</t>
  </si>
  <si>
    <t>https://www.canararobeco.com/docs/default-source/default-document-library/Scheme_Performance_May_26.pdf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</si>
</sst>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2" x14ac:knownFonts="1">
    <font>
      <sz val="11"/>
      <color theme="1"/>
      <name val="Calibri"/>
      <family val="2"/>
      <scheme val="minor"/>
    </font>
    <font>
      <sz val="11"/>
      <color theme="1"/>
      <name val="Calibri"/>
      <family val="2"/>
      <scheme val="minor"/>
    </font>
    <font>
      <u/>
      <sz val="11"/>
      <color theme="10"/>
      <name val="Calibri"/>
      <family val="2"/>
      <scheme val="minor"/>
    </font>
    <font>
      <b/>
      <sz val="16"/>
      <color indexed="63"/>
      <name val="Arial"/>
      <family val="2"/>
    </font>
    <font>
      <sz val="9"/>
      <color theme="1"/>
      <name val="Arial"/>
      <family val="2"/>
    </font>
    <font>
      <b/>
      <sz val="12"/>
      <name val="Arial"/>
      <family val="2"/>
    </font>
    <font>
      <b/>
      <sz val="9"/>
      <name val="Arial"/>
      <family val="2"/>
    </font>
    <font>
      <sz val="9"/>
      <name val="Arial"/>
      <family val="2"/>
    </font>
    <font>
      <b/>
      <sz val="9"/>
      <color indexed="72"/>
      <name val="Arial"/>
      <family val="2"/>
    </font>
    <font>
      <b/>
      <sz val="11"/>
      <color theme="1"/>
      <name val="Taz SemiLight"/>
      <family val="2"/>
    </font>
    <font>
      <b/>
      <sz val="9"/>
      <color theme="1"/>
      <name val="Arial"/>
      <family val="2"/>
    </font>
    <font>
      <b/>
      <sz val="9"/>
      <color rgb="FFFF0000"/>
      <name val="Arial"/>
      <family val="2"/>
    </font>
  </fonts>
  <fills count="6">
    <fill>
      <patternFill patternType="none"/>
    </fill>
    <fill>
      <patternFill patternType="gray125"/>
    </fill>
    <fill>
      <patternFill patternType="solid">
        <fgColor indexed="42"/>
        <bgColor indexed="64"/>
      </patternFill>
    </fill>
    <fill>
      <patternFill patternType="solid">
        <fgColor indexed="65"/>
        <bgColor indexed="64"/>
      </patternFill>
    </fill>
    <fill>
      <patternFill patternType="solid">
        <fgColor theme="0" tint="-0.14999847407452621"/>
        <bgColor indexed="64"/>
      </patternFill>
    </fill>
    <fill>
      <patternFill patternType="solid">
        <fgColor rgb="FFD3D3D3"/>
        <bgColor indexed="64"/>
      </patternFill>
    </fill>
  </fills>
  <borders count="22">
    <border>
      <left/>
      <right/>
      <top/>
      <bottom/>
      <diagonal/>
    </border>
    <border>
      <left style="thin">
        <color indexed="64"/>
      </left>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64"/>
      </top>
      <bottom/>
      <diagonal/>
    </border>
    <border>
      <left style="thin">
        <color indexed="64"/>
      </left>
      <right style="thin">
        <color indexed="64"/>
      </right>
      <top style="thin">
        <color indexed="64"/>
      </top>
      <bottom style="thin">
        <color indexed="64"/>
      </bottom>
      <diagonal/>
    </border>
    <border>
      <left style="thin">
        <color indexed="0"/>
      </left>
      <right style="thin">
        <color indexed="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0"/>
      </left>
      <right style="thin">
        <color indexed="0"/>
      </right>
      <top/>
      <bottom style="thin">
        <color indexed="0"/>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style="thin">
        <color indexed="64"/>
      </bottom>
      <diagonal/>
    </border>
    <border>
      <left style="thin">
        <color indexed="0"/>
      </left>
      <right style="thin">
        <color indexed="0"/>
      </right>
      <top/>
      <bottom style="thin">
        <color indexed="64"/>
      </bottom>
      <diagonal/>
    </border>
    <border>
      <left style="thin">
        <color indexed="64"/>
      </left>
      <right style="thin">
        <color indexed="64"/>
      </right>
      <top style="thin">
        <color indexed="0"/>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61">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3" borderId="0" xfId="0" applyFont="1" applyFill="1"/>
    <xf numFmtId="0" fontId="5" fillId="3" borderId="0" xfId="0" applyFont="1" applyFill="1" applyAlignment="1">
      <alignment horizontal="left" vertical="top"/>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4" fontId="7" fillId="3" borderId="0" xfId="0" applyNumberFormat="1" applyFont="1" applyFill="1" applyAlignment="1">
      <alignment horizontal="left" vertical="top" wrapText="1"/>
    </xf>
    <xf numFmtId="4" fontId="4" fillId="3" borderId="0" xfId="0" applyNumberFormat="1" applyFont="1" applyFill="1"/>
    <xf numFmtId="0" fontId="8" fillId="3" borderId="2" xfId="0" applyFont="1" applyFill="1" applyBorder="1" applyAlignment="1">
      <alignment horizontal="left" vertical="center"/>
    </xf>
    <xf numFmtId="0" fontId="8" fillId="3" borderId="3" xfId="0" applyFont="1" applyFill="1" applyBorder="1" applyAlignment="1">
      <alignment horizontal="center" vertical="center" wrapText="1"/>
    </xf>
    <xf numFmtId="4" fontId="8" fillId="3" borderId="3" xfId="0" applyNumberFormat="1" applyFont="1" applyFill="1" applyBorder="1" applyAlignment="1">
      <alignment horizontal="center" vertical="center" wrapText="1"/>
    </xf>
    <xf numFmtId="4" fontId="8" fillId="3" borderId="4" xfId="0" applyNumberFormat="1" applyFont="1" applyFill="1" applyBorder="1" applyAlignment="1">
      <alignment horizontal="center" vertical="center" wrapText="1"/>
    </xf>
    <xf numFmtId="0" fontId="9" fillId="0" borderId="5" xfId="0" applyFont="1" applyBorder="1" applyAlignment="1">
      <alignment horizontal="center" vertical="center" wrapText="1"/>
    </xf>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0" fillId="3" borderId="9" xfId="0" applyFont="1" applyFill="1" applyBorder="1"/>
    <xf numFmtId="0" fontId="4" fillId="3" borderId="9" xfId="0" applyFont="1" applyFill="1" applyBorder="1"/>
    <xf numFmtId="4" fontId="4" fillId="3" borderId="9" xfId="0" applyNumberFormat="1" applyFont="1" applyFill="1" applyBorder="1"/>
    <xf numFmtId="43" fontId="4" fillId="3" borderId="5" xfId="1" applyFont="1" applyFill="1" applyBorder="1" applyAlignment="1">
      <alignment horizontal="center" vertical="center"/>
    </xf>
    <xf numFmtId="43" fontId="4" fillId="3" borderId="10" xfId="1" applyFont="1" applyFill="1" applyBorder="1" applyAlignment="1">
      <alignment horizontal="center" vertical="center"/>
    </xf>
    <xf numFmtId="0" fontId="10" fillId="0" borderId="10" xfId="0" applyFont="1" applyBorder="1" applyAlignment="1">
      <alignment horizontal="center" wrapText="1"/>
    </xf>
    <xf numFmtId="0" fontId="10" fillId="0" borderId="5" xfId="0" applyFont="1" applyBorder="1" applyAlignment="1">
      <alignment horizontal="center" wrapText="1"/>
    </xf>
    <xf numFmtId="0" fontId="10" fillId="3" borderId="11" xfId="0" applyFont="1" applyFill="1" applyBorder="1"/>
    <xf numFmtId="0" fontId="4" fillId="3" borderId="11" xfId="0" applyFont="1" applyFill="1" applyBorder="1"/>
    <xf numFmtId="4" fontId="4" fillId="3" borderId="11" xfId="0" applyNumberFormat="1" applyFont="1" applyFill="1" applyBorder="1"/>
    <xf numFmtId="43" fontId="4" fillId="3" borderId="12" xfId="1" applyFont="1" applyFill="1" applyBorder="1" applyAlignment="1">
      <alignment horizontal="center" vertical="center"/>
    </xf>
    <xf numFmtId="0" fontId="10" fillId="0" borderId="10" xfId="0" applyFont="1" applyBorder="1" applyAlignment="1">
      <alignment horizontal="left" vertical="top" wrapText="1"/>
    </xf>
    <xf numFmtId="0" fontId="10" fillId="0" borderId="13" xfId="0" applyFont="1" applyBorder="1" applyAlignment="1">
      <alignment horizontal="center" wrapText="1"/>
    </xf>
    <xf numFmtId="3" fontId="4" fillId="3" borderId="11" xfId="0" applyNumberFormat="1" applyFont="1" applyFill="1" applyBorder="1"/>
    <xf numFmtId="0" fontId="10" fillId="0" borderId="10" xfId="0" applyFont="1" applyBorder="1" applyAlignment="1">
      <alignment horizontal="left" wrapText="1"/>
    </xf>
    <xf numFmtId="0" fontId="4" fillId="0" borderId="5" xfId="0" applyFont="1" applyBorder="1" applyAlignment="1">
      <alignment horizontal="center"/>
    </xf>
    <xf numFmtId="0" fontId="10" fillId="4" borderId="5" xfId="0" applyFont="1" applyFill="1" applyBorder="1" applyAlignment="1">
      <alignment horizontal="center" vertical="center"/>
    </xf>
    <xf numFmtId="0" fontId="4" fillId="0" borderId="13" xfId="0" applyFont="1" applyBorder="1" applyAlignment="1">
      <alignment horizontal="center"/>
    </xf>
    <xf numFmtId="0" fontId="10" fillId="4" borderId="13" xfId="0" applyFont="1" applyFill="1" applyBorder="1" applyAlignment="1">
      <alignment horizontal="center" vertical="center"/>
    </xf>
    <xf numFmtId="43" fontId="4" fillId="3" borderId="13" xfId="1" applyFont="1" applyFill="1" applyBorder="1" applyAlignment="1">
      <alignment horizontal="center" vertical="center"/>
    </xf>
    <xf numFmtId="43" fontId="4" fillId="3" borderId="0" xfId="1" applyFont="1" applyFill="1" applyAlignment="1"/>
    <xf numFmtId="43" fontId="4" fillId="3" borderId="0" xfId="1" applyFont="1" applyFill="1"/>
    <xf numFmtId="0" fontId="10" fillId="3" borderId="14" xfId="0" applyFont="1" applyFill="1" applyBorder="1"/>
    <xf numFmtId="4" fontId="10" fillId="3" borderId="15" xfId="0" applyNumberFormat="1" applyFont="1" applyFill="1" applyBorder="1"/>
    <xf numFmtId="4" fontId="10" fillId="3" borderId="14" xfId="0" applyNumberFormat="1" applyFont="1" applyFill="1" applyBorder="1"/>
    <xf numFmtId="0" fontId="10" fillId="3" borderId="0" xfId="0" applyFont="1" applyFill="1"/>
    <xf numFmtId="0" fontId="10" fillId="3" borderId="16" xfId="0" applyFont="1" applyFill="1" applyBorder="1"/>
    <xf numFmtId="4" fontId="10" fillId="3" borderId="16" xfId="0" applyNumberFormat="1" applyFont="1" applyFill="1" applyBorder="1"/>
    <xf numFmtId="4" fontId="10" fillId="3" borderId="17" xfId="0" applyNumberFormat="1" applyFont="1" applyFill="1" applyBorder="1"/>
    <xf numFmtId="4" fontId="10" fillId="3" borderId="11" xfId="0" applyNumberFormat="1" applyFont="1" applyFill="1" applyBorder="1"/>
    <xf numFmtId="0" fontId="4" fillId="3" borderId="18" xfId="0" applyFont="1" applyFill="1" applyBorder="1"/>
    <xf numFmtId="3" fontId="4" fillId="3" borderId="18" xfId="0" applyNumberFormat="1" applyFont="1" applyFill="1" applyBorder="1"/>
    <xf numFmtId="4" fontId="4" fillId="3" borderId="18" xfId="0" applyNumberFormat="1" applyFont="1" applyFill="1" applyBorder="1"/>
    <xf numFmtId="0" fontId="10" fillId="3" borderId="17" xfId="0" applyFont="1" applyFill="1" applyBorder="1"/>
    <xf numFmtId="0" fontId="10" fillId="3" borderId="19" xfId="0" applyFont="1" applyFill="1" applyBorder="1"/>
    <xf numFmtId="4" fontId="10" fillId="3" borderId="19" xfId="0" applyNumberFormat="1" applyFont="1" applyFill="1" applyBorder="1"/>
    <xf numFmtId="0" fontId="10" fillId="3" borderId="10" xfId="0" applyFont="1" applyFill="1" applyBorder="1"/>
    <xf numFmtId="4" fontId="10" fillId="3" borderId="10" xfId="0" applyNumberFormat="1" applyFont="1" applyFill="1" applyBorder="1"/>
    <xf numFmtId="0" fontId="10" fillId="3" borderId="0" xfId="0" applyFont="1" applyFill="1" applyAlignment="1">
      <alignment horizontal="left" vertical="top" wrapText="1"/>
    </xf>
    <xf numFmtId="0" fontId="11" fillId="5" borderId="20" xfId="0" applyFont="1" applyFill="1" applyBorder="1"/>
    <xf numFmtId="2" fontId="10" fillId="3" borderId="21" xfId="0" applyNumberFormat="1" applyFont="1" applyFill="1" applyBorder="1"/>
    <xf numFmtId="10" fontId="10" fillId="3" borderId="21" xfId="0" applyNumberFormat="1" applyFont="1" applyFill="1" applyBorder="1"/>
    <xf numFmtId="164" fontId="4" fillId="3" borderId="0" xfId="0" applyNumberFormat="1" applyFont="1" applyFill="1"/>
    <xf numFmtId="0" fontId="2" fillId="0" borderId="0" xfId="2"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c01.safelinks.protection.outlook.com/?url=https%3A%2F%2Fwww.canararobeco.com%2Fdocs%2Fdefault-source%2Fdefault-document-library%2FScheme_Performance_May_26.pdf&amp;data=05%7C02%7C%7Cc0ab9c6aede14e1996ad08dec0969d52%7C6fa82c0314f040c8895a63736b6313f0%7C0%7C0%7C639159950311520253%7CUnknown%7CTWFpbGZsb3d8eyJFbXB0eU1hcGkiOnRydWUsIlYiOiIwLjAuMDAwMCIsIlAiOiJXaW4zMiIsIkFOIjoiTWFpbCIsIldUIjoyfQ%3D%3D%7C0%7C%7C%7C&amp;sdata=v%2BErOW%2BYSawSTCOvNYDXkfmrsprcuXh1UKkFJO3SePg%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34D7A-7495-4EC7-814C-0AFCC80BDAC7}">
  <dimension ref="B1:S93"/>
  <sheetViews>
    <sheetView tabSelected="1" workbookViewId="0">
      <selection activeCell="B1" sqref="B1:H1"/>
    </sheetView>
  </sheetViews>
  <sheetFormatPr defaultRowHeight="12" x14ac:dyDescent="0.2"/>
  <cols>
    <col min="1" max="1" width="9.140625" style="3"/>
    <col min="2" max="2" width="60.28515625" style="3" bestFit="1" customWidth="1"/>
    <col min="3" max="3" width="13.7109375" style="3" bestFit="1" customWidth="1"/>
    <col min="4" max="4" width="22.85546875" style="3" bestFit="1" customWidth="1"/>
    <col min="5" max="5" width="8.85546875" style="3" bestFit="1" customWidth="1"/>
    <col min="6" max="6" width="15.28515625" style="8" bestFit="1" customWidth="1"/>
    <col min="7" max="7" width="9.85546875" style="8" bestFit="1" customWidth="1"/>
    <col min="8" max="8" width="6.5703125" style="8" bestFit="1" customWidth="1"/>
    <col min="9" max="10" width="9.140625" style="3"/>
    <col min="11" max="11" width="31.5703125" style="3" customWidth="1"/>
    <col min="12" max="12" width="35.5703125" style="3" customWidth="1"/>
    <col min="13" max="14" width="31.42578125" style="3" customWidth="1"/>
    <col min="15" max="15" width="9.140625" style="3"/>
    <col min="16" max="16" width="12.5703125" style="3" customWidth="1"/>
    <col min="17" max="16384" width="9.140625" style="3"/>
  </cols>
  <sheetData>
    <row r="1" spans="2:19" ht="21" customHeight="1" x14ac:dyDescent="0.2">
      <c r="B1" s="1" t="s">
        <v>0</v>
      </c>
      <c r="C1" s="2"/>
      <c r="D1" s="2"/>
      <c r="E1" s="2"/>
      <c r="F1" s="2"/>
      <c r="G1" s="2"/>
      <c r="H1" s="2"/>
    </row>
    <row r="3" spans="2:19" ht="16.5" thickBot="1" x14ac:dyDescent="0.25">
      <c r="B3" s="4" t="s">
        <v>1</v>
      </c>
      <c r="C3" s="5"/>
      <c r="D3" s="6"/>
      <c r="E3" s="6"/>
      <c r="F3" s="7"/>
      <c r="G3" s="7"/>
    </row>
    <row r="4" spans="2:19" ht="28.5" x14ac:dyDescent="0.2">
      <c r="B4" s="9" t="s">
        <v>2</v>
      </c>
      <c r="C4" s="10" t="s">
        <v>3</v>
      </c>
      <c r="D4" s="10" t="s">
        <v>4</v>
      </c>
      <c r="E4" s="10" t="s">
        <v>5</v>
      </c>
      <c r="F4" s="11" t="s">
        <v>6</v>
      </c>
      <c r="G4" s="12" t="s">
        <v>7</v>
      </c>
      <c r="H4" s="12" t="s">
        <v>8</v>
      </c>
      <c r="K4" s="13" t="s">
        <v>9</v>
      </c>
      <c r="L4" s="13" t="s">
        <v>10</v>
      </c>
      <c r="M4" s="13" t="s">
        <v>11</v>
      </c>
      <c r="N4" s="13" t="s">
        <v>12</v>
      </c>
      <c r="P4" s="14" t="s">
        <v>13</v>
      </c>
      <c r="Q4" s="15"/>
      <c r="R4" s="15"/>
      <c r="S4" s="16"/>
    </row>
    <row r="5" spans="2:19" x14ac:dyDescent="0.2">
      <c r="B5" s="17" t="s">
        <v>14</v>
      </c>
      <c r="C5" s="18"/>
      <c r="D5" s="18"/>
      <c r="E5" s="18"/>
      <c r="F5" s="19"/>
      <c r="G5" s="19"/>
      <c r="H5" s="19"/>
      <c r="K5" s="20" t="e" vm="1">
        <v>#VALUE!</v>
      </c>
      <c r="L5" s="21" t="e" vm="2">
        <v>#VALUE!</v>
      </c>
      <c r="M5" s="20" t="e" vm="1">
        <v>#VALUE!</v>
      </c>
      <c r="N5" s="21" t="e" vm="2">
        <v>#VALUE!</v>
      </c>
      <c r="P5" s="22" t="s">
        <v>15</v>
      </c>
      <c r="Q5" s="23" t="s">
        <v>16</v>
      </c>
      <c r="R5" s="23" t="s">
        <v>17</v>
      </c>
      <c r="S5" s="23" t="s">
        <v>18</v>
      </c>
    </row>
    <row r="6" spans="2:19" ht="24" x14ac:dyDescent="0.2">
      <c r="B6" s="24" t="s">
        <v>19</v>
      </c>
      <c r="C6" s="25"/>
      <c r="D6" s="25"/>
      <c r="E6" s="25"/>
      <c r="F6" s="26"/>
      <c r="G6" s="26"/>
      <c r="H6" s="26"/>
      <c r="K6" s="27"/>
      <c r="L6" s="21"/>
      <c r="M6" s="27"/>
      <c r="N6" s="21"/>
      <c r="P6" s="28" t="s">
        <v>20</v>
      </c>
      <c r="Q6" s="29"/>
      <c r="R6" s="29"/>
      <c r="S6" s="29"/>
    </row>
    <row r="7" spans="2:19" x14ac:dyDescent="0.2">
      <c r="B7" s="25" t="s">
        <v>21</v>
      </c>
      <c r="C7" s="25" t="s">
        <v>22</v>
      </c>
      <c r="D7" s="25" t="s">
        <v>23</v>
      </c>
      <c r="E7" s="30">
        <v>4500</v>
      </c>
      <c r="F7" s="26">
        <v>4493.55</v>
      </c>
      <c r="G7" s="26">
        <v>8.51</v>
      </c>
      <c r="H7" s="26">
        <v>7.66</v>
      </c>
      <c r="K7" s="27"/>
      <c r="L7" s="21"/>
      <c r="M7" s="27"/>
      <c r="N7" s="21"/>
      <c r="P7" s="31" t="s">
        <v>24</v>
      </c>
      <c r="Q7" s="32"/>
      <c r="R7" s="33" t="s">
        <v>25</v>
      </c>
      <c r="S7" s="32"/>
    </row>
    <row r="8" spans="2:19" x14ac:dyDescent="0.2">
      <c r="B8" s="25" t="s">
        <v>26</v>
      </c>
      <c r="C8" s="25" t="s">
        <v>27</v>
      </c>
      <c r="D8" s="25" t="s">
        <v>23</v>
      </c>
      <c r="E8" s="30">
        <v>250</v>
      </c>
      <c r="F8" s="26">
        <v>2497.88</v>
      </c>
      <c r="G8" s="26">
        <v>4.7300000000000004</v>
      </c>
      <c r="H8" s="26">
        <v>7.6</v>
      </c>
      <c r="K8" s="27"/>
      <c r="L8" s="21"/>
      <c r="M8" s="27"/>
      <c r="N8" s="21"/>
      <c r="P8" s="31"/>
      <c r="Q8" s="34"/>
      <c r="R8" s="35"/>
      <c r="S8" s="34"/>
    </row>
    <row r="9" spans="2:19" x14ac:dyDescent="0.2">
      <c r="B9" s="25" t="s">
        <v>28</v>
      </c>
      <c r="C9" s="25" t="s">
        <v>29</v>
      </c>
      <c r="D9" s="25" t="s">
        <v>30</v>
      </c>
      <c r="E9" s="30">
        <v>2500</v>
      </c>
      <c r="F9" s="26">
        <v>2497.09</v>
      </c>
      <c r="G9" s="26">
        <v>4.7300000000000004</v>
      </c>
      <c r="H9" s="26">
        <v>7.73</v>
      </c>
      <c r="K9" s="27"/>
      <c r="L9" s="21"/>
      <c r="M9" s="27"/>
      <c r="N9" s="21"/>
      <c r="P9" s="31" t="s">
        <v>31</v>
      </c>
      <c r="Q9" s="32"/>
      <c r="R9" s="32"/>
      <c r="S9" s="32"/>
    </row>
    <row r="10" spans="2:19" x14ac:dyDescent="0.2">
      <c r="B10" s="25" t="s">
        <v>32</v>
      </c>
      <c r="C10" s="25" t="s">
        <v>33</v>
      </c>
      <c r="D10" s="25" t="s">
        <v>23</v>
      </c>
      <c r="E10" s="30">
        <v>2500</v>
      </c>
      <c r="F10" s="26">
        <v>2496.1799999999998</v>
      </c>
      <c r="G10" s="26">
        <v>4.7300000000000004</v>
      </c>
      <c r="H10" s="26">
        <v>8.17</v>
      </c>
      <c r="K10" s="27"/>
      <c r="L10" s="21"/>
      <c r="M10" s="27"/>
      <c r="N10" s="21"/>
      <c r="P10" s="31"/>
      <c r="Q10" s="34"/>
      <c r="R10" s="34"/>
      <c r="S10" s="34"/>
    </row>
    <row r="11" spans="2:19" x14ac:dyDescent="0.2">
      <c r="B11" s="25" t="s">
        <v>34</v>
      </c>
      <c r="C11" s="25" t="s">
        <v>35</v>
      </c>
      <c r="D11" s="25" t="s">
        <v>23</v>
      </c>
      <c r="E11" s="30">
        <v>2500</v>
      </c>
      <c r="F11" s="26">
        <v>2495.4</v>
      </c>
      <c r="G11" s="26">
        <v>4.72</v>
      </c>
      <c r="H11" s="26">
        <v>7.76</v>
      </c>
      <c r="K11" s="27"/>
      <c r="L11" s="21"/>
      <c r="M11" s="27"/>
      <c r="N11" s="21"/>
      <c r="P11" s="31" t="s">
        <v>36</v>
      </c>
      <c r="Q11" s="32"/>
      <c r="R11" s="32"/>
      <c r="S11" s="32"/>
    </row>
    <row r="12" spans="2:19" x14ac:dyDescent="0.2">
      <c r="B12" s="25" t="s">
        <v>37</v>
      </c>
      <c r="C12" s="25" t="s">
        <v>38</v>
      </c>
      <c r="D12" s="25" t="s">
        <v>23</v>
      </c>
      <c r="E12" s="30">
        <v>250</v>
      </c>
      <c r="F12" s="26">
        <v>2478.48</v>
      </c>
      <c r="G12" s="26">
        <v>4.6900000000000004</v>
      </c>
      <c r="H12" s="26">
        <v>7.94</v>
      </c>
      <c r="K12" s="36"/>
      <c r="L12" s="21"/>
      <c r="M12" s="36"/>
      <c r="N12" s="21"/>
      <c r="P12" s="31"/>
      <c r="Q12" s="34"/>
      <c r="R12" s="34"/>
      <c r="S12" s="34"/>
    </row>
    <row r="13" spans="2:19" x14ac:dyDescent="0.2">
      <c r="B13" s="25" t="s">
        <v>39</v>
      </c>
      <c r="C13" s="25" t="s">
        <v>40</v>
      </c>
      <c r="D13" s="25" t="s">
        <v>23</v>
      </c>
      <c r="E13" s="30">
        <v>2000</v>
      </c>
      <c r="F13" s="26">
        <v>1997.23</v>
      </c>
      <c r="G13" s="26">
        <v>3.78</v>
      </c>
      <c r="H13" s="26">
        <v>7.79</v>
      </c>
      <c r="K13" s="37"/>
      <c r="L13" s="37" t="s">
        <v>41</v>
      </c>
      <c r="M13" s="38"/>
      <c r="N13" s="38"/>
    </row>
    <row r="14" spans="2:19" x14ac:dyDescent="0.2">
      <c r="B14" s="25" t="s">
        <v>42</v>
      </c>
      <c r="C14" s="25" t="s">
        <v>43</v>
      </c>
      <c r="D14" s="25" t="s">
        <v>44</v>
      </c>
      <c r="E14" s="30">
        <v>2000</v>
      </c>
      <c r="F14" s="26">
        <v>1996.81</v>
      </c>
      <c r="G14" s="26">
        <v>3.78</v>
      </c>
      <c r="H14" s="26">
        <v>7.66</v>
      </c>
    </row>
    <row r="15" spans="2:19" x14ac:dyDescent="0.2">
      <c r="B15" s="39" t="s">
        <v>45</v>
      </c>
      <c r="C15" s="39"/>
      <c r="D15" s="39"/>
      <c r="E15" s="39"/>
      <c r="F15" s="40">
        <f>SUM(F6:F14)</f>
        <v>20952.620000000003</v>
      </c>
      <c r="G15" s="40">
        <f>SUM(G6:G14)</f>
        <v>39.67</v>
      </c>
      <c r="H15" s="41"/>
      <c r="I15" s="42"/>
    </row>
    <row r="16" spans="2:19" x14ac:dyDescent="0.2">
      <c r="B16" s="43" t="s">
        <v>46</v>
      </c>
      <c r="C16" s="43"/>
      <c r="D16" s="43"/>
      <c r="E16" s="43"/>
      <c r="F16" s="44">
        <f>F15</f>
        <v>20952.620000000003</v>
      </c>
      <c r="G16" s="44">
        <f>G15</f>
        <v>39.67</v>
      </c>
      <c r="H16" s="44"/>
      <c r="I16" s="42"/>
    </row>
    <row r="17" spans="2:9" x14ac:dyDescent="0.2">
      <c r="B17" s="24" t="s">
        <v>47</v>
      </c>
      <c r="C17" s="25"/>
      <c r="D17" s="25"/>
      <c r="E17" s="25"/>
      <c r="F17" s="26"/>
      <c r="G17" s="26"/>
      <c r="H17" s="26"/>
    </row>
    <row r="18" spans="2:9" x14ac:dyDescent="0.2">
      <c r="B18" s="24" t="s">
        <v>48</v>
      </c>
      <c r="C18" s="25"/>
      <c r="D18" s="25"/>
      <c r="E18" s="25"/>
      <c r="F18" s="26"/>
      <c r="G18" s="26"/>
      <c r="H18" s="26"/>
    </row>
    <row r="19" spans="2:9" x14ac:dyDescent="0.2">
      <c r="B19" s="25" t="s">
        <v>49</v>
      </c>
      <c r="C19" s="25" t="s">
        <v>50</v>
      </c>
      <c r="D19" s="25" t="s">
        <v>51</v>
      </c>
      <c r="E19" s="30">
        <v>500</v>
      </c>
      <c r="F19" s="26">
        <v>2495.4699999999998</v>
      </c>
      <c r="G19" s="26">
        <v>4.72</v>
      </c>
      <c r="H19" s="26">
        <v>6.02</v>
      </c>
    </row>
    <row r="20" spans="2:9" x14ac:dyDescent="0.2">
      <c r="B20" s="25" t="s">
        <v>52</v>
      </c>
      <c r="C20" s="25" t="s">
        <v>53</v>
      </c>
      <c r="D20" s="25" t="s">
        <v>51</v>
      </c>
      <c r="E20" s="30">
        <v>500</v>
      </c>
      <c r="F20" s="26">
        <v>2397.33</v>
      </c>
      <c r="G20" s="26">
        <v>4.54</v>
      </c>
      <c r="H20" s="26">
        <v>7.7</v>
      </c>
    </row>
    <row r="21" spans="2:9" x14ac:dyDescent="0.2">
      <c r="B21" s="25" t="s">
        <v>54</v>
      </c>
      <c r="C21" s="25" t="s">
        <v>55</v>
      </c>
      <c r="D21" s="25" t="s">
        <v>51</v>
      </c>
      <c r="E21" s="30">
        <v>500</v>
      </c>
      <c r="F21" s="26">
        <v>2374.35</v>
      </c>
      <c r="G21" s="26">
        <v>4.5</v>
      </c>
      <c r="H21" s="26">
        <v>7.82</v>
      </c>
    </row>
    <row r="22" spans="2:9" x14ac:dyDescent="0.2">
      <c r="B22" s="25" t="s">
        <v>56</v>
      </c>
      <c r="C22" s="25" t="s">
        <v>57</v>
      </c>
      <c r="D22" s="25" t="s">
        <v>51</v>
      </c>
      <c r="E22" s="30">
        <v>500</v>
      </c>
      <c r="F22" s="26">
        <v>2373.7399999999998</v>
      </c>
      <c r="G22" s="26">
        <v>4.49</v>
      </c>
      <c r="H22" s="26">
        <v>7.8</v>
      </c>
    </row>
    <row r="23" spans="2:9" x14ac:dyDescent="0.2">
      <c r="B23" s="25" t="s">
        <v>58</v>
      </c>
      <c r="C23" s="25" t="s">
        <v>59</v>
      </c>
      <c r="D23" s="25" t="s">
        <v>60</v>
      </c>
      <c r="E23" s="30">
        <v>500</v>
      </c>
      <c r="F23" s="26">
        <v>2359.37</v>
      </c>
      <c r="G23" s="26">
        <v>4.47</v>
      </c>
      <c r="H23" s="26">
        <v>7.77</v>
      </c>
    </row>
    <row r="24" spans="2:9" x14ac:dyDescent="0.2">
      <c r="B24" s="25" t="s">
        <v>61</v>
      </c>
      <c r="C24" s="25" t="s">
        <v>62</v>
      </c>
      <c r="D24" s="25" t="s">
        <v>63</v>
      </c>
      <c r="E24" s="30">
        <v>500</v>
      </c>
      <c r="F24" s="26">
        <v>2355.66</v>
      </c>
      <c r="G24" s="26">
        <v>4.46</v>
      </c>
      <c r="H24" s="26">
        <v>7.88</v>
      </c>
    </row>
    <row r="25" spans="2:9" x14ac:dyDescent="0.2">
      <c r="B25" s="25" t="s">
        <v>64</v>
      </c>
      <c r="C25" s="25" t="s">
        <v>65</v>
      </c>
      <c r="D25" s="25" t="s">
        <v>63</v>
      </c>
      <c r="E25" s="30">
        <v>300</v>
      </c>
      <c r="F25" s="26">
        <v>1437.55</v>
      </c>
      <c r="G25" s="26">
        <v>2.72</v>
      </c>
      <c r="H25" s="26">
        <v>7.81</v>
      </c>
    </row>
    <row r="26" spans="2:9" x14ac:dyDescent="0.2">
      <c r="B26" s="25" t="s">
        <v>66</v>
      </c>
      <c r="C26" s="25" t="s">
        <v>67</v>
      </c>
      <c r="D26" s="25" t="s">
        <v>51</v>
      </c>
      <c r="E26" s="30">
        <v>200</v>
      </c>
      <c r="F26" s="26">
        <v>948.26</v>
      </c>
      <c r="G26" s="26">
        <v>1.8</v>
      </c>
      <c r="H26" s="26">
        <v>7.78</v>
      </c>
    </row>
    <row r="27" spans="2:9" x14ac:dyDescent="0.2">
      <c r="B27" s="24" t="s">
        <v>45</v>
      </c>
      <c r="C27" s="24"/>
      <c r="D27" s="24"/>
      <c r="E27" s="24"/>
      <c r="F27" s="45">
        <f>SUM(F18:F26)</f>
        <v>16741.729999999996</v>
      </c>
      <c r="G27" s="45">
        <f>SUM(G18:G26)</f>
        <v>31.7</v>
      </c>
      <c r="H27" s="46"/>
      <c r="I27" s="42"/>
    </row>
    <row r="28" spans="2:9" x14ac:dyDescent="0.2">
      <c r="B28" s="24" t="s">
        <v>68</v>
      </c>
      <c r="C28" s="25"/>
      <c r="D28" s="25"/>
      <c r="E28" s="25"/>
      <c r="F28" s="26"/>
      <c r="G28" s="26"/>
      <c r="H28" s="26"/>
    </row>
    <row r="29" spans="2:9" x14ac:dyDescent="0.2">
      <c r="B29" s="25" t="s">
        <v>69</v>
      </c>
      <c r="C29" s="25" t="s">
        <v>70</v>
      </c>
      <c r="D29" s="25" t="s">
        <v>63</v>
      </c>
      <c r="E29" s="30">
        <v>500</v>
      </c>
      <c r="F29" s="26">
        <v>2498.0100000000002</v>
      </c>
      <c r="G29" s="26">
        <v>4.7300000000000004</v>
      </c>
      <c r="H29" s="26">
        <v>7.26</v>
      </c>
    </row>
    <row r="30" spans="2:9" x14ac:dyDescent="0.2">
      <c r="B30" s="25" t="s">
        <v>71</v>
      </c>
      <c r="C30" s="25" t="s">
        <v>72</v>
      </c>
      <c r="D30" s="25" t="s">
        <v>60</v>
      </c>
      <c r="E30" s="30">
        <v>500</v>
      </c>
      <c r="F30" s="26">
        <v>2496.06</v>
      </c>
      <c r="G30" s="26">
        <v>4.7300000000000004</v>
      </c>
      <c r="H30" s="26">
        <v>7.2</v>
      </c>
    </row>
    <row r="31" spans="2:9" x14ac:dyDescent="0.2">
      <c r="B31" s="25" t="s">
        <v>73</v>
      </c>
      <c r="C31" s="25" t="s">
        <v>74</v>
      </c>
      <c r="D31" s="25" t="s">
        <v>60</v>
      </c>
      <c r="E31" s="30">
        <v>500</v>
      </c>
      <c r="F31" s="26">
        <v>2453.48</v>
      </c>
      <c r="G31" s="26">
        <v>4.6500000000000004</v>
      </c>
      <c r="H31" s="26">
        <v>8.14</v>
      </c>
    </row>
    <row r="32" spans="2:9" x14ac:dyDescent="0.2">
      <c r="B32" s="24" t="s">
        <v>45</v>
      </c>
      <c r="C32" s="24"/>
      <c r="D32" s="24"/>
      <c r="E32" s="24"/>
      <c r="F32" s="45">
        <f>SUM(F28:F31)</f>
        <v>7447.5499999999993</v>
      </c>
      <c r="G32" s="45">
        <f>SUM(G28:G31)</f>
        <v>14.110000000000001</v>
      </c>
      <c r="H32" s="46"/>
      <c r="I32" s="42"/>
    </row>
    <row r="33" spans="2:9" x14ac:dyDescent="0.2">
      <c r="B33" s="24" t="s">
        <v>75</v>
      </c>
      <c r="C33" s="25"/>
      <c r="D33" s="25"/>
      <c r="E33" s="25"/>
      <c r="F33" s="26"/>
      <c r="G33" s="26"/>
      <c r="H33" s="26"/>
    </row>
    <row r="34" spans="2:9" x14ac:dyDescent="0.2">
      <c r="B34" s="25" t="s">
        <v>76</v>
      </c>
      <c r="C34" s="25" t="s">
        <v>77</v>
      </c>
      <c r="D34" s="25" t="s">
        <v>78</v>
      </c>
      <c r="E34" s="30">
        <v>2000000</v>
      </c>
      <c r="F34" s="26">
        <v>1997.1</v>
      </c>
      <c r="G34" s="26">
        <v>3.78</v>
      </c>
      <c r="H34" s="26">
        <v>5.3</v>
      </c>
    </row>
    <row r="35" spans="2:9" x14ac:dyDescent="0.2">
      <c r="B35" s="25" t="s">
        <v>79</v>
      </c>
      <c r="C35" s="25" t="s">
        <v>80</v>
      </c>
      <c r="D35" s="25" t="s">
        <v>78</v>
      </c>
      <c r="E35" s="30">
        <v>1500000</v>
      </c>
      <c r="F35" s="26">
        <v>1488.36</v>
      </c>
      <c r="G35" s="26">
        <v>2.82</v>
      </c>
      <c r="H35" s="26">
        <v>5.49</v>
      </c>
    </row>
    <row r="36" spans="2:9" x14ac:dyDescent="0.2">
      <c r="B36" s="39" t="s">
        <v>45</v>
      </c>
      <c r="C36" s="39"/>
      <c r="D36" s="39"/>
      <c r="E36" s="39"/>
      <c r="F36" s="40">
        <f>SUM(F33:F35)</f>
        <v>3485.46</v>
      </c>
      <c r="G36" s="40">
        <f>SUM(G33:G35)</f>
        <v>6.6</v>
      </c>
      <c r="H36" s="41"/>
      <c r="I36" s="42"/>
    </row>
    <row r="37" spans="2:9" x14ac:dyDescent="0.2">
      <c r="B37" s="43" t="s">
        <v>46</v>
      </c>
      <c r="C37" s="43"/>
      <c r="D37" s="43"/>
      <c r="E37" s="43"/>
      <c r="F37" s="44">
        <f>F27+F32+F36</f>
        <v>27674.739999999994</v>
      </c>
      <c r="G37" s="44">
        <f>G27+G32+G36</f>
        <v>52.410000000000004</v>
      </c>
      <c r="H37" s="44"/>
      <c r="I37" s="42"/>
    </row>
    <row r="38" spans="2:9" x14ac:dyDescent="0.2">
      <c r="B38" s="24" t="s">
        <v>81</v>
      </c>
      <c r="C38" s="25"/>
      <c r="D38" s="25"/>
      <c r="E38" s="25"/>
      <c r="F38" s="26"/>
      <c r="G38" s="26"/>
      <c r="H38" s="26"/>
    </row>
    <row r="39" spans="2:9" x14ac:dyDescent="0.2">
      <c r="B39" s="47" t="s">
        <v>82</v>
      </c>
      <c r="C39" s="47" t="s">
        <v>83</v>
      </c>
      <c r="D39" s="47" t="s">
        <v>84</v>
      </c>
      <c r="E39" s="48">
        <v>500000</v>
      </c>
      <c r="F39" s="49">
        <v>519.5</v>
      </c>
      <c r="G39" s="49">
        <v>0.98</v>
      </c>
      <c r="H39" s="49">
        <v>6.08</v>
      </c>
    </row>
    <row r="40" spans="2:9" x14ac:dyDescent="0.2">
      <c r="B40" s="50" t="s">
        <v>46</v>
      </c>
      <c r="C40" s="50"/>
      <c r="D40" s="50"/>
      <c r="E40" s="50"/>
      <c r="F40" s="45">
        <f>SUM(F39:F39)</f>
        <v>519.5</v>
      </c>
      <c r="G40" s="45">
        <f>SUM(G39:G39)</f>
        <v>0.98</v>
      </c>
      <c r="H40" s="45"/>
      <c r="I40" s="42"/>
    </row>
    <row r="41" spans="2:9" x14ac:dyDescent="0.2">
      <c r="B41" s="24" t="s">
        <v>85</v>
      </c>
      <c r="C41" s="25"/>
      <c r="D41" s="25"/>
      <c r="E41" s="25"/>
      <c r="F41" s="26"/>
      <c r="G41" s="26"/>
      <c r="H41" s="26"/>
    </row>
    <row r="42" spans="2:9" x14ac:dyDescent="0.2">
      <c r="B42" s="47" t="s">
        <v>86</v>
      </c>
      <c r="C42" s="47" t="s">
        <v>87</v>
      </c>
      <c r="D42" s="47" t="s">
        <v>85</v>
      </c>
      <c r="E42" s="48">
        <v>1529.0239999999999</v>
      </c>
      <c r="F42" s="49">
        <v>180.25</v>
      </c>
      <c r="G42" s="49">
        <v>0.34</v>
      </c>
      <c r="H42" s="49">
        <v>5.8</v>
      </c>
    </row>
    <row r="43" spans="2:9" x14ac:dyDescent="0.2">
      <c r="B43" s="50" t="s">
        <v>46</v>
      </c>
      <c r="C43" s="50"/>
      <c r="D43" s="50"/>
      <c r="E43" s="50"/>
      <c r="F43" s="45">
        <f>SUM(F42:F42)</f>
        <v>180.25</v>
      </c>
      <c r="G43" s="45">
        <f>SUM(G42:G42)</f>
        <v>0.34</v>
      </c>
      <c r="H43" s="45"/>
      <c r="I43" s="42"/>
    </row>
    <row r="44" spans="2:9" x14ac:dyDescent="0.2">
      <c r="B44" s="24" t="s">
        <v>88</v>
      </c>
      <c r="C44" s="25"/>
      <c r="D44" s="25"/>
      <c r="E44" s="25"/>
      <c r="F44" s="26"/>
      <c r="G44" s="26"/>
      <c r="H44" s="26"/>
    </row>
    <row r="45" spans="2:9" x14ac:dyDescent="0.2">
      <c r="B45" s="25" t="s">
        <v>88</v>
      </c>
      <c r="C45" s="25"/>
      <c r="D45" s="25"/>
      <c r="E45" s="25"/>
      <c r="F45" s="26">
        <v>2572.1</v>
      </c>
      <c r="G45" s="26">
        <v>4.87</v>
      </c>
      <c r="H45" s="26"/>
    </row>
    <row r="46" spans="2:9" x14ac:dyDescent="0.2">
      <c r="B46" s="39" t="s">
        <v>45</v>
      </c>
      <c r="C46" s="39"/>
      <c r="D46" s="39"/>
      <c r="E46" s="39"/>
      <c r="F46" s="40">
        <f>SUM(F44:F45)</f>
        <v>2572.1</v>
      </c>
      <c r="G46" s="40">
        <f>SUM(G44:G45)</f>
        <v>4.87</v>
      </c>
      <c r="H46" s="41"/>
      <c r="I46" s="42"/>
    </row>
    <row r="47" spans="2:9" x14ac:dyDescent="0.2">
      <c r="B47" s="51" t="s">
        <v>46</v>
      </c>
      <c r="C47" s="51"/>
      <c r="D47" s="51"/>
      <c r="E47" s="51"/>
      <c r="F47" s="52">
        <f>F46</f>
        <v>2572.1</v>
      </c>
      <c r="G47" s="52">
        <f>G46</f>
        <v>4.87</v>
      </c>
      <c r="H47" s="52"/>
      <c r="I47" s="42"/>
    </row>
    <row r="48" spans="2:9" x14ac:dyDescent="0.2">
      <c r="B48" s="53" t="s">
        <v>89</v>
      </c>
      <c r="C48" s="53"/>
      <c r="D48" s="53"/>
      <c r="E48" s="53"/>
      <c r="F48" s="54">
        <f>F49-(+F16+F37+F40+F43+F47)</f>
        <v>918.84000000000378</v>
      </c>
      <c r="G48" s="54">
        <f>G49-(+G16+G37+G40+G43+G47)</f>
        <v>1.7299999999999756</v>
      </c>
      <c r="H48" s="54"/>
      <c r="I48" s="42"/>
    </row>
    <row r="49" spans="2:9" x14ac:dyDescent="0.2">
      <c r="B49" s="53" t="s">
        <v>90</v>
      </c>
      <c r="C49" s="53"/>
      <c r="D49" s="53"/>
      <c r="E49" s="53"/>
      <c r="F49" s="54">
        <v>52818.05</v>
      </c>
      <c r="G49" s="54">
        <v>100</v>
      </c>
      <c r="H49" s="54"/>
      <c r="I49" s="42"/>
    </row>
    <row r="51" spans="2:9" ht="63" customHeight="1" x14ac:dyDescent="0.2">
      <c r="B51" s="55" t="s">
        <v>91</v>
      </c>
      <c r="C51" s="55"/>
      <c r="D51" s="55"/>
      <c r="E51" s="55"/>
      <c r="F51" s="55"/>
      <c r="G51" s="55"/>
      <c r="H51" s="55"/>
    </row>
    <row r="53" spans="2:9" x14ac:dyDescent="0.2">
      <c r="B53" s="42" t="s">
        <v>92</v>
      </c>
    </row>
    <row r="54" spans="2:9" x14ac:dyDescent="0.2">
      <c r="B54" s="42" t="s">
        <v>93</v>
      </c>
    </row>
    <row r="55" spans="2:9" ht="12.75" thickBot="1" x14ac:dyDescent="0.25"/>
    <row r="56" spans="2:9" ht="13.5" thickTop="1" thickBot="1" x14ac:dyDescent="0.25">
      <c r="B56" s="56" t="s">
        <v>94</v>
      </c>
      <c r="C56" s="57">
        <v>0.3206</v>
      </c>
    </row>
    <row r="57" spans="2:9" ht="13.5" thickTop="1" thickBot="1" x14ac:dyDescent="0.25"/>
    <row r="58" spans="2:9" ht="13.5" thickTop="1" thickBot="1" x14ac:dyDescent="0.25">
      <c r="B58" s="56" t="s">
        <v>95</v>
      </c>
      <c r="C58" s="58">
        <v>7.3200000000000001E-2</v>
      </c>
    </row>
    <row r="59" spans="2:9" ht="13.5" thickTop="1" thickBot="1" x14ac:dyDescent="0.25"/>
    <row r="60" spans="2:9" ht="13.5" thickTop="1" thickBot="1" x14ac:dyDescent="0.25">
      <c r="B60" s="56" t="s">
        <v>96</v>
      </c>
      <c r="C60" s="57">
        <v>0.34429999999999999</v>
      </c>
    </row>
    <row r="61" spans="2:9" ht="13.5" thickTop="1" thickBot="1" x14ac:dyDescent="0.25"/>
    <row r="62" spans="2:9" ht="13.5" thickTop="1" thickBot="1" x14ac:dyDescent="0.25">
      <c r="B62" s="56" t="s">
        <v>97</v>
      </c>
      <c r="C62" s="57">
        <v>0.41689999999999999</v>
      </c>
    </row>
    <row r="63" spans="2:9" ht="12.75" thickTop="1" x14ac:dyDescent="0.2"/>
    <row r="64" spans="2:9" x14ac:dyDescent="0.2">
      <c r="B64" s="42" t="s">
        <v>98</v>
      </c>
    </row>
    <row r="65" spans="2:7" x14ac:dyDescent="0.2">
      <c r="B65" s="3" t="s">
        <v>99</v>
      </c>
    </row>
    <row r="66" spans="2:7" x14ac:dyDescent="0.2">
      <c r="B66" s="3" t="s">
        <v>100</v>
      </c>
    </row>
    <row r="67" spans="2:7" x14ac:dyDescent="0.2">
      <c r="B67" s="42" t="s">
        <v>101</v>
      </c>
      <c r="C67" s="42"/>
      <c r="D67" s="42" t="s">
        <v>102</v>
      </c>
      <c r="E67" s="42" t="s">
        <v>103</v>
      </c>
    </row>
    <row r="68" spans="2:7" x14ac:dyDescent="0.2">
      <c r="B68" s="3" t="s">
        <v>104</v>
      </c>
      <c r="D68" s="3">
        <v>3976.8285000000001</v>
      </c>
      <c r="E68" s="3">
        <v>3986.9495999999999</v>
      </c>
      <c r="G68" s="59"/>
    </row>
    <row r="69" spans="2:7" x14ac:dyDescent="0.2">
      <c r="B69" s="3" t="s">
        <v>105</v>
      </c>
      <c r="D69" s="3">
        <v>1240.4439</v>
      </c>
      <c r="E69" s="3">
        <v>1240.71</v>
      </c>
      <c r="G69" s="59"/>
    </row>
    <row r="70" spans="2:7" x14ac:dyDescent="0.2">
      <c r="B70" s="3" t="s">
        <v>106</v>
      </c>
      <c r="D70" s="3">
        <v>1240.5162</v>
      </c>
      <c r="E70" s="3">
        <v>1241.4657999999999</v>
      </c>
      <c r="G70" s="59"/>
    </row>
    <row r="71" spans="2:7" x14ac:dyDescent="0.2">
      <c r="B71" s="3" t="s">
        <v>107</v>
      </c>
      <c r="D71" s="3">
        <v>999.84389999999996</v>
      </c>
      <c r="E71" s="3">
        <v>1000.6094000000001</v>
      </c>
      <c r="G71" s="59"/>
    </row>
    <row r="72" spans="2:7" x14ac:dyDescent="0.2">
      <c r="B72" s="3" t="s">
        <v>108</v>
      </c>
      <c r="D72" s="3">
        <v>4250.6979000000001</v>
      </c>
      <c r="E72" s="3">
        <v>4263.4408999999996</v>
      </c>
      <c r="G72" s="59"/>
    </row>
    <row r="73" spans="2:7" x14ac:dyDescent="0.2">
      <c r="B73" s="3" t="s">
        <v>109</v>
      </c>
      <c r="D73" s="3">
        <v>2432.7359000000001</v>
      </c>
      <c r="E73" s="3">
        <v>2440.0328</v>
      </c>
      <c r="G73" s="59"/>
    </row>
    <row r="74" spans="2:7" x14ac:dyDescent="0.2">
      <c r="B74" s="3" t="s">
        <v>110</v>
      </c>
      <c r="D74" s="3">
        <v>1240.4825000000001</v>
      </c>
      <c r="E74" s="3">
        <v>1240.71</v>
      </c>
      <c r="G74" s="59"/>
    </row>
    <row r="75" spans="2:7" x14ac:dyDescent="0.2">
      <c r="B75" s="3" t="s">
        <v>111</v>
      </c>
      <c r="D75" s="3">
        <v>1240.5354</v>
      </c>
      <c r="E75" s="3">
        <v>1241.5047</v>
      </c>
      <c r="G75" s="59"/>
    </row>
    <row r="76" spans="2:7" x14ac:dyDescent="0.2">
      <c r="B76" s="3" t="s">
        <v>112</v>
      </c>
      <c r="D76" s="3">
        <v>999.85929999999996</v>
      </c>
      <c r="E76" s="3">
        <v>1000.6404</v>
      </c>
      <c r="G76" s="59"/>
    </row>
    <row r="77" spans="2:7" x14ac:dyDescent="0.2">
      <c r="B77" s="3" t="s">
        <v>113</v>
      </c>
      <c r="D77" s="3">
        <v>1633.7268999999999</v>
      </c>
      <c r="E77" s="3">
        <v>1637.8848</v>
      </c>
      <c r="G77" s="59"/>
    </row>
    <row r="79" spans="2:7" x14ac:dyDescent="0.2">
      <c r="B79" s="3" t="s">
        <v>114</v>
      </c>
      <c r="D79" s="42" t="s">
        <v>115</v>
      </c>
      <c r="E79" s="42" t="s">
        <v>116</v>
      </c>
    </row>
    <row r="80" spans="2:7" x14ac:dyDescent="0.2">
      <c r="B80" s="3" t="s">
        <v>106</v>
      </c>
      <c r="D80" s="3">
        <v>2.2050999999999998</v>
      </c>
      <c r="E80" s="3">
        <v>2.2050999999999998</v>
      </c>
    </row>
    <row r="81" spans="2:5" x14ac:dyDescent="0.2">
      <c r="B81" s="3" t="s">
        <v>107</v>
      </c>
      <c r="D81" s="3">
        <v>1.7781</v>
      </c>
      <c r="E81" s="3">
        <v>1.7781</v>
      </c>
    </row>
    <row r="82" spans="2:5" x14ac:dyDescent="0.2">
      <c r="B82" s="3" t="s">
        <v>105</v>
      </c>
      <c r="D82" s="3">
        <v>2.8879999999999999</v>
      </c>
      <c r="E82" s="3">
        <v>2.8879999999999999</v>
      </c>
    </row>
    <row r="83" spans="2:5" x14ac:dyDescent="0.2">
      <c r="B83" s="3" t="s">
        <v>111</v>
      </c>
      <c r="D83" s="3">
        <v>2.7465000000000002</v>
      </c>
      <c r="E83" s="3">
        <v>2.7465000000000002</v>
      </c>
    </row>
    <row r="84" spans="2:5" x14ac:dyDescent="0.2">
      <c r="B84" s="3" t="s">
        <v>112</v>
      </c>
      <c r="D84" s="3">
        <v>2.2151000000000001</v>
      </c>
      <c r="E84" s="3">
        <v>2.2151000000000001</v>
      </c>
    </row>
    <row r="85" spans="2:5" x14ac:dyDescent="0.2">
      <c r="B85" s="3" t="s">
        <v>110</v>
      </c>
      <c r="D85" s="3">
        <v>3.4870999999999999</v>
      </c>
      <c r="E85" s="3">
        <v>3.4870999999999999</v>
      </c>
    </row>
    <row r="87" spans="2:5" x14ac:dyDescent="0.2">
      <c r="B87" s="3" t="s">
        <v>117</v>
      </c>
    </row>
    <row r="88" spans="2:5" x14ac:dyDescent="0.2">
      <c r="B88" s="3" t="s">
        <v>118</v>
      </c>
    </row>
    <row r="89" spans="2:5" x14ac:dyDescent="0.2">
      <c r="B89" s="3" t="s">
        <v>119</v>
      </c>
    </row>
    <row r="90" spans="2:5" x14ac:dyDescent="0.2">
      <c r="B90" s="42"/>
      <c r="C90" s="42"/>
      <c r="D90" s="42"/>
      <c r="E90" s="42"/>
    </row>
    <row r="91" spans="2:5" x14ac:dyDescent="0.2">
      <c r="B91" s="42" t="s">
        <v>120</v>
      </c>
    </row>
    <row r="93" spans="2:5" ht="15" x14ac:dyDescent="0.2">
      <c r="B93" s="60" t="s">
        <v>121</v>
      </c>
    </row>
  </sheetData>
  <mergeCells count="22">
    <mergeCell ref="P11:P12"/>
    <mergeCell ref="Q11:Q12"/>
    <mergeCell ref="R11:R12"/>
    <mergeCell ref="S11:S12"/>
    <mergeCell ref="B51:H51"/>
    <mergeCell ref="Q7:Q8"/>
    <mergeCell ref="R7:R8"/>
    <mergeCell ref="S7:S8"/>
    <mergeCell ref="P9:P10"/>
    <mergeCell ref="Q9:Q10"/>
    <mergeCell ref="R9:R10"/>
    <mergeCell ref="S9:S10"/>
    <mergeCell ref="B1:H1"/>
    <mergeCell ref="P4:S4"/>
    <mergeCell ref="K5:K12"/>
    <mergeCell ref="L5:L12"/>
    <mergeCell ref="M5:M12"/>
    <mergeCell ref="N5:N12"/>
    <mergeCell ref="Q5:Q6"/>
    <mergeCell ref="R5:R6"/>
    <mergeCell ref="S5:S6"/>
    <mergeCell ref="P7:P8"/>
  </mergeCells>
  <hyperlinks>
    <hyperlink ref="B93" r:id="rId1" display="https://apc01.safelinks.protection.outlook.com/?url=https%3A%2F%2Fwww.canararobeco.com%2Fdocs%2Fdefault-source%2Fdefault-document-library%2FScheme_Performance_May_26.pdf&amp;data=05%7C02%7C%7Cc0ab9c6aede14e1996ad08dec0969d52%7C6fa82c0314f040c8895a63736b6313f0%7C0%7C0%7C639159950311520253%7CUnknown%7CTWFpbGZsb3d8eyJFbXB0eU1hcGkiOnRydWUsIlYiOiIwLjAuMDAwMCIsIlAiOiJXaW4zMiIsIkFOIjoiTWFpbCIsIldUIjoyfQ%3D%3D%7C0%7C%7C%7C&amp;sdata=v%2BErOW%2BYSawSTCOvNYDXkfmrsprcuXh1UKkFJO3SePg%3D&amp;reserved=0" xr:uid="{0C9CAAF7-E0C2-4B35-9D6D-1EC47ED7C38C}"/>
  </hyperlinks>
  <pageMargins left="0.7" right="0.7" top="0.75" bottom="0.75" header="0.3" footer="0.3"/>
  <pageSetup paperSize="9" orientation="portrait" r:id="rId2"/>
  <headerFooter>
    <oddHeader>&amp;L&amp;"Calibri"&amp;11&amp;K008000 MIS Internal</oddHeader>
    <oddFooter>&amp;L&amp;"Calibri"&amp;11&amp;K008000 MIS Internal</oddFooter>
    <evenFooter>&amp;LPUBLIC</evenFooter>
    <firstFooter>&amp;LPUBLIC</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2026-06-08 17:45:10</KDate>
  <Classification>MIS INTERNAL</Classification>
  <Subclassification/>
  <HostName>MUMCMP01323</HostName>
  <Domain_User>CANARAROBECOMF/628</Domain_User>
  <IPAdd>192.9.198.196</IPAdd>
  <FilePath>Book23</FilePath>
  <KID>109819A0F0A5639165375103991855</KID>
  <UniqueName/>
  <Suggested/>
  <Justification/>
  <KlassifyGUID/>
</Klassify>
</file>

<file path=customXml/itemProps1.xml><?xml version="1.0" encoding="utf-8"?>
<ds:datastoreItem xmlns:ds="http://schemas.openxmlformats.org/officeDocument/2006/customXml" ds:itemID="{D28166CC-4656-4308-9C20-6C34736518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 Kanabar</dc:creator>
  <cp:keywords>MIS Internal</cp:keywords>
  <cp:lastModifiedBy>Ruchi Kanabar</cp:lastModifiedBy>
  <dcterms:created xsi:type="dcterms:W3CDTF">2026-06-08T12:15:08Z</dcterms:created>
  <dcterms:modified xsi:type="dcterms:W3CDTF">2026-06-08T12:15:10Z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MIS Internal</vt:lpwstr>
  </property>
  <property fmtid="{D5CDD505-2E9C-101B-9397-08002B2CF9AE}" pid="3" name="KID">
    <vt:lpwstr>109819A0F0A5639165375103991855</vt:lpwstr>
  </property>
</Properties>
</file>