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Feb 22\"/>
    </mc:Choice>
  </mc:AlternateContent>
  <bookViews>
    <workbookView xWindow="0" yWindow="0" windowWidth="20490" windowHeight="7350"/>
  </bookViews>
  <sheets>
    <sheet name="C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1" l="1"/>
  <c r="G59" i="1" s="1"/>
  <c r="F58" i="1"/>
  <c r="F59" i="1" s="1"/>
  <c r="G55" i="1"/>
  <c r="F55" i="1"/>
  <c r="G40" i="1"/>
  <c r="F40" i="1"/>
  <c r="G37" i="1"/>
  <c r="G41" i="1" s="1"/>
  <c r="F37" i="1"/>
  <c r="F41" i="1" s="1"/>
  <c r="G31" i="1"/>
  <c r="G32" i="1" s="1"/>
  <c r="G60" i="1" s="1"/>
  <c r="F31" i="1"/>
  <c r="F32" i="1" s="1"/>
  <c r="F60" i="1" s="1"/>
</calcChain>
</file>

<file path=xl/sharedStrings.xml><?xml version="1.0" encoding="utf-8"?>
<sst xmlns="http://schemas.openxmlformats.org/spreadsheetml/2006/main" count="160" uniqueCount="121">
  <si>
    <t>CANARA ROBECO SHORT DURATION FUND</t>
  </si>
  <si>
    <t>Monthly Portfolio Statement as on February 28,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</si>
  <si>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</si>
  <si>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</si>
  <si>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</si>
  <si>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</si>
  <si>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</si>
  <si>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</si>
  <si>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</si>
  <si>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Feb'22</t>
  </si>
  <si>
    <t>Benchmark Risk-o-meter Level- Feb'22</t>
  </si>
  <si>
    <t>Previous Scheme Risk-o-meter Level- Jan'22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</si>
  <si>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</si>
  <si>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</si>
  <si>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</si>
  <si>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</si>
  <si>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</si>
  <si>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</si>
  <si>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</si>
  <si>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</si>
  <si>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7.09% REC Ltd (13/12/2022) **</t>
  </si>
  <si>
    <t>INE020B08CD3</t>
  </si>
  <si>
    <t>CRISIL AAA</t>
  </si>
  <si>
    <t>Relatively Low (Class I)</t>
  </si>
  <si>
    <t>5.05% Indian Oil Corporation Ltd (25/11/2022) **</t>
  </si>
  <si>
    <t>INE242A08460</t>
  </si>
  <si>
    <t>6.59% Indian Railway Finance Corporation Ltd (14/04/2023) **</t>
  </si>
  <si>
    <t>INE053F07BZ2</t>
  </si>
  <si>
    <t>CARE AAA</t>
  </si>
  <si>
    <t>Moderate 
(Class II)</t>
  </si>
  <si>
    <t>B-II</t>
  </si>
  <si>
    <t>7.20% Housing Development Finance Corporation Ltd (13/04/2023) **</t>
  </si>
  <si>
    <t>INE001A07SJ0</t>
  </si>
  <si>
    <t>7.4450% LIC HOUSING FINANCE LTD13-JAN-23 **</t>
  </si>
  <si>
    <t>INE115A07OJ7</t>
  </si>
  <si>
    <t>Relatively High (Class III)</t>
  </si>
  <si>
    <t>7.17% Reliance Industries Ltd (08/11/2022) **</t>
  </si>
  <si>
    <t>INE002A08500</t>
  </si>
  <si>
    <t>6.50% Power Finance Corporation Ltd (17/09/2025) **</t>
  </si>
  <si>
    <t>INE134E08LD7</t>
  </si>
  <si>
    <t>Benchmark: CRISIL Short Term Bond Fund Index</t>
  </si>
  <si>
    <t>6.70% National Bank For Agriculture &amp; Rural Development (11/11/2022) **</t>
  </si>
  <si>
    <t>INE261F08BQ8</t>
  </si>
  <si>
    <t>6.98% National Bank For Agriculture &amp; Rural Development (19/09/2022) **</t>
  </si>
  <si>
    <t>INE261F08BO3</t>
  </si>
  <si>
    <t>7.00% Reliance Industries Ltd (31/08/2022) **</t>
  </si>
  <si>
    <t>INE002A08476</t>
  </si>
  <si>
    <t>5.32% National Housing Bank (01/09/2023) **</t>
  </si>
  <si>
    <t>INE557F08FK3</t>
  </si>
  <si>
    <t>5.40% Housing Development Finance Corporation Ltd (11/08/2023)</t>
  </si>
  <si>
    <t>INE001A07SP7</t>
  </si>
  <si>
    <t>7.16% Power Finance Corporation Ltd (24/04/2025) **</t>
  </si>
  <si>
    <t>INE134E08KP3</t>
  </si>
  <si>
    <t>4.58% Small Industries Development Bank Of India (18/12/2023) **</t>
  </si>
  <si>
    <t>INE556F08JR2</t>
  </si>
  <si>
    <t>ICRA AAA</t>
  </si>
  <si>
    <t>7.79% LIC Housing Finance Ltd (18/10/2024) **</t>
  </si>
  <si>
    <t>INE115A07OM1</t>
  </si>
  <si>
    <t>7.40% LIC Housing Finance Ltd (06/09/2024) **</t>
  </si>
  <si>
    <t>INE115A07ML7</t>
  </si>
  <si>
    <t>6.80% Small Industries Development Bank Of India (29/09/2022) **</t>
  </si>
  <si>
    <t>INE556F08JO9</t>
  </si>
  <si>
    <t>7.87% Larsen &amp; Toubro Ltd (18/04/2022) **</t>
  </si>
  <si>
    <t>INE018A08AR3</t>
  </si>
  <si>
    <t>7.05% National Housing Bank (18/12/2024) **</t>
  </si>
  <si>
    <t>INE557F08FG1</t>
  </si>
  <si>
    <t>6.99% Small Industries Development Bank Of India (08/08/2022) **</t>
  </si>
  <si>
    <t>INE556F08JN1</t>
  </si>
  <si>
    <t>8.40% Power Grid Corporation of India Ltd (27/05/2026) **</t>
  </si>
  <si>
    <t>INE752E07MS4</t>
  </si>
  <si>
    <t>8.50% National Bank For Agriculture &amp; Rural Development (31/01/2023) **</t>
  </si>
  <si>
    <t>INE261F08AT4</t>
  </si>
  <si>
    <t>7.49% Power Grid Corporation of India Ltd (25/10/2024) **</t>
  </si>
  <si>
    <t>INE752E08593</t>
  </si>
  <si>
    <t>8.58% Housing Development Finance Corporation Ltd (18/03/2022)</t>
  </si>
  <si>
    <t>INE001A07RS3</t>
  </si>
  <si>
    <t>Sub Total</t>
  </si>
  <si>
    <t>Total</t>
  </si>
  <si>
    <t>Money Market Instruments</t>
  </si>
  <si>
    <t>Certificate of Deposit</t>
  </si>
  <si>
    <t>HDFC Bank Ltd (17/08/2022) ** #</t>
  </si>
  <si>
    <t>INE040A16CI5</t>
  </si>
  <si>
    <t>CARE A1+</t>
  </si>
  <si>
    <t>Axis Bank Ltd (19/09/2022) #</t>
  </si>
  <si>
    <t>INE238A160X0</t>
  </si>
  <si>
    <t>CRISIL A1+</t>
  </si>
  <si>
    <t>Treasury Bill</t>
  </si>
  <si>
    <t>364 DAYS TREASURY BILLS 12-JAN-23</t>
  </si>
  <si>
    <t>IN002021Z434</t>
  </si>
  <si>
    <t xml:space="preserve"> Sovereign</t>
  </si>
  <si>
    <t>Government Bonds</t>
  </si>
  <si>
    <t>4.48% GOI (02/11/2023)</t>
  </si>
  <si>
    <t>IN0020200211</t>
  </si>
  <si>
    <t>Sovereign</t>
  </si>
  <si>
    <t>5.74% GOI (15/11/2026)</t>
  </si>
  <si>
    <t>IN0020210186</t>
  </si>
  <si>
    <t>6.54% GOI 17-JAN-32</t>
  </si>
  <si>
    <t>IN0020210244</t>
  </si>
  <si>
    <t>3.96% GOI (09/11/2022)</t>
  </si>
  <si>
    <t>IN0020200260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</si>
  <si>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</si>
  <si>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</si>
  <si>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</si>
  <si>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</si>
  <si>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</si>
  <si>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</si>
  <si>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</si>
  <si>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</si>
  <si>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8.49% Punjab SDL Uday 31-Mar-22</t>
  </si>
  <si>
    <t>IN2820150273</t>
  </si>
  <si>
    <t>8.21% Haryana SDL Uday 31-Mar-22</t>
  </si>
  <si>
    <t>IN1620150145</t>
  </si>
  <si>
    <t>8.88% GUJARAT SDL 06-JUN-22</t>
  </si>
  <si>
    <t>IN1520120032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</si>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</sst>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0" borderId="5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87458</xdr:colOff>
      <xdr:row>5</xdr:row>
      <xdr:rowOff>27712</xdr:rowOff>
    </xdr:from>
    <xdr:ext cx="1557770" cy="922850"/>
    <xdr:pic>
      <xdr:nvPicPr>
        <xdr:cNvPr id="2" name="Picture 1">
          <a:extLst>
            <a:ext uri="{FF2B5EF4-FFF2-40B4-BE49-F238E27FC236}">
              <a16:creationId xmlns:a16="http://schemas.microsoft.com/office/drawing/2014/main" id="{C3229669-2FC3-46D9-9A18-322563D75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7233" y="1342162"/>
          <a:ext cx="1557770" cy="922850"/>
        </a:xfrm>
        <a:prstGeom prst="rect">
          <a:avLst/>
        </a:prstGeom>
      </xdr:spPr>
    </xdr:pic>
    <xdr:clientData/>
  </xdr:oneCellAnchor>
  <xdr:oneCellAnchor>
    <xdr:from>
      <xdr:col>10</xdr:col>
      <xdr:colOff>116900</xdr:colOff>
      <xdr:row>4</xdr:row>
      <xdr:rowOff>77932</xdr:rowOff>
    </xdr:from>
    <xdr:ext cx="1769618" cy="1082387"/>
    <xdr:pic>
      <xdr:nvPicPr>
        <xdr:cNvPr id="3" name="Picture 2">
          <a:extLst>
            <a:ext uri="{FF2B5EF4-FFF2-40B4-BE49-F238E27FC236}">
              <a16:creationId xmlns:a16="http://schemas.microsoft.com/office/drawing/2014/main" id="{A3E89688-803B-4DC3-978E-5DB2B2A7B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56425" y="1087582"/>
          <a:ext cx="1769618" cy="1082387"/>
        </a:xfrm>
        <a:prstGeom prst="rect">
          <a:avLst/>
        </a:prstGeom>
      </xdr:spPr>
    </xdr:pic>
    <xdr:clientData/>
  </xdr:oneCellAnchor>
  <xdr:oneCellAnchor>
    <xdr:from>
      <xdr:col>11</xdr:col>
      <xdr:colOff>12988</xdr:colOff>
      <xdr:row>4</xdr:row>
      <xdr:rowOff>110835</xdr:rowOff>
    </xdr:from>
    <xdr:ext cx="1888458" cy="1118755"/>
    <xdr:pic>
      <xdr:nvPicPr>
        <xdr:cNvPr id="4" name="Picture 3">
          <a:extLst>
            <a:ext uri="{FF2B5EF4-FFF2-40B4-BE49-F238E27FC236}">
              <a16:creationId xmlns:a16="http://schemas.microsoft.com/office/drawing/2014/main" id="{C3229669-2FC3-46D9-9A18-322563D75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90863" y="1120485"/>
          <a:ext cx="1888458" cy="11187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4"/>
  <sheetViews>
    <sheetView tabSelected="1" topLeftCell="G1" zoomScaleNormal="100" workbookViewId="0">
      <selection activeCell="M20" sqref="M20"/>
    </sheetView>
  </sheetViews>
  <sheetFormatPr defaultRowHeight="12"/>
  <cols>
    <col min="1" max="1" width="9.140625" style="4"/>
    <col min="2" max="2" width="60.28515625" style="4" bestFit="1" customWidth="1"/>
    <col min="3" max="3" width="13.7109375" style="4" bestFit="1" customWidth="1"/>
    <col min="4" max="4" width="14.140625" style="4" bestFit="1" customWidth="1"/>
    <col min="5" max="5" width="8.85546875" style="63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27.140625" style="3" customWidth="1"/>
    <col min="11" max="11" width="30.5703125" style="3" customWidth="1"/>
    <col min="12" max="12" width="29.42578125" style="3" customWidth="1"/>
    <col min="13" max="16384" width="9.140625" style="4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</row>
    <row r="3" spans="2:19" ht="16.5" thickBot="1">
      <c r="B3" s="5" t="s">
        <v>1</v>
      </c>
      <c r="C3" s="6"/>
      <c r="D3" s="7"/>
      <c r="E3" s="8"/>
      <c r="F3" s="9"/>
      <c r="G3" s="9"/>
    </row>
    <row r="4" spans="2:19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9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5"/>
      <c r="N5" s="26" t="s">
        <v>14</v>
      </c>
      <c r="O5" s="27" t="s">
        <v>15</v>
      </c>
      <c r="P5" s="27" t="s">
        <v>16</v>
      </c>
      <c r="Q5" s="27" t="s">
        <v>17</v>
      </c>
    </row>
    <row r="6" spans="2:19" ht="36">
      <c r="B6" s="28" t="s">
        <v>18</v>
      </c>
      <c r="C6" s="29"/>
      <c r="D6" s="29"/>
      <c r="E6" s="30"/>
      <c r="F6" s="31"/>
      <c r="G6" s="31"/>
      <c r="H6" s="31"/>
      <c r="J6" s="24"/>
      <c r="K6" s="24"/>
      <c r="L6" s="32"/>
      <c r="N6" s="33" t="s">
        <v>19</v>
      </c>
      <c r="O6" s="27"/>
      <c r="P6" s="27"/>
      <c r="Q6" s="27"/>
    </row>
    <row r="7" spans="2:19">
      <c r="B7" s="29" t="s">
        <v>20</v>
      </c>
      <c r="C7" s="29" t="s">
        <v>21</v>
      </c>
      <c r="D7" s="29" t="s">
        <v>22</v>
      </c>
      <c r="E7" s="34">
        <v>450</v>
      </c>
      <c r="F7" s="31">
        <v>4574.72</v>
      </c>
      <c r="G7" s="31">
        <v>6.14</v>
      </c>
      <c r="H7" s="31">
        <v>4.83</v>
      </c>
      <c r="J7" s="24"/>
      <c r="K7" s="24"/>
      <c r="L7" s="32"/>
      <c r="N7" s="35" t="s">
        <v>23</v>
      </c>
      <c r="O7" s="36"/>
      <c r="P7" s="36"/>
      <c r="Q7" s="36"/>
    </row>
    <row r="8" spans="2:19">
      <c r="B8" s="29" t="s">
        <v>24</v>
      </c>
      <c r="C8" s="29" t="s">
        <v>25</v>
      </c>
      <c r="D8" s="29" t="s">
        <v>22</v>
      </c>
      <c r="E8" s="34">
        <v>400</v>
      </c>
      <c r="F8" s="31">
        <v>4012.89</v>
      </c>
      <c r="G8" s="31">
        <v>5.39</v>
      </c>
      <c r="H8" s="31">
        <v>4.43</v>
      </c>
      <c r="J8" s="24"/>
      <c r="K8" s="24"/>
      <c r="L8" s="32"/>
      <c r="N8" s="35"/>
      <c r="O8" s="37"/>
      <c r="P8" s="37"/>
      <c r="Q8" s="37"/>
    </row>
    <row r="9" spans="2:19">
      <c r="B9" s="29" t="s">
        <v>26</v>
      </c>
      <c r="C9" s="29" t="s">
        <v>27</v>
      </c>
      <c r="D9" s="29" t="s">
        <v>28</v>
      </c>
      <c r="E9" s="34">
        <v>350</v>
      </c>
      <c r="F9" s="31">
        <v>3563.78</v>
      </c>
      <c r="G9" s="31">
        <v>4.78</v>
      </c>
      <c r="H9" s="31">
        <v>4.88</v>
      </c>
      <c r="J9" s="24"/>
      <c r="K9" s="24"/>
      <c r="L9" s="32"/>
      <c r="N9" s="35" t="s">
        <v>29</v>
      </c>
      <c r="O9" s="36"/>
      <c r="P9" s="38" t="s">
        <v>30</v>
      </c>
      <c r="Q9" s="36"/>
    </row>
    <row r="10" spans="2:19">
      <c r="B10" s="29" t="s">
        <v>31</v>
      </c>
      <c r="C10" s="29" t="s">
        <v>32</v>
      </c>
      <c r="D10" s="29" t="s">
        <v>22</v>
      </c>
      <c r="E10" s="34">
        <v>250</v>
      </c>
      <c r="F10" s="31">
        <v>2551.41</v>
      </c>
      <c r="G10" s="31">
        <v>3.42</v>
      </c>
      <c r="H10" s="31">
        <v>5.24</v>
      </c>
      <c r="J10" s="24"/>
      <c r="K10" s="24"/>
      <c r="L10" s="32"/>
      <c r="N10" s="35"/>
      <c r="O10" s="37"/>
      <c r="P10" s="39"/>
      <c r="Q10" s="37"/>
    </row>
    <row r="11" spans="2:19">
      <c r="B11" s="29" t="s">
        <v>33</v>
      </c>
      <c r="C11" s="29" t="s">
        <v>34</v>
      </c>
      <c r="D11" s="29" t="s">
        <v>22</v>
      </c>
      <c r="E11" s="34">
        <v>250</v>
      </c>
      <c r="F11" s="31">
        <v>2548.5300000000002</v>
      </c>
      <c r="G11" s="31">
        <v>3.42</v>
      </c>
      <c r="H11" s="31">
        <v>5.08</v>
      </c>
      <c r="J11" s="24"/>
      <c r="K11" s="24"/>
      <c r="L11" s="32"/>
      <c r="N11" s="35" t="s">
        <v>35</v>
      </c>
      <c r="O11" s="36"/>
      <c r="P11" s="36"/>
      <c r="Q11" s="36"/>
    </row>
    <row r="12" spans="2:19">
      <c r="B12" s="29" t="s">
        <v>36</v>
      </c>
      <c r="C12" s="29" t="s">
        <v>37</v>
      </c>
      <c r="D12" s="29" t="s">
        <v>22</v>
      </c>
      <c r="E12" s="34">
        <v>250</v>
      </c>
      <c r="F12" s="31">
        <v>2537.73</v>
      </c>
      <c r="G12" s="31">
        <v>3.41</v>
      </c>
      <c r="H12" s="31">
        <v>4.8099999999999996</v>
      </c>
      <c r="J12" s="24"/>
      <c r="K12" s="24"/>
      <c r="L12" s="40"/>
      <c r="N12" s="35"/>
      <c r="O12" s="37"/>
      <c r="P12" s="37"/>
      <c r="Q12" s="37"/>
      <c r="S12" s="3"/>
    </row>
    <row r="13" spans="2:19">
      <c r="B13" s="29" t="s">
        <v>38</v>
      </c>
      <c r="C13" s="29" t="s">
        <v>39</v>
      </c>
      <c r="D13" s="29" t="s">
        <v>22</v>
      </c>
      <c r="E13" s="34">
        <v>250</v>
      </c>
      <c r="F13" s="31">
        <v>2535.77</v>
      </c>
      <c r="G13" s="31">
        <v>3.4</v>
      </c>
      <c r="H13" s="31">
        <v>6.03</v>
      </c>
      <c r="K13" s="3" t="s">
        <v>40</v>
      </c>
    </row>
    <row r="14" spans="2:19">
      <c r="B14" s="29" t="s">
        <v>41</v>
      </c>
      <c r="C14" s="29" t="s">
        <v>42</v>
      </c>
      <c r="D14" s="29" t="s">
        <v>22</v>
      </c>
      <c r="E14" s="34">
        <v>250</v>
      </c>
      <c r="F14" s="31">
        <v>2532.13</v>
      </c>
      <c r="G14" s="31">
        <v>3.4</v>
      </c>
      <c r="H14" s="31">
        <v>4.71</v>
      </c>
    </row>
    <row r="15" spans="2:19">
      <c r="B15" s="29" t="s">
        <v>43</v>
      </c>
      <c r="C15" s="29" t="s">
        <v>44</v>
      </c>
      <c r="D15" s="29" t="s">
        <v>22</v>
      </c>
      <c r="E15" s="34">
        <v>250</v>
      </c>
      <c r="F15" s="31">
        <v>2529.9</v>
      </c>
      <c r="G15" s="31">
        <v>3.4</v>
      </c>
      <c r="H15" s="31">
        <v>4.63</v>
      </c>
    </row>
    <row r="16" spans="2:19">
      <c r="B16" s="29" t="s">
        <v>45</v>
      </c>
      <c r="C16" s="29" t="s">
        <v>46</v>
      </c>
      <c r="D16" s="29" t="s">
        <v>22</v>
      </c>
      <c r="E16" s="34">
        <v>250</v>
      </c>
      <c r="F16" s="31">
        <v>2528.14</v>
      </c>
      <c r="G16" s="31">
        <v>3.39</v>
      </c>
      <c r="H16" s="31">
        <v>4.5599999999999996</v>
      </c>
    </row>
    <row r="17" spans="2:8">
      <c r="B17" s="29" t="s">
        <v>47</v>
      </c>
      <c r="C17" s="29" t="s">
        <v>48</v>
      </c>
      <c r="D17" s="29" t="s">
        <v>22</v>
      </c>
      <c r="E17" s="34">
        <v>250</v>
      </c>
      <c r="F17" s="31">
        <v>2508.9699999999998</v>
      </c>
      <c r="G17" s="31">
        <v>3.37</v>
      </c>
      <c r="H17" s="31">
        <v>5.07</v>
      </c>
    </row>
    <row r="18" spans="2:8">
      <c r="B18" s="29" t="s">
        <v>49</v>
      </c>
      <c r="C18" s="29" t="s">
        <v>50</v>
      </c>
      <c r="D18" s="29" t="s">
        <v>22</v>
      </c>
      <c r="E18" s="34">
        <v>250</v>
      </c>
      <c r="F18" s="31">
        <v>2500.15</v>
      </c>
      <c r="G18" s="31">
        <v>3.36</v>
      </c>
      <c r="H18" s="31">
        <v>5.37</v>
      </c>
    </row>
    <row r="19" spans="2:8">
      <c r="B19" s="29" t="s">
        <v>51</v>
      </c>
      <c r="C19" s="29" t="s">
        <v>52</v>
      </c>
      <c r="D19" s="29" t="s">
        <v>22</v>
      </c>
      <c r="E19" s="34">
        <v>200</v>
      </c>
      <c r="F19" s="31">
        <v>2065.13</v>
      </c>
      <c r="G19" s="31">
        <v>2.77</v>
      </c>
      <c r="H19" s="31">
        <v>5.99</v>
      </c>
    </row>
    <row r="20" spans="2:8">
      <c r="B20" s="29" t="s">
        <v>53</v>
      </c>
      <c r="C20" s="29" t="s">
        <v>54</v>
      </c>
      <c r="D20" s="29" t="s">
        <v>55</v>
      </c>
      <c r="E20" s="34">
        <v>200</v>
      </c>
      <c r="F20" s="31">
        <v>1979.17</v>
      </c>
      <c r="G20" s="31">
        <v>2.66</v>
      </c>
      <c r="H20" s="31">
        <v>5.19</v>
      </c>
    </row>
    <row r="21" spans="2:8">
      <c r="B21" s="29" t="s">
        <v>56</v>
      </c>
      <c r="C21" s="29" t="s">
        <v>57</v>
      </c>
      <c r="D21" s="29" t="s">
        <v>22</v>
      </c>
      <c r="E21" s="34">
        <v>150</v>
      </c>
      <c r="F21" s="31">
        <v>1566.54</v>
      </c>
      <c r="G21" s="31">
        <v>2.1</v>
      </c>
      <c r="H21" s="31">
        <v>5.9</v>
      </c>
    </row>
    <row r="22" spans="2:8">
      <c r="B22" s="29" t="s">
        <v>58</v>
      </c>
      <c r="C22" s="29" t="s">
        <v>59</v>
      </c>
      <c r="D22" s="29" t="s">
        <v>22</v>
      </c>
      <c r="E22" s="34">
        <v>150</v>
      </c>
      <c r="F22" s="31">
        <v>1552.23</v>
      </c>
      <c r="G22" s="31">
        <v>2.08</v>
      </c>
      <c r="H22" s="31">
        <v>5.85</v>
      </c>
    </row>
    <row r="23" spans="2:8">
      <c r="B23" s="29" t="s">
        <v>60</v>
      </c>
      <c r="C23" s="29" t="s">
        <v>61</v>
      </c>
      <c r="D23" s="29" t="s">
        <v>28</v>
      </c>
      <c r="E23" s="34">
        <v>150</v>
      </c>
      <c r="F23" s="31">
        <v>1518</v>
      </c>
      <c r="G23" s="31">
        <v>2.04</v>
      </c>
      <c r="H23" s="31">
        <v>4.5599999999999996</v>
      </c>
    </row>
    <row r="24" spans="2:8">
      <c r="B24" s="29" t="s">
        <v>62</v>
      </c>
      <c r="C24" s="29" t="s">
        <v>63</v>
      </c>
      <c r="D24" s="29" t="s">
        <v>22</v>
      </c>
      <c r="E24" s="34">
        <v>150</v>
      </c>
      <c r="F24" s="31">
        <v>1507.27</v>
      </c>
      <c r="G24" s="31">
        <v>2.02</v>
      </c>
      <c r="H24" s="31">
        <v>3.97</v>
      </c>
    </row>
    <row r="25" spans="2:8">
      <c r="B25" s="29" t="s">
        <v>64</v>
      </c>
      <c r="C25" s="29" t="s">
        <v>65</v>
      </c>
      <c r="D25" s="29" t="s">
        <v>22</v>
      </c>
      <c r="E25" s="34">
        <v>100</v>
      </c>
      <c r="F25" s="31">
        <v>1039.5899999999999</v>
      </c>
      <c r="G25" s="31">
        <v>1.4</v>
      </c>
      <c r="H25" s="31">
        <v>5.48</v>
      </c>
    </row>
    <row r="26" spans="2:8">
      <c r="B26" s="29" t="s">
        <v>66</v>
      </c>
      <c r="C26" s="29" t="s">
        <v>67</v>
      </c>
      <c r="D26" s="29" t="s">
        <v>28</v>
      </c>
      <c r="E26" s="34">
        <v>100</v>
      </c>
      <c r="F26" s="31">
        <v>1009.99</v>
      </c>
      <c r="G26" s="31">
        <v>1.36</v>
      </c>
      <c r="H26" s="31">
        <v>4.5</v>
      </c>
    </row>
    <row r="27" spans="2:8">
      <c r="B27" s="29" t="s">
        <v>68</v>
      </c>
      <c r="C27" s="29" t="s">
        <v>69</v>
      </c>
      <c r="D27" s="29" t="s">
        <v>22</v>
      </c>
      <c r="E27" s="34">
        <v>50</v>
      </c>
      <c r="F27" s="31">
        <v>544.61</v>
      </c>
      <c r="G27" s="31">
        <v>0.73</v>
      </c>
      <c r="H27" s="31">
        <v>5.95</v>
      </c>
    </row>
    <row r="28" spans="2:8">
      <c r="B28" s="29" t="s">
        <v>70</v>
      </c>
      <c r="C28" s="29" t="s">
        <v>71</v>
      </c>
      <c r="D28" s="29" t="s">
        <v>22</v>
      </c>
      <c r="E28" s="34">
        <v>50</v>
      </c>
      <c r="F28" s="31">
        <v>515.64</v>
      </c>
      <c r="G28" s="31">
        <v>0.69</v>
      </c>
      <c r="H28" s="31">
        <v>4.93</v>
      </c>
    </row>
    <row r="29" spans="2:8">
      <c r="B29" s="29" t="s">
        <v>72</v>
      </c>
      <c r="C29" s="29" t="s">
        <v>73</v>
      </c>
      <c r="D29" s="29" t="s">
        <v>22</v>
      </c>
      <c r="E29" s="34">
        <v>100</v>
      </c>
      <c r="F29" s="31">
        <v>314.64</v>
      </c>
      <c r="G29" s="31">
        <v>0.42</v>
      </c>
      <c r="H29" s="31">
        <v>5.45</v>
      </c>
    </row>
    <row r="30" spans="2:8">
      <c r="B30" s="29" t="s">
        <v>74</v>
      </c>
      <c r="C30" s="29" t="s">
        <v>75</v>
      </c>
      <c r="D30" s="29" t="s">
        <v>22</v>
      </c>
      <c r="E30" s="34">
        <v>10</v>
      </c>
      <c r="F30" s="31">
        <v>100.21</v>
      </c>
      <c r="G30" s="31">
        <v>0.13</v>
      </c>
      <c r="H30" s="31">
        <v>3.95</v>
      </c>
    </row>
    <row r="31" spans="2:8">
      <c r="B31" s="41" t="s">
        <v>76</v>
      </c>
      <c r="C31" s="41"/>
      <c r="D31" s="41"/>
      <c r="E31" s="42"/>
      <c r="F31" s="43">
        <f>SUM(F6:F30)</f>
        <v>48637.139999999992</v>
      </c>
      <c r="G31" s="43">
        <f>SUM(G6:G30)</f>
        <v>65.28</v>
      </c>
      <c r="H31" s="44"/>
    </row>
    <row r="32" spans="2:8">
      <c r="B32" s="45" t="s">
        <v>77</v>
      </c>
      <c r="C32" s="45"/>
      <c r="D32" s="45"/>
      <c r="E32" s="46"/>
      <c r="F32" s="47">
        <f>F31</f>
        <v>48637.139999999992</v>
      </c>
      <c r="G32" s="47">
        <f>G31</f>
        <v>65.28</v>
      </c>
      <c r="H32" s="47"/>
    </row>
    <row r="33" spans="2:8">
      <c r="B33" s="28" t="s">
        <v>78</v>
      </c>
      <c r="C33" s="29"/>
      <c r="D33" s="29"/>
      <c r="E33" s="30"/>
      <c r="F33" s="31"/>
      <c r="G33" s="31"/>
      <c r="H33" s="31"/>
    </row>
    <row r="34" spans="2:8">
      <c r="B34" s="28" t="s">
        <v>79</v>
      </c>
      <c r="C34" s="29"/>
      <c r="D34" s="29"/>
      <c r="E34" s="30"/>
      <c r="F34" s="31"/>
      <c r="G34" s="31"/>
      <c r="H34" s="31"/>
    </row>
    <row r="35" spans="2:8">
      <c r="B35" s="29" t="s">
        <v>80</v>
      </c>
      <c r="C35" s="29" t="s">
        <v>81</v>
      </c>
      <c r="D35" s="29" t="s">
        <v>82</v>
      </c>
      <c r="E35" s="34">
        <v>600</v>
      </c>
      <c r="F35" s="31">
        <v>2940.57</v>
      </c>
      <c r="G35" s="31">
        <v>3.95</v>
      </c>
      <c r="H35" s="31">
        <v>4.3600000000000003</v>
      </c>
    </row>
    <row r="36" spans="2:8">
      <c r="B36" s="29" t="s">
        <v>83</v>
      </c>
      <c r="C36" s="29" t="s">
        <v>84</v>
      </c>
      <c r="D36" s="29" t="s">
        <v>85</v>
      </c>
      <c r="E36" s="34">
        <v>500</v>
      </c>
      <c r="F36" s="31">
        <v>2439.58</v>
      </c>
      <c r="G36" s="31">
        <v>3.27</v>
      </c>
      <c r="H36" s="31">
        <v>4.47</v>
      </c>
    </row>
    <row r="37" spans="2:8">
      <c r="B37" s="28" t="s">
        <v>76</v>
      </c>
      <c r="C37" s="28"/>
      <c r="D37" s="28"/>
      <c r="E37" s="48"/>
      <c r="F37" s="49">
        <f>SUM(F34:F36)</f>
        <v>5380.15</v>
      </c>
      <c r="G37" s="49">
        <f>SUM(G34:G36)</f>
        <v>7.2200000000000006</v>
      </c>
      <c r="H37" s="50"/>
    </row>
    <row r="38" spans="2:8">
      <c r="B38" s="28" t="s">
        <v>86</v>
      </c>
      <c r="C38" s="29"/>
      <c r="D38" s="29"/>
      <c r="E38" s="30"/>
      <c r="F38" s="31"/>
      <c r="G38" s="31"/>
      <c r="H38" s="31"/>
    </row>
    <row r="39" spans="2:8">
      <c r="B39" s="29" t="s">
        <v>87</v>
      </c>
      <c r="C39" s="29" t="s">
        <v>88</v>
      </c>
      <c r="D39" s="29" t="s">
        <v>89</v>
      </c>
      <c r="E39" s="34">
        <v>2500000</v>
      </c>
      <c r="F39" s="31">
        <v>2406.4699999999998</v>
      </c>
      <c r="G39" s="31">
        <v>3.23</v>
      </c>
      <c r="H39" s="31">
        <v>4.47</v>
      </c>
    </row>
    <row r="40" spans="2:8">
      <c r="B40" s="41" t="s">
        <v>76</v>
      </c>
      <c r="C40" s="41"/>
      <c r="D40" s="41"/>
      <c r="E40" s="42"/>
      <c r="F40" s="43">
        <f>SUM(F38:F39)</f>
        <v>2406.4699999999998</v>
      </c>
      <c r="G40" s="43">
        <f>SUM(G38:G39)</f>
        <v>3.23</v>
      </c>
      <c r="H40" s="44"/>
    </row>
    <row r="41" spans="2:8">
      <c r="B41" s="45" t="s">
        <v>77</v>
      </c>
      <c r="C41" s="45"/>
      <c r="D41" s="45"/>
      <c r="E41" s="46"/>
      <c r="F41" s="47">
        <f>F37+F40</f>
        <v>7786.619999999999</v>
      </c>
      <c r="G41" s="47">
        <f>G37+G40</f>
        <v>10.450000000000001</v>
      </c>
      <c r="H41" s="47"/>
    </row>
    <row r="42" spans="2:8">
      <c r="B42" s="28" t="s">
        <v>90</v>
      </c>
      <c r="C42" s="29"/>
      <c r="D42" s="29"/>
      <c r="E42" s="30"/>
      <c r="F42" s="31"/>
      <c r="G42" s="31"/>
      <c r="H42" s="31"/>
    </row>
    <row r="43" spans="2:8">
      <c r="B43" s="29" t="s">
        <v>91</v>
      </c>
      <c r="C43" s="29" t="s">
        <v>92</v>
      </c>
      <c r="D43" s="29" t="s">
        <v>93</v>
      </c>
      <c r="E43" s="34">
        <v>4500000</v>
      </c>
      <c r="F43" s="31">
        <v>4476.66</v>
      </c>
      <c r="G43" s="31">
        <v>6.01</v>
      </c>
      <c r="H43" s="31">
        <v>4.8</v>
      </c>
    </row>
    <row r="44" spans="2:8">
      <c r="B44" s="29" t="s">
        <v>94</v>
      </c>
      <c r="C44" s="29" t="s">
        <v>95</v>
      </c>
      <c r="D44" s="29" t="s">
        <v>93</v>
      </c>
      <c r="E44" s="34">
        <v>2500000</v>
      </c>
      <c r="F44" s="31">
        <v>2469.5</v>
      </c>
      <c r="G44" s="31">
        <v>3.31</v>
      </c>
      <c r="H44" s="31">
        <v>6.04</v>
      </c>
    </row>
    <row r="45" spans="2:8">
      <c r="B45" s="29" t="s">
        <v>96</v>
      </c>
      <c r="C45" s="29" t="s">
        <v>97</v>
      </c>
      <c r="D45" s="29" t="s">
        <v>93</v>
      </c>
      <c r="E45" s="34">
        <v>2500000</v>
      </c>
      <c r="F45" s="31">
        <v>2460</v>
      </c>
      <c r="G45" s="31">
        <v>3.3</v>
      </c>
      <c r="H45" s="31">
        <v>6.76</v>
      </c>
    </row>
    <row r="46" spans="2:8">
      <c r="B46" s="29" t="s">
        <v>98</v>
      </c>
      <c r="C46" s="29" t="s">
        <v>99</v>
      </c>
      <c r="D46" s="29" t="s">
        <v>93</v>
      </c>
      <c r="E46" s="34">
        <v>1500000</v>
      </c>
      <c r="F46" s="31">
        <v>1495.41</v>
      </c>
      <c r="G46" s="31">
        <v>2.0099999999999998</v>
      </c>
      <c r="H46" s="31">
        <v>4.41</v>
      </c>
    </row>
    <row r="47" spans="2:8">
      <c r="B47" s="29" t="s">
        <v>100</v>
      </c>
      <c r="C47" s="29" t="s">
        <v>101</v>
      </c>
      <c r="D47" s="29" t="s">
        <v>93</v>
      </c>
      <c r="E47" s="34">
        <v>1000000</v>
      </c>
      <c r="F47" s="31">
        <v>1038.1600000000001</v>
      </c>
      <c r="G47" s="31">
        <v>1.39</v>
      </c>
      <c r="H47" s="31">
        <v>4.7300000000000004</v>
      </c>
    </row>
    <row r="48" spans="2:8">
      <c r="B48" s="29" t="s">
        <v>102</v>
      </c>
      <c r="C48" s="29" t="s">
        <v>103</v>
      </c>
      <c r="D48" s="29" t="s">
        <v>93</v>
      </c>
      <c r="E48" s="34">
        <v>500000</v>
      </c>
      <c r="F48" s="31">
        <v>508.22</v>
      </c>
      <c r="G48" s="31">
        <v>0.68</v>
      </c>
      <c r="H48" s="31">
        <v>4.4800000000000004</v>
      </c>
    </row>
    <row r="49" spans="2:8">
      <c r="B49" s="29" t="s">
        <v>104</v>
      </c>
      <c r="C49" s="29" t="s">
        <v>105</v>
      </c>
      <c r="D49" s="29" t="s">
        <v>93</v>
      </c>
      <c r="E49" s="34">
        <v>500000</v>
      </c>
      <c r="F49" s="31">
        <v>508.2</v>
      </c>
      <c r="G49" s="31">
        <v>0.68</v>
      </c>
      <c r="H49" s="31">
        <v>4.4800000000000004</v>
      </c>
    </row>
    <row r="50" spans="2:8">
      <c r="B50" s="29" t="s">
        <v>106</v>
      </c>
      <c r="C50" s="29" t="s">
        <v>107</v>
      </c>
      <c r="D50" s="29" t="s">
        <v>93</v>
      </c>
      <c r="E50" s="34">
        <v>500000</v>
      </c>
      <c r="F50" s="31">
        <v>506.03</v>
      </c>
      <c r="G50" s="31">
        <v>0.68</v>
      </c>
      <c r="H50" s="31">
        <v>4.33</v>
      </c>
    </row>
    <row r="51" spans="2:8">
      <c r="B51" s="29" t="s">
        <v>108</v>
      </c>
      <c r="C51" s="29" t="s">
        <v>109</v>
      </c>
      <c r="D51" s="29" t="s">
        <v>93</v>
      </c>
      <c r="E51" s="34">
        <v>500000</v>
      </c>
      <c r="F51" s="31">
        <v>501.77</v>
      </c>
      <c r="G51" s="31">
        <v>0.67</v>
      </c>
      <c r="H51" s="31">
        <v>4.16</v>
      </c>
    </row>
    <row r="52" spans="2:8">
      <c r="B52" s="29" t="s">
        <v>110</v>
      </c>
      <c r="C52" s="29" t="s">
        <v>111</v>
      </c>
      <c r="D52" s="29" t="s">
        <v>93</v>
      </c>
      <c r="E52" s="34">
        <v>500000</v>
      </c>
      <c r="F52" s="31">
        <v>501.68</v>
      </c>
      <c r="G52" s="31">
        <v>0.67</v>
      </c>
      <c r="H52" s="31">
        <v>4.12</v>
      </c>
    </row>
    <row r="53" spans="2:8">
      <c r="B53" s="29" t="s">
        <v>112</v>
      </c>
      <c r="C53" s="29" t="s">
        <v>113</v>
      </c>
      <c r="D53" s="29" t="s">
        <v>93</v>
      </c>
      <c r="E53" s="34">
        <v>400000</v>
      </c>
      <c r="F53" s="31">
        <v>404.93</v>
      </c>
      <c r="G53" s="31">
        <v>0.54</v>
      </c>
      <c r="H53" s="31">
        <v>4.16</v>
      </c>
    </row>
    <row r="54" spans="2:8">
      <c r="B54" s="51" t="s">
        <v>114</v>
      </c>
      <c r="C54" s="51" t="s">
        <v>115</v>
      </c>
      <c r="D54" s="51" t="s">
        <v>93</v>
      </c>
      <c r="E54" s="52">
        <v>28300</v>
      </c>
      <c r="F54" s="53">
        <v>30.08</v>
      </c>
      <c r="G54" s="53">
        <v>0.04</v>
      </c>
      <c r="H54" s="53">
        <v>6.38</v>
      </c>
    </row>
    <row r="55" spans="2:8">
      <c r="B55" s="54" t="s">
        <v>77</v>
      </c>
      <c r="C55" s="54"/>
      <c r="D55" s="54"/>
      <c r="E55" s="55"/>
      <c r="F55" s="49">
        <f>SUM(F43:F54)</f>
        <v>14900.640000000001</v>
      </c>
      <c r="G55" s="49">
        <f>SUM(G43:G54)</f>
        <v>19.98</v>
      </c>
      <c r="H55" s="49"/>
    </row>
    <row r="56" spans="2:8">
      <c r="B56" s="28" t="s">
        <v>116</v>
      </c>
      <c r="C56" s="29"/>
      <c r="D56" s="29"/>
      <c r="E56" s="30"/>
      <c r="F56" s="31"/>
      <c r="G56" s="31"/>
      <c r="H56" s="31"/>
    </row>
    <row r="57" spans="2:8">
      <c r="B57" s="29" t="s">
        <v>116</v>
      </c>
      <c r="C57" s="29"/>
      <c r="D57" s="29"/>
      <c r="E57" s="30"/>
      <c r="F57" s="31">
        <v>1477.45</v>
      </c>
      <c r="G57" s="31">
        <v>1.98</v>
      </c>
      <c r="H57" s="31"/>
    </row>
    <row r="58" spans="2:8">
      <c r="B58" s="41" t="s">
        <v>76</v>
      </c>
      <c r="C58" s="41"/>
      <c r="D58" s="41"/>
      <c r="E58" s="42"/>
      <c r="F58" s="43">
        <f>SUM(F56:F57)</f>
        <v>1477.45</v>
      </c>
      <c r="G58" s="43">
        <f>SUM(G56:G57)</f>
        <v>1.98</v>
      </c>
      <c r="H58" s="44"/>
    </row>
    <row r="59" spans="2:8">
      <c r="B59" s="56" t="s">
        <v>77</v>
      </c>
      <c r="C59" s="56"/>
      <c r="D59" s="56"/>
      <c r="E59" s="57"/>
      <c r="F59" s="58">
        <f>F58</f>
        <v>1477.45</v>
      </c>
      <c r="G59" s="58">
        <f>G58</f>
        <v>1.98</v>
      </c>
      <c r="H59" s="58"/>
    </row>
    <row r="60" spans="2:8">
      <c r="B60" s="59" t="s">
        <v>117</v>
      </c>
      <c r="C60" s="59"/>
      <c r="D60" s="59"/>
      <c r="E60" s="60"/>
      <c r="F60" s="61">
        <f>F61-(+F32+F41+F55+F59)</f>
        <v>1709.8300000000017</v>
      </c>
      <c r="G60" s="61">
        <f>G61-(+G32+G41+G55+G59)</f>
        <v>2.3099999999999881</v>
      </c>
      <c r="H60" s="61"/>
    </row>
    <row r="61" spans="2:8">
      <c r="B61" s="59" t="s">
        <v>118</v>
      </c>
      <c r="C61" s="59"/>
      <c r="D61" s="59"/>
      <c r="E61" s="60"/>
      <c r="F61" s="61">
        <v>74511.679999999993</v>
      </c>
      <c r="G61" s="61">
        <v>100</v>
      </c>
      <c r="H61" s="61"/>
    </row>
    <row r="63" spans="2:8">
      <c r="B63" s="62" t="s">
        <v>119</v>
      </c>
    </row>
    <row r="64" spans="2:8">
      <c r="B64" s="62" t="s">
        <v>120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2022-03-07T09:32:22Z</dcterms:created>
  <dcterms:modified xsi:type="dcterms:W3CDTF">2022-03-07T09:32:25Z</dcterms:modified>
</cp:coreProperties>
</file>