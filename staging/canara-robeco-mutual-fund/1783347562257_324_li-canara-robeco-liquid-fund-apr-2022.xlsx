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April 2022\"/>
    </mc:Choice>
  </mc:AlternateContent>
  <xr:revisionPtr revIDLastSave="0" documentId="8_{EE2EF306-2CCE-4410-B4CE-19C8D5EC4B08}" xr6:coauthVersionLast="47" xr6:coauthVersionMax="47" xr10:uidLastSave="{00000000-0000-0000-0000-000000000000}"/>
  <bookViews>
    <workbookView xWindow="-120" yWindow="-120" windowWidth="20730" windowHeight="11160" xr2:uid="{A3381054-7E27-4DE2-A4CC-AC662CB78DDF}"/>
  </bookViews>
  <sheets>
    <sheet name="L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3" i="1" l="1"/>
  <c r="G42" i="1"/>
  <c r="F42" i="1"/>
  <c r="F43" i="1" s="1"/>
  <c r="G39" i="1"/>
  <c r="F39" i="1"/>
  <c r="G33" i="1"/>
  <c r="F33" i="1"/>
  <c r="G29" i="1"/>
  <c r="F29" i="1"/>
  <c r="F34" i="1" s="1"/>
  <c r="G21" i="1"/>
  <c r="G34" i="1" s="1"/>
  <c r="F21" i="1"/>
  <c r="F13" i="1"/>
  <c r="G12" i="1"/>
  <c r="G13" i="1" s="1"/>
  <c r="F12" i="1"/>
  <c r="F44" i="1" l="1"/>
  <c r="G44" i="1"/>
</calcChain>
</file>

<file path=xl/sharedStrings.xml><?xml version="1.0" encoding="utf-8"?>
<sst xmlns="http://schemas.openxmlformats.org/spreadsheetml/2006/main" count="108" uniqueCount="86">
  <si>
    <t>CANARA ROBECO LIQUID FUND</t>
  </si>
  <si>
    <t>Monthly Portfolio Statement as on April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</si>
  <si>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</si>
  <si>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</si>
  <si>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</si>
  <si>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</si>
  <si>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</si>
  <si>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</si>
  <si>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</si>
  <si>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Level-Apr'22</t>
  </si>
  <si>
    <t>Benchmark Risk-o-meter Level- Apr'22</t>
  </si>
  <si>
    <t>Previous Scheme Risk-o-meter Level- Mar'22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</si>
  <si>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</si>
  <si>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</si>
  <si>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</si>
  <si>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</si>
  <si>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</si>
  <si>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</si>
  <si>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</si>
  <si>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</si>
  <si>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0.00% SUNDARAM FINANCE LTD 10-JUN-22 **</t>
  </si>
  <si>
    <t>INE660A07PR2</t>
  </si>
  <si>
    <t>CRISIL AAA</t>
  </si>
  <si>
    <t>Relatively Low (Class I)</t>
  </si>
  <si>
    <t>A-I</t>
  </si>
  <si>
    <t>7.93% NTPC Ltd (03/05/2022) **</t>
  </si>
  <si>
    <t>INE733E07KK5</t>
  </si>
  <si>
    <t>7.78% LIC Housing Finance Ltd (23/05/2022) **</t>
  </si>
  <si>
    <t>INE115A07LW6</t>
  </si>
  <si>
    <t>Moderate 
(Class II)</t>
  </si>
  <si>
    <t>7.70% National Bank For Agriculture &amp; Rural Development (13/06/2022) **</t>
  </si>
  <si>
    <t>INE261F08BL9</t>
  </si>
  <si>
    <t>7.85% National Bank For Agriculture &amp; Rural Development (23/05/2022) **</t>
  </si>
  <si>
    <t>INE261F08BJ3</t>
  </si>
  <si>
    <t>Relatively High (Class III)</t>
  </si>
  <si>
    <t>Sub Total</t>
  </si>
  <si>
    <t>Total</t>
  </si>
  <si>
    <t>Benchmark: CRISIL Liquid Fund A-I Index</t>
  </si>
  <si>
    <t>Money Market Instruments</t>
  </si>
  <si>
    <t>Certificate of Deposit</t>
  </si>
  <si>
    <t>Indian Bank (13/05/2022) ** #</t>
  </si>
  <si>
    <t>INE562A16KG5</t>
  </si>
  <si>
    <t>CRISIL A1+</t>
  </si>
  <si>
    <t>Bank of Baroda (01/06/2022) ** #</t>
  </si>
  <si>
    <t>INE028A16CQ3</t>
  </si>
  <si>
    <t>IND A1+</t>
  </si>
  <si>
    <t>Small Industries Development Bank of India (02/06/2022) ** #</t>
  </si>
  <si>
    <t>INE556F16879</t>
  </si>
  <si>
    <t>CARE A1+</t>
  </si>
  <si>
    <t>Axis Bank Ltd (09/05/2022) #</t>
  </si>
  <si>
    <t>INE238A169X1</t>
  </si>
  <si>
    <t>HDFC Bank Ltd (24/05/2022) ** #</t>
  </si>
  <si>
    <t>INE040A16CQ8</t>
  </si>
  <si>
    <t>Commercial Paper</t>
  </si>
  <si>
    <t xml:space="preserve">Indian Oil Corporation Ltd (13/05/2022) ** </t>
  </si>
  <si>
    <t>INE242A14WE9</t>
  </si>
  <si>
    <t>ICRA A1+</t>
  </si>
  <si>
    <t xml:space="preserve">Bajaj Finance Ltd (31/05/2022) ** </t>
  </si>
  <si>
    <t>INE296A14SZ8</t>
  </si>
  <si>
    <t xml:space="preserve">LIC Housing Finance Ltd (11/05/2022) </t>
  </si>
  <si>
    <t>INE115A14DN8</t>
  </si>
  <si>
    <t xml:space="preserve">National Bank For Agriculture &amp; Rural Development (06/06/2022) ** </t>
  </si>
  <si>
    <t>INE261F14IQ1</t>
  </si>
  <si>
    <t xml:space="preserve">ICICI Securities Ltd (17/05/2022) ** </t>
  </si>
  <si>
    <t>INE763G14LW6</t>
  </si>
  <si>
    <t xml:space="preserve">ICICI Securities Ltd (30/05/2022) ** </t>
  </si>
  <si>
    <t>INE763G14MF9</t>
  </si>
  <si>
    <t>Treasury Bill</t>
  </si>
  <si>
    <t>91 DAYS TREASURY BILLS 05-MAY-22</t>
  </si>
  <si>
    <t>IN002021X512</t>
  </si>
  <si>
    <t xml:space="preserve"> Sovereign</t>
  </si>
  <si>
    <t>364 DAYS INDIA TREASURY BILLS 09-JUN-22</t>
  </si>
  <si>
    <t>IN002021Z103</t>
  </si>
  <si>
    <t>Government Bonds</t>
  </si>
  <si>
    <t>8.35% GOI (14/05/2022)</t>
  </si>
  <si>
    <t>IN0020020072</t>
  </si>
  <si>
    <t>Sovereign</t>
  </si>
  <si>
    <t>8.15% GOI (11/06/2022)</t>
  </si>
  <si>
    <t>IN0020120013</t>
  </si>
  <si>
    <t>9.17% UTTAR PRADESH SDL 23-MAY-22</t>
  </si>
  <si>
    <t>IN3320120014</t>
  </si>
  <si>
    <t>TREPS</t>
  </si>
  <si>
    <t>Net Receivables / (Payables)</t>
  </si>
  <si>
    <t>Grand Total</t>
  </si>
  <si>
    <t>**  Non Traded Security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</si>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</sst>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0" xfId="0" applyFont="1" applyFill="1" applyBorder="1"/>
    <xf numFmtId="0" fontId="3" fillId="3" borderId="10" xfId="0" applyFont="1" applyFill="1" applyBorder="1"/>
    <xf numFmtId="4" fontId="3" fillId="3" borderId="10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3" fontId="3" fillId="3" borderId="10" xfId="0" applyNumberFormat="1" applyFont="1" applyFill="1" applyBorder="1"/>
    <xf numFmtId="43" fontId="3" fillId="3" borderId="0" xfId="1" applyFont="1" applyFill="1"/>
    <xf numFmtId="0" fontId="9" fillId="0" borderId="5" xfId="0" applyFont="1" applyBorder="1" applyAlignment="1">
      <alignment horizontal="left" wrapText="1"/>
    </xf>
    <xf numFmtId="0" fontId="9" fillId="4" borderId="1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3" borderId="13" xfId="0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0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5" xfId="0" applyFont="1" applyFill="1" applyBorder="1"/>
    <xf numFmtId="4" fontId="9" fillId="3" borderId="5" xfId="0" applyNumberFormat="1" applyFont="1" applyFill="1" applyBorder="1"/>
    <xf numFmtId="0" fontId="9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24384</xdr:colOff>
      <xdr:row>4</xdr:row>
      <xdr:rowOff>57150</xdr:rowOff>
    </xdr:from>
    <xdr:ext cx="1652015" cy="1257300"/>
    <xdr:pic>
      <xdr:nvPicPr>
        <xdr:cNvPr id="2" name="Picture 1">
          <a:extLst>
            <a:ext uri="{FF2B5EF4-FFF2-40B4-BE49-F238E27FC236}">
              <a16:creationId xmlns:a16="http://schemas.microsoft.com/office/drawing/2014/main" id="{36E2E8D3-9F20-4667-B390-18B017F73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16509" y="1066800"/>
          <a:ext cx="1652015" cy="1257300"/>
        </a:xfrm>
        <a:prstGeom prst="rect">
          <a:avLst/>
        </a:prstGeom>
      </xdr:spPr>
    </xdr:pic>
    <xdr:clientData/>
  </xdr:oneCellAnchor>
  <xdr:twoCellAnchor editAs="oneCell">
    <xdr:from>
      <xdr:col>9</xdr:col>
      <xdr:colOff>102178</xdr:colOff>
      <xdr:row>4</xdr:row>
      <xdr:rowOff>86393</xdr:rowOff>
    </xdr:from>
    <xdr:to>
      <xdr:col>9</xdr:col>
      <xdr:colOff>1574223</xdr:colOff>
      <xdr:row>11</xdr:row>
      <xdr:rowOff>82129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9D1DD3-DE61-46AA-BD1A-84C465E2A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8153" y="1096043"/>
          <a:ext cx="1472045" cy="1214936"/>
        </a:xfrm>
        <a:prstGeom prst="rect">
          <a:avLst/>
        </a:prstGeom>
      </xdr:spPr>
    </xdr:pic>
    <xdr:clientData/>
  </xdr:twoCellAnchor>
  <xdr:twoCellAnchor editAs="oneCell">
    <xdr:from>
      <xdr:col>10</xdr:col>
      <xdr:colOff>87543</xdr:colOff>
      <xdr:row>4</xdr:row>
      <xdr:rowOff>90055</xdr:rowOff>
    </xdr:from>
    <xdr:to>
      <xdr:col>10</xdr:col>
      <xdr:colOff>1600741</xdr:colOff>
      <xdr:row>11</xdr:row>
      <xdr:rowOff>100446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E5F034-9740-4F30-ADAC-25C2AA71C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08018" y="1099705"/>
          <a:ext cx="1513198" cy="12295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A61FC-EC20-4B7E-B2F0-7F735B303470}">
  <dimension ref="B1:Q48"/>
  <sheetViews>
    <sheetView tabSelected="1" topLeftCell="D1" workbookViewId="0">
      <selection activeCell="K14" sqref="K14"/>
    </sheetView>
  </sheetViews>
  <sheetFormatPr defaultRowHeight="12"/>
  <cols>
    <col min="1" max="1" width="9.140625" style="3"/>
    <col min="2" max="2" width="60.28515625" style="3" bestFit="1" customWidth="1"/>
    <col min="3" max="3" width="13.85546875" style="3" bestFit="1" customWidth="1"/>
    <col min="4" max="4" width="14.140625" style="3" bestFit="1" customWidth="1"/>
    <col min="5" max="5" width="9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9" width="9" style="3" bestFit="1" customWidth="1"/>
    <col min="10" max="10" width="25.7109375" style="3" customWidth="1"/>
    <col min="11" max="11" width="26.5703125" style="3" customWidth="1"/>
    <col min="12" max="12" width="26.140625" style="3" customWidth="1"/>
    <col min="13" max="13" width="9.140625" style="3"/>
    <col min="14" max="14" width="15.28515625" style="3" customWidth="1"/>
    <col min="15" max="15" width="12.5703125" style="3" customWidth="1"/>
    <col min="16" max="16" width="13.7109375" style="3" customWidth="1"/>
    <col min="17" max="17" width="12.7109375" style="3" customWidth="1"/>
    <col min="18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6"/>
      <c r="F3" s="7"/>
      <c r="G3" s="7"/>
    </row>
    <row r="4" spans="2:17" ht="30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N4" s="14" t="s">
        <v>12</v>
      </c>
      <c r="O4" s="15"/>
      <c r="P4" s="15"/>
      <c r="Q4" s="16"/>
    </row>
    <row r="5" spans="2:17">
      <c r="B5" s="17" t="s">
        <v>13</v>
      </c>
      <c r="C5" s="18"/>
      <c r="D5" s="18"/>
      <c r="E5" s="18"/>
      <c r="F5" s="19"/>
      <c r="G5" s="19"/>
      <c r="H5" s="19"/>
      <c r="J5" s="20"/>
      <c r="K5" s="20"/>
      <c r="L5" s="20"/>
      <c r="N5" s="21" t="s">
        <v>14</v>
      </c>
      <c r="O5" s="22" t="s">
        <v>15</v>
      </c>
      <c r="P5" s="22" t="s">
        <v>16</v>
      </c>
      <c r="Q5" s="22" t="s">
        <v>17</v>
      </c>
    </row>
    <row r="6" spans="2:17" ht="24">
      <c r="B6" s="23" t="s">
        <v>18</v>
      </c>
      <c r="C6" s="24"/>
      <c r="D6" s="24"/>
      <c r="E6" s="24"/>
      <c r="F6" s="25"/>
      <c r="G6" s="25"/>
      <c r="H6" s="25"/>
      <c r="J6" s="20"/>
      <c r="K6" s="20"/>
      <c r="L6" s="20"/>
      <c r="N6" s="26" t="s">
        <v>19</v>
      </c>
      <c r="O6" s="22"/>
      <c r="P6" s="22"/>
      <c r="Q6" s="22"/>
    </row>
    <row r="7" spans="2:17">
      <c r="B7" s="24" t="s">
        <v>20</v>
      </c>
      <c r="C7" s="24" t="s">
        <v>21</v>
      </c>
      <c r="D7" s="24" t="s">
        <v>22</v>
      </c>
      <c r="E7" s="27">
        <v>1000</v>
      </c>
      <c r="F7" s="25">
        <v>9953.6200000000008</v>
      </c>
      <c r="G7" s="25">
        <v>6.39</v>
      </c>
      <c r="H7" s="25">
        <v>4.1500000000000004</v>
      </c>
      <c r="I7" s="28"/>
      <c r="J7" s="20"/>
      <c r="K7" s="20"/>
      <c r="L7" s="20"/>
      <c r="N7" s="29" t="s">
        <v>23</v>
      </c>
      <c r="O7" s="30" t="s">
        <v>24</v>
      </c>
      <c r="P7" s="31"/>
      <c r="Q7" s="32"/>
    </row>
    <row r="8" spans="2:17">
      <c r="B8" s="24" t="s">
        <v>25</v>
      </c>
      <c r="C8" s="24" t="s">
        <v>26</v>
      </c>
      <c r="D8" s="24" t="s">
        <v>22</v>
      </c>
      <c r="E8" s="27">
        <v>950</v>
      </c>
      <c r="F8" s="25">
        <v>9500.94</v>
      </c>
      <c r="G8" s="25">
        <v>6.1</v>
      </c>
      <c r="H8" s="25">
        <v>6.23</v>
      </c>
      <c r="I8" s="28"/>
      <c r="J8" s="20"/>
      <c r="K8" s="20"/>
      <c r="L8" s="20"/>
      <c r="N8" s="29"/>
      <c r="O8" s="33"/>
      <c r="P8" s="34"/>
      <c r="Q8" s="35"/>
    </row>
    <row r="9" spans="2:17">
      <c r="B9" s="24" t="s">
        <v>27</v>
      </c>
      <c r="C9" s="24" t="s">
        <v>28</v>
      </c>
      <c r="D9" s="24" t="s">
        <v>22</v>
      </c>
      <c r="E9" s="27">
        <v>400</v>
      </c>
      <c r="F9" s="25">
        <v>4007.93</v>
      </c>
      <c r="G9" s="25">
        <v>2.57</v>
      </c>
      <c r="H9" s="25">
        <v>4.3099999999999996</v>
      </c>
      <c r="I9" s="28"/>
      <c r="J9" s="20"/>
      <c r="K9" s="20"/>
      <c r="L9" s="20"/>
      <c r="N9" s="29" t="s">
        <v>29</v>
      </c>
      <c r="O9" s="32"/>
      <c r="P9" s="32"/>
      <c r="Q9" s="32"/>
    </row>
    <row r="10" spans="2:17">
      <c r="B10" s="24" t="s">
        <v>30</v>
      </c>
      <c r="C10" s="24" t="s">
        <v>31</v>
      </c>
      <c r="D10" s="24" t="s">
        <v>22</v>
      </c>
      <c r="E10" s="27">
        <v>250</v>
      </c>
      <c r="F10" s="25">
        <v>2509.94</v>
      </c>
      <c r="G10" s="25">
        <v>1.61</v>
      </c>
      <c r="H10" s="25">
        <v>4.1100000000000003</v>
      </c>
      <c r="I10" s="28"/>
      <c r="J10" s="20"/>
      <c r="K10" s="20"/>
      <c r="L10" s="20"/>
      <c r="N10" s="29"/>
      <c r="O10" s="35"/>
      <c r="P10" s="35"/>
      <c r="Q10" s="35"/>
    </row>
    <row r="11" spans="2:17">
      <c r="B11" s="24" t="s">
        <v>32</v>
      </c>
      <c r="C11" s="24" t="s">
        <v>33</v>
      </c>
      <c r="D11" s="24" t="s">
        <v>22</v>
      </c>
      <c r="E11" s="27">
        <v>250</v>
      </c>
      <c r="F11" s="25">
        <v>2505.34</v>
      </c>
      <c r="G11" s="25">
        <v>1.61</v>
      </c>
      <c r="H11" s="25">
        <v>4.1500000000000004</v>
      </c>
      <c r="I11" s="28"/>
      <c r="J11" s="20"/>
      <c r="K11" s="20"/>
      <c r="L11" s="20"/>
      <c r="N11" s="29" t="s">
        <v>34</v>
      </c>
      <c r="O11" s="32"/>
      <c r="P11" s="32"/>
      <c r="Q11" s="32"/>
    </row>
    <row r="12" spans="2:17">
      <c r="B12" s="36" t="s">
        <v>35</v>
      </c>
      <c r="C12" s="36"/>
      <c r="D12" s="36"/>
      <c r="E12" s="36"/>
      <c r="F12" s="37">
        <f>SUM(F6:F11)</f>
        <v>28477.77</v>
      </c>
      <c r="G12" s="37">
        <f>SUM(G6:G11)</f>
        <v>18.279999999999998</v>
      </c>
      <c r="H12" s="38"/>
      <c r="I12" s="28"/>
      <c r="J12" s="20"/>
      <c r="K12" s="20"/>
      <c r="L12" s="20"/>
      <c r="N12" s="29"/>
      <c r="O12" s="35"/>
      <c r="P12" s="35"/>
      <c r="Q12" s="35"/>
    </row>
    <row r="13" spans="2:17">
      <c r="B13" s="39" t="s">
        <v>36</v>
      </c>
      <c r="C13" s="39"/>
      <c r="D13" s="39"/>
      <c r="E13" s="39"/>
      <c r="F13" s="40">
        <f>F12</f>
        <v>28477.77</v>
      </c>
      <c r="G13" s="40">
        <f>G12</f>
        <v>18.279999999999998</v>
      </c>
      <c r="H13" s="40"/>
      <c r="I13" s="28"/>
      <c r="J13" s="28"/>
      <c r="K13" s="28" t="s">
        <v>37</v>
      </c>
      <c r="L13" s="28"/>
    </row>
    <row r="14" spans="2:17">
      <c r="B14" s="23" t="s">
        <v>38</v>
      </c>
      <c r="C14" s="24"/>
      <c r="D14" s="24"/>
      <c r="E14" s="24"/>
      <c r="F14" s="25"/>
      <c r="G14" s="25"/>
      <c r="H14" s="25"/>
      <c r="I14" s="28"/>
      <c r="J14" s="28"/>
      <c r="K14" s="28"/>
      <c r="L14" s="28"/>
    </row>
    <row r="15" spans="2:17">
      <c r="B15" s="23" t="s">
        <v>39</v>
      </c>
      <c r="C15" s="24"/>
      <c r="D15" s="24"/>
      <c r="E15" s="24"/>
      <c r="F15" s="25"/>
      <c r="G15" s="25"/>
      <c r="H15" s="25"/>
      <c r="I15" s="28"/>
      <c r="J15" s="28"/>
      <c r="K15" s="28"/>
      <c r="L15" s="28"/>
    </row>
    <row r="16" spans="2:17">
      <c r="B16" s="24" t="s">
        <v>40</v>
      </c>
      <c r="C16" s="24" t="s">
        <v>41</v>
      </c>
      <c r="D16" s="24" t="s">
        <v>42</v>
      </c>
      <c r="E16" s="27">
        <v>2000</v>
      </c>
      <c r="F16" s="25">
        <v>9986.82</v>
      </c>
      <c r="G16" s="25">
        <v>6.41</v>
      </c>
      <c r="H16" s="25">
        <v>4.01</v>
      </c>
      <c r="I16" s="28"/>
      <c r="J16" s="28"/>
      <c r="K16" s="28"/>
      <c r="L16" s="28"/>
    </row>
    <row r="17" spans="2:12">
      <c r="B17" s="24" t="s">
        <v>43</v>
      </c>
      <c r="C17" s="24" t="s">
        <v>44</v>
      </c>
      <c r="D17" s="24" t="s">
        <v>45</v>
      </c>
      <c r="E17" s="27">
        <v>2000</v>
      </c>
      <c r="F17" s="25">
        <v>9966.27</v>
      </c>
      <c r="G17" s="25">
        <v>6.4</v>
      </c>
      <c r="H17" s="25">
        <v>3.98</v>
      </c>
      <c r="I17" s="28"/>
      <c r="J17" s="28"/>
      <c r="K17" s="28"/>
      <c r="L17" s="28"/>
    </row>
    <row r="18" spans="2:12">
      <c r="B18" s="24" t="s">
        <v>46</v>
      </c>
      <c r="C18" s="24" t="s">
        <v>47</v>
      </c>
      <c r="D18" s="24" t="s">
        <v>48</v>
      </c>
      <c r="E18" s="27">
        <v>10000</v>
      </c>
      <c r="F18" s="25">
        <v>9965.19</v>
      </c>
      <c r="G18" s="25">
        <v>6.4</v>
      </c>
      <c r="H18" s="25">
        <v>3.98</v>
      </c>
      <c r="I18" s="28"/>
      <c r="J18" s="28"/>
      <c r="K18" s="28"/>
      <c r="L18" s="28"/>
    </row>
    <row r="19" spans="2:12">
      <c r="B19" s="24" t="s">
        <v>49</v>
      </c>
      <c r="C19" s="24" t="s">
        <v>50</v>
      </c>
      <c r="D19" s="24" t="s">
        <v>42</v>
      </c>
      <c r="E19" s="27">
        <v>500</v>
      </c>
      <c r="F19" s="25">
        <v>2497.81</v>
      </c>
      <c r="G19" s="25">
        <v>1.6</v>
      </c>
      <c r="H19" s="25">
        <v>4</v>
      </c>
      <c r="I19" s="28"/>
      <c r="J19" s="28"/>
      <c r="K19" s="28"/>
      <c r="L19" s="28"/>
    </row>
    <row r="20" spans="2:12">
      <c r="B20" s="24" t="s">
        <v>51</v>
      </c>
      <c r="C20" s="24" t="s">
        <v>52</v>
      </c>
      <c r="D20" s="24" t="s">
        <v>48</v>
      </c>
      <c r="E20" s="27">
        <v>500</v>
      </c>
      <c r="F20" s="25">
        <v>2493.7600000000002</v>
      </c>
      <c r="G20" s="25">
        <v>1.6</v>
      </c>
      <c r="H20" s="25">
        <v>3.97</v>
      </c>
      <c r="I20" s="28"/>
      <c r="J20" s="28"/>
      <c r="K20" s="28"/>
      <c r="L20" s="28"/>
    </row>
    <row r="21" spans="2:12">
      <c r="B21" s="23" t="s">
        <v>35</v>
      </c>
      <c r="C21" s="23"/>
      <c r="D21" s="23"/>
      <c r="E21" s="23"/>
      <c r="F21" s="41">
        <f>SUM(F15:F20)</f>
        <v>34909.85</v>
      </c>
      <c r="G21" s="41">
        <f>SUM(G15:G20)</f>
        <v>22.410000000000004</v>
      </c>
      <c r="H21" s="42"/>
      <c r="I21" s="28"/>
      <c r="J21" s="28"/>
      <c r="K21" s="28"/>
      <c r="L21" s="28"/>
    </row>
    <row r="22" spans="2:12">
      <c r="B22" s="23" t="s">
        <v>53</v>
      </c>
      <c r="C22" s="24"/>
      <c r="D22" s="24"/>
      <c r="E22" s="24"/>
      <c r="F22" s="25"/>
      <c r="G22" s="25"/>
      <c r="H22" s="25"/>
      <c r="I22" s="28"/>
      <c r="J22" s="28"/>
      <c r="K22" s="28"/>
      <c r="L22" s="28"/>
    </row>
    <row r="23" spans="2:12">
      <c r="B23" s="24" t="s">
        <v>54</v>
      </c>
      <c r="C23" s="24" t="s">
        <v>55</v>
      </c>
      <c r="D23" s="24" t="s">
        <v>56</v>
      </c>
      <c r="E23" s="27">
        <v>2000</v>
      </c>
      <c r="F23" s="25">
        <v>9986.7900000000009</v>
      </c>
      <c r="G23" s="25">
        <v>6.41</v>
      </c>
      <c r="H23" s="25">
        <v>4.0199999999999996</v>
      </c>
      <c r="I23" s="28"/>
      <c r="J23" s="28"/>
      <c r="K23" s="28"/>
      <c r="L23" s="28"/>
    </row>
    <row r="24" spans="2:12">
      <c r="B24" s="24" t="s">
        <v>57</v>
      </c>
      <c r="C24" s="24" t="s">
        <v>58</v>
      </c>
      <c r="D24" s="24" t="s">
        <v>42</v>
      </c>
      <c r="E24" s="27">
        <v>2000</v>
      </c>
      <c r="F24" s="25">
        <v>9965.6</v>
      </c>
      <c r="G24" s="25">
        <v>6.4</v>
      </c>
      <c r="H24" s="25">
        <v>4.2</v>
      </c>
      <c r="I24" s="28"/>
      <c r="J24" s="28"/>
      <c r="K24" s="28"/>
      <c r="L24" s="28"/>
    </row>
    <row r="25" spans="2:12">
      <c r="B25" s="24" t="s">
        <v>59</v>
      </c>
      <c r="C25" s="24" t="s">
        <v>60</v>
      </c>
      <c r="D25" s="24" t="s">
        <v>42</v>
      </c>
      <c r="E25" s="27">
        <v>1500</v>
      </c>
      <c r="F25" s="25">
        <v>7491.38</v>
      </c>
      <c r="G25" s="25">
        <v>4.8099999999999996</v>
      </c>
      <c r="H25" s="25">
        <v>4.2</v>
      </c>
      <c r="I25" s="28"/>
      <c r="J25" s="28"/>
      <c r="K25" s="28"/>
      <c r="L25" s="28"/>
    </row>
    <row r="26" spans="2:12">
      <c r="B26" s="24" t="s">
        <v>61</v>
      </c>
      <c r="C26" s="24" t="s">
        <v>62</v>
      </c>
      <c r="D26" s="24" t="s">
        <v>56</v>
      </c>
      <c r="E26" s="27">
        <v>1000</v>
      </c>
      <c r="F26" s="25">
        <v>4980.2299999999996</v>
      </c>
      <c r="G26" s="25">
        <v>3.2</v>
      </c>
      <c r="H26" s="25">
        <v>4.0199999999999996</v>
      </c>
      <c r="I26" s="28"/>
      <c r="J26" s="28"/>
      <c r="K26" s="28"/>
      <c r="L26" s="28"/>
    </row>
    <row r="27" spans="2:12">
      <c r="B27" s="24" t="s">
        <v>63</v>
      </c>
      <c r="C27" s="24" t="s">
        <v>64</v>
      </c>
      <c r="D27" s="24" t="s">
        <v>42</v>
      </c>
      <c r="E27" s="27">
        <v>500</v>
      </c>
      <c r="F27" s="25">
        <v>2495.3000000000002</v>
      </c>
      <c r="G27" s="25">
        <v>1.6</v>
      </c>
      <c r="H27" s="25">
        <v>4.3</v>
      </c>
      <c r="I27" s="28"/>
      <c r="J27" s="28"/>
      <c r="K27" s="28"/>
      <c r="L27" s="28"/>
    </row>
    <row r="28" spans="2:12">
      <c r="B28" s="24" t="s">
        <v>65</v>
      </c>
      <c r="C28" s="24" t="s">
        <v>66</v>
      </c>
      <c r="D28" s="24" t="s">
        <v>42</v>
      </c>
      <c r="E28" s="27">
        <v>500</v>
      </c>
      <c r="F28" s="25">
        <v>2491.4899999999998</v>
      </c>
      <c r="G28" s="25">
        <v>1.6</v>
      </c>
      <c r="H28" s="25">
        <v>4.3</v>
      </c>
      <c r="I28" s="28"/>
      <c r="J28" s="28"/>
      <c r="K28" s="28"/>
      <c r="L28" s="28"/>
    </row>
    <row r="29" spans="2:12">
      <c r="B29" s="23" t="s">
        <v>35</v>
      </c>
      <c r="C29" s="23"/>
      <c r="D29" s="23"/>
      <c r="E29" s="23"/>
      <c r="F29" s="41">
        <f>SUM(F22:F28)</f>
        <v>37410.79</v>
      </c>
      <c r="G29" s="41">
        <f>SUM(G22:G28)</f>
        <v>24.020000000000003</v>
      </c>
      <c r="H29" s="42"/>
      <c r="I29" s="28"/>
      <c r="J29" s="28"/>
      <c r="K29" s="28"/>
      <c r="L29" s="28"/>
    </row>
    <row r="30" spans="2:12">
      <c r="B30" s="23" t="s">
        <v>67</v>
      </c>
      <c r="C30" s="24"/>
      <c r="D30" s="24"/>
      <c r="E30" s="24"/>
      <c r="F30" s="25"/>
      <c r="G30" s="25"/>
      <c r="H30" s="25"/>
      <c r="I30" s="28"/>
      <c r="J30" s="28"/>
      <c r="K30" s="28"/>
      <c r="L30" s="28"/>
    </row>
    <row r="31" spans="2:12">
      <c r="B31" s="24" t="s">
        <v>68</v>
      </c>
      <c r="C31" s="24" t="s">
        <v>69</v>
      </c>
      <c r="D31" s="24" t="s">
        <v>70</v>
      </c>
      <c r="E31" s="27">
        <v>4500000</v>
      </c>
      <c r="F31" s="25">
        <v>4498.2</v>
      </c>
      <c r="G31" s="25">
        <v>2.89</v>
      </c>
      <c r="H31" s="25">
        <v>3.65</v>
      </c>
      <c r="I31" s="28"/>
      <c r="J31" s="28"/>
      <c r="K31" s="28"/>
      <c r="L31" s="28"/>
    </row>
    <row r="32" spans="2:12">
      <c r="B32" s="24" t="s">
        <v>71</v>
      </c>
      <c r="C32" s="24" t="s">
        <v>72</v>
      </c>
      <c r="D32" s="24" t="s">
        <v>70</v>
      </c>
      <c r="E32" s="27">
        <v>2500000</v>
      </c>
      <c r="F32" s="25">
        <v>2490.09</v>
      </c>
      <c r="G32" s="25">
        <v>1.6</v>
      </c>
      <c r="H32" s="25">
        <v>3.73</v>
      </c>
      <c r="I32" s="28"/>
      <c r="J32" s="28"/>
      <c r="K32" s="28"/>
      <c r="L32" s="28"/>
    </row>
    <row r="33" spans="2:12">
      <c r="B33" s="36" t="s">
        <v>35</v>
      </c>
      <c r="C33" s="36"/>
      <c r="D33" s="36"/>
      <c r="E33" s="36"/>
      <c r="F33" s="37">
        <f>SUM(F30:F32)</f>
        <v>6988.29</v>
      </c>
      <c r="G33" s="37">
        <f>SUM(G30:G32)</f>
        <v>4.49</v>
      </c>
      <c r="H33" s="38"/>
      <c r="I33" s="28"/>
      <c r="J33" s="28"/>
      <c r="K33" s="28"/>
      <c r="L33" s="28"/>
    </row>
    <row r="34" spans="2:12">
      <c r="B34" s="39" t="s">
        <v>36</v>
      </c>
      <c r="C34" s="39"/>
      <c r="D34" s="39"/>
      <c r="E34" s="39"/>
      <c r="F34" s="40">
        <f>F21+F29+F33</f>
        <v>79308.929999999993</v>
      </c>
      <c r="G34" s="40">
        <f>G21+G29+G33</f>
        <v>50.920000000000009</v>
      </c>
      <c r="H34" s="40"/>
      <c r="I34" s="28"/>
      <c r="J34" s="28"/>
      <c r="K34" s="28"/>
      <c r="L34" s="28"/>
    </row>
    <row r="35" spans="2:12">
      <c r="B35" s="23" t="s">
        <v>73</v>
      </c>
      <c r="C35" s="24"/>
      <c r="D35" s="24"/>
      <c r="E35" s="24"/>
      <c r="F35" s="25"/>
      <c r="G35" s="25"/>
      <c r="H35" s="25"/>
      <c r="I35" s="28"/>
      <c r="J35" s="28"/>
      <c r="K35" s="28"/>
      <c r="L35" s="28"/>
    </row>
    <row r="36" spans="2:12">
      <c r="B36" s="24" t="s">
        <v>74</v>
      </c>
      <c r="C36" s="24" t="s">
        <v>75</v>
      </c>
      <c r="D36" s="24" t="s">
        <v>76</v>
      </c>
      <c r="E36" s="27">
        <v>30000000</v>
      </c>
      <c r="F36" s="25">
        <v>30046.95</v>
      </c>
      <c r="G36" s="25">
        <v>19.29</v>
      </c>
      <c r="H36" s="25">
        <v>4.1399999999999997</v>
      </c>
      <c r="I36" s="28"/>
      <c r="J36" s="28"/>
      <c r="K36" s="28"/>
      <c r="L36" s="28"/>
    </row>
    <row r="37" spans="2:12">
      <c r="B37" s="24" t="s">
        <v>77</v>
      </c>
      <c r="C37" s="24" t="s">
        <v>78</v>
      </c>
      <c r="D37" s="24" t="s">
        <v>76</v>
      </c>
      <c r="E37" s="27">
        <v>2000000</v>
      </c>
      <c r="F37" s="25">
        <v>2009.04</v>
      </c>
      <c r="G37" s="25">
        <v>1.29</v>
      </c>
      <c r="H37" s="25">
        <v>4.09</v>
      </c>
      <c r="I37" s="28"/>
      <c r="J37" s="28"/>
      <c r="K37" s="28"/>
      <c r="L37" s="28"/>
    </row>
    <row r="38" spans="2:12">
      <c r="B38" s="43" t="s">
        <v>79</v>
      </c>
      <c r="C38" s="43" t="s">
        <v>80</v>
      </c>
      <c r="D38" s="43" t="s">
        <v>76</v>
      </c>
      <c r="E38" s="44">
        <v>1500000</v>
      </c>
      <c r="F38" s="45">
        <v>1504.59</v>
      </c>
      <c r="G38" s="45">
        <v>0.97</v>
      </c>
      <c r="H38" s="45">
        <v>4.18</v>
      </c>
      <c r="I38" s="28"/>
      <c r="J38" s="28"/>
      <c r="K38" s="28"/>
      <c r="L38" s="28"/>
    </row>
    <row r="39" spans="2:12">
      <c r="B39" s="46" t="s">
        <v>36</v>
      </c>
      <c r="C39" s="46"/>
      <c r="D39" s="46"/>
      <c r="E39" s="46"/>
      <c r="F39" s="41">
        <f>SUM(F36:F38)</f>
        <v>33560.58</v>
      </c>
      <c r="G39" s="41">
        <f>SUM(G36:G38)</f>
        <v>21.549999999999997</v>
      </c>
      <c r="H39" s="41"/>
      <c r="I39" s="28"/>
      <c r="J39" s="28"/>
      <c r="K39" s="28"/>
      <c r="L39" s="28"/>
    </row>
    <row r="40" spans="2:12">
      <c r="B40" s="23" t="s">
        <v>81</v>
      </c>
      <c r="C40" s="24"/>
      <c r="D40" s="24"/>
      <c r="E40" s="24"/>
      <c r="F40" s="25"/>
      <c r="G40" s="25"/>
      <c r="H40" s="25"/>
      <c r="I40" s="28"/>
      <c r="J40" s="28"/>
      <c r="K40" s="28"/>
      <c r="L40" s="28"/>
    </row>
    <row r="41" spans="2:12">
      <c r="B41" s="24" t="s">
        <v>81</v>
      </c>
      <c r="C41" s="24"/>
      <c r="D41" s="24"/>
      <c r="E41" s="24"/>
      <c r="F41" s="25">
        <v>11368.28</v>
      </c>
      <c r="G41" s="25">
        <v>7.3</v>
      </c>
      <c r="H41" s="25"/>
      <c r="I41" s="28"/>
      <c r="J41" s="28"/>
      <c r="K41" s="28"/>
      <c r="L41" s="28"/>
    </row>
    <row r="42" spans="2:12">
      <c r="B42" s="36" t="s">
        <v>35</v>
      </c>
      <c r="C42" s="36"/>
      <c r="D42" s="36"/>
      <c r="E42" s="36"/>
      <c r="F42" s="37">
        <f>SUM(F40:F41)</f>
        <v>11368.28</v>
      </c>
      <c r="G42" s="37">
        <f>SUM(G40:G41)</f>
        <v>7.3</v>
      </c>
      <c r="H42" s="38"/>
      <c r="I42" s="28"/>
      <c r="J42" s="28"/>
      <c r="K42" s="28"/>
      <c r="L42" s="28"/>
    </row>
    <row r="43" spans="2:12">
      <c r="B43" s="47" t="s">
        <v>36</v>
      </c>
      <c r="C43" s="47"/>
      <c r="D43" s="47"/>
      <c r="E43" s="47"/>
      <c r="F43" s="48">
        <f>F42</f>
        <v>11368.28</v>
      </c>
      <c r="G43" s="48">
        <f>G42</f>
        <v>7.3</v>
      </c>
      <c r="H43" s="48"/>
      <c r="I43" s="28"/>
      <c r="J43" s="28"/>
      <c r="K43" s="28"/>
      <c r="L43" s="28"/>
    </row>
    <row r="44" spans="2:12">
      <c r="B44" s="49" t="s">
        <v>82</v>
      </c>
      <c r="C44" s="49"/>
      <c r="D44" s="49"/>
      <c r="E44" s="49"/>
      <c r="F44" s="50">
        <f>F45-(+F13+F34+F39+F43)</f>
        <v>3076.7699999999895</v>
      </c>
      <c r="G44" s="50">
        <f>G45-(+G13+G34+G39+G43)</f>
        <v>1.9500000000000028</v>
      </c>
      <c r="H44" s="50"/>
      <c r="I44" s="28"/>
      <c r="J44" s="28"/>
      <c r="K44" s="28"/>
      <c r="L44" s="28"/>
    </row>
    <row r="45" spans="2:12">
      <c r="B45" s="49" t="s">
        <v>83</v>
      </c>
      <c r="C45" s="49"/>
      <c r="D45" s="49"/>
      <c r="E45" s="49"/>
      <c r="F45" s="50">
        <v>155792.32999999999</v>
      </c>
      <c r="G45" s="50">
        <v>100</v>
      </c>
      <c r="H45" s="50"/>
      <c r="I45" s="28"/>
      <c r="J45" s="28"/>
      <c r="K45" s="28"/>
      <c r="L45" s="28"/>
    </row>
    <row r="46" spans="2:12">
      <c r="I46" s="28"/>
      <c r="J46" s="28"/>
      <c r="K46" s="28"/>
      <c r="L46" s="28"/>
    </row>
    <row r="47" spans="2:12">
      <c r="B47" s="51" t="s">
        <v>84</v>
      </c>
    </row>
    <row r="48" spans="2:12">
      <c r="B48" s="51" t="s">
        <v>85</v>
      </c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2022-05-06T06:27:47Z</dcterms:created>
  <dcterms:modified xsi:type="dcterms:W3CDTF">2022-05-06T06:27:47Z</dcterms:modified>
</cp:coreProperties>
</file>