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60" windowHeight="7365"/>
  </bookViews>
  <sheets>
    <sheet name="CRI" sheetId="1" r:id="rId1"/>
    <sheet name="CREDF" sheetId="2" r:id="rId2"/>
    <sheet name="CRETSF" sheetId="3" r:id="rId3"/>
    <sheet name="CREE" sheetId="4" r:id="rId4"/>
    <sheet name="CRCTF" sheetId="5" r:id="rId5"/>
    <sheet name="CRBCEF" sheetId="6" r:id="rId6"/>
    <sheet name="CRSCF" sheetId="7" r:id="rId7"/>
    <sheet name="CREHF" sheetId="8" r:id="rId8"/>
    <sheet name="CRDBF" sheetId="9" r:id="rId9"/>
    <sheet name="CRGILT" sheetId="10" r:id="rId10"/>
    <sheet name="CRINC" sheetId="11" r:id="rId11"/>
    <sheet name="CRSF" sheetId="12" r:id="rId12"/>
    <sheet name="CRCHF" sheetId="13" r:id="rId13"/>
    <sheet name="CRG1988" sheetId="14" r:id="rId14"/>
    <sheet name="CRL" sheetId="15" r:id="rId15"/>
    <sheet name="CRUSTF" sheetId="16" r:id="rId16"/>
    <sheet name="CROF" sheetId="17" r:id="rId17"/>
    <sheet name="CRSDF" sheetId="18" r:id="rId18"/>
    <sheet name="CRCBF" sheetId="19" r:id="rId19"/>
    <sheet name="CRCPOF9" sheetId="20" r:id="rId20"/>
    <sheet name="CRDAF1" sheetId="21" r:id="rId21"/>
    <sheet name="CRFMP8" sheetId="22" r:id="rId22"/>
    <sheet name="CRCPOF10" sheetId="23" r:id="rId23"/>
  </sheets>
  <calcPr calcId="162913"/>
</workbook>
</file>

<file path=xl/calcChain.xml><?xml version="1.0" encoding="utf-8"?>
<calcChain xmlns="http://schemas.openxmlformats.org/spreadsheetml/2006/main">
  <c r="G67" i="4" l="1"/>
  <c r="F67" i="4"/>
  <c r="F70" i="4"/>
  <c r="G69" i="13"/>
  <c r="F69" i="13"/>
  <c r="G66" i="23"/>
  <c r="F66" i="23"/>
  <c r="G65" i="23"/>
  <c r="F65" i="23"/>
  <c r="G62" i="23"/>
  <c r="F62" i="23"/>
  <c r="G55" i="23"/>
  <c r="G56" i="23" s="1"/>
  <c r="F55" i="23"/>
  <c r="F56" i="23" s="1"/>
  <c r="G46" i="23"/>
  <c r="G47" i="23" s="1"/>
  <c r="G67" i="23" s="1"/>
  <c r="F46" i="23"/>
  <c r="F47" i="23" s="1"/>
  <c r="F67" i="23" s="1"/>
  <c r="G23" i="22"/>
  <c r="F23" i="22"/>
  <c r="G22" i="22"/>
  <c r="F22" i="22"/>
  <c r="G19" i="22"/>
  <c r="G24" i="22" s="1"/>
  <c r="F19" i="22"/>
  <c r="F24" i="22" s="1"/>
  <c r="G18" i="22"/>
  <c r="F18" i="22"/>
  <c r="G70" i="21"/>
  <c r="G71" i="21" s="1"/>
  <c r="F70" i="21"/>
  <c r="F71" i="21" s="1"/>
  <c r="G67" i="21"/>
  <c r="F67" i="21"/>
  <c r="G63" i="21"/>
  <c r="F63" i="21"/>
  <c r="G62" i="21"/>
  <c r="F62" i="21"/>
  <c r="G58" i="21"/>
  <c r="F58" i="21"/>
  <c r="G57" i="21"/>
  <c r="F57" i="21"/>
  <c r="G39" i="21"/>
  <c r="G72" i="21" s="1"/>
  <c r="F39" i="21"/>
  <c r="F72" i="21" s="1"/>
  <c r="G38" i="21"/>
  <c r="F38" i="21"/>
  <c r="G68" i="20"/>
  <c r="G69" i="20" s="1"/>
  <c r="F68" i="20"/>
  <c r="F69" i="20" s="1"/>
  <c r="G65" i="20"/>
  <c r="F65" i="20"/>
  <c r="G59" i="20"/>
  <c r="F59" i="20"/>
  <c r="G58" i="20"/>
  <c r="F58" i="20"/>
  <c r="G43" i="20"/>
  <c r="G70" i="20" s="1"/>
  <c r="F43" i="20"/>
  <c r="F70" i="20" s="1"/>
  <c r="G42" i="20"/>
  <c r="F42" i="20"/>
  <c r="G47" i="19"/>
  <c r="G48" i="19" s="1"/>
  <c r="F47" i="19"/>
  <c r="F48" i="19" s="1"/>
  <c r="G44" i="19"/>
  <c r="F44" i="19"/>
  <c r="G35" i="19"/>
  <c r="G49" i="19" s="1"/>
  <c r="F35" i="19"/>
  <c r="F49" i="19" s="1"/>
  <c r="G34" i="19"/>
  <c r="F34" i="19"/>
  <c r="G76" i="18"/>
  <c r="G77" i="18" s="1"/>
  <c r="F76" i="18"/>
  <c r="F77" i="18" s="1"/>
  <c r="G73" i="18"/>
  <c r="F73" i="18"/>
  <c r="G58" i="18"/>
  <c r="F58" i="18"/>
  <c r="G57" i="18"/>
  <c r="F57" i="18"/>
  <c r="G53" i="18"/>
  <c r="G78" i="18" s="1"/>
  <c r="F53" i="18"/>
  <c r="F78" i="18" s="1"/>
  <c r="G52" i="18"/>
  <c r="F52" i="18"/>
  <c r="G7" i="17"/>
  <c r="G8" i="17" s="1"/>
  <c r="G9" i="17" s="1"/>
  <c r="F7" i="17"/>
  <c r="F8" i="17" s="1"/>
  <c r="F9" i="17" s="1"/>
  <c r="G39" i="16"/>
  <c r="F39" i="16"/>
  <c r="G38" i="16"/>
  <c r="F38" i="16"/>
  <c r="G35" i="16"/>
  <c r="F35" i="16"/>
  <c r="G31" i="16"/>
  <c r="F31" i="16"/>
  <c r="G25" i="16"/>
  <c r="G32" i="16" s="1"/>
  <c r="F25" i="16"/>
  <c r="G21" i="16"/>
  <c r="F21" i="16"/>
  <c r="G20" i="16"/>
  <c r="F20" i="16"/>
  <c r="G31" i="15"/>
  <c r="G32" i="15" s="1"/>
  <c r="F31" i="15"/>
  <c r="F32" i="15" s="1"/>
  <c r="G27" i="15"/>
  <c r="F27" i="15"/>
  <c r="G16" i="15"/>
  <c r="F16" i="15"/>
  <c r="G9" i="15"/>
  <c r="G28" i="15" s="1"/>
  <c r="F9" i="15"/>
  <c r="F28" i="15" s="1"/>
  <c r="F33" i="15" s="1"/>
  <c r="G12" i="14"/>
  <c r="F12" i="14"/>
  <c r="G11" i="14"/>
  <c r="F11" i="14"/>
  <c r="G8" i="14"/>
  <c r="G13" i="14" s="1"/>
  <c r="F8" i="14"/>
  <c r="F13" i="14" s="1"/>
  <c r="F73" i="13"/>
  <c r="G72" i="13"/>
  <c r="G73" i="13" s="1"/>
  <c r="F72" i="13"/>
  <c r="G66" i="13"/>
  <c r="F66" i="13"/>
  <c r="G54" i="13"/>
  <c r="G53" i="13"/>
  <c r="F53" i="13"/>
  <c r="F54" i="13" s="1"/>
  <c r="G38" i="13"/>
  <c r="G37" i="13"/>
  <c r="F37" i="13"/>
  <c r="F38" i="13" s="1"/>
  <c r="G65" i="12"/>
  <c r="F64" i="12"/>
  <c r="G63" i="12"/>
  <c r="G64" i="12" s="1"/>
  <c r="F63" i="12"/>
  <c r="G60" i="12"/>
  <c r="F60" i="12"/>
  <c r="G55" i="12"/>
  <c r="G54" i="12"/>
  <c r="F54" i="12"/>
  <c r="G49" i="12"/>
  <c r="F49" i="12"/>
  <c r="G43" i="12"/>
  <c r="F43" i="12"/>
  <c r="F55" i="12" s="1"/>
  <c r="G33" i="12"/>
  <c r="G32" i="12"/>
  <c r="F32" i="12"/>
  <c r="F33" i="12" s="1"/>
  <c r="G35" i="11"/>
  <c r="F34" i="11"/>
  <c r="G33" i="11"/>
  <c r="G34" i="11" s="1"/>
  <c r="F33" i="11"/>
  <c r="G30" i="11"/>
  <c r="F30" i="11"/>
  <c r="G17" i="11"/>
  <c r="G16" i="11"/>
  <c r="F16" i="11"/>
  <c r="F17" i="11" s="1"/>
  <c r="F35" i="11" s="1"/>
  <c r="F19" i="10"/>
  <c r="G18" i="10"/>
  <c r="G19" i="10" s="1"/>
  <c r="G20" i="10" s="1"/>
  <c r="F18" i="10"/>
  <c r="G15" i="10"/>
  <c r="F15" i="10"/>
  <c r="F20" i="10" s="1"/>
  <c r="G23" i="9"/>
  <c r="F22" i="9"/>
  <c r="G21" i="9"/>
  <c r="G22" i="9" s="1"/>
  <c r="F21" i="9"/>
  <c r="G18" i="9"/>
  <c r="F18" i="9"/>
  <c r="G9" i="9"/>
  <c r="G8" i="9"/>
  <c r="F8" i="9"/>
  <c r="F9" i="9" s="1"/>
  <c r="F23" i="9" s="1"/>
  <c r="G117" i="8"/>
  <c r="G116" i="8"/>
  <c r="F116" i="8"/>
  <c r="F117" i="8" s="1"/>
  <c r="G113" i="8"/>
  <c r="F113" i="8"/>
  <c r="G97" i="8"/>
  <c r="G98" i="8"/>
  <c r="F97" i="8"/>
  <c r="F98" i="8" s="1"/>
  <c r="G56" i="8"/>
  <c r="G57" i="8"/>
  <c r="F56" i="8"/>
  <c r="F57" i="8" s="1"/>
  <c r="G65" i="7"/>
  <c r="G66" i="7" s="1"/>
  <c r="F65" i="7"/>
  <c r="F66" i="7" s="1"/>
  <c r="G61" i="7"/>
  <c r="G62" i="7" s="1"/>
  <c r="F61" i="7"/>
  <c r="F62" i="7" s="1"/>
  <c r="F67" i="7" s="1"/>
  <c r="G53" i="6"/>
  <c r="F53" i="6"/>
  <c r="G52" i="6"/>
  <c r="F52" i="6"/>
  <c r="G49" i="6"/>
  <c r="G54" i="6" s="1"/>
  <c r="F49" i="6"/>
  <c r="F54" i="6" s="1"/>
  <c r="G48" i="6"/>
  <c r="F48" i="6"/>
  <c r="G54" i="5"/>
  <c r="G55" i="5" s="1"/>
  <c r="F54" i="5"/>
  <c r="F55" i="5" s="1"/>
  <c r="G50" i="5"/>
  <c r="G51" i="5" s="1"/>
  <c r="G56" i="5" s="1"/>
  <c r="F50" i="5"/>
  <c r="F51" i="5" s="1"/>
  <c r="F56" i="5" s="1"/>
  <c r="G70" i="4"/>
  <c r="G71" i="4"/>
  <c r="F71" i="4"/>
  <c r="G63" i="4"/>
  <c r="G64" i="4" s="1"/>
  <c r="G72" i="4" s="1"/>
  <c r="F63" i="4"/>
  <c r="F64" i="4"/>
  <c r="F72" i="4" s="1"/>
  <c r="F62" i="3"/>
  <c r="G61" i="3"/>
  <c r="G62" i="3" s="1"/>
  <c r="F61" i="3"/>
  <c r="F58" i="3"/>
  <c r="F63" i="3" s="1"/>
  <c r="G57" i="3"/>
  <c r="G58" i="3" s="1"/>
  <c r="G63" i="3" s="1"/>
  <c r="F57" i="3"/>
  <c r="G66" i="2"/>
  <c r="G65" i="2"/>
  <c r="F65" i="2"/>
  <c r="F66" i="2" s="1"/>
  <c r="G62" i="2"/>
  <c r="G61" i="2"/>
  <c r="F61" i="2"/>
  <c r="F62" i="2" s="1"/>
  <c r="G43" i="1"/>
  <c r="F42" i="1"/>
  <c r="G41" i="1"/>
  <c r="G42" i="1" s="1"/>
  <c r="F41" i="1"/>
  <c r="F38" i="1"/>
  <c r="F43" i="1" s="1"/>
  <c r="G37" i="1"/>
  <c r="G38" i="1" s="1"/>
  <c r="F37" i="1"/>
  <c r="F67" i="2" l="1"/>
  <c r="F65" i="12"/>
  <c r="F74" i="13"/>
  <c r="G67" i="7"/>
  <c r="F118" i="8"/>
  <c r="G40" i="16"/>
  <c r="G67" i="2"/>
  <c r="G118" i="8"/>
  <c r="G74" i="13"/>
  <c r="G33" i="15"/>
  <c r="F32" i="16"/>
  <c r="F40" i="16" s="1"/>
</calcChain>
</file>

<file path=xl/sharedStrings.xml><?xml version="1.0" encoding="utf-8"?>
<sst xmlns="http://schemas.openxmlformats.org/spreadsheetml/2006/main" count="3040" uniqueCount="759">
  <si>
    <t>Name of the Instrument</t>
  </si>
  <si>
    <t>ISIN</t>
  </si>
  <si>
    <t>Quantity</t>
  </si>
  <si>
    <t>Market/Fair Value
 (Rs. in Lacs)</t>
  </si>
  <si>
    <t>% to Net
 Assets</t>
  </si>
  <si>
    <t>Industry / Rating</t>
  </si>
  <si>
    <t>Monthly Portfolio Statement as on August 31, 2020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</si>
  <si>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</si>
  <si>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</si>
  <si>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</si>
  <si>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</si>
  <si>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</si>
  <si>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</si>
  <si>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</si>
  <si>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</si>
  <si>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</si>
  <si>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</si>
  <si>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</si>
  <si>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</si>
  <si>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</si>
  <si>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</si>
  <si>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</si>
  <si>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</si>
  <si>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</si>
  <si>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</si>
  <si>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</si>
  <si>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</si>
  <si>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</si>
  <si>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</si>
  <si>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</si>
  <si>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</si>
  <si>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</si>
  <si>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</si>
  <si>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</si>
  <si>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</si>
  <si>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NTPC Ltd</t>
  </si>
  <si>
    <t>INE733E01010</t>
  </si>
  <si>
    <t>Power</t>
  </si>
  <si>
    <t>Reliance Industries Ltd</t>
  </si>
  <si>
    <t>INE002A01018</t>
  </si>
  <si>
    <t>Petroleum Products</t>
  </si>
  <si>
    <t>ICICI Bank Ltd</t>
  </si>
  <si>
    <t>INE090A01021</t>
  </si>
  <si>
    <t>Banks</t>
  </si>
  <si>
    <t>Power Grid Corporation of India Ltd</t>
  </si>
  <si>
    <t>INE752E01010</t>
  </si>
  <si>
    <t>Honeywell Automation India Ltd</t>
  </si>
  <si>
    <t>INE671A01010</t>
  </si>
  <si>
    <t>Industrial Capital Goods</t>
  </si>
  <si>
    <t>Ultratech Cement Ltd</t>
  </si>
  <si>
    <t>INE481G01011</t>
  </si>
  <si>
    <t>Cement</t>
  </si>
  <si>
    <t>TCI Express Ltd</t>
  </si>
  <si>
    <t>INE586V01016</t>
  </si>
  <si>
    <t>Transportation</t>
  </si>
  <si>
    <t>AIA Engineering Ltd</t>
  </si>
  <si>
    <t>INE212H01026</t>
  </si>
  <si>
    <t>Industrial Products</t>
  </si>
  <si>
    <t>Hindustan Petroleum Corporation Ltd</t>
  </si>
  <si>
    <t>INE094A01015</t>
  </si>
  <si>
    <t>Bharat Electronics Ltd</t>
  </si>
  <si>
    <t>INE263A01024</t>
  </si>
  <si>
    <t>The Ramco Cements Ltd</t>
  </si>
  <si>
    <t>INE331A01037</t>
  </si>
  <si>
    <t>Bharti Airtel Ltd</t>
  </si>
  <si>
    <t>INE397D01024</t>
  </si>
  <si>
    <t>Telecom - Services</t>
  </si>
  <si>
    <t>Siemens Ltd</t>
  </si>
  <si>
    <t>INE003A01024</t>
  </si>
  <si>
    <t>Indraprastha Gas Ltd</t>
  </si>
  <si>
    <t>INE203G01027</t>
  </si>
  <si>
    <t>Gas</t>
  </si>
  <si>
    <t>Gujarat Gas Ltd</t>
  </si>
  <si>
    <t>INE844O01030</t>
  </si>
  <si>
    <t>Transport Corporation of India Ltd</t>
  </si>
  <si>
    <t>INE688A01022</t>
  </si>
  <si>
    <t>KNR Constructions Ltd</t>
  </si>
  <si>
    <t>INE634I01029</t>
  </si>
  <si>
    <t>Construction</t>
  </si>
  <si>
    <t>Voltas Ltd</t>
  </si>
  <si>
    <t>INE226A01021</t>
  </si>
  <si>
    <t>Consumer Durables</t>
  </si>
  <si>
    <t>Shree Cement Ltd</t>
  </si>
  <si>
    <t>INE070A01015</t>
  </si>
  <si>
    <t>Petronet LNG Ltd</t>
  </si>
  <si>
    <t>INE347G01014</t>
  </si>
  <si>
    <t>Thermax Ltd</t>
  </si>
  <si>
    <t>INE152A01029</t>
  </si>
  <si>
    <t>Ahluwalia Contracts (India) Ltd</t>
  </si>
  <si>
    <t>INE758C01029</t>
  </si>
  <si>
    <t>Dixon Technologies (India) Ltd</t>
  </si>
  <si>
    <t>INE935N01012</t>
  </si>
  <si>
    <t>Ambuja Cements Ltd</t>
  </si>
  <si>
    <t>INE079A01024</t>
  </si>
  <si>
    <t>PNC Infratech Ltd</t>
  </si>
  <si>
    <t>INE195J01029</t>
  </si>
  <si>
    <t>Schaeffler India Ltd</t>
  </si>
  <si>
    <t>INE513A01014</t>
  </si>
  <si>
    <t>Gujarat State Petronet Ltd</t>
  </si>
  <si>
    <t>INE246F01010</t>
  </si>
  <si>
    <t>KSB Ltd</t>
  </si>
  <si>
    <t>INE999A01015</t>
  </si>
  <si>
    <t>ISGEC Heavy Engineering Ltd</t>
  </si>
  <si>
    <t>INE858B01029</t>
  </si>
  <si>
    <t>Sub Total</t>
  </si>
  <si>
    <t>Total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</si>
  <si>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</si>
  <si>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</si>
  <si>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</si>
  <si>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</si>
  <si>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</si>
  <si>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</si>
  <si>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</si>
  <si>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Tata Consultancy Services Ltd</t>
  </si>
  <si>
    <t>INE467B01029</t>
  </si>
  <si>
    <t>Hindustan Unilever Ltd</t>
  </si>
  <si>
    <t>INE030A01027</t>
  </si>
  <si>
    <t>Consumer Non Durables</t>
  </si>
  <si>
    <t>Bajaj Finance Ltd</t>
  </si>
  <si>
    <t>INE296A01024</t>
  </si>
  <si>
    <t>Finance</t>
  </si>
  <si>
    <t>Divi's Laboratories Ltd</t>
  </si>
  <si>
    <t>INE361B01024</t>
  </si>
  <si>
    <t>Pharmaceuticals</t>
  </si>
  <si>
    <t>Kotak Mahindra Bank Ltd</t>
  </si>
  <si>
    <t>INE237A01028</t>
  </si>
  <si>
    <t>Housing Development Finance Corporation Ltd</t>
  </si>
  <si>
    <t>INE001A01036</t>
  </si>
  <si>
    <t>Hero MotoCorp Ltd</t>
  </si>
  <si>
    <t>INE158A01026</t>
  </si>
  <si>
    <t>Auto</t>
  </si>
  <si>
    <t>Mahindra &amp; Mahindra Ltd</t>
  </si>
  <si>
    <t>INE101A01026</t>
  </si>
  <si>
    <t>Alkem Laboratories Ltd</t>
  </si>
  <si>
    <t>INE540L01014</t>
  </si>
  <si>
    <t>Atul Ltd</t>
  </si>
  <si>
    <t>INE100A01010</t>
  </si>
  <si>
    <t>Chemicals</t>
  </si>
  <si>
    <t>Abbott India Ltd</t>
  </si>
  <si>
    <t>INE358A01014</t>
  </si>
  <si>
    <t>Multi Commodity Exchange Of India Ltd</t>
  </si>
  <si>
    <t>INE745G01035</t>
  </si>
  <si>
    <t>Maruti Suzuki India Ltd</t>
  </si>
  <si>
    <t>INE585B01010</t>
  </si>
  <si>
    <t>Britannia Industries Ltd</t>
  </si>
  <si>
    <t>INE216A01030</t>
  </si>
  <si>
    <t>PI Industries Ltd</t>
  </si>
  <si>
    <t>INE603J01030</t>
  </si>
  <si>
    <t>Pesticides</t>
  </si>
  <si>
    <t>IPCA Laboratories Ltd</t>
  </si>
  <si>
    <t>INE571A01020</t>
  </si>
  <si>
    <t>Balkrishna Industries Ltd</t>
  </si>
  <si>
    <t>INE787D01026</t>
  </si>
  <si>
    <t>Auto Ancillaries</t>
  </si>
  <si>
    <t>Titan Co Ltd</t>
  </si>
  <si>
    <t>INE280A01028</t>
  </si>
  <si>
    <t>Asian Paints Ltd</t>
  </si>
  <si>
    <t>INE021A01026</t>
  </si>
  <si>
    <t>Axis Bank Ltd</t>
  </si>
  <si>
    <t>INE238A01034</t>
  </si>
  <si>
    <t>Nestle India Ltd</t>
  </si>
  <si>
    <t>INE239A01016</t>
  </si>
  <si>
    <t>HDFC Asset Management Company Ltd</t>
  </si>
  <si>
    <t>INE127D01025</t>
  </si>
  <si>
    <t>Bata India Ltd</t>
  </si>
  <si>
    <t>INE176A01028</t>
  </si>
  <si>
    <t>ICICI Lombard General Insurance Co Ltd</t>
  </si>
  <si>
    <t>INE765G01017</t>
  </si>
  <si>
    <t>ITC Ltd</t>
  </si>
  <si>
    <t>INE154A01025</t>
  </si>
  <si>
    <t>SBI Cards and Payment Services Ltd</t>
  </si>
  <si>
    <t>INE018E01016</t>
  </si>
  <si>
    <t>Whirlpool Of India Ltd</t>
  </si>
  <si>
    <t>INE716A01013</t>
  </si>
  <si>
    <t>Dr. Lal Path Labs Ltd</t>
  </si>
  <si>
    <t>INE600L01024</t>
  </si>
  <si>
    <t>Healthcare Services</t>
  </si>
  <si>
    <t>Cipla Ltd</t>
  </si>
  <si>
    <t>INE059A01026</t>
  </si>
  <si>
    <t>Minda Industries Ltd</t>
  </si>
  <si>
    <t>INE405E01023</t>
  </si>
  <si>
    <t>Navin Fluorine International Ltd</t>
  </si>
  <si>
    <t>INE048G01026</t>
  </si>
  <si>
    <t>Cholamandalam Investment and Finance Co Ltd</t>
  </si>
  <si>
    <t>INE121A01024</t>
  </si>
  <si>
    <t>Avenue Supermarts Ltd</t>
  </si>
  <si>
    <t>INE192R01011</t>
  </si>
  <si>
    <t>Retailing</t>
  </si>
  <si>
    <t>Escorts Ltd</t>
  </si>
  <si>
    <t>INE042A01014</t>
  </si>
  <si>
    <t>Larsen &amp; Toubro Infotech Ltd</t>
  </si>
  <si>
    <t>INE214T01019</t>
  </si>
  <si>
    <t>Sun Pharmaceutical Industries Ltd</t>
  </si>
  <si>
    <t>INE044A01036</t>
  </si>
  <si>
    <t>Jubilant Foodworks Ltd</t>
  </si>
  <si>
    <t>INE797F01012</t>
  </si>
  <si>
    <t>HDFC Life Insurance Co Ltd</t>
  </si>
  <si>
    <t>INE795G01014</t>
  </si>
  <si>
    <t>Ashok Leyland Ltd</t>
  </si>
  <si>
    <t>INE208A01029</t>
  </si>
  <si>
    <t>Amber Enterprises India Ltd</t>
  </si>
  <si>
    <t>INE371P01015</t>
  </si>
  <si>
    <t>Coromandel International Ltd</t>
  </si>
  <si>
    <t>INE169A01031</t>
  </si>
  <si>
    <t>Fertilisers</t>
  </si>
  <si>
    <t>Aarti Industries Ltd</t>
  </si>
  <si>
    <t>INE769A01020</t>
  </si>
  <si>
    <t>MRF Ltd</t>
  </si>
  <si>
    <t>INE883A01011</t>
  </si>
  <si>
    <t>SBI Life Insurance Co Ltd</t>
  </si>
  <si>
    <t>INE123W01016</t>
  </si>
  <si>
    <t>MindTree Ltd</t>
  </si>
  <si>
    <t>INE018I01017</t>
  </si>
  <si>
    <t>Page Industries Ltd</t>
  </si>
  <si>
    <t>INE761H01022</t>
  </si>
  <si>
    <t>Textile Products</t>
  </si>
  <si>
    <t>Mphasis Ltd</t>
  </si>
  <si>
    <t>INE356A01018</t>
  </si>
  <si>
    <t>Persistent Systems Ltd</t>
  </si>
  <si>
    <t>INE262H01013</t>
  </si>
  <si>
    <t>AU Small Finance Bank Ltd</t>
  </si>
  <si>
    <t>INE949L01017</t>
  </si>
  <si>
    <t>Aarti Surfactants Ltd</t>
  </si>
  <si>
    <t>INE09EO01013</t>
  </si>
  <si>
    <t>Mahindra &amp; Mahindra Financial Services Ltd</t>
  </si>
  <si>
    <t>INE774D01024</t>
  </si>
  <si>
    <t>Tata Consumer Products Ltd</t>
  </si>
  <si>
    <t>INE192A01025</t>
  </si>
  <si>
    <t>Kansai Nerolac Paints Ltd</t>
  </si>
  <si>
    <t>INE531A01024</t>
  </si>
  <si>
    <t>Aditya Birla Fashion and Retail Ltd</t>
  </si>
  <si>
    <t>INE647O01011</t>
  </si>
  <si>
    <t>Bharat Forge Ltd</t>
  </si>
  <si>
    <t>INE465A01025</t>
  </si>
  <si>
    <t>City Union Bank Ltd</t>
  </si>
  <si>
    <t>INE491A01021</t>
  </si>
  <si>
    <t>Syngene International Ltd</t>
  </si>
  <si>
    <t>INE398R01022</t>
  </si>
  <si>
    <t>Indian Railway Catering And Tourism Corp Ltd</t>
  </si>
  <si>
    <t>INE335Y01012</t>
  </si>
  <si>
    <t>Services</t>
  </si>
  <si>
    <t>Century Textile &amp; Industries Ltd</t>
  </si>
  <si>
    <t>INE055A01016</t>
  </si>
  <si>
    <t>Paper</t>
  </si>
  <si>
    <t>IN9647O01019</t>
  </si>
  <si>
    <t>Gulf Oil Lubricants India Ltd</t>
  </si>
  <si>
    <t>INE635Q01029</t>
  </si>
  <si>
    <t>Godrej Consumer Products Ltd</t>
  </si>
  <si>
    <t>INE102D01028</t>
  </si>
  <si>
    <t>Orient Electric Ltd</t>
  </si>
  <si>
    <t>INE142Z01019</t>
  </si>
  <si>
    <t>Berger Paints India Ltd</t>
  </si>
  <si>
    <t>INE463A01038</t>
  </si>
  <si>
    <t>HCL Technologies Ltd</t>
  </si>
  <si>
    <t>INE860A01027</t>
  </si>
  <si>
    <t>Dr. Reddy's Laboratories Ltd</t>
  </si>
  <si>
    <t>INE089A01023</t>
  </si>
  <si>
    <t>Essel Propack Ltd</t>
  </si>
  <si>
    <t>INE255A01020</t>
  </si>
  <si>
    <t>Central Depository Services (India) Ltd</t>
  </si>
  <si>
    <t>INE736A01011</t>
  </si>
  <si>
    <t>Deepak Nitrite Ltd</t>
  </si>
  <si>
    <t>INE288B01029</t>
  </si>
  <si>
    <t>Indian Energy Exchange Ltd</t>
  </si>
  <si>
    <t>INE022Q01020</t>
  </si>
  <si>
    <t>Creditaccess Grameen Ltd</t>
  </si>
  <si>
    <t>INE741K01010</t>
  </si>
  <si>
    <t>Hikal Ltd</t>
  </si>
  <si>
    <t>INE475B01022</t>
  </si>
  <si>
    <t>Galaxy Surfactants Ltd</t>
  </si>
  <si>
    <t>INE600K01018</t>
  </si>
  <si>
    <t>National Aluminium Co Ltd</t>
  </si>
  <si>
    <t>INE139A01034</t>
  </si>
  <si>
    <t>Non - Ferrous Metals</t>
  </si>
  <si>
    <t>Metropolis Healthcare Ltd</t>
  </si>
  <si>
    <t>INE112L01020</t>
  </si>
  <si>
    <t>V-Mart Retail Ltd</t>
  </si>
  <si>
    <t>INE665J01013</t>
  </si>
  <si>
    <t>Timken India Ltd</t>
  </si>
  <si>
    <t>INE325A01013</t>
  </si>
  <si>
    <t>EID Parry India Ltd</t>
  </si>
  <si>
    <t>INE126A01031</t>
  </si>
  <si>
    <t>Subros Ltd</t>
  </si>
  <si>
    <t>INE287B01021</t>
  </si>
  <si>
    <t>Finolex Industries Ltd</t>
  </si>
  <si>
    <t>INE183A01016</t>
  </si>
  <si>
    <t>Can Fin Homes Ltd</t>
  </si>
  <si>
    <t>INE477A01020</t>
  </si>
  <si>
    <t>HeidelbergCement India Ltd</t>
  </si>
  <si>
    <t>INE578A01017</t>
  </si>
  <si>
    <t>Teamlease Services Ltd</t>
  </si>
  <si>
    <t>INE985S01024</t>
  </si>
  <si>
    <t>Commercial Services</t>
  </si>
  <si>
    <t>Fine Organic Industries Ltd</t>
  </si>
  <si>
    <t>INE686Y01026</t>
  </si>
  <si>
    <t>J.B. Chemicals &amp; Pharmaceuticals Ltd</t>
  </si>
  <si>
    <t>INE572A01028</t>
  </si>
  <si>
    <t>TTK Prestige Ltd</t>
  </si>
  <si>
    <t>INE690A01010</t>
  </si>
  <si>
    <t>The Great Eastern Shipping Co Ltd</t>
  </si>
  <si>
    <t>INE017A01032</t>
  </si>
  <si>
    <t>Dhanuka Agritech Ltd</t>
  </si>
  <si>
    <t>INE435G01025</t>
  </si>
  <si>
    <t>Laurus Labs Ltd</t>
  </si>
  <si>
    <t>INE947Q01010</t>
  </si>
  <si>
    <t>Natco Pharma Ltd</t>
  </si>
  <si>
    <t>INE987B01026</t>
  </si>
  <si>
    <t>K.P.R. Mill Ltd</t>
  </si>
  <si>
    <t>INE930H01023</t>
  </si>
  <si>
    <t>Avanti Feeds Ltd</t>
  </si>
  <si>
    <t>INE871C01038</t>
  </si>
  <si>
    <t>Vinati Organics Ltd</t>
  </si>
  <si>
    <t>INE410B01037</t>
  </si>
  <si>
    <t>Sobha Ltd</t>
  </si>
  <si>
    <t>INE671H01015</t>
  </si>
  <si>
    <t>Cholamandalam Financial Holdings Ltd</t>
  </si>
  <si>
    <t>INE149A01033</t>
  </si>
  <si>
    <t>Cera Sanitaryware Ltd</t>
  </si>
  <si>
    <t>INE739E01017</t>
  </si>
  <si>
    <t>Hindustan Zinc Ltd</t>
  </si>
  <si>
    <t>INE267A01025</t>
  </si>
  <si>
    <t>Greenply Industries Ltd</t>
  </si>
  <si>
    <t>INE461C01038</t>
  </si>
  <si>
    <t>Blue Star Ltd</t>
  </si>
  <si>
    <t>INE472A01039</t>
  </si>
  <si>
    <t>Suven Pharmaceuticals Ltd</t>
  </si>
  <si>
    <t>INE03QK01018</t>
  </si>
  <si>
    <t>Greenlam Industries Ltd</t>
  </si>
  <si>
    <t>INE544R01013</t>
  </si>
  <si>
    <t>Polycab India Ltd</t>
  </si>
  <si>
    <t>INE455K01017</t>
  </si>
  <si>
    <t>Debt Instruments</t>
  </si>
  <si>
    <t>7.07% Reliance Industries Ltd (24/12/2020) **</t>
  </si>
  <si>
    <t>INE002A08526</t>
  </si>
  <si>
    <t>CRISIL AAA</t>
  </si>
  <si>
    <t>7.40% Power Finance Corporation Ltd (30/09/2021) **</t>
  </si>
  <si>
    <t>INE134E08IM4</t>
  </si>
  <si>
    <t>8.65% Reliance Industries Ltd (11/12/2028) **</t>
  </si>
  <si>
    <t>INE002A08567</t>
  </si>
  <si>
    <t>6.99% REC Ltd (31/12/2020) **</t>
  </si>
  <si>
    <t>INE020B08AN6</t>
  </si>
  <si>
    <t>7.20% Housing Development Finance Corporation Ltd (01/09/2020) **</t>
  </si>
  <si>
    <t>INE001A07QY3</t>
  </si>
  <si>
    <t>7.87% Housing Development Finance Corporation Ltd (18/07/2022) **</t>
  </si>
  <si>
    <t>INE001A07RW5</t>
  </si>
  <si>
    <t>7.17% Reliance Industries Ltd (08/11/2022) **</t>
  </si>
  <si>
    <t>INE002A08500</t>
  </si>
  <si>
    <t>7.22% LIC Housing Finance Ltd (19/11/2021) **</t>
  </si>
  <si>
    <t>INE115A07OP4</t>
  </si>
  <si>
    <t>CARE AAA</t>
  </si>
  <si>
    <t>7.15% Housing Development Finance Corporation Ltd (16/09/2021)</t>
  </si>
  <si>
    <t>INE001A07RY1</t>
  </si>
  <si>
    <t>8.80% REC Ltd (29/11/2020) **</t>
  </si>
  <si>
    <t>INE020B08468</t>
  </si>
  <si>
    <t>7.99% Housing Development Finance Corporation Ltd (11/07/2024) **</t>
  </si>
  <si>
    <t>INE001A07RV7</t>
  </si>
  <si>
    <t>8.35% Indian Railway Finance Corporation Ltd (13/03/2029)</t>
  </si>
  <si>
    <t>INE053F07BC1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</si>
  <si>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</si>
  <si>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</si>
  <si>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</si>
  <si>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</si>
  <si>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7.75% LIC Housing Finance Ltd (23/07/2024) **</t>
  </si>
  <si>
    <t>INE115A07OL3</t>
  </si>
  <si>
    <t>7.45% REC Ltd (30/11/2022) **</t>
  </si>
  <si>
    <t>INE020B08AP1</t>
  </si>
  <si>
    <t>7.00% Reliance Industries Ltd (31/08/2022) **</t>
  </si>
  <si>
    <t>INE002A08476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</si>
  <si>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</si>
  <si>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</si>
  <si>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</si>
  <si>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</si>
  <si>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</si>
  <si>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</si>
  <si>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</si>
  <si>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</si>
  <si>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</si>
  <si>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8.80% LIC Housing Finance Ltd (25/01/2029) **</t>
  </si>
  <si>
    <t>INE115A07NU6</t>
  </si>
  <si>
    <t>8.33% LIC Housing Finance Ltd (31/05/2024) **</t>
  </si>
  <si>
    <t>INE115A07OE8</t>
  </si>
  <si>
    <t>7.79% LIC Housing Finance Ltd (18/10/2024) **</t>
  </si>
  <si>
    <t>INE115A07OM1</t>
  </si>
  <si>
    <t>7.09% REC Ltd (13/12/2022)</t>
  </si>
  <si>
    <t>INE020B08CD3</t>
  </si>
  <si>
    <t>IND AAA</t>
  </si>
  <si>
    <t>8.70% Reliance Industries Ltd (15/06/2021) **</t>
  </si>
  <si>
    <t>INE110L07112</t>
  </si>
  <si>
    <t>6.27% Small Industries Development Bank Of India (27/02/2023) **</t>
  </si>
  <si>
    <t>INE556F08JP6</t>
  </si>
  <si>
    <t>6.98% National Bank For Agriculture &amp; Rural Development (30/09/2020)</t>
  </si>
  <si>
    <t>INE261F08907</t>
  </si>
  <si>
    <t>7.70% REC Ltd (15/03/2021) **</t>
  </si>
  <si>
    <t>INE020B08AS5</t>
  </si>
  <si>
    <t>7.47% Power Finance Corporation Ltd (16/09/2021) **</t>
  </si>
  <si>
    <t>INE134E08IJ0</t>
  </si>
  <si>
    <t>8.30% Reliance Industries Ltd (08/03/2022) **</t>
  </si>
  <si>
    <t>INE002A08575</t>
  </si>
  <si>
    <t>8.30% NTPC Ltd (15/01/2029)</t>
  </si>
  <si>
    <t>INE733E07KJ7</t>
  </si>
  <si>
    <t>8.13% Power Grid Corporation of India Ltd (25/04/2024) **</t>
  </si>
  <si>
    <t>INE752E07NQ6</t>
  </si>
  <si>
    <t>7.32% NTPC Ltd (17/07/2029)</t>
  </si>
  <si>
    <t>INE733E07KL3</t>
  </si>
  <si>
    <t>7.85% Power Finance Corporation Ltd (03/04/2028) **</t>
  </si>
  <si>
    <t>INE134E08JP5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</si>
  <si>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</si>
  <si>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</si>
  <si>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</si>
  <si>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</si>
  <si>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Government Bonds</t>
  </si>
  <si>
    <t>7.68% GOI (15/12/2023)</t>
  </si>
  <si>
    <t>IN0020150010</t>
  </si>
  <si>
    <t>Sovereign</t>
  </si>
  <si>
    <t>7.26% GOI (14/01/2029)</t>
  </si>
  <si>
    <t>IN0020180454</t>
  </si>
  <si>
    <t>5.79% GOI (11/05/2030)</t>
  </si>
  <si>
    <t>IN0020200070</t>
  </si>
  <si>
    <t>6.79% GOI (15/05/2027)</t>
  </si>
  <si>
    <t>IN0020170026</t>
  </si>
  <si>
    <t>6.19% GOI (16/09/2034)</t>
  </si>
  <si>
    <t>IN0020200096</t>
  </si>
  <si>
    <t>7.16% GOI (20/09/2050)</t>
  </si>
  <si>
    <t>IN0020200054</t>
  </si>
  <si>
    <t>8.24% GOI (15/02/2027)</t>
  </si>
  <si>
    <t>IN0020060078</t>
  </si>
  <si>
    <t>8.15% GOI (24/11/2026)</t>
  </si>
  <si>
    <t>IN0020140060</t>
  </si>
  <si>
    <t>7.32% GOI (28/01/2024)</t>
  </si>
  <si>
    <t>IN0020180488</t>
  </si>
  <si>
    <t>7.37% GOI (16/04/2023)</t>
  </si>
  <si>
    <t>IN0020180025</t>
  </si>
  <si>
    <t>6.18% GOI (04/11/2024)</t>
  </si>
  <si>
    <t>IN0020190396</t>
  </si>
  <si>
    <t>6.45% GOI (07/10/2029)</t>
  </si>
  <si>
    <t>IN0020190362</t>
  </si>
  <si>
    <t>7.42% Maharashtra SDL 11-May-22</t>
  </si>
  <si>
    <t>IN2220170012</t>
  </si>
  <si>
    <t>8.81% Small Industries Development Bank Of India (25/01/2022) **</t>
  </si>
  <si>
    <t>INE556F08JI1</t>
  </si>
  <si>
    <t>7.17% GOI (08/01/2028)</t>
  </si>
  <si>
    <t>IN0020170174</t>
  </si>
  <si>
    <t>5.77% GOI (03/08/2030)</t>
  </si>
  <si>
    <t>IN0020200153</t>
  </si>
  <si>
    <t>7.57% GOI (17/06/2033)</t>
  </si>
  <si>
    <t>IN0020190065</t>
  </si>
  <si>
    <t>6.68% GOI (17/09/2031)</t>
  </si>
  <si>
    <t>IN0020170042</t>
  </si>
  <si>
    <t>8.30% Gujarat SDL 13-Mar-29</t>
  </si>
  <si>
    <t>IN1520180325</t>
  </si>
  <si>
    <t>8.13% GOI (22/06/2045)</t>
  </si>
  <si>
    <t>IN0020150044</t>
  </si>
  <si>
    <t>7.43% National Bank For Agriculture &amp; Rural Development (31/01/2030)</t>
  </si>
  <si>
    <t>INE261F08BX4</t>
  </si>
  <si>
    <t>7.50% Housing Development Finance Corporation Ltd (08/01/2025)</t>
  </si>
  <si>
    <t>INE001A07SE1</t>
  </si>
  <si>
    <t>7.10% Power Finance Corporation Ltd (08/08/2022) **</t>
  </si>
  <si>
    <t>INE134E08JD1</t>
  </si>
  <si>
    <t>8.39% National Bank For Agriculture &amp; Rural Development (19/07/2021) **</t>
  </si>
  <si>
    <t>INE261F08AL1</t>
  </si>
  <si>
    <t>7.27% GOI (08/04/2026)</t>
  </si>
  <si>
    <t>IN0020190016</t>
  </si>
  <si>
    <t>8.47% Maharashtra SDL 10-Feb-26</t>
  </si>
  <si>
    <t>IN2220150188</t>
  </si>
  <si>
    <t>8.2534% LIC Housing Finance Ltd (17/09/2021) **</t>
  </si>
  <si>
    <t>INE115A07OA6</t>
  </si>
  <si>
    <t>8.48% Mahindra &amp; Mahindra Financial Services Ltd (30/10/2020) **</t>
  </si>
  <si>
    <t>INE774D07NT6</t>
  </si>
  <si>
    <t>7.35% Power Finance Corporation Ltd (15/10/2022) **</t>
  </si>
  <si>
    <t>INE134E08KG2</t>
  </si>
  <si>
    <t>0.00% Kotak Mahindra Prime Ltd (23/12/2020) **</t>
  </si>
  <si>
    <t>INE916DA7PH7</t>
  </si>
  <si>
    <t>7.85% National Bank For Agriculture &amp; Rural Development (23/05/2022) **</t>
  </si>
  <si>
    <t>INE261F08BJ3</t>
  </si>
  <si>
    <t>8.18% Power Finance Corporation Ltd (19/03/2022) **</t>
  </si>
  <si>
    <t>INE134E08JW1</t>
  </si>
  <si>
    <t>6.40% National Bank For Agriculture &amp; Rural Development (31/07/2023)</t>
  </si>
  <si>
    <t>INE261F08CA0</t>
  </si>
  <si>
    <t>8.32% Reliance Industries Ltd (08/07/2021) **</t>
  </si>
  <si>
    <t>INE110L07070</t>
  </si>
  <si>
    <t>7.00% Housing Development Finance Corporation Ltd (19/05/2022) **</t>
  </si>
  <si>
    <t>INE001A07SM4</t>
  </si>
  <si>
    <t>6.32% REC Ltd (31/12/2021) **</t>
  </si>
  <si>
    <t>INE020B08CL6</t>
  </si>
  <si>
    <t>6.99% Small Industries Development Bank Of India (08/08/2022) **</t>
  </si>
  <si>
    <t>INE556F08JN1</t>
  </si>
  <si>
    <t>7.55% REC Ltd (25/09/2020) **</t>
  </si>
  <si>
    <t>INE020B08BZ8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</si>
  <si>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</si>
  <si>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</si>
  <si>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</si>
  <si>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</si>
  <si>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</si>
  <si>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</si>
  <si>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8.36% Power Finance Corporation Ltd (04/09/2020) **</t>
  </si>
  <si>
    <t>INE134E08HV7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</si>
  <si>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</si>
  <si>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</si>
  <si>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</si>
  <si>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</si>
  <si>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</si>
  <si>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</si>
  <si>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7.43% HDB Financial Services Ltd (28/09/2020) **</t>
  </si>
  <si>
    <t>INE756I07BM2</t>
  </si>
  <si>
    <t>Money Market Instruments</t>
  </si>
  <si>
    <t>Certificate of Deposit</t>
  </si>
  <si>
    <t>Kotak Mahindra Bank Ltd (22/12/2020) ** #</t>
  </si>
  <si>
    <t>INE237A169K9</t>
  </si>
  <si>
    <t>CRISIL A1+</t>
  </si>
  <si>
    <t>Axis Bank Ltd (23/09/2020) ** #</t>
  </si>
  <si>
    <t>INE238A169T9</t>
  </si>
  <si>
    <t>Andhra Bank (12/11/2020) ** #</t>
  </si>
  <si>
    <t>INE434A16QR1</t>
  </si>
  <si>
    <t>CARE A1+</t>
  </si>
  <si>
    <t>Axis Bank Ltd (12/11/2020) ** #</t>
  </si>
  <si>
    <t>INE238A166R9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</si>
  <si>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</si>
  <si>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</si>
  <si>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</si>
  <si>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</si>
  <si>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</si>
  <si>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(12/02/2021) ** #</t>
  </si>
  <si>
    <t>INE238A161U4</t>
  </si>
  <si>
    <t>Commercial Paper</t>
  </si>
  <si>
    <t>Chennai Petroleum Corporation Ltd (30/09/2020) ** #</t>
  </si>
  <si>
    <t>INE178A14FS0</t>
  </si>
  <si>
    <t>ICRA A1+</t>
  </si>
  <si>
    <t>Indian Oil Corporation Ltd (19/10/2020) ** #</t>
  </si>
  <si>
    <t>INE242A14RP5</t>
  </si>
  <si>
    <t>Housing Development Finance Corporation Ltd (10/03/2021) ** #</t>
  </si>
  <si>
    <t>INE001A14WM2</t>
  </si>
  <si>
    <t>Reliance Industries Ltd (02/03/2021) #</t>
  </si>
  <si>
    <t>INE002A14EM8</t>
  </si>
  <si>
    <t>Treasury Bill</t>
  </si>
  <si>
    <t>182 DAYS INDIA TREASURY BILLS 19-NOV-20</t>
  </si>
  <si>
    <t>IN002020Y074</t>
  </si>
  <si>
    <t xml:space="preserve"> Sovereign</t>
  </si>
  <si>
    <t>182 DAYS INDIA TREASURY BILLS 18-FEB-21</t>
  </si>
  <si>
    <t>IN002020Y207</t>
  </si>
  <si>
    <t>364 DAYS INDIA TREASURY BILLS 25-MAR-21</t>
  </si>
  <si>
    <t>IN002019Z537</t>
  </si>
  <si>
    <t>8.12% GOI (10/12/2020)</t>
  </si>
  <si>
    <t>IN0020120054</t>
  </si>
  <si>
    <t>#  Unlisted Security</t>
  </si>
  <si>
    <t>7.60% Aditya Birla Finance Ltd (16/09/2020) **</t>
  </si>
  <si>
    <t>INE860H07FI3</t>
  </si>
  <si>
    <t>8.95% Reliance Industries Ltd (09/11/2028) **</t>
  </si>
  <si>
    <t>INE002A08542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</si>
  <si>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</si>
  <si>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</si>
  <si>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</si>
  <si>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</si>
  <si>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</si>
  <si>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</si>
  <si>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ICICI Bank Ltd (14/09/2020) ** #</t>
  </si>
  <si>
    <t>INE090A166V8</t>
  </si>
  <si>
    <t>Axis Bank Ltd (18/09/2020) #</t>
  </si>
  <si>
    <t>INE238A163R6</t>
  </si>
  <si>
    <t>Indian Oil Corporation Ltd (08/09/2020) ** #</t>
  </si>
  <si>
    <t>INE242A14RF6</t>
  </si>
  <si>
    <t>NTPC Ltd (09/09/2020) #</t>
  </si>
  <si>
    <t>INE733E14823</t>
  </si>
  <si>
    <t>Reliance Jio Infocomm Ltd (09/09/2020) ** #</t>
  </si>
  <si>
    <t>INE110L14OQ6</t>
  </si>
  <si>
    <t>Reliance Industries Ltd (14/09/2020) ** #</t>
  </si>
  <si>
    <t>INE002A14FN3</t>
  </si>
  <si>
    <t>Reliance Industries Ltd (09/09/2020) ** #</t>
  </si>
  <si>
    <t>INE002A14FK9</t>
  </si>
  <si>
    <t>182 DAYS INDIA TREASURY BILLS 17-SEP-20</t>
  </si>
  <si>
    <t>IN002019Y522</t>
  </si>
  <si>
    <t>182 DAYS INDIA TREASURY BILLS 15-OCT-20</t>
  </si>
  <si>
    <t>IN002020Y025</t>
  </si>
  <si>
    <t>182 DAYS INDIA TREASURY BILLS 24-SEP-20</t>
  </si>
  <si>
    <t>IN002019Y530</t>
  </si>
  <si>
    <t>91 DAYS INDIA TREASURY BILLS 17-SEP-20</t>
  </si>
  <si>
    <t>IN002020X134</t>
  </si>
  <si>
    <t>91 DAYS INDIA TREASURY BILLS 08-OCT-20</t>
  </si>
  <si>
    <t>IN002020X167</t>
  </si>
  <si>
    <t>91 DAYS INDIA TREASURY BILLS 15-OCT-20</t>
  </si>
  <si>
    <t>IN002020X175</t>
  </si>
  <si>
    <t>91 DAYS INDIA TREASURY BILLS 03-SEP-20</t>
  </si>
  <si>
    <t>IN002020X118</t>
  </si>
  <si>
    <t>91 DAYS INDIA TREASURY BILLS 01-OCT-20</t>
  </si>
  <si>
    <t>IN002020X159</t>
  </si>
  <si>
    <t>182 DAYS INDIA TREASURY BILLS 29-SEP-20</t>
  </si>
  <si>
    <t>IN002019Y548</t>
  </si>
  <si>
    <t>8.18% NTPC Ltd (31/12/2020) **</t>
  </si>
  <si>
    <t>INE733E07JY8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</si>
  <si>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</si>
  <si>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</si>
  <si>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</si>
  <si>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</si>
  <si>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8.70% Reliance Industries Ltd (16/07/2021) **</t>
  </si>
  <si>
    <t>INE110L07120</t>
  </si>
  <si>
    <t>7.30% Kotak Mahindra Prime Ltd (14/10/2020) **</t>
  </si>
  <si>
    <t>INE916DA7OZ2</t>
  </si>
  <si>
    <t>9.4041% L&amp;T Housing Finance Ltd (11/10/2021) **</t>
  </si>
  <si>
    <t>INE476M07BQ0</t>
  </si>
  <si>
    <t>91 DAYS INDIA TREASURY BILLS 22-OCT-20</t>
  </si>
  <si>
    <t>IN002020X183</t>
  </si>
  <si>
    <t>182 DAYS INDIA TREASURY BILLS 12-NOV-20</t>
  </si>
  <si>
    <t>IN002020Y066</t>
  </si>
  <si>
    <t>6.17% GOI (15/07/2021)</t>
  </si>
  <si>
    <t>IN0020190099</t>
  </si>
  <si>
    <t>7.20% Housing Development Finance Corporation Ltd (13/04/2023) **</t>
  </si>
  <si>
    <t>INE001A07SJ0</t>
  </si>
  <si>
    <t>7.42% Power Finance Corporation Ltd (19/11/2024) **</t>
  </si>
  <si>
    <t>INE134E08KH0</t>
  </si>
  <si>
    <t>8.58% Housing Development Finance Corporation Ltd (18/03/2022) **</t>
  </si>
  <si>
    <t>INE001A07RS3</t>
  </si>
  <si>
    <t>7.16% Power Finance Corporation Ltd (24/04/2025) **</t>
  </si>
  <si>
    <t>INE134E08KP3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</si>
  <si>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</si>
  <si>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</si>
  <si>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</si>
  <si>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</si>
  <si>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</si>
  <si>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</si>
  <si>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7.35% Housing Development Finance Corporation Ltd (10/02/2025) **</t>
  </si>
  <si>
    <t>INE001A07SG6</t>
  </si>
  <si>
    <t>7.85% LIC Housing Finance Ltd (23/09/2022) **</t>
  </si>
  <si>
    <t>INE115A07OG3</t>
  </si>
  <si>
    <t>7.24% REC Ltd (31/12/2022) **</t>
  </si>
  <si>
    <t>INE020B08CG6</t>
  </si>
  <si>
    <t>6.59% Indian Railway Finance Corporation Ltd (14/04/2023) **</t>
  </si>
  <si>
    <t>INE053F07BZ2</t>
  </si>
  <si>
    <t>6.93% UltraTech Cement Ltd (25/11/2021) **</t>
  </si>
  <si>
    <t>INE481G08032</t>
  </si>
  <si>
    <t>7.5438%Kotak Mahindra Prime Ltd (08/01/2021) **</t>
  </si>
  <si>
    <t>INE916DA7PE4</t>
  </si>
  <si>
    <t>8.40% Power Grid Corporation of India Ltd (14/09/2021) **</t>
  </si>
  <si>
    <t>INE752E07MZ9</t>
  </si>
  <si>
    <t>8.40% Power Grid Corporation of India Ltd (27/05/2027)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</si>
  <si>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</si>
  <si>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</si>
  <si>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</si>
  <si>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</si>
  <si>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</si>
  <si>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7.55% Indian Railway Finance Corporation Ltd (12/04/2030) **</t>
  </si>
  <si>
    <t>INE053F07BY5</t>
  </si>
  <si>
    <t>8.50% LIC Housing Finance Ltd (20/06/2022) **</t>
  </si>
  <si>
    <t>INE115A07OD0</t>
  </si>
  <si>
    <t>7.48% Indian Railway Finance Corporation Ltd (13/08/2029) **</t>
  </si>
  <si>
    <t>INE053F07BU3</t>
  </si>
  <si>
    <t>8.25% Mahindra &amp; Mahindra Financial Services Ltd (19/04/2022) **</t>
  </si>
  <si>
    <t>INE774D07SC1</t>
  </si>
  <si>
    <t>8.10% NTPC Ltd (27/05/2021) **</t>
  </si>
  <si>
    <t>INE733E07KB4</t>
  </si>
  <si>
    <t>6.72% NTPC Ltd (24/11/2021) **</t>
  </si>
  <si>
    <t>INE733E07KH1</t>
  </si>
  <si>
    <t>7.65% LIC Housing Finance Ltd (17/11/2020)</t>
  </si>
  <si>
    <t>INE115A07LF1</t>
  </si>
  <si>
    <t>8.85% Power Grid Corporation of India Ltd (19/10/2020) **</t>
  </si>
  <si>
    <t>INE752E07KF5</t>
  </si>
  <si>
    <t>8.80% Power Grid Corporation of India Ltd (29/09/2020) **</t>
  </si>
  <si>
    <t>INE752E07FZ3</t>
  </si>
  <si>
    <t>7.67% LIC Housing Finance Ltd (29/07/2021) **</t>
  </si>
  <si>
    <t>INE115A07LX4</t>
  </si>
  <si>
    <t>364 DAYS INDIA TREASURY BILLS 05-AUG-21</t>
  </si>
  <si>
    <t>IN002020Z188</t>
  </si>
  <si>
    <t>8.62% MAHARASHTRA SDL 06-MAR-23</t>
  </si>
  <si>
    <t>IN2220120116</t>
  </si>
  <si>
    <t>6.84% GOI (19/12/2022)</t>
  </si>
  <si>
    <t>IN0020160050</t>
  </si>
  <si>
    <t>8.27% Rajasthan SDL 23-Jun-22</t>
  </si>
  <si>
    <t>IN2920160081</t>
  </si>
  <si>
    <t>8.21% Haryana SDL Uday 31-Mar-22</t>
  </si>
  <si>
    <t>IN1620150145</t>
  </si>
  <si>
    <t>8.21% Rajasthan Uday 31-Mar-21</t>
  </si>
  <si>
    <t>IN2920150405</t>
  </si>
  <si>
    <t>7.86% Karnataka SDL 15-Mar-27</t>
  </si>
  <si>
    <t>IN1920160117</t>
  </si>
  <si>
    <t>0.00% Aditya Birla Finance Ltd (12/10/2021) **</t>
  </si>
  <si>
    <t>INE860H07GD2</t>
  </si>
  <si>
    <t>7.40% LIC Housing Finance Ltd (06/09/2024) **</t>
  </si>
  <si>
    <t>INE115A07ML7</t>
  </si>
  <si>
    <t>8.10% Mahindra &amp; Mahindra Financial Services Ltd (19/04/2021) **</t>
  </si>
  <si>
    <t>INE774D07SB3</t>
  </si>
  <si>
    <t>9.35% Power Grid Corporation of India Ltd (29/08/2023) **</t>
  </si>
  <si>
    <t>INE752E07IT0</t>
  </si>
  <si>
    <t>7.40% National Bank For Agriculture &amp; Rural Development (19/03/2030) **</t>
  </si>
  <si>
    <t>INE261F08CC6</t>
  </si>
  <si>
    <t>7.60% Grasim Industries Ltd (04/06/2024) **</t>
  </si>
  <si>
    <t>INE047A08158</t>
  </si>
  <si>
    <t>7.50% Indian Railway Finance Corporation Ltd (07/09/2029) **</t>
  </si>
  <si>
    <t>INE053F07BW9</t>
  </si>
  <si>
    <t>7.80% LIC Housing Finance Ltd (03/05/2022) **</t>
  </si>
  <si>
    <t>INE115A07LQ8</t>
  </si>
  <si>
    <t>7.28% Housing Development Finance Corporation Ltd (26/09/2022)</t>
  </si>
  <si>
    <t>INE001A07RZ8</t>
  </si>
  <si>
    <t>6.99% Housing Development Finance Corporation Ltd (25/11/2021)</t>
  </si>
  <si>
    <t>INE001A07SC5</t>
  </si>
  <si>
    <t>7.25% Housing Development Finance Corporation Ltd (17/06/2030)</t>
  </si>
  <si>
    <t>INE001A07SO0</t>
  </si>
  <si>
    <t>Dabur India Ltd</t>
  </si>
  <si>
    <t>INE016A01026</t>
  </si>
  <si>
    <t>Havells India Ltd</t>
  </si>
  <si>
    <t>INE176B01034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</si>
  <si>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</si>
  <si>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</si>
  <si>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</si>
  <si>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</si>
  <si>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</si>
  <si>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</si>
  <si>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</si>
  <si>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</si>
  <si>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</si>
  <si>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</si>
  <si>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</si>
  <si>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</si>
  <si>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</si>
  <si>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</si>
  <si>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</si>
  <si>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</si>
  <si>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7.88% LIC Housing Finance Ltd (28/01/2021) **</t>
  </si>
  <si>
    <t>INE115A07MT0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</si>
  <si>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</si>
  <si>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</si>
  <si>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</si>
  <si>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</si>
  <si>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</si>
  <si>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</si>
  <si>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</si>
  <si>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</si>
  <si>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</si>
  <si>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</si>
  <si>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Pidilite Industries Ltd</t>
  </si>
  <si>
    <t>INE318A01026</t>
  </si>
  <si>
    <t>V.I.P. Industries Ltd</t>
  </si>
  <si>
    <t>INE054A01027</t>
  </si>
  <si>
    <t>7.73% REC Ltd (15/06/2021) **</t>
  </si>
  <si>
    <t>INE020B08AW7</t>
  </si>
  <si>
    <t>7.5320% Mahindra &amp; Mahin Fin Ser (29/01/2021) **</t>
  </si>
  <si>
    <t>INE774D07RV3</t>
  </si>
  <si>
    <t>7.93% Power Grid Corporation of India Ltd (20/05/2021) **</t>
  </si>
  <si>
    <t>INE752E07KS8</t>
  </si>
  <si>
    <t>8.71% HDB Financial Services Ltd (17/05/2021) **</t>
  </si>
  <si>
    <t>INE756I07CQ1</t>
  </si>
  <si>
    <t>8.50% LIC Housing Finance Ltd (05/01/2021) **</t>
  </si>
  <si>
    <t>INE115A07IO9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</si>
  <si>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</si>
  <si>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</si>
  <si>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</si>
  <si>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</si>
  <si>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</si>
  <si>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</si>
  <si>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</si>
  <si>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</si>
  <si>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</si>
  <si>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</si>
  <si>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7.95% LIC Housing Finance Ltd (24/03/2022) **</t>
  </si>
  <si>
    <t>INE115A07LM7</t>
  </si>
  <si>
    <t>8.20% GOI (15/02/2022)</t>
  </si>
  <si>
    <t>IN0020060037</t>
  </si>
  <si>
    <t>8.99% GUJARAT SDL 14-MAR-22</t>
  </si>
  <si>
    <t>IN1520110132</t>
  </si>
  <si>
    <t>TREPS</t>
  </si>
  <si>
    <t>**  Non Traded Security</t>
  </si>
  <si>
    <t>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</si>
</sst>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0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0" fontId="7" fillId="2" borderId="7" xfId="0" applyFont="1" applyFill="1" applyBorder="1"/>
    <xf numFmtId="0" fontId="6" fillId="2" borderId="8" xfId="0" applyFont="1" applyFill="1" applyBorder="1"/>
    <xf numFmtId="0" fontId="6" fillId="2" borderId="8" xfId="0" applyNumberFormat="1" applyFont="1" applyFill="1" applyBorder="1"/>
    <xf numFmtId="4" fontId="6" fillId="2" borderId="8" xfId="0" applyNumberFormat="1" applyFont="1" applyFill="1" applyBorder="1"/>
    <xf numFmtId="0" fontId="6" fillId="2" borderId="7" xfId="0" applyFont="1" applyFill="1" applyBorder="1"/>
    <xf numFmtId="3" fontId="6" fillId="2" borderId="8" xfId="0" applyNumberFormat="1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0" xfId="0" applyNumberFormat="1" applyFont="1" applyFill="1" applyBorder="1"/>
    <xf numFmtId="4" fontId="7" fillId="2" borderId="11" xfId="0" applyNumberFormat="1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2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6" xfId="0" applyFont="1" applyFill="1" applyBorder="1"/>
    <xf numFmtId="0" fontId="7" fillId="2" borderId="8" xfId="0" applyFont="1" applyFill="1" applyBorder="1"/>
    <xf numFmtId="0" fontId="7" fillId="2" borderId="13" xfId="0" applyFont="1" applyFill="1" applyBorder="1"/>
    <xf numFmtId="0" fontId="7" fillId="2" borderId="13" xfId="0" applyNumberFormat="1" applyFont="1" applyFill="1" applyBorder="1"/>
    <xf numFmtId="4" fontId="7" fillId="2" borderId="13" xfId="0" applyNumberFormat="1" applyFont="1" applyFill="1" applyBorder="1"/>
    <xf numFmtId="0" fontId="6" fillId="2" borderId="14" xfId="0" applyFont="1" applyFill="1" applyBorder="1"/>
    <xf numFmtId="3" fontId="6" fillId="2" borderId="14" xfId="0" applyNumberFormat="1" applyFont="1" applyFill="1" applyBorder="1"/>
    <xf numFmtId="4" fontId="6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8" xfId="0" applyNumberFormat="1" applyFont="1" applyFill="1" applyBorder="1"/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3"/>
  <sheetViews>
    <sheetView tabSelected="1" workbookViewId="0">
      <selection activeCell="G45" sqref="G45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7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32</v>
      </c>
      <c r="C7" s="22" t="s">
        <v>33</v>
      </c>
      <c r="D7" s="22" t="s">
        <v>34</v>
      </c>
      <c r="E7" s="26">
        <v>75800</v>
      </c>
      <c r="F7" s="24">
        <v>716.27</v>
      </c>
      <c r="G7" s="24">
        <v>7.77</v>
      </c>
    </row>
    <row r="8" spans="2:7" x14ac:dyDescent="0.2">
      <c r="B8" s="25" t="s">
        <v>35</v>
      </c>
      <c r="C8" s="22" t="s">
        <v>36</v>
      </c>
      <c r="D8" s="22" t="s">
        <v>37</v>
      </c>
      <c r="E8" s="26">
        <v>576600</v>
      </c>
      <c r="F8" s="24">
        <v>555.84</v>
      </c>
      <c r="G8" s="24">
        <v>6.03</v>
      </c>
    </row>
    <row r="9" spans="2:7" x14ac:dyDescent="0.2">
      <c r="B9" s="25" t="s">
        <v>38</v>
      </c>
      <c r="C9" s="22" t="s">
        <v>39</v>
      </c>
      <c r="D9" s="22" t="s">
        <v>40</v>
      </c>
      <c r="E9" s="26">
        <v>25800</v>
      </c>
      <c r="F9" s="24">
        <v>536.82000000000005</v>
      </c>
      <c r="G9" s="24">
        <v>5.83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114500</v>
      </c>
      <c r="F10" s="24">
        <v>451.82</v>
      </c>
      <c r="G10" s="24">
        <v>4.9000000000000004</v>
      </c>
    </row>
    <row r="11" spans="2:7" x14ac:dyDescent="0.2">
      <c r="B11" s="25" t="s">
        <v>44</v>
      </c>
      <c r="C11" s="22" t="s">
        <v>45</v>
      </c>
      <c r="D11" s="22" t="s">
        <v>37</v>
      </c>
      <c r="E11" s="26">
        <v>249558</v>
      </c>
      <c r="F11" s="24">
        <v>446.58</v>
      </c>
      <c r="G11" s="24">
        <v>4.8499999999999996</v>
      </c>
    </row>
    <row r="12" spans="2:7" x14ac:dyDescent="0.2">
      <c r="B12" s="25" t="s">
        <v>46</v>
      </c>
      <c r="C12" s="22" t="s">
        <v>47</v>
      </c>
      <c r="D12" s="22" t="s">
        <v>48</v>
      </c>
      <c r="E12" s="26">
        <v>1320</v>
      </c>
      <c r="F12" s="24">
        <v>430.63</v>
      </c>
      <c r="G12" s="24">
        <v>4.67</v>
      </c>
    </row>
    <row r="13" spans="2:7" x14ac:dyDescent="0.2">
      <c r="B13" s="25" t="s">
        <v>49</v>
      </c>
      <c r="C13" s="22" t="s">
        <v>50</v>
      </c>
      <c r="D13" s="22" t="s">
        <v>51</v>
      </c>
      <c r="E13" s="26">
        <v>8950</v>
      </c>
      <c r="F13" s="24">
        <v>349.39</v>
      </c>
      <c r="G13" s="24">
        <v>3.79</v>
      </c>
    </row>
    <row r="14" spans="2:7" x14ac:dyDescent="0.2">
      <c r="B14" s="25" t="s">
        <v>52</v>
      </c>
      <c r="C14" s="22" t="s">
        <v>53</v>
      </c>
      <c r="D14" s="22" t="s">
        <v>54</v>
      </c>
      <c r="E14" s="26">
        <v>44243</v>
      </c>
      <c r="F14" s="24">
        <v>340.18</v>
      </c>
      <c r="G14" s="24">
        <v>3.69</v>
      </c>
    </row>
    <row r="15" spans="2:7" x14ac:dyDescent="0.2">
      <c r="B15" s="25" t="s">
        <v>55</v>
      </c>
      <c r="C15" s="22" t="s">
        <v>56</v>
      </c>
      <c r="D15" s="22" t="s">
        <v>57</v>
      </c>
      <c r="E15" s="26">
        <v>17206</v>
      </c>
      <c r="F15" s="24">
        <v>309.99</v>
      </c>
      <c r="G15" s="24">
        <v>3.36</v>
      </c>
    </row>
    <row r="16" spans="2:7" x14ac:dyDescent="0.2">
      <c r="B16" s="25" t="s">
        <v>58</v>
      </c>
      <c r="C16" s="22" t="s">
        <v>59</v>
      </c>
      <c r="D16" s="22" t="s">
        <v>40</v>
      </c>
      <c r="E16" s="26">
        <v>150000</v>
      </c>
      <c r="F16" s="24">
        <v>302.33</v>
      </c>
      <c r="G16" s="24">
        <v>3.28</v>
      </c>
    </row>
    <row r="17" spans="2:7" x14ac:dyDescent="0.2">
      <c r="B17" s="25" t="s">
        <v>60</v>
      </c>
      <c r="C17" s="22" t="s">
        <v>61</v>
      </c>
      <c r="D17" s="22" t="s">
        <v>48</v>
      </c>
      <c r="E17" s="26">
        <v>271000</v>
      </c>
      <c r="F17" s="24">
        <v>287.52999999999997</v>
      </c>
      <c r="G17" s="24">
        <v>3.12</v>
      </c>
    </row>
    <row r="18" spans="2:7" x14ac:dyDescent="0.2">
      <c r="B18" s="25" t="s">
        <v>62</v>
      </c>
      <c r="C18" s="22" t="s">
        <v>63</v>
      </c>
      <c r="D18" s="22" t="s">
        <v>51</v>
      </c>
      <c r="E18" s="26">
        <v>41000</v>
      </c>
      <c r="F18" s="24">
        <v>284.14999999999998</v>
      </c>
      <c r="G18" s="24">
        <v>3.08</v>
      </c>
    </row>
    <row r="19" spans="2:7" x14ac:dyDescent="0.2">
      <c r="B19" s="25" t="s">
        <v>64</v>
      </c>
      <c r="C19" s="22" t="s">
        <v>65</v>
      </c>
      <c r="D19" s="22" t="s">
        <v>66</v>
      </c>
      <c r="E19" s="26">
        <v>55040</v>
      </c>
      <c r="F19" s="24">
        <v>282.41000000000003</v>
      </c>
      <c r="G19" s="24">
        <v>3.06</v>
      </c>
    </row>
    <row r="20" spans="2:7" x14ac:dyDescent="0.2">
      <c r="B20" s="25" t="s">
        <v>67</v>
      </c>
      <c r="C20" s="22" t="s">
        <v>68</v>
      </c>
      <c r="D20" s="22" t="s">
        <v>48</v>
      </c>
      <c r="E20" s="26">
        <v>24000</v>
      </c>
      <c r="F20" s="24">
        <v>278.36</v>
      </c>
      <c r="G20" s="24">
        <v>3.02</v>
      </c>
    </row>
    <row r="21" spans="2:7" x14ac:dyDescent="0.2">
      <c r="B21" s="25" t="s">
        <v>69</v>
      </c>
      <c r="C21" s="22" t="s">
        <v>70</v>
      </c>
      <c r="D21" s="22" t="s">
        <v>71</v>
      </c>
      <c r="E21" s="26">
        <v>70000</v>
      </c>
      <c r="F21" s="24">
        <v>276.12</v>
      </c>
      <c r="G21" s="24">
        <v>3</v>
      </c>
    </row>
    <row r="22" spans="2:7" x14ac:dyDescent="0.2">
      <c r="B22" s="25" t="s">
        <v>72</v>
      </c>
      <c r="C22" s="22" t="s">
        <v>73</v>
      </c>
      <c r="D22" s="22" t="s">
        <v>71</v>
      </c>
      <c r="E22" s="26">
        <v>81842</v>
      </c>
      <c r="F22" s="24">
        <v>266.35000000000002</v>
      </c>
      <c r="G22" s="24">
        <v>2.89</v>
      </c>
    </row>
    <row r="23" spans="2:7" x14ac:dyDescent="0.2">
      <c r="B23" s="25" t="s">
        <v>74</v>
      </c>
      <c r="C23" s="22" t="s">
        <v>75</v>
      </c>
      <c r="D23" s="22" t="s">
        <v>54</v>
      </c>
      <c r="E23" s="26">
        <v>115266</v>
      </c>
      <c r="F23" s="24">
        <v>243.21</v>
      </c>
      <c r="G23" s="24">
        <v>2.64</v>
      </c>
    </row>
    <row r="24" spans="2:7" x14ac:dyDescent="0.2">
      <c r="B24" s="25" t="s">
        <v>76</v>
      </c>
      <c r="C24" s="22" t="s">
        <v>77</v>
      </c>
      <c r="D24" s="22" t="s">
        <v>78</v>
      </c>
      <c r="E24" s="26">
        <v>94937</v>
      </c>
      <c r="F24" s="24">
        <v>240.24</v>
      </c>
      <c r="G24" s="24">
        <v>2.61</v>
      </c>
    </row>
    <row r="25" spans="2:7" x14ac:dyDescent="0.2">
      <c r="B25" s="25" t="s">
        <v>79</v>
      </c>
      <c r="C25" s="22" t="s">
        <v>80</v>
      </c>
      <c r="D25" s="22" t="s">
        <v>81</v>
      </c>
      <c r="E25" s="26">
        <v>36000</v>
      </c>
      <c r="F25" s="24">
        <v>228.51</v>
      </c>
      <c r="G25" s="24">
        <v>2.48</v>
      </c>
    </row>
    <row r="26" spans="2:7" x14ac:dyDescent="0.2">
      <c r="B26" s="25" t="s">
        <v>82</v>
      </c>
      <c r="C26" s="22" t="s">
        <v>83</v>
      </c>
      <c r="D26" s="22" t="s">
        <v>51</v>
      </c>
      <c r="E26" s="26">
        <v>1100</v>
      </c>
      <c r="F26" s="24">
        <v>223.11</v>
      </c>
      <c r="G26" s="24">
        <v>2.42</v>
      </c>
    </row>
    <row r="27" spans="2:7" x14ac:dyDescent="0.2">
      <c r="B27" s="25" t="s">
        <v>84</v>
      </c>
      <c r="C27" s="22" t="s">
        <v>85</v>
      </c>
      <c r="D27" s="22" t="s">
        <v>71</v>
      </c>
      <c r="E27" s="26">
        <v>91693</v>
      </c>
      <c r="F27" s="24">
        <v>220.38</v>
      </c>
      <c r="G27" s="24">
        <v>2.39</v>
      </c>
    </row>
    <row r="28" spans="2:7" x14ac:dyDescent="0.2">
      <c r="B28" s="25" t="s">
        <v>86</v>
      </c>
      <c r="C28" s="22" t="s">
        <v>87</v>
      </c>
      <c r="D28" s="22" t="s">
        <v>48</v>
      </c>
      <c r="E28" s="26">
        <v>28326</v>
      </c>
      <c r="F28" s="24">
        <v>216.59</v>
      </c>
      <c r="G28" s="24">
        <v>2.35</v>
      </c>
    </row>
    <row r="29" spans="2:7" x14ac:dyDescent="0.2">
      <c r="B29" s="25" t="s">
        <v>88</v>
      </c>
      <c r="C29" s="22" t="s">
        <v>89</v>
      </c>
      <c r="D29" s="22" t="s">
        <v>78</v>
      </c>
      <c r="E29" s="26">
        <v>77272</v>
      </c>
      <c r="F29" s="24">
        <v>201.18</v>
      </c>
      <c r="G29" s="24">
        <v>2.1800000000000002</v>
      </c>
    </row>
    <row r="30" spans="2:7" x14ac:dyDescent="0.2">
      <c r="B30" s="25" t="s">
        <v>90</v>
      </c>
      <c r="C30" s="22" t="s">
        <v>91</v>
      </c>
      <c r="D30" s="22" t="s">
        <v>81</v>
      </c>
      <c r="E30" s="26">
        <v>2250</v>
      </c>
      <c r="F30" s="24">
        <v>182.14</v>
      </c>
      <c r="G30" s="24">
        <v>1.98</v>
      </c>
    </row>
    <row r="31" spans="2:7" x14ac:dyDescent="0.2">
      <c r="B31" s="25" t="s">
        <v>92</v>
      </c>
      <c r="C31" s="22" t="s">
        <v>93</v>
      </c>
      <c r="D31" s="22" t="s">
        <v>51</v>
      </c>
      <c r="E31" s="26">
        <v>85000</v>
      </c>
      <c r="F31" s="24">
        <v>178.97</v>
      </c>
      <c r="G31" s="24">
        <v>1.94</v>
      </c>
    </row>
    <row r="32" spans="2:7" x14ac:dyDescent="0.2">
      <c r="B32" s="25" t="s">
        <v>94</v>
      </c>
      <c r="C32" s="22" t="s">
        <v>95</v>
      </c>
      <c r="D32" s="22" t="s">
        <v>78</v>
      </c>
      <c r="E32" s="26">
        <v>100000</v>
      </c>
      <c r="F32" s="24">
        <v>169.65</v>
      </c>
      <c r="G32" s="24">
        <v>1.84</v>
      </c>
    </row>
    <row r="33" spans="2:10" x14ac:dyDescent="0.2">
      <c r="B33" s="25" t="s">
        <v>96</v>
      </c>
      <c r="C33" s="22" t="s">
        <v>97</v>
      </c>
      <c r="D33" s="22" t="s">
        <v>57</v>
      </c>
      <c r="E33" s="26">
        <v>4000</v>
      </c>
      <c r="F33" s="24">
        <v>158.66</v>
      </c>
      <c r="G33" s="24">
        <v>1.72</v>
      </c>
    </row>
    <row r="34" spans="2:10" x14ac:dyDescent="0.2">
      <c r="B34" s="25" t="s">
        <v>98</v>
      </c>
      <c r="C34" s="22" t="s">
        <v>99</v>
      </c>
      <c r="D34" s="22" t="s">
        <v>71</v>
      </c>
      <c r="E34" s="26">
        <v>70000</v>
      </c>
      <c r="F34" s="24">
        <v>142.49</v>
      </c>
      <c r="G34" s="24">
        <v>1.55</v>
      </c>
    </row>
    <row r="35" spans="2:10" x14ac:dyDescent="0.2">
      <c r="B35" s="25" t="s">
        <v>100</v>
      </c>
      <c r="C35" s="22" t="s">
        <v>101</v>
      </c>
      <c r="D35" s="22" t="s">
        <v>57</v>
      </c>
      <c r="E35" s="26">
        <v>20976</v>
      </c>
      <c r="F35" s="24">
        <v>109.85</v>
      </c>
      <c r="G35" s="24">
        <v>1.19</v>
      </c>
    </row>
    <row r="36" spans="2:10" x14ac:dyDescent="0.2">
      <c r="B36" s="25" t="s">
        <v>102</v>
      </c>
      <c r="C36" s="22" t="s">
        <v>103</v>
      </c>
      <c r="D36" s="22" t="s">
        <v>48</v>
      </c>
      <c r="E36" s="26">
        <v>40000</v>
      </c>
      <c r="F36" s="24">
        <v>102.08</v>
      </c>
      <c r="G36" s="24">
        <v>1.1100000000000001</v>
      </c>
    </row>
    <row r="37" spans="2:10" x14ac:dyDescent="0.2">
      <c r="B37" s="27" t="s">
        <v>104</v>
      </c>
      <c r="C37" s="28"/>
      <c r="D37" s="28"/>
      <c r="E37" s="29"/>
      <c r="F37" s="30">
        <f>SUM(F7:F36)</f>
        <v>8731.83</v>
      </c>
      <c r="G37" s="30">
        <f>SUM(G7:G36)</f>
        <v>94.740000000000009</v>
      </c>
      <c r="H37" s="14"/>
      <c r="I37" s="14"/>
      <c r="J37" s="14"/>
    </row>
    <row r="38" spans="2:10" x14ac:dyDescent="0.2">
      <c r="B38" s="31" t="s">
        <v>105</v>
      </c>
      <c r="C38" s="31"/>
      <c r="D38" s="31"/>
      <c r="E38" s="32"/>
      <c r="F38" s="33">
        <f>F37</f>
        <v>8731.83</v>
      </c>
      <c r="G38" s="33">
        <f>G37</f>
        <v>94.740000000000009</v>
      </c>
      <c r="H38" s="14"/>
      <c r="I38" s="14"/>
      <c r="J38" s="14"/>
    </row>
    <row r="39" spans="2:10" x14ac:dyDescent="0.2">
      <c r="B39" s="17" t="s">
        <v>756</v>
      </c>
      <c r="C39" s="18"/>
      <c r="D39" s="18"/>
      <c r="E39" s="19"/>
      <c r="F39" s="20"/>
      <c r="G39" s="20"/>
    </row>
    <row r="40" spans="2:10" x14ac:dyDescent="0.2">
      <c r="B40" s="25" t="s">
        <v>756</v>
      </c>
      <c r="C40" s="22"/>
      <c r="D40" s="22"/>
      <c r="E40" s="23"/>
      <c r="F40" s="24">
        <v>488.1</v>
      </c>
      <c r="G40" s="24">
        <v>5.3</v>
      </c>
    </row>
    <row r="41" spans="2:10" x14ac:dyDescent="0.2">
      <c r="B41" s="27" t="s">
        <v>104</v>
      </c>
      <c r="C41" s="28"/>
      <c r="D41" s="28"/>
      <c r="E41" s="29"/>
      <c r="F41" s="30">
        <f>SUM(F39:F40)</f>
        <v>488.1</v>
      </c>
      <c r="G41" s="30">
        <f>SUM(G39:G40)</f>
        <v>5.3</v>
      </c>
      <c r="H41" s="14"/>
      <c r="I41" s="14"/>
      <c r="J41" s="14"/>
    </row>
    <row r="42" spans="2:10" x14ac:dyDescent="0.2">
      <c r="B42" s="31" t="s">
        <v>105</v>
      </c>
      <c r="C42" s="31"/>
      <c r="D42" s="31"/>
      <c r="E42" s="32"/>
      <c r="F42" s="33">
        <f>F41</f>
        <v>488.1</v>
      </c>
      <c r="G42" s="33">
        <f>G41</f>
        <v>5.3</v>
      </c>
      <c r="H42" s="14"/>
      <c r="I42" s="14"/>
      <c r="J42" s="14"/>
    </row>
    <row r="43" spans="2:10" x14ac:dyDescent="0.2">
      <c r="B43" s="34" t="s">
        <v>107</v>
      </c>
      <c r="C43" s="34"/>
      <c r="D43" s="34"/>
      <c r="E43" s="35"/>
      <c r="F43" s="16">
        <f>F44-(+F38+F42)</f>
        <v>-112.43000000000029</v>
      </c>
      <c r="G43" s="16">
        <f>G44-(+G38+G42)</f>
        <v>-4.0000000000006253E-2</v>
      </c>
      <c r="H43" s="14"/>
      <c r="I43" s="14"/>
      <c r="J43" s="14"/>
    </row>
    <row r="44" spans="2:10" x14ac:dyDescent="0.2">
      <c r="B44" s="34" t="s">
        <v>106</v>
      </c>
      <c r="C44" s="34"/>
      <c r="D44" s="34"/>
      <c r="E44" s="35"/>
      <c r="F44" s="16">
        <v>9107.5</v>
      </c>
      <c r="G44" s="16">
        <v>100</v>
      </c>
      <c r="H44" s="14"/>
      <c r="I44" s="14"/>
      <c r="J44" s="14"/>
    </row>
    <row r="46" spans="2:10" x14ac:dyDescent="0.2">
      <c r="B46" s="14"/>
    </row>
    <row r="48" spans="2:10" x14ac:dyDescent="0.2">
      <c r="B48" s="14"/>
    </row>
    <row r="51" spans="2:5" x14ac:dyDescent="0.2">
      <c r="B51" s="14"/>
      <c r="C51" s="14"/>
      <c r="D51" s="14"/>
      <c r="E51" s="15"/>
    </row>
    <row r="57" spans="2:5" x14ac:dyDescent="0.2">
      <c r="D57" s="14"/>
      <c r="E57" s="15"/>
    </row>
    <row r="63" spans="2:5" x14ac:dyDescent="0.2">
      <c r="B63" s="14"/>
      <c r="C63" s="14"/>
      <c r="D63" s="14"/>
      <c r="E6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topLeftCell="A45" workbookViewId="0">
      <selection activeCell="G67" sqref="B67:G70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8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108</v>
      </c>
      <c r="C7" s="22" t="s">
        <v>109</v>
      </c>
      <c r="D7" s="22" t="s">
        <v>43</v>
      </c>
      <c r="E7" s="26">
        <v>1537340</v>
      </c>
      <c r="F7" s="24">
        <v>17154.41</v>
      </c>
      <c r="G7" s="24">
        <v>7.52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819400</v>
      </c>
      <c r="F8" s="24">
        <v>17049.259999999998</v>
      </c>
      <c r="G8" s="24">
        <v>7.48</v>
      </c>
    </row>
    <row r="9" spans="2:7" x14ac:dyDescent="0.2">
      <c r="B9" s="25" t="s">
        <v>110</v>
      </c>
      <c r="C9" s="22" t="s">
        <v>111</v>
      </c>
      <c r="D9" s="22" t="s">
        <v>112</v>
      </c>
      <c r="E9" s="26">
        <v>1742188</v>
      </c>
      <c r="F9" s="24">
        <v>16177.96</v>
      </c>
      <c r="G9" s="24">
        <v>7.1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3465550</v>
      </c>
      <c r="F10" s="24">
        <v>13675.06</v>
      </c>
      <c r="G10" s="24">
        <v>6</v>
      </c>
    </row>
    <row r="11" spans="2:7" x14ac:dyDescent="0.2">
      <c r="B11" s="25" t="s">
        <v>113</v>
      </c>
      <c r="C11" s="22" t="s">
        <v>114</v>
      </c>
      <c r="D11" s="22" t="s">
        <v>112</v>
      </c>
      <c r="E11" s="26">
        <v>372600</v>
      </c>
      <c r="F11" s="24">
        <v>8410.51</v>
      </c>
      <c r="G11" s="24">
        <v>3.69</v>
      </c>
    </row>
    <row r="12" spans="2:7" x14ac:dyDescent="0.2">
      <c r="B12" s="25" t="s">
        <v>115</v>
      </c>
      <c r="C12" s="22" t="s">
        <v>116</v>
      </c>
      <c r="D12" s="22" t="s">
        <v>117</v>
      </c>
      <c r="E12" s="26">
        <v>380400</v>
      </c>
      <c r="F12" s="24">
        <v>8054.4</v>
      </c>
      <c r="G12" s="24">
        <v>3.53</v>
      </c>
    </row>
    <row r="13" spans="2:7" x14ac:dyDescent="0.2">
      <c r="B13" s="25" t="s">
        <v>118</v>
      </c>
      <c r="C13" s="22" t="s">
        <v>119</v>
      </c>
      <c r="D13" s="22" t="s">
        <v>120</v>
      </c>
      <c r="E13" s="26">
        <v>185500</v>
      </c>
      <c r="F13" s="24">
        <v>6469.87</v>
      </c>
      <c r="G13" s="24">
        <v>2.84</v>
      </c>
    </row>
    <row r="14" spans="2:7" x14ac:dyDescent="0.2">
      <c r="B14" s="25" t="s">
        <v>121</v>
      </c>
      <c r="C14" s="22" t="s">
        <v>122</v>
      </c>
      <c r="D14" s="22" t="s">
        <v>123</v>
      </c>
      <c r="E14" s="26">
        <v>180032</v>
      </c>
      <c r="F14" s="24">
        <v>5622.04</v>
      </c>
      <c r="G14" s="24">
        <v>2.4700000000000002</v>
      </c>
    </row>
    <row r="15" spans="2:7" x14ac:dyDescent="0.2">
      <c r="B15" s="25" t="s">
        <v>124</v>
      </c>
      <c r="C15" s="22" t="s">
        <v>125</v>
      </c>
      <c r="D15" s="22" t="s">
        <v>43</v>
      </c>
      <c r="E15" s="26">
        <v>379550</v>
      </c>
      <c r="F15" s="24">
        <v>5318.82</v>
      </c>
      <c r="G15" s="24">
        <v>2.33</v>
      </c>
    </row>
    <row r="16" spans="2:7" x14ac:dyDescent="0.2">
      <c r="B16" s="25" t="s">
        <v>64</v>
      </c>
      <c r="C16" s="22" t="s">
        <v>65</v>
      </c>
      <c r="D16" s="22" t="s">
        <v>66</v>
      </c>
      <c r="E16" s="26">
        <v>922334</v>
      </c>
      <c r="F16" s="24">
        <v>4732.5</v>
      </c>
      <c r="G16" s="24">
        <v>2.08</v>
      </c>
    </row>
    <row r="17" spans="2:7" x14ac:dyDescent="0.2">
      <c r="B17" s="25" t="s">
        <v>49</v>
      </c>
      <c r="C17" s="22" t="s">
        <v>50</v>
      </c>
      <c r="D17" s="22" t="s">
        <v>51</v>
      </c>
      <c r="E17" s="26">
        <v>109471</v>
      </c>
      <c r="F17" s="24">
        <v>4273.58</v>
      </c>
      <c r="G17" s="24">
        <v>1.87</v>
      </c>
    </row>
    <row r="18" spans="2:7" x14ac:dyDescent="0.2">
      <c r="B18" s="25" t="s">
        <v>126</v>
      </c>
      <c r="C18" s="22" t="s">
        <v>127</v>
      </c>
      <c r="D18" s="22" t="s">
        <v>120</v>
      </c>
      <c r="E18" s="26">
        <v>230900</v>
      </c>
      <c r="F18" s="24">
        <v>4231.47</v>
      </c>
      <c r="G18" s="24">
        <v>1.86</v>
      </c>
    </row>
    <row r="19" spans="2:7" x14ac:dyDescent="0.2">
      <c r="B19" s="25" t="s">
        <v>128</v>
      </c>
      <c r="C19" s="22" t="s">
        <v>129</v>
      </c>
      <c r="D19" s="22" t="s">
        <v>130</v>
      </c>
      <c r="E19" s="26">
        <v>131500</v>
      </c>
      <c r="F19" s="24">
        <v>3952.96</v>
      </c>
      <c r="G19" s="24">
        <v>1.73</v>
      </c>
    </row>
    <row r="20" spans="2:7" x14ac:dyDescent="0.2">
      <c r="B20" s="25" t="s">
        <v>131</v>
      </c>
      <c r="C20" s="22" t="s">
        <v>132</v>
      </c>
      <c r="D20" s="22" t="s">
        <v>130</v>
      </c>
      <c r="E20" s="26">
        <v>645000</v>
      </c>
      <c r="F20" s="24">
        <v>3914.51</v>
      </c>
      <c r="G20" s="24">
        <v>1.72</v>
      </c>
    </row>
    <row r="21" spans="2:7" x14ac:dyDescent="0.2">
      <c r="B21" s="25" t="s">
        <v>79</v>
      </c>
      <c r="C21" s="22" t="s">
        <v>80</v>
      </c>
      <c r="D21" s="22" t="s">
        <v>81</v>
      </c>
      <c r="E21" s="26">
        <v>605429</v>
      </c>
      <c r="F21" s="24">
        <v>3842.96</v>
      </c>
      <c r="G21" s="24">
        <v>1.69</v>
      </c>
    </row>
    <row r="22" spans="2:7" x14ac:dyDescent="0.2">
      <c r="B22" s="25" t="s">
        <v>133</v>
      </c>
      <c r="C22" s="22" t="s">
        <v>134</v>
      </c>
      <c r="D22" s="22" t="s">
        <v>123</v>
      </c>
      <c r="E22" s="26">
        <v>137104</v>
      </c>
      <c r="F22" s="24">
        <v>3732.93</v>
      </c>
      <c r="G22" s="24">
        <v>1.64</v>
      </c>
    </row>
    <row r="23" spans="2:7" x14ac:dyDescent="0.2">
      <c r="B23" s="25" t="s">
        <v>135</v>
      </c>
      <c r="C23" s="22" t="s">
        <v>136</v>
      </c>
      <c r="D23" s="22" t="s">
        <v>137</v>
      </c>
      <c r="E23" s="26">
        <v>64359</v>
      </c>
      <c r="F23" s="24">
        <v>3720.24</v>
      </c>
      <c r="G23" s="24">
        <v>1.63</v>
      </c>
    </row>
    <row r="24" spans="2:7" x14ac:dyDescent="0.2">
      <c r="B24" s="25" t="s">
        <v>32</v>
      </c>
      <c r="C24" s="22" t="s">
        <v>33</v>
      </c>
      <c r="D24" s="22" t="s">
        <v>34</v>
      </c>
      <c r="E24" s="26">
        <v>387954</v>
      </c>
      <c r="F24" s="24">
        <v>3665.97</v>
      </c>
      <c r="G24" s="24">
        <v>1.61</v>
      </c>
    </row>
    <row r="25" spans="2:7" x14ac:dyDescent="0.2">
      <c r="B25" s="25" t="s">
        <v>138</v>
      </c>
      <c r="C25" s="22" t="s">
        <v>139</v>
      </c>
      <c r="D25" s="22" t="s">
        <v>123</v>
      </c>
      <c r="E25" s="26">
        <v>21360</v>
      </c>
      <c r="F25" s="24">
        <v>3498.15</v>
      </c>
      <c r="G25" s="24">
        <v>1.53</v>
      </c>
    </row>
    <row r="26" spans="2:7" x14ac:dyDescent="0.2">
      <c r="B26" s="25" t="s">
        <v>140</v>
      </c>
      <c r="C26" s="22" t="s">
        <v>141</v>
      </c>
      <c r="D26" s="22" t="s">
        <v>120</v>
      </c>
      <c r="E26" s="26">
        <v>218250</v>
      </c>
      <c r="F26" s="24">
        <v>3488.51</v>
      </c>
      <c r="G26" s="24">
        <v>1.53</v>
      </c>
    </row>
    <row r="27" spans="2:7" x14ac:dyDescent="0.2">
      <c r="B27" s="25" t="s">
        <v>142</v>
      </c>
      <c r="C27" s="22" t="s">
        <v>143</v>
      </c>
      <c r="D27" s="22" t="s">
        <v>130</v>
      </c>
      <c r="E27" s="26">
        <v>49626</v>
      </c>
      <c r="F27" s="24">
        <v>3394.39</v>
      </c>
      <c r="G27" s="24">
        <v>1.49</v>
      </c>
    </row>
    <row r="28" spans="2:7" x14ac:dyDescent="0.2">
      <c r="B28" s="25" t="s">
        <v>144</v>
      </c>
      <c r="C28" s="22" t="s">
        <v>145</v>
      </c>
      <c r="D28" s="22" t="s">
        <v>117</v>
      </c>
      <c r="E28" s="26">
        <v>89490</v>
      </c>
      <c r="F28" s="24">
        <v>3334.44</v>
      </c>
      <c r="G28" s="24">
        <v>1.46</v>
      </c>
    </row>
    <row r="29" spans="2:7" x14ac:dyDescent="0.2">
      <c r="B29" s="25" t="s">
        <v>69</v>
      </c>
      <c r="C29" s="22" t="s">
        <v>70</v>
      </c>
      <c r="D29" s="22" t="s">
        <v>71</v>
      </c>
      <c r="E29" s="26">
        <v>845000</v>
      </c>
      <c r="F29" s="24">
        <v>3333.1</v>
      </c>
      <c r="G29" s="24">
        <v>1.46</v>
      </c>
    </row>
    <row r="30" spans="2:7" x14ac:dyDescent="0.2">
      <c r="B30" s="25" t="s">
        <v>146</v>
      </c>
      <c r="C30" s="22" t="s">
        <v>147</v>
      </c>
      <c r="D30" s="22" t="s">
        <v>148</v>
      </c>
      <c r="E30" s="26">
        <v>181029</v>
      </c>
      <c r="F30" s="24">
        <v>3328.22</v>
      </c>
      <c r="G30" s="24">
        <v>1.46</v>
      </c>
    </row>
    <row r="31" spans="2:7" x14ac:dyDescent="0.2">
      <c r="B31" s="25" t="s">
        <v>149</v>
      </c>
      <c r="C31" s="22" t="s">
        <v>150</v>
      </c>
      <c r="D31" s="22" t="s">
        <v>123</v>
      </c>
      <c r="E31" s="26">
        <v>170659</v>
      </c>
      <c r="F31" s="24">
        <v>3221.36</v>
      </c>
      <c r="G31" s="24">
        <v>1.41</v>
      </c>
    </row>
    <row r="32" spans="2:7" x14ac:dyDescent="0.2">
      <c r="B32" s="25" t="s">
        <v>151</v>
      </c>
      <c r="C32" s="22" t="s">
        <v>152</v>
      </c>
      <c r="D32" s="22" t="s">
        <v>153</v>
      </c>
      <c r="E32" s="26">
        <v>242500</v>
      </c>
      <c r="F32" s="24">
        <v>3205.61</v>
      </c>
      <c r="G32" s="24">
        <v>1.41</v>
      </c>
    </row>
    <row r="33" spans="2:7" x14ac:dyDescent="0.2">
      <c r="B33" s="25" t="s">
        <v>154</v>
      </c>
      <c r="C33" s="22" t="s">
        <v>155</v>
      </c>
      <c r="D33" s="22" t="s">
        <v>81</v>
      </c>
      <c r="E33" s="26">
        <v>268800</v>
      </c>
      <c r="F33" s="24">
        <v>2958.14</v>
      </c>
      <c r="G33" s="24">
        <v>1.3</v>
      </c>
    </row>
    <row r="34" spans="2:7" x14ac:dyDescent="0.2">
      <c r="B34" s="25" t="s">
        <v>156</v>
      </c>
      <c r="C34" s="22" t="s">
        <v>157</v>
      </c>
      <c r="D34" s="22" t="s">
        <v>117</v>
      </c>
      <c r="E34" s="26">
        <v>154500</v>
      </c>
      <c r="F34" s="24">
        <v>2934.11</v>
      </c>
      <c r="G34" s="24">
        <v>1.29</v>
      </c>
    </row>
    <row r="35" spans="2:7" x14ac:dyDescent="0.2">
      <c r="B35" s="25" t="s">
        <v>46</v>
      </c>
      <c r="C35" s="22" t="s">
        <v>47</v>
      </c>
      <c r="D35" s="22" t="s">
        <v>48</v>
      </c>
      <c r="E35" s="26">
        <v>8910</v>
      </c>
      <c r="F35" s="24">
        <v>2906.75</v>
      </c>
      <c r="G35" s="24">
        <v>1.27</v>
      </c>
    </row>
    <row r="36" spans="2:7" x14ac:dyDescent="0.2">
      <c r="B36" s="25" t="s">
        <v>158</v>
      </c>
      <c r="C36" s="22" t="s">
        <v>159</v>
      </c>
      <c r="D36" s="22" t="s">
        <v>43</v>
      </c>
      <c r="E36" s="26">
        <v>578600</v>
      </c>
      <c r="F36" s="24">
        <v>2874.2</v>
      </c>
      <c r="G36" s="24">
        <v>1.26</v>
      </c>
    </row>
    <row r="37" spans="2:7" x14ac:dyDescent="0.2">
      <c r="B37" s="25" t="s">
        <v>160</v>
      </c>
      <c r="C37" s="22" t="s">
        <v>161</v>
      </c>
      <c r="D37" s="22" t="s">
        <v>117</v>
      </c>
      <c r="E37" s="26">
        <v>17000</v>
      </c>
      <c r="F37" s="24">
        <v>2711.42</v>
      </c>
      <c r="G37" s="24">
        <v>1.19</v>
      </c>
    </row>
    <row r="38" spans="2:7" x14ac:dyDescent="0.2">
      <c r="B38" s="25" t="s">
        <v>72</v>
      </c>
      <c r="C38" s="22" t="s">
        <v>73</v>
      </c>
      <c r="D38" s="22" t="s">
        <v>71</v>
      </c>
      <c r="E38" s="26">
        <v>814056</v>
      </c>
      <c r="F38" s="24">
        <v>2649.35</v>
      </c>
      <c r="G38" s="24">
        <v>1.1599999999999999</v>
      </c>
    </row>
    <row r="39" spans="2:7" x14ac:dyDescent="0.2">
      <c r="B39" s="25" t="s">
        <v>162</v>
      </c>
      <c r="C39" s="22" t="s">
        <v>163</v>
      </c>
      <c r="D39" s="22" t="s">
        <v>120</v>
      </c>
      <c r="E39" s="26">
        <v>108000</v>
      </c>
      <c r="F39" s="24">
        <v>2603.77</v>
      </c>
      <c r="G39" s="24">
        <v>1.1399999999999999</v>
      </c>
    </row>
    <row r="40" spans="2:7" x14ac:dyDescent="0.2">
      <c r="B40" s="25" t="s">
        <v>52</v>
      </c>
      <c r="C40" s="22" t="s">
        <v>53</v>
      </c>
      <c r="D40" s="22" t="s">
        <v>54</v>
      </c>
      <c r="E40" s="26">
        <v>329754</v>
      </c>
      <c r="F40" s="24">
        <v>2535.48</v>
      </c>
      <c r="G40" s="24">
        <v>1.1100000000000001</v>
      </c>
    </row>
    <row r="41" spans="2:7" x14ac:dyDescent="0.2">
      <c r="B41" s="25" t="s">
        <v>164</v>
      </c>
      <c r="C41" s="22" t="s">
        <v>165</v>
      </c>
      <c r="D41" s="22" t="s">
        <v>81</v>
      </c>
      <c r="E41" s="26">
        <v>185000</v>
      </c>
      <c r="F41" s="24">
        <v>2403.2399999999998</v>
      </c>
      <c r="G41" s="24">
        <v>1.05</v>
      </c>
    </row>
    <row r="42" spans="2:7" x14ac:dyDescent="0.2">
      <c r="B42" s="25" t="s">
        <v>166</v>
      </c>
      <c r="C42" s="22" t="s">
        <v>167</v>
      </c>
      <c r="D42" s="22" t="s">
        <v>120</v>
      </c>
      <c r="E42" s="26">
        <v>184455</v>
      </c>
      <c r="F42" s="24">
        <v>2318.0500000000002</v>
      </c>
      <c r="G42" s="24">
        <v>1.02</v>
      </c>
    </row>
    <row r="43" spans="2:7" x14ac:dyDescent="0.2">
      <c r="B43" s="25" t="s">
        <v>168</v>
      </c>
      <c r="C43" s="22" t="s">
        <v>169</v>
      </c>
      <c r="D43" s="22" t="s">
        <v>117</v>
      </c>
      <c r="E43" s="26">
        <v>1167000</v>
      </c>
      <c r="F43" s="24">
        <v>2230.14</v>
      </c>
      <c r="G43" s="24">
        <v>0.98</v>
      </c>
    </row>
    <row r="44" spans="2:7" x14ac:dyDescent="0.2">
      <c r="B44" s="25" t="s">
        <v>170</v>
      </c>
      <c r="C44" s="22" t="s">
        <v>171</v>
      </c>
      <c r="D44" s="22" t="s">
        <v>120</v>
      </c>
      <c r="E44" s="26">
        <v>273000</v>
      </c>
      <c r="F44" s="24">
        <v>2205.29</v>
      </c>
      <c r="G44" s="24">
        <v>0.97</v>
      </c>
    </row>
    <row r="45" spans="2:7" x14ac:dyDescent="0.2">
      <c r="B45" s="25" t="s">
        <v>172</v>
      </c>
      <c r="C45" s="22" t="s">
        <v>173</v>
      </c>
      <c r="D45" s="22" t="s">
        <v>81</v>
      </c>
      <c r="E45" s="26">
        <v>99070</v>
      </c>
      <c r="F45" s="24">
        <v>2101.62</v>
      </c>
      <c r="G45" s="24">
        <v>0.92</v>
      </c>
    </row>
    <row r="46" spans="2:7" x14ac:dyDescent="0.2">
      <c r="B46" s="25" t="s">
        <v>55</v>
      </c>
      <c r="C46" s="22" t="s">
        <v>56</v>
      </c>
      <c r="D46" s="22" t="s">
        <v>57</v>
      </c>
      <c r="E46" s="26">
        <v>115191</v>
      </c>
      <c r="F46" s="24">
        <v>2075.34</v>
      </c>
      <c r="G46" s="24">
        <v>0.91</v>
      </c>
    </row>
    <row r="47" spans="2:7" x14ac:dyDescent="0.2">
      <c r="B47" s="25" t="s">
        <v>174</v>
      </c>
      <c r="C47" s="22" t="s">
        <v>175</v>
      </c>
      <c r="D47" s="22" t="s">
        <v>176</v>
      </c>
      <c r="E47" s="26">
        <v>115394</v>
      </c>
      <c r="F47" s="24">
        <v>2048.0700000000002</v>
      </c>
      <c r="G47" s="24">
        <v>0.9</v>
      </c>
    </row>
    <row r="48" spans="2:7" x14ac:dyDescent="0.2">
      <c r="B48" s="25" t="s">
        <v>177</v>
      </c>
      <c r="C48" s="22" t="s">
        <v>178</v>
      </c>
      <c r="D48" s="22" t="s">
        <v>123</v>
      </c>
      <c r="E48" s="26">
        <v>285000</v>
      </c>
      <c r="F48" s="24">
        <v>2033.62</v>
      </c>
      <c r="G48" s="24">
        <v>0.89</v>
      </c>
    </row>
    <row r="49" spans="2:10" x14ac:dyDescent="0.2">
      <c r="B49" s="25" t="s">
        <v>82</v>
      </c>
      <c r="C49" s="22" t="s">
        <v>83</v>
      </c>
      <c r="D49" s="22" t="s">
        <v>51</v>
      </c>
      <c r="E49" s="26">
        <v>9842</v>
      </c>
      <c r="F49" s="24">
        <v>1996.25</v>
      </c>
      <c r="G49" s="24">
        <v>0.88</v>
      </c>
    </row>
    <row r="50" spans="2:10" x14ac:dyDescent="0.2">
      <c r="B50" s="25" t="s">
        <v>179</v>
      </c>
      <c r="C50" s="22" t="s">
        <v>180</v>
      </c>
      <c r="D50" s="22" t="s">
        <v>153</v>
      </c>
      <c r="E50" s="26">
        <v>580000</v>
      </c>
      <c r="F50" s="24">
        <v>1972</v>
      </c>
      <c r="G50" s="24">
        <v>0.86</v>
      </c>
    </row>
    <row r="51" spans="2:10" x14ac:dyDescent="0.2">
      <c r="B51" s="25" t="s">
        <v>181</v>
      </c>
      <c r="C51" s="22" t="s">
        <v>182</v>
      </c>
      <c r="D51" s="22" t="s">
        <v>137</v>
      </c>
      <c r="E51" s="26">
        <v>89266</v>
      </c>
      <c r="F51" s="24">
        <v>1742.43</v>
      </c>
      <c r="G51" s="24">
        <v>0.76</v>
      </c>
    </row>
    <row r="52" spans="2:10" x14ac:dyDescent="0.2">
      <c r="B52" s="25" t="s">
        <v>183</v>
      </c>
      <c r="C52" s="22" t="s">
        <v>184</v>
      </c>
      <c r="D52" s="22" t="s">
        <v>120</v>
      </c>
      <c r="E52" s="26">
        <v>750000</v>
      </c>
      <c r="F52" s="24">
        <v>1741.5</v>
      </c>
      <c r="G52" s="24">
        <v>0.76</v>
      </c>
    </row>
    <row r="53" spans="2:10" x14ac:dyDescent="0.2">
      <c r="B53" s="25" t="s">
        <v>185</v>
      </c>
      <c r="C53" s="22" t="s">
        <v>186</v>
      </c>
      <c r="D53" s="22" t="s">
        <v>187</v>
      </c>
      <c r="E53" s="26">
        <v>65010</v>
      </c>
      <c r="F53" s="24">
        <v>1463.54</v>
      </c>
      <c r="G53" s="24">
        <v>0.64</v>
      </c>
    </row>
    <row r="54" spans="2:10" x14ac:dyDescent="0.2">
      <c r="B54" s="25" t="s">
        <v>188</v>
      </c>
      <c r="C54" s="22" t="s">
        <v>189</v>
      </c>
      <c r="D54" s="22" t="s">
        <v>130</v>
      </c>
      <c r="E54" s="26">
        <v>123000</v>
      </c>
      <c r="F54" s="24">
        <v>1337.75</v>
      </c>
      <c r="G54" s="24">
        <v>0.59</v>
      </c>
    </row>
    <row r="55" spans="2:10" x14ac:dyDescent="0.2">
      <c r="B55" s="25" t="s">
        <v>84</v>
      </c>
      <c r="C55" s="22" t="s">
        <v>85</v>
      </c>
      <c r="D55" s="22" t="s">
        <v>71</v>
      </c>
      <c r="E55" s="26">
        <v>537000</v>
      </c>
      <c r="F55" s="24">
        <v>1290.68</v>
      </c>
      <c r="G55" s="24">
        <v>0.56999999999999995</v>
      </c>
    </row>
    <row r="56" spans="2:10" x14ac:dyDescent="0.2">
      <c r="B56" s="25" t="s">
        <v>190</v>
      </c>
      <c r="C56" s="22" t="s">
        <v>191</v>
      </c>
      <c r="D56" s="22" t="s">
        <v>112</v>
      </c>
      <c r="E56" s="26">
        <v>51951</v>
      </c>
      <c r="F56" s="24">
        <v>1277.1400000000001</v>
      </c>
      <c r="G56" s="24">
        <v>0.56000000000000005</v>
      </c>
    </row>
    <row r="57" spans="2:10" x14ac:dyDescent="0.2">
      <c r="B57" s="25" t="s">
        <v>74</v>
      </c>
      <c r="C57" s="22" t="s">
        <v>75</v>
      </c>
      <c r="D57" s="22" t="s">
        <v>54</v>
      </c>
      <c r="E57" s="26">
        <v>554789</v>
      </c>
      <c r="F57" s="24">
        <v>1170.5999999999999</v>
      </c>
      <c r="G57" s="24">
        <v>0.51</v>
      </c>
    </row>
    <row r="58" spans="2:10" x14ac:dyDescent="0.2">
      <c r="B58" s="25" t="s">
        <v>192</v>
      </c>
      <c r="C58" s="22" t="s">
        <v>193</v>
      </c>
      <c r="D58" s="22" t="s">
        <v>123</v>
      </c>
      <c r="E58" s="26">
        <v>150000</v>
      </c>
      <c r="F58" s="24">
        <v>780.38</v>
      </c>
      <c r="G58" s="24">
        <v>0.34</v>
      </c>
    </row>
    <row r="59" spans="2:10" x14ac:dyDescent="0.2">
      <c r="B59" s="25" t="s">
        <v>194</v>
      </c>
      <c r="C59" s="22" t="s">
        <v>195</v>
      </c>
      <c r="D59" s="22" t="s">
        <v>117</v>
      </c>
      <c r="E59" s="26">
        <v>30200</v>
      </c>
      <c r="F59" s="24">
        <v>633.29</v>
      </c>
      <c r="G59" s="24">
        <v>0.28000000000000003</v>
      </c>
    </row>
    <row r="60" spans="2:10" x14ac:dyDescent="0.2">
      <c r="B60" s="25" t="s">
        <v>196</v>
      </c>
      <c r="C60" s="22" t="s">
        <v>197</v>
      </c>
      <c r="D60" s="22" t="s">
        <v>120</v>
      </c>
      <c r="E60" s="26">
        <v>60000</v>
      </c>
      <c r="F60" s="24">
        <v>344.88</v>
      </c>
      <c r="G60" s="24">
        <v>0.15</v>
      </c>
    </row>
    <row r="61" spans="2:10" x14ac:dyDescent="0.2">
      <c r="B61" s="27" t="s">
        <v>104</v>
      </c>
      <c r="C61" s="28"/>
      <c r="D61" s="28"/>
      <c r="E61" s="29"/>
      <c r="F61" s="30">
        <f>SUM(F7:F60)</f>
        <v>216142.26000000004</v>
      </c>
      <c r="G61" s="30">
        <f>SUM(G7:G60)</f>
        <v>94.799999999999983</v>
      </c>
      <c r="H61" s="14"/>
      <c r="I61" s="14"/>
      <c r="J61" s="14"/>
    </row>
    <row r="62" spans="2:10" x14ac:dyDescent="0.2">
      <c r="B62" s="31" t="s">
        <v>105</v>
      </c>
      <c r="C62" s="31"/>
      <c r="D62" s="31"/>
      <c r="E62" s="32"/>
      <c r="F62" s="33">
        <f>F61</f>
        <v>216142.26000000004</v>
      </c>
      <c r="G62" s="33">
        <f>G61</f>
        <v>94.799999999999983</v>
      </c>
      <c r="H62" s="14"/>
      <c r="I62" s="14"/>
      <c r="J62" s="14"/>
    </row>
    <row r="63" spans="2:10" x14ac:dyDescent="0.2">
      <c r="B63" s="17" t="s">
        <v>756</v>
      </c>
      <c r="C63" s="18"/>
      <c r="D63" s="18"/>
      <c r="E63" s="19"/>
      <c r="F63" s="20"/>
      <c r="G63" s="20"/>
    </row>
    <row r="64" spans="2:10" x14ac:dyDescent="0.2">
      <c r="B64" s="25" t="s">
        <v>756</v>
      </c>
      <c r="C64" s="22"/>
      <c r="D64" s="22"/>
      <c r="E64" s="23"/>
      <c r="F64" s="24">
        <v>8925.27</v>
      </c>
      <c r="G64" s="24">
        <v>3.91</v>
      </c>
    </row>
    <row r="65" spans="2:10" x14ac:dyDescent="0.2">
      <c r="B65" s="27" t="s">
        <v>104</v>
      </c>
      <c r="C65" s="28"/>
      <c r="D65" s="28"/>
      <c r="E65" s="29"/>
      <c r="F65" s="30">
        <f>SUM(F63:F64)</f>
        <v>8925.27</v>
      </c>
      <c r="G65" s="30">
        <f>SUM(G63:G64)</f>
        <v>3.91</v>
      </c>
      <c r="H65" s="14"/>
      <c r="I65" s="14"/>
      <c r="J65" s="14"/>
    </row>
    <row r="66" spans="2:10" x14ac:dyDescent="0.2">
      <c r="B66" s="31" t="s">
        <v>105</v>
      </c>
      <c r="C66" s="31"/>
      <c r="D66" s="31"/>
      <c r="E66" s="32"/>
      <c r="F66" s="33">
        <f>F65</f>
        <v>8925.27</v>
      </c>
      <c r="G66" s="33">
        <f>G65</f>
        <v>3.91</v>
      </c>
      <c r="H66" s="14"/>
      <c r="I66" s="14"/>
      <c r="J66" s="14"/>
    </row>
    <row r="67" spans="2:10" x14ac:dyDescent="0.2">
      <c r="B67" s="34" t="s">
        <v>107</v>
      </c>
      <c r="C67" s="34"/>
      <c r="D67" s="34"/>
      <c r="E67" s="35"/>
      <c r="F67" s="16">
        <f>F68-(+F62+F66)</f>
        <v>2933.0299999999697</v>
      </c>
      <c r="G67" s="16">
        <f>G68-(+G62+G66)</f>
        <v>1.2900000000000205</v>
      </c>
      <c r="H67" s="14"/>
      <c r="I67" s="14"/>
      <c r="J67" s="14"/>
    </row>
    <row r="68" spans="2:10" x14ac:dyDescent="0.2">
      <c r="B68" s="34" t="s">
        <v>106</v>
      </c>
      <c r="C68" s="34"/>
      <c r="D68" s="34"/>
      <c r="E68" s="35"/>
      <c r="F68" s="16">
        <v>228000.56</v>
      </c>
      <c r="G68" s="16">
        <v>100</v>
      </c>
      <c r="H68" s="14"/>
      <c r="I68" s="14"/>
      <c r="J68" s="14"/>
    </row>
    <row r="70" spans="2:10" x14ac:dyDescent="0.2">
      <c r="B70" s="14"/>
    </row>
    <row r="72" spans="2:10" x14ac:dyDescent="0.2">
      <c r="B72" s="14"/>
    </row>
    <row r="75" spans="2:10" x14ac:dyDescent="0.2">
      <c r="B75" s="14"/>
      <c r="C75" s="14"/>
      <c r="D75" s="14"/>
      <c r="E75" s="15"/>
    </row>
    <row r="81" spans="2:5" x14ac:dyDescent="0.2">
      <c r="D81" s="14"/>
      <c r="E81" s="15"/>
    </row>
    <row r="87" spans="2:5" x14ac:dyDescent="0.2">
      <c r="B87" s="14"/>
      <c r="C87" s="14"/>
      <c r="D87" s="14"/>
      <c r="E87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3"/>
  <sheetViews>
    <sheetView workbookViewId="0">
      <selection activeCell="B1" sqref="B1:G1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9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110</v>
      </c>
      <c r="C7" s="22" t="s">
        <v>111</v>
      </c>
      <c r="D7" s="22" t="s">
        <v>112</v>
      </c>
      <c r="E7" s="26">
        <v>1074500</v>
      </c>
      <c r="F7" s="24">
        <v>9977.81</v>
      </c>
      <c r="G7" s="24">
        <v>8.89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473000</v>
      </c>
      <c r="F8" s="24">
        <v>9841.7099999999991</v>
      </c>
      <c r="G8" s="24">
        <v>8.77</v>
      </c>
    </row>
    <row r="9" spans="2:7" x14ac:dyDescent="0.2">
      <c r="B9" s="25" t="s">
        <v>108</v>
      </c>
      <c r="C9" s="22" t="s">
        <v>109</v>
      </c>
      <c r="D9" s="22" t="s">
        <v>43</v>
      </c>
      <c r="E9" s="26">
        <v>648184</v>
      </c>
      <c r="F9" s="24">
        <v>7232.76</v>
      </c>
      <c r="G9" s="24">
        <v>6.45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1626000</v>
      </c>
      <c r="F10" s="24">
        <v>6416.2</v>
      </c>
      <c r="G10" s="24">
        <v>5.72</v>
      </c>
    </row>
    <row r="11" spans="2:7" x14ac:dyDescent="0.2">
      <c r="B11" s="25" t="s">
        <v>113</v>
      </c>
      <c r="C11" s="22" t="s">
        <v>114</v>
      </c>
      <c r="D11" s="22" t="s">
        <v>112</v>
      </c>
      <c r="E11" s="26">
        <v>228000</v>
      </c>
      <c r="F11" s="24">
        <v>5146.53</v>
      </c>
      <c r="G11" s="24">
        <v>4.59</v>
      </c>
    </row>
    <row r="12" spans="2:7" x14ac:dyDescent="0.2">
      <c r="B12" s="25" t="s">
        <v>115</v>
      </c>
      <c r="C12" s="22" t="s">
        <v>116</v>
      </c>
      <c r="D12" s="22" t="s">
        <v>117</v>
      </c>
      <c r="E12" s="26">
        <v>222330</v>
      </c>
      <c r="F12" s="24">
        <v>4707.5</v>
      </c>
      <c r="G12" s="24">
        <v>4.2</v>
      </c>
    </row>
    <row r="13" spans="2:7" x14ac:dyDescent="0.2">
      <c r="B13" s="25" t="s">
        <v>121</v>
      </c>
      <c r="C13" s="22" t="s">
        <v>122</v>
      </c>
      <c r="D13" s="22" t="s">
        <v>123</v>
      </c>
      <c r="E13" s="26">
        <v>142500</v>
      </c>
      <c r="F13" s="24">
        <v>4449.99</v>
      </c>
      <c r="G13" s="24">
        <v>3.97</v>
      </c>
    </row>
    <row r="14" spans="2:7" x14ac:dyDescent="0.2">
      <c r="B14" s="25" t="s">
        <v>118</v>
      </c>
      <c r="C14" s="22" t="s">
        <v>119</v>
      </c>
      <c r="D14" s="22" t="s">
        <v>120</v>
      </c>
      <c r="E14" s="26">
        <v>119150</v>
      </c>
      <c r="F14" s="24">
        <v>4155.71</v>
      </c>
      <c r="G14" s="24">
        <v>3.7</v>
      </c>
    </row>
    <row r="15" spans="2:7" x14ac:dyDescent="0.2">
      <c r="B15" s="25" t="s">
        <v>196</v>
      </c>
      <c r="C15" s="22" t="s">
        <v>197</v>
      </c>
      <c r="D15" s="22" t="s">
        <v>120</v>
      </c>
      <c r="E15" s="26">
        <v>473000</v>
      </c>
      <c r="F15" s="24">
        <v>2718.8</v>
      </c>
      <c r="G15" s="24">
        <v>2.42</v>
      </c>
    </row>
    <row r="16" spans="2:7" x14ac:dyDescent="0.2">
      <c r="B16" s="25" t="s">
        <v>146</v>
      </c>
      <c r="C16" s="22" t="s">
        <v>147</v>
      </c>
      <c r="D16" s="22" t="s">
        <v>148</v>
      </c>
      <c r="E16" s="26">
        <v>128000</v>
      </c>
      <c r="F16" s="24">
        <v>2353.2800000000002</v>
      </c>
      <c r="G16" s="24">
        <v>2.1</v>
      </c>
    </row>
    <row r="17" spans="2:7" x14ac:dyDescent="0.2">
      <c r="B17" s="25" t="s">
        <v>144</v>
      </c>
      <c r="C17" s="22" t="s">
        <v>145</v>
      </c>
      <c r="D17" s="22" t="s">
        <v>117</v>
      </c>
      <c r="E17" s="26">
        <v>60000</v>
      </c>
      <c r="F17" s="24">
        <v>2235.63</v>
      </c>
      <c r="G17" s="24">
        <v>1.99</v>
      </c>
    </row>
    <row r="18" spans="2:7" x14ac:dyDescent="0.2">
      <c r="B18" s="25" t="s">
        <v>128</v>
      </c>
      <c r="C18" s="22" t="s">
        <v>129</v>
      </c>
      <c r="D18" s="22" t="s">
        <v>130</v>
      </c>
      <c r="E18" s="26">
        <v>73000</v>
      </c>
      <c r="F18" s="24">
        <v>2194.42</v>
      </c>
      <c r="G18" s="24">
        <v>1.96</v>
      </c>
    </row>
    <row r="19" spans="2:7" x14ac:dyDescent="0.2">
      <c r="B19" s="25" t="s">
        <v>177</v>
      </c>
      <c r="C19" s="22" t="s">
        <v>178</v>
      </c>
      <c r="D19" s="22" t="s">
        <v>123</v>
      </c>
      <c r="E19" s="26">
        <v>305000</v>
      </c>
      <c r="F19" s="24">
        <v>2176.33</v>
      </c>
      <c r="G19" s="24">
        <v>1.94</v>
      </c>
    </row>
    <row r="20" spans="2:7" x14ac:dyDescent="0.2">
      <c r="B20" s="25" t="s">
        <v>140</v>
      </c>
      <c r="C20" s="22" t="s">
        <v>141</v>
      </c>
      <c r="D20" s="22" t="s">
        <v>120</v>
      </c>
      <c r="E20" s="26">
        <v>135000</v>
      </c>
      <c r="F20" s="24">
        <v>2157.84</v>
      </c>
      <c r="G20" s="24">
        <v>1.92</v>
      </c>
    </row>
    <row r="21" spans="2:7" x14ac:dyDescent="0.2">
      <c r="B21" s="25" t="s">
        <v>69</v>
      </c>
      <c r="C21" s="22" t="s">
        <v>70</v>
      </c>
      <c r="D21" s="22" t="s">
        <v>71</v>
      </c>
      <c r="E21" s="26">
        <v>515000</v>
      </c>
      <c r="F21" s="24">
        <v>2031.42</v>
      </c>
      <c r="G21" s="24">
        <v>1.81</v>
      </c>
    </row>
    <row r="22" spans="2:7" x14ac:dyDescent="0.2">
      <c r="B22" s="25" t="s">
        <v>79</v>
      </c>
      <c r="C22" s="22" t="s">
        <v>80</v>
      </c>
      <c r="D22" s="22" t="s">
        <v>81</v>
      </c>
      <c r="E22" s="26">
        <v>315000</v>
      </c>
      <c r="F22" s="24">
        <v>1999.46</v>
      </c>
      <c r="G22" s="24">
        <v>1.78</v>
      </c>
    </row>
    <row r="23" spans="2:7" x14ac:dyDescent="0.2">
      <c r="B23" s="25" t="s">
        <v>142</v>
      </c>
      <c r="C23" s="22" t="s">
        <v>143</v>
      </c>
      <c r="D23" s="22" t="s">
        <v>130</v>
      </c>
      <c r="E23" s="26">
        <v>26000</v>
      </c>
      <c r="F23" s="24">
        <v>1778.39</v>
      </c>
      <c r="G23" s="24">
        <v>1.58</v>
      </c>
    </row>
    <row r="24" spans="2:7" x14ac:dyDescent="0.2">
      <c r="B24" s="25" t="s">
        <v>133</v>
      </c>
      <c r="C24" s="22" t="s">
        <v>134</v>
      </c>
      <c r="D24" s="22" t="s">
        <v>123</v>
      </c>
      <c r="E24" s="26">
        <v>63255</v>
      </c>
      <c r="F24" s="24">
        <v>1722.24</v>
      </c>
      <c r="G24" s="24">
        <v>1.53</v>
      </c>
    </row>
    <row r="25" spans="2:7" x14ac:dyDescent="0.2">
      <c r="B25" s="25" t="s">
        <v>198</v>
      </c>
      <c r="C25" s="22" t="s">
        <v>199</v>
      </c>
      <c r="D25" s="22" t="s">
        <v>130</v>
      </c>
      <c r="E25" s="26">
        <v>2500000</v>
      </c>
      <c r="F25" s="24">
        <v>1691.25</v>
      </c>
      <c r="G25" s="24">
        <v>1.51</v>
      </c>
    </row>
    <row r="26" spans="2:7" x14ac:dyDescent="0.2">
      <c r="B26" s="25" t="s">
        <v>90</v>
      </c>
      <c r="C26" s="22" t="s">
        <v>91</v>
      </c>
      <c r="D26" s="22" t="s">
        <v>81</v>
      </c>
      <c r="E26" s="26">
        <v>20765</v>
      </c>
      <c r="F26" s="24">
        <v>1680.92</v>
      </c>
      <c r="G26" s="24">
        <v>1.5</v>
      </c>
    </row>
    <row r="27" spans="2:7" x14ac:dyDescent="0.2">
      <c r="B27" s="25" t="s">
        <v>200</v>
      </c>
      <c r="C27" s="22" t="s">
        <v>201</v>
      </c>
      <c r="D27" s="22" t="s">
        <v>81</v>
      </c>
      <c r="E27" s="26">
        <v>96000</v>
      </c>
      <c r="F27" s="24">
        <v>1664.16</v>
      </c>
      <c r="G27" s="24">
        <v>1.48</v>
      </c>
    </row>
    <row r="28" spans="2:7" x14ac:dyDescent="0.2">
      <c r="B28" s="25" t="s">
        <v>46</v>
      </c>
      <c r="C28" s="22" t="s">
        <v>47</v>
      </c>
      <c r="D28" s="22" t="s">
        <v>48</v>
      </c>
      <c r="E28" s="26">
        <v>5016</v>
      </c>
      <c r="F28" s="24">
        <v>1636.39</v>
      </c>
      <c r="G28" s="24">
        <v>1.46</v>
      </c>
    </row>
    <row r="29" spans="2:7" x14ac:dyDescent="0.2">
      <c r="B29" s="25" t="s">
        <v>131</v>
      </c>
      <c r="C29" s="22" t="s">
        <v>132</v>
      </c>
      <c r="D29" s="22" t="s">
        <v>130</v>
      </c>
      <c r="E29" s="26">
        <v>265000</v>
      </c>
      <c r="F29" s="24">
        <v>1608.29</v>
      </c>
      <c r="G29" s="24">
        <v>1.43</v>
      </c>
    </row>
    <row r="30" spans="2:7" x14ac:dyDescent="0.2">
      <c r="B30" s="25" t="s">
        <v>174</v>
      </c>
      <c r="C30" s="22" t="s">
        <v>175</v>
      </c>
      <c r="D30" s="22" t="s">
        <v>176</v>
      </c>
      <c r="E30" s="26">
        <v>86339</v>
      </c>
      <c r="F30" s="24">
        <v>1532.39</v>
      </c>
      <c r="G30" s="24">
        <v>1.37</v>
      </c>
    </row>
    <row r="31" spans="2:7" x14ac:dyDescent="0.2">
      <c r="B31" s="25" t="s">
        <v>202</v>
      </c>
      <c r="C31" s="22" t="s">
        <v>203</v>
      </c>
      <c r="D31" s="22" t="s">
        <v>204</v>
      </c>
      <c r="E31" s="26">
        <v>193000</v>
      </c>
      <c r="F31" s="24">
        <v>1466.9</v>
      </c>
      <c r="G31" s="24">
        <v>1.31</v>
      </c>
    </row>
    <row r="32" spans="2:7" x14ac:dyDescent="0.2">
      <c r="B32" s="25" t="s">
        <v>205</v>
      </c>
      <c r="C32" s="22" t="s">
        <v>206</v>
      </c>
      <c r="D32" s="22" t="s">
        <v>137</v>
      </c>
      <c r="E32" s="26">
        <v>135781</v>
      </c>
      <c r="F32" s="24">
        <v>1422.58</v>
      </c>
      <c r="G32" s="24">
        <v>1.27</v>
      </c>
    </row>
    <row r="33" spans="2:7" x14ac:dyDescent="0.2">
      <c r="B33" s="25" t="s">
        <v>154</v>
      </c>
      <c r="C33" s="22" t="s">
        <v>155</v>
      </c>
      <c r="D33" s="22" t="s">
        <v>81</v>
      </c>
      <c r="E33" s="26">
        <v>126000</v>
      </c>
      <c r="F33" s="24">
        <v>1386.63</v>
      </c>
      <c r="G33" s="24">
        <v>1.24</v>
      </c>
    </row>
    <row r="34" spans="2:7" x14ac:dyDescent="0.2">
      <c r="B34" s="25" t="s">
        <v>52</v>
      </c>
      <c r="C34" s="22" t="s">
        <v>53</v>
      </c>
      <c r="D34" s="22" t="s">
        <v>54</v>
      </c>
      <c r="E34" s="26">
        <v>178911</v>
      </c>
      <c r="F34" s="24">
        <v>1375.65</v>
      </c>
      <c r="G34" s="24">
        <v>1.23</v>
      </c>
    </row>
    <row r="35" spans="2:7" x14ac:dyDescent="0.2">
      <c r="B35" s="25" t="s">
        <v>188</v>
      </c>
      <c r="C35" s="22" t="s">
        <v>189</v>
      </c>
      <c r="D35" s="22" t="s">
        <v>130</v>
      </c>
      <c r="E35" s="26">
        <v>118500</v>
      </c>
      <c r="F35" s="24">
        <v>1288.81</v>
      </c>
      <c r="G35" s="24">
        <v>1.1499999999999999</v>
      </c>
    </row>
    <row r="36" spans="2:7" x14ac:dyDescent="0.2">
      <c r="B36" s="25" t="s">
        <v>207</v>
      </c>
      <c r="C36" s="22" t="s">
        <v>208</v>
      </c>
      <c r="D36" s="22" t="s">
        <v>153</v>
      </c>
      <c r="E36" s="26">
        <v>2100</v>
      </c>
      <c r="F36" s="24">
        <v>1217.74</v>
      </c>
      <c r="G36" s="24">
        <v>1.0900000000000001</v>
      </c>
    </row>
    <row r="37" spans="2:7" x14ac:dyDescent="0.2">
      <c r="B37" s="25" t="s">
        <v>170</v>
      </c>
      <c r="C37" s="22" t="s">
        <v>171</v>
      </c>
      <c r="D37" s="22" t="s">
        <v>120</v>
      </c>
      <c r="E37" s="26">
        <v>144000</v>
      </c>
      <c r="F37" s="24">
        <v>1163.23</v>
      </c>
      <c r="G37" s="24">
        <v>1.04</v>
      </c>
    </row>
    <row r="38" spans="2:7" x14ac:dyDescent="0.2">
      <c r="B38" s="25" t="s">
        <v>135</v>
      </c>
      <c r="C38" s="22" t="s">
        <v>136</v>
      </c>
      <c r="D38" s="22" t="s">
        <v>137</v>
      </c>
      <c r="E38" s="26">
        <v>19599</v>
      </c>
      <c r="F38" s="24">
        <v>1132.9100000000001</v>
      </c>
      <c r="G38" s="24">
        <v>1.01</v>
      </c>
    </row>
    <row r="39" spans="2:7" x14ac:dyDescent="0.2">
      <c r="B39" s="25" t="s">
        <v>160</v>
      </c>
      <c r="C39" s="22" t="s">
        <v>161</v>
      </c>
      <c r="D39" s="22" t="s">
        <v>117</v>
      </c>
      <c r="E39" s="26">
        <v>7050</v>
      </c>
      <c r="F39" s="24">
        <v>1124.44</v>
      </c>
      <c r="G39" s="24">
        <v>1</v>
      </c>
    </row>
    <row r="40" spans="2:7" x14ac:dyDescent="0.2">
      <c r="B40" s="25" t="s">
        <v>151</v>
      </c>
      <c r="C40" s="22" t="s">
        <v>152</v>
      </c>
      <c r="D40" s="22" t="s">
        <v>153</v>
      </c>
      <c r="E40" s="26">
        <v>85000</v>
      </c>
      <c r="F40" s="24">
        <v>1123.6199999999999</v>
      </c>
      <c r="G40" s="24">
        <v>1</v>
      </c>
    </row>
    <row r="41" spans="2:7" x14ac:dyDescent="0.2">
      <c r="B41" s="25" t="s">
        <v>92</v>
      </c>
      <c r="C41" s="22" t="s">
        <v>93</v>
      </c>
      <c r="D41" s="22" t="s">
        <v>51</v>
      </c>
      <c r="E41" s="26">
        <v>525000</v>
      </c>
      <c r="F41" s="24">
        <v>1105.3900000000001</v>
      </c>
      <c r="G41" s="24">
        <v>0.99</v>
      </c>
    </row>
    <row r="42" spans="2:7" x14ac:dyDescent="0.2">
      <c r="B42" s="25" t="s">
        <v>183</v>
      </c>
      <c r="C42" s="22" t="s">
        <v>184</v>
      </c>
      <c r="D42" s="22" t="s">
        <v>120</v>
      </c>
      <c r="E42" s="26">
        <v>450000</v>
      </c>
      <c r="F42" s="24">
        <v>1044.9000000000001</v>
      </c>
      <c r="G42" s="24">
        <v>0.93</v>
      </c>
    </row>
    <row r="43" spans="2:7" x14ac:dyDescent="0.2">
      <c r="B43" s="25" t="s">
        <v>149</v>
      </c>
      <c r="C43" s="22" t="s">
        <v>150</v>
      </c>
      <c r="D43" s="22" t="s">
        <v>123</v>
      </c>
      <c r="E43" s="26">
        <v>55000</v>
      </c>
      <c r="F43" s="24">
        <v>1038.18</v>
      </c>
      <c r="G43" s="24">
        <v>0.93</v>
      </c>
    </row>
    <row r="44" spans="2:7" x14ac:dyDescent="0.2">
      <c r="B44" s="25" t="s">
        <v>166</v>
      </c>
      <c r="C44" s="22" t="s">
        <v>167</v>
      </c>
      <c r="D44" s="22" t="s">
        <v>120</v>
      </c>
      <c r="E44" s="26">
        <v>82000</v>
      </c>
      <c r="F44" s="24">
        <v>1030.49</v>
      </c>
      <c r="G44" s="24">
        <v>0.92</v>
      </c>
    </row>
    <row r="45" spans="2:7" x14ac:dyDescent="0.2">
      <c r="B45" s="25" t="s">
        <v>209</v>
      </c>
      <c r="C45" s="22" t="s">
        <v>210</v>
      </c>
      <c r="D45" s="22" t="s">
        <v>120</v>
      </c>
      <c r="E45" s="26">
        <v>124000</v>
      </c>
      <c r="F45" s="24">
        <v>1026.4100000000001</v>
      </c>
      <c r="G45" s="24">
        <v>0.91</v>
      </c>
    </row>
    <row r="46" spans="2:7" x14ac:dyDescent="0.2">
      <c r="B46" s="25" t="s">
        <v>162</v>
      </c>
      <c r="C46" s="22" t="s">
        <v>163</v>
      </c>
      <c r="D46" s="22" t="s">
        <v>120</v>
      </c>
      <c r="E46" s="26">
        <v>40500</v>
      </c>
      <c r="F46" s="24">
        <v>976.41</v>
      </c>
      <c r="G46" s="24">
        <v>0.87</v>
      </c>
    </row>
    <row r="47" spans="2:7" x14ac:dyDescent="0.2">
      <c r="B47" s="25" t="s">
        <v>211</v>
      </c>
      <c r="C47" s="22" t="s">
        <v>212</v>
      </c>
      <c r="D47" s="22" t="s">
        <v>112</v>
      </c>
      <c r="E47" s="26">
        <v>75000</v>
      </c>
      <c r="F47" s="24">
        <v>866.81</v>
      </c>
      <c r="G47" s="24">
        <v>0.77</v>
      </c>
    </row>
    <row r="48" spans="2:7" x14ac:dyDescent="0.2">
      <c r="B48" s="25" t="s">
        <v>181</v>
      </c>
      <c r="C48" s="22" t="s">
        <v>182</v>
      </c>
      <c r="D48" s="22" t="s">
        <v>137</v>
      </c>
      <c r="E48" s="26">
        <v>44099</v>
      </c>
      <c r="F48" s="24">
        <v>860.79</v>
      </c>
      <c r="G48" s="24">
        <v>0.77</v>
      </c>
    </row>
    <row r="49" spans="2:10" x14ac:dyDescent="0.2">
      <c r="B49" s="25" t="s">
        <v>213</v>
      </c>
      <c r="C49" s="22" t="s">
        <v>214</v>
      </c>
      <c r="D49" s="22" t="s">
        <v>215</v>
      </c>
      <c r="E49" s="26">
        <v>4500</v>
      </c>
      <c r="F49" s="24">
        <v>854.45</v>
      </c>
      <c r="G49" s="24">
        <v>0.76</v>
      </c>
    </row>
    <row r="50" spans="2:10" x14ac:dyDescent="0.2">
      <c r="B50" s="25" t="s">
        <v>216</v>
      </c>
      <c r="C50" s="22" t="s">
        <v>217</v>
      </c>
      <c r="D50" s="22" t="s">
        <v>112</v>
      </c>
      <c r="E50" s="26">
        <v>75000</v>
      </c>
      <c r="F50" s="24">
        <v>827.7</v>
      </c>
      <c r="G50" s="24">
        <v>0.74</v>
      </c>
    </row>
    <row r="51" spans="2:10" x14ac:dyDescent="0.2">
      <c r="B51" s="25" t="s">
        <v>82</v>
      </c>
      <c r="C51" s="22" t="s">
        <v>83</v>
      </c>
      <c r="D51" s="22" t="s">
        <v>51</v>
      </c>
      <c r="E51" s="26">
        <v>4000</v>
      </c>
      <c r="F51" s="24">
        <v>811.32</v>
      </c>
      <c r="G51" s="24">
        <v>0.72</v>
      </c>
    </row>
    <row r="52" spans="2:10" x14ac:dyDescent="0.2">
      <c r="B52" s="25" t="s">
        <v>218</v>
      </c>
      <c r="C52" s="22" t="s">
        <v>219</v>
      </c>
      <c r="D52" s="22" t="s">
        <v>112</v>
      </c>
      <c r="E52" s="26">
        <v>75000</v>
      </c>
      <c r="F52" s="24">
        <v>718.69</v>
      </c>
      <c r="G52" s="24">
        <v>0.64</v>
      </c>
    </row>
    <row r="53" spans="2:10" x14ac:dyDescent="0.2">
      <c r="B53" s="25" t="s">
        <v>124</v>
      </c>
      <c r="C53" s="22" t="s">
        <v>125</v>
      </c>
      <c r="D53" s="22" t="s">
        <v>43</v>
      </c>
      <c r="E53" s="26">
        <v>49500</v>
      </c>
      <c r="F53" s="24">
        <v>693.67</v>
      </c>
      <c r="G53" s="24">
        <v>0.62</v>
      </c>
    </row>
    <row r="54" spans="2:10" x14ac:dyDescent="0.2">
      <c r="B54" s="25" t="s">
        <v>220</v>
      </c>
      <c r="C54" s="22" t="s">
        <v>221</v>
      </c>
      <c r="D54" s="22" t="s">
        <v>43</v>
      </c>
      <c r="E54" s="26">
        <v>100000</v>
      </c>
      <c r="F54" s="24">
        <v>668</v>
      </c>
      <c r="G54" s="24">
        <v>0.6</v>
      </c>
    </row>
    <row r="55" spans="2:10" x14ac:dyDescent="0.2">
      <c r="B55" s="25" t="s">
        <v>49</v>
      </c>
      <c r="C55" s="22" t="s">
        <v>50</v>
      </c>
      <c r="D55" s="22" t="s">
        <v>51</v>
      </c>
      <c r="E55" s="26">
        <v>14500</v>
      </c>
      <c r="F55" s="24">
        <v>566.05999999999995</v>
      </c>
      <c r="G55" s="24">
        <v>0.5</v>
      </c>
    </row>
    <row r="56" spans="2:10" x14ac:dyDescent="0.2">
      <c r="B56" s="25" t="s">
        <v>222</v>
      </c>
      <c r="C56" s="22" t="s">
        <v>223</v>
      </c>
      <c r="D56" s="22" t="s">
        <v>137</v>
      </c>
      <c r="E56" s="26">
        <v>11542</v>
      </c>
      <c r="F56" s="24">
        <v>61.55</v>
      </c>
      <c r="G56" s="24">
        <v>0.05</v>
      </c>
    </row>
    <row r="57" spans="2:10" x14ac:dyDescent="0.2">
      <c r="B57" s="27" t="s">
        <v>104</v>
      </c>
      <c r="C57" s="28"/>
      <c r="D57" s="28"/>
      <c r="E57" s="29"/>
      <c r="F57" s="30">
        <f>SUM(F7:F56)</f>
        <v>108962.74999999999</v>
      </c>
      <c r="G57" s="30">
        <f>SUM(G7:G56)</f>
        <v>97.130000000000038</v>
      </c>
      <c r="H57" s="14"/>
      <c r="I57" s="14"/>
      <c r="J57" s="14"/>
    </row>
    <row r="58" spans="2:10" x14ac:dyDescent="0.2">
      <c r="B58" s="31" t="s">
        <v>105</v>
      </c>
      <c r="C58" s="31"/>
      <c r="D58" s="31"/>
      <c r="E58" s="32"/>
      <c r="F58" s="33">
        <f>F57</f>
        <v>108962.74999999999</v>
      </c>
      <c r="G58" s="33">
        <f>G57</f>
        <v>97.130000000000038</v>
      </c>
      <c r="H58" s="14"/>
      <c r="I58" s="14"/>
      <c r="J58" s="14"/>
    </row>
    <row r="59" spans="2:10" x14ac:dyDescent="0.2">
      <c r="B59" s="17" t="s">
        <v>756</v>
      </c>
      <c r="C59" s="18"/>
      <c r="D59" s="18"/>
      <c r="E59" s="19"/>
      <c r="F59" s="20"/>
      <c r="G59" s="20"/>
    </row>
    <row r="60" spans="2:10" x14ac:dyDescent="0.2">
      <c r="B60" s="25" t="s">
        <v>756</v>
      </c>
      <c r="C60" s="22"/>
      <c r="D60" s="22"/>
      <c r="E60" s="23"/>
      <c r="F60" s="24">
        <v>3665.91</v>
      </c>
      <c r="G60" s="24">
        <v>3.27</v>
      </c>
    </row>
    <row r="61" spans="2:10" x14ac:dyDescent="0.2">
      <c r="B61" s="27" t="s">
        <v>104</v>
      </c>
      <c r="C61" s="28"/>
      <c r="D61" s="28"/>
      <c r="E61" s="29"/>
      <c r="F61" s="30">
        <f>SUM(F59:F60)</f>
        <v>3665.91</v>
      </c>
      <c r="G61" s="30">
        <f>SUM(G59:G60)</f>
        <v>3.27</v>
      </c>
      <c r="H61" s="14"/>
      <c r="I61" s="14"/>
      <c r="J61" s="14"/>
    </row>
    <row r="62" spans="2:10" x14ac:dyDescent="0.2">
      <c r="B62" s="31" t="s">
        <v>105</v>
      </c>
      <c r="C62" s="31"/>
      <c r="D62" s="31"/>
      <c r="E62" s="32"/>
      <c r="F62" s="33">
        <f>F61</f>
        <v>3665.91</v>
      </c>
      <c r="G62" s="33">
        <f>G61</f>
        <v>3.27</v>
      </c>
      <c r="H62" s="14"/>
      <c r="I62" s="14"/>
      <c r="J62" s="14"/>
    </row>
    <row r="63" spans="2:10" x14ac:dyDescent="0.2">
      <c r="B63" s="34" t="s">
        <v>107</v>
      </c>
      <c r="C63" s="34"/>
      <c r="D63" s="34"/>
      <c r="E63" s="35"/>
      <c r="F63" s="16">
        <f>F64-(+F58+F62)</f>
        <v>-423.8799999999901</v>
      </c>
      <c r="G63" s="16">
        <f>G64-(+G58+G62)</f>
        <v>-0.40000000000003411</v>
      </c>
      <c r="H63" s="14"/>
      <c r="I63" s="14"/>
      <c r="J63" s="14"/>
    </row>
    <row r="64" spans="2:10" x14ac:dyDescent="0.2">
      <c r="B64" s="34" t="s">
        <v>106</v>
      </c>
      <c r="C64" s="34"/>
      <c r="D64" s="34"/>
      <c r="E64" s="35"/>
      <c r="F64" s="16">
        <v>112204.78</v>
      </c>
      <c r="G64" s="16">
        <v>100</v>
      </c>
      <c r="H64" s="14"/>
      <c r="I64" s="14"/>
      <c r="J64" s="14"/>
    </row>
    <row r="66" spans="2:5" x14ac:dyDescent="0.2">
      <c r="B66" s="14"/>
    </row>
    <row r="68" spans="2:5" x14ac:dyDescent="0.2">
      <c r="B68" s="14"/>
    </row>
    <row r="71" spans="2:5" x14ac:dyDescent="0.2">
      <c r="B71" s="14"/>
      <c r="C71" s="14"/>
      <c r="D71" s="14"/>
      <c r="E71" s="15"/>
    </row>
    <row r="77" spans="2:5" x14ac:dyDescent="0.2">
      <c r="D77" s="14"/>
      <c r="E77" s="15"/>
    </row>
    <row r="83" spans="2:5" x14ac:dyDescent="0.2">
      <c r="B83" s="14"/>
      <c r="C83" s="14"/>
      <c r="D83" s="14"/>
      <c r="E8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2"/>
  <sheetViews>
    <sheetView topLeftCell="A7" workbookViewId="0">
      <selection activeCell="G7" sqref="G7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10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38</v>
      </c>
      <c r="C7" s="22" t="s">
        <v>39</v>
      </c>
      <c r="D7" s="22" t="s">
        <v>40</v>
      </c>
      <c r="E7" s="26">
        <v>1608000</v>
      </c>
      <c r="F7" s="24">
        <v>33457.660000000003</v>
      </c>
      <c r="G7" s="24">
        <v>5.69</v>
      </c>
    </row>
    <row r="8" spans="2:7" x14ac:dyDescent="0.2">
      <c r="B8" s="25" t="s">
        <v>108</v>
      </c>
      <c r="C8" s="22" t="s">
        <v>109</v>
      </c>
      <c r="D8" s="22" t="s">
        <v>43</v>
      </c>
      <c r="E8" s="26">
        <v>2941000</v>
      </c>
      <c r="F8" s="24">
        <v>32817.15</v>
      </c>
      <c r="G8" s="24">
        <v>5.58</v>
      </c>
    </row>
    <row r="9" spans="2:7" x14ac:dyDescent="0.2">
      <c r="B9" s="25" t="s">
        <v>41</v>
      </c>
      <c r="C9" s="22" t="s">
        <v>42</v>
      </c>
      <c r="D9" s="22" t="s">
        <v>43</v>
      </c>
      <c r="E9" s="26">
        <v>7098000</v>
      </c>
      <c r="F9" s="24">
        <v>28008.71</v>
      </c>
      <c r="G9" s="24">
        <v>4.7699999999999996</v>
      </c>
    </row>
    <row r="10" spans="2:7" x14ac:dyDescent="0.2">
      <c r="B10" s="25" t="s">
        <v>110</v>
      </c>
      <c r="C10" s="22" t="s">
        <v>111</v>
      </c>
      <c r="D10" s="22" t="s">
        <v>112</v>
      </c>
      <c r="E10" s="26">
        <v>2435000</v>
      </c>
      <c r="F10" s="24">
        <v>22611.41</v>
      </c>
      <c r="G10" s="24">
        <v>3.85</v>
      </c>
    </row>
    <row r="11" spans="2:7" x14ac:dyDescent="0.2">
      <c r="B11" s="25" t="s">
        <v>158</v>
      </c>
      <c r="C11" s="22" t="s">
        <v>159</v>
      </c>
      <c r="D11" s="22" t="s">
        <v>43</v>
      </c>
      <c r="E11" s="26">
        <v>3563090</v>
      </c>
      <c r="F11" s="24">
        <v>17699.650000000001</v>
      </c>
      <c r="G11" s="24">
        <v>3.01</v>
      </c>
    </row>
    <row r="12" spans="2:7" x14ac:dyDescent="0.2">
      <c r="B12" s="25" t="s">
        <v>135</v>
      </c>
      <c r="C12" s="22" t="s">
        <v>136</v>
      </c>
      <c r="D12" s="22" t="s">
        <v>137</v>
      </c>
      <c r="E12" s="26">
        <v>296662</v>
      </c>
      <c r="F12" s="24">
        <v>17148.400000000001</v>
      </c>
      <c r="G12" s="24">
        <v>2.92</v>
      </c>
    </row>
    <row r="13" spans="2:7" x14ac:dyDescent="0.2">
      <c r="B13" s="25" t="s">
        <v>118</v>
      </c>
      <c r="C13" s="22" t="s">
        <v>119</v>
      </c>
      <c r="D13" s="22" t="s">
        <v>120</v>
      </c>
      <c r="E13" s="26">
        <v>448000</v>
      </c>
      <c r="F13" s="24">
        <v>15625.34</v>
      </c>
      <c r="G13" s="24">
        <v>2.66</v>
      </c>
    </row>
    <row r="14" spans="2:7" x14ac:dyDescent="0.2">
      <c r="B14" s="25" t="s">
        <v>79</v>
      </c>
      <c r="C14" s="22" t="s">
        <v>80</v>
      </c>
      <c r="D14" s="22" t="s">
        <v>81</v>
      </c>
      <c r="E14" s="26">
        <v>2121175</v>
      </c>
      <c r="F14" s="24">
        <v>13464.16</v>
      </c>
      <c r="G14" s="24">
        <v>2.29</v>
      </c>
    </row>
    <row r="15" spans="2:7" x14ac:dyDescent="0.2">
      <c r="B15" s="25" t="s">
        <v>149</v>
      </c>
      <c r="C15" s="22" t="s">
        <v>150</v>
      </c>
      <c r="D15" s="22" t="s">
        <v>123</v>
      </c>
      <c r="E15" s="26">
        <v>699923</v>
      </c>
      <c r="F15" s="24">
        <v>13211.75</v>
      </c>
      <c r="G15" s="24">
        <v>2.25</v>
      </c>
    </row>
    <row r="16" spans="2:7" x14ac:dyDescent="0.2">
      <c r="B16" s="25" t="s">
        <v>115</v>
      </c>
      <c r="C16" s="22" t="s">
        <v>116</v>
      </c>
      <c r="D16" s="22" t="s">
        <v>117</v>
      </c>
      <c r="E16" s="26">
        <v>600000</v>
      </c>
      <c r="F16" s="24">
        <v>12704.1</v>
      </c>
      <c r="G16" s="24">
        <v>2.16</v>
      </c>
    </row>
    <row r="17" spans="2:7" x14ac:dyDescent="0.2">
      <c r="B17" s="25" t="s">
        <v>179</v>
      </c>
      <c r="C17" s="22" t="s">
        <v>180</v>
      </c>
      <c r="D17" s="22" t="s">
        <v>153</v>
      </c>
      <c r="E17" s="26">
        <v>3664976</v>
      </c>
      <c r="F17" s="24">
        <v>12460.92</v>
      </c>
      <c r="G17" s="24">
        <v>2.12</v>
      </c>
    </row>
    <row r="18" spans="2:7" x14ac:dyDescent="0.2">
      <c r="B18" s="25" t="s">
        <v>151</v>
      </c>
      <c r="C18" s="22" t="s">
        <v>152</v>
      </c>
      <c r="D18" s="22" t="s">
        <v>153</v>
      </c>
      <c r="E18" s="26">
        <v>921072</v>
      </c>
      <c r="F18" s="24">
        <v>12175.65</v>
      </c>
      <c r="G18" s="24">
        <v>2.0699999999999998</v>
      </c>
    </row>
    <row r="19" spans="2:7" x14ac:dyDescent="0.2">
      <c r="B19" s="25" t="s">
        <v>183</v>
      </c>
      <c r="C19" s="22" t="s">
        <v>184</v>
      </c>
      <c r="D19" s="22" t="s">
        <v>120</v>
      </c>
      <c r="E19" s="26">
        <v>4969719</v>
      </c>
      <c r="F19" s="24">
        <v>11539.69</v>
      </c>
      <c r="G19" s="24">
        <v>1.96</v>
      </c>
    </row>
    <row r="20" spans="2:7" x14ac:dyDescent="0.2">
      <c r="B20" s="25" t="s">
        <v>224</v>
      </c>
      <c r="C20" s="22" t="s">
        <v>225</v>
      </c>
      <c r="D20" s="22" t="s">
        <v>120</v>
      </c>
      <c r="E20" s="26">
        <v>8500000</v>
      </c>
      <c r="F20" s="24">
        <v>11449.5</v>
      </c>
      <c r="G20" s="24">
        <v>1.95</v>
      </c>
    </row>
    <row r="21" spans="2:7" x14ac:dyDescent="0.2">
      <c r="B21" s="25" t="s">
        <v>72</v>
      </c>
      <c r="C21" s="22" t="s">
        <v>73</v>
      </c>
      <c r="D21" s="22" t="s">
        <v>71</v>
      </c>
      <c r="E21" s="26">
        <v>3419300</v>
      </c>
      <c r="F21" s="24">
        <v>11128.11</v>
      </c>
      <c r="G21" s="24">
        <v>1.89</v>
      </c>
    </row>
    <row r="22" spans="2:7" x14ac:dyDescent="0.2">
      <c r="B22" s="25" t="s">
        <v>172</v>
      </c>
      <c r="C22" s="22" t="s">
        <v>173</v>
      </c>
      <c r="D22" s="22" t="s">
        <v>81</v>
      </c>
      <c r="E22" s="26">
        <v>521405</v>
      </c>
      <c r="F22" s="24">
        <v>11060.82</v>
      </c>
      <c r="G22" s="24">
        <v>1.88</v>
      </c>
    </row>
    <row r="23" spans="2:7" x14ac:dyDescent="0.2">
      <c r="B23" s="25" t="s">
        <v>69</v>
      </c>
      <c r="C23" s="22" t="s">
        <v>70</v>
      </c>
      <c r="D23" s="22" t="s">
        <v>71</v>
      </c>
      <c r="E23" s="26">
        <v>2660534</v>
      </c>
      <c r="F23" s="24">
        <v>10494.48</v>
      </c>
      <c r="G23" s="24">
        <v>1.79</v>
      </c>
    </row>
    <row r="24" spans="2:7" x14ac:dyDescent="0.2">
      <c r="B24" s="25" t="s">
        <v>121</v>
      </c>
      <c r="C24" s="22" t="s">
        <v>122</v>
      </c>
      <c r="D24" s="22" t="s">
        <v>123</v>
      </c>
      <c r="E24" s="26">
        <v>330378</v>
      </c>
      <c r="F24" s="24">
        <v>10317.040000000001</v>
      </c>
      <c r="G24" s="24">
        <v>1.76</v>
      </c>
    </row>
    <row r="25" spans="2:7" x14ac:dyDescent="0.2">
      <c r="B25" s="25" t="s">
        <v>226</v>
      </c>
      <c r="C25" s="22" t="s">
        <v>227</v>
      </c>
      <c r="D25" s="22" t="s">
        <v>117</v>
      </c>
      <c r="E25" s="26">
        <v>1930000</v>
      </c>
      <c r="F25" s="24">
        <v>10274.36</v>
      </c>
      <c r="G25" s="24">
        <v>1.75</v>
      </c>
    </row>
    <row r="26" spans="2:7" x14ac:dyDescent="0.2">
      <c r="B26" s="25" t="s">
        <v>64</v>
      </c>
      <c r="C26" s="22" t="s">
        <v>65</v>
      </c>
      <c r="D26" s="22" t="s">
        <v>66</v>
      </c>
      <c r="E26" s="26">
        <v>1989667</v>
      </c>
      <c r="F26" s="24">
        <v>10208.98</v>
      </c>
      <c r="G26" s="24">
        <v>1.74</v>
      </c>
    </row>
    <row r="27" spans="2:7" x14ac:dyDescent="0.2">
      <c r="B27" s="25" t="s">
        <v>46</v>
      </c>
      <c r="C27" s="22" t="s">
        <v>47</v>
      </c>
      <c r="D27" s="22" t="s">
        <v>48</v>
      </c>
      <c r="E27" s="26">
        <v>31070</v>
      </c>
      <c r="F27" s="24">
        <v>10136.120000000001</v>
      </c>
      <c r="G27" s="24">
        <v>1.72</v>
      </c>
    </row>
    <row r="28" spans="2:7" x14ac:dyDescent="0.2">
      <c r="B28" s="25" t="s">
        <v>133</v>
      </c>
      <c r="C28" s="22" t="s">
        <v>134</v>
      </c>
      <c r="D28" s="22" t="s">
        <v>123</v>
      </c>
      <c r="E28" s="26">
        <v>371623</v>
      </c>
      <c r="F28" s="24">
        <v>10118.18</v>
      </c>
      <c r="G28" s="24">
        <v>1.72</v>
      </c>
    </row>
    <row r="29" spans="2:7" x14ac:dyDescent="0.2">
      <c r="B29" s="25" t="s">
        <v>124</v>
      </c>
      <c r="C29" s="22" t="s">
        <v>125</v>
      </c>
      <c r="D29" s="22" t="s">
        <v>43</v>
      </c>
      <c r="E29" s="26">
        <v>707877</v>
      </c>
      <c r="F29" s="24">
        <v>9919.83</v>
      </c>
      <c r="G29" s="24">
        <v>1.69</v>
      </c>
    </row>
    <row r="30" spans="2:7" x14ac:dyDescent="0.2">
      <c r="B30" s="25" t="s">
        <v>146</v>
      </c>
      <c r="C30" s="22" t="s">
        <v>147</v>
      </c>
      <c r="D30" s="22" t="s">
        <v>148</v>
      </c>
      <c r="E30" s="26">
        <v>528812</v>
      </c>
      <c r="F30" s="24">
        <v>9722.2099999999991</v>
      </c>
      <c r="G30" s="24">
        <v>1.65</v>
      </c>
    </row>
    <row r="31" spans="2:7" x14ac:dyDescent="0.2">
      <c r="B31" s="25" t="s">
        <v>181</v>
      </c>
      <c r="C31" s="22" t="s">
        <v>182</v>
      </c>
      <c r="D31" s="22" t="s">
        <v>137</v>
      </c>
      <c r="E31" s="26">
        <v>495131</v>
      </c>
      <c r="F31" s="24">
        <v>9664.7099999999991</v>
      </c>
      <c r="G31" s="24">
        <v>1.64</v>
      </c>
    </row>
    <row r="32" spans="2:7" x14ac:dyDescent="0.2">
      <c r="B32" s="25" t="s">
        <v>164</v>
      </c>
      <c r="C32" s="22" t="s">
        <v>165</v>
      </c>
      <c r="D32" s="22" t="s">
        <v>81</v>
      </c>
      <c r="E32" s="26">
        <v>736983</v>
      </c>
      <c r="F32" s="24">
        <v>9573.7800000000007</v>
      </c>
      <c r="G32" s="24">
        <v>1.63</v>
      </c>
    </row>
    <row r="33" spans="2:7" x14ac:dyDescent="0.2">
      <c r="B33" s="25" t="s">
        <v>55</v>
      </c>
      <c r="C33" s="22" t="s">
        <v>56</v>
      </c>
      <c r="D33" s="22" t="s">
        <v>57</v>
      </c>
      <c r="E33" s="26">
        <v>527414</v>
      </c>
      <c r="F33" s="24">
        <v>9502.15</v>
      </c>
      <c r="G33" s="24">
        <v>1.62</v>
      </c>
    </row>
    <row r="34" spans="2:7" x14ac:dyDescent="0.2">
      <c r="B34" s="25" t="s">
        <v>170</v>
      </c>
      <c r="C34" s="22" t="s">
        <v>171</v>
      </c>
      <c r="D34" s="22" t="s">
        <v>120</v>
      </c>
      <c r="E34" s="26">
        <v>1135000</v>
      </c>
      <c r="F34" s="24">
        <v>9168.5300000000007</v>
      </c>
      <c r="G34" s="24">
        <v>1.56</v>
      </c>
    </row>
    <row r="35" spans="2:7" x14ac:dyDescent="0.2">
      <c r="B35" s="25" t="s">
        <v>131</v>
      </c>
      <c r="C35" s="22" t="s">
        <v>132</v>
      </c>
      <c r="D35" s="22" t="s">
        <v>130</v>
      </c>
      <c r="E35" s="26">
        <v>1500000</v>
      </c>
      <c r="F35" s="24">
        <v>9103.5</v>
      </c>
      <c r="G35" s="24">
        <v>1.55</v>
      </c>
    </row>
    <row r="36" spans="2:7" x14ac:dyDescent="0.2">
      <c r="B36" s="25" t="s">
        <v>185</v>
      </c>
      <c r="C36" s="22" t="s">
        <v>186</v>
      </c>
      <c r="D36" s="22" t="s">
        <v>187</v>
      </c>
      <c r="E36" s="26">
        <v>393005</v>
      </c>
      <c r="F36" s="24">
        <v>8847.5300000000007</v>
      </c>
      <c r="G36" s="24">
        <v>1.51</v>
      </c>
    </row>
    <row r="37" spans="2:7" x14ac:dyDescent="0.2">
      <c r="B37" s="25" t="s">
        <v>138</v>
      </c>
      <c r="C37" s="22" t="s">
        <v>139</v>
      </c>
      <c r="D37" s="22" t="s">
        <v>123</v>
      </c>
      <c r="E37" s="26">
        <v>53776</v>
      </c>
      <c r="F37" s="24">
        <v>8806.9500000000007</v>
      </c>
      <c r="G37" s="24">
        <v>1.5</v>
      </c>
    </row>
    <row r="38" spans="2:7" x14ac:dyDescent="0.2">
      <c r="B38" s="25" t="s">
        <v>113</v>
      </c>
      <c r="C38" s="22" t="s">
        <v>114</v>
      </c>
      <c r="D38" s="22" t="s">
        <v>112</v>
      </c>
      <c r="E38" s="26">
        <v>390000</v>
      </c>
      <c r="F38" s="24">
        <v>8803.2800000000007</v>
      </c>
      <c r="G38" s="24">
        <v>1.5</v>
      </c>
    </row>
    <row r="39" spans="2:7" x14ac:dyDescent="0.2">
      <c r="B39" s="25" t="s">
        <v>228</v>
      </c>
      <c r="C39" s="22" t="s">
        <v>229</v>
      </c>
      <c r="D39" s="22" t="s">
        <v>117</v>
      </c>
      <c r="E39" s="26">
        <v>1833216</v>
      </c>
      <c r="F39" s="24">
        <v>8759.11</v>
      </c>
      <c r="G39" s="24">
        <v>1.49</v>
      </c>
    </row>
    <row r="40" spans="2:7" x14ac:dyDescent="0.2">
      <c r="B40" s="25" t="s">
        <v>230</v>
      </c>
      <c r="C40" s="22" t="s">
        <v>231</v>
      </c>
      <c r="D40" s="22" t="s">
        <v>187</v>
      </c>
      <c r="E40" s="26">
        <v>6206870</v>
      </c>
      <c r="F40" s="24">
        <v>8683.41</v>
      </c>
      <c r="G40" s="24">
        <v>1.48</v>
      </c>
    </row>
    <row r="41" spans="2:7" x14ac:dyDescent="0.2">
      <c r="B41" s="25" t="s">
        <v>192</v>
      </c>
      <c r="C41" s="22" t="s">
        <v>193</v>
      </c>
      <c r="D41" s="22" t="s">
        <v>123</v>
      </c>
      <c r="E41" s="26">
        <v>1650000</v>
      </c>
      <c r="F41" s="24">
        <v>8584.1299999999992</v>
      </c>
      <c r="G41" s="24">
        <v>1.46</v>
      </c>
    </row>
    <row r="42" spans="2:7" x14ac:dyDescent="0.2">
      <c r="B42" s="25" t="s">
        <v>194</v>
      </c>
      <c r="C42" s="22" t="s">
        <v>195</v>
      </c>
      <c r="D42" s="22" t="s">
        <v>117</v>
      </c>
      <c r="E42" s="26">
        <v>388954</v>
      </c>
      <c r="F42" s="24">
        <v>8156.37</v>
      </c>
      <c r="G42" s="24">
        <v>1.39</v>
      </c>
    </row>
    <row r="43" spans="2:7" x14ac:dyDescent="0.2">
      <c r="B43" s="25" t="s">
        <v>144</v>
      </c>
      <c r="C43" s="22" t="s">
        <v>145</v>
      </c>
      <c r="D43" s="22" t="s">
        <v>117</v>
      </c>
      <c r="E43" s="26">
        <v>218012</v>
      </c>
      <c r="F43" s="24">
        <v>8123.24</v>
      </c>
      <c r="G43" s="24">
        <v>1.38</v>
      </c>
    </row>
    <row r="44" spans="2:7" x14ac:dyDescent="0.2">
      <c r="B44" s="25" t="s">
        <v>49</v>
      </c>
      <c r="C44" s="22" t="s">
        <v>50</v>
      </c>
      <c r="D44" s="22" t="s">
        <v>51</v>
      </c>
      <c r="E44" s="26">
        <v>205000</v>
      </c>
      <c r="F44" s="24">
        <v>8002.89</v>
      </c>
      <c r="G44" s="24">
        <v>1.36</v>
      </c>
    </row>
    <row r="45" spans="2:7" x14ac:dyDescent="0.2">
      <c r="B45" s="25" t="s">
        <v>62</v>
      </c>
      <c r="C45" s="22" t="s">
        <v>63</v>
      </c>
      <c r="D45" s="22" t="s">
        <v>51</v>
      </c>
      <c r="E45" s="26">
        <v>1124043</v>
      </c>
      <c r="F45" s="24">
        <v>7790.18</v>
      </c>
      <c r="G45" s="24">
        <v>1.33</v>
      </c>
    </row>
    <row r="46" spans="2:7" x14ac:dyDescent="0.2">
      <c r="B46" s="25" t="s">
        <v>140</v>
      </c>
      <c r="C46" s="22" t="s">
        <v>141</v>
      </c>
      <c r="D46" s="22" t="s">
        <v>120</v>
      </c>
      <c r="E46" s="26">
        <v>442000</v>
      </c>
      <c r="F46" s="24">
        <v>7064.93</v>
      </c>
      <c r="G46" s="24">
        <v>1.2</v>
      </c>
    </row>
    <row r="47" spans="2:7" x14ac:dyDescent="0.2">
      <c r="B47" s="25" t="s">
        <v>154</v>
      </c>
      <c r="C47" s="22" t="s">
        <v>155</v>
      </c>
      <c r="D47" s="22" t="s">
        <v>81</v>
      </c>
      <c r="E47" s="26">
        <v>588000</v>
      </c>
      <c r="F47" s="24">
        <v>6470.94</v>
      </c>
      <c r="G47" s="24">
        <v>1.1000000000000001</v>
      </c>
    </row>
    <row r="48" spans="2:7" x14ac:dyDescent="0.2">
      <c r="B48" s="25" t="s">
        <v>174</v>
      </c>
      <c r="C48" s="22" t="s">
        <v>175</v>
      </c>
      <c r="D48" s="22" t="s">
        <v>176</v>
      </c>
      <c r="E48" s="26">
        <v>342586</v>
      </c>
      <c r="F48" s="24">
        <v>6080.39</v>
      </c>
      <c r="G48" s="24">
        <v>1.03</v>
      </c>
    </row>
    <row r="49" spans="2:10" x14ac:dyDescent="0.2">
      <c r="B49" s="25" t="s">
        <v>232</v>
      </c>
      <c r="C49" s="22" t="s">
        <v>233</v>
      </c>
      <c r="D49" s="22" t="s">
        <v>57</v>
      </c>
      <c r="E49" s="26">
        <v>1206703</v>
      </c>
      <c r="F49" s="24">
        <v>5927.33</v>
      </c>
      <c r="G49" s="24">
        <v>1.01</v>
      </c>
    </row>
    <row r="50" spans="2:10" x14ac:dyDescent="0.2">
      <c r="B50" s="25" t="s">
        <v>126</v>
      </c>
      <c r="C50" s="22" t="s">
        <v>127</v>
      </c>
      <c r="D50" s="22" t="s">
        <v>120</v>
      </c>
      <c r="E50" s="26">
        <v>317000</v>
      </c>
      <c r="F50" s="24">
        <v>5809.34</v>
      </c>
      <c r="G50" s="24">
        <v>0.99</v>
      </c>
    </row>
    <row r="51" spans="2:10" x14ac:dyDescent="0.2">
      <c r="B51" s="25" t="s">
        <v>190</v>
      </c>
      <c r="C51" s="22" t="s">
        <v>191</v>
      </c>
      <c r="D51" s="22" t="s">
        <v>112</v>
      </c>
      <c r="E51" s="26">
        <v>235593</v>
      </c>
      <c r="F51" s="24">
        <v>5791.7</v>
      </c>
      <c r="G51" s="24">
        <v>0.99</v>
      </c>
    </row>
    <row r="52" spans="2:10" x14ac:dyDescent="0.2">
      <c r="B52" s="25" t="s">
        <v>211</v>
      </c>
      <c r="C52" s="22" t="s">
        <v>212</v>
      </c>
      <c r="D52" s="22" t="s">
        <v>112</v>
      </c>
      <c r="E52" s="26">
        <v>498296</v>
      </c>
      <c r="F52" s="24">
        <v>5759.06</v>
      </c>
      <c r="G52" s="24">
        <v>0.98</v>
      </c>
    </row>
    <row r="53" spans="2:10" x14ac:dyDescent="0.2">
      <c r="B53" s="25" t="s">
        <v>234</v>
      </c>
      <c r="C53" s="22" t="s">
        <v>235</v>
      </c>
      <c r="D53" s="22" t="s">
        <v>43</v>
      </c>
      <c r="E53" s="26">
        <v>4235101</v>
      </c>
      <c r="F53" s="24">
        <v>5717.39</v>
      </c>
      <c r="G53" s="24">
        <v>0.97</v>
      </c>
    </row>
    <row r="54" spans="2:10" x14ac:dyDescent="0.2">
      <c r="B54" s="25" t="s">
        <v>236</v>
      </c>
      <c r="C54" s="22" t="s">
        <v>237</v>
      </c>
      <c r="D54" s="22" t="s">
        <v>123</v>
      </c>
      <c r="E54" s="26">
        <v>1069941</v>
      </c>
      <c r="F54" s="24">
        <v>5073.66</v>
      </c>
      <c r="G54" s="24">
        <v>0.86</v>
      </c>
    </row>
    <row r="55" spans="2:10" x14ac:dyDescent="0.2">
      <c r="B55" s="25" t="s">
        <v>238</v>
      </c>
      <c r="C55" s="22" t="s">
        <v>239</v>
      </c>
      <c r="D55" s="22" t="s">
        <v>240</v>
      </c>
      <c r="E55" s="26">
        <v>377028</v>
      </c>
      <c r="F55" s="24">
        <v>5068.2</v>
      </c>
      <c r="G55" s="24">
        <v>0.86</v>
      </c>
    </row>
    <row r="56" spans="2:10" x14ac:dyDescent="0.2">
      <c r="B56" s="25" t="s">
        <v>162</v>
      </c>
      <c r="C56" s="22" t="s">
        <v>163</v>
      </c>
      <c r="D56" s="22" t="s">
        <v>120</v>
      </c>
      <c r="E56" s="26">
        <v>210000</v>
      </c>
      <c r="F56" s="24">
        <v>5062.8900000000003</v>
      </c>
      <c r="G56" s="24">
        <v>0.86</v>
      </c>
    </row>
    <row r="57" spans="2:10" x14ac:dyDescent="0.2">
      <c r="B57" s="25" t="s">
        <v>241</v>
      </c>
      <c r="C57" s="22" t="s">
        <v>242</v>
      </c>
      <c r="D57" s="22" t="s">
        <v>243</v>
      </c>
      <c r="E57" s="26">
        <v>1096805</v>
      </c>
      <c r="F57" s="24">
        <v>3656.75</v>
      </c>
      <c r="G57" s="24">
        <v>0.62</v>
      </c>
    </row>
    <row r="58" spans="2:10" x14ac:dyDescent="0.2">
      <c r="B58" s="25" t="s">
        <v>52</v>
      </c>
      <c r="C58" s="22" t="s">
        <v>53</v>
      </c>
      <c r="D58" s="22" t="s">
        <v>54</v>
      </c>
      <c r="E58" s="26">
        <v>378781</v>
      </c>
      <c r="F58" s="24">
        <v>2912.45</v>
      </c>
      <c r="G58" s="24">
        <v>0.5</v>
      </c>
    </row>
    <row r="59" spans="2:10" x14ac:dyDescent="0.2">
      <c r="B59" s="25" t="s">
        <v>74</v>
      </c>
      <c r="C59" s="22" t="s">
        <v>75</v>
      </c>
      <c r="D59" s="22" t="s">
        <v>54</v>
      </c>
      <c r="E59" s="26">
        <v>991685</v>
      </c>
      <c r="F59" s="24">
        <v>2092.46</v>
      </c>
      <c r="G59" s="24">
        <v>0.36</v>
      </c>
    </row>
    <row r="60" spans="2:10" x14ac:dyDescent="0.2">
      <c r="B60" s="25" t="s">
        <v>102</v>
      </c>
      <c r="C60" s="22" t="s">
        <v>103</v>
      </c>
      <c r="D60" s="22" t="s">
        <v>48</v>
      </c>
      <c r="E60" s="26">
        <v>747452</v>
      </c>
      <c r="F60" s="24">
        <v>1907.5</v>
      </c>
      <c r="G60" s="24">
        <v>0.32</v>
      </c>
    </row>
    <row r="61" spans="2:10" x14ac:dyDescent="0.2">
      <c r="B61" s="25" t="s">
        <v>220</v>
      </c>
      <c r="C61" s="22" t="s">
        <v>221</v>
      </c>
      <c r="D61" s="22" t="s">
        <v>43</v>
      </c>
      <c r="E61" s="26">
        <v>260078</v>
      </c>
      <c r="F61" s="24">
        <v>1737.32</v>
      </c>
      <c r="G61" s="24">
        <v>0.3</v>
      </c>
    </row>
    <row r="62" spans="2:10" x14ac:dyDescent="0.2">
      <c r="B62" s="25" t="s">
        <v>230</v>
      </c>
      <c r="C62" s="22" t="s">
        <v>244</v>
      </c>
      <c r="D62" s="22" t="s">
        <v>187</v>
      </c>
      <c r="E62" s="26">
        <v>767000</v>
      </c>
      <c r="F62" s="24">
        <v>599.41</v>
      </c>
      <c r="G62" s="24">
        <v>0.1</v>
      </c>
    </row>
    <row r="63" spans="2:10" x14ac:dyDescent="0.2">
      <c r="B63" s="27" t="s">
        <v>104</v>
      </c>
      <c r="C63" s="28"/>
      <c r="D63" s="28"/>
      <c r="E63" s="29"/>
      <c r="F63" s="30">
        <f>SUM(F7:F62)</f>
        <v>566055.70000000007</v>
      </c>
      <c r="G63" s="30">
        <f>SUM(G7:G62)</f>
        <v>96.319999999999965</v>
      </c>
      <c r="H63" s="14"/>
      <c r="I63" s="14"/>
      <c r="J63" s="14"/>
    </row>
    <row r="64" spans="2:10" x14ac:dyDescent="0.2">
      <c r="B64" s="31" t="s">
        <v>105</v>
      </c>
      <c r="C64" s="31"/>
      <c r="D64" s="31"/>
      <c r="E64" s="32"/>
      <c r="F64" s="33">
        <f>F63</f>
        <v>566055.70000000007</v>
      </c>
      <c r="G64" s="33">
        <f>G63</f>
        <v>96.319999999999965</v>
      </c>
      <c r="H64" s="14"/>
      <c r="I64" s="14"/>
      <c r="J64" s="14"/>
    </row>
    <row r="65" spans="2:10" x14ac:dyDescent="0.2">
      <c r="B65" s="17" t="s">
        <v>758</v>
      </c>
      <c r="C65" s="18"/>
      <c r="D65" s="18"/>
      <c r="E65" s="19"/>
      <c r="F65" s="20"/>
      <c r="G65" s="20"/>
      <c r="H65" s="14"/>
      <c r="I65" s="14"/>
      <c r="J65" s="14"/>
    </row>
    <row r="66" spans="2:10" x14ac:dyDescent="0.2">
      <c r="B66" s="25" t="s">
        <v>179</v>
      </c>
      <c r="C66" s="22"/>
      <c r="D66" s="22" t="s">
        <v>153</v>
      </c>
      <c r="E66" s="26">
        <v>128304</v>
      </c>
      <c r="F66" s="24">
        <v>90.133560000000003</v>
      </c>
      <c r="G66" s="24">
        <v>1.4999999999999999E-2</v>
      </c>
      <c r="H66" s="14"/>
      <c r="I66" s="14"/>
      <c r="J66" s="14"/>
    </row>
    <row r="67" spans="2:10" x14ac:dyDescent="0.2">
      <c r="B67" s="27" t="s">
        <v>104</v>
      </c>
      <c r="C67" s="28"/>
      <c r="D67" s="28"/>
      <c r="E67" s="29"/>
      <c r="F67" s="30">
        <f>SUM(F65:F66)</f>
        <v>90.133560000000003</v>
      </c>
      <c r="G67" s="30">
        <f>SUM(G65:G66)</f>
        <v>1.4999999999999999E-2</v>
      </c>
      <c r="H67" s="14"/>
      <c r="I67" s="14"/>
      <c r="J67" s="14"/>
    </row>
    <row r="68" spans="2:10" x14ac:dyDescent="0.2">
      <c r="B68" s="17" t="s">
        <v>756</v>
      </c>
      <c r="C68" s="18"/>
      <c r="D68" s="18"/>
      <c r="E68" s="19"/>
      <c r="F68" s="20"/>
      <c r="G68" s="20"/>
    </row>
    <row r="69" spans="2:10" x14ac:dyDescent="0.2">
      <c r="B69" s="25" t="s">
        <v>756</v>
      </c>
      <c r="C69" s="22"/>
      <c r="D69" s="22"/>
      <c r="E69" s="23"/>
      <c r="F69" s="24">
        <v>13289.32</v>
      </c>
      <c r="G69" s="24">
        <v>2.2599999999999998</v>
      </c>
    </row>
    <row r="70" spans="2:10" x14ac:dyDescent="0.2">
      <c r="B70" s="27" t="s">
        <v>104</v>
      </c>
      <c r="C70" s="28"/>
      <c r="D70" s="28"/>
      <c r="E70" s="29"/>
      <c r="F70" s="30">
        <f>SUM(F68:F69)</f>
        <v>13289.32</v>
      </c>
      <c r="G70" s="30">
        <f>SUM(G68:G69)</f>
        <v>2.2599999999999998</v>
      </c>
      <c r="H70" s="14"/>
      <c r="I70" s="14"/>
      <c r="J70" s="14"/>
    </row>
    <row r="71" spans="2:10" x14ac:dyDescent="0.2">
      <c r="B71" s="31" t="s">
        <v>105</v>
      </c>
      <c r="C71" s="31"/>
      <c r="D71" s="31"/>
      <c r="E71" s="32"/>
      <c r="F71" s="33">
        <f>F70</f>
        <v>13289.32</v>
      </c>
      <c r="G71" s="33">
        <f>G70</f>
        <v>2.2599999999999998</v>
      </c>
      <c r="H71" s="14"/>
      <c r="I71" s="14"/>
      <c r="J71" s="14"/>
    </row>
    <row r="72" spans="2:10" x14ac:dyDescent="0.2">
      <c r="B72" s="34" t="s">
        <v>107</v>
      </c>
      <c r="C72" s="34"/>
      <c r="D72" s="34"/>
      <c r="E72" s="35"/>
      <c r="F72" s="16">
        <f>(F73-(+F64+F71))+-90.1335600001039</f>
        <v>8360.6264399999054</v>
      </c>
      <c r="G72" s="16">
        <f>(G73-(+G64+G71))+-0.0150000000000006</f>
        <v>1.4050000000000296</v>
      </c>
      <c r="H72" s="14"/>
      <c r="I72" s="14"/>
      <c r="J72" s="14"/>
    </row>
    <row r="73" spans="2:10" x14ac:dyDescent="0.2">
      <c r="B73" s="34" t="s">
        <v>106</v>
      </c>
      <c r="C73" s="34"/>
      <c r="D73" s="34"/>
      <c r="E73" s="35"/>
      <c r="F73" s="16">
        <v>587795.78</v>
      </c>
      <c r="G73" s="16">
        <v>100</v>
      </c>
      <c r="H73" s="14"/>
      <c r="I73" s="14"/>
      <c r="J73" s="14"/>
    </row>
    <row r="75" spans="2:10" x14ac:dyDescent="0.2">
      <c r="B75" s="14"/>
    </row>
    <row r="77" spans="2:10" x14ac:dyDescent="0.2">
      <c r="B77" s="14"/>
    </row>
    <row r="80" spans="2:10" x14ac:dyDescent="0.2">
      <c r="B80" s="14"/>
      <c r="C80" s="14"/>
      <c r="D80" s="14"/>
      <c r="E80" s="15"/>
    </row>
    <row r="86" spans="2:5" x14ac:dyDescent="0.2">
      <c r="D86" s="14"/>
      <c r="E86" s="15"/>
    </row>
    <row r="92" spans="2:5" x14ac:dyDescent="0.2">
      <c r="B92" s="14"/>
      <c r="C92" s="14"/>
      <c r="D92" s="14"/>
      <c r="E92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6"/>
  <sheetViews>
    <sheetView workbookViewId="0">
      <selection activeCell="B6" sqref="B6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285156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11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115</v>
      </c>
      <c r="C7" s="22" t="s">
        <v>116</v>
      </c>
      <c r="D7" s="22" t="s">
        <v>117</v>
      </c>
      <c r="E7" s="26">
        <v>121350</v>
      </c>
      <c r="F7" s="24">
        <v>2569.4</v>
      </c>
      <c r="G7" s="24">
        <v>6.46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104000</v>
      </c>
      <c r="F8" s="24">
        <v>2163.9299999999998</v>
      </c>
      <c r="G8" s="24">
        <v>5.44</v>
      </c>
    </row>
    <row r="9" spans="2:7" x14ac:dyDescent="0.2">
      <c r="B9" s="25" t="s">
        <v>144</v>
      </c>
      <c r="C9" s="22" t="s">
        <v>145</v>
      </c>
      <c r="D9" s="22" t="s">
        <v>117</v>
      </c>
      <c r="E9" s="26">
        <v>51350</v>
      </c>
      <c r="F9" s="24">
        <v>1913.33</v>
      </c>
      <c r="G9" s="24">
        <v>4.8099999999999996</v>
      </c>
    </row>
    <row r="10" spans="2:7" x14ac:dyDescent="0.2">
      <c r="B10" s="25" t="s">
        <v>108</v>
      </c>
      <c r="C10" s="22" t="s">
        <v>109</v>
      </c>
      <c r="D10" s="22" t="s">
        <v>43</v>
      </c>
      <c r="E10" s="26">
        <v>166300</v>
      </c>
      <c r="F10" s="24">
        <v>1855.66</v>
      </c>
      <c r="G10" s="24">
        <v>4.66</v>
      </c>
    </row>
    <row r="11" spans="2:7" x14ac:dyDescent="0.2">
      <c r="B11" s="25" t="s">
        <v>118</v>
      </c>
      <c r="C11" s="22" t="s">
        <v>119</v>
      </c>
      <c r="D11" s="22" t="s">
        <v>120</v>
      </c>
      <c r="E11" s="26">
        <v>44675</v>
      </c>
      <c r="F11" s="24">
        <v>1558.17</v>
      </c>
      <c r="G11" s="24">
        <v>3.92</v>
      </c>
    </row>
    <row r="12" spans="2:7" x14ac:dyDescent="0.2">
      <c r="B12" s="25" t="s">
        <v>196</v>
      </c>
      <c r="C12" s="22" t="s">
        <v>197</v>
      </c>
      <c r="D12" s="22" t="s">
        <v>120</v>
      </c>
      <c r="E12" s="26">
        <v>270000</v>
      </c>
      <c r="F12" s="24">
        <v>1551.96</v>
      </c>
      <c r="G12" s="24">
        <v>3.9</v>
      </c>
    </row>
    <row r="13" spans="2:7" x14ac:dyDescent="0.2">
      <c r="B13" s="25" t="s">
        <v>160</v>
      </c>
      <c r="C13" s="22" t="s">
        <v>161</v>
      </c>
      <c r="D13" s="22" t="s">
        <v>117</v>
      </c>
      <c r="E13" s="26">
        <v>9425</v>
      </c>
      <c r="F13" s="24">
        <v>1503.25</v>
      </c>
      <c r="G13" s="24">
        <v>3.78</v>
      </c>
    </row>
    <row r="14" spans="2:7" x14ac:dyDescent="0.2">
      <c r="B14" s="25" t="s">
        <v>90</v>
      </c>
      <c r="C14" s="22" t="s">
        <v>91</v>
      </c>
      <c r="D14" s="22" t="s">
        <v>81</v>
      </c>
      <c r="E14" s="26">
        <v>14101</v>
      </c>
      <c r="F14" s="24">
        <v>1141.47</v>
      </c>
      <c r="G14" s="24">
        <v>2.87</v>
      </c>
    </row>
    <row r="15" spans="2:7" x14ac:dyDescent="0.2">
      <c r="B15" s="25" t="s">
        <v>41</v>
      </c>
      <c r="C15" s="22" t="s">
        <v>42</v>
      </c>
      <c r="D15" s="22" t="s">
        <v>43</v>
      </c>
      <c r="E15" s="26">
        <v>287000</v>
      </c>
      <c r="F15" s="24">
        <v>1132.5</v>
      </c>
      <c r="G15" s="24">
        <v>2.85</v>
      </c>
    </row>
    <row r="16" spans="2:7" x14ac:dyDescent="0.2">
      <c r="B16" s="25" t="s">
        <v>79</v>
      </c>
      <c r="C16" s="22" t="s">
        <v>80</v>
      </c>
      <c r="D16" s="22" t="s">
        <v>81</v>
      </c>
      <c r="E16" s="26">
        <v>175000</v>
      </c>
      <c r="F16" s="24">
        <v>1110.81</v>
      </c>
      <c r="G16" s="24">
        <v>2.79</v>
      </c>
    </row>
    <row r="17" spans="2:7" x14ac:dyDescent="0.2">
      <c r="B17" s="25" t="s">
        <v>142</v>
      </c>
      <c r="C17" s="22" t="s">
        <v>143</v>
      </c>
      <c r="D17" s="22" t="s">
        <v>130</v>
      </c>
      <c r="E17" s="26">
        <v>15500</v>
      </c>
      <c r="F17" s="24">
        <v>1060.19</v>
      </c>
      <c r="G17" s="24">
        <v>2.66</v>
      </c>
    </row>
    <row r="18" spans="2:7" x14ac:dyDescent="0.2">
      <c r="B18" s="25" t="s">
        <v>200</v>
      </c>
      <c r="C18" s="22" t="s">
        <v>201</v>
      </c>
      <c r="D18" s="22" t="s">
        <v>81</v>
      </c>
      <c r="E18" s="26">
        <v>59500</v>
      </c>
      <c r="F18" s="24">
        <v>1031.43</v>
      </c>
      <c r="G18" s="24">
        <v>2.59</v>
      </c>
    </row>
    <row r="19" spans="2:7" x14ac:dyDescent="0.2">
      <c r="B19" s="25" t="s">
        <v>140</v>
      </c>
      <c r="C19" s="22" t="s">
        <v>141</v>
      </c>
      <c r="D19" s="22" t="s">
        <v>120</v>
      </c>
      <c r="E19" s="26">
        <v>64000</v>
      </c>
      <c r="F19" s="24">
        <v>1022.98</v>
      </c>
      <c r="G19" s="24">
        <v>2.57</v>
      </c>
    </row>
    <row r="20" spans="2:7" x14ac:dyDescent="0.2">
      <c r="B20" s="25" t="s">
        <v>128</v>
      </c>
      <c r="C20" s="22" t="s">
        <v>129</v>
      </c>
      <c r="D20" s="22" t="s">
        <v>130</v>
      </c>
      <c r="E20" s="26">
        <v>34000</v>
      </c>
      <c r="F20" s="24">
        <v>1022.06</v>
      </c>
      <c r="G20" s="24">
        <v>2.57</v>
      </c>
    </row>
    <row r="21" spans="2:7" x14ac:dyDescent="0.2">
      <c r="B21" s="25" t="s">
        <v>172</v>
      </c>
      <c r="C21" s="22" t="s">
        <v>173</v>
      </c>
      <c r="D21" s="22" t="s">
        <v>81</v>
      </c>
      <c r="E21" s="26">
        <v>43000</v>
      </c>
      <c r="F21" s="24">
        <v>912.18</v>
      </c>
      <c r="G21" s="24">
        <v>2.29</v>
      </c>
    </row>
    <row r="22" spans="2:7" x14ac:dyDescent="0.2">
      <c r="B22" s="25" t="s">
        <v>177</v>
      </c>
      <c r="C22" s="22" t="s">
        <v>178</v>
      </c>
      <c r="D22" s="22" t="s">
        <v>123</v>
      </c>
      <c r="E22" s="26">
        <v>125000</v>
      </c>
      <c r="F22" s="24">
        <v>891.94</v>
      </c>
      <c r="G22" s="24">
        <v>2.2400000000000002</v>
      </c>
    </row>
    <row r="23" spans="2:7" x14ac:dyDescent="0.2">
      <c r="B23" s="25" t="s">
        <v>245</v>
      </c>
      <c r="C23" s="22" t="s">
        <v>246</v>
      </c>
      <c r="D23" s="22" t="s">
        <v>40</v>
      </c>
      <c r="E23" s="26">
        <v>128454</v>
      </c>
      <c r="F23" s="24">
        <v>855.89</v>
      </c>
      <c r="G23" s="24">
        <v>2.15</v>
      </c>
    </row>
    <row r="24" spans="2:7" x14ac:dyDescent="0.2">
      <c r="B24" s="25" t="s">
        <v>131</v>
      </c>
      <c r="C24" s="22" t="s">
        <v>132</v>
      </c>
      <c r="D24" s="22" t="s">
        <v>130</v>
      </c>
      <c r="E24" s="26">
        <v>141000</v>
      </c>
      <c r="F24" s="24">
        <v>855.73</v>
      </c>
      <c r="G24" s="24">
        <v>2.15</v>
      </c>
    </row>
    <row r="25" spans="2:7" x14ac:dyDescent="0.2">
      <c r="B25" s="25" t="s">
        <v>154</v>
      </c>
      <c r="C25" s="22" t="s">
        <v>155</v>
      </c>
      <c r="D25" s="22" t="s">
        <v>81</v>
      </c>
      <c r="E25" s="26">
        <v>77300</v>
      </c>
      <c r="F25" s="24">
        <v>850.69</v>
      </c>
      <c r="G25" s="24">
        <v>2.14</v>
      </c>
    </row>
    <row r="26" spans="2:7" x14ac:dyDescent="0.2">
      <c r="B26" s="25" t="s">
        <v>121</v>
      </c>
      <c r="C26" s="22" t="s">
        <v>122</v>
      </c>
      <c r="D26" s="22" t="s">
        <v>123</v>
      </c>
      <c r="E26" s="26">
        <v>25375</v>
      </c>
      <c r="F26" s="24">
        <v>792.41</v>
      </c>
      <c r="G26" s="24">
        <v>1.99</v>
      </c>
    </row>
    <row r="27" spans="2:7" x14ac:dyDescent="0.2">
      <c r="B27" s="25" t="s">
        <v>247</v>
      </c>
      <c r="C27" s="22" t="s">
        <v>248</v>
      </c>
      <c r="D27" s="22" t="s">
        <v>117</v>
      </c>
      <c r="E27" s="26">
        <v>121000</v>
      </c>
      <c r="F27" s="24">
        <v>788.07</v>
      </c>
      <c r="G27" s="24">
        <v>1.98</v>
      </c>
    </row>
    <row r="28" spans="2:7" x14ac:dyDescent="0.2">
      <c r="B28" s="25" t="s">
        <v>162</v>
      </c>
      <c r="C28" s="22" t="s">
        <v>163</v>
      </c>
      <c r="D28" s="22" t="s">
        <v>120</v>
      </c>
      <c r="E28" s="26">
        <v>32100</v>
      </c>
      <c r="F28" s="24">
        <v>773.9</v>
      </c>
      <c r="G28" s="24">
        <v>1.94</v>
      </c>
    </row>
    <row r="29" spans="2:7" x14ac:dyDescent="0.2">
      <c r="B29" s="25" t="s">
        <v>202</v>
      </c>
      <c r="C29" s="22" t="s">
        <v>203</v>
      </c>
      <c r="D29" s="22" t="s">
        <v>204</v>
      </c>
      <c r="E29" s="26">
        <v>100000</v>
      </c>
      <c r="F29" s="24">
        <v>760.05</v>
      </c>
      <c r="G29" s="24">
        <v>1.91</v>
      </c>
    </row>
    <row r="30" spans="2:7" x14ac:dyDescent="0.2">
      <c r="B30" s="25" t="s">
        <v>166</v>
      </c>
      <c r="C30" s="22" t="s">
        <v>167</v>
      </c>
      <c r="D30" s="22" t="s">
        <v>120</v>
      </c>
      <c r="E30" s="26">
        <v>57500</v>
      </c>
      <c r="F30" s="24">
        <v>722.6</v>
      </c>
      <c r="G30" s="24">
        <v>1.82</v>
      </c>
    </row>
    <row r="31" spans="2:7" x14ac:dyDescent="0.2">
      <c r="B31" s="25" t="s">
        <v>224</v>
      </c>
      <c r="C31" s="22" t="s">
        <v>225</v>
      </c>
      <c r="D31" s="22" t="s">
        <v>120</v>
      </c>
      <c r="E31" s="26">
        <v>525000</v>
      </c>
      <c r="F31" s="24">
        <v>707.18</v>
      </c>
      <c r="G31" s="24">
        <v>1.78</v>
      </c>
    </row>
    <row r="32" spans="2:7" x14ac:dyDescent="0.2">
      <c r="B32" s="25" t="s">
        <v>146</v>
      </c>
      <c r="C32" s="22" t="s">
        <v>147</v>
      </c>
      <c r="D32" s="22" t="s">
        <v>148</v>
      </c>
      <c r="E32" s="26">
        <v>38082</v>
      </c>
      <c r="F32" s="24">
        <v>700.14</v>
      </c>
      <c r="G32" s="24">
        <v>1.76</v>
      </c>
    </row>
    <row r="33" spans="2:7" x14ac:dyDescent="0.2">
      <c r="B33" s="25" t="s">
        <v>174</v>
      </c>
      <c r="C33" s="22" t="s">
        <v>175</v>
      </c>
      <c r="D33" s="22" t="s">
        <v>176</v>
      </c>
      <c r="E33" s="26">
        <v>37750</v>
      </c>
      <c r="F33" s="24">
        <v>670.01</v>
      </c>
      <c r="G33" s="24">
        <v>1.68</v>
      </c>
    </row>
    <row r="34" spans="2:7" x14ac:dyDescent="0.2">
      <c r="B34" s="25" t="s">
        <v>249</v>
      </c>
      <c r="C34" s="22" t="s">
        <v>250</v>
      </c>
      <c r="D34" s="22" t="s">
        <v>81</v>
      </c>
      <c r="E34" s="26">
        <v>323587</v>
      </c>
      <c r="F34" s="24">
        <v>646.53</v>
      </c>
      <c r="G34" s="24">
        <v>1.62</v>
      </c>
    </row>
    <row r="35" spans="2:7" x14ac:dyDescent="0.2">
      <c r="B35" s="25" t="s">
        <v>207</v>
      </c>
      <c r="C35" s="22" t="s">
        <v>208</v>
      </c>
      <c r="D35" s="22" t="s">
        <v>153</v>
      </c>
      <c r="E35" s="26">
        <v>1100</v>
      </c>
      <c r="F35" s="24">
        <v>637.86</v>
      </c>
      <c r="G35" s="24">
        <v>1.6</v>
      </c>
    </row>
    <row r="36" spans="2:7" x14ac:dyDescent="0.2">
      <c r="B36" s="25" t="s">
        <v>156</v>
      </c>
      <c r="C36" s="22" t="s">
        <v>157</v>
      </c>
      <c r="D36" s="22" t="s">
        <v>117</v>
      </c>
      <c r="E36" s="26">
        <v>32675</v>
      </c>
      <c r="F36" s="24">
        <v>620.53</v>
      </c>
      <c r="G36" s="24">
        <v>1.56</v>
      </c>
    </row>
    <row r="37" spans="2:7" x14ac:dyDescent="0.2">
      <c r="B37" s="25" t="s">
        <v>69</v>
      </c>
      <c r="C37" s="22" t="s">
        <v>70</v>
      </c>
      <c r="D37" s="22" t="s">
        <v>71</v>
      </c>
      <c r="E37" s="26">
        <v>148000</v>
      </c>
      <c r="F37" s="24">
        <v>583.79</v>
      </c>
      <c r="G37" s="24">
        <v>1.47</v>
      </c>
    </row>
    <row r="38" spans="2:7" x14ac:dyDescent="0.2">
      <c r="B38" s="25" t="s">
        <v>170</v>
      </c>
      <c r="C38" s="22" t="s">
        <v>171</v>
      </c>
      <c r="D38" s="22" t="s">
        <v>120</v>
      </c>
      <c r="E38" s="26">
        <v>70000</v>
      </c>
      <c r="F38" s="24">
        <v>565.46</v>
      </c>
      <c r="G38" s="24">
        <v>1.42</v>
      </c>
    </row>
    <row r="39" spans="2:7" x14ac:dyDescent="0.2">
      <c r="B39" s="25" t="s">
        <v>188</v>
      </c>
      <c r="C39" s="22" t="s">
        <v>189</v>
      </c>
      <c r="D39" s="22" t="s">
        <v>130</v>
      </c>
      <c r="E39" s="26">
        <v>51500</v>
      </c>
      <c r="F39" s="24">
        <v>560.11</v>
      </c>
      <c r="G39" s="24">
        <v>1.41</v>
      </c>
    </row>
    <row r="40" spans="2:7" x14ac:dyDescent="0.2">
      <c r="B40" s="25" t="s">
        <v>230</v>
      </c>
      <c r="C40" s="22" t="s">
        <v>231</v>
      </c>
      <c r="D40" s="22" t="s">
        <v>187</v>
      </c>
      <c r="E40" s="26">
        <v>375000</v>
      </c>
      <c r="F40" s="24">
        <v>524.63</v>
      </c>
      <c r="G40" s="24">
        <v>1.32</v>
      </c>
    </row>
    <row r="41" spans="2:7" x14ac:dyDescent="0.2">
      <c r="B41" s="25" t="s">
        <v>220</v>
      </c>
      <c r="C41" s="22" t="s">
        <v>221</v>
      </c>
      <c r="D41" s="22" t="s">
        <v>43</v>
      </c>
      <c r="E41" s="26">
        <v>77500</v>
      </c>
      <c r="F41" s="24">
        <v>517.70000000000005</v>
      </c>
      <c r="G41" s="24">
        <v>1.3</v>
      </c>
    </row>
    <row r="42" spans="2:7" x14ac:dyDescent="0.2">
      <c r="B42" s="25" t="s">
        <v>213</v>
      </c>
      <c r="C42" s="22" t="s">
        <v>214</v>
      </c>
      <c r="D42" s="22" t="s">
        <v>215</v>
      </c>
      <c r="E42" s="26">
        <v>2700</v>
      </c>
      <c r="F42" s="24">
        <v>512.66999999999996</v>
      </c>
      <c r="G42" s="24">
        <v>1.29</v>
      </c>
    </row>
    <row r="43" spans="2:7" x14ac:dyDescent="0.2">
      <c r="B43" s="25" t="s">
        <v>251</v>
      </c>
      <c r="C43" s="22" t="s">
        <v>252</v>
      </c>
      <c r="D43" s="22" t="s">
        <v>117</v>
      </c>
      <c r="E43" s="26">
        <v>91000</v>
      </c>
      <c r="F43" s="24">
        <v>489.31</v>
      </c>
      <c r="G43" s="24">
        <v>1.23</v>
      </c>
    </row>
    <row r="44" spans="2:7" x14ac:dyDescent="0.2">
      <c r="B44" s="25" t="s">
        <v>149</v>
      </c>
      <c r="C44" s="22" t="s">
        <v>150</v>
      </c>
      <c r="D44" s="22" t="s">
        <v>123</v>
      </c>
      <c r="E44" s="26">
        <v>25000</v>
      </c>
      <c r="F44" s="24">
        <v>471.9</v>
      </c>
      <c r="G44" s="24">
        <v>1.19</v>
      </c>
    </row>
    <row r="45" spans="2:7" x14ac:dyDescent="0.2">
      <c r="B45" s="25" t="s">
        <v>198</v>
      </c>
      <c r="C45" s="22" t="s">
        <v>199</v>
      </c>
      <c r="D45" s="22" t="s">
        <v>130</v>
      </c>
      <c r="E45" s="26">
        <v>575000</v>
      </c>
      <c r="F45" s="24">
        <v>388.99</v>
      </c>
      <c r="G45" s="24">
        <v>0.98</v>
      </c>
    </row>
    <row r="46" spans="2:7" x14ac:dyDescent="0.2">
      <c r="B46" s="25" t="s">
        <v>151</v>
      </c>
      <c r="C46" s="22" t="s">
        <v>152</v>
      </c>
      <c r="D46" s="22" t="s">
        <v>153</v>
      </c>
      <c r="E46" s="26">
        <v>27500</v>
      </c>
      <c r="F46" s="24">
        <v>363.52</v>
      </c>
      <c r="G46" s="24">
        <v>0.91</v>
      </c>
    </row>
    <row r="47" spans="2:7" x14ac:dyDescent="0.2">
      <c r="B47" s="25" t="s">
        <v>183</v>
      </c>
      <c r="C47" s="22" t="s">
        <v>184</v>
      </c>
      <c r="D47" s="22" t="s">
        <v>120</v>
      </c>
      <c r="E47" s="26">
        <v>150000</v>
      </c>
      <c r="F47" s="24">
        <v>348.3</v>
      </c>
      <c r="G47" s="24">
        <v>0.88</v>
      </c>
    </row>
    <row r="48" spans="2:7" x14ac:dyDescent="0.2">
      <c r="B48" s="25" t="s">
        <v>124</v>
      </c>
      <c r="C48" s="22" t="s">
        <v>125</v>
      </c>
      <c r="D48" s="22" t="s">
        <v>43</v>
      </c>
      <c r="E48" s="26">
        <v>15850</v>
      </c>
      <c r="F48" s="24">
        <v>222.11</v>
      </c>
      <c r="G48" s="24">
        <v>0.56000000000000005</v>
      </c>
    </row>
    <row r="49" spans="2:10" x14ac:dyDescent="0.2">
      <c r="B49" s="25" t="s">
        <v>164</v>
      </c>
      <c r="C49" s="22" t="s">
        <v>165</v>
      </c>
      <c r="D49" s="22" t="s">
        <v>81</v>
      </c>
      <c r="E49" s="26">
        <v>15500</v>
      </c>
      <c r="F49" s="24">
        <v>201.35</v>
      </c>
      <c r="G49" s="24">
        <v>0.51</v>
      </c>
    </row>
    <row r="50" spans="2:10" x14ac:dyDescent="0.2">
      <c r="B50" s="27" t="s">
        <v>104</v>
      </c>
      <c r="C50" s="28"/>
      <c r="D50" s="28"/>
      <c r="E50" s="29"/>
      <c r="F50" s="30">
        <f>SUM(F7:F49)</f>
        <v>38572.689999999981</v>
      </c>
      <c r="G50" s="30">
        <f>SUM(G7:G49)</f>
        <v>96.95</v>
      </c>
      <c r="H50" s="14"/>
      <c r="I50" s="14"/>
      <c r="J50" s="14"/>
    </row>
    <row r="51" spans="2:10" x14ac:dyDescent="0.2">
      <c r="B51" s="31" t="s">
        <v>105</v>
      </c>
      <c r="C51" s="31"/>
      <c r="D51" s="31"/>
      <c r="E51" s="32"/>
      <c r="F51" s="33">
        <f>F50</f>
        <v>38572.689999999981</v>
      </c>
      <c r="G51" s="33">
        <f>G50</f>
        <v>96.95</v>
      </c>
      <c r="H51" s="14"/>
      <c r="I51" s="14"/>
      <c r="J51" s="14"/>
    </row>
    <row r="52" spans="2:10" x14ac:dyDescent="0.2">
      <c r="B52" s="17" t="s">
        <v>756</v>
      </c>
      <c r="C52" s="18"/>
      <c r="D52" s="18"/>
      <c r="E52" s="19"/>
      <c r="F52" s="20"/>
      <c r="G52" s="20"/>
    </row>
    <row r="53" spans="2:10" x14ac:dyDescent="0.2">
      <c r="B53" s="25" t="s">
        <v>756</v>
      </c>
      <c r="C53" s="22"/>
      <c r="D53" s="22"/>
      <c r="E53" s="23"/>
      <c r="F53" s="24">
        <v>1581.18</v>
      </c>
      <c r="G53" s="24">
        <v>3.97</v>
      </c>
    </row>
    <row r="54" spans="2:10" x14ac:dyDescent="0.2">
      <c r="B54" s="27" t="s">
        <v>104</v>
      </c>
      <c r="C54" s="28"/>
      <c r="D54" s="28"/>
      <c r="E54" s="29"/>
      <c r="F54" s="30">
        <f>SUM(F52:F53)</f>
        <v>1581.18</v>
      </c>
      <c r="G54" s="30">
        <f>SUM(G52:G53)</f>
        <v>3.97</v>
      </c>
      <c r="H54" s="14"/>
      <c r="I54" s="14"/>
      <c r="J54" s="14"/>
    </row>
    <row r="55" spans="2:10" x14ac:dyDescent="0.2">
      <c r="B55" s="31" t="s">
        <v>105</v>
      </c>
      <c r="C55" s="31"/>
      <c r="D55" s="31"/>
      <c r="E55" s="32"/>
      <c r="F55" s="33">
        <f>F54</f>
        <v>1581.18</v>
      </c>
      <c r="G55" s="33">
        <f>G54</f>
        <v>3.97</v>
      </c>
      <c r="H55" s="14"/>
      <c r="I55" s="14"/>
      <c r="J55" s="14"/>
    </row>
    <row r="56" spans="2:10" x14ac:dyDescent="0.2">
      <c r="B56" s="34" t="s">
        <v>107</v>
      </c>
      <c r="C56" s="34"/>
      <c r="D56" s="34"/>
      <c r="E56" s="35"/>
      <c r="F56" s="16">
        <f>F57-(+F51+F55)</f>
        <v>-354.63999999997759</v>
      </c>
      <c r="G56" s="16">
        <f>G57-(+G51+G55)</f>
        <v>-0.92000000000000171</v>
      </c>
      <c r="H56" s="14"/>
      <c r="I56" s="14"/>
      <c r="J56" s="14"/>
    </row>
    <row r="57" spans="2:10" x14ac:dyDescent="0.2">
      <c r="B57" s="34" t="s">
        <v>106</v>
      </c>
      <c r="C57" s="34"/>
      <c r="D57" s="34"/>
      <c r="E57" s="35"/>
      <c r="F57" s="16">
        <v>39799.230000000003</v>
      </c>
      <c r="G57" s="16">
        <v>100</v>
      </c>
      <c r="H57" s="14"/>
      <c r="I57" s="14"/>
      <c r="J57" s="14"/>
    </row>
    <row r="59" spans="2:10" x14ac:dyDescent="0.2">
      <c r="B59" s="14"/>
    </row>
    <row r="61" spans="2:10" x14ac:dyDescent="0.2">
      <c r="B61" s="14"/>
    </row>
    <row r="64" spans="2:10" x14ac:dyDescent="0.2">
      <c r="B64" s="14"/>
      <c r="C64" s="14"/>
      <c r="D64" s="14"/>
      <c r="E64" s="15"/>
    </row>
    <row r="70" spans="2:5" x14ac:dyDescent="0.2">
      <c r="D70" s="14"/>
      <c r="E70" s="15"/>
    </row>
    <row r="76" spans="2:5" x14ac:dyDescent="0.2">
      <c r="B76" s="14"/>
      <c r="C76" s="14"/>
      <c r="D76" s="14"/>
      <c r="E76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4"/>
  <sheetViews>
    <sheetView workbookViewId="0">
      <selection activeCell="C26" sqref="C26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12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38</v>
      </c>
      <c r="C7" s="22" t="s">
        <v>39</v>
      </c>
      <c r="D7" s="22" t="s">
        <v>40</v>
      </c>
      <c r="E7" s="26">
        <v>284750</v>
      </c>
      <c r="F7" s="24">
        <v>5924.79</v>
      </c>
      <c r="G7" s="24">
        <v>8.44</v>
      </c>
    </row>
    <row r="8" spans="2:7" x14ac:dyDescent="0.2">
      <c r="B8" s="25" t="s">
        <v>108</v>
      </c>
      <c r="C8" s="22" t="s">
        <v>109</v>
      </c>
      <c r="D8" s="22" t="s">
        <v>43</v>
      </c>
      <c r="E8" s="26">
        <v>529700</v>
      </c>
      <c r="F8" s="24">
        <v>5910.66</v>
      </c>
      <c r="G8" s="24">
        <v>8.42</v>
      </c>
    </row>
    <row r="9" spans="2:7" x14ac:dyDescent="0.2">
      <c r="B9" s="25" t="s">
        <v>110</v>
      </c>
      <c r="C9" s="22" t="s">
        <v>111</v>
      </c>
      <c r="D9" s="22" t="s">
        <v>112</v>
      </c>
      <c r="E9" s="26">
        <v>594642</v>
      </c>
      <c r="F9" s="24">
        <v>5521.85</v>
      </c>
      <c r="G9" s="24">
        <v>7.87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1125600</v>
      </c>
      <c r="F10" s="24">
        <v>4441.62</v>
      </c>
      <c r="G10" s="24">
        <v>6.33</v>
      </c>
    </row>
    <row r="11" spans="2:7" x14ac:dyDescent="0.2">
      <c r="B11" s="25" t="s">
        <v>113</v>
      </c>
      <c r="C11" s="22" t="s">
        <v>114</v>
      </c>
      <c r="D11" s="22" t="s">
        <v>112</v>
      </c>
      <c r="E11" s="26">
        <v>146050</v>
      </c>
      <c r="F11" s="24">
        <v>3296.71</v>
      </c>
      <c r="G11" s="24">
        <v>4.7</v>
      </c>
    </row>
    <row r="12" spans="2:7" x14ac:dyDescent="0.2">
      <c r="B12" s="25" t="s">
        <v>126</v>
      </c>
      <c r="C12" s="22" t="s">
        <v>127</v>
      </c>
      <c r="D12" s="22" t="s">
        <v>120</v>
      </c>
      <c r="E12" s="26">
        <v>136450</v>
      </c>
      <c r="F12" s="24">
        <v>2500.58</v>
      </c>
      <c r="G12" s="24">
        <v>3.56</v>
      </c>
    </row>
    <row r="13" spans="2:7" x14ac:dyDescent="0.2">
      <c r="B13" s="25" t="s">
        <v>115</v>
      </c>
      <c r="C13" s="22" t="s">
        <v>116</v>
      </c>
      <c r="D13" s="22" t="s">
        <v>117</v>
      </c>
      <c r="E13" s="26">
        <v>112800</v>
      </c>
      <c r="F13" s="24">
        <v>2388.37</v>
      </c>
      <c r="G13" s="24">
        <v>3.4</v>
      </c>
    </row>
    <row r="14" spans="2:7" x14ac:dyDescent="0.2">
      <c r="B14" s="25" t="s">
        <v>118</v>
      </c>
      <c r="C14" s="22" t="s">
        <v>119</v>
      </c>
      <c r="D14" s="22" t="s">
        <v>120</v>
      </c>
      <c r="E14" s="26">
        <v>64700</v>
      </c>
      <c r="F14" s="24">
        <v>2256.61</v>
      </c>
      <c r="G14" s="24">
        <v>3.22</v>
      </c>
    </row>
    <row r="15" spans="2:7" x14ac:dyDescent="0.2">
      <c r="B15" s="25" t="s">
        <v>124</v>
      </c>
      <c r="C15" s="22" t="s">
        <v>125</v>
      </c>
      <c r="D15" s="22" t="s">
        <v>43</v>
      </c>
      <c r="E15" s="26">
        <v>154750</v>
      </c>
      <c r="F15" s="24">
        <v>2168.59</v>
      </c>
      <c r="G15" s="24">
        <v>3.09</v>
      </c>
    </row>
    <row r="16" spans="2:7" x14ac:dyDescent="0.2">
      <c r="B16" s="25" t="s">
        <v>64</v>
      </c>
      <c r="C16" s="22" t="s">
        <v>65</v>
      </c>
      <c r="D16" s="22" t="s">
        <v>66</v>
      </c>
      <c r="E16" s="26">
        <v>375204</v>
      </c>
      <c r="F16" s="24">
        <v>1925.17</v>
      </c>
      <c r="G16" s="24">
        <v>2.74</v>
      </c>
    </row>
    <row r="17" spans="2:7" x14ac:dyDescent="0.2">
      <c r="B17" s="25" t="s">
        <v>121</v>
      </c>
      <c r="C17" s="22" t="s">
        <v>122</v>
      </c>
      <c r="D17" s="22" t="s">
        <v>123</v>
      </c>
      <c r="E17" s="26">
        <v>54481</v>
      </c>
      <c r="F17" s="24">
        <v>1701.33</v>
      </c>
      <c r="G17" s="24">
        <v>2.42</v>
      </c>
    </row>
    <row r="18" spans="2:7" x14ac:dyDescent="0.2">
      <c r="B18" s="25" t="s">
        <v>158</v>
      </c>
      <c r="C18" s="22" t="s">
        <v>159</v>
      </c>
      <c r="D18" s="22" t="s">
        <v>43</v>
      </c>
      <c r="E18" s="26">
        <v>339200</v>
      </c>
      <c r="F18" s="24">
        <v>1684.98</v>
      </c>
      <c r="G18" s="24">
        <v>2.4</v>
      </c>
    </row>
    <row r="19" spans="2:7" x14ac:dyDescent="0.2">
      <c r="B19" s="25" t="s">
        <v>142</v>
      </c>
      <c r="C19" s="22" t="s">
        <v>143</v>
      </c>
      <c r="D19" s="22" t="s">
        <v>130</v>
      </c>
      <c r="E19" s="26">
        <v>22900</v>
      </c>
      <c r="F19" s="24">
        <v>1566.35</v>
      </c>
      <c r="G19" s="24">
        <v>2.23</v>
      </c>
    </row>
    <row r="20" spans="2:7" x14ac:dyDescent="0.2">
      <c r="B20" s="25" t="s">
        <v>32</v>
      </c>
      <c r="C20" s="22" t="s">
        <v>33</v>
      </c>
      <c r="D20" s="22" t="s">
        <v>34</v>
      </c>
      <c r="E20" s="26">
        <v>160685</v>
      </c>
      <c r="F20" s="24">
        <v>1518.39</v>
      </c>
      <c r="G20" s="24">
        <v>2.16</v>
      </c>
    </row>
    <row r="21" spans="2:7" x14ac:dyDescent="0.2">
      <c r="B21" s="25" t="s">
        <v>128</v>
      </c>
      <c r="C21" s="22" t="s">
        <v>129</v>
      </c>
      <c r="D21" s="22" t="s">
        <v>130</v>
      </c>
      <c r="E21" s="26">
        <v>45500</v>
      </c>
      <c r="F21" s="24">
        <v>1367.75</v>
      </c>
      <c r="G21" s="24">
        <v>1.95</v>
      </c>
    </row>
    <row r="22" spans="2:7" x14ac:dyDescent="0.2">
      <c r="B22" s="25" t="s">
        <v>49</v>
      </c>
      <c r="C22" s="22" t="s">
        <v>50</v>
      </c>
      <c r="D22" s="22" t="s">
        <v>51</v>
      </c>
      <c r="E22" s="26">
        <v>34152</v>
      </c>
      <c r="F22" s="24">
        <v>1333.24</v>
      </c>
      <c r="G22" s="24">
        <v>1.9</v>
      </c>
    </row>
    <row r="23" spans="2:7" x14ac:dyDescent="0.2">
      <c r="B23" s="25" t="s">
        <v>226</v>
      </c>
      <c r="C23" s="22" t="s">
        <v>227</v>
      </c>
      <c r="D23" s="22" t="s">
        <v>117</v>
      </c>
      <c r="E23" s="26">
        <v>231324</v>
      </c>
      <c r="F23" s="24">
        <v>1231.45</v>
      </c>
      <c r="G23" s="24">
        <v>1.75</v>
      </c>
    </row>
    <row r="24" spans="2:7" x14ac:dyDescent="0.2">
      <c r="B24" s="25" t="s">
        <v>131</v>
      </c>
      <c r="C24" s="22" t="s">
        <v>132</v>
      </c>
      <c r="D24" s="22" t="s">
        <v>130</v>
      </c>
      <c r="E24" s="26">
        <v>197000</v>
      </c>
      <c r="F24" s="24">
        <v>1195.5899999999999</v>
      </c>
      <c r="G24" s="24">
        <v>1.7</v>
      </c>
    </row>
    <row r="25" spans="2:7" x14ac:dyDescent="0.2">
      <c r="B25" s="25" t="s">
        <v>192</v>
      </c>
      <c r="C25" s="22" t="s">
        <v>193</v>
      </c>
      <c r="D25" s="22" t="s">
        <v>123</v>
      </c>
      <c r="E25" s="26">
        <v>229500</v>
      </c>
      <c r="F25" s="24">
        <v>1193.97</v>
      </c>
      <c r="G25" s="24">
        <v>1.7</v>
      </c>
    </row>
    <row r="26" spans="2:7" x14ac:dyDescent="0.2">
      <c r="B26" s="25" t="s">
        <v>79</v>
      </c>
      <c r="C26" s="22" t="s">
        <v>80</v>
      </c>
      <c r="D26" s="22" t="s">
        <v>81</v>
      </c>
      <c r="E26" s="26">
        <v>171200</v>
      </c>
      <c r="F26" s="24">
        <v>1086.69</v>
      </c>
      <c r="G26" s="24">
        <v>1.55</v>
      </c>
    </row>
    <row r="27" spans="2:7" x14ac:dyDescent="0.2">
      <c r="B27" s="25" t="s">
        <v>160</v>
      </c>
      <c r="C27" s="22" t="s">
        <v>161</v>
      </c>
      <c r="D27" s="22" t="s">
        <v>117</v>
      </c>
      <c r="E27" s="26">
        <v>6650</v>
      </c>
      <c r="F27" s="24">
        <v>1060.6500000000001</v>
      </c>
      <c r="G27" s="24">
        <v>1.51</v>
      </c>
    </row>
    <row r="28" spans="2:7" x14ac:dyDescent="0.2">
      <c r="B28" s="25" t="s">
        <v>144</v>
      </c>
      <c r="C28" s="22" t="s">
        <v>145</v>
      </c>
      <c r="D28" s="22" t="s">
        <v>117</v>
      </c>
      <c r="E28" s="26">
        <v>28094</v>
      </c>
      <c r="F28" s="24">
        <v>1046.8</v>
      </c>
      <c r="G28" s="24">
        <v>1.49</v>
      </c>
    </row>
    <row r="29" spans="2:7" x14ac:dyDescent="0.2">
      <c r="B29" s="25" t="s">
        <v>133</v>
      </c>
      <c r="C29" s="22" t="s">
        <v>134</v>
      </c>
      <c r="D29" s="22" t="s">
        <v>123</v>
      </c>
      <c r="E29" s="26">
        <v>38207</v>
      </c>
      <c r="F29" s="24">
        <v>1040.26</v>
      </c>
      <c r="G29" s="24">
        <v>1.48</v>
      </c>
    </row>
    <row r="30" spans="2:7" x14ac:dyDescent="0.2">
      <c r="B30" s="25" t="s">
        <v>168</v>
      </c>
      <c r="C30" s="22" t="s">
        <v>169</v>
      </c>
      <c r="D30" s="22" t="s">
        <v>117</v>
      </c>
      <c r="E30" s="26">
        <v>525500</v>
      </c>
      <c r="F30" s="24">
        <v>1004.23</v>
      </c>
      <c r="G30" s="24">
        <v>1.43</v>
      </c>
    </row>
    <row r="31" spans="2:7" x14ac:dyDescent="0.2">
      <c r="B31" s="25" t="s">
        <v>154</v>
      </c>
      <c r="C31" s="22" t="s">
        <v>155</v>
      </c>
      <c r="D31" s="22" t="s">
        <v>81</v>
      </c>
      <c r="E31" s="26">
        <v>89700</v>
      </c>
      <c r="F31" s="24">
        <v>987.15</v>
      </c>
      <c r="G31" s="24">
        <v>1.41</v>
      </c>
    </row>
    <row r="32" spans="2:7" x14ac:dyDescent="0.2">
      <c r="B32" s="25" t="s">
        <v>156</v>
      </c>
      <c r="C32" s="22" t="s">
        <v>157</v>
      </c>
      <c r="D32" s="22" t="s">
        <v>117</v>
      </c>
      <c r="E32" s="26">
        <v>51600</v>
      </c>
      <c r="F32" s="24">
        <v>979.94</v>
      </c>
      <c r="G32" s="24">
        <v>1.4</v>
      </c>
    </row>
    <row r="33" spans="2:10" x14ac:dyDescent="0.2">
      <c r="B33" s="25" t="s">
        <v>253</v>
      </c>
      <c r="C33" s="22" t="s">
        <v>254</v>
      </c>
      <c r="D33" s="22" t="s">
        <v>112</v>
      </c>
      <c r="E33" s="26">
        <v>140000</v>
      </c>
      <c r="F33" s="24">
        <v>972.16</v>
      </c>
      <c r="G33" s="24">
        <v>1.39</v>
      </c>
    </row>
    <row r="34" spans="2:10" x14ac:dyDescent="0.2">
      <c r="B34" s="25" t="s">
        <v>69</v>
      </c>
      <c r="C34" s="22" t="s">
        <v>70</v>
      </c>
      <c r="D34" s="22" t="s">
        <v>71</v>
      </c>
      <c r="E34" s="26">
        <v>240000</v>
      </c>
      <c r="F34" s="24">
        <v>946.68</v>
      </c>
      <c r="G34" s="24">
        <v>1.35</v>
      </c>
    </row>
    <row r="35" spans="2:10" x14ac:dyDescent="0.2">
      <c r="B35" s="25" t="s">
        <v>177</v>
      </c>
      <c r="C35" s="22" t="s">
        <v>178</v>
      </c>
      <c r="D35" s="22" t="s">
        <v>123</v>
      </c>
      <c r="E35" s="26">
        <v>130000</v>
      </c>
      <c r="F35" s="24">
        <v>927.62</v>
      </c>
      <c r="G35" s="24">
        <v>1.32</v>
      </c>
    </row>
    <row r="36" spans="2:10" x14ac:dyDescent="0.2">
      <c r="B36" s="25" t="s">
        <v>138</v>
      </c>
      <c r="C36" s="22" t="s">
        <v>139</v>
      </c>
      <c r="D36" s="22" t="s">
        <v>123</v>
      </c>
      <c r="E36" s="26">
        <v>5535</v>
      </c>
      <c r="F36" s="24">
        <v>906.47</v>
      </c>
      <c r="G36" s="24">
        <v>1.29</v>
      </c>
    </row>
    <row r="37" spans="2:10" x14ac:dyDescent="0.2">
      <c r="B37" s="25" t="s">
        <v>162</v>
      </c>
      <c r="C37" s="22" t="s">
        <v>163</v>
      </c>
      <c r="D37" s="22" t="s">
        <v>120</v>
      </c>
      <c r="E37" s="26">
        <v>32500</v>
      </c>
      <c r="F37" s="24">
        <v>783.54</v>
      </c>
      <c r="G37" s="24">
        <v>1.1200000000000001</v>
      </c>
    </row>
    <row r="38" spans="2:10" x14ac:dyDescent="0.2">
      <c r="B38" s="25" t="s">
        <v>166</v>
      </c>
      <c r="C38" s="22" t="s">
        <v>167</v>
      </c>
      <c r="D38" s="22" t="s">
        <v>120</v>
      </c>
      <c r="E38" s="26">
        <v>57786</v>
      </c>
      <c r="F38" s="24">
        <v>726.2</v>
      </c>
      <c r="G38" s="24">
        <v>1.03</v>
      </c>
    </row>
    <row r="39" spans="2:10" x14ac:dyDescent="0.2">
      <c r="B39" s="25" t="s">
        <v>185</v>
      </c>
      <c r="C39" s="22" t="s">
        <v>186</v>
      </c>
      <c r="D39" s="22" t="s">
        <v>187</v>
      </c>
      <c r="E39" s="26">
        <v>30300</v>
      </c>
      <c r="F39" s="24">
        <v>682.13</v>
      </c>
      <c r="G39" s="24">
        <v>0.97</v>
      </c>
    </row>
    <row r="40" spans="2:10" x14ac:dyDescent="0.2">
      <c r="B40" s="25" t="s">
        <v>72</v>
      </c>
      <c r="C40" s="22" t="s">
        <v>73</v>
      </c>
      <c r="D40" s="22" t="s">
        <v>71</v>
      </c>
      <c r="E40" s="26">
        <v>208220</v>
      </c>
      <c r="F40" s="24">
        <v>677.65</v>
      </c>
      <c r="G40" s="24">
        <v>0.97</v>
      </c>
    </row>
    <row r="41" spans="2:10" x14ac:dyDescent="0.2">
      <c r="B41" s="25" t="s">
        <v>228</v>
      </c>
      <c r="C41" s="22" t="s">
        <v>229</v>
      </c>
      <c r="D41" s="22" t="s">
        <v>117</v>
      </c>
      <c r="E41" s="26">
        <v>140000</v>
      </c>
      <c r="F41" s="24">
        <v>668.92</v>
      </c>
      <c r="G41" s="24">
        <v>0.95</v>
      </c>
    </row>
    <row r="42" spans="2:10" x14ac:dyDescent="0.2">
      <c r="B42" s="25" t="s">
        <v>196</v>
      </c>
      <c r="C42" s="22" t="s">
        <v>197</v>
      </c>
      <c r="D42" s="22" t="s">
        <v>120</v>
      </c>
      <c r="E42" s="26">
        <v>115000</v>
      </c>
      <c r="F42" s="24">
        <v>661.02</v>
      </c>
      <c r="G42" s="24">
        <v>0.94</v>
      </c>
    </row>
    <row r="43" spans="2:10" x14ac:dyDescent="0.2">
      <c r="B43" s="25" t="s">
        <v>172</v>
      </c>
      <c r="C43" s="22" t="s">
        <v>173</v>
      </c>
      <c r="D43" s="22" t="s">
        <v>81</v>
      </c>
      <c r="E43" s="26">
        <v>31000</v>
      </c>
      <c r="F43" s="24">
        <v>657.62</v>
      </c>
      <c r="G43" s="24">
        <v>0.94</v>
      </c>
    </row>
    <row r="44" spans="2:10" x14ac:dyDescent="0.2">
      <c r="B44" s="25" t="s">
        <v>82</v>
      </c>
      <c r="C44" s="22" t="s">
        <v>83</v>
      </c>
      <c r="D44" s="22" t="s">
        <v>51</v>
      </c>
      <c r="E44" s="26">
        <v>3125</v>
      </c>
      <c r="F44" s="24">
        <v>633.84</v>
      </c>
      <c r="G44" s="24">
        <v>0.9</v>
      </c>
    </row>
    <row r="45" spans="2:10" x14ac:dyDescent="0.2">
      <c r="B45" s="25" t="s">
        <v>194</v>
      </c>
      <c r="C45" s="22" t="s">
        <v>195</v>
      </c>
      <c r="D45" s="22" t="s">
        <v>117</v>
      </c>
      <c r="E45" s="26">
        <v>29000</v>
      </c>
      <c r="F45" s="24">
        <v>608.13</v>
      </c>
      <c r="G45" s="24">
        <v>0.87</v>
      </c>
    </row>
    <row r="46" spans="2:10" x14ac:dyDescent="0.2">
      <c r="B46" s="25" t="s">
        <v>84</v>
      </c>
      <c r="C46" s="22" t="s">
        <v>85</v>
      </c>
      <c r="D46" s="22" t="s">
        <v>71</v>
      </c>
      <c r="E46" s="26">
        <v>241000</v>
      </c>
      <c r="F46" s="24">
        <v>579.24</v>
      </c>
      <c r="G46" s="24">
        <v>0.83</v>
      </c>
    </row>
    <row r="47" spans="2:10" x14ac:dyDescent="0.2">
      <c r="B47" s="25" t="s">
        <v>255</v>
      </c>
      <c r="C47" s="22" t="s">
        <v>256</v>
      </c>
      <c r="D47" s="22" t="s">
        <v>123</v>
      </c>
      <c r="E47" s="26">
        <v>7400</v>
      </c>
      <c r="F47" s="24">
        <v>315.58999999999997</v>
      </c>
      <c r="G47" s="24">
        <v>0.45</v>
      </c>
    </row>
    <row r="48" spans="2:10" x14ac:dyDescent="0.2">
      <c r="B48" s="27" t="s">
        <v>104</v>
      </c>
      <c r="C48" s="28"/>
      <c r="D48" s="28"/>
      <c r="E48" s="29"/>
      <c r="F48" s="30">
        <f>SUM(F7:F47)</f>
        <v>67080.530000000013</v>
      </c>
      <c r="G48" s="30">
        <f>SUM(G7:G47)</f>
        <v>95.570000000000036</v>
      </c>
      <c r="H48" s="14"/>
      <c r="I48" s="14"/>
      <c r="J48" s="14"/>
    </row>
    <row r="49" spans="2:10" x14ac:dyDescent="0.2">
      <c r="B49" s="31" t="s">
        <v>105</v>
      </c>
      <c r="C49" s="31"/>
      <c r="D49" s="31"/>
      <c r="E49" s="32"/>
      <c r="F49" s="33">
        <f>F48</f>
        <v>67080.530000000013</v>
      </c>
      <c r="G49" s="33">
        <f>G48</f>
        <v>95.570000000000036</v>
      </c>
      <c r="H49" s="14"/>
      <c r="I49" s="14"/>
      <c r="J49" s="14"/>
    </row>
    <row r="50" spans="2:10" x14ac:dyDescent="0.2">
      <c r="B50" s="17" t="s">
        <v>756</v>
      </c>
      <c r="C50" s="18"/>
      <c r="D50" s="18"/>
      <c r="E50" s="19"/>
      <c r="F50" s="20"/>
      <c r="G50" s="20"/>
    </row>
    <row r="51" spans="2:10" x14ac:dyDescent="0.2">
      <c r="B51" s="25" t="s">
        <v>756</v>
      </c>
      <c r="C51" s="22"/>
      <c r="D51" s="22"/>
      <c r="E51" s="23"/>
      <c r="F51" s="24">
        <v>3603.25</v>
      </c>
      <c r="G51" s="24">
        <v>5.13</v>
      </c>
    </row>
    <row r="52" spans="2:10" x14ac:dyDescent="0.2">
      <c r="B52" s="27" t="s">
        <v>104</v>
      </c>
      <c r="C52" s="28"/>
      <c r="D52" s="28"/>
      <c r="E52" s="29"/>
      <c r="F52" s="30">
        <f>SUM(F50:F51)</f>
        <v>3603.25</v>
      </c>
      <c r="G52" s="30">
        <f>SUM(G50:G51)</f>
        <v>5.13</v>
      </c>
      <c r="H52" s="14"/>
      <c r="I52" s="14"/>
      <c r="J52" s="14"/>
    </row>
    <row r="53" spans="2:10" x14ac:dyDescent="0.2">
      <c r="B53" s="31" t="s">
        <v>105</v>
      </c>
      <c r="C53" s="31"/>
      <c r="D53" s="31"/>
      <c r="E53" s="32"/>
      <c r="F53" s="33">
        <f>F52</f>
        <v>3603.25</v>
      </c>
      <c r="G53" s="33">
        <f>G52</f>
        <v>5.13</v>
      </c>
      <c r="H53" s="14"/>
      <c r="I53" s="14"/>
      <c r="J53" s="14"/>
    </row>
    <row r="54" spans="2:10" x14ac:dyDescent="0.2">
      <c r="B54" s="34" t="s">
        <v>107</v>
      </c>
      <c r="C54" s="34"/>
      <c r="D54" s="34"/>
      <c r="E54" s="35"/>
      <c r="F54" s="16">
        <f>F55-(+F49+F53)</f>
        <v>-511.91000000001804</v>
      </c>
      <c r="G54" s="16">
        <f>G55-(+G49+G53)</f>
        <v>-0.70000000000003126</v>
      </c>
      <c r="H54" s="14"/>
      <c r="I54" s="14"/>
      <c r="J54" s="14"/>
    </row>
    <row r="55" spans="2:10" x14ac:dyDescent="0.2">
      <c r="B55" s="34" t="s">
        <v>106</v>
      </c>
      <c r="C55" s="34"/>
      <c r="D55" s="34"/>
      <c r="E55" s="35"/>
      <c r="F55" s="16">
        <v>70171.87</v>
      </c>
      <c r="G55" s="16">
        <v>100</v>
      </c>
      <c r="H55" s="14"/>
      <c r="I55" s="14"/>
      <c r="J55" s="14"/>
    </row>
    <row r="57" spans="2:10" x14ac:dyDescent="0.2">
      <c r="B57" s="14"/>
    </row>
    <row r="59" spans="2:10" x14ac:dyDescent="0.2">
      <c r="B59" s="14"/>
    </row>
    <row r="62" spans="2:10" x14ac:dyDescent="0.2">
      <c r="B62" s="14"/>
      <c r="C62" s="14"/>
      <c r="D62" s="14"/>
      <c r="E62" s="15"/>
    </row>
    <row r="68" spans="2:5" x14ac:dyDescent="0.2">
      <c r="D68" s="14"/>
      <c r="E68" s="15"/>
    </row>
    <row r="74" spans="2:5" x14ac:dyDescent="0.2">
      <c r="B74" s="14"/>
      <c r="C74" s="14"/>
      <c r="D74" s="14"/>
      <c r="E74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topLeftCell="A35" workbookViewId="0">
      <selection activeCell="C72" sqref="C72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42578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13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257</v>
      </c>
      <c r="C7" s="22" t="s">
        <v>258</v>
      </c>
      <c r="D7" s="22" t="s">
        <v>57</v>
      </c>
      <c r="E7" s="26">
        <v>503971</v>
      </c>
      <c r="F7" s="24">
        <v>1364.75</v>
      </c>
      <c r="G7" s="24">
        <v>3.05</v>
      </c>
    </row>
    <row r="8" spans="2:7" x14ac:dyDescent="0.2">
      <c r="B8" s="25" t="s">
        <v>76</v>
      </c>
      <c r="C8" s="22" t="s">
        <v>77</v>
      </c>
      <c r="D8" s="22" t="s">
        <v>78</v>
      </c>
      <c r="E8" s="26">
        <v>520958</v>
      </c>
      <c r="F8" s="24">
        <v>1318.28</v>
      </c>
      <c r="G8" s="24">
        <v>2.95</v>
      </c>
    </row>
    <row r="9" spans="2:7" x14ac:dyDescent="0.2">
      <c r="B9" s="25" t="s">
        <v>140</v>
      </c>
      <c r="C9" s="22" t="s">
        <v>141</v>
      </c>
      <c r="D9" s="22" t="s">
        <v>120</v>
      </c>
      <c r="E9" s="26">
        <v>81500</v>
      </c>
      <c r="F9" s="24">
        <v>1302.7</v>
      </c>
      <c r="G9" s="24">
        <v>2.91</v>
      </c>
    </row>
    <row r="10" spans="2:7" x14ac:dyDescent="0.2">
      <c r="B10" s="25" t="s">
        <v>259</v>
      </c>
      <c r="C10" s="22" t="s">
        <v>260</v>
      </c>
      <c r="D10" s="22" t="s">
        <v>120</v>
      </c>
      <c r="E10" s="26">
        <v>313016</v>
      </c>
      <c r="F10" s="24">
        <v>1272.8800000000001</v>
      </c>
      <c r="G10" s="24">
        <v>2.85</v>
      </c>
    </row>
    <row r="11" spans="2:7" x14ac:dyDescent="0.2">
      <c r="B11" s="25" t="s">
        <v>261</v>
      </c>
      <c r="C11" s="22" t="s">
        <v>262</v>
      </c>
      <c r="D11" s="22" t="s">
        <v>137</v>
      </c>
      <c r="E11" s="26">
        <v>182175</v>
      </c>
      <c r="F11" s="24">
        <v>1245.08</v>
      </c>
      <c r="G11" s="24">
        <v>2.78</v>
      </c>
    </row>
    <row r="12" spans="2:7" x14ac:dyDescent="0.2">
      <c r="B12" s="25" t="s">
        <v>181</v>
      </c>
      <c r="C12" s="22" t="s">
        <v>182</v>
      </c>
      <c r="D12" s="22" t="s">
        <v>137</v>
      </c>
      <c r="E12" s="26">
        <v>63348</v>
      </c>
      <c r="F12" s="24">
        <v>1236.52</v>
      </c>
      <c r="G12" s="24">
        <v>2.76</v>
      </c>
    </row>
    <row r="13" spans="2:7" x14ac:dyDescent="0.2">
      <c r="B13" s="25" t="s">
        <v>90</v>
      </c>
      <c r="C13" s="22" t="s">
        <v>91</v>
      </c>
      <c r="D13" s="22" t="s">
        <v>81</v>
      </c>
      <c r="E13" s="26">
        <v>14909</v>
      </c>
      <c r="F13" s="24">
        <v>1206.8800000000001</v>
      </c>
      <c r="G13" s="24">
        <v>2.7</v>
      </c>
    </row>
    <row r="14" spans="2:7" x14ac:dyDescent="0.2">
      <c r="B14" s="25" t="s">
        <v>263</v>
      </c>
      <c r="C14" s="22" t="s">
        <v>264</v>
      </c>
      <c r="D14" s="22" t="s">
        <v>120</v>
      </c>
      <c r="E14" s="26">
        <v>624000</v>
      </c>
      <c r="F14" s="24">
        <v>1203.3800000000001</v>
      </c>
      <c r="G14" s="24">
        <v>2.69</v>
      </c>
    </row>
    <row r="15" spans="2:7" x14ac:dyDescent="0.2">
      <c r="B15" s="25" t="s">
        <v>265</v>
      </c>
      <c r="C15" s="22" t="s">
        <v>266</v>
      </c>
      <c r="D15" s="22" t="s">
        <v>120</v>
      </c>
      <c r="E15" s="26">
        <v>161911</v>
      </c>
      <c r="F15" s="24">
        <v>1162.1199999999999</v>
      </c>
      <c r="G15" s="24">
        <v>2.6</v>
      </c>
    </row>
    <row r="16" spans="2:7" x14ac:dyDescent="0.2">
      <c r="B16" s="25" t="s">
        <v>267</v>
      </c>
      <c r="C16" s="22" t="s">
        <v>268</v>
      </c>
      <c r="D16" s="22" t="s">
        <v>123</v>
      </c>
      <c r="E16" s="26">
        <v>707740</v>
      </c>
      <c r="F16" s="24">
        <v>1150.43</v>
      </c>
      <c r="G16" s="24">
        <v>2.57</v>
      </c>
    </row>
    <row r="17" spans="2:7" x14ac:dyDescent="0.2">
      <c r="B17" s="25" t="s">
        <v>188</v>
      </c>
      <c r="C17" s="22" t="s">
        <v>189</v>
      </c>
      <c r="D17" s="22" t="s">
        <v>130</v>
      </c>
      <c r="E17" s="26">
        <v>105100</v>
      </c>
      <c r="F17" s="24">
        <v>1143.07</v>
      </c>
      <c r="G17" s="24">
        <v>2.5499999999999998</v>
      </c>
    </row>
    <row r="18" spans="2:7" x14ac:dyDescent="0.2">
      <c r="B18" s="25" t="s">
        <v>245</v>
      </c>
      <c r="C18" s="22" t="s">
        <v>246</v>
      </c>
      <c r="D18" s="22" t="s">
        <v>40</v>
      </c>
      <c r="E18" s="26">
        <v>167006</v>
      </c>
      <c r="F18" s="24">
        <v>1112.76</v>
      </c>
      <c r="G18" s="24">
        <v>2.4900000000000002</v>
      </c>
    </row>
    <row r="19" spans="2:7" x14ac:dyDescent="0.2">
      <c r="B19" s="25" t="s">
        <v>269</v>
      </c>
      <c r="C19" s="22" t="s">
        <v>270</v>
      </c>
      <c r="D19" s="22" t="s">
        <v>137</v>
      </c>
      <c r="E19" s="26">
        <v>62184</v>
      </c>
      <c r="F19" s="24">
        <v>1085.3</v>
      </c>
      <c r="G19" s="24">
        <v>2.4300000000000002</v>
      </c>
    </row>
    <row r="20" spans="2:7" x14ac:dyDescent="0.2">
      <c r="B20" s="25" t="s">
        <v>271</v>
      </c>
      <c r="C20" s="22" t="s">
        <v>272</v>
      </c>
      <c r="D20" s="22" t="s">
        <v>273</v>
      </c>
      <c r="E20" s="26">
        <v>2990000</v>
      </c>
      <c r="F20" s="24">
        <v>1071.92</v>
      </c>
      <c r="G20" s="24">
        <v>2.4</v>
      </c>
    </row>
    <row r="21" spans="2:7" x14ac:dyDescent="0.2">
      <c r="B21" s="25" t="s">
        <v>274</v>
      </c>
      <c r="C21" s="22" t="s">
        <v>275</v>
      </c>
      <c r="D21" s="22" t="s">
        <v>176</v>
      </c>
      <c r="E21" s="26">
        <v>58200</v>
      </c>
      <c r="F21" s="24">
        <v>1070.0899999999999</v>
      </c>
      <c r="G21" s="24">
        <v>2.39</v>
      </c>
    </row>
    <row r="22" spans="2:7" x14ac:dyDescent="0.2">
      <c r="B22" s="25" t="s">
        <v>135</v>
      </c>
      <c r="C22" s="22" t="s">
        <v>136</v>
      </c>
      <c r="D22" s="22" t="s">
        <v>137</v>
      </c>
      <c r="E22" s="26">
        <v>18444</v>
      </c>
      <c r="F22" s="24">
        <v>1066.1500000000001</v>
      </c>
      <c r="G22" s="24">
        <v>2.38</v>
      </c>
    </row>
    <row r="23" spans="2:7" x14ac:dyDescent="0.2">
      <c r="B23" s="25" t="s">
        <v>276</v>
      </c>
      <c r="C23" s="22" t="s">
        <v>277</v>
      </c>
      <c r="D23" s="22" t="s">
        <v>187</v>
      </c>
      <c r="E23" s="26">
        <v>55826</v>
      </c>
      <c r="F23" s="24">
        <v>1065.77</v>
      </c>
      <c r="G23" s="24">
        <v>2.38</v>
      </c>
    </row>
    <row r="24" spans="2:7" x14ac:dyDescent="0.2">
      <c r="B24" s="25" t="s">
        <v>52</v>
      </c>
      <c r="C24" s="22" t="s">
        <v>53</v>
      </c>
      <c r="D24" s="22" t="s">
        <v>54</v>
      </c>
      <c r="E24" s="26">
        <v>132749</v>
      </c>
      <c r="F24" s="24">
        <v>1020.71</v>
      </c>
      <c r="G24" s="24">
        <v>2.2799999999999998</v>
      </c>
    </row>
    <row r="25" spans="2:7" x14ac:dyDescent="0.2">
      <c r="B25" s="25" t="s">
        <v>278</v>
      </c>
      <c r="C25" s="22" t="s">
        <v>279</v>
      </c>
      <c r="D25" s="22" t="s">
        <v>57</v>
      </c>
      <c r="E25" s="26">
        <v>88825</v>
      </c>
      <c r="F25" s="24">
        <v>985.82</v>
      </c>
      <c r="G25" s="24">
        <v>2.2000000000000002</v>
      </c>
    </row>
    <row r="26" spans="2:7" x14ac:dyDescent="0.2">
      <c r="B26" s="25" t="s">
        <v>280</v>
      </c>
      <c r="C26" s="22" t="s">
        <v>281</v>
      </c>
      <c r="D26" s="22" t="s">
        <v>204</v>
      </c>
      <c r="E26" s="26">
        <v>342000</v>
      </c>
      <c r="F26" s="24">
        <v>980.34</v>
      </c>
      <c r="G26" s="24">
        <v>2.19</v>
      </c>
    </row>
    <row r="27" spans="2:7" x14ac:dyDescent="0.2">
      <c r="B27" s="25" t="s">
        <v>282</v>
      </c>
      <c r="C27" s="22" t="s">
        <v>283</v>
      </c>
      <c r="D27" s="22" t="s">
        <v>153</v>
      </c>
      <c r="E27" s="26">
        <v>402518</v>
      </c>
      <c r="F27" s="24">
        <v>960.21</v>
      </c>
      <c r="G27" s="24">
        <v>2.15</v>
      </c>
    </row>
    <row r="28" spans="2:7" x14ac:dyDescent="0.2">
      <c r="B28" s="25" t="s">
        <v>284</v>
      </c>
      <c r="C28" s="22" t="s">
        <v>285</v>
      </c>
      <c r="D28" s="22" t="s">
        <v>57</v>
      </c>
      <c r="E28" s="26">
        <v>189172</v>
      </c>
      <c r="F28" s="24">
        <v>955.98</v>
      </c>
      <c r="G28" s="24">
        <v>2.14</v>
      </c>
    </row>
    <row r="29" spans="2:7" x14ac:dyDescent="0.2">
      <c r="B29" s="25" t="s">
        <v>286</v>
      </c>
      <c r="C29" s="22" t="s">
        <v>287</v>
      </c>
      <c r="D29" s="22" t="s">
        <v>120</v>
      </c>
      <c r="E29" s="26">
        <v>255000</v>
      </c>
      <c r="F29" s="24">
        <v>946.56</v>
      </c>
      <c r="G29" s="24">
        <v>2.12</v>
      </c>
    </row>
    <row r="30" spans="2:7" x14ac:dyDescent="0.2">
      <c r="B30" s="25" t="s">
        <v>288</v>
      </c>
      <c r="C30" s="22" t="s">
        <v>289</v>
      </c>
      <c r="D30" s="22" t="s">
        <v>51</v>
      </c>
      <c r="E30" s="26">
        <v>476323</v>
      </c>
      <c r="F30" s="24">
        <v>902.16</v>
      </c>
      <c r="G30" s="24">
        <v>2.02</v>
      </c>
    </row>
    <row r="31" spans="2:7" x14ac:dyDescent="0.2">
      <c r="B31" s="25" t="s">
        <v>55</v>
      </c>
      <c r="C31" s="22" t="s">
        <v>56</v>
      </c>
      <c r="D31" s="22" t="s">
        <v>57</v>
      </c>
      <c r="E31" s="26">
        <v>48719</v>
      </c>
      <c r="F31" s="24">
        <v>877.75</v>
      </c>
      <c r="G31" s="24">
        <v>1.96</v>
      </c>
    </row>
    <row r="32" spans="2:7" x14ac:dyDescent="0.2">
      <c r="B32" s="25" t="s">
        <v>290</v>
      </c>
      <c r="C32" s="22" t="s">
        <v>291</v>
      </c>
      <c r="D32" s="22" t="s">
        <v>292</v>
      </c>
      <c r="E32" s="26">
        <v>35700</v>
      </c>
      <c r="F32" s="24">
        <v>846.02</v>
      </c>
      <c r="G32" s="24">
        <v>1.89</v>
      </c>
    </row>
    <row r="33" spans="2:7" x14ac:dyDescent="0.2">
      <c r="B33" s="25" t="s">
        <v>293</v>
      </c>
      <c r="C33" s="22" t="s">
        <v>294</v>
      </c>
      <c r="D33" s="22" t="s">
        <v>137</v>
      </c>
      <c r="E33" s="26">
        <v>33062</v>
      </c>
      <c r="F33" s="24">
        <v>819.54</v>
      </c>
      <c r="G33" s="24">
        <v>1.83</v>
      </c>
    </row>
    <row r="34" spans="2:7" x14ac:dyDescent="0.2">
      <c r="B34" s="25" t="s">
        <v>218</v>
      </c>
      <c r="C34" s="22" t="s">
        <v>219</v>
      </c>
      <c r="D34" s="22" t="s">
        <v>112</v>
      </c>
      <c r="E34" s="26">
        <v>83845</v>
      </c>
      <c r="F34" s="24">
        <v>803.44</v>
      </c>
      <c r="G34" s="24">
        <v>1.8</v>
      </c>
    </row>
    <row r="35" spans="2:7" x14ac:dyDescent="0.2">
      <c r="B35" s="25" t="s">
        <v>170</v>
      </c>
      <c r="C35" s="22" t="s">
        <v>171</v>
      </c>
      <c r="D35" s="22" t="s">
        <v>120</v>
      </c>
      <c r="E35" s="26">
        <v>98700</v>
      </c>
      <c r="F35" s="24">
        <v>797.3</v>
      </c>
      <c r="G35" s="24">
        <v>1.78</v>
      </c>
    </row>
    <row r="36" spans="2:7" x14ac:dyDescent="0.2">
      <c r="B36" s="25" t="s">
        <v>295</v>
      </c>
      <c r="C36" s="22" t="s">
        <v>296</v>
      </c>
      <c r="D36" s="22" t="s">
        <v>123</v>
      </c>
      <c r="E36" s="26">
        <v>103016</v>
      </c>
      <c r="F36" s="24">
        <v>793.48</v>
      </c>
      <c r="G36" s="24">
        <v>1.77</v>
      </c>
    </row>
    <row r="37" spans="2:7" x14ac:dyDescent="0.2">
      <c r="B37" s="25" t="s">
        <v>46</v>
      </c>
      <c r="C37" s="22" t="s">
        <v>47</v>
      </c>
      <c r="D37" s="22" t="s">
        <v>48</v>
      </c>
      <c r="E37" s="26">
        <v>2425</v>
      </c>
      <c r="F37" s="24">
        <v>791.12</v>
      </c>
      <c r="G37" s="24">
        <v>1.77</v>
      </c>
    </row>
    <row r="38" spans="2:7" x14ac:dyDescent="0.2">
      <c r="B38" s="25" t="s">
        <v>297</v>
      </c>
      <c r="C38" s="22" t="s">
        <v>298</v>
      </c>
      <c r="D38" s="22" t="s">
        <v>81</v>
      </c>
      <c r="E38" s="26">
        <v>13794</v>
      </c>
      <c r="F38" s="24">
        <v>785.16</v>
      </c>
      <c r="G38" s="24">
        <v>1.75</v>
      </c>
    </row>
    <row r="39" spans="2:7" x14ac:dyDescent="0.2">
      <c r="B39" s="25" t="s">
        <v>299</v>
      </c>
      <c r="C39" s="22" t="s">
        <v>300</v>
      </c>
      <c r="D39" s="22" t="s">
        <v>54</v>
      </c>
      <c r="E39" s="26">
        <v>305500</v>
      </c>
      <c r="F39" s="24">
        <v>777.04</v>
      </c>
      <c r="G39" s="24">
        <v>1.74</v>
      </c>
    </row>
    <row r="40" spans="2:7" x14ac:dyDescent="0.2">
      <c r="B40" s="25" t="s">
        <v>301</v>
      </c>
      <c r="C40" s="22" t="s">
        <v>302</v>
      </c>
      <c r="D40" s="22" t="s">
        <v>148</v>
      </c>
      <c r="E40" s="26">
        <v>94231</v>
      </c>
      <c r="F40" s="24">
        <v>736.04</v>
      </c>
      <c r="G40" s="24">
        <v>1.65</v>
      </c>
    </row>
    <row r="41" spans="2:7" x14ac:dyDescent="0.2">
      <c r="B41" s="25" t="s">
        <v>303</v>
      </c>
      <c r="C41" s="22" t="s">
        <v>304</v>
      </c>
      <c r="D41" s="22" t="s">
        <v>123</v>
      </c>
      <c r="E41" s="26">
        <v>61500</v>
      </c>
      <c r="F41" s="24">
        <v>696.98</v>
      </c>
      <c r="G41" s="24">
        <v>1.56</v>
      </c>
    </row>
    <row r="42" spans="2:7" x14ac:dyDescent="0.2">
      <c r="B42" s="25" t="s">
        <v>305</v>
      </c>
      <c r="C42" s="22" t="s">
        <v>306</v>
      </c>
      <c r="D42" s="22" t="s">
        <v>123</v>
      </c>
      <c r="E42" s="26">
        <v>82500</v>
      </c>
      <c r="F42" s="24">
        <v>620.15</v>
      </c>
      <c r="G42" s="24">
        <v>1.39</v>
      </c>
    </row>
    <row r="43" spans="2:7" x14ac:dyDescent="0.2">
      <c r="B43" s="25" t="s">
        <v>307</v>
      </c>
      <c r="C43" s="22" t="s">
        <v>308</v>
      </c>
      <c r="D43" s="22" t="s">
        <v>215</v>
      </c>
      <c r="E43" s="26">
        <v>112058</v>
      </c>
      <c r="F43" s="24">
        <v>614.36</v>
      </c>
      <c r="G43" s="24">
        <v>1.37</v>
      </c>
    </row>
    <row r="44" spans="2:7" x14ac:dyDescent="0.2">
      <c r="B44" s="25" t="s">
        <v>309</v>
      </c>
      <c r="C44" s="22" t="s">
        <v>310</v>
      </c>
      <c r="D44" s="22" t="s">
        <v>117</v>
      </c>
      <c r="E44" s="26">
        <v>111500</v>
      </c>
      <c r="F44" s="24">
        <v>578.13</v>
      </c>
      <c r="G44" s="24">
        <v>1.29</v>
      </c>
    </row>
    <row r="45" spans="2:7" x14ac:dyDescent="0.2">
      <c r="B45" s="25" t="s">
        <v>311</v>
      </c>
      <c r="C45" s="22" t="s">
        <v>312</v>
      </c>
      <c r="D45" s="22" t="s">
        <v>137</v>
      </c>
      <c r="E45" s="26">
        <v>55300</v>
      </c>
      <c r="F45" s="24">
        <v>557.12</v>
      </c>
      <c r="G45" s="24">
        <v>1.25</v>
      </c>
    </row>
    <row r="46" spans="2:7" x14ac:dyDescent="0.2">
      <c r="B46" s="25" t="s">
        <v>313</v>
      </c>
      <c r="C46" s="22" t="s">
        <v>314</v>
      </c>
      <c r="D46" s="22" t="s">
        <v>78</v>
      </c>
      <c r="E46" s="26">
        <v>212124</v>
      </c>
      <c r="F46" s="24">
        <v>555.45000000000005</v>
      </c>
      <c r="G46" s="24">
        <v>1.24</v>
      </c>
    </row>
    <row r="47" spans="2:7" x14ac:dyDescent="0.2">
      <c r="B47" s="25" t="s">
        <v>200</v>
      </c>
      <c r="C47" s="22" t="s">
        <v>201</v>
      </c>
      <c r="D47" s="22" t="s">
        <v>81</v>
      </c>
      <c r="E47" s="26">
        <v>31671</v>
      </c>
      <c r="F47" s="24">
        <v>549.02</v>
      </c>
      <c r="G47" s="24">
        <v>1.23</v>
      </c>
    </row>
    <row r="48" spans="2:7" x14ac:dyDescent="0.2">
      <c r="B48" s="25" t="s">
        <v>315</v>
      </c>
      <c r="C48" s="22" t="s">
        <v>316</v>
      </c>
      <c r="D48" s="22" t="s">
        <v>120</v>
      </c>
      <c r="E48" s="26">
        <v>122153</v>
      </c>
      <c r="F48" s="24">
        <v>533.38</v>
      </c>
      <c r="G48" s="24">
        <v>1.19</v>
      </c>
    </row>
    <row r="49" spans="2:10" x14ac:dyDescent="0.2">
      <c r="B49" s="25" t="s">
        <v>179</v>
      </c>
      <c r="C49" s="22" t="s">
        <v>180</v>
      </c>
      <c r="D49" s="22" t="s">
        <v>153</v>
      </c>
      <c r="E49" s="26">
        <v>140000</v>
      </c>
      <c r="F49" s="24">
        <v>476</v>
      </c>
      <c r="G49" s="24">
        <v>1.06</v>
      </c>
    </row>
    <row r="50" spans="2:10" x14ac:dyDescent="0.2">
      <c r="B50" s="25" t="s">
        <v>317</v>
      </c>
      <c r="C50" s="22" t="s">
        <v>318</v>
      </c>
      <c r="D50" s="22" t="s">
        <v>78</v>
      </c>
      <c r="E50" s="26">
        <v>18522</v>
      </c>
      <c r="F50" s="24">
        <v>455.52</v>
      </c>
      <c r="G50" s="24">
        <v>1.02</v>
      </c>
    </row>
    <row r="51" spans="2:10" x14ac:dyDescent="0.2">
      <c r="B51" s="25" t="s">
        <v>69</v>
      </c>
      <c r="C51" s="22" t="s">
        <v>70</v>
      </c>
      <c r="D51" s="22" t="s">
        <v>71</v>
      </c>
      <c r="E51" s="26">
        <v>105000</v>
      </c>
      <c r="F51" s="24">
        <v>414.17</v>
      </c>
      <c r="G51" s="24">
        <v>0.93</v>
      </c>
    </row>
    <row r="52" spans="2:10" x14ac:dyDescent="0.2">
      <c r="B52" s="25" t="s">
        <v>319</v>
      </c>
      <c r="C52" s="22" t="s">
        <v>320</v>
      </c>
      <c r="D52" s="22" t="s">
        <v>273</v>
      </c>
      <c r="E52" s="26">
        <v>150000</v>
      </c>
      <c r="F52" s="24">
        <v>339.9</v>
      </c>
      <c r="G52" s="24">
        <v>0.76</v>
      </c>
    </row>
    <row r="53" spans="2:10" x14ac:dyDescent="0.2">
      <c r="B53" s="25" t="s">
        <v>321</v>
      </c>
      <c r="C53" s="22" t="s">
        <v>322</v>
      </c>
      <c r="D53" s="22" t="s">
        <v>81</v>
      </c>
      <c r="E53" s="26">
        <v>375584</v>
      </c>
      <c r="F53" s="24">
        <v>332.96</v>
      </c>
      <c r="G53" s="24">
        <v>0.74</v>
      </c>
    </row>
    <row r="54" spans="2:10" x14ac:dyDescent="0.2">
      <c r="B54" s="25" t="s">
        <v>323</v>
      </c>
      <c r="C54" s="22" t="s">
        <v>324</v>
      </c>
      <c r="D54" s="22" t="s">
        <v>81</v>
      </c>
      <c r="E54" s="26">
        <v>52000</v>
      </c>
      <c r="F54" s="24">
        <v>330.62</v>
      </c>
      <c r="G54" s="24">
        <v>0.74</v>
      </c>
    </row>
    <row r="55" spans="2:10" x14ac:dyDescent="0.2">
      <c r="B55" s="25" t="s">
        <v>146</v>
      </c>
      <c r="C55" s="22" t="s">
        <v>147</v>
      </c>
      <c r="D55" s="22" t="s">
        <v>148</v>
      </c>
      <c r="E55" s="26">
        <v>16750</v>
      </c>
      <c r="F55" s="24">
        <v>307.95</v>
      </c>
      <c r="G55" s="24">
        <v>0.69</v>
      </c>
    </row>
    <row r="56" spans="2:10" x14ac:dyDescent="0.2">
      <c r="B56" s="25" t="s">
        <v>98</v>
      </c>
      <c r="C56" s="22" t="s">
        <v>99</v>
      </c>
      <c r="D56" s="22" t="s">
        <v>71</v>
      </c>
      <c r="E56" s="26">
        <v>150000</v>
      </c>
      <c r="F56" s="24">
        <v>305.33</v>
      </c>
      <c r="G56" s="24">
        <v>0.68</v>
      </c>
    </row>
    <row r="57" spans="2:10" x14ac:dyDescent="0.2">
      <c r="B57" s="25" t="s">
        <v>100</v>
      </c>
      <c r="C57" s="22" t="s">
        <v>101</v>
      </c>
      <c r="D57" s="22" t="s">
        <v>57</v>
      </c>
      <c r="E57" s="26">
        <v>51555</v>
      </c>
      <c r="F57" s="24">
        <v>269.99</v>
      </c>
      <c r="G57" s="24">
        <v>0.6</v>
      </c>
    </row>
    <row r="58" spans="2:10" x14ac:dyDescent="0.2">
      <c r="B58" s="25" t="s">
        <v>325</v>
      </c>
      <c r="C58" s="22" t="s">
        <v>326</v>
      </c>
      <c r="D58" s="22" t="s">
        <v>123</v>
      </c>
      <c r="E58" s="26">
        <v>42508</v>
      </c>
      <c r="F58" s="24">
        <v>269.67</v>
      </c>
      <c r="G58" s="24">
        <v>0.6</v>
      </c>
    </row>
    <row r="59" spans="2:10" x14ac:dyDescent="0.2">
      <c r="B59" s="25" t="s">
        <v>211</v>
      </c>
      <c r="C59" s="22" t="s">
        <v>212</v>
      </c>
      <c r="D59" s="22" t="s">
        <v>112</v>
      </c>
      <c r="E59" s="26">
        <v>18700</v>
      </c>
      <c r="F59" s="24">
        <v>216.13</v>
      </c>
      <c r="G59" s="24">
        <v>0.48</v>
      </c>
    </row>
    <row r="60" spans="2:10" x14ac:dyDescent="0.2">
      <c r="B60" s="25" t="s">
        <v>327</v>
      </c>
      <c r="C60" s="22" t="s">
        <v>328</v>
      </c>
      <c r="D60" s="22" t="s">
        <v>81</v>
      </c>
      <c r="E60" s="26">
        <v>30000</v>
      </c>
      <c r="F60" s="24">
        <v>214.94</v>
      </c>
      <c r="G60" s="24">
        <v>0.48</v>
      </c>
    </row>
    <row r="61" spans="2:10" x14ac:dyDescent="0.2">
      <c r="B61" s="27" t="s">
        <v>104</v>
      </c>
      <c r="C61" s="28"/>
      <c r="D61" s="28"/>
      <c r="E61" s="29"/>
      <c r="F61" s="30">
        <f>SUM(F7:F60)</f>
        <v>43494.51999999999</v>
      </c>
      <c r="G61" s="30">
        <f>SUM(G7:G60)</f>
        <v>97.220000000000013</v>
      </c>
      <c r="H61" s="14"/>
      <c r="I61" s="14"/>
      <c r="J61" s="14"/>
    </row>
    <row r="62" spans="2:10" x14ac:dyDescent="0.2">
      <c r="B62" s="31" t="s">
        <v>105</v>
      </c>
      <c r="C62" s="31"/>
      <c r="D62" s="31"/>
      <c r="E62" s="32"/>
      <c r="F62" s="33">
        <f>F61</f>
        <v>43494.51999999999</v>
      </c>
      <c r="G62" s="33">
        <f>G61</f>
        <v>97.220000000000013</v>
      </c>
      <c r="H62" s="14"/>
      <c r="I62" s="14"/>
      <c r="J62" s="14"/>
    </row>
    <row r="63" spans="2:10" x14ac:dyDescent="0.2">
      <c r="B63" s="17" t="s">
        <v>756</v>
      </c>
      <c r="C63" s="18"/>
      <c r="D63" s="18"/>
      <c r="E63" s="19"/>
      <c r="F63" s="20"/>
      <c r="G63" s="20"/>
    </row>
    <row r="64" spans="2:10" x14ac:dyDescent="0.2">
      <c r="B64" s="25" t="s">
        <v>756</v>
      </c>
      <c r="C64" s="22"/>
      <c r="D64" s="22"/>
      <c r="E64" s="23"/>
      <c r="F64" s="24">
        <v>947.55</v>
      </c>
      <c r="G64" s="24">
        <v>2.12</v>
      </c>
    </row>
    <row r="65" spans="2:10" x14ac:dyDescent="0.2">
      <c r="B65" s="27" t="s">
        <v>104</v>
      </c>
      <c r="C65" s="28"/>
      <c r="D65" s="28"/>
      <c r="E65" s="29"/>
      <c r="F65" s="30">
        <f>SUM(F63:F64)</f>
        <v>947.55</v>
      </c>
      <c r="G65" s="30">
        <f>SUM(G63:G64)</f>
        <v>2.12</v>
      </c>
      <c r="H65" s="14"/>
      <c r="I65" s="14"/>
      <c r="J65" s="14"/>
    </row>
    <row r="66" spans="2:10" x14ac:dyDescent="0.2">
      <c r="B66" s="31" t="s">
        <v>105</v>
      </c>
      <c r="C66" s="31"/>
      <c r="D66" s="31"/>
      <c r="E66" s="32"/>
      <c r="F66" s="33">
        <f>F65</f>
        <v>947.55</v>
      </c>
      <c r="G66" s="33">
        <f>G65</f>
        <v>2.12</v>
      </c>
      <c r="H66" s="14"/>
      <c r="I66" s="14"/>
      <c r="J66" s="14"/>
    </row>
    <row r="67" spans="2:10" x14ac:dyDescent="0.2">
      <c r="B67" s="34" t="s">
        <v>107</v>
      </c>
      <c r="C67" s="34"/>
      <c r="D67" s="34"/>
      <c r="E67" s="35"/>
      <c r="F67" s="16">
        <f>F68-(+F62+F66)</f>
        <v>298.1900000000096</v>
      </c>
      <c r="G67" s="16">
        <f>G68-(+G62+G66)</f>
        <v>0.65999999999998238</v>
      </c>
      <c r="H67" s="14"/>
      <c r="I67" s="14"/>
      <c r="J67" s="14"/>
    </row>
    <row r="68" spans="2:10" x14ac:dyDescent="0.2">
      <c r="B68" s="34" t="s">
        <v>106</v>
      </c>
      <c r="C68" s="34"/>
      <c r="D68" s="34"/>
      <c r="E68" s="35"/>
      <c r="F68" s="16">
        <v>44740.26</v>
      </c>
      <c r="G68" s="16">
        <v>100</v>
      </c>
      <c r="H68" s="14"/>
      <c r="I68" s="14"/>
      <c r="J68" s="14"/>
    </row>
    <row r="70" spans="2:10" x14ac:dyDescent="0.2">
      <c r="B70" s="14"/>
    </row>
    <row r="72" spans="2:10" x14ac:dyDescent="0.2">
      <c r="B72" s="14"/>
    </row>
    <row r="75" spans="2:10" x14ac:dyDescent="0.2">
      <c r="B75" s="14"/>
      <c r="C75" s="14"/>
      <c r="D75" s="14"/>
      <c r="E75" s="15"/>
    </row>
    <row r="81" spans="2:5" x14ac:dyDescent="0.2">
      <c r="D81" s="14"/>
      <c r="E81" s="15"/>
    </row>
    <row r="87" spans="2:5" x14ac:dyDescent="0.2">
      <c r="B87" s="14"/>
      <c r="C87" s="14"/>
      <c r="D87" s="14"/>
      <c r="E87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8"/>
  <sheetViews>
    <sheetView topLeftCell="A86" workbookViewId="0">
      <selection activeCell="B121" sqref="B12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14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108</v>
      </c>
      <c r="C7" s="22" t="s">
        <v>109</v>
      </c>
      <c r="D7" s="22" t="s">
        <v>43</v>
      </c>
      <c r="E7" s="26">
        <v>1804950</v>
      </c>
      <c r="F7" s="24">
        <v>20140.53</v>
      </c>
      <c r="G7" s="24">
        <v>6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906900</v>
      </c>
      <c r="F8" s="24">
        <v>18869.87</v>
      </c>
      <c r="G8" s="24">
        <v>5.62</v>
      </c>
    </row>
    <row r="9" spans="2:7" x14ac:dyDescent="0.2">
      <c r="B9" s="25" t="s">
        <v>110</v>
      </c>
      <c r="C9" s="22" t="s">
        <v>111</v>
      </c>
      <c r="D9" s="22" t="s">
        <v>112</v>
      </c>
      <c r="E9" s="26">
        <v>1965472</v>
      </c>
      <c r="F9" s="24">
        <v>18251.37</v>
      </c>
      <c r="G9" s="24">
        <v>5.43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3828600</v>
      </c>
      <c r="F10" s="24">
        <v>15107.66</v>
      </c>
      <c r="G10" s="24">
        <v>4.5</v>
      </c>
    </row>
    <row r="11" spans="2:7" x14ac:dyDescent="0.2">
      <c r="B11" s="25" t="s">
        <v>113</v>
      </c>
      <c r="C11" s="22" t="s">
        <v>114</v>
      </c>
      <c r="D11" s="22" t="s">
        <v>112</v>
      </c>
      <c r="E11" s="26">
        <v>423200</v>
      </c>
      <c r="F11" s="24">
        <v>9552.68</v>
      </c>
      <c r="G11" s="24">
        <v>2.84</v>
      </c>
    </row>
    <row r="12" spans="2:7" x14ac:dyDescent="0.2">
      <c r="B12" s="25" t="s">
        <v>115</v>
      </c>
      <c r="C12" s="22" t="s">
        <v>116</v>
      </c>
      <c r="D12" s="22" t="s">
        <v>117</v>
      </c>
      <c r="E12" s="26">
        <v>406800</v>
      </c>
      <c r="F12" s="24">
        <v>8613.3799999999992</v>
      </c>
      <c r="G12" s="24">
        <v>2.56</v>
      </c>
    </row>
    <row r="13" spans="2:7" x14ac:dyDescent="0.2">
      <c r="B13" s="25" t="s">
        <v>124</v>
      </c>
      <c r="C13" s="22" t="s">
        <v>125</v>
      </c>
      <c r="D13" s="22" t="s">
        <v>43</v>
      </c>
      <c r="E13" s="26">
        <v>519256</v>
      </c>
      <c r="F13" s="24">
        <v>7276.59</v>
      </c>
      <c r="G13" s="24">
        <v>2.17</v>
      </c>
    </row>
    <row r="14" spans="2:7" x14ac:dyDescent="0.2">
      <c r="B14" s="25" t="s">
        <v>118</v>
      </c>
      <c r="C14" s="22" t="s">
        <v>119</v>
      </c>
      <c r="D14" s="22" t="s">
        <v>120</v>
      </c>
      <c r="E14" s="26">
        <v>201373</v>
      </c>
      <c r="F14" s="24">
        <v>7023.49</v>
      </c>
      <c r="G14" s="24">
        <v>2.09</v>
      </c>
    </row>
    <row r="15" spans="2:7" x14ac:dyDescent="0.2">
      <c r="B15" s="25" t="s">
        <v>49</v>
      </c>
      <c r="C15" s="22" t="s">
        <v>50</v>
      </c>
      <c r="D15" s="22" t="s">
        <v>51</v>
      </c>
      <c r="E15" s="26">
        <v>135621</v>
      </c>
      <c r="F15" s="24">
        <v>5294.44</v>
      </c>
      <c r="G15" s="24">
        <v>1.58</v>
      </c>
    </row>
    <row r="16" spans="2:7" x14ac:dyDescent="0.2">
      <c r="B16" s="25" t="s">
        <v>121</v>
      </c>
      <c r="C16" s="22" t="s">
        <v>122</v>
      </c>
      <c r="D16" s="22" t="s">
        <v>123</v>
      </c>
      <c r="E16" s="26">
        <v>167608</v>
      </c>
      <c r="F16" s="24">
        <v>5234.0600000000004</v>
      </c>
      <c r="G16" s="24">
        <v>1.56</v>
      </c>
    </row>
    <row r="17" spans="2:7" x14ac:dyDescent="0.2">
      <c r="B17" s="25" t="s">
        <v>64</v>
      </c>
      <c r="C17" s="22" t="s">
        <v>65</v>
      </c>
      <c r="D17" s="22" t="s">
        <v>66</v>
      </c>
      <c r="E17" s="26">
        <v>989640</v>
      </c>
      <c r="F17" s="24">
        <v>5077.84</v>
      </c>
      <c r="G17" s="24">
        <v>1.51</v>
      </c>
    </row>
    <row r="18" spans="2:7" x14ac:dyDescent="0.2">
      <c r="B18" s="25" t="s">
        <v>142</v>
      </c>
      <c r="C18" s="22" t="s">
        <v>143</v>
      </c>
      <c r="D18" s="22" t="s">
        <v>130</v>
      </c>
      <c r="E18" s="26">
        <v>73848</v>
      </c>
      <c r="F18" s="24">
        <v>5051.17</v>
      </c>
      <c r="G18" s="24">
        <v>1.5</v>
      </c>
    </row>
    <row r="19" spans="2:7" x14ac:dyDescent="0.2">
      <c r="B19" s="25" t="s">
        <v>133</v>
      </c>
      <c r="C19" s="22" t="s">
        <v>134</v>
      </c>
      <c r="D19" s="22" t="s">
        <v>123</v>
      </c>
      <c r="E19" s="26">
        <v>175290</v>
      </c>
      <c r="F19" s="24">
        <v>4772.62</v>
      </c>
      <c r="G19" s="24">
        <v>1.42</v>
      </c>
    </row>
    <row r="20" spans="2:7" x14ac:dyDescent="0.2">
      <c r="B20" s="25" t="s">
        <v>135</v>
      </c>
      <c r="C20" s="22" t="s">
        <v>136</v>
      </c>
      <c r="D20" s="22" t="s">
        <v>137</v>
      </c>
      <c r="E20" s="26">
        <v>78235</v>
      </c>
      <c r="F20" s="24">
        <v>4522.34</v>
      </c>
      <c r="G20" s="24">
        <v>1.35</v>
      </c>
    </row>
    <row r="21" spans="2:7" x14ac:dyDescent="0.2">
      <c r="B21" s="25" t="s">
        <v>192</v>
      </c>
      <c r="C21" s="22" t="s">
        <v>193</v>
      </c>
      <c r="D21" s="22" t="s">
        <v>123</v>
      </c>
      <c r="E21" s="26">
        <v>865000</v>
      </c>
      <c r="F21" s="24">
        <v>4500.16</v>
      </c>
      <c r="G21" s="24">
        <v>1.34</v>
      </c>
    </row>
    <row r="22" spans="2:7" x14ac:dyDescent="0.2">
      <c r="B22" s="25" t="s">
        <v>181</v>
      </c>
      <c r="C22" s="22" t="s">
        <v>182</v>
      </c>
      <c r="D22" s="22" t="s">
        <v>137</v>
      </c>
      <c r="E22" s="26">
        <v>230354</v>
      </c>
      <c r="F22" s="24">
        <v>4496.3900000000003</v>
      </c>
      <c r="G22" s="24">
        <v>1.34</v>
      </c>
    </row>
    <row r="23" spans="2:7" x14ac:dyDescent="0.2">
      <c r="B23" s="25" t="s">
        <v>144</v>
      </c>
      <c r="C23" s="22" t="s">
        <v>145</v>
      </c>
      <c r="D23" s="22" t="s">
        <v>117</v>
      </c>
      <c r="E23" s="26">
        <v>120266</v>
      </c>
      <c r="F23" s="24">
        <v>4481.17</v>
      </c>
      <c r="G23" s="24">
        <v>1.33</v>
      </c>
    </row>
    <row r="24" spans="2:7" x14ac:dyDescent="0.2">
      <c r="B24" s="25" t="s">
        <v>126</v>
      </c>
      <c r="C24" s="22" t="s">
        <v>127</v>
      </c>
      <c r="D24" s="22" t="s">
        <v>120</v>
      </c>
      <c r="E24" s="26">
        <v>233000</v>
      </c>
      <c r="F24" s="24">
        <v>4269.96</v>
      </c>
      <c r="G24" s="24">
        <v>1.27</v>
      </c>
    </row>
    <row r="25" spans="2:7" x14ac:dyDescent="0.2">
      <c r="B25" s="25" t="s">
        <v>131</v>
      </c>
      <c r="C25" s="22" t="s">
        <v>132</v>
      </c>
      <c r="D25" s="22" t="s">
        <v>130</v>
      </c>
      <c r="E25" s="26">
        <v>700000</v>
      </c>
      <c r="F25" s="24">
        <v>4248.3</v>
      </c>
      <c r="G25" s="24">
        <v>1.26</v>
      </c>
    </row>
    <row r="26" spans="2:7" x14ac:dyDescent="0.2">
      <c r="B26" s="25" t="s">
        <v>32</v>
      </c>
      <c r="C26" s="22" t="s">
        <v>33</v>
      </c>
      <c r="D26" s="22" t="s">
        <v>34</v>
      </c>
      <c r="E26" s="26">
        <v>441418</v>
      </c>
      <c r="F26" s="24">
        <v>4171.18</v>
      </c>
      <c r="G26" s="24">
        <v>1.24</v>
      </c>
    </row>
    <row r="27" spans="2:7" x14ac:dyDescent="0.2">
      <c r="B27" s="25" t="s">
        <v>138</v>
      </c>
      <c r="C27" s="22" t="s">
        <v>139</v>
      </c>
      <c r="D27" s="22" t="s">
        <v>123</v>
      </c>
      <c r="E27" s="26">
        <v>24196</v>
      </c>
      <c r="F27" s="24">
        <v>3962.6</v>
      </c>
      <c r="G27" s="24">
        <v>1.18</v>
      </c>
    </row>
    <row r="28" spans="2:7" x14ac:dyDescent="0.2">
      <c r="B28" s="25" t="s">
        <v>79</v>
      </c>
      <c r="C28" s="22" t="s">
        <v>80</v>
      </c>
      <c r="D28" s="22" t="s">
        <v>81</v>
      </c>
      <c r="E28" s="26">
        <v>622573</v>
      </c>
      <c r="F28" s="24">
        <v>3951.78</v>
      </c>
      <c r="G28" s="24">
        <v>1.18</v>
      </c>
    </row>
    <row r="29" spans="2:7" x14ac:dyDescent="0.2">
      <c r="B29" s="25" t="s">
        <v>151</v>
      </c>
      <c r="C29" s="22" t="s">
        <v>152</v>
      </c>
      <c r="D29" s="22" t="s">
        <v>153</v>
      </c>
      <c r="E29" s="26">
        <v>285446</v>
      </c>
      <c r="F29" s="24">
        <v>3773.31</v>
      </c>
      <c r="G29" s="24">
        <v>1.1200000000000001</v>
      </c>
    </row>
    <row r="30" spans="2:7" x14ac:dyDescent="0.2">
      <c r="B30" s="25" t="s">
        <v>128</v>
      </c>
      <c r="C30" s="22" t="s">
        <v>129</v>
      </c>
      <c r="D30" s="22" t="s">
        <v>130</v>
      </c>
      <c r="E30" s="26">
        <v>118500</v>
      </c>
      <c r="F30" s="24">
        <v>3562.17</v>
      </c>
      <c r="G30" s="24">
        <v>1.06</v>
      </c>
    </row>
    <row r="31" spans="2:7" x14ac:dyDescent="0.2">
      <c r="B31" s="25" t="s">
        <v>149</v>
      </c>
      <c r="C31" s="22" t="s">
        <v>150</v>
      </c>
      <c r="D31" s="22" t="s">
        <v>123</v>
      </c>
      <c r="E31" s="26">
        <v>185637</v>
      </c>
      <c r="F31" s="24">
        <v>3504.08</v>
      </c>
      <c r="G31" s="24">
        <v>1.04</v>
      </c>
    </row>
    <row r="32" spans="2:7" x14ac:dyDescent="0.2">
      <c r="B32" s="25" t="s">
        <v>140</v>
      </c>
      <c r="C32" s="22" t="s">
        <v>141</v>
      </c>
      <c r="D32" s="22" t="s">
        <v>120</v>
      </c>
      <c r="E32" s="26">
        <v>214000</v>
      </c>
      <c r="F32" s="24">
        <v>3420.58</v>
      </c>
      <c r="G32" s="24">
        <v>1.02</v>
      </c>
    </row>
    <row r="33" spans="2:7" x14ac:dyDescent="0.2">
      <c r="B33" s="25" t="s">
        <v>156</v>
      </c>
      <c r="C33" s="22" t="s">
        <v>157</v>
      </c>
      <c r="D33" s="22" t="s">
        <v>117</v>
      </c>
      <c r="E33" s="26">
        <v>180100</v>
      </c>
      <c r="F33" s="24">
        <v>3420.28</v>
      </c>
      <c r="G33" s="24">
        <v>1.02</v>
      </c>
    </row>
    <row r="34" spans="2:7" x14ac:dyDescent="0.2">
      <c r="B34" s="25" t="s">
        <v>46</v>
      </c>
      <c r="C34" s="22" t="s">
        <v>47</v>
      </c>
      <c r="D34" s="22" t="s">
        <v>48</v>
      </c>
      <c r="E34" s="26">
        <v>10146</v>
      </c>
      <c r="F34" s="24">
        <v>3309.98</v>
      </c>
      <c r="G34" s="24">
        <v>0.99</v>
      </c>
    </row>
    <row r="35" spans="2:7" x14ac:dyDescent="0.2">
      <c r="B35" s="25" t="s">
        <v>69</v>
      </c>
      <c r="C35" s="22" t="s">
        <v>70</v>
      </c>
      <c r="D35" s="22" t="s">
        <v>71</v>
      </c>
      <c r="E35" s="26">
        <v>795000</v>
      </c>
      <c r="F35" s="24">
        <v>3135.88</v>
      </c>
      <c r="G35" s="24">
        <v>0.93</v>
      </c>
    </row>
    <row r="36" spans="2:7" x14ac:dyDescent="0.2">
      <c r="B36" s="25" t="s">
        <v>158</v>
      </c>
      <c r="C36" s="22" t="s">
        <v>159</v>
      </c>
      <c r="D36" s="22" t="s">
        <v>43</v>
      </c>
      <c r="E36" s="26">
        <v>613100</v>
      </c>
      <c r="F36" s="24">
        <v>3045.57</v>
      </c>
      <c r="G36" s="24">
        <v>0.91</v>
      </c>
    </row>
    <row r="37" spans="2:7" x14ac:dyDescent="0.2">
      <c r="B37" s="25" t="s">
        <v>154</v>
      </c>
      <c r="C37" s="22" t="s">
        <v>155</v>
      </c>
      <c r="D37" s="22" t="s">
        <v>81</v>
      </c>
      <c r="E37" s="26">
        <v>271700</v>
      </c>
      <c r="F37" s="24">
        <v>2990.06</v>
      </c>
      <c r="G37" s="24">
        <v>0.89</v>
      </c>
    </row>
    <row r="38" spans="2:7" x14ac:dyDescent="0.2">
      <c r="B38" s="25" t="s">
        <v>224</v>
      </c>
      <c r="C38" s="22" t="s">
        <v>225</v>
      </c>
      <c r="D38" s="22" t="s">
        <v>120</v>
      </c>
      <c r="E38" s="26">
        <v>2000000</v>
      </c>
      <c r="F38" s="24">
        <v>2694</v>
      </c>
      <c r="G38" s="24">
        <v>0.8</v>
      </c>
    </row>
    <row r="39" spans="2:7" x14ac:dyDescent="0.2">
      <c r="B39" s="25" t="s">
        <v>72</v>
      </c>
      <c r="C39" s="22" t="s">
        <v>73</v>
      </c>
      <c r="D39" s="22" t="s">
        <v>71</v>
      </c>
      <c r="E39" s="26">
        <v>817498</v>
      </c>
      <c r="F39" s="24">
        <v>2660.55</v>
      </c>
      <c r="G39" s="24">
        <v>0.79</v>
      </c>
    </row>
    <row r="40" spans="2:7" x14ac:dyDescent="0.2">
      <c r="B40" s="25" t="s">
        <v>168</v>
      </c>
      <c r="C40" s="22" t="s">
        <v>169</v>
      </c>
      <c r="D40" s="22" t="s">
        <v>117</v>
      </c>
      <c r="E40" s="26">
        <v>1389500</v>
      </c>
      <c r="F40" s="24">
        <v>2655.33</v>
      </c>
      <c r="G40" s="24">
        <v>0.79</v>
      </c>
    </row>
    <row r="41" spans="2:7" x14ac:dyDescent="0.2">
      <c r="B41" s="25" t="s">
        <v>172</v>
      </c>
      <c r="C41" s="22" t="s">
        <v>173</v>
      </c>
      <c r="D41" s="22" t="s">
        <v>81</v>
      </c>
      <c r="E41" s="26">
        <v>114954</v>
      </c>
      <c r="F41" s="24">
        <v>2438.58</v>
      </c>
      <c r="G41" s="24">
        <v>0.73</v>
      </c>
    </row>
    <row r="42" spans="2:7" x14ac:dyDescent="0.2">
      <c r="B42" s="25" t="s">
        <v>166</v>
      </c>
      <c r="C42" s="22" t="s">
        <v>167</v>
      </c>
      <c r="D42" s="22" t="s">
        <v>120</v>
      </c>
      <c r="E42" s="26">
        <v>194000</v>
      </c>
      <c r="F42" s="24">
        <v>2438</v>
      </c>
      <c r="G42" s="24">
        <v>0.73</v>
      </c>
    </row>
    <row r="43" spans="2:7" x14ac:dyDescent="0.2">
      <c r="B43" s="25" t="s">
        <v>82</v>
      </c>
      <c r="C43" s="22" t="s">
        <v>83</v>
      </c>
      <c r="D43" s="22" t="s">
        <v>51</v>
      </c>
      <c r="E43" s="26">
        <v>11920</v>
      </c>
      <c r="F43" s="24">
        <v>2417.73</v>
      </c>
      <c r="G43" s="24">
        <v>0.72</v>
      </c>
    </row>
    <row r="44" spans="2:7" x14ac:dyDescent="0.2">
      <c r="B44" s="25" t="s">
        <v>162</v>
      </c>
      <c r="C44" s="22" t="s">
        <v>163</v>
      </c>
      <c r="D44" s="22" t="s">
        <v>120</v>
      </c>
      <c r="E44" s="26">
        <v>96000</v>
      </c>
      <c r="F44" s="24">
        <v>2314.46</v>
      </c>
      <c r="G44" s="24">
        <v>0.69</v>
      </c>
    </row>
    <row r="45" spans="2:7" x14ac:dyDescent="0.2">
      <c r="B45" s="25" t="s">
        <v>179</v>
      </c>
      <c r="C45" s="22" t="s">
        <v>180</v>
      </c>
      <c r="D45" s="22" t="s">
        <v>153</v>
      </c>
      <c r="E45" s="26">
        <v>650000</v>
      </c>
      <c r="F45" s="24">
        <v>2210</v>
      </c>
      <c r="G45" s="24">
        <v>0.66</v>
      </c>
    </row>
    <row r="46" spans="2:7" x14ac:dyDescent="0.2">
      <c r="B46" s="25" t="s">
        <v>146</v>
      </c>
      <c r="C46" s="22" t="s">
        <v>147</v>
      </c>
      <c r="D46" s="22" t="s">
        <v>148</v>
      </c>
      <c r="E46" s="26">
        <v>119448</v>
      </c>
      <c r="F46" s="24">
        <v>2196.0500000000002</v>
      </c>
      <c r="G46" s="24">
        <v>0.65</v>
      </c>
    </row>
    <row r="47" spans="2:7" x14ac:dyDescent="0.2">
      <c r="B47" s="25" t="s">
        <v>209</v>
      </c>
      <c r="C47" s="22" t="s">
        <v>210</v>
      </c>
      <c r="D47" s="22" t="s">
        <v>120</v>
      </c>
      <c r="E47" s="26">
        <v>260000</v>
      </c>
      <c r="F47" s="24">
        <v>2152.15</v>
      </c>
      <c r="G47" s="24">
        <v>0.64</v>
      </c>
    </row>
    <row r="48" spans="2:7" x14ac:dyDescent="0.2">
      <c r="B48" s="25" t="s">
        <v>55</v>
      </c>
      <c r="C48" s="22" t="s">
        <v>56</v>
      </c>
      <c r="D48" s="22" t="s">
        <v>57</v>
      </c>
      <c r="E48" s="26">
        <v>114535</v>
      </c>
      <c r="F48" s="24">
        <v>2063.52</v>
      </c>
      <c r="G48" s="24">
        <v>0.61</v>
      </c>
    </row>
    <row r="49" spans="2:10" x14ac:dyDescent="0.2">
      <c r="B49" s="25" t="s">
        <v>174</v>
      </c>
      <c r="C49" s="22" t="s">
        <v>175</v>
      </c>
      <c r="D49" s="22" t="s">
        <v>176</v>
      </c>
      <c r="E49" s="26">
        <v>115721</v>
      </c>
      <c r="F49" s="24">
        <v>2053.87</v>
      </c>
      <c r="G49" s="24">
        <v>0.61</v>
      </c>
    </row>
    <row r="50" spans="2:10" x14ac:dyDescent="0.2">
      <c r="B50" s="25" t="s">
        <v>185</v>
      </c>
      <c r="C50" s="22" t="s">
        <v>186</v>
      </c>
      <c r="D50" s="22" t="s">
        <v>187</v>
      </c>
      <c r="E50" s="26">
        <v>90840</v>
      </c>
      <c r="F50" s="24">
        <v>2045.04</v>
      </c>
      <c r="G50" s="24">
        <v>0.61</v>
      </c>
    </row>
    <row r="51" spans="2:10" x14ac:dyDescent="0.2">
      <c r="B51" s="25" t="s">
        <v>84</v>
      </c>
      <c r="C51" s="22" t="s">
        <v>85</v>
      </c>
      <c r="D51" s="22" t="s">
        <v>71</v>
      </c>
      <c r="E51" s="26">
        <v>708000</v>
      </c>
      <c r="F51" s="24">
        <v>1701.68</v>
      </c>
      <c r="G51" s="24">
        <v>0.51</v>
      </c>
    </row>
    <row r="52" spans="2:10" x14ac:dyDescent="0.2">
      <c r="B52" s="25" t="s">
        <v>74</v>
      </c>
      <c r="C52" s="22" t="s">
        <v>75</v>
      </c>
      <c r="D52" s="22" t="s">
        <v>54</v>
      </c>
      <c r="E52" s="26">
        <v>805321</v>
      </c>
      <c r="F52" s="24">
        <v>1699.23</v>
      </c>
      <c r="G52" s="24">
        <v>0.51</v>
      </c>
    </row>
    <row r="53" spans="2:10" x14ac:dyDescent="0.2">
      <c r="B53" s="25" t="s">
        <v>329</v>
      </c>
      <c r="C53" s="22" t="s">
        <v>330</v>
      </c>
      <c r="D53" s="22" t="s">
        <v>57</v>
      </c>
      <c r="E53" s="26">
        <v>182306</v>
      </c>
      <c r="F53" s="24">
        <v>1627.72</v>
      </c>
      <c r="G53" s="24">
        <v>0.48</v>
      </c>
    </row>
    <row r="54" spans="2:10" x14ac:dyDescent="0.2">
      <c r="B54" s="25" t="s">
        <v>194</v>
      </c>
      <c r="C54" s="22" t="s">
        <v>195</v>
      </c>
      <c r="D54" s="22" t="s">
        <v>117</v>
      </c>
      <c r="E54" s="26">
        <v>66117</v>
      </c>
      <c r="F54" s="24">
        <v>1386.47</v>
      </c>
      <c r="G54" s="24">
        <v>0.41</v>
      </c>
    </row>
    <row r="55" spans="2:10" x14ac:dyDescent="0.2">
      <c r="B55" s="25" t="s">
        <v>230</v>
      </c>
      <c r="C55" s="22" t="s">
        <v>231</v>
      </c>
      <c r="D55" s="22" t="s">
        <v>187</v>
      </c>
      <c r="E55" s="26">
        <v>835948</v>
      </c>
      <c r="F55" s="24">
        <v>1169.49</v>
      </c>
      <c r="G55" s="24">
        <v>0.35</v>
      </c>
    </row>
    <row r="56" spans="2:10" x14ac:dyDescent="0.2">
      <c r="B56" s="27" t="s">
        <v>104</v>
      </c>
      <c r="C56" s="28"/>
      <c r="D56" s="28"/>
      <c r="E56" s="29"/>
      <c r="F56" s="30">
        <f>SUM(F7:F55)</f>
        <v>236955.35999999993</v>
      </c>
      <c r="G56" s="30">
        <f>SUM(G7:G55)</f>
        <v>70.540000000000006</v>
      </c>
      <c r="H56" s="14"/>
      <c r="I56" s="14"/>
      <c r="J56" s="14"/>
    </row>
    <row r="57" spans="2:10" x14ac:dyDescent="0.2">
      <c r="B57" s="31" t="s">
        <v>105</v>
      </c>
      <c r="C57" s="31"/>
      <c r="D57" s="31"/>
      <c r="E57" s="32"/>
      <c r="F57" s="33">
        <f>F56</f>
        <v>236955.35999999993</v>
      </c>
      <c r="G57" s="33">
        <f>G56</f>
        <v>70.540000000000006</v>
      </c>
      <c r="H57" s="14"/>
      <c r="I57" s="14"/>
      <c r="J57" s="14"/>
    </row>
    <row r="58" spans="2:10" x14ac:dyDescent="0.2">
      <c r="B58" s="36" t="s">
        <v>331</v>
      </c>
      <c r="C58" s="18"/>
      <c r="D58" s="18"/>
      <c r="E58" s="19"/>
      <c r="F58" s="20"/>
      <c r="G58" s="20"/>
    </row>
    <row r="59" spans="2:10" x14ac:dyDescent="0.2">
      <c r="B59" s="37" t="s">
        <v>31</v>
      </c>
      <c r="C59" s="22"/>
      <c r="D59" s="22"/>
      <c r="E59" s="23"/>
      <c r="F59" s="24"/>
      <c r="G59" s="24"/>
    </row>
    <row r="60" spans="2:10" x14ac:dyDescent="0.2">
      <c r="B60" s="22" t="s">
        <v>332</v>
      </c>
      <c r="C60" s="22" t="s">
        <v>333</v>
      </c>
      <c r="D60" s="22" t="s">
        <v>334</v>
      </c>
      <c r="E60" s="26">
        <v>450</v>
      </c>
      <c r="F60" s="24">
        <v>4546.4799999999996</v>
      </c>
      <c r="G60" s="24">
        <v>1.35</v>
      </c>
    </row>
    <row r="61" spans="2:10" x14ac:dyDescent="0.2">
      <c r="B61" s="22" t="s">
        <v>335</v>
      </c>
      <c r="C61" s="22" t="s">
        <v>336</v>
      </c>
      <c r="D61" s="22" t="s">
        <v>334</v>
      </c>
      <c r="E61" s="26">
        <v>350</v>
      </c>
      <c r="F61" s="24">
        <v>3606.83</v>
      </c>
      <c r="G61" s="24">
        <v>1.07</v>
      </c>
    </row>
    <row r="62" spans="2:10" x14ac:dyDescent="0.2">
      <c r="B62" s="22" t="s">
        <v>337</v>
      </c>
      <c r="C62" s="22" t="s">
        <v>338</v>
      </c>
      <c r="D62" s="22" t="s">
        <v>334</v>
      </c>
      <c r="E62" s="26">
        <v>300</v>
      </c>
      <c r="F62" s="24">
        <v>3341.95</v>
      </c>
      <c r="G62" s="24">
        <v>0.99</v>
      </c>
    </row>
    <row r="63" spans="2:10" x14ac:dyDescent="0.2">
      <c r="B63" s="22" t="s">
        <v>339</v>
      </c>
      <c r="C63" s="22" t="s">
        <v>340</v>
      </c>
      <c r="D63" s="22" t="s">
        <v>334</v>
      </c>
      <c r="E63" s="26">
        <v>300</v>
      </c>
      <c r="F63" s="24">
        <v>3030.49</v>
      </c>
      <c r="G63" s="24">
        <v>0.9</v>
      </c>
    </row>
    <row r="64" spans="2:10" x14ac:dyDescent="0.2">
      <c r="B64" s="22" t="s">
        <v>341</v>
      </c>
      <c r="C64" s="22" t="s">
        <v>342</v>
      </c>
      <c r="D64" s="22" t="s">
        <v>334</v>
      </c>
      <c r="E64" s="26">
        <v>28</v>
      </c>
      <c r="F64" s="24">
        <v>2800</v>
      </c>
      <c r="G64" s="24">
        <v>0.83</v>
      </c>
    </row>
    <row r="65" spans="2:7" x14ac:dyDescent="0.2">
      <c r="B65" s="22" t="s">
        <v>343</v>
      </c>
      <c r="C65" s="22" t="s">
        <v>344</v>
      </c>
      <c r="D65" s="22" t="s">
        <v>334</v>
      </c>
      <c r="E65" s="26">
        <v>250</v>
      </c>
      <c r="F65" s="24">
        <v>2618.6799999999998</v>
      </c>
      <c r="G65" s="24">
        <v>0.78</v>
      </c>
    </row>
    <row r="66" spans="2:7" x14ac:dyDescent="0.2">
      <c r="B66" s="22" t="s">
        <v>345</v>
      </c>
      <c r="C66" s="22" t="s">
        <v>346</v>
      </c>
      <c r="D66" s="22" t="s">
        <v>334</v>
      </c>
      <c r="E66" s="26">
        <v>250</v>
      </c>
      <c r="F66" s="24">
        <v>2614.0700000000002</v>
      </c>
      <c r="G66" s="24">
        <v>0.78</v>
      </c>
    </row>
    <row r="67" spans="2:7" x14ac:dyDescent="0.2">
      <c r="B67" s="22" t="s">
        <v>347</v>
      </c>
      <c r="C67" s="22" t="s">
        <v>348</v>
      </c>
      <c r="D67" s="22" t="s">
        <v>349</v>
      </c>
      <c r="E67" s="26">
        <v>250</v>
      </c>
      <c r="F67" s="24">
        <v>2572.9899999999998</v>
      </c>
      <c r="G67" s="24">
        <v>0.77</v>
      </c>
    </row>
    <row r="68" spans="2:7" x14ac:dyDescent="0.2">
      <c r="B68" s="22" t="s">
        <v>350</v>
      </c>
      <c r="C68" s="22" t="s">
        <v>351</v>
      </c>
      <c r="D68" s="22" t="s">
        <v>334</v>
      </c>
      <c r="E68" s="26">
        <v>250</v>
      </c>
      <c r="F68" s="24">
        <v>2567.3200000000002</v>
      </c>
      <c r="G68" s="24">
        <v>0.76</v>
      </c>
    </row>
    <row r="69" spans="2:7" x14ac:dyDescent="0.2">
      <c r="B69" s="22" t="s">
        <v>352</v>
      </c>
      <c r="C69" s="22" t="s">
        <v>353</v>
      </c>
      <c r="D69" s="22" t="s">
        <v>334</v>
      </c>
      <c r="E69" s="26">
        <v>250</v>
      </c>
      <c r="F69" s="24">
        <v>2530.2199999999998</v>
      </c>
      <c r="G69" s="24">
        <v>0.75</v>
      </c>
    </row>
    <row r="70" spans="2:7" x14ac:dyDescent="0.2">
      <c r="B70" s="22" t="s">
        <v>354</v>
      </c>
      <c r="C70" s="22" t="s">
        <v>355</v>
      </c>
      <c r="D70" s="22" t="s">
        <v>334</v>
      </c>
      <c r="E70" s="26">
        <v>200</v>
      </c>
      <c r="F70" s="24">
        <v>2143.91</v>
      </c>
      <c r="G70" s="24">
        <v>0.64</v>
      </c>
    </row>
    <row r="71" spans="2:7" x14ac:dyDescent="0.2">
      <c r="B71" s="22" t="s">
        <v>356</v>
      </c>
      <c r="C71" s="22" t="s">
        <v>357</v>
      </c>
      <c r="D71" s="22" t="s">
        <v>334</v>
      </c>
      <c r="E71" s="26">
        <v>160</v>
      </c>
      <c r="F71" s="24">
        <v>1765.45</v>
      </c>
      <c r="G71" s="24">
        <v>0.53</v>
      </c>
    </row>
    <row r="72" spans="2:7" x14ac:dyDescent="0.2">
      <c r="B72" s="22" t="s">
        <v>358</v>
      </c>
      <c r="C72" s="22" t="s">
        <v>359</v>
      </c>
      <c r="D72" s="22" t="s">
        <v>334</v>
      </c>
      <c r="E72" s="26">
        <v>150</v>
      </c>
      <c r="F72" s="24">
        <v>1659.24</v>
      </c>
      <c r="G72" s="24">
        <v>0.49</v>
      </c>
    </row>
    <row r="73" spans="2:7" x14ac:dyDescent="0.2">
      <c r="B73" s="22" t="s">
        <v>360</v>
      </c>
      <c r="C73" s="22" t="s">
        <v>361</v>
      </c>
      <c r="D73" s="22" t="s">
        <v>334</v>
      </c>
      <c r="E73" s="26">
        <v>150</v>
      </c>
      <c r="F73" s="24">
        <v>1617.96</v>
      </c>
      <c r="G73" s="24">
        <v>0.48</v>
      </c>
    </row>
    <row r="74" spans="2:7" x14ac:dyDescent="0.2">
      <c r="B74" s="22" t="s">
        <v>362</v>
      </c>
      <c r="C74" s="22" t="s">
        <v>363</v>
      </c>
      <c r="D74" s="22" t="s">
        <v>334</v>
      </c>
      <c r="E74" s="26">
        <v>150</v>
      </c>
      <c r="F74" s="24">
        <v>1594.52</v>
      </c>
      <c r="G74" s="24">
        <v>0.47</v>
      </c>
    </row>
    <row r="75" spans="2:7" x14ac:dyDescent="0.2">
      <c r="B75" s="22" t="s">
        <v>364</v>
      </c>
      <c r="C75" s="22" t="s">
        <v>365</v>
      </c>
      <c r="D75" s="22" t="s">
        <v>334</v>
      </c>
      <c r="E75" s="26">
        <v>150</v>
      </c>
      <c r="F75" s="24">
        <v>1572.54</v>
      </c>
      <c r="G75" s="24">
        <v>0.47</v>
      </c>
    </row>
    <row r="76" spans="2:7" x14ac:dyDescent="0.2">
      <c r="B76" s="22" t="s">
        <v>366</v>
      </c>
      <c r="C76" s="22" t="s">
        <v>367</v>
      </c>
      <c r="D76" s="22" t="s">
        <v>334</v>
      </c>
      <c r="E76" s="26">
        <v>150</v>
      </c>
      <c r="F76" s="24">
        <v>1560.3</v>
      </c>
      <c r="G76" s="24">
        <v>0.46</v>
      </c>
    </row>
    <row r="77" spans="2:7" x14ac:dyDescent="0.2">
      <c r="B77" s="22" t="s">
        <v>368</v>
      </c>
      <c r="C77" s="22" t="s">
        <v>369</v>
      </c>
      <c r="D77" s="22" t="s">
        <v>334</v>
      </c>
      <c r="E77" s="26">
        <v>150</v>
      </c>
      <c r="F77" s="24">
        <v>1542.98</v>
      </c>
      <c r="G77" s="24">
        <v>0.46</v>
      </c>
    </row>
    <row r="78" spans="2:7" x14ac:dyDescent="0.2">
      <c r="B78" s="22" t="s">
        <v>370</v>
      </c>
      <c r="C78" s="22" t="s">
        <v>371</v>
      </c>
      <c r="D78" s="22" t="s">
        <v>349</v>
      </c>
      <c r="E78" s="26">
        <v>150</v>
      </c>
      <c r="F78" s="24">
        <v>1533.13</v>
      </c>
      <c r="G78" s="24">
        <v>0.46</v>
      </c>
    </row>
    <row r="79" spans="2:7" x14ac:dyDescent="0.2">
      <c r="B79" s="22" t="s">
        <v>372</v>
      </c>
      <c r="C79" s="22" t="s">
        <v>373</v>
      </c>
      <c r="D79" s="22" t="s">
        <v>374</v>
      </c>
      <c r="E79" s="26">
        <v>152</v>
      </c>
      <c r="F79" s="24">
        <v>1470.01</v>
      </c>
      <c r="G79" s="24">
        <v>0.44</v>
      </c>
    </row>
    <row r="80" spans="2:7" x14ac:dyDescent="0.2">
      <c r="B80" s="22" t="s">
        <v>375</v>
      </c>
      <c r="C80" s="22" t="s">
        <v>376</v>
      </c>
      <c r="D80" s="22" t="s">
        <v>334</v>
      </c>
      <c r="E80" s="26">
        <v>112</v>
      </c>
      <c r="F80" s="24">
        <v>1236.27</v>
      </c>
      <c r="G80" s="24">
        <v>0.37</v>
      </c>
    </row>
    <row r="81" spans="2:7" x14ac:dyDescent="0.2">
      <c r="B81" s="22" t="s">
        <v>377</v>
      </c>
      <c r="C81" s="22" t="s">
        <v>378</v>
      </c>
      <c r="D81" s="22" t="s">
        <v>334</v>
      </c>
      <c r="E81" s="26">
        <v>100</v>
      </c>
      <c r="F81" s="24">
        <v>1095.24</v>
      </c>
      <c r="G81" s="24">
        <v>0.33</v>
      </c>
    </row>
    <row r="82" spans="2:7" x14ac:dyDescent="0.2">
      <c r="B82" s="22" t="s">
        <v>379</v>
      </c>
      <c r="C82" s="22" t="s">
        <v>380</v>
      </c>
      <c r="D82" s="22" t="s">
        <v>334</v>
      </c>
      <c r="E82" s="26">
        <v>100</v>
      </c>
      <c r="F82" s="24">
        <v>1079.6600000000001</v>
      </c>
      <c r="G82" s="24">
        <v>0.32</v>
      </c>
    </row>
    <row r="83" spans="2:7" x14ac:dyDescent="0.2">
      <c r="B83" s="22" t="s">
        <v>381</v>
      </c>
      <c r="C83" s="22" t="s">
        <v>382</v>
      </c>
      <c r="D83" s="22" t="s">
        <v>334</v>
      </c>
      <c r="E83" s="26">
        <v>100</v>
      </c>
      <c r="F83" s="24">
        <v>1067.83</v>
      </c>
      <c r="G83" s="24">
        <v>0.32</v>
      </c>
    </row>
    <row r="84" spans="2:7" x14ac:dyDescent="0.2">
      <c r="B84" s="22" t="s">
        <v>383</v>
      </c>
      <c r="C84" s="22" t="s">
        <v>384</v>
      </c>
      <c r="D84" s="22" t="s">
        <v>385</v>
      </c>
      <c r="E84" s="26">
        <v>100</v>
      </c>
      <c r="F84" s="24">
        <v>1041.5</v>
      </c>
      <c r="G84" s="24">
        <v>0.31</v>
      </c>
    </row>
    <row r="85" spans="2:7" x14ac:dyDescent="0.2">
      <c r="B85" s="22" t="s">
        <v>386</v>
      </c>
      <c r="C85" s="22" t="s">
        <v>387</v>
      </c>
      <c r="D85" s="22" t="s">
        <v>334</v>
      </c>
      <c r="E85" s="26">
        <v>100</v>
      </c>
      <c r="F85" s="24">
        <v>1033.74</v>
      </c>
      <c r="G85" s="24">
        <v>0.31</v>
      </c>
    </row>
    <row r="86" spans="2:7" x14ac:dyDescent="0.2">
      <c r="B86" s="22" t="s">
        <v>388</v>
      </c>
      <c r="C86" s="22" t="s">
        <v>389</v>
      </c>
      <c r="D86" s="22" t="s">
        <v>374</v>
      </c>
      <c r="E86" s="26">
        <v>100</v>
      </c>
      <c r="F86" s="24">
        <v>1033.72</v>
      </c>
      <c r="G86" s="24">
        <v>0.31</v>
      </c>
    </row>
    <row r="87" spans="2:7" x14ac:dyDescent="0.2">
      <c r="B87" s="22" t="s">
        <v>390</v>
      </c>
      <c r="C87" s="22" t="s">
        <v>391</v>
      </c>
      <c r="D87" s="22" t="s">
        <v>334</v>
      </c>
      <c r="E87" s="26">
        <v>100</v>
      </c>
      <c r="F87" s="24">
        <v>1002.89</v>
      </c>
      <c r="G87" s="24">
        <v>0.3</v>
      </c>
    </row>
    <row r="88" spans="2:7" x14ac:dyDescent="0.2">
      <c r="B88" s="22" t="s">
        <v>392</v>
      </c>
      <c r="C88" s="22" t="s">
        <v>393</v>
      </c>
      <c r="D88" s="22" t="s">
        <v>334</v>
      </c>
      <c r="E88" s="26">
        <v>70</v>
      </c>
      <c r="F88" s="24">
        <v>713.33</v>
      </c>
      <c r="G88" s="24">
        <v>0.21</v>
      </c>
    </row>
    <row r="89" spans="2:7" x14ac:dyDescent="0.2">
      <c r="B89" s="22" t="s">
        <v>394</v>
      </c>
      <c r="C89" s="22" t="s">
        <v>395</v>
      </c>
      <c r="D89" s="22" t="s">
        <v>334</v>
      </c>
      <c r="E89" s="26">
        <v>69</v>
      </c>
      <c r="F89" s="24">
        <v>710.85</v>
      </c>
      <c r="G89" s="24">
        <v>0.21</v>
      </c>
    </row>
    <row r="90" spans="2:7" x14ac:dyDescent="0.2">
      <c r="B90" s="22" t="s">
        <v>396</v>
      </c>
      <c r="C90" s="22" t="s">
        <v>397</v>
      </c>
      <c r="D90" s="22" t="s">
        <v>334</v>
      </c>
      <c r="E90" s="26">
        <v>60</v>
      </c>
      <c r="F90" s="24">
        <v>631.87</v>
      </c>
      <c r="G90" s="24">
        <v>0.19</v>
      </c>
    </row>
    <row r="91" spans="2:7" x14ac:dyDescent="0.2">
      <c r="B91" s="22" t="s">
        <v>398</v>
      </c>
      <c r="C91" s="22" t="s">
        <v>399</v>
      </c>
      <c r="D91" s="22" t="s">
        <v>334</v>
      </c>
      <c r="E91" s="26">
        <v>50</v>
      </c>
      <c r="F91" s="24">
        <v>553.73</v>
      </c>
      <c r="G91" s="24">
        <v>0.16</v>
      </c>
    </row>
    <row r="92" spans="2:7" x14ac:dyDescent="0.2">
      <c r="B92" s="22" t="s">
        <v>400</v>
      </c>
      <c r="C92" s="22" t="s">
        <v>401</v>
      </c>
      <c r="D92" s="22" t="s">
        <v>334</v>
      </c>
      <c r="E92" s="26">
        <v>50</v>
      </c>
      <c r="F92" s="24">
        <v>544.91</v>
      </c>
      <c r="G92" s="24">
        <v>0.16</v>
      </c>
    </row>
    <row r="93" spans="2:7" x14ac:dyDescent="0.2">
      <c r="B93" s="22" t="s">
        <v>402</v>
      </c>
      <c r="C93" s="22" t="s">
        <v>403</v>
      </c>
      <c r="D93" s="22" t="s">
        <v>334</v>
      </c>
      <c r="E93" s="26">
        <v>50</v>
      </c>
      <c r="F93" s="24">
        <v>524.16</v>
      </c>
      <c r="G93" s="24">
        <v>0.16</v>
      </c>
    </row>
    <row r="94" spans="2:7" x14ac:dyDescent="0.2">
      <c r="B94" s="22" t="s">
        <v>404</v>
      </c>
      <c r="C94" s="22" t="s">
        <v>405</v>
      </c>
      <c r="D94" s="22" t="s">
        <v>334</v>
      </c>
      <c r="E94" s="26">
        <v>50</v>
      </c>
      <c r="F94" s="24">
        <v>519.53</v>
      </c>
      <c r="G94" s="24">
        <v>0.15</v>
      </c>
    </row>
    <row r="95" spans="2:7" x14ac:dyDescent="0.2">
      <c r="B95" s="22" t="s">
        <v>406</v>
      </c>
      <c r="C95" s="22" t="s">
        <v>407</v>
      </c>
      <c r="D95" s="22" t="s">
        <v>334</v>
      </c>
      <c r="E95" s="26">
        <v>50</v>
      </c>
      <c r="F95" s="24">
        <v>518.86</v>
      </c>
      <c r="G95" s="24">
        <v>0.15</v>
      </c>
    </row>
    <row r="96" spans="2:7" x14ac:dyDescent="0.2">
      <c r="B96" s="22" t="s">
        <v>408</v>
      </c>
      <c r="C96" s="22" t="s">
        <v>409</v>
      </c>
      <c r="D96" s="22" t="s">
        <v>334</v>
      </c>
      <c r="E96" s="26">
        <v>10</v>
      </c>
      <c r="F96" s="24">
        <v>105.7</v>
      </c>
      <c r="G96" s="24">
        <v>0.03</v>
      </c>
    </row>
    <row r="97" spans="2:10" x14ac:dyDescent="0.2">
      <c r="B97" s="28" t="s">
        <v>104</v>
      </c>
      <c r="C97" s="28"/>
      <c r="D97" s="28"/>
      <c r="E97" s="29"/>
      <c r="F97" s="30">
        <f>SUM(F59:F96)</f>
        <v>60102.860000000008</v>
      </c>
      <c r="G97" s="30">
        <f>SUM(G59:G96)</f>
        <v>17.870000000000008</v>
      </c>
      <c r="H97" s="14"/>
      <c r="I97" s="14"/>
      <c r="J97" s="14"/>
    </row>
    <row r="98" spans="2:10" x14ac:dyDescent="0.2">
      <c r="B98" s="38" t="s">
        <v>105</v>
      </c>
      <c r="C98" s="38"/>
      <c r="D98" s="38"/>
      <c r="E98" s="39"/>
      <c r="F98" s="40">
        <f>F97</f>
        <v>60102.860000000008</v>
      </c>
      <c r="G98" s="40">
        <f>G97</f>
        <v>17.870000000000008</v>
      </c>
      <c r="H98" s="14"/>
      <c r="I98" s="14"/>
      <c r="J98" s="14"/>
    </row>
    <row r="99" spans="2:10" x14ac:dyDescent="0.2">
      <c r="B99" s="37" t="s">
        <v>410</v>
      </c>
      <c r="C99" s="22"/>
      <c r="D99" s="22"/>
      <c r="E99" s="23"/>
      <c r="F99" s="24"/>
      <c r="G99" s="24"/>
    </row>
    <row r="100" spans="2:10" x14ac:dyDescent="0.2">
      <c r="B100" s="22" t="s">
        <v>411</v>
      </c>
      <c r="C100" s="22" t="s">
        <v>412</v>
      </c>
      <c r="D100" s="22" t="s">
        <v>413</v>
      </c>
      <c r="E100" s="26">
        <v>6000000</v>
      </c>
      <c r="F100" s="24">
        <v>6484.7</v>
      </c>
      <c r="G100" s="24">
        <v>1.93</v>
      </c>
    </row>
    <row r="101" spans="2:10" x14ac:dyDescent="0.2">
      <c r="B101" s="22" t="s">
        <v>414</v>
      </c>
      <c r="C101" s="22" t="s">
        <v>415</v>
      </c>
      <c r="D101" s="22" t="s">
        <v>413</v>
      </c>
      <c r="E101" s="26">
        <v>1500000</v>
      </c>
      <c r="F101" s="24">
        <v>1591.85</v>
      </c>
      <c r="G101" s="24">
        <v>0.47</v>
      </c>
    </row>
    <row r="102" spans="2:10" x14ac:dyDescent="0.2">
      <c r="B102" s="22" t="s">
        <v>416</v>
      </c>
      <c r="C102" s="22" t="s">
        <v>417</v>
      </c>
      <c r="D102" s="22" t="s">
        <v>413</v>
      </c>
      <c r="E102" s="26">
        <v>1400000</v>
      </c>
      <c r="F102" s="24">
        <v>1370.64</v>
      </c>
      <c r="G102" s="24">
        <v>0.41</v>
      </c>
    </row>
    <row r="103" spans="2:10" x14ac:dyDescent="0.2">
      <c r="B103" s="22" t="s">
        <v>418</v>
      </c>
      <c r="C103" s="22" t="s">
        <v>419</v>
      </c>
      <c r="D103" s="22" t="s">
        <v>413</v>
      </c>
      <c r="E103" s="26">
        <v>1200000</v>
      </c>
      <c r="F103" s="24">
        <v>1243.56</v>
      </c>
      <c r="G103" s="24">
        <v>0.37</v>
      </c>
    </row>
    <row r="104" spans="2:10" x14ac:dyDescent="0.2">
      <c r="B104" s="22" t="s">
        <v>420</v>
      </c>
      <c r="C104" s="22" t="s">
        <v>421</v>
      </c>
      <c r="D104" s="22" t="s">
        <v>413</v>
      </c>
      <c r="E104" s="26">
        <v>1250000</v>
      </c>
      <c r="F104" s="24">
        <v>1219.31</v>
      </c>
      <c r="G104" s="24">
        <v>0.36</v>
      </c>
    </row>
    <row r="105" spans="2:10" x14ac:dyDescent="0.2">
      <c r="B105" s="22" t="s">
        <v>422</v>
      </c>
      <c r="C105" s="22" t="s">
        <v>423</v>
      </c>
      <c r="D105" s="22" t="s">
        <v>413</v>
      </c>
      <c r="E105" s="26">
        <v>1000000</v>
      </c>
      <c r="F105" s="24">
        <v>1051.7</v>
      </c>
      <c r="G105" s="24">
        <v>0.31</v>
      </c>
    </row>
    <row r="106" spans="2:10" x14ac:dyDescent="0.2">
      <c r="B106" s="22" t="s">
        <v>424</v>
      </c>
      <c r="C106" s="22" t="s">
        <v>425</v>
      </c>
      <c r="D106" s="22" t="s">
        <v>413</v>
      </c>
      <c r="E106" s="26">
        <v>500000</v>
      </c>
      <c r="F106" s="24">
        <v>555.29</v>
      </c>
      <c r="G106" s="24">
        <v>0.17</v>
      </c>
    </row>
    <row r="107" spans="2:10" x14ac:dyDescent="0.2">
      <c r="B107" s="22" t="s">
        <v>426</v>
      </c>
      <c r="C107" s="22" t="s">
        <v>427</v>
      </c>
      <c r="D107" s="22" t="s">
        <v>413</v>
      </c>
      <c r="E107" s="26">
        <v>500000</v>
      </c>
      <c r="F107" s="24">
        <v>553.5</v>
      </c>
      <c r="G107" s="24">
        <v>0.16</v>
      </c>
    </row>
    <row r="108" spans="2:10" x14ac:dyDescent="0.2">
      <c r="B108" s="22" t="s">
        <v>428</v>
      </c>
      <c r="C108" s="22" t="s">
        <v>429</v>
      </c>
      <c r="D108" s="22" t="s">
        <v>413</v>
      </c>
      <c r="E108" s="26">
        <v>500000</v>
      </c>
      <c r="F108" s="24">
        <v>535.76</v>
      </c>
      <c r="G108" s="24">
        <v>0.16</v>
      </c>
    </row>
    <row r="109" spans="2:10" x14ac:dyDescent="0.2">
      <c r="B109" s="22" t="s">
        <v>430</v>
      </c>
      <c r="C109" s="22" t="s">
        <v>431</v>
      </c>
      <c r="D109" s="22" t="s">
        <v>413</v>
      </c>
      <c r="E109" s="26">
        <v>500000</v>
      </c>
      <c r="F109" s="24">
        <v>532.64</v>
      </c>
      <c r="G109" s="24">
        <v>0.16</v>
      </c>
    </row>
    <row r="110" spans="2:10" x14ac:dyDescent="0.2">
      <c r="B110" s="22" t="s">
        <v>432</v>
      </c>
      <c r="C110" s="22" t="s">
        <v>433</v>
      </c>
      <c r="D110" s="22" t="s">
        <v>413</v>
      </c>
      <c r="E110" s="26">
        <v>500000</v>
      </c>
      <c r="F110" s="24">
        <v>515.73</v>
      </c>
      <c r="G110" s="24">
        <v>0.15</v>
      </c>
    </row>
    <row r="111" spans="2:10" x14ac:dyDescent="0.2">
      <c r="B111" s="22" t="s">
        <v>434</v>
      </c>
      <c r="C111" s="22" t="s">
        <v>435</v>
      </c>
      <c r="D111" s="22" t="s">
        <v>413</v>
      </c>
      <c r="E111" s="26">
        <v>500000</v>
      </c>
      <c r="F111" s="24">
        <v>507.27</v>
      </c>
      <c r="G111" s="24">
        <v>0.15</v>
      </c>
    </row>
    <row r="112" spans="2:10" x14ac:dyDescent="0.2">
      <c r="B112" s="41" t="s">
        <v>436</v>
      </c>
      <c r="C112" s="41" t="s">
        <v>437</v>
      </c>
      <c r="D112" s="41" t="s">
        <v>413</v>
      </c>
      <c r="E112" s="42">
        <v>191700</v>
      </c>
      <c r="F112" s="43">
        <v>200.36</v>
      </c>
      <c r="G112" s="43">
        <v>0.06</v>
      </c>
    </row>
    <row r="113" spans="2:10" x14ac:dyDescent="0.2">
      <c r="B113" s="44" t="s">
        <v>105</v>
      </c>
      <c r="C113" s="44"/>
      <c r="D113" s="44"/>
      <c r="E113" s="45"/>
      <c r="F113" s="46">
        <f>SUM(F100:F112)</f>
        <v>16362.31</v>
      </c>
      <c r="G113" s="46">
        <f>SUM(G100:G112)</f>
        <v>4.8600000000000012</v>
      </c>
      <c r="H113" s="14"/>
      <c r="I113" s="14"/>
      <c r="J113" s="14"/>
    </row>
    <row r="114" spans="2:10" x14ac:dyDescent="0.2">
      <c r="B114" s="37" t="s">
        <v>756</v>
      </c>
      <c r="C114" s="22"/>
      <c r="D114" s="22"/>
      <c r="E114" s="23"/>
      <c r="F114" s="24"/>
      <c r="G114" s="24"/>
    </row>
    <row r="115" spans="2:10" x14ac:dyDescent="0.2">
      <c r="B115" s="22" t="s">
        <v>756</v>
      </c>
      <c r="C115" s="22"/>
      <c r="D115" s="22"/>
      <c r="E115" s="23"/>
      <c r="F115" s="24">
        <v>18720.37</v>
      </c>
      <c r="G115" s="24">
        <v>5.57</v>
      </c>
    </row>
    <row r="116" spans="2:10" x14ac:dyDescent="0.2">
      <c r="B116" s="28" t="s">
        <v>104</v>
      </c>
      <c r="C116" s="28"/>
      <c r="D116" s="28"/>
      <c r="E116" s="29"/>
      <c r="F116" s="30">
        <f>SUM(F114:F115)</f>
        <v>18720.37</v>
      </c>
      <c r="G116" s="30">
        <f>SUM(G114:G115)</f>
        <v>5.57</v>
      </c>
      <c r="H116" s="14"/>
      <c r="I116" s="14"/>
      <c r="J116" s="14"/>
    </row>
    <row r="117" spans="2:10" x14ac:dyDescent="0.2">
      <c r="B117" s="31" t="s">
        <v>105</v>
      </c>
      <c r="C117" s="31"/>
      <c r="D117" s="31"/>
      <c r="E117" s="32"/>
      <c r="F117" s="33">
        <f>F116</f>
        <v>18720.37</v>
      </c>
      <c r="G117" s="33">
        <f>G116</f>
        <v>5.57</v>
      </c>
      <c r="H117" s="14"/>
      <c r="I117" s="14"/>
      <c r="J117" s="14"/>
    </row>
    <row r="118" spans="2:10" x14ac:dyDescent="0.2">
      <c r="B118" s="34" t="s">
        <v>107</v>
      </c>
      <c r="C118" s="34"/>
      <c r="D118" s="34"/>
      <c r="E118" s="35"/>
      <c r="F118" s="16">
        <f>F119-(+F57+F98+F113+F117)</f>
        <v>2952.2600000000675</v>
      </c>
      <c r="G118" s="16">
        <f>G119-(+G57+G98+G113+G117)</f>
        <v>1.1599999999999966</v>
      </c>
      <c r="H118" s="14"/>
      <c r="I118" s="14"/>
      <c r="J118" s="14"/>
    </row>
    <row r="119" spans="2:10" x14ac:dyDescent="0.2">
      <c r="B119" s="34" t="s">
        <v>106</v>
      </c>
      <c r="C119" s="34"/>
      <c r="D119" s="34"/>
      <c r="E119" s="35"/>
      <c r="F119" s="16">
        <v>335093.15999999997</v>
      </c>
      <c r="G119" s="16">
        <v>100</v>
      </c>
      <c r="H119" s="14"/>
      <c r="I119" s="14"/>
      <c r="J119" s="14"/>
    </row>
    <row r="121" spans="2:10" x14ac:dyDescent="0.2">
      <c r="B121" s="14" t="s">
        <v>757</v>
      </c>
    </row>
    <row r="123" spans="2:10" x14ac:dyDescent="0.2">
      <c r="B123" s="14"/>
    </row>
    <row r="126" spans="2:10" x14ac:dyDescent="0.2">
      <c r="B126" s="14"/>
      <c r="C126" s="14"/>
      <c r="D126" s="14"/>
      <c r="E126" s="15"/>
    </row>
    <row r="132" spans="2:5" x14ac:dyDescent="0.2">
      <c r="D132" s="14"/>
      <c r="E132" s="15"/>
    </row>
    <row r="138" spans="2:5" x14ac:dyDescent="0.2">
      <c r="B138" s="14"/>
      <c r="C138" s="14"/>
      <c r="D138" s="14"/>
      <c r="E138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workbookViewId="0">
      <selection activeCell="B31" sqref="B31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15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36" t="s">
        <v>331</v>
      </c>
      <c r="C5" s="18"/>
      <c r="D5" s="18"/>
      <c r="E5" s="19"/>
      <c r="F5" s="20"/>
      <c r="G5" s="20"/>
    </row>
    <row r="6" spans="2:10" x14ac:dyDescent="0.2">
      <c r="B6" s="37" t="s">
        <v>31</v>
      </c>
      <c r="C6" s="22"/>
      <c r="D6" s="22"/>
      <c r="E6" s="23"/>
      <c r="F6" s="24"/>
      <c r="G6" s="24"/>
    </row>
    <row r="7" spans="2:10" x14ac:dyDescent="0.2">
      <c r="B7" s="22" t="s">
        <v>438</v>
      </c>
      <c r="C7" s="22" t="s">
        <v>439</v>
      </c>
      <c r="D7" s="22" t="s">
        <v>349</v>
      </c>
      <c r="E7" s="26">
        <v>50</v>
      </c>
      <c r="F7" s="24">
        <v>529.55999999999995</v>
      </c>
      <c r="G7" s="24">
        <v>3.82</v>
      </c>
    </row>
    <row r="8" spans="2:10" x14ac:dyDescent="0.2">
      <c r="B8" s="28" t="s">
        <v>104</v>
      </c>
      <c r="C8" s="28"/>
      <c r="D8" s="28"/>
      <c r="E8" s="29"/>
      <c r="F8" s="30">
        <f>SUM(F6:F7)</f>
        <v>529.55999999999995</v>
      </c>
      <c r="G8" s="30">
        <f>SUM(G6:G7)</f>
        <v>3.82</v>
      </c>
      <c r="H8" s="14"/>
      <c r="I8" s="14"/>
      <c r="J8" s="14"/>
    </row>
    <row r="9" spans="2:10" x14ac:dyDescent="0.2">
      <c r="B9" s="38" t="s">
        <v>105</v>
      </c>
      <c r="C9" s="38"/>
      <c r="D9" s="38"/>
      <c r="E9" s="39"/>
      <c r="F9" s="40">
        <f>F8</f>
        <v>529.55999999999995</v>
      </c>
      <c r="G9" s="40">
        <f>G8</f>
        <v>3.82</v>
      </c>
      <c r="H9" s="14"/>
      <c r="I9" s="14"/>
      <c r="J9" s="14"/>
    </row>
    <row r="10" spans="2:10" x14ac:dyDescent="0.2">
      <c r="B10" s="37" t="s">
        <v>410</v>
      </c>
      <c r="C10" s="22"/>
      <c r="D10" s="22"/>
      <c r="E10" s="23"/>
      <c r="F10" s="24"/>
      <c r="G10" s="24"/>
    </row>
    <row r="11" spans="2:10" x14ac:dyDescent="0.2">
      <c r="B11" s="22" t="s">
        <v>416</v>
      </c>
      <c r="C11" s="22" t="s">
        <v>417</v>
      </c>
      <c r="D11" s="22" t="s">
        <v>413</v>
      </c>
      <c r="E11" s="26">
        <v>3500000</v>
      </c>
      <c r="F11" s="24">
        <v>3426.61</v>
      </c>
      <c r="G11" s="24">
        <v>24.69</v>
      </c>
    </row>
    <row r="12" spans="2:10" x14ac:dyDescent="0.2">
      <c r="B12" s="22" t="s">
        <v>440</v>
      </c>
      <c r="C12" s="22" t="s">
        <v>441</v>
      </c>
      <c r="D12" s="22" t="s">
        <v>413</v>
      </c>
      <c r="E12" s="26">
        <v>2750000</v>
      </c>
      <c r="F12" s="24">
        <v>2903.1</v>
      </c>
      <c r="G12" s="24">
        <v>20.92</v>
      </c>
    </row>
    <row r="13" spans="2:10" x14ac:dyDescent="0.2">
      <c r="B13" s="22" t="s">
        <v>442</v>
      </c>
      <c r="C13" s="22" t="s">
        <v>443</v>
      </c>
      <c r="D13" s="22" t="s">
        <v>413</v>
      </c>
      <c r="E13" s="26">
        <v>2000000</v>
      </c>
      <c r="F13" s="24">
        <v>1948.67</v>
      </c>
      <c r="G13" s="24">
        <v>14.04</v>
      </c>
    </row>
    <row r="14" spans="2:10" x14ac:dyDescent="0.2">
      <c r="B14" s="22" t="s">
        <v>444</v>
      </c>
      <c r="C14" s="22" t="s">
        <v>445</v>
      </c>
      <c r="D14" s="22" t="s">
        <v>413</v>
      </c>
      <c r="E14" s="26">
        <v>1600000</v>
      </c>
      <c r="F14" s="24">
        <v>1743.68</v>
      </c>
      <c r="G14" s="24">
        <v>12.56</v>
      </c>
    </row>
    <row r="15" spans="2:10" x14ac:dyDescent="0.2">
      <c r="B15" s="22" t="s">
        <v>434</v>
      </c>
      <c r="C15" s="22" t="s">
        <v>435</v>
      </c>
      <c r="D15" s="22" t="s">
        <v>413</v>
      </c>
      <c r="E15" s="26">
        <v>1100000</v>
      </c>
      <c r="F15" s="24">
        <v>1115.99</v>
      </c>
      <c r="G15" s="24">
        <v>8.0399999999999991</v>
      </c>
    </row>
    <row r="16" spans="2:10" x14ac:dyDescent="0.2">
      <c r="B16" s="22" t="s">
        <v>420</v>
      </c>
      <c r="C16" s="22" t="s">
        <v>421</v>
      </c>
      <c r="D16" s="22" t="s">
        <v>413</v>
      </c>
      <c r="E16" s="26">
        <v>1000000</v>
      </c>
      <c r="F16" s="24">
        <v>975.45</v>
      </c>
      <c r="G16" s="24">
        <v>7.03</v>
      </c>
    </row>
    <row r="17" spans="2:10" x14ac:dyDescent="0.2">
      <c r="B17" s="41" t="s">
        <v>446</v>
      </c>
      <c r="C17" s="41" t="s">
        <v>447</v>
      </c>
      <c r="D17" s="41" t="s">
        <v>413</v>
      </c>
      <c r="E17" s="42">
        <v>23200</v>
      </c>
      <c r="F17" s="43">
        <v>23.72</v>
      </c>
      <c r="G17" s="43">
        <v>0.17</v>
      </c>
    </row>
    <row r="18" spans="2:10" x14ac:dyDescent="0.2">
      <c r="B18" s="44" t="s">
        <v>105</v>
      </c>
      <c r="C18" s="44"/>
      <c r="D18" s="44"/>
      <c r="E18" s="45"/>
      <c r="F18" s="46">
        <f>SUM(F11:F17)</f>
        <v>12137.220000000001</v>
      </c>
      <c r="G18" s="46">
        <f>SUM(G11:G17)</f>
        <v>87.45</v>
      </c>
      <c r="H18" s="14"/>
      <c r="I18" s="14"/>
      <c r="J18" s="14"/>
    </row>
    <row r="19" spans="2:10" x14ac:dyDescent="0.2">
      <c r="B19" s="37" t="s">
        <v>756</v>
      </c>
      <c r="C19" s="22"/>
      <c r="D19" s="22"/>
      <c r="E19" s="23"/>
      <c r="F19" s="24"/>
      <c r="G19" s="24"/>
    </row>
    <row r="20" spans="2:10" x14ac:dyDescent="0.2">
      <c r="B20" s="22" t="s">
        <v>756</v>
      </c>
      <c r="C20" s="22"/>
      <c r="D20" s="22"/>
      <c r="E20" s="23"/>
      <c r="F20" s="24">
        <v>937.6</v>
      </c>
      <c r="G20" s="24">
        <v>6.76</v>
      </c>
    </row>
    <row r="21" spans="2:10" x14ac:dyDescent="0.2">
      <c r="B21" s="28" t="s">
        <v>104</v>
      </c>
      <c r="C21" s="28"/>
      <c r="D21" s="28"/>
      <c r="E21" s="29"/>
      <c r="F21" s="30">
        <f>SUM(F19:F20)</f>
        <v>937.6</v>
      </c>
      <c r="G21" s="30">
        <f>SUM(G19:G20)</f>
        <v>6.76</v>
      </c>
      <c r="H21" s="14"/>
      <c r="I21" s="14"/>
      <c r="J21" s="14"/>
    </row>
    <row r="22" spans="2:10" x14ac:dyDescent="0.2">
      <c r="B22" s="31" t="s">
        <v>105</v>
      </c>
      <c r="C22" s="31"/>
      <c r="D22" s="31"/>
      <c r="E22" s="32"/>
      <c r="F22" s="33">
        <f>F21</f>
        <v>937.6</v>
      </c>
      <c r="G22" s="33">
        <f>G21</f>
        <v>6.76</v>
      </c>
      <c r="H22" s="14"/>
      <c r="I22" s="14"/>
      <c r="J22" s="14"/>
    </row>
    <row r="23" spans="2:10" x14ac:dyDescent="0.2">
      <c r="B23" s="34" t="s">
        <v>107</v>
      </c>
      <c r="C23" s="34"/>
      <c r="D23" s="34"/>
      <c r="E23" s="35"/>
      <c r="F23" s="16">
        <f>F24-(+F9+F18+F22)</f>
        <v>273.33999999999833</v>
      </c>
      <c r="G23" s="16">
        <f>G24-(+G9+G18+G22)</f>
        <v>1.9699999999999989</v>
      </c>
      <c r="H23" s="14"/>
      <c r="I23" s="14"/>
      <c r="J23" s="14"/>
    </row>
    <row r="24" spans="2:10" x14ac:dyDescent="0.2">
      <c r="B24" s="34" t="s">
        <v>106</v>
      </c>
      <c r="C24" s="34"/>
      <c r="D24" s="34"/>
      <c r="E24" s="35"/>
      <c r="F24" s="16">
        <v>13877.72</v>
      </c>
      <c r="G24" s="16">
        <v>100</v>
      </c>
      <c r="H24" s="14"/>
      <c r="I24" s="14"/>
      <c r="J24" s="14"/>
    </row>
    <row r="26" spans="2:10" x14ac:dyDescent="0.2">
      <c r="B26" s="14" t="s">
        <v>757</v>
      </c>
    </row>
    <row r="28" spans="2:10" x14ac:dyDescent="0.2">
      <c r="B28" s="14"/>
    </row>
    <row r="31" spans="2:10" x14ac:dyDescent="0.2">
      <c r="B31" s="14"/>
      <c r="C31" s="14"/>
      <c r="D31" s="14"/>
      <c r="E31" s="15"/>
    </row>
    <row r="37" spans="2:5" x14ac:dyDescent="0.2">
      <c r="D37" s="14"/>
      <c r="E37" s="15"/>
    </row>
    <row r="43" spans="2:5" x14ac:dyDescent="0.2">
      <c r="B43" s="14"/>
      <c r="C43" s="14"/>
      <c r="D43" s="14"/>
      <c r="E4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workbookViewId="0">
      <selection activeCell="B33" sqref="B33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16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36" t="s">
        <v>410</v>
      </c>
      <c r="C5" s="18"/>
      <c r="D5" s="18"/>
      <c r="E5" s="19"/>
      <c r="F5" s="20"/>
      <c r="G5" s="20"/>
    </row>
    <row r="6" spans="2:10" x14ac:dyDescent="0.2">
      <c r="B6" s="22" t="s">
        <v>416</v>
      </c>
      <c r="C6" s="22" t="s">
        <v>417</v>
      </c>
      <c r="D6" s="22" t="s">
        <v>413</v>
      </c>
      <c r="E6" s="26">
        <v>4000000</v>
      </c>
      <c r="F6" s="24">
        <v>3916.13</v>
      </c>
      <c r="G6" s="24">
        <v>32.28</v>
      </c>
    </row>
    <row r="7" spans="2:10" x14ac:dyDescent="0.2">
      <c r="B7" s="22" t="s">
        <v>444</v>
      </c>
      <c r="C7" s="22" t="s">
        <v>445</v>
      </c>
      <c r="D7" s="22" t="s">
        <v>413</v>
      </c>
      <c r="E7" s="26">
        <v>1400000</v>
      </c>
      <c r="F7" s="24">
        <v>1525.72</v>
      </c>
      <c r="G7" s="24">
        <v>12.58</v>
      </c>
    </row>
    <row r="8" spans="2:10" x14ac:dyDescent="0.2">
      <c r="B8" s="22" t="s">
        <v>440</v>
      </c>
      <c r="C8" s="22" t="s">
        <v>441</v>
      </c>
      <c r="D8" s="22" t="s">
        <v>413</v>
      </c>
      <c r="E8" s="26">
        <v>1423300</v>
      </c>
      <c r="F8" s="24">
        <v>1502.54</v>
      </c>
      <c r="G8" s="24">
        <v>12.38</v>
      </c>
    </row>
    <row r="9" spans="2:10" x14ac:dyDescent="0.2">
      <c r="B9" s="22" t="s">
        <v>420</v>
      </c>
      <c r="C9" s="22" t="s">
        <v>421</v>
      </c>
      <c r="D9" s="22" t="s">
        <v>413</v>
      </c>
      <c r="E9" s="26">
        <v>1500000</v>
      </c>
      <c r="F9" s="24">
        <v>1463.17</v>
      </c>
      <c r="G9" s="24">
        <v>12.06</v>
      </c>
    </row>
    <row r="10" spans="2:10" x14ac:dyDescent="0.2">
      <c r="B10" s="22" t="s">
        <v>442</v>
      </c>
      <c r="C10" s="22" t="s">
        <v>443</v>
      </c>
      <c r="D10" s="22" t="s">
        <v>413</v>
      </c>
      <c r="E10" s="26">
        <v>1400000</v>
      </c>
      <c r="F10" s="24">
        <v>1364.07</v>
      </c>
      <c r="G10" s="24">
        <v>11.24</v>
      </c>
    </row>
    <row r="11" spans="2:10" x14ac:dyDescent="0.2">
      <c r="B11" s="22" t="s">
        <v>434</v>
      </c>
      <c r="C11" s="22" t="s">
        <v>435</v>
      </c>
      <c r="D11" s="22" t="s">
        <v>413</v>
      </c>
      <c r="E11" s="26">
        <v>900000</v>
      </c>
      <c r="F11" s="24">
        <v>913.08</v>
      </c>
      <c r="G11" s="24">
        <v>7.53</v>
      </c>
    </row>
    <row r="12" spans="2:10" x14ac:dyDescent="0.2">
      <c r="B12" s="22" t="s">
        <v>448</v>
      </c>
      <c r="C12" s="22" t="s">
        <v>449</v>
      </c>
      <c r="D12" s="22" t="s">
        <v>413</v>
      </c>
      <c r="E12" s="26">
        <v>500000</v>
      </c>
      <c r="F12" s="24">
        <v>553.83000000000004</v>
      </c>
      <c r="G12" s="24">
        <v>4.5599999999999996</v>
      </c>
    </row>
    <row r="13" spans="2:10" x14ac:dyDescent="0.2">
      <c r="B13" s="22" t="s">
        <v>414</v>
      </c>
      <c r="C13" s="22" t="s">
        <v>415</v>
      </c>
      <c r="D13" s="22" t="s">
        <v>413</v>
      </c>
      <c r="E13" s="26">
        <v>500000</v>
      </c>
      <c r="F13" s="24">
        <v>530.62</v>
      </c>
      <c r="G13" s="24">
        <v>4.37</v>
      </c>
    </row>
    <row r="14" spans="2:10" x14ac:dyDescent="0.2">
      <c r="B14" s="41" t="s">
        <v>450</v>
      </c>
      <c r="C14" s="41" t="s">
        <v>451</v>
      </c>
      <c r="D14" s="41" t="s">
        <v>413</v>
      </c>
      <c r="E14" s="42">
        <v>10000</v>
      </c>
      <c r="F14" s="43">
        <v>11.66</v>
      </c>
      <c r="G14" s="43">
        <v>0.1</v>
      </c>
    </row>
    <row r="15" spans="2:10" x14ac:dyDescent="0.2">
      <c r="B15" s="44" t="s">
        <v>105</v>
      </c>
      <c r="C15" s="44"/>
      <c r="D15" s="44"/>
      <c r="E15" s="45"/>
      <c r="F15" s="46">
        <f>SUM(F6:F14)</f>
        <v>11780.820000000002</v>
      </c>
      <c r="G15" s="46">
        <f>SUM(G6:G14)</f>
        <v>97.1</v>
      </c>
      <c r="H15" s="14"/>
      <c r="I15" s="14"/>
      <c r="J15" s="14"/>
    </row>
    <row r="16" spans="2:10" x14ac:dyDescent="0.2">
      <c r="B16" s="37" t="s">
        <v>756</v>
      </c>
      <c r="C16" s="22"/>
      <c r="D16" s="22"/>
      <c r="E16" s="23"/>
      <c r="F16" s="24"/>
      <c r="G16" s="24"/>
    </row>
    <row r="17" spans="2:10" x14ac:dyDescent="0.2">
      <c r="B17" s="22" t="s">
        <v>756</v>
      </c>
      <c r="C17" s="22"/>
      <c r="D17" s="22"/>
      <c r="E17" s="23"/>
      <c r="F17" s="24">
        <v>120.89</v>
      </c>
      <c r="G17" s="24">
        <v>1</v>
      </c>
    </row>
    <row r="18" spans="2:10" x14ac:dyDescent="0.2">
      <c r="B18" s="28" t="s">
        <v>104</v>
      </c>
      <c r="C18" s="28"/>
      <c r="D18" s="28"/>
      <c r="E18" s="29"/>
      <c r="F18" s="30">
        <f>SUM(F16:F17)</f>
        <v>120.89</v>
      </c>
      <c r="G18" s="30">
        <f>SUM(G16:G17)</f>
        <v>1</v>
      </c>
      <c r="H18" s="14"/>
      <c r="I18" s="14"/>
      <c r="J18" s="14"/>
    </row>
    <row r="19" spans="2:10" x14ac:dyDescent="0.2">
      <c r="B19" s="31" t="s">
        <v>105</v>
      </c>
      <c r="C19" s="31"/>
      <c r="D19" s="31"/>
      <c r="E19" s="32"/>
      <c r="F19" s="33">
        <f>F18</f>
        <v>120.89</v>
      </c>
      <c r="G19" s="33">
        <f>G18</f>
        <v>1</v>
      </c>
      <c r="H19" s="14"/>
      <c r="I19" s="14"/>
      <c r="J19" s="14"/>
    </row>
    <row r="20" spans="2:10" x14ac:dyDescent="0.2">
      <c r="B20" s="34" t="s">
        <v>107</v>
      </c>
      <c r="C20" s="34"/>
      <c r="D20" s="34"/>
      <c r="E20" s="35"/>
      <c r="F20" s="16">
        <f>F21-(+F15+F19)</f>
        <v>230.46999999999935</v>
      </c>
      <c r="G20" s="16">
        <f>G21-(+G15+G19)</f>
        <v>1.9000000000000057</v>
      </c>
      <c r="H20" s="14"/>
      <c r="I20" s="14"/>
      <c r="J20" s="14"/>
    </row>
    <row r="21" spans="2:10" x14ac:dyDescent="0.2">
      <c r="B21" s="34" t="s">
        <v>106</v>
      </c>
      <c r="C21" s="34"/>
      <c r="D21" s="34"/>
      <c r="E21" s="35"/>
      <c r="F21" s="16">
        <v>12132.18</v>
      </c>
      <c r="G21" s="16">
        <v>100</v>
      </c>
      <c r="H21" s="14"/>
      <c r="I21" s="14"/>
      <c r="J21" s="14"/>
    </row>
    <row r="23" spans="2:10" x14ac:dyDescent="0.2">
      <c r="B23" s="14"/>
    </row>
    <row r="25" spans="2:10" x14ac:dyDescent="0.2">
      <c r="B25" s="14"/>
    </row>
    <row r="28" spans="2:10" x14ac:dyDescent="0.2">
      <c r="B28" s="14"/>
      <c r="C28" s="14"/>
      <c r="D28" s="14"/>
      <c r="E28" s="15"/>
    </row>
    <row r="34" spans="2:5" x14ac:dyDescent="0.2">
      <c r="D34" s="14"/>
      <c r="E34" s="15"/>
    </row>
    <row r="40" spans="2:5" x14ac:dyDescent="0.2">
      <c r="B40" s="14"/>
      <c r="C40" s="14"/>
      <c r="D40" s="14"/>
      <c r="E40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5"/>
  <sheetViews>
    <sheetView topLeftCell="A12" workbookViewId="0">
      <selection activeCell="F37" sqref="F37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17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36" t="s">
        <v>331</v>
      </c>
      <c r="C5" s="18"/>
      <c r="D5" s="18"/>
      <c r="E5" s="19"/>
      <c r="F5" s="20"/>
      <c r="G5" s="20"/>
    </row>
    <row r="6" spans="2:10" x14ac:dyDescent="0.2">
      <c r="B6" s="37" t="s">
        <v>31</v>
      </c>
      <c r="C6" s="22"/>
      <c r="D6" s="22"/>
      <c r="E6" s="23"/>
      <c r="F6" s="24"/>
      <c r="G6" s="24"/>
    </row>
    <row r="7" spans="2:10" x14ac:dyDescent="0.2">
      <c r="B7" s="22" t="s">
        <v>337</v>
      </c>
      <c r="C7" s="22" t="s">
        <v>338</v>
      </c>
      <c r="D7" s="22" t="s">
        <v>334</v>
      </c>
      <c r="E7" s="26">
        <v>50</v>
      </c>
      <c r="F7" s="24">
        <v>556.99</v>
      </c>
      <c r="G7" s="24">
        <v>3.98</v>
      </c>
    </row>
    <row r="8" spans="2:10" x14ac:dyDescent="0.2">
      <c r="B8" s="22" t="s">
        <v>377</v>
      </c>
      <c r="C8" s="22" t="s">
        <v>378</v>
      </c>
      <c r="D8" s="22" t="s">
        <v>334</v>
      </c>
      <c r="E8" s="26">
        <v>50</v>
      </c>
      <c r="F8" s="24">
        <v>547.62</v>
      </c>
      <c r="G8" s="24">
        <v>3.91</v>
      </c>
    </row>
    <row r="9" spans="2:10" x14ac:dyDescent="0.2">
      <c r="B9" s="22" t="s">
        <v>354</v>
      </c>
      <c r="C9" s="22" t="s">
        <v>355</v>
      </c>
      <c r="D9" s="22" t="s">
        <v>334</v>
      </c>
      <c r="E9" s="26">
        <v>50</v>
      </c>
      <c r="F9" s="24">
        <v>535.98</v>
      </c>
      <c r="G9" s="24">
        <v>3.83</v>
      </c>
    </row>
    <row r="10" spans="2:10" x14ac:dyDescent="0.2">
      <c r="B10" s="22" t="s">
        <v>452</v>
      </c>
      <c r="C10" s="22" t="s">
        <v>453</v>
      </c>
      <c r="D10" s="22" t="s">
        <v>374</v>
      </c>
      <c r="E10" s="26">
        <v>50</v>
      </c>
      <c r="F10" s="24">
        <v>529.9</v>
      </c>
      <c r="G10" s="24">
        <v>3.79</v>
      </c>
    </row>
    <row r="11" spans="2:10" x14ac:dyDescent="0.2">
      <c r="B11" s="22" t="s">
        <v>454</v>
      </c>
      <c r="C11" s="22" t="s">
        <v>455</v>
      </c>
      <c r="D11" s="22" t="s">
        <v>334</v>
      </c>
      <c r="E11" s="26">
        <v>50</v>
      </c>
      <c r="F11" s="24">
        <v>527.75</v>
      </c>
      <c r="G11" s="24">
        <v>3.77</v>
      </c>
    </row>
    <row r="12" spans="2:10" x14ac:dyDescent="0.2">
      <c r="B12" s="22" t="s">
        <v>345</v>
      </c>
      <c r="C12" s="22" t="s">
        <v>346</v>
      </c>
      <c r="D12" s="22" t="s">
        <v>334</v>
      </c>
      <c r="E12" s="26">
        <v>50</v>
      </c>
      <c r="F12" s="24">
        <v>522.80999999999995</v>
      </c>
      <c r="G12" s="24">
        <v>3.74</v>
      </c>
    </row>
    <row r="13" spans="2:10" x14ac:dyDescent="0.2">
      <c r="B13" s="22" t="s">
        <v>456</v>
      </c>
      <c r="C13" s="22" t="s">
        <v>457</v>
      </c>
      <c r="D13" s="22" t="s">
        <v>334</v>
      </c>
      <c r="E13" s="26">
        <v>50</v>
      </c>
      <c r="F13" s="24">
        <v>519.23</v>
      </c>
      <c r="G13" s="24">
        <v>3.71</v>
      </c>
    </row>
    <row r="14" spans="2:10" x14ac:dyDescent="0.2">
      <c r="B14" s="22" t="s">
        <v>356</v>
      </c>
      <c r="C14" s="22" t="s">
        <v>357</v>
      </c>
      <c r="D14" s="22" t="s">
        <v>334</v>
      </c>
      <c r="E14" s="26">
        <v>40</v>
      </c>
      <c r="F14" s="24">
        <v>441.36</v>
      </c>
      <c r="G14" s="24">
        <v>3.16</v>
      </c>
    </row>
    <row r="15" spans="2:10" x14ac:dyDescent="0.2">
      <c r="B15" s="22" t="s">
        <v>458</v>
      </c>
      <c r="C15" s="22" t="s">
        <v>459</v>
      </c>
      <c r="D15" s="22" t="s">
        <v>334</v>
      </c>
      <c r="E15" s="26">
        <v>20</v>
      </c>
      <c r="F15" s="24">
        <v>207.13</v>
      </c>
      <c r="G15" s="24">
        <v>1.48</v>
      </c>
    </row>
    <row r="16" spans="2:10" x14ac:dyDescent="0.2">
      <c r="B16" s="28" t="s">
        <v>104</v>
      </c>
      <c r="C16" s="28"/>
      <c r="D16" s="28"/>
      <c r="E16" s="29"/>
      <c r="F16" s="30">
        <f>SUM(F6:F15)</f>
        <v>4388.7700000000004</v>
      </c>
      <c r="G16" s="30">
        <f>SUM(G6:G15)</f>
        <v>31.370000000000005</v>
      </c>
      <c r="H16" s="14"/>
      <c r="I16" s="14"/>
      <c r="J16" s="14"/>
    </row>
    <row r="17" spans="2:10" x14ac:dyDescent="0.2">
      <c r="B17" s="38" t="s">
        <v>105</v>
      </c>
      <c r="C17" s="38"/>
      <c r="D17" s="38"/>
      <c r="E17" s="39"/>
      <c r="F17" s="40">
        <f>F16</f>
        <v>4388.7700000000004</v>
      </c>
      <c r="G17" s="40">
        <f>G16</f>
        <v>31.370000000000005</v>
      </c>
      <c r="H17" s="14"/>
      <c r="I17" s="14"/>
      <c r="J17" s="14"/>
    </row>
    <row r="18" spans="2:10" x14ac:dyDescent="0.2">
      <c r="B18" s="37" t="s">
        <v>410</v>
      </c>
      <c r="C18" s="22"/>
      <c r="D18" s="22"/>
      <c r="E18" s="23"/>
      <c r="F18" s="24"/>
      <c r="G18" s="24"/>
    </row>
    <row r="19" spans="2:10" x14ac:dyDescent="0.2">
      <c r="B19" s="22" t="s">
        <v>428</v>
      </c>
      <c r="C19" s="22" t="s">
        <v>429</v>
      </c>
      <c r="D19" s="22" t="s">
        <v>413</v>
      </c>
      <c r="E19" s="26">
        <v>1000000</v>
      </c>
      <c r="F19" s="24">
        <v>1071.51</v>
      </c>
      <c r="G19" s="24">
        <v>7.66</v>
      </c>
    </row>
    <row r="20" spans="2:10" x14ac:dyDescent="0.2">
      <c r="B20" s="22" t="s">
        <v>460</v>
      </c>
      <c r="C20" s="22" t="s">
        <v>461</v>
      </c>
      <c r="D20" s="22" t="s">
        <v>413</v>
      </c>
      <c r="E20" s="26">
        <v>1000000</v>
      </c>
      <c r="F20" s="24">
        <v>1067.33</v>
      </c>
      <c r="G20" s="24">
        <v>7.63</v>
      </c>
    </row>
    <row r="21" spans="2:10" x14ac:dyDescent="0.2">
      <c r="B21" s="22" t="s">
        <v>414</v>
      </c>
      <c r="C21" s="22" t="s">
        <v>415</v>
      </c>
      <c r="D21" s="22" t="s">
        <v>413</v>
      </c>
      <c r="E21" s="26">
        <v>1000000</v>
      </c>
      <c r="F21" s="24">
        <v>1061.23</v>
      </c>
      <c r="G21" s="24">
        <v>7.59</v>
      </c>
    </row>
    <row r="22" spans="2:10" x14ac:dyDescent="0.2">
      <c r="B22" s="22" t="s">
        <v>422</v>
      </c>
      <c r="C22" s="22" t="s">
        <v>423</v>
      </c>
      <c r="D22" s="22" t="s">
        <v>413</v>
      </c>
      <c r="E22" s="26">
        <v>1000000</v>
      </c>
      <c r="F22" s="24">
        <v>1051.7</v>
      </c>
      <c r="G22" s="24">
        <v>7.52</v>
      </c>
    </row>
    <row r="23" spans="2:10" x14ac:dyDescent="0.2">
      <c r="B23" s="22" t="s">
        <v>418</v>
      </c>
      <c r="C23" s="22" t="s">
        <v>419</v>
      </c>
      <c r="D23" s="22" t="s">
        <v>413</v>
      </c>
      <c r="E23" s="26">
        <v>1000000</v>
      </c>
      <c r="F23" s="24">
        <v>1036.3</v>
      </c>
      <c r="G23" s="24">
        <v>7.41</v>
      </c>
    </row>
    <row r="24" spans="2:10" x14ac:dyDescent="0.2">
      <c r="B24" s="22" t="s">
        <v>434</v>
      </c>
      <c r="C24" s="22" t="s">
        <v>435</v>
      </c>
      <c r="D24" s="22" t="s">
        <v>413</v>
      </c>
      <c r="E24" s="26">
        <v>1000000</v>
      </c>
      <c r="F24" s="24">
        <v>1014.54</v>
      </c>
      <c r="G24" s="24">
        <v>7.25</v>
      </c>
    </row>
    <row r="25" spans="2:10" x14ac:dyDescent="0.2">
      <c r="B25" s="22" t="s">
        <v>416</v>
      </c>
      <c r="C25" s="22" t="s">
        <v>417</v>
      </c>
      <c r="D25" s="22" t="s">
        <v>413</v>
      </c>
      <c r="E25" s="26">
        <v>1000000</v>
      </c>
      <c r="F25" s="24">
        <v>979.03</v>
      </c>
      <c r="G25" s="24">
        <v>7</v>
      </c>
    </row>
    <row r="26" spans="2:10" x14ac:dyDescent="0.2">
      <c r="B26" s="22" t="s">
        <v>411</v>
      </c>
      <c r="C26" s="22" t="s">
        <v>412</v>
      </c>
      <c r="D26" s="22" t="s">
        <v>413</v>
      </c>
      <c r="E26" s="26">
        <v>500000</v>
      </c>
      <c r="F26" s="24">
        <v>540.39</v>
      </c>
      <c r="G26" s="24">
        <v>3.86</v>
      </c>
    </row>
    <row r="27" spans="2:10" x14ac:dyDescent="0.2">
      <c r="B27" s="22" t="s">
        <v>442</v>
      </c>
      <c r="C27" s="22" t="s">
        <v>443</v>
      </c>
      <c r="D27" s="22" t="s">
        <v>413</v>
      </c>
      <c r="E27" s="26">
        <v>500000</v>
      </c>
      <c r="F27" s="24">
        <v>487.17</v>
      </c>
      <c r="G27" s="24">
        <v>3.48</v>
      </c>
    </row>
    <row r="28" spans="2:10" x14ac:dyDescent="0.2">
      <c r="B28" s="22" t="s">
        <v>420</v>
      </c>
      <c r="C28" s="22" t="s">
        <v>421</v>
      </c>
      <c r="D28" s="22" t="s">
        <v>413</v>
      </c>
      <c r="E28" s="26">
        <v>400000</v>
      </c>
      <c r="F28" s="24">
        <v>390.18</v>
      </c>
      <c r="G28" s="24">
        <v>2.79</v>
      </c>
    </row>
    <row r="29" spans="2:10" x14ac:dyDescent="0.2">
      <c r="B29" s="41" t="s">
        <v>462</v>
      </c>
      <c r="C29" s="41" t="s">
        <v>463</v>
      </c>
      <c r="D29" s="41" t="s">
        <v>413</v>
      </c>
      <c r="E29" s="42">
        <v>28000</v>
      </c>
      <c r="F29" s="43">
        <v>30.93</v>
      </c>
      <c r="G29" s="43">
        <v>0.22</v>
      </c>
    </row>
    <row r="30" spans="2:10" x14ac:dyDescent="0.2">
      <c r="B30" s="44" t="s">
        <v>105</v>
      </c>
      <c r="C30" s="44"/>
      <c r="D30" s="44"/>
      <c r="E30" s="45"/>
      <c r="F30" s="46">
        <f>SUM(F19:F29)</f>
        <v>8730.3100000000013</v>
      </c>
      <c r="G30" s="46">
        <f>SUM(G19:G29)</f>
        <v>62.41</v>
      </c>
      <c r="H30" s="14"/>
      <c r="I30" s="14"/>
      <c r="J30" s="14"/>
    </row>
    <row r="31" spans="2:10" x14ac:dyDescent="0.2">
      <c r="B31" s="37" t="s">
        <v>756</v>
      </c>
      <c r="C31" s="22"/>
      <c r="D31" s="22"/>
      <c r="E31" s="23"/>
      <c r="F31" s="24"/>
      <c r="G31" s="24"/>
    </row>
    <row r="32" spans="2:10" x14ac:dyDescent="0.2">
      <c r="B32" s="22" t="s">
        <v>756</v>
      </c>
      <c r="C32" s="22"/>
      <c r="D32" s="22"/>
      <c r="E32" s="23"/>
      <c r="F32" s="24">
        <v>603.41</v>
      </c>
      <c r="G32" s="24">
        <v>4.3099999999999996</v>
      </c>
    </row>
    <row r="33" spans="2:10" x14ac:dyDescent="0.2">
      <c r="B33" s="28" t="s">
        <v>104</v>
      </c>
      <c r="C33" s="28"/>
      <c r="D33" s="28"/>
      <c r="E33" s="29"/>
      <c r="F33" s="30">
        <f>SUM(F31:F32)</f>
        <v>603.41</v>
      </c>
      <c r="G33" s="30">
        <f>SUM(G31:G32)</f>
        <v>4.3099999999999996</v>
      </c>
      <c r="H33" s="14"/>
      <c r="I33" s="14"/>
      <c r="J33" s="14"/>
    </row>
    <row r="34" spans="2:10" x14ac:dyDescent="0.2">
      <c r="B34" s="31" t="s">
        <v>105</v>
      </c>
      <c r="C34" s="31"/>
      <c r="D34" s="31"/>
      <c r="E34" s="32"/>
      <c r="F34" s="33">
        <f>F33</f>
        <v>603.41</v>
      </c>
      <c r="G34" s="33">
        <f>G33</f>
        <v>4.3099999999999996</v>
      </c>
      <c r="H34" s="14"/>
      <c r="I34" s="14"/>
      <c r="J34" s="14"/>
    </row>
    <row r="35" spans="2:10" x14ac:dyDescent="0.2">
      <c r="B35" s="34" t="s">
        <v>107</v>
      </c>
      <c r="C35" s="34"/>
      <c r="D35" s="34"/>
      <c r="E35" s="35"/>
      <c r="F35" s="16">
        <f>F36-(+F17+F30+F34)</f>
        <v>265.43999999999869</v>
      </c>
      <c r="G35" s="16">
        <f>G36-(+G17+G30+G34)</f>
        <v>1.9099999999999966</v>
      </c>
      <c r="H35" s="14"/>
      <c r="I35" s="14"/>
      <c r="J35" s="14"/>
    </row>
    <row r="36" spans="2:10" x14ac:dyDescent="0.2">
      <c r="B36" s="34" t="s">
        <v>106</v>
      </c>
      <c r="C36" s="34"/>
      <c r="D36" s="34"/>
      <c r="E36" s="35"/>
      <c r="F36" s="16">
        <v>13987.93</v>
      </c>
      <c r="G36" s="16">
        <v>100</v>
      </c>
      <c r="H36" s="14"/>
      <c r="I36" s="14"/>
      <c r="J36" s="14"/>
    </row>
    <row r="38" spans="2:10" x14ac:dyDescent="0.2">
      <c r="B38" s="14" t="s">
        <v>757</v>
      </c>
    </row>
    <row r="40" spans="2:10" x14ac:dyDescent="0.2">
      <c r="B40" s="14"/>
    </row>
    <row r="43" spans="2:10" x14ac:dyDescent="0.2">
      <c r="B43" s="14"/>
      <c r="C43" s="14"/>
      <c r="D43" s="14"/>
      <c r="E43" s="15"/>
    </row>
    <row r="49" spans="2:5" x14ac:dyDescent="0.2">
      <c r="D49" s="14"/>
      <c r="E49" s="15"/>
    </row>
    <row r="55" spans="2:5" x14ac:dyDescent="0.2">
      <c r="B55" s="14"/>
      <c r="C55" s="14"/>
      <c r="D55" s="14"/>
      <c r="E55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2"/>
  <sheetViews>
    <sheetView workbookViewId="0">
      <selection activeCell="F32" sqref="F32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18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36" t="s">
        <v>331</v>
      </c>
      <c r="C5" s="18"/>
      <c r="D5" s="18"/>
      <c r="E5" s="19"/>
      <c r="F5" s="20"/>
      <c r="G5" s="20"/>
    </row>
    <row r="6" spans="2:7" x14ac:dyDescent="0.2">
      <c r="B6" s="37" t="s">
        <v>31</v>
      </c>
      <c r="C6" s="22"/>
      <c r="D6" s="22"/>
      <c r="E6" s="23"/>
      <c r="F6" s="24"/>
      <c r="G6" s="24"/>
    </row>
    <row r="7" spans="2:7" x14ac:dyDescent="0.2">
      <c r="B7" s="22" t="s">
        <v>464</v>
      </c>
      <c r="C7" s="22" t="s">
        <v>465</v>
      </c>
      <c r="D7" s="22" t="s">
        <v>334</v>
      </c>
      <c r="E7" s="26">
        <v>500</v>
      </c>
      <c r="F7" s="24">
        <v>5184.55</v>
      </c>
      <c r="G7" s="24">
        <v>4.22</v>
      </c>
    </row>
    <row r="8" spans="2:7" x14ac:dyDescent="0.2">
      <c r="B8" s="22" t="s">
        <v>466</v>
      </c>
      <c r="C8" s="22" t="s">
        <v>467</v>
      </c>
      <c r="D8" s="22" t="s">
        <v>385</v>
      </c>
      <c r="E8" s="26">
        <v>370</v>
      </c>
      <c r="F8" s="24">
        <v>3726.11</v>
      </c>
      <c r="G8" s="24">
        <v>3.03</v>
      </c>
    </row>
    <row r="9" spans="2:7" x14ac:dyDescent="0.2">
      <c r="B9" s="22" t="s">
        <v>468</v>
      </c>
      <c r="C9" s="22" t="s">
        <v>469</v>
      </c>
      <c r="D9" s="22" t="s">
        <v>334</v>
      </c>
      <c r="E9" s="26">
        <v>300</v>
      </c>
      <c r="F9" s="24">
        <v>3134.64</v>
      </c>
      <c r="G9" s="24">
        <v>2.5499999999999998</v>
      </c>
    </row>
    <row r="10" spans="2:7" x14ac:dyDescent="0.2">
      <c r="B10" s="22" t="s">
        <v>470</v>
      </c>
      <c r="C10" s="22" t="s">
        <v>471</v>
      </c>
      <c r="D10" s="22" t="s">
        <v>334</v>
      </c>
      <c r="E10" s="26">
        <v>250</v>
      </c>
      <c r="F10" s="24">
        <v>3092.27</v>
      </c>
      <c r="G10" s="24">
        <v>2.52</v>
      </c>
    </row>
    <row r="11" spans="2:7" x14ac:dyDescent="0.2">
      <c r="B11" s="22" t="s">
        <v>472</v>
      </c>
      <c r="C11" s="22" t="s">
        <v>473</v>
      </c>
      <c r="D11" s="22" t="s">
        <v>334</v>
      </c>
      <c r="E11" s="26">
        <v>250</v>
      </c>
      <c r="F11" s="24">
        <v>2638.07</v>
      </c>
      <c r="G11" s="24">
        <v>2.15</v>
      </c>
    </row>
    <row r="12" spans="2:7" x14ac:dyDescent="0.2">
      <c r="B12" s="22" t="s">
        <v>474</v>
      </c>
      <c r="C12" s="22" t="s">
        <v>475</v>
      </c>
      <c r="D12" s="22" t="s">
        <v>334</v>
      </c>
      <c r="E12" s="26">
        <v>250</v>
      </c>
      <c r="F12" s="24">
        <v>2624.51</v>
      </c>
      <c r="G12" s="24">
        <v>2.14</v>
      </c>
    </row>
    <row r="13" spans="2:7" x14ac:dyDescent="0.2">
      <c r="B13" s="22" t="s">
        <v>476</v>
      </c>
      <c r="C13" s="22" t="s">
        <v>477</v>
      </c>
      <c r="D13" s="22" t="s">
        <v>385</v>
      </c>
      <c r="E13" s="26">
        <v>250</v>
      </c>
      <c r="F13" s="24">
        <v>2589.36</v>
      </c>
      <c r="G13" s="24">
        <v>2.11</v>
      </c>
    </row>
    <row r="14" spans="2:7" x14ac:dyDescent="0.2">
      <c r="B14" s="22" t="s">
        <v>478</v>
      </c>
      <c r="C14" s="22" t="s">
        <v>479</v>
      </c>
      <c r="D14" s="22" t="s">
        <v>334</v>
      </c>
      <c r="E14" s="26">
        <v>250</v>
      </c>
      <c r="F14" s="24">
        <v>2581.25</v>
      </c>
      <c r="G14" s="24">
        <v>2.1</v>
      </c>
    </row>
    <row r="15" spans="2:7" x14ac:dyDescent="0.2">
      <c r="B15" s="22" t="s">
        <v>480</v>
      </c>
      <c r="C15" s="22" t="s">
        <v>481</v>
      </c>
      <c r="D15" s="22" t="s">
        <v>334</v>
      </c>
      <c r="E15" s="26">
        <v>250</v>
      </c>
      <c r="F15" s="24">
        <v>2577.42</v>
      </c>
      <c r="G15" s="24">
        <v>2.1</v>
      </c>
    </row>
    <row r="16" spans="2:7" x14ac:dyDescent="0.2">
      <c r="B16" s="22" t="s">
        <v>482</v>
      </c>
      <c r="C16" s="22" t="s">
        <v>483</v>
      </c>
      <c r="D16" s="22" t="s">
        <v>334</v>
      </c>
      <c r="E16" s="26">
        <v>250</v>
      </c>
      <c r="F16" s="24">
        <v>2551.2600000000002</v>
      </c>
      <c r="G16" s="24">
        <v>2.08</v>
      </c>
    </row>
    <row r="17" spans="2:10" x14ac:dyDescent="0.2">
      <c r="B17" s="22" t="s">
        <v>339</v>
      </c>
      <c r="C17" s="22" t="s">
        <v>340</v>
      </c>
      <c r="D17" s="22" t="s">
        <v>334</v>
      </c>
      <c r="E17" s="26">
        <v>250</v>
      </c>
      <c r="F17" s="24">
        <v>2525.41</v>
      </c>
      <c r="G17" s="24">
        <v>2.06</v>
      </c>
    </row>
    <row r="18" spans="2:10" x14ac:dyDescent="0.2">
      <c r="B18" s="22" t="s">
        <v>341</v>
      </c>
      <c r="C18" s="22" t="s">
        <v>342</v>
      </c>
      <c r="D18" s="22" t="s">
        <v>334</v>
      </c>
      <c r="E18" s="26">
        <v>25</v>
      </c>
      <c r="F18" s="24">
        <v>2500</v>
      </c>
      <c r="G18" s="24">
        <v>2.04</v>
      </c>
    </row>
    <row r="19" spans="2:10" x14ac:dyDescent="0.2">
      <c r="B19" s="22" t="s">
        <v>345</v>
      </c>
      <c r="C19" s="22" t="s">
        <v>346</v>
      </c>
      <c r="D19" s="22" t="s">
        <v>334</v>
      </c>
      <c r="E19" s="26">
        <v>200</v>
      </c>
      <c r="F19" s="24">
        <v>2091.2600000000002</v>
      </c>
      <c r="G19" s="24">
        <v>1.7</v>
      </c>
    </row>
    <row r="20" spans="2:10" x14ac:dyDescent="0.2">
      <c r="B20" s="22" t="s">
        <v>343</v>
      </c>
      <c r="C20" s="22" t="s">
        <v>344</v>
      </c>
      <c r="D20" s="22" t="s">
        <v>334</v>
      </c>
      <c r="E20" s="26">
        <v>150</v>
      </c>
      <c r="F20" s="24">
        <v>1571.21</v>
      </c>
      <c r="G20" s="24">
        <v>1.28</v>
      </c>
    </row>
    <row r="21" spans="2:10" x14ac:dyDescent="0.2">
      <c r="B21" s="22" t="s">
        <v>484</v>
      </c>
      <c r="C21" s="22" t="s">
        <v>485</v>
      </c>
      <c r="D21" s="22" t="s">
        <v>349</v>
      </c>
      <c r="E21" s="26">
        <v>150</v>
      </c>
      <c r="F21" s="24">
        <v>1567.18</v>
      </c>
      <c r="G21" s="24">
        <v>1.28</v>
      </c>
    </row>
    <row r="22" spans="2:10" x14ac:dyDescent="0.2">
      <c r="B22" s="22" t="s">
        <v>486</v>
      </c>
      <c r="C22" s="22" t="s">
        <v>487</v>
      </c>
      <c r="D22" s="22" t="s">
        <v>334</v>
      </c>
      <c r="E22" s="26">
        <v>150</v>
      </c>
      <c r="F22" s="24">
        <v>1504.08</v>
      </c>
      <c r="G22" s="24">
        <v>1.22</v>
      </c>
    </row>
    <row r="23" spans="2:10" x14ac:dyDescent="0.2">
      <c r="B23" s="22" t="s">
        <v>488</v>
      </c>
      <c r="C23" s="22" t="s">
        <v>489</v>
      </c>
      <c r="D23" s="22" t="s">
        <v>334</v>
      </c>
      <c r="E23" s="26">
        <v>400</v>
      </c>
      <c r="F23" s="24">
        <v>1290.69</v>
      </c>
      <c r="G23" s="24">
        <v>1.05</v>
      </c>
    </row>
    <row r="24" spans="2:10" x14ac:dyDescent="0.2">
      <c r="B24" s="22" t="s">
        <v>490</v>
      </c>
      <c r="C24" s="22" t="s">
        <v>491</v>
      </c>
      <c r="D24" s="22" t="s">
        <v>334</v>
      </c>
      <c r="E24" s="26">
        <v>100</v>
      </c>
      <c r="F24" s="24">
        <v>1054.1500000000001</v>
      </c>
      <c r="G24" s="24">
        <v>0.86</v>
      </c>
    </row>
    <row r="25" spans="2:10" x14ac:dyDescent="0.2">
      <c r="B25" s="22" t="s">
        <v>492</v>
      </c>
      <c r="C25" s="22" t="s">
        <v>493</v>
      </c>
      <c r="D25" s="22" t="s">
        <v>334</v>
      </c>
      <c r="E25" s="26">
        <v>100</v>
      </c>
      <c r="F25" s="24">
        <v>1030.95</v>
      </c>
      <c r="G25" s="24">
        <v>0.84</v>
      </c>
    </row>
    <row r="26" spans="2:10" x14ac:dyDescent="0.2">
      <c r="B26" s="22" t="s">
        <v>332</v>
      </c>
      <c r="C26" s="22" t="s">
        <v>333</v>
      </c>
      <c r="D26" s="22" t="s">
        <v>334</v>
      </c>
      <c r="E26" s="26">
        <v>100</v>
      </c>
      <c r="F26" s="24">
        <v>1010.33</v>
      </c>
      <c r="G26" s="24">
        <v>0.82</v>
      </c>
    </row>
    <row r="27" spans="2:10" x14ac:dyDescent="0.2">
      <c r="B27" s="22" t="s">
        <v>494</v>
      </c>
      <c r="C27" s="22" t="s">
        <v>495</v>
      </c>
      <c r="D27" s="22" t="s">
        <v>334</v>
      </c>
      <c r="E27" s="26">
        <v>100</v>
      </c>
      <c r="F27" s="24">
        <v>1000.39</v>
      </c>
      <c r="G27" s="24">
        <v>0.81</v>
      </c>
    </row>
    <row r="28" spans="2:10" x14ac:dyDescent="0.2">
      <c r="B28" s="22" t="s">
        <v>496</v>
      </c>
      <c r="C28" s="22" t="s">
        <v>497</v>
      </c>
      <c r="D28" s="22" t="s">
        <v>334</v>
      </c>
      <c r="E28" s="26">
        <v>50</v>
      </c>
      <c r="F28" s="24">
        <v>529.52</v>
      </c>
      <c r="G28" s="24">
        <v>0.43</v>
      </c>
    </row>
    <row r="29" spans="2:10" x14ac:dyDescent="0.2">
      <c r="B29" s="22" t="s">
        <v>498</v>
      </c>
      <c r="C29" s="22" t="s">
        <v>499</v>
      </c>
      <c r="D29" s="22" t="s">
        <v>334</v>
      </c>
      <c r="E29" s="26">
        <v>50</v>
      </c>
      <c r="F29" s="24">
        <v>523.48</v>
      </c>
      <c r="G29" s="24">
        <v>0.43</v>
      </c>
    </row>
    <row r="30" spans="2:10" x14ac:dyDescent="0.2">
      <c r="B30" s="22" t="s">
        <v>500</v>
      </c>
      <c r="C30" s="22" t="s">
        <v>501</v>
      </c>
      <c r="D30" s="22" t="s">
        <v>334</v>
      </c>
      <c r="E30" s="26">
        <v>50</v>
      </c>
      <c r="F30" s="24">
        <v>512.79</v>
      </c>
      <c r="G30" s="24">
        <v>0.42</v>
      </c>
    </row>
    <row r="31" spans="2:10" x14ac:dyDescent="0.2">
      <c r="B31" s="22" t="s">
        <v>502</v>
      </c>
      <c r="C31" s="22" t="s">
        <v>503</v>
      </c>
      <c r="D31" s="22" t="s">
        <v>334</v>
      </c>
      <c r="E31" s="26">
        <v>50</v>
      </c>
      <c r="F31" s="24">
        <v>501.49</v>
      </c>
      <c r="G31" s="24">
        <v>0.41</v>
      </c>
    </row>
    <row r="32" spans="2:10" x14ac:dyDescent="0.2">
      <c r="B32" s="28" t="s">
        <v>104</v>
      </c>
      <c r="C32" s="28"/>
      <c r="D32" s="28"/>
      <c r="E32" s="29"/>
      <c r="F32" s="30">
        <f>SUM(F6:F31)</f>
        <v>49912.37000000001</v>
      </c>
      <c r="G32" s="30">
        <f>SUM(G6:G31)</f>
        <v>40.65</v>
      </c>
      <c r="H32" s="14"/>
      <c r="I32" s="14"/>
      <c r="J32" s="14"/>
    </row>
    <row r="33" spans="2:10" x14ac:dyDescent="0.2">
      <c r="B33" s="38" t="s">
        <v>105</v>
      </c>
      <c r="C33" s="38"/>
      <c r="D33" s="38"/>
      <c r="E33" s="39"/>
      <c r="F33" s="40">
        <f>F32</f>
        <v>49912.37000000001</v>
      </c>
      <c r="G33" s="40">
        <f>G32</f>
        <v>40.65</v>
      </c>
      <c r="H33" s="14"/>
      <c r="I33" s="14"/>
      <c r="J33" s="14"/>
    </row>
    <row r="34" spans="2:10" x14ac:dyDescent="0.2">
      <c r="B34" s="37" t="s">
        <v>504</v>
      </c>
      <c r="C34" s="22"/>
      <c r="D34" s="22"/>
      <c r="E34" s="23"/>
      <c r="F34" s="24"/>
      <c r="G34" s="24"/>
    </row>
    <row r="35" spans="2:10" x14ac:dyDescent="0.2">
      <c r="B35" s="37" t="s">
        <v>505</v>
      </c>
      <c r="C35" s="22"/>
      <c r="D35" s="22"/>
      <c r="E35" s="23"/>
      <c r="F35" s="24"/>
      <c r="G35" s="24"/>
    </row>
    <row r="36" spans="2:10" x14ac:dyDescent="0.2">
      <c r="B36" s="22" t="s">
        <v>506</v>
      </c>
      <c r="C36" s="22" t="s">
        <v>507</v>
      </c>
      <c r="D36" s="22" t="s">
        <v>508</v>
      </c>
      <c r="E36" s="26">
        <v>5000</v>
      </c>
      <c r="F36" s="24">
        <v>4949.05</v>
      </c>
      <c r="G36" s="24">
        <v>4.03</v>
      </c>
    </row>
    <row r="37" spans="2:10" x14ac:dyDescent="0.2">
      <c r="B37" s="22" t="s">
        <v>509</v>
      </c>
      <c r="C37" s="22" t="s">
        <v>510</v>
      </c>
      <c r="D37" s="22" t="s">
        <v>508</v>
      </c>
      <c r="E37" s="26">
        <v>2500</v>
      </c>
      <c r="F37" s="24">
        <v>2495.25</v>
      </c>
      <c r="G37" s="24">
        <v>2.0299999999999998</v>
      </c>
    </row>
    <row r="38" spans="2:10" x14ac:dyDescent="0.2">
      <c r="B38" s="22" t="s">
        <v>511</v>
      </c>
      <c r="C38" s="22" t="s">
        <v>512</v>
      </c>
      <c r="D38" s="22" t="s">
        <v>513</v>
      </c>
      <c r="E38" s="26">
        <v>2500</v>
      </c>
      <c r="F38" s="24">
        <v>2484</v>
      </c>
      <c r="G38" s="24">
        <v>2.02</v>
      </c>
    </row>
    <row r="39" spans="2:10" x14ac:dyDescent="0.2">
      <c r="B39" s="22" t="s">
        <v>514</v>
      </c>
      <c r="C39" s="22" t="s">
        <v>515</v>
      </c>
      <c r="D39" s="22" t="s">
        <v>508</v>
      </c>
      <c r="E39" s="26">
        <v>2500</v>
      </c>
      <c r="F39" s="24">
        <v>2483.96</v>
      </c>
      <c r="G39" s="24">
        <v>2.02</v>
      </c>
    </row>
    <row r="40" spans="2:10" x14ac:dyDescent="0.2">
      <c r="B40" s="22" t="s">
        <v>516</v>
      </c>
      <c r="C40" s="22" t="s">
        <v>517</v>
      </c>
      <c r="D40" s="22" t="s">
        <v>518</v>
      </c>
      <c r="E40" s="26">
        <v>2500</v>
      </c>
      <c r="F40" s="24">
        <v>2430.0300000000002</v>
      </c>
      <c r="G40" s="24">
        <v>1.98</v>
      </c>
    </row>
    <row r="41" spans="2:10" x14ac:dyDescent="0.2">
      <c r="B41" s="22" t="s">
        <v>519</v>
      </c>
      <c r="C41" s="22" t="s">
        <v>520</v>
      </c>
      <c r="D41" s="22" t="s">
        <v>518</v>
      </c>
      <c r="E41" s="26">
        <v>2500</v>
      </c>
      <c r="F41" s="24">
        <v>2424.37</v>
      </c>
      <c r="G41" s="24">
        <v>1.97</v>
      </c>
    </row>
    <row r="42" spans="2:10" x14ac:dyDescent="0.2">
      <c r="B42" s="22" t="s">
        <v>521</v>
      </c>
      <c r="C42" s="22" t="s">
        <v>522</v>
      </c>
      <c r="D42" s="22" t="s">
        <v>508</v>
      </c>
      <c r="E42" s="26">
        <v>500</v>
      </c>
      <c r="F42" s="24">
        <v>492.16</v>
      </c>
      <c r="G42" s="24">
        <v>0.4</v>
      </c>
    </row>
    <row r="43" spans="2:10" x14ac:dyDescent="0.2">
      <c r="B43" s="37" t="s">
        <v>104</v>
      </c>
      <c r="C43" s="37"/>
      <c r="D43" s="37"/>
      <c r="E43" s="47"/>
      <c r="F43" s="46">
        <f>SUM(F35:F42)</f>
        <v>17758.82</v>
      </c>
      <c r="G43" s="46">
        <f>SUM(G35:G42)</f>
        <v>14.450000000000001</v>
      </c>
      <c r="H43" s="14"/>
      <c r="I43" s="14"/>
      <c r="J43" s="14"/>
    </row>
    <row r="44" spans="2:10" x14ac:dyDescent="0.2">
      <c r="B44" s="37" t="s">
        <v>523</v>
      </c>
      <c r="C44" s="22"/>
      <c r="D44" s="22"/>
      <c r="E44" s="23"/>
      <c r="F44" s="24"/>
      <c r="G44" s="24"/>
    </row>
    <row r="45" spans="2:10" x14ac:dyDescent="0.2">
      <c r="B45" s="22" t="s">
        <v>524</v>
      </c>
      <c r="C45" s="22" t="s">
        <v>525</v>
      </c>
      <c r="D45" s="22" t="s">
        <v>526</v>
      </c>
      <c r="E45" s="26">
        <v>1000</v>
      </c>
      <c r="F45" s="24">
        <v>4987.34</v>
      </c>
      <c r="G45" s="24">
        <v>4.0599999999999996</v>
      </c>
    </row>
    <row r="46" spans="2:10" x14ac:dyDescent="0.2">
      <c r="B46" s="22" t="s">
        <v>527</v>
      </c>
      <c r="C46" s="22" t="s">
        <v>528</v>
      </c>
      <c r="D46" s="22" t="s">
        <v>526</v>
      </c>
      <c r="E46" s="26">
        <v>1000</v>
      </c>
      <c r="F46" s="24">
        <v>4978.2</v>
      </c>
      <c r="G46" s="24">
        <v>4.05</v>
      </c>
    </row>
    <row r="47" spans="2:10" x14ac:dyDescent="0.2">
      <c r="B47" s="22" t="s">
        <v>529</v>
      </c>
      <c r="C47" s="22" t="s">
        <v>530</v>
      </c>
      <c r="D47" s="22" t="s">
        <v>508</v>
      </c>
      <c r="E47" s="26">
        <v>800</v>
      </c>
      <c r="F47" s="24">
        <v>3923.41</v>
      </c>
      <c r="G47" s="24">
        <v>3.2</v>
      </c>
    </row>
    <row r="48" spans="2:10" x14ac:dyDescent="0.2">
      <c r="B48" s="22" t="s">
        <v>531</v>
      </c>
      <c r="C48" s="22" t="s">
        <v>532</v>
      </c>
      <c r="D48" s="22" t="s">
        <v>508</v>
      </c>
      <c r="E48" s="26">
        <v>500</v>
      </c>
      <c r="F48" s="24">
        <v>2455.31</v>
      </c>
      <c r="G48" s="24">
        <v>2</v>
      </c>
    </row>
    <row r="49" spans="2:10" x14ac:dyDescent="0.2">
      <c r="B49" s="37" t="s">
        <v>104</v>
      </c>
      <c r="C49" s="37"/>
      <c r="D49" s="37"/>
      <c r="E49" s="47"/>
      <c r="F49" s="46">
        <f>SUM(F44:F48)</f>
        <v>16344.26</v>
      </c>
      <c r="G49" s="46">
        <f>SUM(G44:G48)</f>
        <v>13.309999999999999</v>
      </c>
      <c r="H49" s="14"/>
      <c r="I49" s="14"/>
      <c r="J49" s="14"/>
    </row>
    <row r="50" spans="2:10" x14ac:dyDescent="0.2">
      <c r="B50" s="37" t="s">
        <v>533</v>
      </c>
      <c r="C50" s="22"/>
      <c r="D50" s="22"/>
      <c r="E50" s="23"/>
      <c r="F50" s="24"/>
      <c r="G50" s="24"/>
    </row>
    <row r="51" spans="2:10" x14ac:dyDescent="0.2">
      <c r="B51" s="22" t="s">
        <v>534</v>
      </c>
      <c r="C51" s="22" t="s">
        <v>535</v>
      </c>
      <c r="D51" s="22" t="s">
        <v>536</v>
      </c>
      <c r="E51" s="26">
        <v>8000000</v>
      </c>
      <c r="F51" s="24">
        <v>7943.61</v>
      </c>
      <c r="G51" s="24">
        <v>6.47</v>
      </c>
    </row>
    <row r="52" spans="2:10" x14ac:dyDescent="0.2">
      <c r="B52" s="22" t="s">
        <v>537</v>
      </c>
      <c r="C52" s="22" t="s">
        <v>538</v>
      </c>
      <c r="D52" s="22" t="s">
        <v>536</v>
      </c>
      <c r="E52" s="26">
        <v>6500000</v>
      </c>
      <c r="F52" s="24">
        <v>6397.19</v>
      </c>
      <c r="G52" s="24">
        <v>5.21</v>
      </c>
    </row>
    <row r="53" spans="2:10" x14ac:dyDescent="0.2">
      <c r="B53" s="22" t="s">
        <v>539</v>
      </c>
      <c r="C53" s="22" t="s">
        <v>540</v>
      </c>
      <c r="D53" s="22" t="s">
        <v>536</v>
      </c>
      <c r="E53" s="26">
        <v>5000000</v>
      </c>
      <c r="F53" s="24">
        <v>4904.1499999999996</v>
      </c>
      <c r="G53" s="24">
        <v>3.99</v>
      </c>
    </row>
    <row r="54" spans="2:10" x14ac:dyDescent="0.2">
      <c r="B54" s="28" t="s">
        <v>104</v>
      </c>
      <c r="C54" s="28"/>
      <c r="D54" s="28"/>
      <c r="E54" s="29"/>
      <c r="F54" s="30">
        <f>SUM(F50:F53)</f>
        <v>19244.949999999997</v>
      </c>
      <c r="G54" s="30">
        <f>SUM(G50:G53)</f>
        <v>15.67</v>
      </c>
      <c r="H54" s="14"/>
      <c r="I54" s="14"/>
      <c r="J54" s="14"/>
    </row>
    <row r="55" spans="2:10" x14ac:dyDescent="0.2">
      <c r="B55" s="38" t="s">
        <v>105</v>
      </c>
      <c r="C55" s="38"/>
      <c r="D55" s="38"/>
      <c r="E55" s="39"/>
      <c r="F55" s="40">
        <f>F43+F49+F54</f>
        <v>53348.03</v>
      </c>
      <c r="G55" s="40">
        <f>G43+G49+G54</f>
        <v>43.43</v>
      </c>
      <c r="H55" s="14"/>
      <c r="I55" s="14"/>
      <c r="J55" s="14"/>
    </row>
    <row r="56" spans="2:10" x14ac:dyDescent="0.2">
      <c r="B56" s="37" t="s">
        <v>410</v>
      </c>
      <c r="C56" s="22"/>
      <c r="D56" s="22"/>
      <c r="E56" s="23"/>
      <c r="F56" s="24"/>
      <c r="G56" s="24"/>
    </row>
    <row r="57" spans="2:10" x14ac:dyDescent="0.2">
      <c r="B57" s="22" t="s">
        <v>411</v>
      </c>
      <c r="C57" s="22" t="s">
        <v>412</v>
      </c>
      <c r="D57" s="22" t="s">
        <v>413</v>
      </c>
      <c r="E57" s="26">
        <v>8500000</v>
      </c>
      <c r="F57" s="24">
        <v>9186.66</v>
      </c>
      <c r="G57" s="24">
        <v>7.48</v>
      </c>
    </row>
    <row r="58" spans="2:10" x14ac:dyDescent="0.2">
      <c r="B58" s="22" t="s">
        <v>541</v>
      </c>
      <c r="C58" s="22" t="s">
        <v>542</v>
      </c>
      <c r="D58" s="22" t="s">
        <v>413</v>
      </c>
      <c r="E58" s="26">
        <v>5000000</v>
      </c>
      <c r="F58" s="24">
        <v>5063.54</v>
      </c>
      <c r="G58" s="24">
        <v>4.12</v>
      </c>
    </row>
    <row r="59" spans="2:10" x14ac:dyDescent="0.2">
      <c r="B59" s="41" t="s">
        <v>428</v>
      </c>
      <c r="C59" s="41" t="s">
        <v>429</v>
      </c>
      <c r="D59" s="41" t="s">
        <v>413</v>
      </c>
      <c r="E59" s="42">
        <v>1500000</v>
      </c>
      <c r="F59" s="43">
        <v>1607.27</v>
      </c>
      <c r="G59" s="43">
        <v>1.31</v>
      </c>
    </row>
    <row r="60" spans="2:10" x14ac:dyDescent="0.2">
      <c r="B60" s="44" t="s">
        <v>105</v>
      </c>
      <c r="C60" s="44"/>
      <c r="D60" s="44"/>
      <c r="E60" s="45"/>
      <c r="F60" s="46">
        <f>SUM(F57:F59)</f>
        <v>15857.470000000001</v>
      </c>
      <c r="G60" s="46">
        <f>SUM(G57:G59)</f>
        <v>12.910000000000002</v>
      </c>
      <c r="H60" s="14"/>
      <c r="I60" s="14"/>
      <c r="J60" s="14"/>
    </row>
    <row r="61" spans="2:10" x14ac:dyDescent="0.2">
      <c r="B61" s="37" t="s">
        <v>756</v>
      </c>
      <c r="C61" s="22"/>
      <c r="D61" s="22"/>
      <c r="E61" s="23"/>
      <c r="F61" s="24"/>
      <c r="G61" s="24"/>
    </row>
    <row r="62" spans="2:10" x14ac:dyDescent="0.2">
      <c r="B62" s="22" t="s">
        <v>756</v>
      </c>
      <c r="C62" s="22"/>
      <c r="D62" s="22"/>
      <c r="E62" s="23"/>
      <c r="F62" s="24">
        <v>1687.11</v>
      </c>
      <c r="G62" s="24">
        <v>1.37</v>
      </c>
    </row>
    <row r="63" spans="2:10" x14ac:dyDescent="0.2">
      <c r="B63" s="28" t="s">
        <v>104</v>
      </c>
      <c r="C63" s="28"/>
      <c r="D63" s="28"/>
      <c r="E63" s="29"/>
      <c r="F63" s="30">
        <f>SUM(F61:F62)</f>
        <v>1687.11</v>
      </c>
      <c r="G63" s="30">
        <f>SUM(G61:G62)</f>
        <v>1.37</v>
      </c>
      <c r="H63" s="14"/>
      <c r="I63" s="14"/>
      <c r="J63" s="14"/>
    </row>
    <row r="64" spans="2:10" x14ac:dyDescent="0.2">
      <c r="B64" s="31" t="s">
        <v>105</v>
      </c>
      <c r="C64" s="31"/>
      <c r="D64" s="31"/>
      <c r="E64" s="32"/>
      <c r="F64" s="33">
        <f>F63</f>
        <v>1687.11</v>
      </c>
      <c r="G64" s="33">
        <f>G63</f>
        <v>1.37</v>
      </c>
      <c r="H64" s="14"/>
      <c r="I64" s="14"/>
      <c r="J64" s="14"/>
    </row>
    <row r="65" spans="2:10" x14ac:dyDescent="0.2">
      <c r="B65" s="34" t="s">
        <v>107</v>
      </c>
      <c r="C65" s="34"/>
      <c r="D65" s="34"/>
      <c r="E65" s="35"/>
      <c r="F65" s="16">
        <f>F66-(+F33+F55+F60+F64)</f>
        <v>1985.3399999999965</v>
      </c>
      <c r="G65" s="16">
        <f>G66-(+G33+G55+G60+G64)</f>
        <v>1.6400000000000006</v>
      </c>
      <c r="H65" s="14"/>
      <c r="I65" s="14"/>
      <c r="J65" s="14"/>
    </row>
    <row r="66" spans="2:10" x14ac:dyDescent="0.2">
      <c r="B66" s="34" t="s">
        <v>106</v>
      </c>
      <c r="C66" s="34"/>
      <c r="D66" s="34"/>
      <c r="E66" s="35"/>
      <c r="F66" s="16">
        <v>122790.32</v>
      </c>
      <c r="G66" s="16">
        <v>100</v>
      </c>
      <c r="H66" s="14"/>
      <c r="I66" s="14"/>
      <c r="J66" s="14"/>
    </row>
    <row r="68" spans="2:10" x14ac:dyDescent="0.2">
      <c r="B68" s="14" t="s">
        <v>757</v>
      </c>
    </row>
    <row r="69" spans="2:10" x14ac:dyDescent="0.2">
      <c r="B69" s="14" t="s">
        <v>543</v>
      </c>
    </row>
    <row r="71" spans="2:10" x14ac:dyDescent="0.2">
      <c r="B71" s="14"/>
    </row>
    <row r="74" spans="2:10" x14ac:dyDescent="0.2">
      <c r="B74" s="14"/>
      <c r="C74" s="14"/>
      <c r="D74" s="14"/>
      <c r="E74" s="15"/>
    </row>
    <row r="86" spans="2:5" x14ac:dyDescent="0.2">
      <c r="D86" s="14"/>
      <c r="E86" s="15"/>
    </row>
    <row r="92" spans="2:5" x14ac:dyDescent="0.2">
      <c r="B92" s="14"/>
      <c r="C92" s="14"/>
      <c r="D92" s="14"/>
      <c r="E92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6"/>
  <sheetViews>
    <sheetView topLeftCell="A54" workbookViewId="0">
      <selection activeCell="F70" sqref="F70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19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38</v>
      </c>
      <c r="C7" s="22" t="s">
        <v>39</v>
      </c>
      <c r="D7" s="22" t="s">
        <v>40</v>
      </c>
      <c r="E7" s="26">
        <v>22154</v>
      </c>
      <c r="F7" s="24">
        <v>460.96</v>
      </c>
      <c r="G7" s="24">
        <v>1.78</v>
      </c>
    </row>
    <row r="8" spans="2:7" x14ac:dyDescent="0.2">
      <c r="B8" s="25" t="s">
        <v>108</v>
      </c>
      <c r="C8" s="22" t="s">
        <v>109</v>
      </c>
      <c r="D8" s="22" t="s">
        <v>43</v>
      </c>
      <c r="E8" s="26">
        <v>40032</v>
      </c>
      <c r="F8" s="24">
        <v>446.7</v>
      </c>
      <c r="G8" s="24">
        <v>1.73</v>
      </c>
    </row>
    <row r="9" spans="2:7" x14ac:dyDescent="0.2">
      <c r="B9" s="25" t="s">
        <v>118</v>
      </c>
      <c r="C9" s="22" t="s">
        <v>119</v>
      </c>
      <c r="D9" s="22" t="s">
        <v>120</v>
      </c>
      <c r="E9" s="26">
        <v>11000</v>
      </c>
      <c r="F9" s="24">
        <v>383.66</v>
      </c>
      <c r="G9" s="24">
        <v>1.48</v>
      </c>
    </row>
    <row r="10" spans="2:7" x14ac:dyDescent="0.2">
      <c r="B10" s="25" t="s">
        <v>121</v>
      </c>
      <c r="C10" s="22" t="s">
        <v>122</v>
      </c>
      <c r="D10" s="22" t="s">
        <v>123</v>
      </c>
      <c r="E10" s="26">
        <v>9000</v>
      </c>
      <c r="F10" s="24">
        <v>281.05</v>
      </c>
      <c r="G10" s="24">
        <v>1.0900000000000001</v>
      </c>
    </row>
    <row r="11" spans="2:7" x14ac:dyDescent="0.2">
      <c r="B11" s="25" t="s">
        <v>224</v>
      </c>
      <c r="C11" s="22" t="s">
        <v>225</v>
      </c>
      <c r="D11" s="22" t="s">
        <v>120</v>
      </c>
      <c r="E11" s="26">
        <v>200000</v>
      </c>
      <c r="F11" s="24">
        <v>269.39999999999998</v>
      </c>
      <c r="G11" s="24">
        <v>1.04</v>
      </c>
    </row>
    <row r="12" spans="2:7" x14ac:dyDescent="0.2">
      <c r="B12" s="25" t="s">
        <v>158</v>
      </c>
      <c r="C12" s="22" t="s">
        <v>159</v>
      </c>
      <c r="D12" s="22" t="s">
        <v>43</v>
      </c>
      <c r="E12" s="26">
        <v>54062</v>
      </c>
      <c r="F12" s="24">
        <v>268.55</v>
      </c>
      <c r="G12" s="24">
        <v>1.04</v>
      </c>
    </row>
    <row r="13" spans="2:7" x14ac:dyDescent="0.2">
      <c r="B13" s="25" t="s">
        <v>110</v>
      </c>
      <c r="C13" s="22" t="s">
        <v>111</v>
      </c>
      <c r="D13" s="22" t="s">
        <v>112</v>
      </c>
      <c r="E13" s="26">
        <v>26920</v>
      </c>
      <c r="F13" s="24">
        <v>249.98</v>
      </c>
      <c r="G13" s="24">
        <v>0.97</v>
      </c>
    </row>
    <row r="14" spans="2:7" x14ac:dyDescent="0.2">
      <c r="B14" s="25" t="s">
        <v>185</v>
      </c>
      <c r="C14" s="22" t="s">
        <v>186</v>
      </c>
      <c r="D14" s="22" t="s">
        <v>187</v>
      </c>
      <c r="E14" s="26">
        <v>10000</v>
      </c>
      <c r="F14" s="24">
        <v>225.13</v>
      </c>
      <c r="G14" s="24">
        <v>0.87</v>
      </c>
    </row>
    <row r="15" spans="2:7" x14ac:dyDescent="0.2">
      <c r="B15" s="25" t="s">
        <v>135</v>
      </c>
      <c r="C15" s="22" t="s">
        <v>136</v>
      </c>
      <c r="D15" s="22" t="s">
        <v>137</v>
      </c>
      <c r="E15" s="26">
        <v>3715</v>
      </c>
      <c r="F15" s="24">
        <v>214.74</v>
      </c>
      <c r="G15" s="24">
        <v>0.83</v>
      </c>
    </row>
    <row r="16" spans="2:7" x14ac:dyDescent="0.2">
      <c r="B16" s="25" t="s">
        <v>113</v>
      </c>
      <c r="C16" s="22" t="s">
        <v>114</v>
      </c>
      <c r="D16" s="22" t="s">
        <v>112</v>
      </c>
      <c r="E16" s="26">
        <v>9242</v>
      </c>
      <c r="F16" s="24">
        <v>208.62</v>
      </c>
      <c r="G16" s="24">
        <v>0.81</v>
      </c>
    </row>
    <row r="17" spans="2:7" x14ac:dyDescent="0.2">
      <c r="B17" s="25" t="s">
        <v>140</v>
      </c>
      <c r="C17" s="22" t="s">
        <v>141</v>
      </c>
      <c r="D17" s="22" t="s">
        <v>120</v>
      </c>
      <c r="E17" s="26">
        <v>12000</v>
      </c>
      <c r="F17" s="24">
        <v>191.81</v>
      </c>
      <c r="G17" s="24">
        <v>0.74</v>
      </c>
    </row>
    <row r="18" spans="2:7" x14ac:dyDescent="0.2">
      <c r="B18" s="25" t="s">
        <v>149</v>
      </c>
      <c r="C18" s="22" t="s">
        <v>150</v>
      </c>
      <c r="D18" s="22" t="s">
        <v>123</v>
      </c>
      <c r="E18" s="26">
        <v>10000</v>
      </c>
      <c r="F18" s="24">
        <v>188.76</v>
      </c>
      <c r="G18" s="24">
        <v>0.73</v>
      </c>
    </row>
    <row r="19" spans="2:7" x14ac:dyDescent="0.2">
      <c r="B19" s="25" t="s">
        <v>41</v>
      </c>
      <c r="C19" s="22" t="s">
        <v>42</v>
      </c>
      <c r="D19" s="22" t="s">
        <v>43</v>
      </c>
      <c r="E19" s="26">
        <v>45914</v>
      </c>
      <c r="F19" s="24">
        <v>181.18</v>
      </c>
      <c r="G19" s="24">
        <v>0.7</v>
      </c>
    </row>
    <row r="20" spans="2:7" x14ac:dyDescent="0.2">
      <c r="B20" s="25" t="s">
        <v>124</v>
      </c>
      <c r="C20" s="22" t="s">
        <v>125</v>
      </c>
      <c r="D20" s="22" t="s">
        <v>43</v>
      </c>
      <c r="E20" s="26">
        <v>12450</v>
      </c>
      <c r="F20" s="24">
        <v>174.47</v>
      </c>
      <c r="G20" s="24">
        <v>0.67</v>
      </c>
    </row>
    <row r="21" spans="2:7" x14ac:dyDescent="0.2">
      <c r="B21" s="25" t="s">
        <v>72</v>
      </c>
      <c r="C21" s="22" t="s">
        <v>73</v>
      </c>
      <c r="D21" s="22" t="s">
        <v>71</v>
      </c>
      <c r="E21" s="26">
        <v>50000</v>
      </c>
      <c r="F21" s="24">
        <v>162.72999999999999</v>
      </c>
      <c r="G21" s="24">
        <v>0.63</v>
      </c>
    </row>
    <row r="22" spans="2:7" x14ac:dyDescent="0.2">
      <c r="B22" s="25" t="s">
        <v>170</v>
      </c>
      <c r="C22" s="22" t="s">
        <v>171</v>
      </c>
      <c r="D22" s="22" t="s">
        <v>120</v>
      </c>
      <c r="E22" s="26">
        <v>19736</v>
      </c>
      <c r="F22" s="24">
        <v>159.43</v>
      </c>
      <c r="G22" s="24">
        <v>0.62</v>
      </c>
    </row>
    <row r="23" spans="2:7" x14ac:dyDescent="0.2">
      <c r="B23" s="25" t="s">
        <v>230</v>
      </c>
      <c r="C23" s="22" t="s">
        <v>231</v>
      </c>
      <c r="D23" s="22" t="s">
        <v>187</v>
      </c>
      <c r="E23" s="26">
        <v>110000</v>
      </c>
      <c r="F23" s="24">
        <v>153.88999999999999</v>
      </c>
      <c r="G23" s="24">
        <v>0.59</v>
      </c>
    </row>
    <row r="24" spans="2:7" x14ac:dyDescent="0.2">
      <c r="B24" s="25" t="s">
        <v>154</v>
      </c>
      <c r="C24" s="22" t="s">
        <v>155</v>
      </c>
      <c r="D24" s="22" t="s">
        <v>81</v>
      </c>
      <c r="E24" s="26">
        <v>13700</v>
      </c>
      <c r="F24" s="24">
        <v>150.77000000000001</v>
      </c>
      <c r="G24" s="24">
        <v>0.57999999999999996</v>
      </c>
    </row>
    <row r="25" spans="2:7" x14ac:dyDescent="0.2">
      <c r="B25" s="25" t="s">
        <v>151</v>
      </c>
      <c r="C25" s="22" t="s">
        <v>152</v>
      </c>
      <c r="D25" s="22" t="s">
        <v>153</v>
      </c>
      <c r="E25" s="26">
        <v>11400</v>
      </c>
      <c r="F25" s="24">
        <v>150.69999999999999</v>
      </c>
      <c r="G25" s="24">
        <v>0.57999999999999996</v>
      </c>
    </row>
    <row r="26" spans="2:7" x14ac:dyDescent="0.2">
      <c r="B26" s="25" t="s">
        <v>142</v>
      </c>
      <c r="C26" s="22" t="s">
        <v>143</v>
      </c>
      <c r="D26" s="22" t="s">
        <v>130</v>
      </c>
      <c r="E26" s="26">
        <v>2150</v>
      </c>
      <c r="F26" s="24">
        <v>147.06</v>
      </c>
      <c r="G26" s="24">
        <v>0.56999999999999995</v>
      </c>
    </row>
    <row r="27" spans="2:7" x14ac:dyDescent="0.2">
      <c r="B27" s="25" t="s">
        <v>179</v>
      </c>
      <c r="C27" s="22" t="s">
        <v>180</v>
      </c>
      <c r="D27" s="22" t="s">
        <v>153</v>
      </c>
      <c r="E27" s="26">
        <v>38000</v>
      </c>
      <c r="F27" s="24">
        <v>129.19999999999999</v>
      </c>
      <c r="G27" s="24">
        <v>0.5</v>
      </c>
    </row>
    <row r="28" spans="2:7" x14ac:dyDescent="0.2">
      <c r="B28" s="25" t="s">
        <v>194</v>
      </c>
      <c r="C28" s="22" t="s">
        <v>195</v>
      </c>
      <c r="D28" s="22" t="s">
        <v>117</v>
      </c>
      <c r="E28" s="26">
        <v>6000</v>
      </c>
      <c r="F28" s="24">
        <v>125.82</v>
      </c>
      <c r="G28" s="24">
        <v>0.49</v>
      </c>
    </row>
    <row r="29" spans="2:7" x14ac:dyDescent="0.2">
      <c r="B29" s="25" t="s">
        <v>52</v>
      </c>
      <c r="C29" s="22" t="s">
        <v>53</v>
      </c>
      <c r="D29" s="22" t="s">
        <v>54</v>
      </c>
      <c r="E29" s="26">
        <v>15966</v>
      </c>
      <c r="F29" s="24">
        <v>122.76</v>
      </c>
      <c r="G29" s="24">
        <v>0.47</v>
      </c>
    </row>
    <row r="30" spans="2:7" x14ac:dyDescent="0.2">
      <c r="B30" s="25" t="s">
        <v>115</v>
      </c>
      <c r="C30" s="22" t="s">
        <v>116</v>
      </c>
      <c r="D30" s="22" t="s">
        <v>117</v>
      </c>
      <c r="E30" s="26">
        <v>5597</v>
      </c>
      <c r="F30" s="24">
        <v>118.51</v>
      </c>
      <c r="G30" s="24">
        <v>0.46</v>
      </c>
    </row>
    <row r="31" spans="2:7" x14ac:dyDescent="0.2">
      <c r="B31" s="25" t="s">
        <v>160</v>
      </c>
      <c r="C31" s="22" t="s">
        <v>161</v>
      </c>
      <c r="D31" s="22" t="s">
        <v>117</v>
      </c>
      <c r="E31" s="26">
        <v>700</v>
      </c>
      <c r="F31" s="24">
        <v>111.65</v>
      </c>
      <c r="G31" s="24">
        <v>0.43</v>
      </c>
    </row>
    <row r="32" spans="2:7" x14ac:dyDescent="0.2">
      <c r="B32" s="25" t="s">
        <v>172</v>
      </c>
      <c r="C32" s="22" t="s">
        <v>173</v>
      </c>
      <c r="D32" s="22" t="s">
        <v>81</v>
      </c>
      <c r="E32" s="26">
        <v>5000</v>
      </c>
      <c r="F32" s="24">
        <v>106.07</v>
      </c>
      <c r="G32" s="24">
        <v>0.41</v>
      </c>
    </row>
    <row r="33" spans="2:10" x14ac:dyDescent="0.2">
      <c r="B33" s="25" t="s">
        <v>74</v>
      </c>
      <c r="C33" s="22" t="s">
        <v>75</v>
      </c>
      <c r="D33" s="22" t="s">
        <v>54</v>
      </c>
      <c r="E33" s="26">
        <v>49244</v>
      </c>
      <c r="F33" s="24">
        <v>103.9</v>
      </c>
      <c r="G33" s="24">
        <v>0.4</v>
      </c>
    </row>
    <row r="34" spans="2:10" x14ac:dyDescent="0.2">
      <c r="B34" s="25" t="s">
        <v>64</v>
      </c>
      <c r="C34" s="22" t="s">
        <v>65</v>
      </c>
      <c r="D34" s="22" t="s">
        <v>66</v>
      </c>
      <c r="E34" s="26">
        <v>20000</v>
      </c>
      <c r="F34" s="24">
        <v>102.62</v>
      </c>
      <c r="G34" s="24">
        <v>0.4</v>
      </c>
    </row>
    <row r="35" spans="2:10" x14ac:dyDescent="0.2">
      <c r="B35" s="25" t="s">
        <v>69</v>
      </c>
      <c r="C35" s="22" t="s">
        <v>70</v>
      </c>
      <c r="D35" s="22" t="s">
        <v>71</v>
      </c>
      <c r="E35" s="26">
        <v>25000</v>
      </c>
      <c r="F35" s="24">
        <v>98.61</v>
      </c>
      <c r="G35" s="24">
        <v>0.38</v>
      </c>
    </row>
    <row r="36" spans="2:10" x14ac:dyDescent="0.2">
      <c r="B36" s="25" t="s">
        <v>230</v>
      </c>
      <c r="C36" s="22" t="s">
        <v>244</v>
      </c>
      <c r="D36" s="22" t="s">
        <v>187</v>
      </c>
      <c r="E36" s="26">
        <v>15000</v>
      </c>
      <c r="F36" s="24">
        <v>11.72</v>
      </c>
      <c r="G36" s="24">
        <v>0.05</v>
      </c>
    </row>
    <row r="37" spans="2:10" x14ac:dyDescent="0.2">
      <c r="B37" s="27" t="s">
        <v>104</v>
      </c>
      <c r="C37" s="28"/>
      <c r="D37" s="28"/>
      <c r="E37" s="29"/>
      <c r="F37" s="30">
        <f>SUM(F7:F36)</f>
        <v>5700.4499999999989</v>
      </c>
      <c r="G37" s="30">
        <f>SUM(G7:G36)</f>
        <v>22.039999999999992</v>
      </c>
      <c r="H37" s="14"/>
      <c r="I37" s="14"/>
      <c r="J37" s="14"/>
    </row>
    <row r="38" spans="2:10" x14ac:dyDescent="0.2">
      <c r="B38" s="31" t="s">
        <v>105</v>
      </c>
      <c r="C38" s="31"/>
      <c r="D38" s="31"/>
      <c r="E38" s="32"/>
      <c r="F38" s="33">
        <f>F37</f>
        <v>5700.4499999999989</v>
      </c>
      <c r="G38" s="33">
        <f>G37</f>
        <v>22.039999999999992</v>
      </c>
      <c r="H38" s="14"/>
      <c r="I38" s="14"/>
      <c r="J38" s="14"/>
    </row>
    <row r="39" spans="2:10" x14ac:dyDescent="0.2">
      <c r="B39" s="36" t="s">
        <v>331</v>
      </c>
      <c r="C39" s="18"/>
      <c r="D39" s="18"/>
      <c r="E39" s="19"/>
      <c r="F39" s="20"/>
      <c r="G39" s="20"/>
    </row>
    <row r="40" spans="2:10" x14ac:dyDescent="0.2">
      <c r="B40" s="37" t="s">
        <v>31</v>
      </c>
      <c r="C40" s="22"/>
      <c r="D40" s="22"/>
      <c r="E40" s="23"/>
      <c r="F40" s="24"/>
      <c r="G40" s="24"/>
    </row>
    <row r="41" spans="2:10" x14ac:dyDescent="0.2">
      <c r="B41" s="22" t="s">
        <v>377</v>
      </c>
      <c r="C41" s="22" t="s">
        <v>378</v>
      </c>
      <c r="D41" s="22" t="s">
        <v>334</v>
      </c>
      <c r="E41" s="26">
        <v>150</v>
      </c>
      <c r="F41" s="24">
        <v>1642.85</v>
      </c>
      <c r="G41" s="24">
        <v>6.35</v>
      </c>
    </row>
    <row r="42" spans="2:10" x14ac:dyDescent="0.2">
      <c r="B42" s="22" t="s">
        <v>356</v>
      </c>
      <c r="C42" s="22" t="s">
        <v>357</v>
      </c>
      <c r="D42" s="22" t="s">
        <v>334</v>
      </c>
      <c r="E42" s="26">
        <v>100</v>
      </c>
      <c r="F42" s="24">
        <v>1103.4100000000001</v>
      </c>
      <c r="G42" s="24">
        <v>4.26</v>
      </c>
    </row>
    <row r="43" spans="2:10" x14ac:dyDescent="0.2">
      <c r="B43" s="22" t="s">
        <v>354</v>
      </c>
      <c r="C43" s="22" t="s">
        <v>355</v>
      </c>
      <c r="D43" s="22" t="s">
        <v>334</v>
      </c>
      <c r="E43" s="26">
        <v>100</v>
      </c>
      <c r="F43" s="24">
        <v>1071.96</v>
      </c>
      <c r="G43" s="24">
        <v>4.1399999999999997</v>
      </c>
    </row>
    <row r="44" spans="2:10" x14ac:dyDescent="0.2">
      <c r="B44" s="22" t="s">
        <v>454</v>
      </c>
      <c r="C44" s="22" t="s">
        <v>455</v>
      </c>
      <c r="D44" s="22" t="s">
        <v>334</v>
      </c>
      <c r="E44" s="26">
        <v>100</v>
      </c>
      <c r="F44" s="24">
        <v>1055.5</v>
      </c>
      <c r="G44" s="24">
        <v>4.08</v>
      </c>
    </row>
    <row r="45" spans="2:10" x14ac:dyDescent="0.2">
      <c r="B45" s="22" t="s">
        <v>364</v>
      </c>
      <c r="C45" s="22" t="s">
        <v>365</v>
      </c>
      <c r="D45" s="22" t="s">
        <v>334</v>
      </c>
      <c r="E45" s="26">
        <v>100</v>
      </c>
      <c r="F45" s="24">
        <v>1048.3599999999999</v>
      </c>
      <c r="G45" s="24">
        <v>4.05</v>
      </c>
    </row>
    <row r="46" spans="2:10" x14ac:dyDescent="0.2">
      <c r="B46" s="22" t="s">
        <v>368</v>
      </c>
      <c r="C46" s="22" t="s">
        <v>369</v>
      </c>
      <c r="D46" s="22" t="s">
        <v>334</v>
      </c>
      <c r="E46" s="26">
        <v>100</v>
      </c>
      <c r="F46" s="24">
        <v>1028.6500000000001</v>
      </c>
      <c r="G46" s="24">
        <v>3.97</v>
      </c>
    </row>
    <row r="47" spans="2:10" x14ac:dyDescent="0.2">
      <c r="B47" s="22" t="s">
        <v>544</v>
      </c>
      <c r="C47" s="22" t="s">
        <v>545</v>
      </c>
      <c r="D47" s="22" t="s">
        <v>374</v>
      </c>
      <c r="E47" s="26">
        <v>100</v>
      </c>
      <c r="F47" s="24">
        <v>1001.61</v>
      </c>
      <c r="G47" s="24">
        <v>3.87</v>
      </c>
    </row>
    <row r="48" spans="2:10" x14ac:dyDescent="0.2">
      <c r="B48" s="22" t="s">
        <v>546</v>
      </c>
      <c r="C48" s="22" t="s">
        <v>547</v>
      </c>
      <c r="D48" s="22" t="s">
        <v>334</v>
      </c>
      <c r="E48" s="26">
        <v>50</v>
      </c>
      <c r="F48" s="24">
        <v>565.78</v>
      </c>
      <c r="G48" s="24">
        <v>2.19</v>
      </c>
    </row>
    <row r="49" spans="2:10" x14ac:dyDescent="0.2">
      <c r="B49" s="22" t="s">
        <v>360</v>
      </c>
      <c r="C49" s="22" t="s">
        <v>361</v>
      </c>
      <c r="D49" s="22" t="s">
        <v>334</v>
      </c>
      <c r="E49" s="26">
        <v>50</v>
      </c>
      <c r="F49" s="24">
        <v>539.32000000000005</v>
      </c>
      <c r="G49" s="24">
        <v>2.08</v>
      </c>
    </row>
    <row r="50" spans="2:10" x14ac:dyDescent="0.2">
      <c r="B50" s="22" t="s">
        <v>366</v>
      </c>
      <c r="C50" s="22" t="s">
        <v>367</v>
      </c>
      <c r="D50" s="22" t="s">
        <v>334</v>
      </c>
      <c r="E50" s="26">
        <v>50</v>
      </c>
      <c r="F50" s="24">
        <v>520.1</v>
      </c>
      <c r="G50" s="24">
        <v>2.0099999999999998</v>
      </c>
    </row>
    <row r="51" spans="2:10" x14ac:dyDescent="0.2">
      <c r="B51" s="22" t="s">
        <v>456</v>
      </c>
      <c r="C51" s="22" t="s">
        <v>457</v>
      </c>
      <c r="D51" s="22" t="s">
        <v>334</v>
      </c>
      <c r="E51" s="26">
        <v>50</v>
      </c>
      <c r="F51" s="24">
        <v>519.23</v>
      </c>
      <c r="G51" s="24">
        <v>2.0099999999999998</v>
      </c>
    </row>
    <row r="52" spans="2:10" x14ac:dyDescent="0.2">
      <c r="B52" s="22" t="s">
        <v>335</v>
      </c>
      <c r="C52" s="22" t="s">
        <v>336</v>
      </c>
      <c r="D52" s="22" t="s">
        <v>334</v>
      </c>
      <c r="E52" s="26">
        <v>50</v>
      </c>
      <c r="F52" s="24">
        <v>515.26</v>
      </c>
      <c r="G52" s="24">
        <v>1.99</v>
      </c>
    </row>
    <row r="53" spans="2:10" x14ac:dyDescent="0.2">
      <c r="B53" s="28" t="s">
        <v>104</v>
      </c>
      <c r="C53" s="28"/>
      <c r="D53" s="28"/>
      <c r="E53" s="29"/>
      <c r="F53" s="30">
        <f>SUM(F40:F52)</f>
        <v>10612.029999999999</v>
      </c>
      <c r="G53" s="30">
        <f>SUM(G40:G52)</f>
        <v>40.999999999999993</v>
      </c>
      <c r="H53" s="14"/>
      <c r="I53" s="14"/>
      <c r="J53" s="14"/>
    </row>
    <row r="54" spans="2:10" x14ac:dyDescent="0.2">
      <c r="B54" s="38" t="s">
        <v>105</v>
      </c>
      <c r="C54" s="38"/>
      <c r="D54" s="38"/>
      <c r="E54" s="39"/>
      <c r="F54" s="40">
        <f>F53</f>
        <v>10612.029999999999</v>
      </c>
      <c r="G54" s="40">
        <f>G53</f>
        <v>40.999999999999993</v>
      </c>
      <c r="H54" s="14"/>
      <c r="I54" s="14"/>
      <c r="J54" s="14"/>
    </row>
    <row r="55" spans="2:10" x14ac:dyDescent="0.2">
      <c r="B55" s="37" t="s">
        <v>410</v>
      </c>
      <c r="C55" s="22"/>
      <c r="D55" s="22"/>
      <c r="E55" s="23"/>
      <c r="F55" s="24"/>
      <c r="G55" s="24"/>
    </row>
    <row r="56" spans="2:10" x14ac:dyDescent="0.2">
      <c r="B56" s="22" t="s">
        <v>411</v>
      </c>
      <c r="C56" s="22" t="s">
        <v>412</v>
      </c>
      <c r="D56" s="22" t="s">
        <v>413</v>
      </c>
      <c r="E56" s="26">
        <v>1500000</v>
      </c>
      <c r="F56" s="24">
        <v>1621.17</v>
      </c>
      <c r="G56" s="24">
        <v>6.26</v>
      </c>
    </row>
    <row r="57" spans="2:10" x14ac:dyDescent="0.2">
      <c r="B57" s="22" t="s">
        <v>428</v>
      </c>
      <c r="C57" s="22" t="s">
        <v>429</v>
      </c>
      <c r="D57" s="22" t="s">
        <v>413</v>
      </c>
      <c r="E57" s="26">
        <v>1250000</v>
      </c>
      <c r="F57" s="24">
        <v>1339.39</v>
      </c>
      <c r="G57" s="24">
        <v>5.17</v>
      </c>
    </row>
    <row r="58" spans="2:10" x14ac:dyDescent="0.2">
      <c r="B58" s="22" t="s">
        <v>420</v>
      </c>
      <c r="C58" s="22" t="s">
        <v>421</v>
      </c>
      <c r="D58" s="22" t="s">
        <v>413</v>
      </c>
      <c r="E58" s="26">
        <v>1100000</v>
      </c>
      <c r="F58" s="24">
        <v>1072.99</v>
      </c>
      <c r="G58" s="24">
        <v>4.1500000000000004</v>
      </c>
    </row>
    <row r="59" spans="2:10" x14ac:dyDescent="0.2">
      <c r="B59" s="22" t="s">
        <v>548</v>
      </c>
      <c r="C59" s="22" t="s">
        <v>549</v>
      </c>
      <c r="D59" s="22" t="s">
        <v>413</v>
      </c>
      <c r="E59" s="26">
        <v>800000</v>
      </c>
      <c r="F59" s="24">
        <v>843.4</v>
      </c>
      <c r="G59" s="24">
        <v>3.26</v>
      </c>
    </row>
    <row r="60" spans="2:10" x14ac:dyDescent="0.2">
      <c r="B60" s="22" t="s">
        <v>430</v>
      </c>
      <c r="C60" s="22" t="s">
        <v>431</v>
      </c>
      <c r="D60" s="22" t="s">
        <v>413</v>
      </c>
      <c r="E60" s="26">
        <v>500000</v>
      </c>
      <c r="F60" s="24">
        <v>532.64</v>
      </c>
      <c r="G60" s="24">
        <v>2.06</v>
      </c>
    </row>
    <row r="61" spans="2:10" x14ac:dyDescent="0.2">
      <c r="B61" s="22" t="s">
        <v>414</v>
      </c>
      <c r="C61" s="22" t="s">
        <v>415</v>
      </c>
      <c r="D61" s="22" t="s">
        <v>413</v>
      </c>
      <c r="E61" s="26">
        <v>500000</v>
      </c>
      <c r="F61" s="24">
        <v>530.62</v>
      </c>
      <c r="G61" s="24">
        <v>2.0499999999999998</v>
      </c>
    </row>
    <row r="62" spans="2:10" x14ac:dyDescent="0.2">
      <c r="B62" s="22" t="s">
        <v>422</v>
      </c>
      <c r="C62" s="22" t="s">
        <v>423</v>
      </c>
      <c r="D62" s="22" t="s">
        <v>413</v>
      </c>
      <c r="E62" s="26">
        <v>500000</v>
      </c>
      <c r="F62" s="24">
        <v>525.85</v>
      </c>
      <c r="G62" s="24">
        <v>2.0299999999999998</v>
      </c>
    </row>
    <row r="63" spans="2:10" x14ac:dyDescent="0.2">
      <c r="B63" s="22" t="s">
        <v>418</v>
      </c>
      <c r="C63" s="22" t="s">
        <v>419</v>
      </c>
      <c r="D63" s="22" t="s">
        <v>413</v>
      </c>
      <c r="E63" s="26">
        <v>500000</v>
      </c>
      <c r="F63" s="24">
        <v>518.15</v>
      </c>
      <c r="G63" s="24">
        <v>2</v>
      </c>
    </row>
    <row r="64" spans="2:10" x14ac:dyDescent="0.2">
      <c r="B64" s="22" t="s">
        <v>442</v>
      </c>
      <c r="C64" s="22" t="s">
        <v>443</v>
      </c>
      <c r="D64" s="22" t="s">
        <v>413</v>
      </c>
      <c r="E64" s="26">
        <v>100000</v>
      </c>
      <c r="F64" s="24">
        <v>97.43</v>
      </c>
      <c r="G64" s="24">
        <v>0.38</v>
      </c>
    </row>
    <row r="65" spans="2:10" x14ac:dyDescent="0.2">
      <c r="B65" s="41" t="s">
        <v>550</v>
      </c>
      <c r="C65" s="41" t="s">
        <v>551</v>
      </c>
      <c r="D65" s="41" t="s">
        <v>413</v>
      </c>
      <c r="E65" s="42">
        <v>800</v>
      </c>
      <c r="F65" s="43">
        <v>0.9</v>
      </c>
      <c r="G65" s="43">
        <v>0</v>
      </c>
    </row>
    <row r="66" spans="2:10" x14ac:dyDescent="0.2">
      <c r="B66" s="44" t="s">
        <v>105</v>
      </c>
      <c r="C66" s="44"/>
      <c r="D66" s="44"/>
      <c r="E66" s="45"/>
      <c r="F66" s="46">
        <f>SUM(F56:F65)</f>
        <v>7082.54</v>
      </c>
      <c r="G66" s="46">
        <f>SUM(G56:G65)</f>
        <v>27.36</v>
      </c>
      <c r="H66" s="14"/>
      <c r="I66" s="14"/>
      <c r="J66" s="14"/>
    </row>
    <row r="67" spans="2:10" x14ac:dyDescent="0.2">
      <c r="B67" s="37" t="s">
        <v>758</v>
      </c>
      <c r="C67" s="22"/>
      <c r="D67" s="22"/>
      <c r="E67" s="23"/>
      <c r="F67" s="24"/>
      <c r="G67" s="24"/>
      <c r="H67" s="14"/>
      <c r="I67" s="14"/>
      <c r="J67" s="14"/>
    </row>
    <row r="68" spans="2:10" x14ac:dyDescent="0.2">
      <c r="B68" s="25" t="s">
        <v>179</v>
      </c>
      <c r="C68" s="22"/>
      <c r="D68" s="22" t="s">
        <v>153</v>
      </c>
      <c r="E68" s="23">
        <v>1407</v>
      </c>
      <c r="F68" s="24">
        <v>0.98841749999999995</v>
      </c>
      <c r="G68" s="24">
        <v>3.0000000000000001E-3</v>
      </c>
      <c r="H68" s="14"/>
      <c r="I68" s="14"/>
      <c r="J68" s="14"/>
    </row>
    <row r="69" spans="2:10" x14ac:dyDescent="0.2">
      <c r="B69" s="28" t="s">
        <v>104</v>
      </c>
      <c r="C69" s="28"/>
      <c r="D69" s="28"/>
      <c r="E69" s="29"/>
      <c r="F69" s="30">
        <f>SUM(F67:F68)</f>
        <v>0.98841749999999995</v>
      </c>
      <c r="G69" s="30">
        <f>SUM(G67:G68)</f>
        <v>3.0000000000000001E-3</v>
      </c>
      <c r="H69" s="14"/>
      <c r="I69" s="14"/>
      <c r="J69" s="14"/>
    </row>
    <row r="70" spans="2:10" x14ac:dyDescent="0.2">
      <c r="B70" s="37" t="s">
        <v>756</v>
      </c>
      <c r="C70" s="22"/>
      <c r="D70" s="22"/>
      <c r="E70" s="23"/>
      <c r="F70" s="24"/>
      <c r="G70" s="24"/>
    </row>
    <row r="71" spans="2:10" x14ac:dyDescent="0.2">
      <c r="B71" s="22" t="s">
        <v>756</v>
      </c>
      <c r="C71" s="22"/>
      <c r="D71" s="22"/>
      <c r="E71" s="23"/>
      <c r="F71" s="24">
        <v>1829.56</v>
      </c>
      <c r="G71" s="24">
        <v>7.07</v>
      </c>
    </row>
    <row r="72" spans="2:10" x14ac:dyDescent="0.2">
      <c r="B72" s="28" t="s">
        <v>104</v>
      </c>
      <c r="C72" s="28"/>
      <c r="D72" s="28"/>
      <c r="E72" s="29"/>
      <c r="F72" s="30">
        <f>SUM(F70:F71)</f>
        <v>1829.56</v>
      </c>
      <c r="G72" s="30">
        <f>SUM(G70:G71)</f>
        <v>7.07</v>
      </c>
      <c r="H72" s="14"/>
      <c r="I72" s="14"/>
      <c r="J72" s="14"/>
    </row>
    <row r="73" spans="2:10" x14ac:dyDescent="0.2">
      <c r="B73" s="31" t="s">
        <v>105</v>
      </c>
      <c r="C73" s="31"/>
      <c r="D73" s="31"/>
      <c r="E73" s="32"/>
      <c r="F73" s="33">
        <f>F72</f>
        <v>1829.56</v>
      </c>
      <c r="G73" s="33">
        <f>G72</f>
        <v>7.07</v>
      </c>
      <c r="H73" s="14"/>
      <c r="I73" s="14"/>
      <c r="J73" s="14"/>
    </row>
    <row r="74" spans="2:10" x14ac:dyDescent="0.2">
      <c r="B74" s="34" t="s">
        <v>107</v>
      </c>
      <c r="C74" s="34"/>
      <c r="D74" s="34"/>
      <c r="E74" s="35"/>
      <c r="F74" s="16">
        <f>(F75-(+F38+F54+F66+F73))+-0.988417500000651</f>
        <v>746.52158250000139</v>
      </c>
      <c r="G74" s="16">
        <f>G75-(+G38+G54+G66+G73)</f>
        <v>2.5300000000000296</v>
      </c>
      <c r="H74" s="14"/>
      <c r="I74" s="14"/>
      <c r="J74" s="14"/>
    </row>
    <row r="75" spans="2:10" x14ac:dyDescent="0.2">
      <c r="B75" s="34" t="s">
        <v>106</v>
      </c>
      <c r="C75" s="34"/>
      <c r="D75" s="34"/>
      <c r="E75" s="35"/>
      <c r="F75" s="16">
        <v>25972.09</v>
      </c>
      <c r="G75" s="16">
        <v>100</v>
      </c>
      <c r="H75" s="14"/>
      <c r="I75" s="14"/>
      <c r="J75" s="14"/>
    </row>
    <row r="77" spans="2:10" x14ac:dyDescent="0.2">
      <c r="B77" s="14" t="s">
        <v>757</v>
      </c>
    </row>
    <row r="79" spans="2:10" x14ac:dyDescent="0.2">
      <c r="B79" s="14"/>
    </row>
    <row r="82" spans="2:5" x14ac:dyDescent="0.2">
      <c r="B82" s="14"/>
      <c r="C82" s="14"/>
      <c r="D82" s="14"/>
      <c r="E82" s="15"/>
    </row>
    <row r="90" spans="2:5" x14ac:dyDescent="0.2">
      <c r="D90" s="14"/>
      <c r="E90" s="15"/>
    </row>
    <row r="96" spans="2:5" x14ac:dyDescent="0.2">
      <c r="B96" s="14"/>
      <c r="C96" s="14"/>
      <c r="D96" s="14"/>
      <c r="E96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B30" sqref="B30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20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36" t="s">
        <v>410</v>
      </c>
      <c r="C5" s="18"/>
      <c r="D5" s="18"/>
      <c r="E5" s="19"/>
      <c r="F5" s="20"/>
      <c r="G5" s="20"/>
    </row>
    <row r="6" spans="2:10" x14ac:dyDescent="0.2">
      <c r="B6" s="22" t="s">
        <v>418</v>
      </c>
      <c r="C6" s="22" t="s">
        <v>419</v>
      </c>
      <c r="D6" s="22" t="s">
        <v>413</v>
      </c>
      <c r="E6" s="26">
        <v>1500000</v>
      </c>
      <c r="F6" s="24">
        <v>1554.45</v>
      </c>
      <c r="G6" s="24">
        <v>50.65</v>
      </c>
    </row>
    <row r="7" spans="2:10" x14ac:dyDescent="0.2">
      <c r="B7" s="41" t="s">
        <v>552</v>
      </c>
      <c r="C7" s="41" t="s">
        <v>553</v>
      </c>
      <c r="D7" s="41" t="s">
        <v>413</v>
      </c>
      <c r="E7" s="42">
        <v>1000000</v>
      </c>
      <c r="F7" s="43">
        <v>1079.94</v>
      </c>
      <c r="G7" s="43">
        <v>35.19</v>
      </c>
    </row>
    <row r="8" spans="2:10" x14ac:dyDescent="0.2">
      <c r="B8" s="44" t="s">
        <v>105</v>
      </c>
      <c r="C8" s="44"/>
      <c r="D8" s="44"/>
      <c r="E8" s="45"/>
      <c r="F8" s="46">
        <f>SUM(F6:F7)</f>
        <v>2634.3900000000003</v>
      </c>
      <c r="G8" s="46">
        <f>SUM(G6:G7)</f>
        <v>85.84</v>
      </c>
      <c r="H8" s="14"/>
      <c r="I8" s="14"/>
      <c r="J8" s="14"/>
    </row>
    <row r="9" spans="2:10" x14ac:dyDescent="0.2">
      <c r="B9" s="37" t="s">
        <v>756</v>
      </c>
      <c r="C9" s="22"/>
      <c r="D9" s="22"/>
      <c r="E9" s="23"/>
      <c r="F9" s="24"/>
      <c r="G9" s="24"/>
    </row>
    <row r="10" spans="2:10" x14ac:dyDescent="0.2">
      <c r="B10" s="22" t="s">
        <v>756</v>
      </c>
      <c r="C10" s="22"/>
      <c r="D10" s="22"/>
      <c r="E10" s="23"/>
      <c r="F10" s="24">
        <v>377.7</v>
      </c>
      <c r="G10" s="24">
        <v>12.3</v>
      </c>
    </row>
    <row r="11" spans="2:10" x14ac:dyDescent="0.2">
      <c r="B11" s="28" t="s">
        <v>104</v>
      </c>
      <c r="C11" s="28"/>
      <c r="D11" s="28"/>
      <c r="E11" s="29"/>
      <c r="F11" s="30">
        <f>SUM(F9:F10)</f>
        <v>377.7</v>
      </c>
      <c r="G11" s="30">
        <f>SUM(G9:G10)</f>
        <v>12.3</v>
      </c>
      <c r="H11" s="14"/>
      <c r="I11" s="14"/>
      <c r="J11" s="14"/>
    </row>
    <row r="12" spans="2:10" x14ac:dyDescent="0.2">
      <c r="B12" s="31" t="s">
        <v>105</v>
      </c>
      <c r="C12" s="31"/>
      <c r="D12" s="31"/>
      <c r="E12" s="32"/>
      <c r="F12" s="33">
        <f>F11</f>
        <v>377.7</v>
      </c>
      <c r="G12" s="33">
        <f>G11</f>
        <v>12.3</v>
      </c>
      <c r="H12" s="14"/>
      <c r="I12" s="14"/>
      <c r="J12" s="14"/>
    </row>
    <row r="13" spans="2:10" x14ac:dyDescent="0.2">
      <c r="B13" s="34" t="s">
        <v>107</v>
      </c>
      <c r="C13" s="34"/>
      <c r="D13" s="34"/>
      <c r="E13" s="35"/>
      <c r="F13" s="16">
        <f>F14-(+F8+F12)</f>
        <v>57.149999999999636</v>
      </c>
      <c r="G13" s="16">
        <f>G14-(+G8+G12)</f>
        <v>1.8599999999999994</v>
      </c>
      <c r="H13" s="14"/>
      <c r="I13" s="14"/>
      <c r="J13" s="14"/>
    </row>
    <row r="14" spans="2:10" x14ac:dyDescent="0.2">
      <c r="B14" s="34" t="s">
        <v>106</v>
      </c>
      <c r="C14" s="34"/>
      <c r="D14" s="34"/>
      <c r="E14" s="35"/>
      <c r="F14" s="16">
        <v>3069.24</v>
      </c>
      <c r="G14" s="16">
        <v>100</v>
      </c>
      <c r="H14" s="14"/>
      <c r="I14" s="14"/>
      <c r="J14" s="14"/>
    </row>
    <row r="16" spans="2:10" x14ac:dyDescent="0.2">
      <c r="B16" s="14"/>
    </row>
    <row r="18" spans="2:5" x14ac:dyDescent="0.2">
      <c r="B18" s="14"/>
    </row>
    <row r="21" spans="2:5" x14ac:dyDescent="0.2">
      <c r="B21" s="14"/>
      <c r="C21" s="14"/>
      <c r="D21" s="14"/>
      <c r="E21" s="15"/>
    </row>
    <row r="24" spans="2:5" x14ac:dyDescent="0.2">
      <c r="D24" s="14"/>
      <c r="E24" s="15"/>
    </row>
    <row r="30" spans="2:5" x14ac:dyDescent="0.2">
      <c r="B30" s="14"/>
      <c r="C30" s="14"/>
      <c r="D30" s="14"/>
      <c r="E30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workbookViewId="0">
      <selection activeCell="F35" sqref="F35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570312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21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36" t="s">
        <v>504</v>
      </c>
      <c r="C5" s="18"/>
      <c r="D5" s="18"/>
      <c r="E5" s="19"/>
      <c r="F5" s="20"/>
      <c r="G5" s="20"/>
    </row>
    <row r="6" spans="2:10" x14ac:dyDescent="0.2">
      <c r="B6" s="37" t="s">
        <v>505</v>
      </c>
      <c r="C6" s="22"/>
      <c r="D6" s="22"/>
      <c r="E6" s="23"/>
      <c r="F6" s="24"/>
      <c r="G6" s="24"/>
    </row>
    <row r="7" spans="2:10" x14ac:dyDescent="0.2">
      <c r="B7" s="22" t="s">
        <v>554</v>
      </c>
      <c r="C7" s="22" t="s">
        <v>555</v>
      </c>
      <c r="D7" s="22" t="s">
        <v>526</v>
      </c>
      <c r="E7" s="26">
        <v>10000</v>
      </c>
      <c r="F7" s="24">
        <v>9988.7900000000009</v>
      </c>
      <c r="G7" s="24">
        <v>8.59</v>
      </c>
    </row>
    <row r="8" spans="2:10" x14ac:dyDescent="0.2">
      <c r="B8" s="22" t="s">
        <v>556</v>
      </c>
      <c r="C8" s="22" t="s">
        <v>557</v>
      </c>
      <c r="D8" s="22" t="s">
        <v>508</v>
      </c>
      <c r="E8" s="26">
        <v>10000</v>
      </c>
      <c r="F8" s="24">
        <v>9985.4</v>
      </c>
      <c r="G8" s="24">
        <v>8.59</v>
      </c>
    </row>
    <row r="9" spans="2:10" x14ac:dyDescent="0.2">
      <c r="B9" s="37" t="s">
        <v>104</v>
      </c>
      <c r="C9" s="37"/>
      <c r="D9" s="37"/>
      <c r="E9" s="47"/>
      <c r="F9" s="46">
        <f>SUM(F6:F8)</f>
        <v>19974.190000000002</v>
      </c>
      <c r="G9" s="46">
        <f>SUM(G6:G8)</f>
        <v>17.18</v>
      </c>
      <c r="H9" s="14"/>
      <c r="I9" s="14"/>
      <c r="J9" s="14"/>
    </row>
    <row r="10" spans="2:10" x14ac:dyDescent="0.2">
      <c r="B10" s="37" t="s">
        <v>523</v>
      </c>
      <c r="C10" s="22"/>
      <c r="D10" s="22"/>
      <c r="E10" s="23"/>
      <c r="F10" s="24"/>
      <c r="G10" s="24"/>
    </row>
    <row r="11" spans="2:10" x14ac:dyDescent="0.2">
      <c r="B11" s="22" t="s">
        <v>558</v>
      </c>
      <c r="C11" s="22" t="s">
        <v>559</v>
      </c>
      <c r="D11" s="22" t="s">
        <v>526</v>
      </c>
      <c r="E11" s="26">
        <v>2000</v>
      </c>
      <c r="F11" s="24">
        <v>9993.92</v>
      </c>
      <c r="G11" s="24">
        <v>8.6</v>
      </c>
    </row>
    <row r="12" spans="2:10" x14ac:dyDescent="0.2">
      <c r="B12" s="22" t="s">
        <v>560</v>
      </c>
      <c r="C12" s="22" t="s">
        <v>561</v>
      </c>
      <c r="D12" s="22" t="s">
        <v>508</v>
      </c>
      <c r="E12" s="26">
        <v>2000</v>
      </c>
      <c r="F12" s="24">
        <v>9993.1</v>
      </c>
      <c r="G12" s="24">
        <v>8.6</v>
      </c>
    </row>
    <row r="13" spans="2:10" x14ac:dyDescent="0.2">
      <c r="B13" s="22" t="s">
        <v>562</v>
      </c>
      <c r="C13" s="22" t="s">
        <v>563</v>
      </c>
      <c r="D13" s="22" t="s">
        <v>508</v>
      </c>
      <c r="E13" s="26">
        <v>2000</v>
      </c>
      <c r="F13" s="24">
        <v>9992.8700000000008</v>
      </c>
      <c r="G13" s="24">
        <v>8.6</v>
      </c>
    </row>
    <row r="14" spans="2:10" x14ac:dyDescent="0.2">
      <c r="B14" s="22" t="s">
        <v>564</v>
      </c>
      <c r="C14" s="22" t="s">
        <v>565</v>
      </c>
      <c r="D14" s="22" t="s">
        <v>513</v>
      </c>
      <c r="E14" s="26">
        <v>1000</v>
      </c>
      <c r="F14" s="24">
        <v>4994.32</v>
      </c>
      <c r="G14" s="24">
        <v>4.3</v>
      </c>
    </row>
    <row r="15" spans="2:10" x14ac:dyDescent="0.2">
      <c r="B15" s="22" t="s">
        <v>566</v>
      </c>
      <c r="C15" s="22" t="s">
        <v>567</v>
      </c>
      <c r="D15" s="22" t="s">
        <v>513</v>
      </c>
      <c r="E15" s="26">
        <v>500</v>
      </c>
      <c r="F15" s="24">
        <v>2498.25</v>
      </c>
      <c r="G15" s="24">
        <v>2.15</v>
      </c>
    </row>
    <row r="16" spans="2:10" x14ac:dyDescent="0.2">
      <c r="B16" s="37" t="s">
        <v>104</v>
      </c>
      <c r="C16" s="37"/>
      <c r="D16" s="37"/>
      <c r="E16" s="47"/>
      <c r="F16" s="46">
        <f>SUM(F10:F15)</f>
        <v>37472.46</v>
      </c>
      <c r="G16" s="46">
        <f>SUM(G10:G15)</f>
        <v>32.25</v>
      </c>
      <c r="H16" s="14"/>
      <c r="I16" s="14"/>
      <c r="J16" s="14"/>
    </row>
    <row r="17" spans="2:10" x14ac:dyDescent="0.2">
      <c r="B17" s="37" t="s">
        <v>533</v>
      </c>
      <c r="C17" s="22"/>
      <c r="D17" s="22"/>
      <c r="E17" s="23"/>
      <c r="F17" s="24"/>
      <c r="G17" s="24"/>
    </row>
    <row r="18" spans="2:10" x14ac:dyDescent="0.2">
      <c r="B18" s="22" t="s">
        <v>568</v>
      </c>
      <c r="C18" s="22" t="s">
        <v>569</v>
      </c>
      <c r="D18" s="22" t="s">
        <v>536</v>
      </c>
      <c r="E18" s="26">
        <v>15000000</v>
      </c>
      <c r="F18" s="24">
        <v>14979.32</v>
      </c>
      <c r="G18" s="24">
        <v>12.89</v>
      </c>
    </row>
    <row r="19" spans="2:10" x14ac:dyDescent="0.2">
      <c r="B19" s="22" t="s">
        <v>570</v>
      </c>
      <c r="C19" s="22" t="s">
        <v>571</v>
      </c>
      <c r="D19" s="22" t="s">
        <v>536</v>
      </c>
      <c r="E19" s="26">
        <v>10000000</v>
      </c>
      <c r="F19" s="24">
        <v>9961.15</v>
      </c>
      <c r="G19" s="24">
        <v>8.57</v>
      </c>
    </row>
    <row r="20" spans="2:10" x14ac:dyDescent="0.2">
      <c r="B20" s="22" t="s">
        <v>572</v>
      </c>
      <c r="C20" s="22" t="s">
        <v>573</v>
      </c>
      <c r="D20" s="22" t="s">
        <v>536</v>
      </c>
      <c r="E20" s="26">
        <v>6500000</v>
      </c>
      <c r="F20" s="24">
        <v>6486.92</v>
      </c>
      <c r="G20" s="24">
        <v>5.58</v>
      </c>
    </row>
    <row r="21" spans="2:10" x14ac:dyDescent="0.2">
      <c r="B21" s="22" t="s">
        <v>574</v>
      </c>
      <c r="C21" s="22" t="s">
        <v>575</v>
      </c>
      <c r="D21" s="22" t="s">
        <v>536</v>
      </c>
      <c r="E21" s="26">
        <v>5000000</v>
      </c>
      <c r="F21" s="24">
        <v>4993.1099999999997</v>
      </c>
      <c r="G21" s="24">
        <v>4.3</v>
      </c>
    </row>
    <row r="22" spans="2:10" x14ac:dyDescent="0.2">
      <c r="B22" s="22" t="s">
        <v>576</v>
      </c>
      <c r="C22" s="22" t="s">
        <v>577</v>
      </c>
      <c r="D22" s="22" t="s">
        <v>536</v>
      </c>
      <c r="E22" s="26">
        <v>5000000</v>
      </c>
      <c r="F22" s="24">
        <v>4983.66</v>
      </c>
      <c r="G22" s="24">
        <v>4.29</v>
      </c>
    </row>
    <row r="23" spans="2:10" x14ac:dyDescent="0.2">
      <c r="B23" s="22" t="s">
        <v>578</v>
      </c>
      <c r="C23" s="22" t="s">
        <v>579</v>
      </c>
      <c r="D23" s="22" t="s">
        <v>536</v>
      </c>
      <c r="E23" s="26">
        <v>5000000</v>
      </c>
      <c r="F23" s="24">
        <v>4980.58</v>
      </c>
      <c r="G23" s="24">
        <v>4.29</v>
      </c>
    </row>
    <row r="24" spans="2:10" x14ac:dyDescent="0.2">
      <c r="B24" s="22" t="s">
        <v>580</v>
      </c>
      <c r="C24" s="22" t="s">
        <v>581</v>
      </c>
      <c r="D24" s="22" t="s">
        <v>536</v>
      </c>
      <c r="E24" s="26">
        <v>4000000</v>
      </c>
      <c r="F24" s="24">
        <v>3999.31</v>
      </c>
      <c r="G24" s="24">
        <v>3.44</v>
      </c>
    </row>
    <row r="25" spans="2:10" x14ac:dyDescent="0.2">
      <c r="B25" s="22" t="s">
        <v>582</v>
      </c>
      <c r="C25" s="22" t="s">
        <v>583</v>
      </c>
      <c r="D25" s="22" t="s">
        <v>536</v>
      </c>
      <c r="E25" s="26">
        <v>4000000</v>
      </c>
      <c r="F25" s="24">
        <v>3989.39</v>
      </c>
      <c r="G25" s="24">
        <v>3.43</v>
      </c>
    </row>
    <row r="26" spans="2:10" x14ac:dyDescent="0.2">
      <c r="B26" s="22" t="s">
        <v>584</v>
      </c>
      <c r="C26" s="22" t="s">
        <v>585</v>
      </c>
      <c r="D26" s="22" t="s">
        <v>536</v>
      </c>
      <c r="E26" s="26">
        <v>2500000</v>
      </c>
      <c r="F26" s="24">
        <v>2493.96</v>
      </c>
      <c r="G26" s="24">
        <v>2.15</v>
      </c>
    </row>
    <row r="27" spans="2:10" x14ac:dyDescent="0.2">
      <c r="B27" s="28" t="s">
        <v>104</v>
      </c>
      <c r="C27" s="28"/>
      <c r="D27" s="28"/>
      <c r="E27" s="29"/>
      <c r="F27" s="30">
        <f>SUM(F17:F26)</f>
        <v>56867.4</v>
      </c>
      <c r="G27" s="30">
        <f>SUM(G17:G26)</f>
        <v>48.94</v>
      </c>
      <c r="H27" s="14"/>
      <c r="I27" s="14"/>
      <c r="J27" s="14"/>
    </row>
    <row r="28" spans="2:10" x14ac:dyDescent="0.2">
      <c r="B28" s="38" t="s">
        <v>105</v>
      </c>
      <c r="C28" s="38"/>
      <c r="D28" s="38"/>
      <c r="E28" s="39"/>
      <c r="F28" s="40">
        <f>F9+F16+F27</f>
        <v>114314.05</v>
      </c>
      <c r="G28" s="40">
        <f>G9+G16+G27</f>
        <v>98.37</v>
      </c>
      <c r="H28" s="14"/>
      <c r="I28" s="14"/>
      <c r="J28" s="14"/>
    </row>
    <row r="29" spans="2:10" x14ac:dyDescent="0.2">
      <c r="B29" s="37" t="s">
        <v>756</v>
      </c>
      <c r="C29" s="22"/>
      <c r="D29" s="22"/>
      <c r="E29" s="23"/>
      <c r="F29" s="24"/>
      <c r="G29" s="24"/>
    </row>
    <row r="30" spans="2:10" x14ac:dyDescent="0.2">
      <c r="B30" s="22" t="s">
        <v>756</v>
      </c>
      <c r="C30" s="22"/>
      <c r="D30" s="22"/>
      <c r="E30" s="23"/>
      <c r="F30" s="24">
        <v>1716.18</v>
      </c>
      <c r="G30" s="24">
        <v>1.48</v>
      </c>
    </row>
    <row r="31" spans="2:10" x14ac:dyDescent="0.2">
      <c r="B31" s="28" t="s">
        <v>104</v>
      </c>
      <c r="C31" s="28"/>
      <c r="D31" s="28"/>
      <c r="E31" s="29"/>
      <c r="F31" s="30">
        <f>SUM(F29:F30)</f>
        <v>1716.18</v>
      </c>
      <c r="G31" s="30">
        <f>SUM(G29:G30)</f>
        <v>1.48</v>
      </c>
      <c r="H31" s="14"/>
      <c r="I31" s="14"/>
      <c r="J31" s="14"/>
    </row>
    <row r="32" spans="2:10" x14ac:dyDescent="0.2">
      <c r="B32" s="31" t="s">
        <v>105</v>
      </c>
      <c r="C32" s="31"/>
      <c r="D32" s="31"/>
      <c r="E32" s="32"/>
      <c r="F32" s="33">
        <f>F31</f>
        <v>1716.18</v>
      </c>
      <c r="G32" s="33">
        <f>G31</f>
        <v>1.48</v>
      </c>
      <c r="H32" s="14"/>
      <c r="I32" s="14"/>
      <c r="J32" s="14"/>
    </row>
    <row r="33" spans="2:10" x14ac:dyDescent="0.2">
      <c r="B33" s="34" t="s">
        <v>107</v>
      </c>
      <c r="C33" s="34"/>
      <c r="D33" s="34"/>
      <c r="E33" s="35"/>
      <c r="F33" s="16">
        <f>F34-(+F28+F32)</f>
        <v>197.05999999999767</v>
      </c>
      <c r="G33" s="16">
        <f>G34-(+G28+G32)</f>
        <v>0.14999999999999147</v>
      </c>
      <c r="H33" s="14"/>
      <c r="I33" s="14"/>
      <c r="J33" s="14"/>
    </row>
    <row r="34" spans="2:10" x14ac:dyDescent="0.2">
      <c r="B34" s="34" t="s">
        <v>106</v>
      </c>
      <c r="C34" s="34"/>
      <c r="D34" s="34"/>
      <c r="E34" s="35"/>
      <c r="F34" s="16">
        <v>116227.29</v>
      </c>
      <c r="G34" s="16">
        <v>100</v>
      </c>
      <c r="H34" s="14"/>
      <c r="I34" s="14"/>
      <c r="J34" s="14"/>
    </row>
    <row r="36" spans="2:10" x14ac:dyDescent="0.2">
      <c r="B36" s="14" t="s">
        <v>757</v>
      </c>
    </row>
    <row r="37" spans="2:10" x14ac:dyDescent="0.2">
      <c r="B37" s="14" t="s">
        <v>543</v>
      </c>
    </row>
    <row r="39" spans="2:10" x14ac:dyDescent="0.2">
      <c r="B39" s="14"/>
    </row>
    <row r="42" spans="2:10" x14ac:dyDescent="0.2">
      <c r="B42" s="14"/>
      <c r="C42" s="14"/>
      <c r="D42" s="14"/>
      <c r="E42" s="15"/>
    </row>
    <row r="54" spans="2:5" x14ac:dyDescent="0.2">
      <c r="D54" s="14"/>
      <c r="E54" s="15"/>
    </row>
    <row r="60" spans="2:5" x14ac:dyDescent="0.2">
      <c r="B60" s="14"/>
      <c r="C60" s="14"/>
      <c r="D60" s="14"/>
      <c r="E60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7"/>
  <sheetViews>
    <sheetView workbookViewId="0">
      <selection activeCell="F7" sqref="F7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22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36" t="s">
        <v>331</v>
      </c>
      <c r="C5" s="18"/>
      <c r="D5" s="18"/>
      <c r="E5" s="19"/>
      <c r="F5" s="20"/>
      <c r="G5" s="20"/>
    </row>
    <row r="6" spans="2:7" x14ac:dyDescent="0.2">
      <c r="B6" s="37" t="s">
        <v>31</v>
      </c>
      <c r="C6" s="22"/>
      <c r="D6" s="22"/>
      <c r="E6" s="23"/>
      <c r="F6" s="24"/>
      <c r="G6" s="24"/>
    </row>
    <row r="7" spans="2:7" x14ac:dyDescent="0.2">
      <c r="B7" s="22" t="s">
        <v>586</v>
      </c>
      <c r="C7" s="22" t="s">
        <v>587</v>
      </c>
      <c r="D7" s="22" t="s">
        <v>334</v>
      </c>
      <c r="E7" s="26">
        <v>150</v>
      </c>
      <c r="F7" s="24">
        <v>1522.37</v>
      </c>
      <c r="G7" s="24">
        <v>6.02</v>
      </c>
    </row>
    <row r="8" spans="2:7" x14ac:dyDescent="0.2">
      <c r="B8" s="22" t="s">
        <v>588</v>
      </c>
      <c r="C8" s="22" t="s">
        <v>589</v>
      </c>
      <c r="D8" s="22" t="s">
        <v>334</v>
      </c>
      <c r="E8" s="26">
        <v>100</v>
      </c>
      <c r="F8" s="24">
        <v>1036.33</v>
      </c>
      <c r="G8" s="24">
        <v>4.0999999999999996</v>
      </c>
    </row>
    <row r="9" spans="2:7" x14ac:dyDescent="0.2">
      <c r="B9" s="22" t="s">
        <v>590</v>
      </c>
      <c r="C9" s="22" t="s">
        <v>591</v>
      </c>
      <c r="D9" s="22" t="s">
        <v>334</v>
      </c>
      <c r="E9" s="26">
        <v>100</v>
      </c>
      <c r="F9" s="24">
        <v>1029.75</v>
      </c>
      <c r="G9" s="24">
        <v>4.07</v>
      </c>
    </row>
    <row r="10" spans="2:7" x14ac:dyDescent="0.2">
      <c r="B10" s="22" t="s">
        <v>502</v>
      </c>
      <c r="C10" s="22" t="s">
        <v>503</v>
      </c>
      <c r="D10" s="22" t="s">
        <v>334</v>
      </c>
      <c r="E10" s="26">
        <v>100</v>
      </c>
      <c r="F10" s="24">
        <v>1002.99</v>
      </c>
      <c r="G10" s="24">
        <v>3.97</v>
      </c>
    </row>
    <row r="11" spans="2:7" x14ac:dyDescent="0.2">
      <c r="B11" s="22" t="s">
        <v>486</v>
      </c>
      <c r="C11" s="22" t="s">
        <v>487</v>
      </c>
      <c r="D11" s="22" t="s">
        <v>334</v>
      </c>
      <c r="E11" s="26">
        <v>100</v>
      </c>
      <c r="F11" s="24">
        <v>1002.72</v>
      </c>
      <c r="G11" s="24">
        <v>3.97</v>
      </c>
    </row>
    <row r="12" spans="2:7" x14ac:dyDescent="0.2">
      <c r="B12" s="22" t="s">
        <v>456</v>
      </c>
      <c r="C12" s="22" t="s">
        <v>457</v>
      </c>
      <c r="D12" s="22" t="s">
        <v>334</v>
      </c>
      <c r="E12" s="26">
        <v>50</v>
      </c>
      <c r="F12" s="24">
        <v>519.23</v>
      </c>
      <c r="G12" s="24">
        <v>2.0499999999999998</v>
      </c>
    </row>
    <row r="13" spans="2:7" x14ac:dyDescent="0.2">
      <c r="B13" s="22" t="s">
        <v>592</v>
      </c>
      <c r="C13" s="22" t="s">
        <v>593</v>
      </c>
      <c r="D13" s="22" t="s">
        <v>334</v>
      </c>
      <c r="E13" s="26">
        <v>50</v>
      </c>
      <c r="F13" s="24">
        <v>518.28</v>
      </c>
      <c r="G13" s="24">
        <v>2.0499999999999998</v>
      </c>
    </row>
    <row r="14" spans="2:7" x14ac:dyDescent="0.2">
      <c r="B14" s="22" t="s">
        <v>478</v>
      </c>
      <c r="C14" s="22" t="s">
        <v>479</v>
      </c>
      <c r="D14" s="22" t="s">
        <v>334</v>
      </c>
      <c r="E14" s="26">
        <v>50</v>
      </c>
      <c r="F14" s="24">
        <v>516.25</v>
      </c>
      <c r="G14" s="24">
        <v>2.04</v>
      </c>
    </row>
    <row r="15" spans="2:7" x14ac:dyDescent="0.2">
      <c r="B15" s="22" t="s">
        <v>332</v>
      </c>
      <c r="C15" s="22" t="s">
        <v>333</v>
      </c>
      <c r="D15" s="22" t="s">
        <v>334</v>
      </c>
      <c r="E15" s="26">
        <v>50</v>
      </c>
      <c r="F15" s="24">
        <v>505.16</v>
      </c>
      <c r="G15" s="24">
        <v>2</v>
      </c>
    </row>
    <row r="16" spans="2:7" x14ac:dyDescent="0.2">
      <c r="B16" s="22" t="s">
        <v>339</v>
      </c>
      <c r="C16" s="22" t="s">
        <v>340</v>
      </c>
      <c r="D16" s="22" t="s">
        <v>334</v>
      </c>
      <c r="E16" s="26">
        <v>50</v>
      </c>
      <c r="F16" s="24">
        <v>505.08</v>
      </c>
      <c r="G16" s="24">
        <v>2</v>
      </c>
    </row>
    <row r="17" spans="2:10" x14ac:dyDescent="0.2">
      <c r="B17" s="22" t="s">
        <v>594</v>
      </c>
      <c r="C17" s="22" t="s">
        <v>595</v>
      </c>
      <c r="D17" s="22" t="s">
        <v>334</v>
      </c>
      <c r="E17" s="26">
        <v>50</v>
      </c>
      <c r="F17" s="24">
        <v>502.21</v>
      </c>
      <c r="G17" s="24">
        <v>1.99</v>
      </c>
    </row>
    <row r="18" spans="2:10" x14ac:dyDescent="0.2">
      <c r="B18" s="22" t="s">
        <v>494</v>
      </c>
      <c r="C18" s="22" t="s">
        <v>495</v>
      </c>
      <c r="D18" s="22" t="s">
        <v>334</v>
      </c>
      <c r="E18" s="26">
        <v>50</v>
      </c>
      <c r="F18" s="24">
        <v>500.2</v>
      </c>
      <c r="G18" s="24">
        <v>1.98</v>
      </c>
    </row>
    <row r="19" spans="2:10" x14ac:dyDescent="0.2">
      <c r="B19" s="22" t="s">
        <v>596</v>
      </c>
      <c r="C19" s="22" t="s">
        <v>597</v>
      </c>
      <c r="D19" s="22" t="s">
        <v>374</v>
      </c>
      <c r="E19" s="26">
        <v>20</v>
      </c>
      <c r="F19" s="24">
        <v>206.15</v>
      </c>
      <c r="G19" s="24">
        <v>0.82</v>
      </c>
    </row>
    <row r="20" spans="2:10" x14ac:dyDescent="0.2">
      <c r="B20" s="28" t="s">
        <v>104</v>
      </c>
      <c r="C20" s="28"/>
      <c r="D20" s="28"/>
      <c r="E20" s="29"/>
      <c r="F20" s="30">
        <f>SUM(F6:F19)</f>
        <v>9366.7199999999993</v>
      </c>
      <c r="G20" s="30">
        <f>SUM(G6:G19)</f>
        <v>37.059999999999995</v>
      </c>
      <c r="H20" s="14"/>
      <c r="I20" s="14"/>
      <c r="J20" s="14"/>
    </row>
    <row r="21" spans="2:10" x14ac:dyDescent="0.2">
      <c r="B21" s="38" t="s">
        <v>105</v>
      </c>
      <c r="C21" s="38"/>
      <c r="D21" s="38"/>
      <c r="E21" s="39"/>
      <c r="F21" s="40">
        <f>F20</f>
        <v>9366.7199999999993</v>
      </c>
      <c r="G21" s="40">
        <f>G20</f>
        <v>37.059999999999995</v>
      </c>
      <c r="H21" s="14"/>
      <c r="I21" s="14"/>
      <c r="J21" s="14"/>
    </row>
    <row r="22" spans="2:10" x14ac:dyDescent="0.2">
      <c r="B22" s="37" t="s">
        <v>504</v>
      </c>
      <c r="C22" s="22"/>
      <c r="D22" s="22"/>
      <c r="E22" s="23"/>
      <c r="F22" s="24"/>
      <c r="G22" s="24"/>
    </row>
    <row r="23" spans="2:10" x14ac:dyDescent="0.2">
      <c r="B23" s="37" t="s">
        <v>523</v>
      </c>
      <c r="C23" s="22"/>
      <c r="D23" s="22"/>
      <c r="E23" s="23"/>
      <c r="F23" s="24"/>
      <c r="G23" s="24"/>
    </row>
    <row r="24" spans="2:10" x14ac:dyDescent="0.2">
      <c r="B24" s="22" t="s">
        <v>560</v>
      </c>
      <c r="C24" s="22" t="s">
        <v>561</v>
      </c>
      <c r="D24" s="22" t="s">
        <v>508</v>
      </c>
      <c r="E24" s="26">
        <v>100</v>
      </c>
      <c r="F24" s="24">
        <v>499.66</v>
      </c>
      <c r="G24" s="24">
        <v>1.98</v>
      </c>
    </row>
    <row r="25" spans="2:10" x14ac:dyDescent="0.2">
      <c r="B25" s="37" t="s">
        <v>104</v>
      </c>
      <c r="C25" s="37"/>
      <c r="D25" s="37"/>
      <c r="E25" s="47"/>
      <c r="F25" s="46">
        <f>SUM(F23:F24)</f>
        <v>499.66</v>
      </c>
      <c r="G25" s="46">
        <f>SUM(G23:G24)</f>
        <v>1.98</v>
      </c>
      <c r="H25" s="14"/>
      <c r="I25" s="14"/>
      <c r="J25" s="14"/>
    </row>
    <row r="26" spans="2:10" x14ac:dyDescent="0.2">
      <c r="B26" s="37" t="s">
        <v>533</v>
      </c>
      <c r="C26" s="22"/>
      <c r="D26" s="22"/>
      <c r="E26" s="23"/>
      <c r="F26" s="24"/>
      <c r="G26" s="24"/>
    </row>
    <row r="27" spans="2:10" x14ac:dyDescent="0.2">
      <c r="B27" s="22" t="s">
        <v>598</v>
      </c>
      <c r="C27" s="22" t="s">
        <v>599</v>
      </c>
      <c r="D27" s="22" t="s">
        <v>536</v>
      </c>
      <c r="E27" s="26">
        <v>4000000</v>
      </c>
      <c r="F27" s="24">
        <v>3981.94</v>
      </c>
      <c r="G27" s="24">
        <v>15.75</v>
      </c>
    </row>
    <row r="28" spans="2:10" x14ac:dyDescent="0.2">
      <c r="B28" s="22" t="s">
        <v>534</v>
      </c>
      <c r="C28" s="22" t="s">
        <v>535</v>
      </c>
      <c r="D28" s="22" t="s">
        <v>536</v>
      </c>
      <c r="E28" s="26">
        <v>4000000</v>
      </c>
      <c r="F28" s="24">
        <v>3971.8</v>
      </c>
      <c r="G28" s="24">
        <v>15.71</v>
      </c>
    </row>
    <row r="29" spans="2:10" x14ac:dyDescent="0.2">
      <c r="B29" s="22" t="s">
        <v>537</v>
      </c>
      <c r="C29" s="22" t="s">
        <v>538</v>
      </c>
      <c r="D29" s="22" t="s">
        <v>536</v>
      </c>
      <c r="E29" s="26">
        <v>2500000</v>
      </c>
      <c r="F29" s="24">
        <v>2460.46</v>
      </c>
      <c r="G29" s="24">
        <v>9.73</v>
      </c>
    </row>
    <row r="30" spans="2:10" x14ac:dyDescent="0.2">
      <c r="B30" s="22" t="s">
        <v>600</v>
      </c>
      <c r="C30" s="22" t="s">
        <v>601</v>
      </c>
      <c r="D30" s="22" t="s">
        <v>536</v>
      </c>
      <c r="E30" s="26">
        <v>2000000</v>
      </c>
      <c r="F30" s="24">
        <v>1987.14</v>
      </c>
      <c r="G30" s="24">
        <v>7.86</v>
      </c>
    </row>
    <row r="31" spans="2:10" x14ac:dyDescent="0.2">
      <c r="B31" s="28" t="s">
        <v>104</v>
      </c>
      <c r="C31" s="28"/>
      <c r="D31" s="28"/>
      <c r="E31" s="29"/>
      <c r="F31" s="30">
        <f>SUM(F26:F30)</f>
        <v>12401.34</v>
      </c>
      <c r="G31" s="30">
        <f>SUM(G26:G30)</f>
        <v>49.05</v>
      </c>
      <c r="H31" s="14"/>
      <c r="I31" s="14"/>
      <c r="J31" s="14"/>
    </row>
    <row r="32" spans="2:10" x14ac:dyDescent="0.2">
      <c r="B32" s="38" t="s">
        <v>105</v>
      </c>
      <c r="C32" s="38"/>
      <c r="D32" s="38"/>
      <c r="E32" s="39"/>
      <c r="F32" s="40">
        <f>+F25+F31</f>
        <v>12901</v>
      </c>
      <c r="G32" s="40">
        <f>+G25+G31</f>
        <v>51.029999999999994</v>
      </c>
      <c r="H32" s="14"/>
      <c r="I32" s="14"/>
      <c r="J32" s="14"/>
    </row>
    <row r="33" spans="2:10" x14ac:dyDescent="0.2">
      <c r="B33" s="37" t="s">
        <v>410</v>
      </c>
      <c r="C33" s="22"/>
      <c r="D33" s="22"/>
      <c r="E33" s="23"/>
      <c r="F33" s="24"/>
      <c r="G33" s="24"/>
    </row>
    <row r="34" spans="2:10" x14ac:dyDescent="0.2">
      <c r="B34" s="41" t="s">
        <v>602</v>
      </c>
      <c r="C34" s="41" t="s">
        <v>603</v>
      </c>
      <c r="D34" s="41" t="s">
        <v>413</v>
      </c>
      <c r="E34" s="42">
        <v>500000</v>
      </c>
      <c r="F34" s="43">
        <v>510.3</v>
      </c>
      <c r="G34" s="43">
        <v>2.02</v>
      </c>
    </row>
    <row r="35" spans="2:10" x14ac:dyDescent="0.2">
      <c r="B35" s="44" t="s">
        <v>105</v>
      </c>
      <c r="C35" s="44"/>
      <c r="D35" s="44"/>
      <c r="E35" s="45"/>
      <c r="F35" s="46">
        <f>SUM(F34:F34)</f>
        <v>510.3</v>
      </c>
      <c r="G35" s="46">
        <f>SUM(G34:G34)</f>
        <v>2.02</v>
      </c>
      <c r="H35" s="14"/>
      <c r="I35" s="14"/>
      <c r="J35" s="14"/>
    </row>
    <row r="36" spans="2:10" x14ac:dyDescent="0.2">
      <c r="B36" s="37" t="s">
        <v>756</v>
      </c>
      <c r="C36" s="22"/>
      <c r="D36" s="22"/>
      <c r="E36" s="23"/>
      <c r="F36" s="24"/>
      <c r="G36" s="24"/>
    </row>
    <row r="37" spans="2:10" x14ac:dyDescent="0.2">
      <c r="B37" s="22" t="s">
        <v>756</v>
      </c>
      <c r="C37" s="22"/>
      <c r="D37" s="22"/>
      <c r="E37" s="23"/>
      <c r="F37" s="24">
        <v>2078.6</v>
      </c>
      <c r="G37" s="24">
        <v>8.2200000000000006</v>
      </c>
    </row>
    <row r="38" spans="2:10" x14ac:dyDescent="0.2">
      <c r="B38" s="28" t="s">
        <v>104</v>
      </c>
      <c r="C38" s="28"/>
      <c r="D38" s="28"/>
      <c r="E38" s="29"/>
      <c r="F38" s="30">
        <f>SUM(F36:F37)</f>
        <v>2078.6</v>
      </c>
      <c r="G38" s="30">
        <f>SUM(G36:G37)</f>
        <v>8.2200000000000006</v>
      </c>
      <c r="H38" s="14"/>
      <c r="I38" s="14"/>
      <c r="J38" s="14"/>
    </row>
    <row r="39" spans="2:10" x14ac:dyDescent="0.2">
      <c r="B39" s="31" t="s">
        <v>105</v>
      </c>
      <c r="C39" s="31"/>
      <c r="D39" s="31"/>
      <c r="E39" s="32"/>
      <c r="F39" s="33">
        <f>F38</f>
        <v>2078.6</v>
      </c>
      <c r="G39" s="33">
        <f>G38</f>
        <v>8.2200000000000006</v>
      </c>
      <c r="H39" s="14"/>
      <c r="I39" s="14"/>
      <c r="J39" s="14"/>
    </row>
    <row r="40" spans="2:10" x14ac:dyDescent="0.2">
      <c r="B40" s="34" t="s">
        <v>107</v>
      </c>
      <c r="C40" s="34"/>
      <c r="D40" s="34"/>
      <c r="E40" s="35"/>
      <c r="F40" s="16">
        <f>F41-(+F21+F32+F35+F39)</f>
        <v>420.19000000000233</v>
      </c>
      <c r="G40" s="16">
        <f>G41-(+G21+G32+G35+G39)</f>
        <v>1.6700000000000159</v>
      </c>
      <c r="H40" s="14"/>
      <c r="I40" s="14"/>
      <c r="J40" s="14"/>
    </row>
    <row r="41" spans="2:10" x14ac:dyDescent="0.2">
      <c r="B41" s="34" t="s">
        <v>106</v>
      </c>
      <c r="C41" s="34"/>
      <c r="D41" s="34"/>
      <c r="E41" s="35"/>
      <c r="F41" s="16">
        <v>25276.81</v>
      </c>
      <c r="G41" s="16">
        <v>100</v>
      </c>
      <c r="H41" s="14"/>
      <c r="I41" s="14"/>
      <c r="J41" s="14"/>
    </row>
    <row r="43" spans="2:10" x14ac:dyDescent="0.2">
      <c r="B43" s="14" t="s">
        <v>757</v>
      </c>
    </row>
    <row r="44" spans="2:10" x14ac:dyDescent="0.2">
      <c r="B44" s="14" t="s">
        <v>543</v>
      </c>
    </row>
    <row r="46" spans="2:10" x14ac:dyDescent="0.2">
      <c r="B46" s="14"/>
    </row>
    <row r="49" spans="2:5" x14ac:dyDescent="0.2">
      <c r="B49" s="14"/>
      <c r="C49" s="14"/>
      <c r="D49" s="14"/>
      <c r="E49" s="15"/>
    </row>
    <row r="61" spans="2:5" x14ac:dyDescent="0.2">
      <c r="D61" s="14"/>
      <c r="E61" s="15"/>
    </row>
    <row r="67" spans="2:5" x14ac:dyDescent="0.2">
      <c r="B67" s="14"/>
      <c r="C67" s="14"/>
      <c r="D67" s="14"/>
      <c r="E67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workbookViewId="0">
      <selection activeCell="F12" sqref="F12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10" ht="20.25" x14ac:dyDescent="0.2">
      <c r="B1" s="48" t="s">
        <v>23</v>
      </c>
      <c r="C1" s="48"/>
      <c r="D1" s="48"/>
      <c r="E1" s="48"/>
      <c r="F1" s="48"/>
      <c r="G1" s="48"/>
    </row>
    <row r="3" spans="2:10" ht="16.5" thickBot="1" x14ac:dyDescent="0.25">
      <c r="B3" s="2" t="s">
        <v>6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10" x14ac:dyDescent="0.2">
      <c r="B5" s="17" t="s">
        <v>756</v>
      </c>
      <c r="C5" s="18"/>
      <c r="D5" s="18"/>
      <c r="E5" s="19"/>
      <c r="F5" s="20"/>
      <c r="G5" s="20"/>
    </row>
    <row r="6" spans="2:10" x14ac:dyDescent="0.2">
      <c r="B6" s="25" t="s">
        <v>756</v>
      </c>
      <c r="C6" s="22"/>
      <c r="D6" s="22"/>
      <c r="E6" s="23"/>
      <c r="F6" s="24">
        <v>10635.97</v>
      </c>
      <c r="G6" s="24">
        <v>99.4</v>
      </c>
    </row>
    <row r="7" spans="2:10" x14ac:dyDescent="0.2">
      <c r="B7" s="27" t="s">
        <v>104</v>
      </c>
      <c r="C7" s="28"/>
      <c r="D7" s="28"/>
      <c r="E7" s="29"/>
      <c r="F7" s="30">
        <f>SUM(F5:F6)</f>
        <v>10635.97</v>
      </c>
      <c r="G7" s="30">
        <f>SUM(G5:G6)</f>
        <v>99.4</v>
      </c>
      <c r="H7" s="14"/>
      <c r="I7" s="14"/>
      <c r="J7" s="14"/>
    </row>
    <row r="8" spans="2:10" x14ac:dyDescent="0.2">
      <c r="B8" s="31" t="s">
        <v>105</v>
      </c>
      <c r="C8" s="31"/>
      <c r="D8" s="31"/>
      <c r="E8" s="32"/>
      <c r="F8" s="33">
        <f>F7</f>
        <v>10635.97</v>
      </c>
      <c r="G8" s="33">
        <f>G7</f>
        <v>99.4</v>
      </c>
      <c r="H8" s="14"/>
      <c r="I8" s="14"/>
      <c r="J8" s="14"/>
    </row>
    <row r="9" spans="2:10" x14ac:dyDescent="0.2">
      <c r="B9" s="34" t="s">
        <v>107</v>
      </c>
      <c r="C9" s="34"/>
      <c r="D9" s="34"/>
      <c r="E9" s="35"/>
      <c r="F9" s="16">
        <f>F10-(+F8)</f>
        <v>62.989999999999782</v>
      </c>
      <c r="G9" s="16">
        <f>G10-(+G8)</f>
        <v>0.59999999999999432</v>
      </c>
      <c r="H9" s="14"/>
      <c r="I9" s="14"/>
      <c r="J9" s="14"/>
    </row>
    <row r="10" spans="2:10" x14ac:dyDescent="0.2">
      <c r="B10" s="34" t="s">
        <v>106</v>
      </c>
      <c r="C10" s="34"/>
      <c r="D10" s="34"/>
      <c r="E10" s="35"/>
      <c r="F10" s="16">
        <v>10698.96</v>
      </c>
      <c r="G10" s="16">
        <v>100</v>
      </c>
      <c r="H10" s="14"/>
      <c r="I10" s="14"/>
      <c r="J10" s="14"/>
    </row>
    <row r="12" spans="2:10" x14ac:dyDescent="0.2">
      <c r="B12" s="14"/>
    </row>
    <row r="14" spans="2:10" x14ac:dyDescent="0.2">
      <c r="B14" s="14"/>
    </row>
    <row r="17" spans="2:5" x14ac:dyDescent="0.2">
      <c r="B17" s="14"/>
      <c r="C17" s="14"/>
      <c r="D17" s="14"/>
      <c r="E17" s="15"/>
    </row>
    <row r="23" spans="2:5" x14ac:dyDescent="0.2">
      <c r="D23" s="14"/>
      <c r="E23" s="15"/>
    </row>
    <row r="29" spans="2:5" x14ac:dyDescent="0.2">
      <c r="B29" s="14"/>
      <c r="C29" s="14"/>
      <c r="D29" s="14"/>
      <c r="E29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"/>
  <sheetViews>
    <sheetView workbookViewId="0">
      <selection activeCell="E24" sqref="E2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24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36" t="s">
        <v>331</v>
      </c>
      <c r="C5" s="18"/>
      <c r="D5" s="18"/>
      <c r="E5" s="19"/>
      <c r="F5" s="20"/>
      <c r="G5" s="20"/>
    </row>
    <row r="6" spans="2:7" x14ac:dyDescent="0.2">
      <c r="B6" s="37" t="s">
        <v>31</v>
      </c>
      <c r="C6" s="22"/>
      <c r="D6" s="22"/>
      <c r="E6" s="23"/>
      <c r="F6" s="24"/>
      <c r="G6" s="24"/>
    </row>
    <row r="7" spans="2:7" x14ac:dyDescent="0.2">
      <c r="B7" s="22" t="s">
        <v>345</v>
      </c>
      <c r="C7" s="22" t="s">
        <v>346</v>
      </c>
      <c r="D7" s="22" t="s">
        <v>334</v>
      </c>
      <c r="E7" s="26">
        <v>350</v>
      </c>
      <c r="F7" s="24">
        <v>3659.7</v>
      </c>
      <c r="G7" s="24">
        <v>4.47</v>
      </c>
    </row>
    <row r="8" spans="2:7" x14ac:dyDescent="0.2">
      <c r="B8" s="22" t="s">
        <v>498</v>
      </c>
      <c r="C8" s="22" t="s">
        <v>499</v>
      </c>
      <c r="D8" s="22" t="s">
        <v>334</v>
      </c>
      <c r="E8" s="26">
        <v>250</v>
      </c>
      <c r="F8" s="24">
        <v>2617.41</v>
      </c>
      <c r="G8" s="24">
        <v>3.2</v>
      </c>
    </row>
    <row r="9" spans="2:7" x14ac:dyDescent="0.2">
      <c r="B9" s="22" t="s">
        <v>604</v>
      </c>
      <c r="C9" s="22" t="s">
        <v>605</v>
      </c>
      <c r="D9" s="22" t="s">
        <v>334</v>
      </c>
      <c r="E9" s="26">
        <v>250</v>
      </c>
      <c r="F9" s="24">
        <v>2607.75</v>
      </c>
      <c r="G9" s="24">
        <v>3.19</v>
      </c>
    </row>
    <row r="10" spans="2:7" x14ac:dyDescent="0.2">
      <c r="B10" s="22" t="s">
        <v>606</v>
      </c>
      <c r="C10" s="22" t="s">
        <v>607</v>
      </c>
      <c r="D10" s="22" t="s">
        <v>334</v>
      </c>
      <c r="E10" s="26">
        <v>250</v>
      </c>
      <c r="F10" s="24">
        <v>2605.52</v>
      </c>
      <c r="G10" s="24">
        <v>3.18</v>
      </c>
    </row>
    <row r="11" spans="2:7" x14ac:dyDescent="0.2">
      <c r="B11" s="22" t="s">
        <v>608</v>
      </c>
      <c r="C11" s="22" t="s">
        <v>609</v>
      </c>
      <c r="D11" s="22" t="s">
        <v>334</v>
      </c>
      <c r="E11" s="26">
        <v>210</v>
      </c>
      <c r="F11" s="24">
        <v>2210.48</v>
      </c>
      <c r="G11" s="24">
        <v>2.7</v>
      </c>
    </row>
    <row r="12" spans="2:7" x14ac:dyDescent="0.2">
      <c r="B12" s="22" t="s">
        <v>610</v>
      </c>
      <c r="C12" s="22" t="s">
        <v>611</v>
      </c>
      <c r="D12" s="22" t="s">
        <v>334</v>
      </c>
      <c r="E12" s="26">
        <v>200</v>
      </c>
      <c r="F12" s="24">
        <v>2062.04</v>
      </c>
      <c r="G12" s="24">
        <v>2.52</v>
      </c>
    </row>
    <row r="13" spans="2:7" x14ac:dyDescent="0.2">
      <c r="B13" s="22" t="s">
        <v>381</v>
      </c>
      <c r="C13" s="22" t="s">
        <v>382</v>
      </c>
      <c r="D13" s="22" t="s">
        <v>334</v>
      </c>
      <c r="E13" s="26">
        <v>150</v>
      </c>
      <c r="F13" s="24">
        <v>1601.75</v>
      </c>
      <c r="G13" s="24">
        <v>1.96</v>
      </c>
    </row>
    <row r="14" spans="2:7" x14ac:dyDescent="0.2">
      <c r="B14" s="22" t="s">
        <v>362</v>
      </c>
      <c r="C14" s="22" t="s">
        <v>363</v>
      </c>
      <c r="D14" s="22" t="s">
        <v>334</v>
      </c>
      <c r="E14" s="26">
        <v>150</v>
      </c>
      <c r="F14" s="24">
        <v>1594.52</v>
      </c>
      <c r="G14" s="24">
        <v>1.95</v>
      </c>
    </row>
    <row r="15" spans="2:7" x14ac:dyDescent="0.2">
      <c r="B15" s="22" t="s">
        <v>612</v>
      </c>
      <c r="C15" s="22" t="s">
        <v>613</v>
      </c>
      <c r="D15" s="22" t="s">
        <v>334</v>
      </c>
      <c r="E15" s="26">
        <v>150</v>
      </c>
      <c r="F15" s="24">
        <v>1578.69</v>
      </c>
      <c r="G15" s="24">
        <v>1.93</v>
      </c>
    </row>
    <row r="16" spans="2:7" x14ac:dyDescent="0.2">
      <c r="B16" s="22" t="s">
        <v>614</v>
      </c>
      <c r="C16" s="22" t="s">
        <v>615</v>
      </c>
      <c r="D16" s="22" t="s">
        <v>334</v>
      </c>
      <c r="E16" s="26">
        <v>150</v>
      </c>
      <c r="F16" s="24">
        <v>1573.43</v>
      </c>
      <c r="G16" s="24">
        <v>1.92</v>
      </c>
    </row>
    <row r="17" spans="2:7" x14ac:dyDescent="0.2">
      <c r="B17" s="22" t="s">
        <v>364</v>
      </c>
      <c r="C17" s="22" t="s">
        <v>365</v>
      </c>
      <c r="D17" s="22" t="s">
        <v>334</v>
      </c>
      <c r="E17" s="26">
        <v>150</v>
      </c>
      <c r="F17" s="24">
        <v>1572.54</v>
      </c>
      <c r="G17" s="24">
        <v>1.92</v>
      </c>
    </row>
    <row r="18" spans="2:7" x14ac:dyDescent="0.2">
      <c r="B18" s="22" t="s">
        <v>616</v>
      </c>
      <c r="C18" s="22" t="s">
        <v>617</v>
      </c>
      <c r="D18" s="22" t="s">
        <v>349</v>
      </c>
      <c r="E18" s="26">
        <v>150</v>
      </c>
      <c r="F18" s="24">
        <v>1566.36</v>
      </c>
      <c r="G18" s="24">
        <v>1.91</v>
      </c>
    </row>
    <row r="19" spans="2:7" x14ac:dyDescent="0.2">
      <c r="B19" s="22" t="s">
        <v>366</v>
      </c>
      <c r="C19" s="22" t="s">
        <v>367</v>
      </c>
      <c r="D19" s="22" t="s">
        <v>334</v>
      </c>
      <c r="E19" s="26">
        <v>150</v>
      </c>
      <c r="F19" s="24">
        <v>1560.3</v>
      </c>
      <c r="G19" s="24">
        <v>1.91</v>
      </c>
    </row>
    <row r="20" spans="2:7" x14ac:dyDescent="0.2">
      <c r="B20" s="22" t="s">
        <v>544</v>
      </c>
      <c r="C20" s="22" t="s">
        <v>545</v>
      </c>
      <c r="D20" s="22" t="s">
        <v>374</v>
      </c>
      <c r="E20" s="26">
        <v>150</v>
      </c>
      <c r="F20" s="24">
        <v>1502.42</v>
      </c>
      <c r="G20" s="24">
        <v>1.84</v>
      </c>
    </row>
    <row r="21" spans="2:7" x14ac:dyDescent="0.2">
      <c r="B21" s="22" t="s">
        <v>472</v>
      </c>
      <c r="C21" s="22" t="s">
        <v>473</v>
      </c>
      <c r="D21" s="22" t="s">
        <v>334</v>
      </c>
      <c r="E21" s="26">
        <v>100</v>
      </c>
      <c r="F21" s="24">
        <v>1055.23</v>
      </c>
      <c r="G21" s="24">
        <v>1.29</v>
      </c>
    </row>
    <row r="22" spans="2:7" x14ac:dyDescent="0.2">
      <c r="B22" s="22" t="s">
        <v>490</v>
      </c>
      <c r="C22" s="22" t="s">
        <v>491</v>
      </c>
      <c r="D22" s="22" t="s">
        <v>334</v>
      </c>
      <c r="E22" s="26">
        <v>100</v>
      </c>
      <c r="F22" s="24">
        <v>1054.1500000000001</v>
      </c>
      <c r="G22" s="24">
        <v>1.29</v>
      </c>
    </row>
    <row r="23" spans="2:7" x14ac:dyDescent="0.2">
      <c r="B23" s="22" t="s">
        <v>618</v>
      </c>
      <c r="C23" s="22" t="s">
        <v>619</v>
      </c>
      <c r="D23" s="22" t="s">
        <v>334</v>
      </c>
      <c r="E23" s="26">
        <v>100</v>
      </c>
      <c r="F23" s="24">
        <v>1050.79</v>
      </c>
      <c r="G23" s="24">
        <v>1.28</v>
      </c>
    </row>
    <row r="24" spans="2:7" x14ac:dyDescent="0.2">
      <c r="B24" s="22" t="s">
        <v>620</v>
      </c>
      <c r="C24" s="22" t="s">
        <v>621</v>
      </c>
      <c r="D24" s="22" t="s">
        <v>334</v>
      </c>
      <c r="E24" s="26">
        <v>100</v>
      </c>
      <c r="F24" s="24">
        <v>1049.73</v>
      </c>
      <c r="G24" s="24">
        <v>1.28</v>
      </c>
    </row>
    <row r="25" spans="2:7" x14ac:dyDescent="0.2">
      <c r="B25" s="22" t="s">
        <v>622</v>
      </c>
      <c r="C25" s="22" t="s">
        <v>623</v>
      </c>
      <c r="D25" s="22" t="s">
        <v>334</v>
      </c>
      <c r="E25" s="26">
        <v>100</v>
      </c>
      <c r="F25" s="24">
        <v>1045.52</v>
      </c>
      <c r="G25" s="24">
        <v>1.28</v>
      </c>
    </row>
    <row r="26" spans="2:7" x14ac:dyDescent="0.2">
      <c r="B26" s="22" t="s">
        <v>484</v>
      </c>
      <c r="C26" s="22" t="s">
        <v>485</v>
      </c>
      <c r="D26" s="22" t="s">
        <v>349</v>
      </c>
      <c r="E26" s="26">
        <v>100</v>
      </c>
      <c r="F26" s="24">
        <v>1044.79</v>
      </c>
      <c r="G26" s="24">
        <v>1.28</v>
      </c>
    </row>
    <row r="27" spans="2:7" x14ac:dyDescent="0.2">
      <c r="B27" s="22" t="s">
        <v>624</v>
      </c>
      <c r="C27" s="22" t="s">
        <v>625</v>
      </c>
      <c r="D27" s="22" t="s">
        <v>349</v>
      </c>
      <c r="E27" s="26">
        <v>100</v>
      </c>
      <c r="F27" s="24">
        <v>1039.6199999999999</v>
      </c>
      <c r="G27" s="24">
        <v>1.27</v>
      </c>
    </row>
    <row r="28" spans="2:7" x14ac:dyDescent="0.2">
      <c r="B28" s="22" t="s">
        <v>458</v>
      </c>
      <c r="C28" s="22" t="s">
        <v>459</v>
      </c>
      <c r="D28" s="22" t="s">
        <v>334</v>
      </c>
      <c r="E28" s="26">
        <v>100</v>
      </c>
      <c r="F28" s="24">
        <v>1035.6600000000001</v>
      </c>
      <c r="G28" s="24">
        <v>1.27</v>
      </c>
    </row>
    <row r="29" spans="2:7" x14ac:dyDescent="0.2">
      <c r="B29" s="22" t="s">
        <v>626</v>
      </c>
      <c r="C29" s="22" t="s">
        <v>627</v>
      </c>
      <c r="D29" s="22" t="s">
        <v>334</v>
      </c>
      <c r="E29" s="26">
        <v>100</v>
      </c>
      <c r="F29" s="24">
        <v>1030.06</v>
      </c>
      <c r="G29" s="24">
        <v>1.26</v>
      </c>
    </row>
    <row r="30" spans="2:7" x14ac:dyDescent="0.2">
      <c r="B30" s="22" t="s">
        <v>628</v>
      </c>
      <c r="C30" s="22" t="s">
        <v>629</v>
      </c>
      <c r="D30" s="22" t="s">
        <v>334</v>
      </c>
      <c r="E30" s="26">
        <v>100</v>
      </c>
      <c r="F30" s="24">
        <v>1011.33</v>
      </c>
      <c r="G30" s="24">
        <v>1.24</v>
      </c>
    </row>
    <row r="31" spans="2:7" x14ac:dyDescent="0.2">
      <c r="B31" s="22" t="s">
        <v>630</v>
      </c>
      <c r="C31" s="22" t="s">
        <v>631</v>
      </c>
      <c r="D31" s="22" t="s">
        <v>334</v>
      </c>
      <c r="E31" s="26">
        <v>70</v>
      </c>
      <c r="F31" s="24">
        <v>729.52</v>
      </c>
      <c r="G31" s="24">
        <v>0.89</v>
      </c>
    </row>
    <row r="32" spans="2:7" x14ac:dyDescent="0.2">
      <c r="B32" s="22" t="s">
        <v>337</v>
      </c>
      <c r="C32" s="22" t="s">
        <v>338</v>
      </c>
      <c r="D32" s="22" t="s">
        <v>334</v>
      </c>
      <c r="E32" s="26">
        <v>50</v>
      </c>
      <c r="F32" s="24">
        <v>556.99</v>
      </c>
      <c r="G32" s="24">
        <v>0.68</v>
      </c>
    </row>
    <row r="33" spans="2:7" x14ac:dyDescent="0.2">
      <c r="B33" s="22" t="s">
        <v>398</v>
      </c>
      <c r="C33" s="22" t="s">
        <v>399</v>
      </c>
      <c r="D33" s="22" t="s">
        <v>334</v>
      </c>
      <c r="E33" s="26">
        <v>50</v>
      </c>
      <c r="F33" s="24">
        <v>553.73</v>
      </c>
      <c r="G33" s="24">
        <v>0.68</v>
      </c>
    </row>
    <row r="34" spans="2:7" x14ac:dyDescent="0.2">
      <c r="B34" s="22" t="s">
        <v>632</v>
      </c>
      <c r="C34" s="22" t="s">
        <v>633</v>
      </c>
      <c r="D34" s="22" t="s">
        <v>334</v>
      </c>
      <c r="E34" s="26">
        <v>50</v>
      </c>
      <c r="F34" s="24">
        <v>552.25</v>
      </c>
      <c r="G34" s="24">
        <v>0.68</v>
      </c>
    </row>
    <row r="35" spans="2:7" x14ac:dyDescent="0.2">
      <c r="B35" s="22" t="s">
        <v>634</v>
      </c>
      <c r="C35" s="22" t="s">
        <v>635</v>
      </c>
      <c r="D35" s="22" t="s">
        <v>334</v>
      </c>
      <c r="E35" s="26">
        <v>50</v>
      </c>
      <c r="F35" s="24">
        <v>551.77</v>
      </c>
      <c r="G35" s="24">
        <v>0.67</v>
      </c>
    </row>
    <row r="36" spans="2:7" x14ac:dyDescent="0.2">
      <c r="B36" s="22" t="s">
        <v>356</v>
      </c>
      <c r="C36" s="22" t="s">
        <v>357</v>
      </c>
      <c r="D36" s="22" t="s">
        <v>334</v>
      </c>
      <c r="E36" s="26">
        <v>50</v>
      </c>
      <c r="F36" s="24">
        <v>551.70000000000005</v>
      </c>
      <c r="G36" s="24">
        <v>0.67</v>
      </c>
    </row>
    <row r="37" spans="2:7" x14ac:dyDescent="0.2">
      <c r="B37" s="22" t="s">
        <v>636</v>
      </c>
      <c r="C37" s="22" t="s">
        <v>637</v>
      </c>
      <c r="D37" s="22" t="s">
        <v>334</v>
      </c>
      <c r="E37" s="26">
        <v>50</v>
      </c>
      <c r="F37" s="24">
        <v>539.13</v>
      </c>
      <c r="G37" s="24">
        <v>0.66</v>
      </c>
    </row>
    <row r="38" spans="2:7" x14ac:dyDescent="0.2">
      <c r="B38" s="22" t="s">
        <v>354</v>
      </c>
      <c r="C38" s="22" t="s">
        <v>355</v>
      </c>
      <c r="D38" s="22" t="s">
        <v>334</v>
      </c>
      <c r="E38" s="26">
        <v>50</v>
      </c>
      <c r="F38" s="24">
        <v>535.98</v>
      </c>
      <c r="G38" s="24">
        <v>0.66</v>
      </c>
    </row>
    <row r="39" spans="2:7" x14ac:dyDescent="0.2">
      <c r="B39" s="22" t="s">
        <v>638</v>
      </c>
      <c r="C39" s="22" t="s">
        <v>639</v>
      </c>
      <c r="D39" s="22" t="s">
        <v>349</v>
      </c>
      <c r="E39" s="26">
        <v>50</v>
      </c>
      <c r="F39" s="24">
        <v>529.54999999999995</v>
      </c>
      <c r="G39" s="24">
        <v>0.65</v>
      </c>
    </row>
    <row r="40" spans="2:7" x14ac:dyDescent="0.2">
      <c r="B40" s="22" t="s">
        <v>640</v>
      </c>
      <c r="C40" s="22" t="s">
        <v>641</v>
      </c>
      <c r="D40" s="22" t="s">
        <v>334</v>
      </c>
      <c r="E40" s="26">
        <v>50</v>
      </c>
      <c r="F40" s="24">
        <v>528.20000000000005</v>
      </c>
      <c r="G40" s="24">
        <v>0.65</v>
      </c>
    </row>
    <row r="41" spans="2:7" x14ac:dyDescent="0.2">
      <c r="B41" s="22" t="s">
        <v>642</v>
      </c>
      <c r="C41" s="22" t="s">
        <v>643</v>
      </c>
      <c r="D41" s="22" t="s">
        <v>334</v>
      </c>
      <c r="E41" s="26">
        <v>50</v>
      </c>
      <c r="F41" s="24">
        <v>525.53</v>
      </c>
      <c r="G41" s="24">
        <v>0.64</v>
      </c>
    </row>
    <row r="42" spans="2:7" x14ac:dyDescent="0.2">
      <c r="B42" s="22" t="s">
        <v>644</v>
      </c>
      <c r="C42" s="22" t="s">
        <v>645</v>
      </c>
      <c r="D42" s="22" t="s">
        <v>349</v>
      </c>
      <c r="E42" s="26">
        <v>50</v>
      </c>
      <c r="F42" s="24">
        <v>518.63</v>
      </c>
      <c r="G42" s="24">
        <v>0.63</v>
      </c>
    </row>
    <row r="43" spans="2:7" x14ac:dyDescent="0.2">
      <c r="B43" s="22" t="s">
        <v>646</v>
      </c>
      <c r="C43" s="22" t="s">
        <v>647</v>
      </c>
      <c r="D43" s="22" t="s">
        <v>334</v>
      </c>
      <c r="E43" s="26">
        <v>50</v>
      </c>
      <c r="F43" s="24">
        <v>514.66999999999996</v>
      </c>
      <c r="G43" s="24">
        <v>0.63</v>
      </c>
    </row>
    <row r="44" spans="2:7" x14ac:dyDescent="0.2">
      <c r="B44" s="22" t="s">
        <v>648</v>
      </c>
      <c r="C44" s="22" t="s">
        <v>649</v>
      </c>
      <c r="D44" s="22" t="s">
        <v>334</v>
      </c>
      <c r="E44" s="26">
        <v>50</v>
      </c>
      <c r="F44" s="24">
        <v>514.30999999999995</v>
      </c>
      <c r="G44" s="24">
        <v>0.63</v>
      </c>
    </row>
    <row r="45" spans="2:7" x14ac:dyDescent="0.2">
      <c r="B45" s="22" t="s">
        <v>332</v>
      </c>
      <c r="C45" s="22" t="s">
        <v>333</v>
      </c>
      <c r="D45" s="22" t="s">
        <v>334</v>
      </c>
      <c r="E45" s="26">
        <v>50</v>
      </c>
      <c r="F45" s="24">
        <v>505.16</v>
      </c>
      <c r="G45" s="24">
        <v>0.62</v>
      </c>
    </row>
    <row r="46" spans="2:7" x14ac:dyDescent="0.2">
      <c r="B46" s="22" t="s">
        <v>650</v>
      </c>
      <c r="C46" s="22" t="s">
        <v>651</v>
      </c>
      <c r="D46" s="22" t="s">
        <v>334</v>
      </c>
      <c r="E46" s="26">
        <v>50</v>
      </c>
      <c r="F46" s="24">
        <v>504.07</v>
      </c>
      <c r="G46" s="24">
        <v>0.62</v>
      </c>
    </row>
    <row r="47" spans="2:7" x14ac:dyDescent="0.2">
      <c r="B47" s="22" t="s">
        <v>652</v>
      </c>
      <c r="C47" s="22" t="s">
        <v>653</v>
      </c>
      <c r="D47" s="22" t="s">
        <v>334</v>
      </c>
      <c r="E47" s="26">
        <v>40</v>
      </c>
      <c r="F47" s="24">
        <v>503.46</v>
      </c>
      <c r="G47" s="24">
        <v>0.62</v>
      </c>
    </row>
    <row r="48" spans="2:7" x14ac:dyDescent="0.2">
      <c r="B48" s="22" t="s">
        <v>654</v>
      </c>
      <c r="C48" s="22" t="s">
        <v>655</v>
      </c>
      <c r="D48" s="22" t="s">
        <v>334</v>
      </c>
      <c r="E48" s="26">
        <v>40</v>
      </c>
      <c r="F48" s="24">
        <v>502.02</v>
      </c>
      <c r="G48" s="24">
        <v>0.61</v>
      </c>
    </row>
    <row r="49" spans="2:10" x14ac:dyDescent="0.2">
      <c r="B49" s="22" t="s">
        <v>341</v>
      </c>
      <c r="C49" s="22" t="s">
        <v>342</v>
      </c>
      <c r="D49" s="22" t="s">
        <v>334</v>
      </c>
      <c r="E49" s="26">
        <v>5</v>
      </c>
      <c r="F49" s="24">
        <v>500</v>
      </c>
      <c r="G49" s="24">
        <v>0.61</v>
      </c>
    </row>
    <row r="50" spans="2:10" x14ac:dyDescent="0.2">
      <c r="B50" s="22" t="s">
        <v>488</v>
      </c>
      <c r="C50" s="22" t="s">
        <v>489</v>
      </c>
      <c r="D50" s="22" t="s">
        <v>334</v>
      </c>
      <c r="E50" s="26">
        <v>100</v>
      </c>
      <c r="F50" s="24">
        <v>322.67</v>
      </c>
      <c r="G50" s="24">
        <v>0.39</v>
      </c>
    </row>
    <row r="51" spans="2:10" x14ac:dyDescent="0.2">
      <c r="B51" s="22" t="s">
        <v>656</v>
      </c>
      <c r="C51" s="22" t="s">
        <v>657</v>
      </c>
      <c r="D51" s="22" t="s">
        <v>334</v>
      </c>
      <c r="E51" s="26">
        <v>20</v>
      </c>
      <c r="F51" s="24">
        <v>205.48</v>
      </c>
      <c r="G51" s="24">
        <v>0.25</v>
      </c>
    </row>
    <row r="52" spans="2:10" x14ac:dyDescent="0.2">
      <c r="B52" s="28" t="s">
        <v>104</v>
      </c>
      <c r="C52" s="28"/>
      <c r="D52" s="28"/>
      <c r="E52" s="29"/>
      <c r="F52" s="30">
        <f>SUM(F6:F51)</f>
        <v>49474.609999999993</v>
      </c>
      <c r="G52" s="30">
        <f>SUM(G6:G51)</f>
        <v>60.480000000000004</v>
      </c>
      <c r="H52" s="14"/>
      <c r="I52" s="14"/>
      <c r="J52" s="14"/>
    </row>
    <row r="53" spans="2:10" x14ac:dyDescent="0.2">
      <c r="B53" s="38" t="s">
        <v>105</v>
      </c>
      <c r="C53" s="38"/>
      <c r="D53" s="38"/>
      <c r="E53" s="39"/>
      <c r="F53" s="40">
        <f>F52</f>
        <v>49474.609999999993</v>
      </c>
      <c r="G53" s="40">
        <f>G52</f>
        <v>60.480000000000004</v>
      </c>
      <c r="H53" s="14"/>
      <c r="I53" s="14"/>
      <c r="J53" s="14"/>
    </row>
    <row r="54" spans="2:10" x14ac:dyDescent="0.2">
      <c r="B54" s="37" t="s">
        <v>504</v>
      </c>
      <c r="C54" s="22"/>
      <c r="D54" s="22"/>
      <c r="E54" s="23"/>
      <c r="F54" s="24"/>
      <c r="G54" s="24"/>
    </row>
    <row r="55" spans="2:10" x14ac:dyDescent="0.2">
      <c r="B55" s="37" t="s">
        <v>533</v>
      </c>
      <c r="C55" s="22"/>
      <c r="D55" s="22"/>
      <c r="E55" s="23"/>
      <c r="F55" s="24"/>
      <c r="G55" s="24"/>
    </row>
    <row r="56" spans="2:10" x14ac:dyDescent="0.2">
      <c r="B56" s="22" t="s">
        <v>658</v>
      </c>
      <c r="C56" s="22" t="s">
        <v>659</v>
      </c>
      <c r="D56" s="22" t="s">
        <v>536</v>
      </c>
      <c r="E56" s="26">
        <v>1000000</v>
      </c>
      <c r="F56" s="24">
        <v>967.96</v>
      </c>
      <c r="G56" s="24">
        <v>1.18</v>
      </c>
    </row>
    <row r="57" spans="2:10" x14ac:dyDescent="0.2">
      <c r="B57" s="28" t="s">
        <v>104</v>
      </c>
      <c r="C57" s="28"/>
      <c r="D57" s="28"/>
      <c r="E57" s="29"/>
      <c r="F57" s="30">
        <f>SUM(F55:F56)</f>
        <v>967.96</v>
      </c>
      <c r="G57" s="30">
        <f>SUM(G55:G56)</f>
        <v>1.18</v>
      </c>
      <c r="H57" s="14"/>
      <c r="I57" s="14"/>
      <c r="J57" s="14"/>
    </row>
    <row r="58" spans="2:10" x14ac:dyDescent="0.2">
      <c r="B58" s="38" t="s">
        <v>105</v>
      </c>
      <c r="C58" s="38"/>
      <c r="D58" s="38"/>
      <c r="E58" s="39"/>
      <c r="F58" s="40">
        <f>+F57</f>
        <v>967.96</v>
      </c>
      <c r="G58" s="40">
        <f>+G57</f>
        <v>1.18</v>
      </c>
      <c r="H58" s="14"/>
      <c r="I58" s="14"/>
      <c r="J58" s="14"/>
    </row>
    <row r="59" spans="2:10" x14ac:dyDescent="0.2">
      <c r="B59" s="37" t="s">
        <v>410</v>
      </c>
      <c r="C59" s="22"/>
      <c r="D59" s="22"/>
      <c r="E59" s="23"/>
      <c r="F59" s="24"/>
      <c r="G59" s="24"/>
    </row>
    <row r="60" spans="2:10" x14ac:dyDescent="0.2">
      <c r="B60" s="22" t="s">
        <v>428</v>
      </c>
      <c r="C60" s="22" t="s">
        <v>429</v>
      </c>
      <c r="D60" s="22" t="s">
        <v>413</v>
      </c>
      <c r="E60" s="26">
        <v>8250000</v>
      </c>
      <c r="F60" s="24">
        <v>8839.9699999999993</v>
      </c>
      <c r="G60" s="24">
        <v>10.81</v>
      </c>
    </row>
    <row r="61" spans="2:10" x14ac:dyDescent="0.2">
      <c r="B61" s="22" t="s">
        <v>411</v>
      </c>
      <c r="C61" s="22" t="s">
        <v>412</v>
      </c>
      <c r="D61" s="22" t="s">
        <v>413</v>
      </c>
      <c r="E61" s="26">
        <v>3000000</v>
      </c>
      <c r="F61" s="24">
        <v>3242.35</v>
      </c>
      <c r="G61" s="24">
        <v>3.96</v>
      </c>
    </row>
    <row r="62" spans="2:10" x14ac:dyDescent="0.2">
      <c r="B62" s="22" t="s">
        <v>430</v>
      </c>
      <c r="C62" s="22" t="s">
        <v>431</v>
      </c>
      <c r="D62" s="22" t="s">
        <v>413</v>
      </c>
      <c r="E62" s="26">
        <v>1500000</v>
      </c>
      <c r="F62" s="24">
        <v>1597.92</v>
      </c>
      <c r="G62" s="24">
        <v>1.95</v>
      </c>
    </row>
    <row r="63" spans="2:10" x14ac:dyDescent="0.2">
      <c r="B63" s="22" t="s">
        <v>660</v>
      </c>
      <c r="C63" s="22" t="s">
        <v>661</v>
      </c>
      <c r="D63" s="22" t="s">
        <v>413</v>
      </c>
      <c r="E63" s="26">
        <v>1000000</v>
      </c>
      <c r="F63" s="24">
        <v>1082.3599999999999</v>
      </c>
      <c r="G63" s="24">
        <v>1.32</v>
      </c>
    </row>
    <row r="64" spans="2:10" x14ac:dyDescent="0.2">
      <c r="B64" s="22" t="s">
        <v>662</v>
      </c>
      <c r="C64" s="22" t="s">
        <v>663</v>
      </c>
      <c r="D64" s="22" t="s">
        <v>413</v>
      </c>
      <c r="E64" s="26">
        <v>1000000</v>
      </c>
      <c r="F64" s="24">
        <v>1051.2</v>
      </c>
      <c r="G64" s="24">
        <v>1.28</v>
      </c>
    </row>
    <row r="65" spans="2:10" x14ac:dyDescent="0.2">
      <c r="B65" s="22" t="s">
        <v>418</v>
      </c>
      <c r="C65" s="22" t="s">
        <v>419</v>
      </c>
      <c r="D65" s="22" t="s">
        <v>413</v>
      </c>
      <c r="E65" s="26">
        <v>1000000</v>
      </c>
      <c r="F65" s="24">
        <v>1036.3</v>
      </c>
      <c r="G65" s="24">
        <v>1.27</v>
      </c>
    </row>
    <row r="66" spans="2:10" x14ac:dyDescent="0.2">
      <c r="B66" s="22" t="s">
        <v>664</v>
      </c>
      <c r="C66" s="22" t="s">
        <v>665</v>
      </c>
      <c r="D66" s="22" t="s">
        <v>413</v>
      </c>
      <c r="E66" s="26">
        <v>500000</v>
      </c>
      <c r="F66" s="24">
        <v>527.59</v>
      </c>
      <c r="G66" s="24">
        <v>0.64</v>
      </c>
    </row>
    <row r="67" spans="2:10" x14ac:dyDescent="0.2">
      <c r="B67" s="22" t="s">
        <v>548</v>
      </c>
      <c r="C67" s="22" t="s">
        <v>549</v>
      </c>
      <c r="D67" s="22" t="s">
        <v>413</v>
      </c>
      <c r="E67" s="26">
        <v>500000</v>
      </c>
      <c r="F67" s="24">
        <v>527.12</v>
      </c>
      <c r="G67" s="24">
        <v>0.64</v>
      </c>
    </row>
    <row r="68" spans="2:10" x14ac:dyDescent="0.2">
      <c r="B68" s="22" t="s">
        <v>666</v>
      </c>
      <c r="C68" s="22" t="s">
        <v>667</v>
      </c>
      <c r="D68" s="22" t="s">
        <v>413</v>
      </c>
      <c r="E68" s="26">
        <v>500000</v>
      </c>
      <c r="F68" s="24">
        <v>525.07000000000005</v>
      </c>
      <c r="G68" s="24">
        <v>0.64</v>
      </c>
    </row>
    <row r="69" spans="2:10" x14ac:dyDescent="0.2">
      <c r="B69" s="22" t="s">
        <v>432</v>
      </c>
      <c r="C69" s="22" t="s">
        <v>433</v>
      </c>
      <c r="D69" s="22" t="s">
        <v>413</v>
      </c>
      <c r="E69" s="26">
        <v>500000</v>
      </c>
      <c r="F69" s="24">
        <v>515.73</v>
      </c>
      <c r="G69" s="24">
        <v>0.63</v>
      </c>
    </row>
    <row r="70" spans="2:10" x14ac:dyDescent="0.2">
      <c r="B70" s="22" t="s">
        <v>434</v>
      </c>
      <c r="C70" s="22" t="s">
        <v>435</v>
      </c>
      <c r="D70" s="22" t="s">
        <v>413</v>
      </c>
      <c r="E70" s="26">
        <v>500000</v>
      </c>
      <c r="F70" s="24">
        <v>507.27</v>
      </c>
      <c r="G70" s="24">
        <v>0.62</v>
      </c>
    </row>
    <row r="71" spans="2:10" x14ac:dyDescent="0.2">
      <c r="B71" s="22" t="s">
        <v>668</v>
      </c>
      <c r="C71" s="22" t="s">
        <v>669</v>
      </c>
      <c r="D71" s="22" t="s">
        <v>413</v>
      </c>
      <c r="E71" s="26">
        <v>178000</v>
      </c>
      <c r="F71" s="24">
        <v>182.18</v>
      </c>
      <c r="G71" s="24">
        <v>0.22</v>
      </c>
    </row>
    <row r="72" spans="2:10" x14ac:dyDescent="0.2">
      <c r="B72" s="41" t="s">
        <v>670</v>
      </c>
      <c r="C72" s="41" t="s">
        <v>671</v>
      </c>
      <c r="D72" s="41" t="s">
        <v>413</v>
      </c>
      <c r="E72" s="42">
        <v>28300</v>
      </c>
      <c r="F72" s="43">
        <v>30.35</v>
      </c>
      <c r="G72" s="43">
        <v>0.04</v>
      </c>
    </row>
    <row r="73" spans="2:10" x14ac:dyDescent="0.2">
      <c r="B73" s="44" t="s">
        <v>105</v>
      </c>
      <c r="C73" s="44"/>
      <c r="D73" s="44"/>
      <c r="E73" s="45"/>
      <c r="F73" s="46">
        <f>SUM(F60:F72)</f>
        <v>19665.41</v>
      </c>
      <c r="G73" s="46">
        <f>SUM(G60:G72)</f>
        <v>24.02</v>
      </c>
      <c r="H73" s="14"/>
      <c r="I73" s="14"/>
      <c r="J73" s="14"/>
    </row>
    <row r="74" spans="2:10" x14ac:dyDescent="0.2">
      <c r="B74" s="37" t="s">
        <v>756</v>
      </c>
      <c r="C74" s="22"/>
      <c r="D74" s="22"/>
      <c r="E74" s="23"/>
      <c r="F74" s="24"/>
      <c r="G74" s="24"/>
    </row>
    <row r="75" spans="2:10" x14ac:dyDescent="0.2">
      <c r="B75" s="22" t="s">
        <v>756</v>
      </c>
      <c r="C75" s="22"/>
      <c r="D75" s="22"/>
      <c r="E75" s="23"/>
      <c r="F75" s="24">
        <v>9470.1299999999992</v>
      </c>
      <c r="G75" s="24">
        <v>11.57</v>
      </c>
    </row>
    <row r="76" spans="2:10" x14ac:dyDescent="0.2">
      <c r="B76" s="28" t="s">
        <v>104</v>
      </c>
      <c r="C76" s="28"/>
      <c r="D76" s="28"/>
      <c r="E76" s="29"/>
      <c r="F76" s="30">
        <f>SUM(F74:F75)</f>
        <v>9470.1299999999992</v>
      </c>
      <c r="G76" s="30">
        <f>SUM(G74:G75)</f>
        <v>11.57</v>
      </c>
      <c r="H76" s="14"/>
      <c r="I76" s="14"/>
      <c r="J76" s="14"/>
    </row>
    <row r="77" spans="2:10" x14ac:dyDescent="0.2">
      <c r="B77" s="31" t="s">
        <v>105</v>
      </c>
      <c r="C77" s="31"/>
      <c r="D77" s="31"/>
      <c r="E77" s="32"/>
      <c r="F77" s="33">
        <f>F76</f>
        <v>9470.1299999999992</v>
      </c>
      <c r="G77" s="33">
        <f>G76</f>
        <v>11.57</v>
      </c>
      <c r="H77" s="14"/>
      <c r="I77" s="14"/>
      <c r="J77" s="14"/>
    </row>
    <row r="78" spans="2:10" x14ac:dyDescent="0.2">
      <c r="B78" s="34" t="s">
        <v>107</v>
      </c>
      <c r="C78" s="34"/>
      <c r="D78" s="34"/>
      <c r="E78" s="35"/>
      <c r="F78" s="16">
        <f>F79-(+F53+F58+F73+F77)</f>
        <v>2586.2700000000041</v>
      </c>
      <c r="G78" s="16">
        <f>G79-(+G53+G58+G73+G77)</f>
        <v>2.75</v>
      </c>
      <c r="H78" s="14"/>
      <c r="I78" s="14"/>
      <c r="J78" s="14"/>
    </row>
    <row r="79" spans="2:10" x14ac:dyDescent="0.2">
      <c r="B79" s="34" t="s">
        <v>106</v>
      </c>
      <c r="C79" s="34"/>
      <c r="D79" s="34"/>
      <c r="E79" s="35"/>
      <c r="F79" s="16">
        <v>82164.38</v>
      </c>
      <c r="G79" s="16">
        <v>100</v>
      </c>
      <c r="H79" s="14"/>
      <c r="I79" s="14"/>
      <c r="J79" s="14"/>
    </row>
    <row r="81" spans="2:5" x14ac:dyDescent="0.2">
      <c r="B81" s="14" t="s">
        <v>757</v>
      </c>
    </row>
    <row r="83" spans="2:5" x14ac:dyDescent="0.2">
      <c r="B83" s="14"/>
    </row>
    <row r="86" spans="2:5" x14ac:dyDescent="0.2">
      <c r="B86" s="14"/>
      <c r="C86" s="14"/>
      <c r="D86" s="14"/>
      <c r="E86" s="15"/>
    </row>
    <row r="94" spans="2:5" x14ac:dyDescent="0.2">
      <c r="D94" s="14"/>
      <c r="E94" s="15"/>
    </row>
    <row r="100" spans="2:5" x14ac:dyDescent="0.2">
      <c r="B100" s="14"/>
      <c r="C100" s="14"/>
      <c r="D100" s="14"/>
      <c r="E100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9"/>
  <sheetViews>
    <sheetView workbookViewId="0">
      <selection activeCell="C34" sqref="C3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25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36" t="s">
        <v>331</v>
      </c>
      <c r="C5" s="18"/>
      <c r="D5" s="18"/>
      <c r="E5" s="19"/>
      <c r="F5" s="20"/>
      <c r="G5" s="20"/>
    </row>
    <row r="6" spans="2:7" x14ac:dyDescent="0.2">
      <c r="B6" s="37" t="s">
        <v>31</v>
      </c>
      <c r="C6" s="22"/>
      <c r="D6" s="22"/>
      <c r="E6" s="23"/>
      <c r="F6" s="24"/>
      <c r="G6" s="24"/>
    </row>
    <row r="7" spans="2:7" x14ac:dyDescent="0.2">
      <c r="B7" s="22" t="s">
        <v>398</v>
      </c>
      <c r="C7" s="22" t="s">
        <v>399</v>
      </c>
      <c r="D7" s="22" t="s">
        <v>334</v>
      </c>
      <c r="E7" s="26">
        <v>150</v>
      </c>
      <c r="F7" s="24">
        <v>1661.19</v>
      </c>
      <c r="G7" s="24">
        <v>5.5</v>
      </c>
    </row>
    <row r="8" spans="2:7" x14ac:dyDescent="0.2">
      <c r="B8" s="22" t="s">
        <v>383</v>
      </c>
      <c r="C8" s="22" t="s">
        <v>384</v>
      </c>
      <c r="D8" s="22" t="s">
        <v>385</v>
      </c>
      <c r="E8" s="26">
        <v>150</v>
      </c>
      <c r="F8" s="24">
        <v>1562.25</v>
      </c>
      <c r="G8" s="24">
        <v>5.17</v>
      </c>
    </row>
    <row r="9" spans="2:7" x14ac:dyDescent="0.2">
      <c r="B9" s="22" t="s">
        <v>672</v>
      </c>
      <c r="C9" s="22" t="s">
        <v>673</v>
      </c>
      <c r="D9" s="22" t="s">
        <v>374</v>
      </c>
      <c r="E9" s="26">
        <v>120</v>
      </c>
      <c r="F9" s="24">
        <v>1463.14</v>
      </c>
      <c r="G9" s="24">
        <v>4.84</v>
      </c>
    </row>
    <row r="10" spans="2:7" x14ac:dyDescent="0.2">
      <c r="B10" s="22" t="s">
        <v>337</v>
      </c>
      <c r="C10" s="22" t="s">
        <v>338</v>
      </c>
      <c r="D10" s="22" t="s">
        <v>334</v>
      </c>
      <c r="E10" s="26">
        <v>100</v>
      </c>
      <c r="F10" s="24">
        <v>1113.98</v>
      </c>
      <c r="G10" s="24">
        <v>3.69</v>
      </c>
    </row>
    <row r="11" spans="2:7" x14ac:dyDescent="0.2">
      <c r="B11" s="22" t="s">
        <v>674</v>
      </c>
      <c r="C11" s="22" t="s">
        <v>675</v>
      </c>
      <c r="D11" s="22" t="s">
        <v>334</v>
      </c>
      <c r="E11" s="26">
        <v>100</v>
      </c>
      <c r="F11" s="24">
        <v>1052.78</v>
      </c>
      <c r="G11" s="24">
        <v>3.48</v>
      </c>
    </row>
    <row r="12" spans="2:7" x14ac:dyDescent="0.2">
      <c r="B12" s="22" t="s">
        <v>676</v>
      </c>
      <c r="C12" s="22" t="s">
        <v>677</v>
      </c>
      <c r="D12" s="22" t="s">
        <v>385</v>
      </c>
      <c r="E12" s="26">
        <v>100</v>
      </c>
      <c r="F12" s="24">
        <v>1019.59</v>
      </c>
      <c r="G12" s="24">
        <v>3.37</v>
      </c>
    </row>
    <row r="13" spans="2:7" x14ac:dyDescent="0.2">
      <c r="B13" s="22" t="s">
        <v>546</v>
      </c>
      <c r="C13" s="22" t="s">
        <v>547</v>
      </c>
      <c r="D13" s="22" t="s">
        <v>334</v>
      </c>
      <c r="E13" s="26">
        <v>50</v>
      </c>
      <c r="F13" s="24">
        <v>565.78</v>
      </c>
      <c r="G13" s="24">
        <v>1.87</v>
      </c>
    </row>
    <row r="14" spans="2:7" x14ac:dyDescent="0.2">
      <c r="B14" s="22" t="s">
        <v>678</v>
      </c>
      <c r="C14" s="22" t="s">
        <v>679</v>
      </c>
      <c r="D14" s="22" t="s">
        <v>334</v>
      </c>
      <c r="E14" s="26">
        <v>50</v>
      </c>
      <c r="F14" s="24">
        <v>558.34</v>
      </c>
      <c r="G14" s="24">
        <v>1.85</v>
      </c>
    </row>
    <row r="15" spans="2:7" x14ac:dyDescent="0.2">
      <c r="B15" s="22" t="s">
        <v>360</v>
      </c>
      <c r="C15" s="22" t="s">
        <v>361</v>
      </c>
      <c r="D15" s="22" t="s">
        <v>334</v>
      </c>
      <c r="E15" s="26">
        <v>50</v>
      </c>
      <c r="F15" s="24">
        <v>539.32000000000005</v>
      </c>
      <c r="G15" s="24">
        <v>1.78</v>
      </c>
    </row>
    <row r="16" spans="2:7" x14ac:dyDescent="0.2">
      <c r="B16" s="22" t="s">
        <v>636</v>
      </c>
      <c r="C16" s="22" t="s">
        <v>637</v>
      </c>
      <c r="D16" s="22" t="s">
        <v>334</v>
      </c>
      <c r="E16" s="26">
        <v>50</v>
      </c>
      <c r="F16" s="24">
        <v>539.13</v>
      </c>
      <c r="G16" s="24">
        <v>1.78</v>
      </c>
    </row>
    <row r="17" spans="2:7" x14ac:dyDescent="0.2">
      <c r="B17" s="22" t="s">
        <v>354</v>
      </c>
      <c r="C17" s="22" t="s">
        <v>355</v>
      </c>
      <c r="D17" s="22" t="s">
        <v>334</v>
      </c>
      <c r="E17" s="26">
        <v>50</v>
      </c>
      <c r="F17" s="24">
        <v>535.98</v>
      </c>
      <c r="G17" s="24">
        <v>1.77</v>
      </c>
    </row>
    <row r="18" spans="2:7" x14ac:dyDescent="0.2">
      <c r="B18" s="22" t="s">
        <v>362</v>
      </c>
      <c r="C18" s="22" t="s">
        <v>363</v>
      </c>
      <c r="D18" s="22" t="s">
        <v>334</v>
      </c>
      <c r="E18" s="26">
        <v>50</v>
      </c>
      <c r="F18" s="24">
        <v>531.51</v>
      </c>
      <c r="G18" s="24">
        <v>1.76</v>
      </c>
    </row>
    <row r="19" spans="2:7" x14ac:dyDescent="0.2">
      <c r="B19" s="22" t="s">
        <v>496</v>
      </c>
      <c r="C19" s="22" t="s">
        <v>497</v>
      </c>
      <c r="D19" s="22" t="s">
        <v>334</v>
      </c>
      <c r="E19" s="26">
        <v>50</v>
      </c>
      <c r="F19" s="24">
        <v>529.52</v>
      </c>
      <c r="G19" s="24">
        <v>1.75</v>
      </c>
    </row>
    <row r="20" spans="2:7" x14ac:dyDescent="0.2">
      <c r="B20" s="22" t="s">
        <v>680</v>
      </c>
      <c r="C20" s="22" t="s">
        <v>681</v>
      </c>
      <c r="D20" s="22" t="s">
        <v>374</v>
      </c>
      <c r="E20" s="26">
        <v>50</v>
      </c>
      <c r="F20" s="24">
        <v>529.16</v>
      </c>
      <c r="G20" s="24">
        <v>1.75</v>
      </c>
    </row>
    <row r="21" spans="2:7" x14ac:dyDescent="0.2">
      <c r="B21" s="22" t="s">
        <v>682</v>
      </c>
      <c r="C21" s="22" t="s">
        <v>683</v>
      </c>
      <c r="D21" s="22" t="s">
        <v>334</v>
      </c>
      <c r="E21" s="26">
        <v>50</v>
      </c>
      <c r="F21" s="24">
        <v>527.63</v>
      </c>
      <c r="G21" s="24">
        <v>1.75</v>
      </c>
    </row>
    <row r="22" spans="2:7" x14ac:dyDescent="0.2">
      <c r="B22" s="22" t="s">
        <v>684</v>
      </c>
      <c r="C22" s="22" t="s">
        <v>685</v>
      </c>
      <c r="D22" s="22" t="s">
        <v>334</v>
      </c>
      <c r="E22" s="26">
        <v>50</v>
      </c>
      <c r="F22" s="24">
        <v>526.34</v>
      </c>
      <c r="G22" s="24">
        <v>1.74</v>
      </c>
    </row>
    <row r="23" spans="2:7" x14ac:dyDescent="0.2">
      <c r="B23" s="22" t="s">
        <v>642</v>
      </c>
      <c r="C23" s="22" t="s">
        <v>643</v>
      </c>
      <c r="D23" s="22" t="s">
        <v>334</v>
      </c>
      <c r="E23" s="26">
        <v>50</v>
      </c>
      <c r="F23" s="24">
        <v>525.53</v>
      </c>
      <c r="G23" s="24">
        <v>1.74</v>
      </c>
    </row>
    <row r="24" spans="2:7" x14ac:dyDescent="0.2">
      <c r="B24" s="22" t="s">
        <v>345</v>
      </c>
      <c r="C24" s="22" t="s">
        <v>346</v>
      </c>
      <c r="D24" s="22" t="s">
        <v>334</v>
      </c>
      <c r="E24" s="26">
        <v>50</v>
      </c>
      <c r="F24" s="24">
        <v>522.80999999999995</v>
      </c>
      <c r="G24" s="24">
        <v>1.73</v>
      </c>
    </row>
    <row r="25" spans="2:7" x14ac:dyDescent="0.2">
      <c r="B25" s="22" t="s">
        <v>686</v>
      </c>
      <c r="C25" s="22" t="s">
        <v>687</v>
      </c>
      <c r="D25" s="22" t="s">
        <v>334</v>
      </c>
      <c r="E25" s="26">
        <v>50</v>
      </c>
      <c r="F25" s="24">
        <v>520.71</v>
      </c>
      <c r="G25" s="24">
        <v>1.72</v>
      </c>
    </row>
    <row r="26" spans="2:7" x14ac:dyDescent="0.2">
      <c r="B26" s="22" t="s">
        <v>688</v>
      </c>
      <c r="C26" s="22" t="s">
        <v>689</v>
      </c>
      <c r="D26" s="22" t="s">
        <v>334</v>
      </c>
      <c r="E26" s="26">
        <v>50</v>
      </c>
      <c r="F26" s="24">
        <v>520.44000000000005</v>
      </c>
      <c r="G26" s="24">
        <v>1.72</v>
      </c>
    </row>
    <row r="27" spans="2:7" x14ac:dyDescent="0.2">
      <c r="B27" s="22" t="s">
        <v>366</v>
      </c>
      <c r="C27" s="22" t="s">
        <v>367</v>
      </c>
      <c r="D27" s="22" t="s">
        <v>334</v>
      </c>
      <c r="E27" s="26">
        <v>50</v>
      </c>
      <c r="F27" s="24">
        <v>520.1</v>
      </c>
      <c r="G27" s="24">
        <v>1.72</v>
      </c>
    </row>
    <row r="28" spans="2:7" x14ac:dyDescent="0.2">
      <c r="B28" s="22" t="s">
        <v>456</v>
      </c>
      <c r="C28" s="22" t="s">
        <v>457</v>
      </c>
      <c r="D28" s="22" t="s">
        <v>334</v>
      </c>
      <c r="E28" s="26">
        <v>50</v>
      </c>
      <c r="F28" s="24">
        <v>519.23</v>
      </c>
      <c r="G28" s="24">
        <v>1.72</v>
      </c>
    </row>
    <row r="29" spans="2:7" x14ac:dyDescent="0.2">
      <c r="B29" s="22" t="s">
        <v>610</v>
      </c>
      <c r="C29" s="22" t="s">
        <v>611</v>
      </c>
      <c r="D29" s="22" t="s">
        <v>334</v>
      </c>
      <c r="E29" s="26">
        <v>50</v>
      </c>
      <c r="F29" s="24">
        <v>515.51</v>
      </c>
      <c r="G29" s="24">
        <v>1.71</v>
      </c>
    </row>
    <row r="30" spans="2:7" x14ac:dyDescent="0.2">
      <c r="B30" s="22" t="s">
        <v>368</v>
      </c>
      <c r="C30" s="22" t="s">
        <v>369</v>
      </c>
      <c r="D30" s="22" t="s">
        <v>334</v>
      </c>
      <c r="E30" s="26">
        <v>50</v>
      </c>
      <c r="F30" s="24">
        <v>514.33000000000004</v>
      </c>
      <c r="G30" s="24">
        <v>1.7</v>
      </c>
    </row>
    <row r="31" spans="2:7" x14ac:dyDescent="0.2">
      <c r="B31" s="22" t="s">
        <v>690</v>
      </c>
      <c r="C31" s="22" t="s">
        <v>691</v>
      </c>
      <c r="D31" s="22" t="s">
        <v>334</v>
      </c>
      <c r="E31" s="26">
        <v>50</v>
      </c>
      <c r="F31" s="24">
        <v>513.74</v>
      </c>
      <c r="G31" s="24">
        <v>1.7</v>
      </c>
    </row>
    <row r="32" spans="2:7" x14ac:dyDescent="0.2">
      <c r="B32" s="22" t="s">
        <v>692</v>
      </c>
      <c r="C32" s="22" t="s">
        <v>693</v>
      </c>
      <c r="D32" s="22" t="s">
        <v>334</v>
      </c>
      <c r="E32" s="26">
        <v>50</v>
      </c>
      <c r="F32" s="24">
        <v>505.84</v>
      </c>
      <c r="G32" s="24">
        <v>1.67</v>
      </c>
    </row>
    <row r="33" spans="2:10" x14ac:dyDescent="0.2">
      <c r="B33" s="22" t="s">
        <v>494</v>
      </c>
      <c r="C33" s="22" t="s">
        <v>495</v>
      </c>
      <c r="D33" s="22" t="s">
        <v>334</v>
      </c>
      <c r="E33" s="26">
        <v>50</v>
      </c>
      <c r="F33" s="24">
        <v>500.2</v>
      </c>
      <c r="G33" s="24">
        <v>1.65</v>
      </c>
    </row>
    <row r="34" spans="2:10" x14ac:dyDescent="0.2">
      <c r="B34" s="28" t="s">
        <v>104</v>
      </c>
      <c r="C34" s="28"/>
      <c r="D34" s="28"/>
      <c r="E34" s="29"/>
      <c r="F34" s="30">
        <f>SUM(F6:F33)</f>
        <v>18934.080000000002</v>
      </c>
      <c r="G34" s="30">
        <f>SUM(G6:G33)</f>
        <v>62.63000000000001</v>
      </c>
      <c r="H34" s="14"/>
      <c r="I34" s="14"/>
      <c r="J34" s="14"/>
    </row>
    <row r="35" spans="2:10" x14ac:dyDescent="0.2">
      <c r="B35" s="38" t="s">
        <v>105</v>
      </c>
      <c r="C35" s="38"/>
      <c r="D35" s="38"/>
      <c r="E35" s="39"/>
      <c r="F35" s="40">
        <f>F34</f>
        <v>18934.080000000002</v>
      </c>
      <c r="G35" s="40">
        <f>G34</f>
        <v>62.63000000000001</v>
      </c>
      <c r="H35" s="14"/>
      <c r="I35" s="14"/>
      <c r="J35" s="14"/>
    </row>
    <row r="36" spans="2:10" x14ac:dyDescent="0.2">
      <c r="B36" s="37" t="s">
        <v>410</v>
      </c>
      <c r="C36" s="22"/>
      <c r="D36" s="22"/>
      <c r="E36" s="23"/>
      <c r="F36" s="24"/>
      <c r="G36" s="24"/>
    </row>
    <row r="37" spans="2:10" x14ac:dyDescent="0.2">
      <c r="B37" s="22" t="s">
        <v>428</v>
      </c>
      <c r="C37" s="22" t="s">
        <v>429</v>
      </c>
      <c r="D37" s="22" t="s">
        <v>413</v>
      </c>
      <c r="E37" s="26">
        <v>2000000</v>
      </c>
      <c r="F37" s="24">
        <v>2143.02</v>
      </c>
      <c r="G37" s="24">
        <v>7.09</v>
      </c>
    </row>
    <row r="38" spans="2:10" x14ac:dyDescent="0.2">
      <c r="B38" s="22" t="s">
        <v>414</v>
      </c>
      <c r="C38" s="22" t="s">
        <v>415</v>
      </c>
      <c r="D38" s="22" t="s">
        <v>413</v>
      </c>
      <c r="E38" s="26">
        <v>1500000</v>
      </c>
      <c r="F38" s="24">
        <v>1591.85</v>
      </c>
      <c r="G38" s="24">
        <v>5.27</v>
      </c>
    </row>
    <row r="39" spans="2:10" x14ac:dyDescent="0.2">
      <c r="B39" s="22" t="s">
        <v>418</v>
      </c>
      <c r="C39" s="22" t="s">
        <v>419</v>
      </c>
      <c r="D39" s="22" t="s">
        <v>413</v>
      </c>
      <c r="E39" s="26">
        <v>1300000</v>
      </c>
      <c r="F39" s="24">
        <v>1347.19</v>
      </c>
      <c r="G39" s="24">
        <v>4.46</v>
      </c>
    </row>
    <row r="40" spans="2:10" x14ac:dyDescent="0.2">
      <c r="B40" s="22" t="s">
        <v>430</v>
      </c>
      <c r="C40" s="22" t="s">
        <v>431</v>
      </c>
      <c r="D40" s="22" t="s">
        <v>413</v>
      </c>
      <c r="E40" s="26">
        <v>1000000</v>
      </c>
      <c r="F40" s="24">
        <v>1065.28</v>
      </c>
      <c r="G40" s="24">
        <v>3.52</v>
      </c>
    </row>
    <row r="41" spans="2:10" x14ac:dyDescent="0.2">
      <c r="B41" s="22" t="s">
        <v>416</v>
      </c>
      <c r="C41" s="22" t="s">
        <v>417</v>
      </c>
      <c r="D41" s="22" t="s">
        <v>413</v>
      </c>
      <c r="E41" s="26">
        <v>500000</v>
      </c>
      <c r="F41" s="24">
        <v>489.52</v>
      </c>
      <c r="G41" s="24">
        <v>1.62</v>
      </c>
    </row>
    <row r="42" spans="2:10" x14ac:dyDescent="0.2">
      <c r="B42" s="22" t="s">
        <v>420</v>
      </c>
      <c r="C42" s="22" t="s">
        <v>421</v>
      </c>
      <c r="D42" s="22" t="s">
        <v>413</v>
      </c>
      <c r="E42" s="26">
        <v>250000</v>
      </c>
      <c r="F42" s="24">
        <v>243.86</v>
      </c>
      <c r="G42" s="24">
        <v>0.81</v>
      </c>
    </row>
    <row r="43" spans="2:10" x14ac:dyDescent="0.2">
      <c r="B43" s="41" t="s">
        <v>664</v>
      </c>
      <c r="C43" s="41" t="s">
        <v>665</v>
      </c>
      <c r="D43" s="41" t="s">
        <v>413</v>
      </c>
      <c r="E43" s="42">
        <v>48000</v>
      </c>
      <c r="F43" s="43">
        <v>50.65</v>
      </c>
      <c r="G43" s="43">
        <v>0.17</v>
      </c>
    </row>
    <row r="44" spans="2:10" x14ac:dyDescent="0.2">
      <c r="B44" s="44" t="s">
        <v>105</v>
      </c>
      <c r="C44" s="44"/>
      <c r="D44" s="44"/>
      <c r="E44" s="45"/>
      <c r="F44" s="46">
        <f>SUM(F37:F43)</f>
        <v>6931.3699999999981</v>
      </c>
      <c r="G44" s="46">
        <f>SUM(G37:G43)</f>
        <v>22.94</v>
      </c>
      <c r="H44" s="14"/>
      <c r="I44" s="14"/>
      <c r="J44" s="14"/>
    </row>
    <row r="45" spans="2:10" x14ac:dyDescent="0.2">
      <c r="B45" s="37" t="s">
        <v>756</v>
      </c>
      <c r="C45" s="22"/>
      <c r="D45" s="22"/>
      <c r="E45" s="23"/>
      <c r="F45" s="24"/>
      <c r="G45" s="24"/>
    </row>
    <row r="46" spans="2:10" x14ac:dyDescent="0.2">
      <c r="B46" s="22" t="s">
        <v>756</v>
      </c>
      <c r="C46" s="22"/>
      <c r="D46" s="22"/>
      <c r="E46" s="23"/>
      <c r="F46" s="24">
        <v>3126.42</v>
      </c>
      <c r="G46" s="24">
        <v>10.34</v>
      </c>
    </row>
    <row r="47" spans="2:10" x14ac:dyDescent="0.2">
      <c r="B47" s="28" t="s">
        <v>104</v>
      </c>
      <c r="C47" s="28"/>
      <c r="D47" s="28"/>
      <c r="E47" s="29"/>
      <c r="F47" s="30">
        <f>SUM(F45:F46)</f>
        <v>3126.42</v>
      </c>
      <c r="G47" s="30">
        <f>SUM(G45:G46)</f>
        <v>10.34</v>
      </c>
      <c r="H47" s="14"/>
      <c r="I47" s="14"/>
      <c r="J47" s="14"/>
    </row>
    <row r="48" spans="2:10" x14ac:dyDescent="0.2">
      <c r="B48" s="31" t="s">
        <v>105</v>
      </c>
      <c r="C48" s="31"/>
      <c r="D48" s="31"/>
      <c r="E48" s="32"/>
      <c r="F48" s="33">
        <f>F47</f>
        <v>3126.42</v>
      </c>
      <c r="G48" s="33">
        <f>G47</f>
        <v>10.34</v>
      </c>
      <c r="H48" s="14"/>
      <c r="I48" s="14"/>
      <c r="J48" s="14"/>
    </row>
    <row r="49" spans="2:10" x14ac:dyDescent="0.2">
      <c r="B49" s="34" t="s">
        <v>107</v>
      </c>
      <c r="C49" s="34"/>
      <c r="D49" s="34"/>
      <c r="E49" s="35"/>
      <c r="F49" s="16">
        <f>F50-(+F35+F44+F48)</f>
        <v>1235.1799999999967</v>
      </c>
      <c r="G49" s="16">
        <f>G50-(+G35+G44+G48)</f>
        <v>4.0899999999999892</v>
      </c>
      <c r="H49" s="14"/>
      <c r="I49" s="14"/>
      <c r="J49" s="14"/>
    </row>
    <row r="50" spans="2:10" x14ac:dyDescent="0.2">
      <c r="B50" s="34" t="s">
        <v>106</v>
      </c>
      <c r="C50" s="34"/>
      <c r="D50" s="34"/>
      <c r="E50" s="35"/>
      <c r="F50" s="16">
        <v>30227.05</v>
      </c>
      <c r="G50" s="16">
        <v>100</v>
      </c>
      <c r="H50" s="14"/>
      <c r="I50" s="14"/>
      <c r="J50" s="14"/>
    </row>
    <row r="52" spans="2:10" x14ac:dyDescent="0.2">
      <c r="B52" s="14" t="s">
        <v>757</v>
      </c>
    </row>
    <row r="54" spans="2:10" x14ac:dyDescent="0.2">
      <c r="B54" s="14"/>
    </row>
    <row r="57" spans="2:10" x14ac:dyDescent="0.2">
      <c r="B57" s="14"/>
      <c r="C57" s="14"/>
      <c r="D57" s="14"/>
      <c r="E57" s="15"/>
    </row>
    <row r="63" spans="2:10" x14ac:dyDescent="0.2">
      <c r="D63" s="14"/>
      <c r="E63" s="15"/>
    </row>
    <row r="69" spans="2:5" x14ac:dyDescent="0.2">
      <c r="B69" s="14"/>
      <c r="C69" s="14"/>
      <c r="D69" s="14"/>
      <c r="E69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0"/>
  <sheetViews>
    <sheetView workbookViewId="0">
      <selection activeCell="C35" sqref="C35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26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108</v>
      </c>
      <c r="C7" s="22" t="s">
        <v>109</v>
      </c>
      <c r="D7" s="22" t="s">
        <v>43</v>
      </c>
      <c r="E7" s="26">
        <v>79540</v>
      </c>
      <c r="F7" s="24">
        <v>887.55</v>
      </c>
      <c r="G7" s="24">
        <v>1.52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41280</v>
      </c>
      <c r="F8" s="24">
        <v>858.91</v>
      </c>
      <c r="G8" s="24">
        <v>1.47</v>
      </c>
    </row>
    <row r="9" spans="2:7" x14ac:dyDescent="0.2">
      <c r="B9" s="25" t="s">
        <v>41</v>
      </c>
      <c r="C9" s="22" t="s">
        <v>42</v>
      </c>
      <c r="D9" s="22" t="s">
        <v>43</v>
      </c>
      <c r="E9" s="26">
        <v>109000</v>
      </c>
      <c r="F9" s="24">
        <v>430.11</v>
      </c>
      <c r="G9" s="24">
        <v>0.73</v>
      </c>
    </row>
    <row r="10" spans="2:7" x14ac:dyDescent="0.2">
      <c r="B10" s="25" t="s">
        <v>124</v>
      </c>
      <c r="C10" s="22" t="s">
        <v>125</v>
      </c>
      <c r="D10" s="22" t="s">
        <v>43</v>
      </c>
      <c r="E10" s="26">
        <v>27040</v>
      </c>
      <c r="F10" s="24">
        <v>378.93</v>
      </c>
      <c r="G10" s="24">
        <v>0.65</v>
      </c>
    </row>
    <row r="11" spans="2:7" x14ac:dyDescent="0.2">
      <c r="B11" s="25" t="s">
        <v>115</v>
      </c>
      <c r="C11" s="22" t="s">
        <v>116</v>
      </c>
      <c r="D11" s="22" t="s">
        <v>117</v>
      </c>
      <c r="E11" s="26">
        <v>17860</v>
      </c>
      <c r="F11" s="24">
        <v>378.16</v>
      </c>
      <c r="G11" s="24">
        <v>0.65</v>
      </c>
    </row>
    <row r="12" spans="2:7" x14ac:dyDescent="0.2">
      <c r="B12" s="25" t="s">
        <v>110</v>
      </c>
      <c r="C12" s="22" t="s">
        <v>111</v>
      </c>
      <c r="D12" s="22" t="s">
        <v>112</v>
      </c>
      <c r="E12" s="26">
        <v>40360</v>
      </c>
      <c r="F12" s="24">
        <v>374.78</v>
      </c>
      <c r="G12" s="24">
        <v>0.64</v>
      </c>
    </row>
    <row r="13" spans="2:7" x14ac:dyDescent="0.2">
      <c r="B13" s="25" t="s">
        <v>126</v>
      </c>
      <c r="C13" s="22" t="s">
        <v>127</v>
      </c>
      <c r="D13" s="22" t="s">
        <v>120</v>
      </c>
      <c r="E13" s="26">
        <v>18080</v>
      </c>
      <c r="F13" s="24">
        <v>331.33</v>
      </c>
      <c r="G13" s="24">
        <v>0.56999999999999995</v>
      </c>
    </row>
    <row r="14" spans="2:7" x14ac:dyDescent="0.2">
      <c r="B14" s="25" t="s">
        <v>113</v>
      </c>
      <c r="C14" s="22" t="s">
        <v>114</v>
      </c>
      <c r="D14" s="22" t="s">
        <v>112</v>
      </c>
      <c r="E14" s="26">
        <v>14000</v>
      </c>
      <c r="F14" s="24">
        <v>316.02</v>
      </c>
      <c r="G14" s="24">
        <v>0.54</v>
      </c>
    </row>
    <row r="15" spans="2:7" x14ac:dyDescent="0.2">
      <c r="B15" s="25" t="s">
        <v>133</v>
      </c>
      <c r="C15" s="22" t="s">
        <v>134</v>
      </c>
      <c r="D15" s="22" t="s">
        <v>123</v>
      </c>
      <c r="E15" s="26">
        <v>9000</v>
      </c>
      <c r="F15" s="24">
        <v>245.04</v>
      </c>
      <c r="G15" s="24">
        <v>0.42</v>
      </c>
    </row>
    <row r="16" spans="2:7" x14ac:dyDescent="0.2">
      <c r="B16" s="25" t="s">
        <v>84</v>
      </c>
      <c r="C16" s="22" t="s">
        <v>85</v>
      </c>
      <c r="D16" s="22" t="s">
        <v>71</v>
      </c>
      <c r="E16" s="26">
        <v>88660</v>
      </c>
      <c r="F16" s="24">
        <v>213.09</v>
      </c>
      <c r="G16" s="24">
        <v>0.36</v>
      </c>
    </row>
    <row r="17" spans="2:7" x14ac:dyDescent="0.2">
      <c r="B17" s="25" t="s">
        <v>52</v>
      </c>
      <c r="C17" s="22" t="s">
        <v>53</v>
      </c>
      <c r="D17" s="22" t="s">
        <v>54</v>
      </c>
      <c r="E17" s="26">
        <v>27500</v>
      </c>
      <c r="F17" s="24">
        <v>211.45</v>
      </c>
      <c r="G17" s="24">
        <v>0.36</v>
      </c>
    </row>
    <row r="18" spans="2:7" x14ac:dyDescent="0.2">
      <c r="B18" s="25" t="s">
        <v>158</v>
      </c>
      <c r="C18" s="22" t="s">
        <v>159</v>
      </c>
      <c r="D18" s="22" t="s">
        <v>43</v>
      </c>
      <c r="E18" s="26">
        <v>41500</v>
      </c>
      <c r="F18" s="24">
        <v>206.15</v>
      </c>
      <c r="G18" s="24">
        <v>0.35</v>
      </c>
    </row>
    <row r="19" spans="2:7" x14ac:dyDescent="0.2">
      <c r="B19" s="25" t="s">
        <v>142</v>
      </c>
      <c r="C19" s="22" t="s">
        <v>143</v>
      </c>
      <c r="D19" s="22" t="s">
        <v>130</v>
      </c>
      <c r="E19" s="26">
        <v>2966</v>
      </c>
      <c r="F19" s="24">
        <v>202.87</v>
      </c>
      <c r="G19" s="24">
        <v>0.35</v>
      </c>
    </row>
    <row r="20" spans="2:7" x14ac:dyDescent="0.2">
      <c r="B20" s="25" t="s">
        <v>64</v>
      </c>
      <c r="C20" s="22" t="s">
        <v>65</v>
      </c>
      <c r="D20" s="22" t="s">
        <v>66</v>
      </c>
      <c r="E20" s="26">
        <v>36600</v>
      </c>
      <c r="F20" s="24">
        <v>187.79</v>
      </c>
      <c r="G20" s="24">
        <v>0.32</v>
      </c>
    </row>
    <row r="21" spans="2:7" x14ac:dyDescent="0.2">
      <c r="B21" s="25" t="s">
        <v>188</v>
      </c>
      <c r="C21" s="22" t="s">
        <v>189</v>
      </c>
      <c r="D21" s="22" t="s">
        <v>130</v>
      </c>
      <c r="E21" s="26">
        <v>15000</v>
      </c>
      <c r="F21" s="24">
        <v>163.13999999999999</v>
      </c>
      <c r="G21" s="24">
        <v>0.28000000000000003</v>
      </c>
    </row>
    <row r="22" spans="2:7" x14ac:dyDescent="0.2">
      <c r="B22" s="25" t="s">
        <v>32</v>
      </c>
      <c r="C22" s="22" t="s">
        <v>33</v>
      </c>
      <c r="D22" s="22" t="s">
        <v>34</v>
      </c>
      <c r="E22" s="26">
        <v>17180</v>
      </c>
      <c r="F22" s="24">
        <v>162.34</v>
      </c>
      <c r="G22" s="24">
        <v>0.28000000000000003</v>
      </c>
    </row>
    <row r="23" spans="2:7" x14ac:dyDescent="0.2">
      <c r="B23" s="25" t="s">
        <v>82</v>
      </c>
      <c r="C23" s="22" t="s">
        <v>83</v>
      </c>
      <c r="D23" s="22" t="s">
        <v>51</v>
      </c>
      <c r="E23" s="26">
        <v>800</v>
      </c>
      <c r="F23" s="24">
        <v>162.26</v>
      </c>
      <c r="G23" s="24">
        <v>0.28000000000000003</v>
      </c>
    </row>
    <row r="24" spans="2:7" x14ac:dyDescent="0.2">
      <c r="B24" s="25" t="s">
        <v>118</v>
      </c>
      <c r="C24" s="22" t="s">
        <v>119</v>
      </c>
      <c r="D24" s="22" t="s">
        <v>120</v>
      </c>
      <c r="E24" s="26">
        <v>4500</v>
      </c>
      <c r="F24" s="24">
        <v>156.94999999999999</v>
      </c>
      <c r="G24" s="24">
        <v>0.27</v>
      </c>
    </row>
    <row r="25" spans="2:7" x14ac:dyDescent="0.2">
      <c r="B25" s="25" t="s">
        <v>228</v>
      </c>
      <c r="C25" s="22" t="s">
        <v>229</v>
      </c>
      <c r="D25" s="22" t="s">
        <v>117</v>
      </c>
      <c r="E25" s="26">
        <v>32500</v>
      </c>
      <c r="F25" s="24">
        <v>155.29</v>
      </c>
      <c r="G25" s="24">
        <v>0.27</v>
      </c>
    </row>
    <row r="26" spans="2:7" x14ac:dyDescent="0.2">
      <c r="B26" s="25" t="s">
        <v>276</v>
      </c>
      <c r="C26" s="22" t="s">
        <v>277</v>
      </c>
      <c r="D26" s="22" t="s">
        <v>187</v>
      </c>
      <c r="E26" s="26">
        <v>8067</v>
      </c>
      <c r="F26" s="24">
        <v>154.01</v>
      </c>
      <c r="G26" s="24">
        <v>0.26</v>
      </c>
    </row>
    <row r="27" spans="2:7" x14ac:dyDescent="0.2">
      <c r="B27" s="25" t="s">
        <v>79</v>
      </c>
      <c r="C27" s="22" t="s">
        <v>80</v>
      </c>
      <c r="D27" s="22" t="s">
        <v>81</v>
      </c>
      <c r="E27" s="26">
        <v>23580</v>
      </c>
      <c r="F27" s="24">
        <v>149.66999999999999</v>
      </c>
      <c r="G27" s="24">
        <v>0.26</v>
      </c>
    </row>
    <row r="28" spans="2:7" x14ac:dyDescent="0.2">
      <c r="B28" s="25" t="s">
        <v>168</v>
      </c>
      <c r="C28" s="22" t="s">
        <v>169</v>
      </c>
      <c r="D28" s="22" t="s">
        <v>117</v>
      </c>
      <c r="E28" s="26">
        <v>72000</v>
      </c>
      <c r="F28" s="24">
        <v>137.59</v>
      </c>
      <c r="G28" s="24">
        <v>0.23</v>
      </c>
    </row>
    <row r="29" spans="2:7" x14ac:dyDescent="0.2">
      <c r="B29" s="25" t="s">
        <v>135</v>
      </c>
      <c r="C29" s="22" t="s">
        <v>136</v>
      </c>
      <c r="D29" s="22" t="s">
        <v>137</v>
      </c>
      <c r="E29" s="26">
        <v>2000</v>
      </c>
      <c r="F29" s="24">
        <v>115.61</v>
      </c>
      <c r="G29" s="24">
        <v>0.2</v>
      </c>
    </row>
    <row r="30" spans="2:7" x14ac:dyDescent="0.2">
      <c r="B30" s="25" t="s">
        <v>154</v>
      </c>
      <c r="C30" s="22" t="s">
        <v>155</v>
      </c>
      <c r="D30" s="22" t="s">
        <v>81</v>
      </c>
      <c r="E30" s="26">
        <v>9760</v>
      </c>
      <c r="F30" s="24">
        <v>107.41</v>
      </c>
      <c r="G30" s="24">
        <v>0.18</v>
      </c>
    </row>
    <row r="31" spans="2:7" x14ac:dyDescent="0.2">
      <c r="B31" s="25" t="s">
        <v>69</v>
      </c>
      <c r="C31" s="22" t="s">
        <v>70</v>
      </c>
      <c r="D31" s="22" t="s">
        <v>71</v>
      </c>
      <c r="E31" s="26">
        <v>26000</v>
      </c>
      <c r="F31" s="24">
        <v>102.56</v>
      </c>
      <c r="G31" s="24">
        <v>0.18</v>
      </c>
    </row>
    <row r="32" spans="2:7" x14ac:dyDescent="0.2">
      <c r="B32" s="25" t="s">
        <v>49</v>
      </c>
      <c r="C32" s="22" t="s">
        <v>50</v>
      </c>
      <c r="D32" s="22" t="s">
        <v>51</v>
      </c>
      <c r="E32" s="26">
        <v>2300</v>
      </c>
      <c r="F32" s="24">
        <v>89.79</v>
      </c>
      <c r="G32" s="24">
        <v>0.15</v>
      </c>
    </row>
    <row r="33" spans="2:10" x14ac:dyDescent="0.2">
      <c r="B33" s="25" t="s">
        <v>172</v>
      </c>
      <c r="C33" s="22" t="s">
        <v>173</v>
      </c>
      <c r="D33" s="22" t="s">
        <v>81</v>
      </c>
      <c r="E33" s="26">
        <v>4100</v>
      </c>
      <c r="F33" s="24">
        <v>86.98</v>
      </c>
      <c r="G33" s="24">
        <v>0.15</v>
      </c>
    </row>
    <row r="34" spans="2:10" x14ac:dyDescent="0.2">
      <c r="B34" s="25" t="s">
        <v>694</v>
      </c>
      <c r="C34" s="22" t="s">
        <v>695</v>
      </c>
      <c r="D34" s="22" t="s">
        <v>117</v>
      </c>
      <c r="E34" s="26">
        <v>18000</v>
      </c>
      <c r="F34" s="24">
        <v>85.43</v>
      </c>
      <c r="G34" s="24">
        <v>0.15</v>
      </c>
    </row>
    <row r="35" spans="2:10" x14ac:dyDescent="0.2">
      <c r="B35" s="25" t="s">
        <v>226</v>
      </c>
      <c r="C35" s="22" t="s">
        <v>227</v>
      </c>
      <c r="D35" s="22" t="s">
        <v>117</v>
      </c>
      <c r="E35" s="26">
        <v>15000</v>
      </c>
      <c r="F35" s="24">
        <v>79.849999999999994</v>
      </c>
      <c r="G35" s="24">
        <v>0.14000000000000001</v>
      </c>
    </row>
    <row r="36" spans="2:10" x14ac:dyDescent="0.2">
      <c r="B36" s="25" t="s">
        <v>185</v>
      </c>
      <c r="C36" s="22" t="s">
        <v>186</v>
      </c>
      <c r="D36" s="22" t="s">
        <v>187</v>
      </c>
      <c r="E36" s="26">
        <v>3300</v>
      </c>
      <c r="F36" s="24">
        <v>74.290000000000006</v>
      </c>
      <c r="G36" s="24">
        <v>0.13</v>
      </c>
    </row>
    <row r="37" spans="2:10" x14ac:dyDescent="0.2">
      <c r="B37" s="25" t="s">
        <v>131</v>
      </c>
      <c r="C37" s="22" t="s">
        <v>132</v>
      </c>
      <c r="D37" s="22" t="s">
        <v>130</v>
      </c>
      <c r="E37" s="26">
        <v>10000</v>
      </c>
      <c r="F37" s="24">
        <v>60.69</v>
      </c>
      <c r="G37" s="24">
        <v>0.1</v>
      </c>
    </row>
    <row r="38" spans="2:10" x14ac:dyDescent="0.2">
      <c r="B38" s="25" t="s">
        <v>100</v>
      </c>
      <c r="C38" s="22" t="s">
        <v>101</v>
      </c>
      <c r="D38" s="22" t="s">
        <v>57</v>
      </c>
      <c r="E38" s="26">
        <v>10000</v>
      </c>
      <c r="F38" s="24">
        <v>52.37</v>
      </c>
      <c r="G38" s="24">
        <v>0.09</v>
      </c>
    </row>
    <row r="39" spans="2:10" x14ac:dyDescent="0.2">
      <c r="B39" s="25" t="s">
        <v>46</v>
      </c>
      <c r="C39" s="22" t="s">
        <v>47</v>
      </c>
      <c r="D39" s="22" t="s">
        <v>48</v>
      </c>
      <c r="E39" s="26">
        <v>150</v>
      </c>
      <c r="F39" s="24">
        <v>48.94</v>
      </c>
      <c r="G39" s="24">
        <v>0.08</v>
      </c>
    </row>
    <row r="40" spans="2:10" x14ac:dyDescent="0.2">
      <c r="B40" s="25" t="s">
        <v>144</v>
      </c>
      <c r="C40" s="22" t="s">
        <v>145</v>
      </c>
      <c r="D40" s="22" t="s">
        <v>117</v>
      </c>
      <c r="E40" s="26">
        <v>1250</v>
      </c>
      <c r="F40" s="24">
        <v>46.58</v>
      </c>
      <c r="G40" s="24">
        <v>0.08</v>
      </c>
    </row>
    <row r="41" spans="2:10" x14ac:dyDescent="0.2">
      <c r="B41" s="25" t="s">
        <v>696</v>
      </c>
      <c r="C41" s="22" t="s">
        <v>697</v>
      </c>
      <c r="D41" s="22" t="s">
        <v>81</v>
      </c>
      <c r="E41" s="26">
        <v>7200</v>
      </c>
      <c r="F41" s="24">
        <v>44.32</v>
      </c>
      <c r="G41" s="24">
        <v>0.08</v>
      </c>
    </row>
    <row r="42" spans="2:10" x14ac:dyDescent="0.2">
      <c r="B42" s="27" t="s">
        <v>104</v>
      </c>
      <c r="C42" s="28"/>
      <c r="D42" s="28"/>
      <c r="E42" s="29"/>
      <c r="F42" s="30">
        <f>SUM(F7:F41)</f>
        <v>7458.2499999999991</v>
      </c>
      <c r="G42" s="30">
        <f>SUM(G7:G41)</f>
        <v>12.77</v>
      </c>
      <c r="H42" s="14"/>
      <c r="I42" s="14"/>
      <c r="J42" s="14"/>
    </row>
    <row r="43" spans="2:10" x14ac:dyDescent="0.2">
      <c r="B43" s="31" t="s">
        <v>105</v>
      </c>
      <c r="C43" s="31"/>
      <c r="D43" s="31"/>
      <c r="E43" s="32"/>
      <c r="F43" s="33">
        <f>F42</f>
        <v>7458.2499999999991</v>
      </c>
      <c r="G43" s="33">
        <f>G42</f>
        <v>12.77</v>
      </c>
      <c r="H43" s="14"/>
      <c r="I43" s="14"/>
      <c r="J43" s="14"/>
    </row>
    <row r="44" spans="2:10" x14ac:dyDescent="0.2">
      <c r="B44" s="36" t="s">
        <v>331</v>
      </c>
      <c r="C44" s="18"/>
      <c r="D44" s="18"/>
      <c r="E44" s="19"/>
      <c r="F44" s="20"/>
      <c r="G44" s="20"/>
    </row>
    <row r="45" spans="2:10" x14ac:dyDescent="0.2">
      <c r="B45" s="37" t="s">
        <v>31</v>
      </c>
      <c r="C45" s="22"/>
      <c r="D45" s="22"/>
      <c r="E45" s="23"/>
      <c r="F45" s="24"/>
      <c r="G45" s="24"/>
    </row>
    <row r="46" spans="2:10" x14ac:dyDescent="0.2">
      <c r="B46" s="22" t="s">
        <v>698</v>
      </c>
      <c r="C46" s="22" t="s">
        <v>699</v>
      </c>
      <c r="D46" s="22" t="s">
        <v>334</v>
      </c>
      <c r="E46" s="26">
        <v>485</v>
      </c>
      <c r="F46" s="24">
        <v>6056.97</v>
      </c>
      <c r="G46" s="24">
        <v>10.34</v>
      </c>
    </row>
    <row r="47" spans="2:10" x14ac:dyDescent="0.2">
      <c r="B47" s="22" t="s">
        <v>700</v>
      </c>
      <c r="C47" s="22" t="s">
        <v>701</v>
      </c>
      <c r="D47" s="22" t="s">
        <v>334</v>
      </c>
      <c r="E47" s="26">
        <v>480</v>
      </c>
      <c r="F47" s="24">
        <v>5954.4</v>
      </c>
      <c r="G47" s="24">
        <v>10.17</v>
      </c>
    </row>
    <row r="48" spans="2:10" x14ac:dyDescent="0.2">
      <c r="B48" s="22" t="s">
        <v>702</v>
      </c>
      <c r="C48" s="22" t="s">
        <v>703</v>
      </c>
      <c r="D48" s="22" t="s">
        <v>334</v>
      </c>
      <c r="E48" s="26">
        <v>500</v>
      </c>
      <c r="F48" s="24">
        <v>5102.8</v>
      </c>
      <c r="G48" s="24">
        <v>8.7100000000000009</v>
      </c>
    </row>
    <row r="49" spans="2:10" x14ac:dyDescent="0.2">
      <c r="B49" s="22" t="s">
        <v>392</v>
      </c>
      <c r="C49" s="22" t="s">
        <v>393</v>
      </c>
      <c r="D49" s="22" t="s">
        <v>334</v>
      </c>
      <c r="E49" s="26">
        <v>450</v>
      </c>
      <c r="F49" s="24">
        <v>4585.7</v>
      </c>
      <c r="G49" s="24">
        <v>7.83</v>
      </c>
    </row>
    <row r="50" spans="2:10" x14ac:dyDescent="0.2">
      <c r="B50" s="22" t="s">
        <v>704</v>
      </c>
      <c r="C50" s="22" t="s">
        <v>705</v>
      </c>
      <c r="D50" s="22" t="s">
        <v>334</v>
      </c>
      <c r="E50" s="26">
        <v>400</v>
      </c>
      <c r="F50" s="24">
        <v>4076.82</v>
      </c>
      <c r="G50" s="24">
        <v>6.96</v>
      </c>
    </row>
    <row r="51" spans="2:10" x14ac:dyDescent="0.2">
      <c r="B51" s="22" t="s">
        <v>706</v>
      </c>
      <c r="C51" s="22" t="s">
        <v>707</v>
      </c>
      <c r="D51" s="22" t="s">
        <v>385</v>
      </c>
      <c r="E51" s="26">
        <v>250</v>
      </c>
      <c r="F51" s="24">
        <v>3085.67</v>
      </c>
      <c r="G51" s="24">
        <v>5.27</v>
      </c>
    </row>
    <row r="52" spans="2:10" x14ac:dyDescent="0.2">
      <c r="B52" s="22" t="s">
        <v>708</v>
      </c>
      <c r="C52" s="22" t="s">
        <v>709</v>
      </c>
      <c r="D52" s="22" t="s">
        <v>334</v>
      </c>
      <c r="E52" s="26">
        <v>250</v>
      </c>
      <c r="F52" s="24">
        <v>2554.12</v>
      </c>
      <c r="G52" s="24">
        <v>4.3600000000000003</v>
      </c>
    </row>
    <row r="53" spans="2:10" x14ac:dyDescent="0.2">
      <c r="B53" s="22" t="s">
        <v>710</v>
      </c>
      <c r="C53" s="22" t="s">
        <v>711</v>
      </c>
      <c r="D53" s="22" t="s">
        <v>334</v>
      </c>
      <c r="E53" s="26">
        <v>250</v>
      </c>
      <c r="F53" s="24">
        <v>2550.39</v>
      </c>
      <c r="G53" s="24">
        <v>4.3499999999999996</v>
      </c>
    </row>
    <row r="54" spans="2:10" x14ac:dyDescent="0.2">
      <c r="B54" s="22" t="s">
        <v>712</v>
      </c>
      <c r="C54" s="22" t="s">
        <v>713</v>
      </c>
      <c r="D54" s="22" t="s">
        <v>334</v>
      </c>
      <c r="E54" s="26">
        <v>15</v>
      </c>
      <c r="F54" s="24">
        <v>1534.71</v>
      </c>
      <c r="G54" s="24">
        <v>2.62</v>
      </c>
    </row>
    <row r="55" spans="2:10" x14ac:dyDescent="0.2">
      <c r="B55" s="22" t="s">
        <v>714</v>
      </c>
      <c r="C55" s="22" t="s">
        <v>715</v>
      </c>
      <c r="D55" s="22" t="s">
        <v>334</v>
      </c>
      <c r="E55" s="26">
        <v>150</v>
      </c>
      <c r="F55" s="24">
        <v>1522.49</v>
      </c>
      <c r="G55" s="24">
        <v>2.6</v>
      </c>
    </row>
    <row r="56" spans="2:10" x14ac:dyDescent="0.2">
      <c r="B56" s="22" t="s">
        <v>716</v>
      </c>
      <c r="C56" s="22" t="s">
        <v>717</v>
      </c>
      <c r="D56" s="22" t="s">
        <v>334</v>
      </c>
      <c r="E56" s="26">
        <v>80</v>
      </c>
      <c r="F56" s="24">
        <v>993.72</v>
      </c>
      <c r="G56" s="24">
        <v>1.7</v>
      </c>
    </row>
    <row r="57" spans="2:10" x14ac:dyDescent="0.2">
      <c r="B57" s="22" t="s">
        <v>718</v>
      </c>
      <c r="C57" s="22" t="s">
        <v>719</v>
      </c>
      <c r="D57" s="22" t="s">
        <v>334</v>
      </c>
      <c r="E57" s="26">
        <v>50</v>
      </c>
      <c r="F57" s="24">
        <v>510.15</v>
      </c>
      <c r="G57" s="24">
        <v>0.87</v>
      </c>
    </row>
    <row r="58" spans="2:10" x14ac:dyDescent="0.2">
      <c r="B58" s="28" t="s">
        <v>104</v>
      </c>
      <c r="C58" s="28"/>
      <c r="D58" s="28"/>
      <c r="E58" s="29"/>
      <c r="F58" s="30">
        <f>SUM(F45:F57)</f>
        <v>38527.94</v>
      </c>
      <c r="G58" s="30">
        <f>SUM(G45:G57)</f>
        <v>65.78</v>
      </c>
      <c r="H58" s="14"/>
      <c r="I58" s="14"/>
      <c r="J58" s="14"/>
    </row>
    <row r="59" spans="2:10" x14ac:dyDescent="0.2">
      <c r="B59" s="38" t="s">
        <v>105</v>
      </c>
      <c r="C59" s="38"/>
      <c r="D59" s="38"/>
      <c r="E59" s="39"/>
      <c r="F59" s="40">
        <f>F58</f>
        <v>38527.94</v>
      </c>
      <c r="G59" s="40">
        <f>G58</f>
        <v>65.78</v>
      </c>
      <c r="H59" s="14"/>
      <c r="I59" s="14"/>
      <c r="J59" s="14"/>
    </row>
    <row r="60" spans="2:10" x14ac:dyDescent="0.2">
      <c r="B60" s="37" t="s">
        <v>410</v>
      </c>
      <c r="C60" s="22"/>
      <c r="D60" s="22"/>
      <c r="E60" s="23"/>
      <c r="F60" s="24"/>
      <c r="G60" s="24"/>
    </row>
    <row r="61" spans="2:10" x14ac:dyDescent="0.2">
      <c r="B61" s="22" t="s">
        <v>720</v>
      </c>
      <c r="C61" s="22" t="s">
        <v>721</v>
      </c>
      <c r="D61" s="22" t="s">
        <v>413</v>
      </c>
      <c r="E61" s="26">
        <v>2575000</v>
      </c>
      <c r="F61" s="24">
        <v>2633.74</v>
      </c>
      <c r="G61" s="24">
        <v>4.5</v>
      </c>
    </row>
    <row r="62" spans="2:10" x14ac:dyDescent="0.2">
      <c r="B62" s="22" t="s">
        <v>722</v>
      </c>
      <c r="C62" s="22" t="s">
        <v>723</v>
      </c>
      <c r="D62" s="22" t="s">
        <v>413</v>
      </c>
      <c r="E62" s="26">
        <v>2500000</v>
      </c>
      <c r="F62" s="24">
        <v>2561.6</v>
      </c>
      <c r="G62" s="24">
        <v>4.37</v>
      </c>
    </row>
    <row r="63" spans="2:10" x14ac:dyDescent="0.2">
      <c r="B63" s="22" t="s">
        <v>668</v>
      </c>
      <c r="C63" s="22" t="s">
        <v>669</v>
      </c>
      <c r="D63" s="22" t="s">
        <v>413</v>
      </c>
      <c r="E63" s="26">
        <v>1703000</v>
      </c>
      <c r="F63" s="24">
        <v>1743.03</v>
      </c>
      <c r="G63" s="24">
        <v>2.98</v>
      </c>
    </row>
    <row r="64" spans="2:10" x14ac:dyDescent="0.2">
      <c r="B64" s="41" t="s">
        <v>724</v>
      </c>
      <c r="C64" s="41" t="s">
        <v>725</v>
      </c>
      <c r="D64" s="41" t="s">
        <v>413</v>
      </c>
      <c r="E64" s="42">
        <v>1500000</v>
      </c>
      <c r="F64" s="43">
        <v>1536.22</v>
      </c>
      <c r="G64" s="43">
        <v>2.62</v>
      </c>
    </row>
    <row r="65" spans="2:10" x14ac:dyDescent="0.2">
      <c r="B65" s="44" t="s">
        <v>105</v>
      </c>
      <c r="C65" s="44"/>
      <c r="D65" s="44"/>
      <c r="E65" s="45"/>
      <c r="F65" s="46">
        <f>SUM(F61:F64)</f>
        <v>8474.59</v>
      </c>
      <c r="G65" s="46">
        <f>SUM(G61:G64)</f>
        <v>14.470000000000002</v>
      </c>
      <c r="H65" s="14"/>
      <c r="I65" s="14"/>
      <c r="J65" s="14"/>
    </row>
    <row r="66" spans="2:10" x14ac:dyDescent="0.2">
      <c r="B66" s="37" t="s">
        <v>756</v>
      </c>
      <c r="C66" s="22"/>
      <c r="D66" s="22"/>
      <c r="E66" s="23"/>
      <c r="F66" s="24"/>
      <c r="G66" s="24"/>
    </row>
    <row r="67" spans="2:10" x14ac:dyDescent="0.2">
      <c r="B67" s="22" t="s">
        <v>756</v>
      </c>
      <c r="C67" s="22"/>
      <c r="D67" s="22"/>
      <c r="E67" s="23"/>
      <c r="F67" s="24">
        <v>2770.97</v>
      </c>
      <c r="G67" s="24">
        <v>4.7300000000000004</v>
      </c>
    </row>
    <row r="68" spans="2:10" x14ac:dyDescent="0.2">
      <c r="B68" s="28" t="s">
        <v>104</v>
      </c>
      <c r="C68" s="28"/>
      <c r="D68" s="28"/>
      <c r="E68" s="29"/>
      <c r="F68" s="30">
        <f>SUM(F66:F67)</f>
        <v>2770.97</v>
      </c>
      <c r="G68" s="30">
        <f>SUM(G66:G67)</f>
        <v>4.7300000000000004</v>
      </c>
      <c r="H68" s="14"/>
      <c r="I68" s="14"/>
      <c r="J68" s="14"/>
    </row>
    <row r="69" spans="2:10" x14ac:dyDescent="0.2">
      <c r="B69" s="31" t="s">
        <v>105</v>
      </c>
      <c r="C69" s="31"/>
      <c r="D69" s="31"/>
      <c r="E69" s="32"/>
      <c r="F69" s="33">
        <f>F68</f>
        <v>2770.97</v>
      </c>
      <c r="G69" s="33">
        <f>G68</f>
        <v>4.7300000000000004</v>
      </c>
      <c r="H69" s="14"/>
      <c r="I69" s="14"/>
      <c r="J69" s="14"/>
    </row>
    <row r="70" spans="2:10" x14ac:dyDescent="0.2">
      <c r="B70" s="34" t="s">
        <v>107</v>
      </c>
      <c r="C70" s="34"/>
      <c r="D70" s="34"/>
      <c r="E70" s="35"/>
      <c r="F70" s="16">
        <f>F71-(+F43+F59+F65+F69)</f>
        <v>1340.6800000000003</v>
      </c>
      <c r="G70" s="16">
        <f>G71-(+G43+G59+G65+G69)</f>
        <v>2.25</v>
      </c>
      <c r="H70" s="14"/>
      <c r="I70" s="14"/>
      <c r="J70" s="14"/>
    </row>
    <row r="71" spans="2:10" x14ac:dyDescent="0.2">
      <c r="B71" s="34" t="s">
        <v>106</v>
      </c>
      <c r="C71" s="34"/>
      <c r="D71" s="34"/>
      <c r="E71" s="35"/>
      <c r="F71" s="16">
        <v>58572.43</v>
      </c>
      <c r="G71" s="16">
        <v>100</v>
      </c>
      <c r="H71" s="14"/>
      <c r="I71" s="14"/>
      <c r="J71" s="14"/>
    </row>
    <row r="73" spans="2:10" x14ac:dyDescent="0.2">
      <c r="B73" s="14" t="s">
        <v>757</v>
      </c>
    </row>
    <row r="75" spans="2:10" x14ac:dyDescent="0.2">
      <c r="B75" s="14"/>
    </row>
    <row r="78" spans="2:10" x14ac:dyDescent="0.2">
      <c r="B78" s="14"/>
      <c r="C78" s="14"/>
      <c r="D78" s="14"/>
      <c r="E78" s="15"/>
    </row>
    <row r="84" spans="2:5" x14ac:dyDescent="0.2">
      <c r="D84" s="14"/>
      <c r="E84" s="15"/>
    </row>
    <row r="90" spans="2:5" x14ac:dyDescent="0.2">
      <c r="B90" s="14"/>
      <c r="C90" s="14"/>
      <c r="D90" s="14"/>
      <c r="E90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3"/>
  <sheetViews>
    <sheetView workbookViewId="0">
      <selection activeCell="F3" sqref="F3"/>
    </sheetView>
  </sheetViews>
  <sheetFormatPr defaultRowHeight="12" x14ac:dyDescent="0.2"/>
  <cols>
    <col min="1" max="1" width="9.140625" style="1"/>
    <col min="2" max="2" width="57.4257812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27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110</v>
      </c>
      <c r="C7" s="22" t="s">
        <v>111</v>
      </c>
      <c r="D7" s="22" t="s">
        <v>112</v>
      </c>
      <c r="E7" s="26">
        <v>127200</v>
      </c>
      <c r="F7" s="24">
        <v>1181.18</v>
      </c>
      <c r="G7" s="24">
        <v>2.74</v>
      </c>
    </row>
    <row r="8" spans="2:7" x14ac:dyDescent="0.2">
      <c r="B8" s="25" t="s">
        <v>38</v>
      </c>
      <c r="C8" s="22" t="s">
        <v>39</v>
      </c>
      <c r="D8" s="22" t="s">
        <v>40</v>
      </c>
      <c r="E8" s="26">
        <v>56030</v>
      </c>
      <c r="F8" s="24">
        <v>1165.82</v>
      </c>
      <c r="G8" s="24">
        <v>2.7</v>
      </c>
    </row>
    <row r="9" spans="2:7" x14ac:dyDescent="0.2">
      <c r="B9" s="25" t="s">
        <v>108</v>
      </c>
      <c r="C9" s="22" t="s">
        <v>109</v>
      </c>
      <c r="D9" s="22" t="s">
        <v>43</v>
      </c>
      <c r="E9" s="26">
        <v>74220</v>
      </c>
      <c r="F9" s="24">
        <v>828.18</v>
      </c>
      <c r="G9" s="24">
        <v>1.92</v>
      </c>
    </row>
    <row r="10" spans="2:7" x14ac:dyDescent="0.2">
      <c r="B10" s="25" t="s">
        <v>41</v>
      </c>
      <c r="C10" s="22" t="s">
        <v>42</v>
      </c>
      <c r="D10" s="22" t="s">
        <v>43</v>
      </c>
      <c r="E10" s="26">
        <v>167300</v>
      </c>
      <c r="F10" s="24">
        <v>660.17</v>
      </c>
      <c r="G10" s="24">
        <v>1.53</v>
      </c>
    </row>
    <row r="11" spans="2:7" x14ac:dyDescent="0.2">
      <c r="B11" s="25" t="s">
        <v>158</v>
      </c>
      <c r="C11" s="22" t="s">
        <v>159</v>
      </c>
      <c r="D11" s="22" t="s">
        <v>43</v>
      </c>
      <c r="E11" s="26">
        <v>126600</v>
      </c>
      <c r="F11" s="24">
        <v>628.89</v>
      </c>
      <c r="G11" s="24">
        <v>1.46</v>
      </c>
    </row>
    <row r="12" spans="2:7" x14ac:dyDescent="0.2">
      <c r="B12" s="25" t="s">
        <v>115</v>
      </c>
      <c r="C12" s="22" t="s">
        <v>116</v>
      </c>
      <c r="D12" s="22" t="s">
        <v>117</v>
      </c>
      <c r="E12" s="26">
        <v>29525</v>
      </c>
      <c r="F12" s="24">
        <v>625.15</v>
      </c>
      <c r="G12" s="24">
        <v>1.45</v>
      </c>
    </row>
    <row r="13" spans="2:7" x14ac:dyDescent="0.2">
      <c r="B13" s="25" t="s">
        <v>185</v>
      </c>
      <c r="C13" s="22" t="s">
        <v>186</v>
      </c>
      <c r="D13" s="22" t="s">
        <v>187</v>
      </c>
      <c r="E13" s="26">
        <v>24450</v>
      </c>
      <c r="F13" s="24">
        <v>550.42999999999995</v>
      </c>
      <c r="G13" s="24">
        <v>1.28</v>
      </c>
    </row>
    <row r="14" spans="2:7" x14ac:dyDescent="0.2">
      <c r="B14" s="25" t="s">
        <v>118</v>
      </c>
      <c r="C14" s="22" t="s">
        <v>119</v>
      </c>
      <c r="D14" s="22" t="s">
        <v>120</v>
      </c>
      <c r="E14" s="26">
        <v>13325</v>
      </c>
      <c r="F14" s="24">
        <v>464.75</v>
      </c>
      <c r="G14" s="24">
        <v>1.08</v>
      </c>
    </row>
    <row r="15" spans="2:7" x14ac:dyDescent="0.2">
      <c r="B15" s="25" t="s">
        <v>156</v>
      </c>
      <c r="C15" s="22" t="s">
        <v>157</v>
      </c>
      <c r="D15" s="22" t="s">
        <v>117</v>
      </c>
      <c r="E15" s="26">
        <v>23720</v>
      </c>
      <c r="F15" s="24">
        <v>450.47</v>
      </c>
      <c r="G15" s="24">
        <v>1.04</v>
      </c>
    </row>
    <row r="16" spans="2:7" x14ac:dyDescent="0.2">
      <c r="B16" s="25" t="s">
        <v>255</v>
      </c>
      <c r="C16" s="22" t="s">
        <v>256</v>
      </c>
      <c r="D16" s="22" t="s">
        <v>123</v>
      </c>
      <c r="E16" s="26">
        <v>10000</v>
      </c>
      <c r="F16" s="24">
        <v>426.47</v>
      </c>
      <c r="G16" s="24">
        <v>0.99</v>
      </c>
    </row>
    <row r="17" spans="2:7" x14ac:dyDescent="0.2">
      <c r="B17" s="25" t="s">
        <v>64</v>
      </c>
      <c r="C17" s="22" t="s">
        <v>65</v>
      </c>
      <c r="D17" s="22" t="s">
        <v>66</v>
      </c>
      <c r="E17" s="26">
        <v>80000</v>
      </c>
      <c r="F17" s="24">
        <v>410.48</v>
      </c>
      <c r="G17" s="24">
        <v>0.95</v>
      </c>
    </row>
    <row r="18" spans="2:7" x14ac:dyDescent="0.2">
      <c r="B18" s="25" t="s">
        <v>113</v>
      </c>
      <c r="C18" s="22" t="s">
        <v>114</v>
      </c>
      <c r="D18" s="22" t="s">
        <v>112</v>
      </c>
      <c r="E18" s="26">
        <v>17900</v>
      </c>
      <c r="F18" s="24">
        <v>404.05</v>
      </c>
      <c r="G18" s="24">
        <v>0.94</v>
      </c>
    </row>
    <row r="19" spans="2:7" x14ac:dyDescent="0.2">
      <c r="B19" s="25" t="s">
        <v>124</v>
      </c>
      <c r="C19" s="22" t="s">
        <v>125</v>
      </c>
      <c r="D19" s="22" t="s">
        <v>43</v>
      </c>
      <c r="E19" s="26">
        <v>27200</v>
      </c>
      <c r="F19" s="24">
        <v>381.17</v>
      </c>
      <c r="G19" s="24">
        <v>0.88</v>
      </c>
    </row>
    <row r="20" spans="2:7" x14ac:dyDescent="0.2">
      <c r="B20" s="25" t="s">
        <v>146</v>
      </c>
      <c r="C20" s="22" t="s">
        <v>147</v>
      </c>
      <c r="D20" s="22" t="s">
        <v>148</v>
      </c>
      <c r="E20" s="26">
        <v>20000</v>
      </c>
      <c r="F20" s="24">
        <v>367.7</v>
      </c>
      <c r="G20" s="24">
        <v>0.85</v>
      </c>
    </row>
    <row r="21" spans="2:7" x14ac:dyDescent="0.2">
      <c r="B21" s="25" t="s">
        <v>694</v>
      </c>
      <c r="C21" s="22" t="s">
        <v>695</v>
      </c>
      <c r="D21" s="22" t="s">
        <v>117</v>
      </c>
      <c r="E21" s="26">
        <v>75160</v>
      </c>
      <c r="F21" s="24">
        <v>356.71</v>
      </c>
      <c r="G21" s="24">
        <v>0.83</v>
      </c>
    </row>
    <row r="22" spans="2:7" x14ac:dyDescent="0.2">
      <c r="B22" s="25" t="s">
        <v>162</v>
      </c>
      <c r="C22" s="22" t="s">
        <v>163</v>
      </c>
      <c r="D22" s="22" t="s">
        <v>120</v>
      </c>
      <c r="E22" s="26">
        <v>13300</v>
      </c>
      <c r="F22" s="24">
        <v>320.64999999999998</v>
      </c>
      <c r="G22" s="24">
        <v>0.74</v>
      </c>
    </row>
    <row r="23" spans="2:7" x14ac:dyDescent="0.2">
      <c r="B23" s="25" t="s">
        <v>166</v>
      </c>
      <c r="C23" s="22" t="s">
        <v>167</v>
      </c>
      <c r="D23" s="22" t="s">
        <v>120</v>
      </c>
      <c r="E23" s="26">
        <v>25300</v>
      </c>
      <c r="F23" s="24">
        <v>317.95</v>
      </c>
      <c r="G23" s="24">
        <v>0.74</v>
      </c>
    </row>
    <row r="24" spans="2:7" x14ac:dyDescent="0.2">
      <c r="B24" s="25" t="s">
        <v>238</v>
      </c>
      <c r="C24" s="22" t="s">
        <v>239</v>
      </c>
      <c r="D24" s="22" t="s">
        <v>240</v>
      </c>
      <c r="E24" s="26">
        <v>21052</v>
      </c>
      <c r="F24" s="24">
        <v>282.99</v>
      </c>
      <c r="G24" s="24">
        <v>0.66</v>
      </c>
    </row>
    <row r="25" spans="2:7" x14ac:dyDescent="0.2">
      <c r="B25" s="25" t="s">
        <v>196</v>
      </c>
      <c r="C25" s="22" t="s">
        <v>197</v>
      </c>
      <c r="D25" s="22" t="s">
        <v>120</v>
      </c>
      <c r="E25" s="26">
        <v>44150</v>
      </c>
      <c r="F25" s="24">
        <v>253.77</v>
      </c>
      <c r="G25" s="24">
        <v>0.59</v>
      </c>
    </row>
    <row r="26" spans="2:7" x14ac:dyDescent="0.2">
      <c r="B26" s="25" t="s">
        <v>79</v>
      </c>
      <c r="C26" s="22" t="s">
        <v>80</v>
      </c>
      <c r="D26" s="22" t="s">
        <v>81</v>
      </c>
      <c r="E26" s="26">
        <v>36600</v>
      </c>
      <c r="F26" s="24">
        <v>232.32</v>
      </c>
      <c r="G26" s="24">
        <v>0.54</v>
      </c>
    </row>
    <row r="27" spans="2:7" x14ac:dyDescent="0.2">
      <c r="B27" s="25" t="s">
        <v>126</v>
      </c>
      <c r="C27" s="22" t="s">
        <v>127</v>
      </c>
      <c r="D27" s="22" t="s">
        <v>120</v>
      </c>
      <c r="E27" s="26">
        <v>12020</v>
      </c>
      <c r="F27" s="24">
        <v>220.28</v>
      </c>
      <c r="G27" s="24">
        <v>0.51</v>
      </c>
    </row>
    <row r="28" spans="2:7" x14ac:dyDescent="0.2">
      <c r="B28" s="25" t="s">
        <v>32</v>
      </c>
      <c r="C28" s="22" t="s">
        <v>33</v>
      </c>
      <c r="D28" s="22" t="s">
        <v>34</v>
      </c>
      <c r="E28" s="26">
        <v>20460</v>
      </c>
      <c r="F28" s="24">
        <v>193.34</v>
      </c>
      <c r="G28" s="24">
        <v>0.45</v>
      </c>
    </row>
    <row r="29" spans="2:7" x14ac:dyDescent="0.2">
      <c r="B29" s="25" t="s">
        <v>726</v>
      </c>
      <c r="C29" s="22" t="s">
        <v>727</v>
      </c>
      <c r="D29" s="22" t="s">
        <v>137</v>
      </c>
      <c r="E29" s="26">
        <v>9000</v>
      </c>
      <c r="F29" s="24">
        <v>126.25</v>
      </c>
      <c r="G29" s="24">
        <v>0.28999999999999998</v>
      </c>
    </row>
    <row r="30" spans="2:7" x14ac:dyDescent="0.2">
      <c r="B30" s="25" t="s">
        <v>211</v>
      </c>
      <c r="C30" s="22" t="s">
        <v>212</v>
      </c>
      <c r="D30" s="22" t="s">
        <v>112</v>
      </c>
      <c r="E30" s="26">
        <v>10000</v>
      </c>
      <c r="F30" s="24">
        <v>115.58</v>
      </c>
      <c r="G30" s="24">
        <v>0.27</v>
      </c>
    </row>
    <row r="31" spans="2:7" x14ac:dyDescent="0.2">
      <c r="B31" s="25" t="s">
        <v>728</v>
      </c>
      <c r="C31" s="22" t="s">
        <v>729</v>
      </c>
      <c r="D31" s="22" t="s">
        <v>81</v>
      </c>
      <c r="E31" s="26">
        <v>40740</v>
      </c>
      <c r="F31" s="24">
        <v>115.48</v>
      </c>
      <c r="G31" s="24">
        <v>0.27</v>
      </c>
    </row>
    <row r="32" spans="2:7" x14ac:dyDescent="0.2">
      <c r="B32" s="25" t="s">
        <v>251</v>
      </c>
      <c r="C32" s="22" t="s">
        <v>252</v>
      </c>
      <c r="D32" s="22" t="s">
        <v>117</v>
      </c>
      <c r="E32" s="26">
        <v>20000</v>
      </c>
      <c r="F32" s="24">
        <v>107.54</v>
      </c>
      <c r="G32" s="24">
        <v>0.25</v>
      </c>
    </row>
    <row r="33" spans="2:10" x14ac:dyDescent="0.2">
      <c r="B33" s="25" t="s">
        <v>142</v>
      </c>
      <c r="C33" s="22" t="s">
        <v>143</v>
      </c>
      <c r="D33" s="22" t="s">
        <v>130</v>
      </c>
      <c r="E33" s="26">
        <v>1570</v>
      </c>
      <c r="F33" s="24">
        <v>107.39</v>
      </c>
      <c r="G33" s="24">
        <v>0.25</v>
      </c>
    </row>
    <row r="34" spans="2:10" x14ac:dyDescent="0.2">
      <c r="B34" s="25" t="s">
        <v>131</v>
      </c>
      <c r="C34" s="22" t="s">
        <v>132</v>
      </c>
      <c r="D34" s="22" t="s">
        <v>130</v>
      </c>
      <c r="E34" s="26">
        <v>16500</v>
      </c>
      <c r="F34" s="24">
        <v>100.14</v>
      </c>
      <c r="G34" s="24">
        <v>0.23</v>
      </c>
    </row>
    <row r="35" spans="2:10" x14ac:dyDescent="0.2">
      <c r="B35" s="25" t="s">
        <v>154</v>
      </c>
      <c r="C35" s="22" t="s">
        <v>155</v>
      </c>
      <c r="D35" s="22" t="s">
        <v>81</v>
      </c>
      <c r="E35" s="26">
        <v>5400</v>
      </c>
      <c r="F35" s="24">
        <v>59.43</v>
      </c>
      <c r="G35" s="24">
        <v>0.14000000000000001</v>
      </c>
    </row>
    <row r="36" spans="2:10" x14ac:dyDescent="0.2">
      <c r="B36" s="25" t="s">
        <v>172</v>
      </c>
      <c r="C36" s="22" t="s">
        <v>173</v>
      </c>
      <c r="D36" s="22" t="s">
        <v>81</v>
      </c>
      <c r="E36" s="26">
        <v>1744</v>
      </c>
      <c r="F36" s="24">
        <v>37</v>
      </c>
      <c r="G36" s="24">
        <v>0.09</v>
      </c>
    </row>
    <row r="37" spans="2:10" x14ac:dyDescent="0.2">
      <c r="B37" s="25" t="s">
        <v>170</v>
      </c>
      <c r="C37" s="22" t="s">
        <v>171</v>
      </c>
      <c r="D37" s="22" t="s">
        <v>120</v>
      </c>
      <c r="E37" s="26">
        <v>3475</v>
      </c>
      <c r="F37" s="24">
        <v>28.07</v>
      </c>
      <c r="G37" s="24">
        <v>7.0000000000000007E-2</v>
      </c>
    </row>
    <row r="38" spans="2:10" x14ac:dyDescent="0.2">
      <c r="B38" s="27" t="s">
        <v>104</v>
      </c>
      <c r="C38" s="28"/>
      <c r="D38" s="28"/>
      <c r="E38" s="29"/>
      <c r="F38" s="30">
        <f>SUM(F7:F37)</f>
        <v>11519.8</v>
      </c>
      <c r="G38" s="30">
        <f>SUM(G7:G37)</f>
        <v>26.729999999999993</v>
      </c>
      <c r="H38" s="14"/>
      <c r="I38" s="14"/>
      <c r="J38" s="14"/>
    </row>
    <row r="39" spans="2:10" x14ac:dyDescent="0.2">
      <c r="B39" s="31" t="s">
        <v>105</v>
      </c>
      <c r="C39" s="31"/>
      <c r="D39" s="31"/>
      <c r="E39" s="32"/>
      <c r="F39" s="33">
        <f>F38</f>
        <v>11519.8</v>
      </c>
      <c r="G39" s="33">
        <f>G38</f>
        <v>26.729999999999993</v>
      </c>
      <c r="H39" s="14"/>
      <c r="I39" s="14"/>
      <c r="J39" s="14"/>
    </row>
    <row r="40" spans="2:10" x14ac:dyDescent="0.2">
      <c r="B40" s="36" t="s">
        <v>331</v>
      </c>
      <c r="C40" s="18"/>
      <c r="D40" s="18"/>
      <c r="E40" s="19"/>
      <c r="F40" s="20"/>
      <c r="G40" s="20"/>
    </row>
    <row r="41" spans="2:10" x14ac:dyDescent="0.2">
      <c r="B41" s="37" t="s">
        <v>31</v>
      </c>
      <c r="C41" s="22"/>
      <c r="D41" s="22"/>
      <c r="E41" s="23"/>
      <c r="F41" s="24"/>
      <c r="G41" s="24"/>
    </row>
    <row r="42" spans="2:10" x14ac:dyDescent="0.2">
      <c r="B42" s="22" t="s">
        <v>372</v>
      </c>
      <c r="C42" s="22" t="s">
        <v>373</v>
      </c>
      <c r="D42" s="22" t="s">
        <v>374</v>
      </c>
      <c r="E42" s="26">
        <v>400</v>
      </c>
      <c r="F42" s="24">
        <v>3868.45</v>
      </c>
      <c r="G42" s="24">
        <v>8.9600000000000009</v>
      </c>
    </row>
    <row r="43" spans="2:10" x14ac:dyDescent="0.2">
      <c r="B43" s="22" t="s">
        <v>730</v>
      </c>
      <c r="C43" s="22" t="s">
        <v>731</v>
      </c>
      <c r="D43" s="22" t="s">
        <v>334</v>
      </c>
      <c r="E43" s="26">
        <v>300</v>
      </c>
      <c r="F43" s="24">
        <v>3078.55</v>
      </c>
      <c r="G43" s="24">
        <v>7.13</v>
      </c>
    </row>
    <row r="44" spans="2:10" x14ac:dyDescent="0.2">
      <c r="B44" s="22" t="s">
        <v>732</v>
      </c>
      <c r="C44" s="22" t="s">
        <v>733</v>
      </c>
      <c r="D44" s="22" t="s">
        <v>385</v>
      </c>
      <c r="E44" s="26">
        <v>300</v>
      </c>
      <c r="F44" s="24">
        <v>3035.61</v>
      </c>
      <c r="G44" s="24">
        <v>7.03</v>
      </c>
    </row>
    <row r="45" spans="2:10" x14ac:dyDescent="0.2">
      <c r="B45" s="22" t="s">
        <v>702</v>
      </c>
      <c r="C45" s="22" t="s">
        <v>703</v>
      </c>
      <c r="D45" s="22" t="s">
        <v>334</v>
      </c>
      <c r="E45" s="26">
        <v>270</v>
      </c>
      <c r="F45" s="24">
        <v>2755.51</v>
      </c>
      <c r="G45" s="24">
        <v>6.38</v>
      </c>
    </row>
    <row r="46" spans="2:10" x14ac:dyDescent="0.2">
      <c r="B46" s="22" t="s">
        <v>386</v>
      </c>
      <c r="C46" s="22" t="s">
        <v>387</v>
      </c>
      <c r="D46" s="22" t="s">
        <v>334</v>
      </c>
      <c r="E46" s="26">
        <v>250</v>
      </c>
      <c r="F46" s="24">
        <v>2584.35</v>
      </c>
      <c r="G46" s="24">
        <v>5.99</v>
      </c>
    </row>
    <row r="47" spans="2:10" x14ac:dyDescent="0.2">
      <c r="B47" s="22" t="s">
        <v>370</v>
      </c>
      <c r="C47" s="22" t="s">
        <v>371</v>
      </c>
      <c r="D47" s="22" t="s">
        <v>349</v>
      </c>
      <c r="E47" s="26">
        <v>210</v>
      </c>
      <c r="F47" s="24">
        <v>2146.38</v>
      </c>
      <c r="G47" s="24">
        <v>4.97</v>
      </c>
    </row>
    <row r="48" spans="2:10" x14ac:dyDescent="0.2">
      <c r="B48" s="22" t="s">
        <v>734</v>
      </c>
      <c r="C48" s="22" t="s">
        <v>735</v>
      </c>
      <c r="D48" s="22" t="s">
        <v>334</v>
      </c>
      <c r="E48" s="26">
        <v>200</v>
      </c>
      <c r="F48" s="24">
        <v>2054.19</v>
      </c>
      <c r="G48" s="24">
        <v>4.76</v>
      </c>
    </row>
    <row r="49" spans="2:10" x14ac:dyDescent="0.2">
      <c r="B49" s="22" t="s">
        <v>736</v>
      </c>
      <c r="C49" s="22" t="s">
        <v>737</v>
      </c>
      <c r="D49" s="22" t="s">
        <v>334</v>
      </c>
      <c r="E49" s="26">
        <v>150</v>
      </c>
      <c r="F49" s="24">
        <v>1543.98</v>
      </c>
      <c r="G49" s="24">
        <v>3.58</v>
      </c>
    </row>
    <row r="50" spans="2:10" x14ac:dyDescent="0.2">
      <c r="B50" s="22" t="s">
        <v>738</v>
      </c>
      <c r="C50" s="22" t="s">
        <v>739</v>
      </c>
      <c r="D50" s="22" t="s">
        <v>334</v>
      </c>
      <c r="E50" s="26">
        <v>150</v>
      </c>
      <c r="F50" s="24">
        <v>1521.68</v>
      </c>
      <c r="G50" s="24">
        <v>3.53</v>
      </c>
    </row>
    <row r="51" spans="2:10" x14ac:dyDescent="0.2">
      <c r="B51" s="22" t="s">
        <v>740</v>
      </c>
      <c r="C51" s="22" t="s">
        <v>741</v>
      </c>
      <c r="D51" s="22" t="s">
        <v>334</v>
      </c>
      <c r="E51" s="26">
        <v>100</v>
      </c>
      <c r="F51" s="24">
        <v>1041.24</v>
      </c>
      <c r="G51" s="24">
        <v>2.41</v>
      </c>
    </row>
    <row r="52" spans="2:10" x14ac:dyDescent="0.2">
      <c r="B52" s="22" t="s">
        <v>712</v>
      </c>
      <c r="C52" s="22" t="s">
        <v>713</v>
      </c>
      <c r="D52" s="22" t="s">
        <v>334</v>
      </c>
      <c r="E52" s="26">
        <v>9</v>
      </c>
      <c r="F52" s="24">
        <v>920.83</v>
      </c>
      <c r="G52" s="24">
        <v>2.13</v>
      </c>
    </row>
    <row r="53" spans="2:10" x14ac:dyDescent="0.2">
      <c r="B53" s="22" t="s">
        <v>742</v>
      </c>
      <c r="C53" s="22" t="s">
        <v>743</v>
      </c>
      <c r="D53" s="22" t="s">
        <v>334</v>
      </c>
      <c r="E53" s="26">
        <v>40</v>
      </c>
      <c r="F53" s="24">
        <v>520.26</v>
      </c>
      <c r="G53" s="24">
        <v>1.21</v>
      </c>
    </row>
    <row r="54" spans="2:10" x14ac:dyDescent="0.2">
      <c r="B54" s="22" t="s">
        <v>646</v>
      </c>
      <c r="C54" s="22" t="s">
        <v>647</v>
      </c>
      <c r="D54" s="22" t="s">
        <v>334</v>
      </c>
      <c r="E54" s="26">
        <v>50</v>
      </c>
      <c r="F54" s="24">
        <v>514.66999999999996</v>
      </c>
      <c r="G54" s="24">
        <v>1.19</v>
      </c>
    </row>
    <row r="55" spans="2:10" x14ac:dyDescent="0.2">
      <c r="B55" s="22" t="s">
        <v>708</v>
      </c>
      <c r="C55" s="22" t="s">
        <v>709</v>
      </c>
      <c r="D55" s="22" t="s">
        <v>334</v>
      </c>
      <c r="E55" s="26">
        <v>50</v>
      </c>
      <c r="F55" s="24">
        <v>510.82</v>
      </c>
      <c r="G55" s="24">
        <v>1.18</v>
      </c>
    </row>
    <row r="56" spans="2:10" x14ac:dyDescent="0.2">
      <c r="B56" s="22" t="s">
        <v>744</v>
      </c>
      <c r="C56" s="22" t="s">
        <v>745</v>
      </c>
      <c r="D56" s="22" t="s">
        <v>334</v>
      </c>
      <c r="E56" s="26">
        <v>50</v>
      </c>
      <c r="F56" s="24">
        <v>510.23</v>
      </c>
      <c r="G56" s="24">
        <v>1.18</v>
      </c>
    </row>
    <row r="57" spans="2:10" x14ac:dyDescent="0.2">
      <c r="B57" s="28" t="s">
        <v>104</v>
      </c>
      <c r="C57" s="28"/>
      <c r="D57" s="28"/>
      <c r="E57" s="29"/>
      <c r="F57" s="30">
        <f>SUM(F41:F56)</f>
        <v>26606.75</v>
      </c>
      <c r="G57" s="30">
        <f>SUM(G41:G56)</f>
        <v>61.629999999999995</v>
      </c>
      <c r="H57" s="14"/>
      <c r="I57" s="14"/>
      <c r="J57" s="14"/>
    </row>
    <row r="58" spans="2:10" x14ac:dyDescent="0.2">
      <c r="B58" s="38" t="s">
        <v>105</v>
      </c>
      <c r="C58" s="38"/>
      <c r="D58" s="38"/>
      <c r="E58" s="39"/>
      <c r="F58" s="40">
        <f>F57</f>
        <v>26606.75</v>
      </c>
      <c r="G58" s="40">
        <f>G57</f>
        <v>61.629999999999995</v>
      </c>
      <c r="H58" s="14"/>
      <c r="I58" s="14"/>
      <c r="J58" s="14"/>
    </row>
    <row r="59" spans="2:10" x14ac:dyDescent="0.2">
      <c r="B59" s="37" t="s">
        <v>504</v>
      </c>
      <c r="C59" s="22"/>
      <c r="D59" s="22"/>
      <c r="E59" s="23"/>
      <c r="F59" s="24"/>
      <c r="G59" s="24"/>
    </row>
    <row r="60" spans="2:10" x14ac:dyDescent="0.2">
      <c r="B60" s="37" t="s">
        <v>505</v>
      </c>
      <c r="C60" s="22"/>
      <c r="D60" s="22"/>
      <c r="E60" s="23"/>
      <c r="F60" s="24"/>
      <c r="G60" s="24"/>
    </row>
    <row r="61" spans="2:10" x14ac:dyDescent="0.2">
      <c r="B61" s="22" t="s">
        <v>521</v>
      </c>
      <c r="C61" s="22" t="s">
        <v>522</v>
      </c>
      <c r="D61" s="22" t="s">
        <v>508</v>
      </c>
      <c r="E61" s="26">
        <v>2000</v>
      </c>
      <c r="F61" s="24">
        <v>1968.64</v>
      </c>
      <c r="G61" s="24">
        <v>4.5599999999999996</v>
      </c>
    </row>
    <row r="62" spans="2:10" x14ac:dyDescent="0.2">
      <c r="B62" s="28" t="s">
        <v>104</v>
      </c>
      <c r="C62" s="28"/>
      <c r="D62" s="28"/>
      <c r="E62" s="29"/>
      <c r="F62" s="30">
        <f>SUM(F60:F61)</f>
        <v>1968.64</v>
      </c>
      <c r="G62" s="30">
        <f>SUM(G60:G61)</f>
        <v>4.5599999999999996</v>
      </c>
      <c r="H62" s="14"/>
      <c r="I62" s="14"/>
      <c r="J62" s="14"/>
    </row>
    <row r="63" spans="2:10" x14ac:dyDescent="0.2">
      <c r="B63" s="38" t="s">
        <v>105</v>
      </c>
      <c r="C63" s="38"/>
      <c r="D63" s="38"/>
      <c r="E63" s="39"/>
      <c r="F63" s="40">
        <f>F62</f>
        <v>1968.64</v>
      </c>
      <c r="G63" s="40">
        <f>G62</f>
        <v>4.5599999999999996</v>
      </c>
      <c r="H63" s="14"/>
      <c r="I63" s="14"/>
      <c r="J63" s="14"/>
    </row>
    <row r="64" spans="2:10" x14ac:dyDescent="0.2">
      <c r="B64" s="37" t="s">
        <v>410</v>
      </c>
      <c r="C64" s="22"/>
      <c r="D64" s="22"/>
      <c r="E64" s="23"/>
      <c r="F64" s="24"/>
      <c r="G64" s="24"/>
    </row>
    <row r="65" spans="2:10" x14ac:dyDescent="0.2">
      <c r="B65" s="22" t="s">
        <v>746</v>
      </c>
      <c r="C65" s="22" t="s">
        <v>747</v>
      </c>
      <c r="D65" s="22" t="s">
        <v>413</v>
      </c>
      <c r="E65" s="26">
        <v>1000000</v>
      </c>
      <c r="F65" s="24">
        <v>1030.05</v>
      </c>
      <c r="G65" s="24">
        <v>2.39</v>
      </c>
    </row>
    <row r="66" spans="2:10" x14ac:dyDescent="0.2">
      <c r="B66" s="41" t="s">
        <v>748</v>
      </c>
      <c r="C66" s="41" t="s">
        <v>749</v>
      </c>
      <c r="D66" s="41" t="s">
        <v>413</v>
      </c>
      <c r="E66" s="42">
        <v>33000</v>
      </c>
      <c r="F66" s="43">
        <v>34.549999999999997</v>
      </c>
      <c r="G66" s="43">
        <v>0.08</v>
      </c>
    </row>
    <row r="67" spans="2:10" x14ac:dyDescent="0.2">
      <c r="B67" s="44" t="s">
        <v>105</v>
      </c>
      <c r="C67" s="44"/>
      <c r="D67" s="44"/>
      <c r="E67" s="45"/>
      <c r="F67" s="46">
        <f>SUM(F65:F66)</f>
        <v>1064.5999999999999</v>
      </c>
      <c r="G67" s="46">
        <f>SUM(G65:G66)</f>
        <v>2.4700000000000002</v>
      </c>
      <c r="H67" s="14"/>
      <c r="I67" s="14"/>
      <c r="J67" s="14"/>
    </row>
    <row r="68" spans="2:10" x14ac:dyDescent="0.2">
      <c r="B68" s="37" t="s">
        <v>756</v>
      </c>
      <c r="C68" s="22"/>
      <c r="D68" s="22"/>
      <c r="E68" s="23"/>
      <c r="F68" s="24"/>
      <c r="G68" s="24"/>
    </row>
    <row r="69" spans="2:10" x14ac:dyDescent="0.2">
      <c r="B69" s="22" t="s">
        <v>756</v>
      </c>
      <c r="C69" s="22"/>
      <c r="D69" s="22"/>
      <c r="E69" s="23"/>
      <c r="F69" s="24">
        <v>1175.1400000000001</v>
      </c>
      <c r="G69" s="24">
        <v>2.72</v>
      </c>
    </row>
    <row r="70" spans="2:10" x14ac:dyDescent="0.2">
      <c r="B70" s="28" t="s">
        <v>104</v>
      </c>
      <c r="C70" s="28"/>
      <c r="D70" s="28"/>
      <c r="E70" s="29"/>
      <c r="F70" s="30">
        <f>SUM(F68:F69)</f>
        <v>1175.1400000000001</v>
      </c>
      <c r="G70" s="30">
        <f>SUM(G68:G69)</f>
        <v>2.72</v>
      </c>
      <c r="H70" s="14"/>
      <c r="I70" s="14"/>
      <c r="J70" s="14"/>
    </row>
    <row r="71" spans="2:10" x14ac:dyDescent="0.2">
      <c r="B71" s="31" t="s">
        <v>105</v>
      </c>
      <c r="C71" s="31"/>
      <c r="D71" s="31"/>
      <c r="E71" s="32"/>
      <c r="F71" s="33">
        <f>F70</f>
        <v>1175.1400000000001</v>
      </c>
      <c r="G71" s="33">
        <f>G70</f>
        <v>2.72</v>
      </c>
      <c r="H71" s="14"/>
      <c r="I71" s="14"/>
      <c r="J71" s="14"/>
    </row>
    <row r="72" spans="2:10" x14ac:dyDescent="0.2">
      <c r="B72" s="34" t="s">
        <v>107</v>
      </c>
      <c r="C72" s="34"/>
      <c r="D72" s="34"/>
      <c r="E72" s="35"/>
      <c r="F72" s="16">
        <f>F73-(+F39+F58+F63+F67+F71)</f>
        <v>825.08999999999651</v>
      </c>
      <c r="G72" s="16">
        <f>G73-(+G39+G58+G63+G67+G71)</f>
        <v>1.8900000000000148</v>
      </c>
      <c r="H72" s="14"/>
      <c r="I72" s="14"/>
      <c r="J72" s="14"/>
    </row>
    <row r="73" spans="2:10" x14ac:dyDescent="0.2">
      <c r="B73" s="34" t="s">
        <v>106</v>
      </c>
      <c r="C73" s="34"/>
      <c r="D73" s="34"/>
      <c r="E73" s="35"/>
      <c r="F73" s="16">
        <v>43160.02</v>
      </c>
      <c r="G73" s="16">
        <v>100</v>
      </c>
      <c r="H73" s="14"/>
      <c r="I73" s="14"/>
      <c r="J73" s="14"/>
    </row>
    <row r="75" spans="2:10" x14ac:dyDescent="0.2">
      <c r="B75" s="14" t="s">
        <v>757</v>
      </c>
    </row>
    <row r="76" spans="2:10" x14ac:dyDescent="0.2">
      <c r="B76" s="14" t="s">
        <v>543</v>
      </c>
    </row>
    <row r="78" spans="2:10" x14ac:dyDescent="0.2">
      <c r="B78" s="14"/>
    </row>
    <row r="81" spans="2:5" x14ac:dyDescent="0.2">
      <c r="B81" s="14"/>
      <c r="C81" s="14"/>
      <c r="D81" s="14"/>
      <c r="E81" s="15"/>
    </row>
    <row r="87" spans="2:5" x14ac:dyDescent="0.2">
      <c r="D87" s="14"/>
      <c r="E87" s="15"/>
    </row>
    <row r="93" spans="2:5" x14ac:dyDescent="0.2">
      <c r="B93" s="14"/>
      <c r="C93" s="14"/>
      <c r="D93" s="14"/>
      <c r="E9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workbookViewId="0">
      <selection activeCell="F26" sqref="F26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28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36" t="s">
        <v>331</v>
      </c>
      <c r="C5" s="18"/>
      <c r="D5" s="18"/>
      <c r="E5" s="19"/>
      <c r="F5" s="20"/>
      <c r="G5" s="20"/>
    </row>
    <row r="6" spans="2:7" x14ac:dyDescent="0.2">
      <c r="B6" s="37" t="s">
        <v>31</v>
      </c>
      <c r="C6" s="22"/>
      <c r="D6" s="22"/>
      <c r="E6" s="23"/>
      <c r="F6" s="24"/>
      <c r="G6" s="24"/>
    </row>
    <row r="7" spans="2:7" x14ac:dyDescent="0.2">
      <c r="B7" s="22" t="s">
        <v>372</v>
      </c>
      <c r="C7" s="22" t="s">
        <v>373</v>
      </c>
      <c r="D7" s="22" t="s">
        <v>374</v>
      </c>
      <c r="E7" s="26">
        <v>38</v>
      </c>
      <c r="F7" s="24">
        <v>367.5</v>
      </c>
      <c r="G7" s="24">
        <v>10.11</v>
      </c>
    </row>
    <row r="8" spans="2:7" x14ac:dyDescent="0.2">
      <c r="B8" s="22" t="s">
        <v>672</v>
      </c>
      <c r="C8" s="22" t="s">
        <v>673</v>
      </c>
      <c r="D8" s="22" t="s">
        <v>374</v>
      </c>
      <c r="E8" s="26">
        <v>30</v>
      </c>
      <c r="F8" s="24">
        <v>365.78</v>
      </c>
      <c r="G8" s="24">
        <v>10.06</v>
      </c>
    </row>
    <row r="9" spans="2:7" x14ac:dyDescent="0.2">
      <c r="B9" s="22" t="s">
        <v>394</v>
      </c>
      <c r="C9" s="22" t="s">
        <v>395</v>
      </c>
      <c r="D9" s="22" t="s">
        <v>334</v>
      </c>
      <c r="E9" s="26">
        <v>31</v>
      </c>
      <c r="F9" s="24">
        <v>319.37</v>
      </c>
      <c r="G9" s="24">
        <v>8.7799999999999994</v>
      </c>
    </row>
    <row r="10" spans="2:7" x14ac:dyDescent="0.2">
      <c r="B10" s="22" t="s">
        <v>630</v>
      </c>
      <c r="C10" s="22" t="s">
        <v>631</v>
      </c>
      <c r="D10" s="22" t="s">
        <v>334</v>
      </c>
      <c r="E10" s="26">
        <v>30</v>
      </c>
      <c r="F10" s="24">
        <v>312.64999999999998</v>
      </c>
      <c r="G10" s="24">
        <v>8.6</v>
      </c>
    </row>
    <row r="11" spans="2:7" x14ac:dyDescent="0.2">
      <c r="B11" s="22" t="s">
        <v>458</v>
      </c>
      <c r="C11" s="22" t="s">
        <v>459</v>
      </c>
      <c r="D11" s="22" t="s">
        <v>334</v>
      </c>
      <c r="E11" s="26">
        <v>30</v>
      </c>
      <c r="F11" s="24">
        <v>310.7</v>
      </c>
      <c r="G11" s="24">
        <v>8.5399999999999991</v>
      </c>
    </row>
    <row r="12" spans="2:7" x14ac:dyDescent="0.2">
      <c r="B12" s="22" t="s">
        <v>596</v>
      </c>
      <c r="C12" s="22" t="s">
        <v>597</v>
      </c>
      <c r="D12" s="22" t="s">
        <v>374</v>
      </c>
      <c r="E12" s="26">
        <v>30</v>
      </c>
      <c r="F12" s="24">
        <v>309.22000000000003</v>
      </c>
      <c r="G12" s="24">
        <v>8.5</v>
      </c>
    </row>
    <row r="13" spans="2:7" x14ac:dyDescent="0.2">
      <c r="B13" s="22" t="s">
        <v>656</v>
      </c>
      <c r="C13" s="22" t="s">
        <v>657</v>
      </c>
      <c r="D13" s="22" t="s">
        <v>334</v>
      </c>
      <c r="E13" s="26">
        <v>30</v>
      </c>
      <c r="F13" s="24">
        <v>308.22000000000003</v>
      </c>
      <c r="G13" s="24">
        <v>8.48</v>
      </c>
    </row>
    <row r="14" spans="2:7" x14ac:dyDescent="0.2">
      <c r="B14" s="22" t="s">
        <v>370</v>
      </c>
      <c r="C14" s="22" t="s">
        <v>371</v>
      </c>
      <c r="D14" s="22" t="s">
        <v>349</v>
      </c>
      <c r="E14" s="26">
        <v>30</v>
      </c>
      <c r="F14" s="24">
        <v>306.63</v>
      </c>
      <c r="G14" s="24">
        <v>8.43</v>
      </c>
    </row>
    <row r="15" spans="2:7" x14ac:dyDescent="0.2">
      <c r="B15" s="22" t="s">
        <v>392</v>
      </c>
      <c r="C15" s="22" t="s">
        <v>393</v>
      </c>
      <c r="D15" s="22" t="s">
        <v>334</v>
      </c>
      <c r="E15" s="26">
        <v>30</v>
      </c>
      <c r="F15" s="24">
        <v>305.70999999999998</v>
      </c>
      <c r="G15" s="24">
        <v>8.41</v>
      </c>
    </row>
    <row r="16" spans="2:7" x14ac:dyDescent="0.2">
      <c r="B16" s="22" t="s">
        <v>592</v>
      </c>
      <c r="C16" s="22" t="s">
        <v>593</v>
      </c>
      <c r="D16" s="22" t="s">
        <v>334</v>
      </c>
      <c r="E16" s="26">
        <v>23</v>
      </c>
      <c r="F16" s="24">
        <v>238.41</v>
      </c>
      <c r="G16" s="24">
        <v>6.56</v>
      </c>
    </row>
    <row r="17" spans="2:10" x14ac:dyDescent="0.2">
      <c r="B17" s="22" t="s">
        <v>478</v>
      </c>
      <c r="C17" s="22" t="s">
        <v>479</v>
      </c>
      <c r="D17" s="22" t="s">
        <v>334</v>
      </c>
      <c r="E17" s="26">
        <v>7</v>
      </c>
      <c r="F17" s="24">
        <v>72.27</v>
      </c>
      <c r="G17" s="24">
        <v>1.99</v>
      </c>
    </row>
    <row r="18" spans="2:10" x14ac:dyDescent="0.2">
      <c r="B18" s="28" t="s">
        <v>104</v>
      </c>
      <c r="C18" s="28"/>
      <c r="D18" s="28"/>
      <c r="E18" s="29"/>
      <c r="F18" s="30">
        <f>SUM(F6:F17)</f>
        <v>3216.4600000000005</v>
      </c>
      <c r="G18" s="30">
        <f>SUM(G6:G17)</f>
        <v>88.46</v>
      </c>
      <c r="H18" s="14"/>
      <c r="I18" s="14"/>
      <c r="J18" s="14"/>
    </row>
    <row r="19" spans="2:10" x14ac:dyDescent="0.2">
      <c r="B19" s="38" t="s">
        <v>105</v>
      </c>
      <c r="C19" s="38"/>
      <c r="D19" s="38"/>
      <c r="E19" s="39"/>
      <c r="F19" s="40">
        <f>F18</f>
        <v>3216.4600000000005</v>
      </c>
      <c r="G19" s="40">
        <f>G18</f>
        <v>88.46</v>
      </c>
      <c r="H19" s="14"/>
      <c r="I19" s="14"/>
      <c r="J19" s="14"/>
    </row>
    <row r="20" spans="2:10" x14ac:dyDescent="0.2">
      <c r="B20" s="37" t="s">
        <v>756</v>
      </c>
      <c r="C20" s="22"/>
      <c r="D20" s="22"/>
      <c r="E20" s="23"/>
      <c r="F20" s="24"/>
      <c r="G20" s="24"/>
    </row>
    <row r="21" spans="2:10" x14ac:dyDescent="0.2">
      <c r="B21" s="22" t="s">
        <v>756</v>
      </c>
      <c r="C21" s="22"/>
      <c r="D21" s="22"/>
      <c r="E21" s="23"/>
      <c r="F21" s="24">
        <v>288.73</v>
      </c>
      <c r="G21" s="24">
        <v>7.94</v>
      </c>
    </row>
    <row r="22" spans="2:10" x14ac:dyDescent="0.2">
      <c r="B22" s="28" t="s">
        <v>104</v>
      </c>
      <c r="C22" s="28"/>
      <c r="D22" s="28"/>
      <c r="E22" s="29"/>
      <c r="F22" s="30">
        <f>SUM(F20:F21)</f>
        <v>288.73</v>
      </c>
      <c r="G22" s="30">
        <f>SUM(G20:G21)</f>
        <v>7.94</v>
      </c>
      <c r="H22" s="14"/>
      <c r="I22" s="14"/>
      <c r="J22" s="14"/>
    </row>
    <row r="23" spans="2:10" x14ac:dyDescent="0.2">
      <c r="B23" s="31" t="s">
        <v>105</v>
      </c>
      <c r="C23" s="31"/>
      <c r="D23" s="31"/>
      <c r="E23" s="32"/>
      <c r="F23" s="33">
        <f>F22</f>
        <v>288.73</v>
      </c>
      <c r="G23" s="33">
        <f>G22</f>
        <v>7.94</v>
      </c>
      <c r="H23" s="14"/>
      <c r="I23" s="14"/>
      <c r="J23" s="14"/>
    </row>
    <row r="24" spans="2:10" x14ac:dyDescent="0.2">
      <c r="B24" s="34" t="s">
        <v>107</v>
      </c>
      <c r="C24" s="34"/>
      <c r="D24" s="34"/>
      <c r="E24" s="35"/>
      <c r="F24" s="16">
        <f>F25-(+F19+F23)</f>
        <v>130.86999999999944</v>
      </c>
      <c r="G24" s="16">
        <f>G25-(+G19+G23)</f>
        <v>3.6000000000000085</v>
      </c>
      <c r="H24" s="14"/>
      <c r="I24" s="14"/>
      <c r="J24" s="14"/>
    </row>
    <row r="25" spans="2:10" x14ac:dyDescent="0.2">
      <c r="B25" s="34" t="s">
        <v>106</v>
      </c>
      <c r="C25" s="34"/>
      <c r="D25" s="34"/>
      <c r="E25" s="35"/>
      <c r="F25" s="16">
        <v>3636.06</v>
      </c>
      <c r="G25" s="16">
        <v>100</v>
      </c>
      <c r="H25" s="14"/>
      <c r="I25" s="14"/>
      <c r="J25" s="14"/>
    </row>
    <row r="27" spans="2:10" x14ac:dyDescent="0.2">
      <c r="B27" s="14" t="s">
        <v>757</v>
      </c>
    </row>
    <row r="29" spans="2:10" x14ac:dyDescent="0.2">
      <c r="B29" s="14"/>
    </row>
    <row r="32" spans="2:10" x14ac:dyDescent="0.2">
      <c r="B32" s="14"/>
      <c r="C32" s="14"/>
      <c r="D32" s="14"/>
      <c r="E32" s="15"/>
    </row>
    <row r="37" spans="2:5" x14ac:dyDescent="0.2">
      <c r="D37" s="14"/>
      <c r="E37" s="15"/>
    </row>
    <row r="43" spans="2:5" x14ac:dyDescent="0.2">
      <c r="B43" s="14"/>
      <c r="C43" s="14"/>
      <c r="D43" s="14"/>
      <c r="E4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workbookViewId="0">
      <selection activeCell="B6" sqref="B6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0.25" x14ac:dyDescent="0.2">
      <c r="B1" s="48" t="s">
        <v>29</v>
      </c>
      <c r="C1" s="48"/>
      <c r="D1" s="48"/>
      <c r="E1" s="48"/>
      <c r="F1" s="48"/>
      <c r="G1" s="48"/>
    </row>
    <row r="3" spans="2:7" ht="16.5" thickBot="1" x14ac:dyDescent="0.25">
      <c r="B3" s="2" t="s">
        <v>6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1" t="s">
        <v>31</v>
      </c>
      <c r="C6" s="22"/>
      <c r="D6" s="22"/>
      <c r="E6" s="23"/>
      <c r="F6" s="24"/>
      <c r="G6" s="24"/>
    </row>
    <row r="7" spans="2:7" x14ac:dyDescent="0.2">
      <c r="B7" s="25" t="s">
        <v>38</v>
      </c>
      <c r="C7" s="22" t="s">
        <v>39</v>
      </c>
      <c r="D7" s="22" t="s">
        <v>40</v>
      </c>
      <c r="E7" s="26">
        <v>15200</v>
      </c>
      <c r="F7" s="24">
        <v>316.27</v>
      </c>
      <c r="G7" s="24">
        <v>1.63</v>
      </c>
    </row>
    <row r="8" spans="2:7" x14ac:dyDescent="0.2">
      <c r="B8" s="25" t="s">
        <v>108</v>
      </c>
      <c r="C8" s="22" t="s">
        <v>109</v>
      </c>
      <c r="D8" s="22" t="s">
        <v>43</v>
      </c>
      <c r="E8" s="26">
        <v>24240</v>
      </c>
      <c r="F8" s="24">
        <v>270.48</v>
      </c>
      <c r="G8" s="24">
        <v>1.4</v>
      </c>
    </row>
    <row r="9" spans="2:7" x14ac:dyDescent="0.2">
      <c r="B9" s="25" t="s">
        <v>41</v>
      </c>
      <c r="C9" s="22" t="s">
        <v>42</v>
      </c>
      <c r="D9" s="22" t="s">
        <v>43</v>
      </c>
      <c r="E9" s="26">
        <v>62500</v>
      </c>
      <c r="F9" s="24">
        <v>246.63</v>
      </c>
      <c r="G9" s="24">
        <v>1.27</v>
      </c>
    </row>
    <row r="10" spans="2:7" x14ac:dyDescent="0.2">
      <c r="B10" s="25" t="s">
        <v>110</v>
      </c>
      <c r="C10" s="22" t="s">
        <v>111</v>
      </c>
      <c r="D10" s="22" t="s">
        <v>112</v>
      </c>
      <c r="E10" s="26">
        <v>22000</v>
      </c>
      <c r="F10" s="24">
        <v>204.29</v>
      </c>
      <c r="G10" s="24">
        <v>1.05</v>
      </c>
    </row>
    <row r="11" spans="2:7" x14ac:dyDescent="0.2">
      <c r="B11" s="25" t="s">
        <v>118</v>
      </c>
      <c r="C11" s="22" t="s">
        <v>119</v>
      </c>
      <c r="D11" s="22" t="s">
        <v>120</v>
      </c>
      <c r="E11" s="26">
        <v>4250</v>
      </c>
      <c r="F11" s="24">
        <v>148.22999999999999</v>
      </c>
      <c r="G11" s="24">
        <v>0.76</v>
      </c>
    </row>
    <row r="12" spans="2:7" x14ac:dyDescent="0.2">
      <c r="B12" s="25" t="s">
        <v>113</v>
      </c>
      <c r="C12" s="22" t="s">
        <v>114</v>
      </c>
      <c r="D12" s="22" t="s">
        <v>112</v>
      </c>
      <c r="E12" s="26">
        <v>6000</v>
      </c>
      <c r="F12" s="24">
        <v>135.44</v>
      </c>
      <c r="G12" s="24">
        <v>0.7</v>
      </c>
    </row>
    <row r="13" spans="2:7" x14ac:dyDescent="0.2">
      <c r="B13" s="25" t="s">
        <v>115</v>
      </c>
      <c r="C13" s="22" t="s">
        <v>116</v>
      </c>
      <c r="D13" s="22" t="s">
        <v>117</v>
      </c>
      <c r="E13" s="26">
        <v>6330</v>
      </c>
      <c r="F13" s="24">
        <v>134.03</v>
      </c>
      <c r="G13" s="24">
        <v>0.69</v>
      </c>
    </row>
    <row r="14" spans="2:7" x14ac:dyDescent="0.2">
      <c r="B14" s="25" t="s">
        <v>158</v>
      </c>
      <c r="C14" s="22" t="s">
        <v>159</v>
      </c>
      <c r="D14" s="22" t="s">
        <v>43</v>
      </c>
      <c r="E14" s="26">
        <v>22330</v>
      </c>
      <c r="F14" s="24">
        <v>110.92</v>
      </c>
      <c r="G14" s="24">
        <v>0.56999999999999995</v>
      </c>
    </row>
    <row r="15" spans="2:7" x14ac:dyDescent="0.2">
      <c r="B15" s="25" t="s">
        <v>32</v>
      </c>
      <c r="C15" s="22" t="s">
        <v>33</v>
      </c>
      <c r="D15" s="22" t="s">
        <v>34</v>
      </c>
      <c r="E15" s="26">
        <v>9670</v>
      </c>
      <c r="F15" s="24">
        <v>91.38</v>
      </c>
      <c r="G15" s="24">
        <v>0.47</v>
      </c>
    </row>
    <row r="16" spans="2:7" x14ac:dyDescent="0.2">
      <c r="B16" s="25" t="s">
        <v>133</v>
      </c>
      <c r="C16" s="22" t="s">
        <v>134</v>
      </c>
      <c r="D16" s="22" t="s">
        <v>123</v>
      </c>
      <c r="E16" s="26">
        <v>3000</v>
      </c>
      <c r="F16" s="24">
        <v>81.680000000000007</v>
      </c>
      <c r="G16" s="24">
        <v>0.42</v>
      </c>
    </row>
    <row r="17" spans="2:7" x14ac:dyDescent="0.2">
      <c r="B17" s="25" t="s">
        <v>126</v>
      </c>
      <c r="C17" s="22" t="s">
        <v>127</v>
      </c>
      <c r="D17" s="22" t="s">
        <v>120</v>
      </c>
      <c r="E17" s="26">
        <v>4400</v>
      </c>
      <c r="F17" s="24">
        <v>80.63</v>
      </c>
      <c r="G17" s="24">
        <v>0.42</v>
      </c>
    </row>
    <row r="18" spans="2:7" x14ac:dyDescent="0.2">
      <c r="B18" s="25" t="s">
        <v>64</v>
      </c>
      <c r="C18" s="22" t="s">
        <v>65</v>
      </c>
      <c r="D18" s="22" t="s">
        <v>66</v>
      </c>
      <c r="E18" s="26">
        <v>15700</v>
      </c>
      <c r="F18" s="24">
        <v>80.56</v>
      </c>
      <c r="G18" s="24">
        <v>0.42</v>
      </c>
    </row>
    <row r="19" spans="2:7" x14ac:dyDescent="0.2">
      <c r="B19" s="25" t="s">
        <v>226</v>
      </c>
      <c r="C19" s="22" t="s">
        <v>227</v>
      </c>
      <c r="D19" s="22" t="s">
        <v>117</v>
      </c>
      <c r="E19" s="26">
        <v>15000</v>
      </c>
      <c r="F19" s="24">
        <v>79.849999999999994</v>
      </c>
      <c r="G19" s="24">
        <v>0.41</v>
      </c>
    </row>
    <row r="20" spans="2:7" x14ac:dyDescent="0.2">
      <c r="B20" s="25" t="s">
        <v>142</v>
      </c>
      <c r="C20" s="22" t="s">
        <v>143</v>
      </c>
      <c r="D20" s="22" t="s">
        <v>130</v>
      </c>
      <c r="E20" s="26">
        <v>1000</v>
      </c>
      <c r="F20" s="24">
        <v>68.400000000000006</v>
      </c>
      <c r="G20" s="24">
        <v>0.35</v>
      </c>
    </row>
    <row r="21" spans="2:7" x14ac:dyDescent="0.2">
      <c r="B21" s="25" t="s">
        <v>261</v>
      </c>
      <c r="C21" s="22" t="s">
        <v>262</v>
      </c>
      <c r="D21" s="22" t="s">
        <v>137</v>
      </c>
      <c r="E21" s="26">
        <v>9330</v>
      </c>
      <c r="F21" s="24">
        <v>63.77</v>
      </c>
      <c r="G21" s="24">
        <v>0.33</v>
      </c>
    </row>
    <row r="22" spans="2:7" x14ac:dyDescent="0.2">
      <c r="B22" s="25" t="s">
        <v>166</v>
      </c>
      <c r="C22" s="22" t="s">
        <v>167</v>
      </c>
      <c r="D22" s="22" t="s">
        <v>120</v>
      </c>
      <c r="E22" s="26">
        <v>5000</v>
      </c>
      <c r="F22" s="24">
        <v>62.84</v>
      </c>
      <c r="G22" s="24">
        <v>0.32</v>
      </c>
    </row>
    <row r="23" spans="2:7" x14ac:dyDescent="0.2">
      <c r="B23" s="25" t="s">
        <v>82</v>
      </c>
      <c r="C23" s="22" t="s">
        <v>83</v>
      </c>
      <c r="D23" s="22" t="s">
        <v>51</v>
      </c>
      <c r="E23" s="26">
        <v>300</v>
      </c>
      <c r="F23" s="24">
        <v>60.85</v>
      </c>
      <c r="G23" s="24">
        <v>0.31</v>
      </c>
    </row>
    <row r="24" spans="2:7" x14ac:dyDescent="0.2">
      <c r="B24" s="25" t="s">
        <v>228</v>
      </c>
      <c r="C24" s="22" t="s">
        <v>229</v>
      </c>
      <c r="D24" s="22" t="s">
        <v>117</v>
      </c>
      <c r="E24" s="26">
        <v>12500</v>
      </c>
      <c r="F24" s="24">
        <v>59.73</v>
      </c>
      <c r="G24" s="24">
        <v>0.31</v>
      </c>
    </row>
    <row r="25" spans="2:7" x14ac:dyDescent="0.2">
      <c r="B25" s="25" t="s">
        <v>79</v>
      </c>
      <c r="C25" s="22" t="s">
        <v>80</v>
      </c>
      <c r="D25" s="22" t="s">
        <v>81</v>
      </c>
      <c r="E25" s="26">
        <v>9400</v>
      </c>
      <c r="F25" s="24">
        <v>59.67</v>
      </c>
      <c r="G25" s="24">
        <v>0.31</v>
      </c>
    </row>
    <row r="26" spans="2:7" x14ac:dyDescent="0.2">
      <c r="B26" s="25" t="s">
        <v>276</v>
      </c>
      <c r="C26" s="22" t="s">
        <v>277</v>
      </c>
      <c r="D26" s="22" t="s">
        <v>187</v>
      </c>
      <c r="E26" s="26">
        <v>3000</v>
      </c>
      <c r="F26" s="24">
        <v>57.27</v>
      </c>
      <c r="G26" s="24">
        <v>0.3</v>
      </c>
    </row>
    <row r="27" spans="2:7" x14ac:dyDescent="0.2">
      <c r="B27" s="25" t="s">
        <v>124</v>
      </c>
      <c r="C27" s="22" t="s">
        <v>125</v>
      </c>
      <c r="D27" s="22" t="s">
        <v>43</v>
      </c>
      <c r="E27" s="26">
        <v>4000</v>
      </c>
      <c r="F27" s="24">
        <v>56.05</v>
      </c>
      <c r="G27" s="24">
        <v>0.28999999999999998</v>
      </c>
    </row>
    <row r="28" spans="2:7" x14ac:dyDescent="0.2">
      <c r="B28" s="25" t="s">
        <v>46</v>
      </c>
      <c r="C28" s="22" t="s">
        <v>47</v>
      </c>
      <c r="D28" s="22" t="s">
        <v>48</v>
      </c>
      <c r="E28" s="26">
        <v>165</v>
      </c>
      <c r="F28" s="24">
        <v>53.83</v>
      </c>
      <c r="G28" s="24">
        <v>0.28000000000000003</v>
      </c>
    </row>
    <row r="29" spans="2:7" x14ac:dyDescent="0.2">
      <c r="B29" s="25" t="s">
        <v>168</v>
      </c>
      <c r="C29" s="22" t="s">
        <v>169</v>
      </c>
      <c r="D29" s="22" t="s">
        <v>117</v>
      </c>
      <c r="E29" s="26">
        <v>28000</v>
      </c>
      <c r="F29" s="24">
        <v>53.51</v>
      </c>
      <c r="G29" s="24">
        <v>0.28000000000000003</v>
      </c>
    </row>
    <row r="30" spans="2:7" x14ac:dyDescent="0.2">
      <c r="B30" s="25" t="s">
        <v>84</v>
      </c>
      <c r="C30" s="22" t="s">
        <v>85</v>
      </c>
      <c r="D30" s="22" t="s">
        <v>71</v>
      </c>
      <c r="E30" s="26">
        <v>22000</v>
      </c>
      <c r="F30" s="24">
        <v>52.88</v>
      </c>
      <c r="G30" s="24">
        <v>0.27</v>
      </c>
    </row>
    <row r="31" spans="2:7" x14ac:dyDescent="0.2">
      <c r="B31" s="25" t="s">
        <v>76</v>
      </c>
      <c r="C31" s="22" t="s">
        <v>77</v>
      </c>
      <c r="D31" s="22" t="s">
        <v>78</v>
      </c>
      <c r="E31" s="26">
        <v>20330</v>
      </c>
      <c r="F31" s="24">
        <v>51.45</v>
      </c>
      <c r="G31" s="24">
        <v>0.27</v>
      </c>
    </row>
    <row r="32" spans="2:7" x14ac:dyDescent="0.2">
      <c r="B32" s="25" t="s">
        <v>188</v>
      </c>
      <c r="C32" s="22" t="s">
        <v>189</v>
      </c>
      <c r="D32" s="22" t="s">
        <v>130</v>
      </c>
      <c r="E32" s="26">
        <v>4500</v>
      </c>
      <c r="F32" s="24">
        <v>48.94</v>
      </c>
      <c r="G32" s="24">
        <v>0.25</v>
      </c>
    </row>
    <row r="33" spans="2:10" x14ac:dyDescent="0.2">
      <c r="B33" s="25" t="s">
        <v>72</v>
      </c>
      <c r="C33" s="22" t="s">
        <v>73</v>
      </c>
      <c r="D33" s="22" t="s">
        <v>71</v>
      </c>
      <c r="E33" s="26">
        <v>15000</v>
      </c>
      <c r="F33" s="24">
        <v>48.82</v>
      </c>
      <c r="G33" s="24">
        <v>0.25</v>
      </c>
    </row>
    <row r="34" spans="2:10" x14ac:dyDescent="0.2">
      <c r="B34" s="25" t="s">
        <v>135</v>
      </c>
      <c r="C34" s="22" t="s">
        <v>136</v>
      </c>
      <c r="D34" s="22" t="s">
        <v>137</v>
      </c>
      <c r="E34" s="26">
        <v>750</v>
      </c>
      <c r="F34" s="24">
        <v>43.35</v>
      </c>
      <c r="G34" s="24">
        <v>0.22</v>
      </c>
    </row>
    <row r="35" spans="2:10" x14ac:dyDescent="0.2">
      <c r="B35" s="25" t="s">
        <v>194</v>
      </c>
      <c r="C35" s="22" t="s">
        <v>195</v>
      </c>
      <c r="D35" s="22" t="s">
        <v>117</v>
      </c>
      <c r="E35" s="26">
        <v>2043</v>
      </c>
      <c r="F35" s="24">
        <v>42.84</v>
      </c>
      <c r="G35" s="24">
        <v>0.22</v>
      </c>
    </row>
    <row r="36" spans="2:10" x14ac:dyDescent="0.2">
      <c r="B36" s="25" t="s">
        <v>154</v>
      </c>
      <c r="C36" s="22" t="s">
        <v>155</v>
      </c>
      <c r="D36" s="22" t="s">
        <v>81</v>
      </c>
      <c r="E36" s="26">
        <v>3600</v>
      </c>
      <c r="F36" s="24">
        <v>39.619999999999997</v>
      </c>
      <c r="G36" s="24">
        <v>0.2</v>
      </c>
    </row>
    <row r="37" spans="2:10" x14ac:dyDescent="0.2">
      <c r="B37" s="25" t="s">
        <v>69</v>
      </c>
      <c r="C37" s="22" t="s">
        <v>70</v>
      </c>
      <c r="D37" s="22" t="s">
        <v>71</v>
      </c>
      <c r="E37" s="26">
        <v>10000</v>
      </c>
      <c r="F37" s="24">
        <v>39.450000000000003</v>
      </c>
      <c r="G37" s="24">
        <v>0.2</v>
      </c>
    </row>
    <row r="38" spans="2:10" x14ac:dyDescent="0.2">
      <c r="B38" s="25" t="s">
        <v>694</v>
      </c>
      <c r="C38" s="22" t="s">
        <v>695</v>
      </c>
      <c r="D38" s="22" t="s">
        <v>117</v>
      </c>
      <c r="E38" s="26">
        <v>7700</v>
      </c>
      <c r="F38" s="24">
        <v>36.54</v>
      </c>
      <c r="G38" s="24">
        <v>0.19</v>
      </c>
    </row>
    <row r="39" spans="2:10" x14ac:dyDescent="0.2">
      <c r="B39" s="25" t="s">
        <v>131</v>
      </c>
      <c r="C39" s="22" t="s">
        <v>132</v>
      </c>
      <c r="D39" s="22" t="s">
        <v>130</v>
      </c>
      <c r="E39" s="26">
        <v>6000</v>
      </c>
      <c r="F39" s="24">
        <v>36.409999999999997</v>
      </c>
      <c r="G39" s="24">
        <v>0.19</v>
      </c>
    </row>
    <row r="40" spans="2:10" x14ac:dyDescent="0.2">
      <c r="B40" s="25" t="s">
        <v>156</v>
      </c>
      <c r="C40" s="22" t="s">
        <v>157</v>
      </c>
      <c r="D40" s="22" t="s">
        <v>117</v>
      </c>
      <c r="E40" s="26">
        <v>1870</v>
      </c>
      <c r="F40" s="24">
        <v>35.51</v>
      </c>
      <c r="G40" s="24">
        <v>0.18</v>
      </c>
    </row>
    <row r="41" spans="2:10" x14ac:dyDescent="0.2">
      <c r="B41" s="25" t="s">
        <v>49</v>
      </c>
      <c r="C41" s="22" t="s">
        <v>50</v>
      </c>
      <c r="D41" s="22" t="s">
        <v>51</v>
      </c>
      <c r="E41" s="26">
        <v>900</v>
      </c>
      <c r="F41" s="24">
        <v>35.130000000000003</v>
      </c>
      <c r="G41" s="24">
        <v>0.18</v>
      </c>
    </row>
    <row r="42" spans="2:10" x14ac:dyDescent="0.2">
      <c r="B42" s="25" t="s">
        <v>172</v>
      </c>
      <c r="C42" s="22" t="s">
        <v>173</v>
      </c>
      <c r="D42" s="22" t="s">
        <v>81</v>
      </c>
      <c r="E42" s="26">
        <v>1600</v>
      </c>
      <c r="F42" s="24">
        <v>33.94</v>
      </c>
      <c r="G42" s="24">
        <v>0.18</v>
      </c>
    </row>
    <row r="43" spans="2:10" x14ac:dyDescent="0.2">
      <c r="B43" s="25" t="s">
        <v>144</v>
      </c>
      <c r="C43" s="22" t="s">
        <v>145</v>
      </c>
      <c r="D43" s="22" t="s">
        <v>117</v>
      </c>
      <c r="E43" s="26">
        <v>620</v>
      </c>
      <c r="F43" s="24">
        <v>23.1</v>
      </c>
      <c r="G43" s="24">
        <v>0.12</v>
      </c>
    </row>
    <row r="44" spans="2:10" x14ac:dyDescent="0.2">
      <c r="B44" s="25" t="s">
        <v>185</v>
      </c>
      <c r="C44" s="22" t="s">
        <v>186</v>
      </c>
      <c r="D44" s="22" t="s">
        <v>187</v>
      </c>
      <c r="E44" s="26">
        <v>700</v>
      </c>
      <c r="F44" s="24">
        <v>15.76</v>
      </c>
      <c r="G44" s="24">
        <v>0.08</v>
      </c>
    </row>
    <row r="45" spans="2:10" x14ac:dyDescent="0.2">
      <c r="B45" s="25" t="s">
        <v>170</v>
      </c>
      <c r="C45" s="22" t="s">
        <v>171</v>
      </c>
      <c r="D45" s="22" t="s">
        <v>120</v>
      </c>
      <c r="E45" s="26">
        <v>1121</v>
      </c>
      <c r="F45" s="24">
        <v>9.06</v>
      </c>
      <c r="G45" s="24">
        <v>0.05</v>
      </c>
    </row>
    <row r="46" spans="2:10" x14ac:dyDescent="0.2">
      <c r="B46" s="27" t="s">
        <v>104</v>
      </c>
      <c r="C46" s="28"/>
      <c r="D46" s="28"/>
      <c r="E46" s="29"/>
      <c r="F46" s="30">
        <f>SUM(F7:F45)</f>
        <v>3169.1100000000006</v>
      </c>
      <c r="G46" s="30">
        <f>SUM(G7:G45)</f>
        <v>16.34</v>
      </c>
      <c r="H46" s="14"/>
      <c r="I46" s="14"/>
      <c r="J46" s="14"/>
    </row>
    <row r="47" spans="2:10" x14ac:dyDescent="0.2">
      <c r="B47" s="31" t="s">
        <v>105</v>
      </c>
      <c r="C47" s="31"/>
      <c r="D47" s="31"/>
      <c r="E47" s="32"/>
      <c r="F47" s="33">
        <f>F46</f>
        <v>3169.1100000000006</v>
      </c>
      <c r="G47" s="33">
        <f>G46</f>
        <v>16.34</v>
      </c>
      <c r="H47" s="14"/>
      <c r="I47" s="14"/>
      <c r="J47" s="14"/>
    </row>
    <row r="48" spans="2:10" x14ac:dyDescent="0.2">
      <c r="B48" s="36" t="s">
        <v>331</v>
      </c>
      <c r="C48" s="18"/>
      <c r="D48" s="18"/>
      <c r="E48" s="19"/>
      <c r="F48" s="20"/>
      <c r="G48" s="20"/>
    </row>
    <row r="49" spans="2:10" x14ac:dyDescent="0.2">
      <c r="B49" s="37" t="s">
        <v>31</v>
      </c>
      <c r="C49" s="22"/>
      <c r="D49" s="22"/>
      <c r="E49" s="23"/>
      <c r="F49" s="24"/>
      <c r="G49" s="24"/>
    </row>
    <row r="50" spans="2:10" x14ac:dyDescent="0.2">
      <c r="B50" s="22" t="s">
        <v>396</v>
      </c>
      <c r="C50" s="22" t="s">
        <v>397</v>
      </c>
      <c r="D50" s="22" t="s">
        <v>334</v>
      </c>
      <c r="E50" s="26">
        <v>150</v>
      </c>
      <c r="F50" s="24">
        <v>1579.68</v>
      </c>
      <c r="G50" s="24">
        <v>8.15</v>
      </c>
    </row>
    <row r="51" spans="2:10" x14ac:dyDescent="0.2">
      <c r="B51" s="22" t="s">
        <v>750</v>
      </c>
      <c r="C51" s="22" t="s">
        <v>751</v>
      </c>
      <c r="D51" s="22" t="s">
        <v>334</v>
      </c>
      <c r="E51" s="26">
        <v>150</v>
      </c>
      <c r="F51" s="24">
        <v>1564.22</v>
      </c>
      <c r="G51" s="24">
        <v>8.07</v>
      </c>
    </row>
    <row r="52" spans="2:10" x14ac:dyDescent="0.2">
      <c r="B52" s="22" t="s">
        <v>408</v>
      </c>
      <c r="C52" s="22" t="s">
        <v>409</v>
      </c>
      <c r="D52" s="22" t="s">
        <v>334</v>
      </c>
      <c r="E52" s="26">
        <v>140</v>
      </c>
      <c r="F52" s="24">
        <v>1479.77</v>
      </c>
      <c r="G52" s="24">
        <v>7.63</v>
      </c>
    </row>
    <row r="53" spans="2:10" x14ac:dyDescent="0.2">
      <c r="B53" s="22" t="s">
        <v>608</v>
      </c>
      <c r="C53" s="22" t="s">
        <v>609</v>
      </c>
      <c r="D53" s="22" t="s">
        <v>334</v>
      </c>
      <c r="E53" s="26">
        <v>100</v>
      </c>
      <c r="F53" s="24">
        <v>1052.6099999999999</v>
      </c>
      <c r="G53" s="24">
        <v>5.43</v>
      </c>
    </row>
    <row r="54" spans="2:10" x14ac:dyDescent="0.2">
      <c r="B54" s="22" t="s">
        <v>474</v>
      </c>
      <c r="C54" s="22" t="s">
        <v>475</v>
      </c>
      <c r="D54" s="22" t="s">
        <v>334</v>
      </c>
      <c r="E54" s="26">
        <v>50</v>
      </c>
      <c r="F54" s="24">
        <v>524.9</v>
      </c>
      <c r="G54" s="24">
        <v>2.71</v>
      </c>
    </row>
    <row r="55" spans="2:10" x14ac:dyDescent="0.2">
      <c r="B55" s="28" t="s">
        <v>104</v>
      </c>
      <c r="C55" s="28"/>
      <c r="D55" s="28"/>
      <c r="E55" s="29"/>
      <c r="F55" s="30">
        <f>SUM(F49:F54)</f>
        <v>6201.1799999999994</v>
      </c>
      <c r="G55" s="30">
        <f>SUM(G49:G54)</f>
        <v>31.99</v>
      </c>
      <c r="H55" s="14"/>
      <c r="I55" s="14"/>
      <c r="J55" s="14"/>
    </row>
    <row r="56" spans="2:10" x14ac:dyDescent="0.2">
      <c r="B56" s="38" t="s">
        <v>105</v>
      </c>
      <c r="C56" s="38"/>
      <c r="D56" s="38"/>
      <c r="E56" s="39"/>
      <c r="F56" s="40">
        <f>F55</f>
        <v>6201.1799999999994</v>
      </c>
      <c r="G56" s="40">
        <f>G55</f>
        <v>31.99</v>
      </c>
      <c r="H56" s="14"/>
      <c r="I56" s="14"/>
      <c r="J56" s="14"/>
    </row>
    <row r="57" spans="2:10" x14ac:dyDescent="0.2">
      <c r="B57" s="37" t="s">
        <v>410</v>
      </c>
      <c r="C57" s="22"/>
      <c r="D57" s="22"/>
      <c r="E57" s="23"/>
      <c r="F57" s="24"/>
      <c r="G57" s="24"/>
    </row>
    <row r="58" spans="2:10" x14ac:dyDescent="0.2">
      <c r="B58" s="22" t="s">
        <v>666</v>
      </c>
      <c r="C58" s="22" t="s">
        <v>667</v>
      </c>
      <c r="D58" s="22" t="s">
        <v>413</v>
      </c>
      <c r="E58" s="26">
        <v>4200000</v>
      </c>
      <c r="F58" s="24">
        <v>4410.6000000000004</v>
      </c>
      <c r="G58" s="24">
        <v>22.76</v>
      </c>
    </row>
    <row r="59" spans="2:10" x14ac:dyDescent="0.2">
      <c r="B59" s="22" t="s">
        <v>548</v>
      </c>
      <c r="C59" s="22" t="s">
        <v>549</v>
      </c>
      <c r="D59" s="22" t="s">
        <v>413</v>
      </c>
      <c r="E59" s="26">
        <v>2200000</v>
      </c>
      <c r="F59" s="24">
        <v>2319.34</v>
      </c>
      <c r="G59" s="24">
        <v>11.97</v>
      </c>
    </row>
    <row r="60" spans="2:10" x14ac:dyDescent="0.2">
      <c r="B60" s="22" t="s">
        <v>752</v>
      </c>
      <c r="C60" s="22" t="s">
        <v>753</v>
      </c>
      <c r="D60" s="22" t="s">
        <v>413</v>
      </c>
      <c r="E60" s="26">
        <v>1000000</v>
      </c>
      <c r="F60" s="24">
        <v>1058.5</v>
      </c>
      <c r="G60" s="24">
        <v>5.46</v>
      </c>
    </row>
    <row r="61" spans="2:10" x14ac:dyDescent="0.2">
      <c r="B61" s="41" t="s">
        <v>754</v>
      </c>
      <c r="C61" s="41" t="s">
        <v>755</v>
      </c>
      <c r="D61" s="41" t="s">
        <v>413</v>
      </c>
      <c r="E61" s="42">
        <v>220000</v>
      </c>
      <c r="F61" s="43">
        <v>234.45</v>
      </c>
      <c r="G61" s="43">
        <v>1.21</v>
      </c>
    </row>
    <row r="62" spans="2:10" x14ac:dyDescent="0.2">
      <c r="B62" s="44" t="s">
        <v>105</v>
      </c>
      <c r="C62" s="44"/>
      <c r="D62" s="44"/>
      <c r="E62" s="45"/>
      <c r="F62" s="46">
        <f>SUM(F58:F61)</f>
        <v>8022.89</v>
      </c>
      <c r="G62" s="46">
        <f>SUM(G58:G61)</f>
        <v>41.400000000000006</v>
      </c>
      <c r="H62" s="14"/>
      <c r="I62" s="14"/>
      <c r="J62" s="14"/>
    </row>
    <row r="63" spans="2:10" x14ac:dyDescent="0.2">
      <c r="B63" s="37" t="s">
        <v>756</v>
      </c>
      <c r="C63" s="22"/>
      <c r="D63" s="22"/>
      <c r="E63" s="23"/>
      <c r="F63" s="24"/>
      <c r="G63" s="24"/>
    </row>
    <row r="64" spans="2:10" x14ac:dyDescent="0.2">
      <c r="B64" s="22" t="s">
        <v>756</v>
      </c>
      <c r="C64" s="22"/>
      <c r="D64" s="22"/>
      <c r="E64" s="23"/>
      <c r="F64" s="24">
        <v>1493.82</v>
      </c>
      <c r="G64" s="24">
        <v>7.71</v>
      </c>
    </row>
    <row r="65" spans="2:10" x14ac:dyDescent="0.2">
      <c r="B65" s="28" t="s">
        <v>104</v>
      </c>
      <c r="C65" s="28"/>
      <c r="D65" s="28"/>
      <c r="E65" s="29"/>
      <c r="F65" s="30">
        <f>SUM(F63:F64)</f>
        <v>1493.82</v>
      </c>
      <c r="G65" s="30">
        <f>SUM(G63:G64)</f>
        <v>7.71</v>
      </c>
      <c r="H65" s="14"/>
      <c r="I65" s="14"/>
      <c r="J65" s="14"/>
    </row>
    <row r="66" spans="2:10" x14ac:dyDescent="0.2">
      <c r="B66" s="31" t="s">
        <v>105</v>
      </c>
      <c r="C66" s="31"/>
      <c r="D66" s="31"/>
      <c r="E66" s="32"/>
      <c r="F66" s="33">
        <f>F65</f>
        <v>1493.82</v>
      </c>
      <c r="G66" s="33">
        <f>G65</f>
        <v>7.71</v>
      </c>
      <c r="H66" s="14"/>
      <c r="I66" s="14"/>
      <c r="J66" s="14"/>
    </row>
    <row r="67" spans="2:10" x14ac:dyDescent="0.2">
      <c r="B67" s="34" t="s">
        <v>107</v>
      </c>
      <c r="C67" s="34"/>
      <c r="D67" s="34"/>
      <c r="E67" s="35"/>
      <c r="F67" s="16">
        <f>F68-(+F47+F56+F62+F66)</f>
        <v>495.88000000000102</v>
      </c>
      <c r="G67" s="16">
        <f>G68-(+G47+G56+G62+G66)</f>
        <v>2.5600000000000023</v>
      </c>
      <c r="H67" s="14"/>
      <c r="I67" s="14"/>
      <c r="J67" s="14"/>
    </row>
    <row r="68" spans="2:10" x14ac:dyDescent="0.2">
      <c r="B68" s="34" t="s">
        <v>106</v>
      </c>
      <c r="C68" s="34"/>
      <c r="D68" s="34"/>
      <c r="E68" s="35"/>
      <c r="F68" s="16">
        <v>19382.88</v>
      </c>
      <c r="G68" s="16">
        <v>100</v>
      </c>
      <c r="H68" s="14"/>
      <c r="I68" s="14"/>
      <c r="J68" s="14"/>
    </row>
    <row r="70" spans="2:10" x14ac:dyDescent="0.2">
      <c r="B70" s="14" t="s">
        <v>757</v>
      </c>
    </row>
    <row r="72" spans="2:10" x14ac:dyDescent="0.2">
      <c r="B72" s="14"/>
    </row>
    <row r="75" spans="2:10" x14ac:dyDescent="0.2">
      <c r="B75" s="14"/>
      <c r="C75" s="14"/>
      <c r="D75" s="14"/>
      <c r="E75" s="15"/>
    </row>
    <row r="81" spans="2:5" x14ac:dyDescent="0.2">
      <c r="D81" s="14"/>
      <c r="E81" s="15"/>
    </row>
    <row r="87" spans="2:5" x14ac:dyDescent="0.2">
      <c r="B87" s="14"/>
      <c r="C87" s="14"/>
      <c r="D87" s="14"/>
      <c r="E87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dcterms:created xsi:type="dcterms:W3CDTF">2006-09-16T00:00:00Z</dcterms:created>
  <dcterms:modified xsi:type="dcterms:W3CDTF">2020-09-08T09:08:37Z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