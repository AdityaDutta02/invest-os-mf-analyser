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0FE52F05-3C05-4D8A-85B9-B612A3E98D8A}" xr6:coauthVersionLast="47" xr6:coauthVersionMax="47" xr10:uidLastSave="{00000000-0000-0000-0000-000000000000}"/>
  <bookViews>
    <workbookView xWindow="-110" yWindow="-110" windowWidth="19420" windowHeight="10300" xr2:uid="{112A60F3-A5F7-48C3-8E19-F9138932F8FF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G72" i="1" s="1"/>
  <c r="F71" i="1"/>
  <c r="F72" i="1" s="1"/>
  <c r="G68" i="1"/>
  <c r="G73" i="1" s="1"/>
  <c r="G67" i="1"/>
  <c r="F67" i="1"/>
  <c r="F68" i="1" s="1"/>
  <c r="F7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<sst xmlns="http://schemas.openxmlformats.org/spreadsheetml/2006/main" count="268" uniqueCount="175">
  <si>
    <t>CANARA ROBECO MID CAP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</si>
  <si>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</si>
  <si>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</si>
  <si>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</si>
  <si>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</si>
  <si>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</si>
  <si>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</si>
  <si>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</si>
  <si>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</si>
  <si>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</si>
  <si>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</si>
  <si>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</si>
  <si>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</si>
  <si>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Equity &amp; Equity related</t>
  </si>
  <si>
    <t>(a) Listed / awaiting listing on Stock Exchanges</t>
  </si>
  <si>
    <t>Persistent Systems Ltd</t>
  </si>
  <si>
    <t>INE262H01021</t>
  </si>
  <si>
    <t>IT - Software</t>
  </si>
  <si>
    <t>Mid Cap</t>
  </si>
  <si>
    <t>Bharat Heavy Electricals Ltd</t>
  </si>
  <si>
    <t>INE257A01026</t>
  </si>
  <si>
    <t>Electrical Equipment</t>
  </si>
  <si>
    <t>Indian Bank</t>
  </si>
  <si>
    <t>INE562A01011</t>
  </si>
  <si>
    <t>Banks</t>
  </si>
  <si>
    <t>One 97 Communications Ltd</t>
  </si>
  <si>
    <t>INE982J01020</t>
  </si>
  <si>
    <t>Financial Technology (Fintech)</t>
  </si>
  <si>
    <t>Federal Bank Ltd</t>
  </si>
  <si>
    <t>INE171A01029</t>
  </si>
  <si>
    <t>Prestige Estates Projects Ltd</t>
  </si>
  <si>
    <t>INE811K01011</t>
  </si>
  <si>
    <t>Realty</t>
  </si>
  <si>
    <t>Phoenix Mills Ltd</t>
  </si>
  <si>
    <t>INE211B01039</t>
  </si>
  <si>
    <t>Benchmark: BSE 150 Mid Cap Index TRI</t>
  </si>
  <si>
    <t>J.K. Cement Ltd</t>
  </si>
  <si>
    <t>INE823G01014</t>
  </si>
  <si>
    <t>Cement &amp; Cement Products</t>
  </si>
  <si>
    <t>Coforge Ltd</t>
  </si>
  <si>
    <t>INE591G01025</t>
  </si>
  <si>
    <t>Mahindra &amp; Mahindra Ltd</t>
  </si>
  <si>
    <t>INE101A01026</t>
  </si>
  <si>
    <t>Automobiles</t>
  </si>
  <si>
    <t>Large Cap</t>
  </si>
  <si>
    <t>Global Health Ltd</t>
  </si>
  <si>
    <t>INE474Q01031</t>
  </si>
  <si>
    <t>Healthcare Services</t>
  </si>
  <si>
    <t>Uno Minda Ltd</t>
  </si>
  <si>
    <t>INE405E01023</t>
  </si>
  <si>
    <t>Auto Components</t>
  </si>
  <si>
    <t>Max Financial Services Ltd</t>
  </si>
  <si>
    <t>INE180A01020</t>
  </si>
  <si>
    <t>Insurance</t>
  </si>
  <si>
    <t>HDFC Asset Management Co Ltd</t>
  </si>
  <si>
    <t>INE127D01025</t>
  </si>
  <si>
    <t>Capital Markets</t>
  </si>
  <si>
    <t>Eternal Ltd</t>
  </si>
  <si>
    <t>INE758T01015</t>
  </si>
  <si>
    <t>Retailing</t>
  </si>
  <si>
    <t>Swiggy Ltd</t>
  </si>
  <si>
    <t>INE00H001014</t>
  </si>
  <si>
    <t>Solar Industries India Ltd</t>
  </si>
  <si>
    <t>INE343H01029</t>
  </si>
  <si>
    <t>Chemicals &amp; Petrochemicals</t>
  </si>
  <si>
    <t>L&amp;T Technology Services Ltd</t>
  </si>
  <si>
    <t>INE010V01017</t>
  </si>
  <si>
    <t>IT - Services</t>
  </si>
  <si>
    <t>Jubilant Foodworks Ltd</t>
  </si>
  <si>
    <t>INE797F01020</t>
  </si>
  <si>
    <t>Leisure Services</t>
  </si>
  <si>
    <t>Max Healthcare Institute Ltd</t>
  </si>
  <si>
    <t>INE027H01010</t>
  </si>
  <si>
    <t>Bank Of Maharashtra</t>
  </si>
  <si>
    <t>INE457A01014</t>
  </si>
  <si>
    <t>PB Fintech Ltd</t>
  </si>
  <si>
    <t>INE417T01026</t>
  </si>
  <si>
    <t>Dixon Technologies (India) Ltd</t>
  </si>
  <si>
    <t>INE935N01020</t>
  </si>
  <si>
    <t>Consumer Durables</t>
  </si>
  <si>
    <t>Premier Energies Ltd</t>
  </si>
  <si>
    <t>INE0BS701011</t>
  </si>
  <si>
    <t>PI Industries Ltd</t>
  </si>
  <si>
    <t>INE603J01030</t>
  </si>
  <si>
    <t>Fertilizers &amp; Agrochemicals</t>
  </si>
  <si>
    <t>Info Edge (India) Ltd</t>
  </si>
  <si>
    <t>INE663F01032</t>
  </si>
  <si>
    <t>L&amp;T Finance Ltd</t>
  </si>
  <si>
    <t>INE498L01015</t>
  </si>
  <si>
    <t>Finance</t>
  </si>
  <si>
    <t>Bharat Electronics Ltd</t>
  </si>
  <si>
    <t>INE263A01024</t>
  </si>
  <si>
    <t>Aerospace &amp; Defense</t>
  </si>
  <si>
    <t>Cummins India Ltd</t>
  </si>
  <si>
    <t>INE298A01020</t>
  </si>
  <si>
    <t>Industrial Products</t>
  </si>
  <si>
    <t>Chalet Hotels Ltd</t>
  </si>
  <si>
    <t>INE427F01016</t>
  </si>
  <si>
    <t>Small Cap</t>
  </si>
  <si>
    <t>Ge Vernova T&amp;D India Ltd</t>
  </si>
  <si>
    <t>INE200A01026</t>
  </si>
  <si>
    <t>Torrent Power Ltd</t>
  </si>
  <si>
    <t>INE813H01021</t>
  </si>
  <si>
    <t>Power</t>
  </si>
  <si>
    <t>Apar Industries Ltd</t>
  </si>
  <si>
    <t>INE372A01015</t>
  </si>
  <si>
    <t>Balkrishna Industries Ltd</t>
  </si>
  <si>
    <t>INE787D01026</t>
  </si>
  <si>
    <t>Interglobe Aviation Ltd</t>
  </si>
  <si>
    <t>INE646L01027</t>
  </si>
  <si>
    <t>Transport Services</t>
  </si>
  <si>
    <t>KPIT Technologies Ltd</t>
  </si>
  <si>
    <t>INE04I401011</t>
  </si>
  <si>
    <t>Hindustan Aeronautics Ltd</t>
  </si>
  <si>
    <t>INE066F01020</t>
  </si>
  <si>
    <t>AU Small Finance Bank Ltd</t>
  </si>
  <si>
    <t>INE949L01017</t>
  </si>
  <si>
    <t>NHPC Ltd</t>
  </si>
  <si>
    <t>INE848E01016</t>
  </si>
  <si>
    <t>Delhivery Ltd</t>
  </si>
  <si>
    <t>INE148O01028</t>
  </si>
  <si>
    <t>Ajanta Pharma Ltd</t>
  </si>
  <si>
    <t>INE031B01049</t>
  </si>
  <si>
    <t>Pharmaceuticals &amp; Biotechnology</t>
  </si>
  <si>
    <t>Abbott India Ltd</t>
  </si>
  <si>
    <t>INE358A01014</t>
  </si>
  <si>
    <t>Trent Ltd</t>
  </si>
  <si>
    <t>INE849A01020</t>
  </si>
  <si>
    <t>KEI Industries Ltd</t>
  </si>
  <si>
    <t>INE878B01027</t>
  </si>
  <si>
    <t>CRISIL Ltd</t>
  </si>
  <si>
    <t>INE007A01025</t>
  </si>
  <si>
    <t>Escorts Kubota Ltd</t>
  </si>
  <si>
    <t>INE042A01014</t>
  </si>
  <si>
    <t>Agricultural, Commercial &amp; Construction Vehicles</t>
  </si>
  <si>
    <t>National Aluminium Co Ltd</t>
  </si>
  <si>
    <t>INE139A01034</t>
  </si>
  <si>
    <t>Non - Ferrous Metals</t>
  </si>
  <si>
    <t>APL Apollo Tubes Ltd</t>
  </si>
  <si>
    <t>INE702C01027</t>
  </si>
  <si>
    <t>Titan Co Ltd</t>
  </si>
  <si>
    <t>INE280A01028</t>
  </si>
  <si>
    <t>Metro Brands Ltd</t>
  </si>
  <si>
    <t>INE317I01021</t>
  </si>
  <si>
    <t>Linde India Ltd</t>
  </si>
  <si>
    <t>INE473A01011</t>
  </si>
  <si>
    <t>Schaeffler India Ltd</t>
  </si>
  <si>
    <t>INE513A01022</t>
  </si>
  <si>
    <t>Oberoi Realty Ltd</t>
  </si>
  <si>
    <t>INE093I01010</t>
  </si>
  <si>
    <t>Bharti Hexacom Ltd</t>
  </si>
  <si>
    <t>INE343G01021</t>
  </si>
  <si>
    <t>Telecom - Services</t>
  </si>
  <si>
    <t>Bayer Cropscience Ltd</t>
  </si>
  <si>
    <t>INE462A01022</t>
  </si>
  <si>
    <t>Vishal Mega Mart Ltd</t>
  </si>
  <si>
    <t>INE01EA01019</t>
  </si>
  <si>
    <t>Blue Star Ltd</t>
  </si>
  <si>
    <t>INE472A01039</t>
  </si>
  <si>
    <t>Endurance Technologies Ltd</t>
  </si>
  <si>
    <t>INE913H01037</t>
  </si>
  <si>
    <t>Physicswallah Ltd</t>
  </si>
  <si>
    <t>INE0LP301011</t>
  </si>
  <si>
    <t>Other Consumer Services</t>
  </si>
  <si>
    <t>Mankind Pharma Ltd</t>
  </si>
  <si>
    <t>INE634S01028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</si>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</sst>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C060-AF07-46D2-96DF-A7556D4A19E8}">
  <dimension ref="B1:N81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26953125" style="3" bestFit="1" customWidth="1"/>
    <col min="4" max="4" width="40.453125" style="3" bestFit="1" customWidth="1"/>
    <col min="5" max="5" width="9.81640625" style="3" bestFit="1" customWidth="1"/>
    <col min="6" max="6" width="15.26953125" style="37" bestFit="1" customWidth="1"/>
    <col min="7" max="7" width="7.453125" style="37" bestFit="1" customWidth="1"/>
    <col min="8" max="8" width="13.54296875" style="3" customWidth="1"/>
    <col min="9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</row>
    <row r="3" spans="2:14" ht="16" thickBot="1">
      <c r="B3" s="4" t="s">
        <v>1</v>
      </c>
      <c r="C3" s="5"/>
      <c r="D3" s="6"/>
      <c r="E3" s="6"/>
      <c r="F3" s="7"/>
      <c r="G3" s="7"/>
    </row>
    <row r="4" spans="2:14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>
      <c r="B7" s="21" t="s">
        <v>15</v>
      </c>
      <c r="C7" s="18" t="s">
        <v>16</v>
      </c>
      <c r="D7" s="18" t="s">
        <v>17</v>
      </c>
      <c r="E7" s="22">
        <v>189344</v>
      </c>
      <c r="F7" s="19">
        <v>12029.02</v>
      </c>
      <c r="G7" s="19">
        <v>3.01</v>
      </c>
      <c r="H7" s="19" t="s">
        <v>18</v>
      </c>
      <c r="K7" s="20"/>
      <c r="L7" s="20"/>
      <c r="M7" s="20"/>
      <c r="N7" s="20"/>
    </row>
    <row r="8" spans="2:14">
      <c r="B8" s="21" t="s">
        <v>19</v>
      </c>
      <c r="C8" s="18" t="s">
        <v>20</v>
      </c>
      <c r="D8" s="18" t="s">
        <v>21</v>
      </c>
      <c r="E8" s="22">
        <v>3780195</v>
      </c>
      <c r="F8" s="19">
        <v>10994.7</v>
      </c>
      <c r="G8" s="19">
        <v>2.75</v>
      </c>
      <c r="H8" s="19" t="s">
        <v>18</v>
      </c>
      <c r="K8" s="20"/>
      <c r="L8" s="20"/>
      <c r="M8" s="20"/>
      <c r="N8" s="20"/>
    </row>
    <row r="9" spans="2:14">
      <c r="B9" s="21" t="s">
        <v>22</v>
      </c>
      <c r="C9" s="18" t="s">
        <v>23</v>
      </c>
      <c r="D9" s="18" t="s">
        <v>24</v>
      </c>
      <c r="E9" s="22">
        <v>1224468</v>
      </c>
      <c r="F9" s="19">
        <v>10655.93</v>
      </c>
      <c r="G9" s="19">
        <v>2.67</v>
      </c>
      <c r="H9" s="19" t="s">
        <v>18</v>
      </c>
      <c r="K9" s="20"/>
      <c r="L9" s="20"/>
      <c r="M9" s="20"/>
      <c r="N9" s="20"/>
    </row>
    <row r="10" spans="2:14">
      <c r="B10" s="21" t="s">
        <v>25</v>
      </c>
      <c r="C10" s="18" t="s">
        <v>26</v>
      </c>
      <c r="D10" s="18" t="s">
        <v>27</v>
      </c>
      <c r="E10" s="22">
        <v>797332</v>
      </c>
      <c r="F10" s="19">
        <v>10529.57</v>
      </c>
      <c r="G10" s="19">
        <v>2.63</v>
      </c>
      <c r="H10" s="19" t="s">
        <v>18</v>
      </c>
      <c r="K10" s="20"/>
      <c r="L10" s="20"/>
      <c r="M10" s="20"/>
      <c r="N10" s="20"/>
    </row>
    <row r="11" spans="2:14">
      <c r="B11" s="21" t="s">
        <v>28</v>
      </c>
      <c r="C11" s="18" t="s">
        <v>29</v>
      </c>
      <c r="D11" s="18" t="s">
        <v>24</v>
      </c>
      <c r="E11" s="22">
        <v>3786188</v>
      </c>
      <c r="F11" s="19">
        <v>9765.34</v>
      </c>
      <c r="G11" s="19">
        <v>2.44</v>
      </c>
      <c r="H11" s="19" t="s">
        <v>18</v>
      </c>
      <c r="K11" s="20"/>
      <c r="L11" s="20"/>
      <c r="M11" s="20"/>
      <c r="N11" s="20"/>
    </row>
    <row r="12" spans="2:14">
      <c r="B12" s="21" t="s">
        <v>30</v>
      </c>
      <c r="C12" s="18" t="s">
        <v>31</v>
      </c>
      <c r="D12" s="18" t="s">
        <v>32</v>
      </c>
      <c r="E12" s="22">
        <v>550941</v>
      </c>
      <c r="F12" s="19">
        <v>9240.93</v>
      </c>
      <c r="G12" s="19">
        <v>2.31</v>
      </c>
      <c r="H12" s="19" t="s">
        <v>18</v>
      </c>
      <c r="K12" s="23"/>
      <c r="L12" s="23"/>
      <c r="M12" s="23"/>
      <c r="N12" s="23"/>
    </row>
    <row r="13" spans="2:14">
      <c r="B13" s="21" t="s">
        <v>33</v>
      </c>
      <c r="C13" s="18" t="s">
        <v>34</v>
      </c>
      <c r="D13" s="18" t="s">
        <v>32</v>
      </c>
      <c r="E13" s="22">
        <v>531133</v>
      </c>
      <c r="F13" s="19">
        <v>9224.7199999999993</v>
      </c>
      <c r="G13" s="19">
        <v>2.31</v>
      </c>
      <c r="H13" s="19" t="s">
        <v>18</v>
      </c>
      <c r="L13" s="3" t="s">
        <v>35</v>
      </c>
    </row>
    <row r="14" spans="2:14">
      <c r="B14" s="21" t="s">
        <v>36</v>
      </c>
      <c r="C14" s="18" t="s">
        <v>37</v>
      </c>
      <c r="D14" s="18" t="s">
        <v>38</v>
      </c>
      <c r="E14" s="22">
        <v>158990</v>
      </c>
      <c r="F14" s="19">
        <v>9154.64</v>
      </c>
      <c r="G14" s="19">
        <v>2.29</v>
      </c>
      <c r="H14" s="19" t="s">
        <v>18</v>
      </c>
    </row>
    <row r="15" spans="2:14">
      <c r="B15" s="21" t="s">
        <v>39</v>
      </c>
      <c r="C15" s="18" t="s">
        <v>40</v>
      </c>
      <c r="D15" s="18" t="s">
        <v>17</v>
      </c>
      <c r="E15" s="22">
        <v>467924</v>
      </c>
      <c r="F15" s="19">
        <v>8931.27</v>
      </c>
      <c r="G15" s="19">
        <v>2.23</v>
      </c>
      <c r="H15" s="19" t="s">
        <v>18</v>
      </c>
    </row>
    <row r="16" spans="2:14">
      <c r="B16" s="21" t="s">
        <v>41</v>
      </c>
      <c r="C16" s="18" t="s">
        <v>42</v>
      </c>
      <c r="D16" s="18" t="s">
        <v>43</v>
      </c>
      <c r="E16" s="22">
        <v>237119</v>
      </c>
      <c r="F16" s="19">
        <v>8909.27</v>
      </c>
      <c r="G16" s="19">
        <v>2.23</v>
      </c>
      <c r="H16" s="19" t="s">
        <v>44</v>
      </c>
    </row>
    <row r="17" spans="2:8">
      <c r="B17" s="21" t="s">
        <v>45</v>
      </c>
      <c r="C17" s="18" t="s">
        <v>46</v>
      </c>
      <c r="D17" s="18" t="s">
        <v>47</v>
      </c>
      <c r="E17" s="22">
        <v>688291</v>
      </c>
      <c r="F17" s="19">
        <v>8576.11</v>
      </c>
      <c r="G17" s="19">
        <v>2.15</v>
      </c>
      <c r="H17" s="19" t="s">
        <v>18</v>
      </c>
    </row>
    <row r="18" spans="2:8">
      <c r="B18" s="21" t="s">
        <v>48</v>
      </c>
      <c r="C18" s="18" t="s">
        <v>49</v>
      </c>
      <c r="D18" s="18" t="s">
        <v>50</v>
      </c>
      <c r="E18" s="22">
        <v>631507</v>
      </c>
      <c r="F18" s="19">
        <v>8252.5300000000007</v>
      </c>
      <c r="G18" s="19">
        <v>2.06</v>
      </c>
      <c r="H18" s="19" t="s">
        <v>18</v>
      </c>
    </row>
    <row r="19" spans="2:8">
      <c r="B19" s="21" t="s">
        <v>51</v>
      </c>
      <c r="C19" s="18" t="s">
        <v>52</v>
      </c>
      <c r="D19" s="18" t="s">
        <v>53</v>
      </c>
      <c r="E19" s="22">
        <v>483146</v>
      </c>
      <c r="F19" s="19">
        <v>8223.6299999999992</v>
      </c>
      <c r="G19" s="19">
        <v>2.06</v>
      </c>
      <c r="H19" s="19" t="s">
        <v>18</v>
      </c>
    </row>
    <row r="20" spans="2:8">
      <c r="B20" s="21" t="s">
        <v>54</v>
      </c>
      <c r="C20" s="18" t="s">
        <v>55</v>
      </c>
      <c r="D20" s="18" t="s">
        <v>56</v>
      </c>
      <c r="E20" s="22">
        <v>296474</v>
      </c>
      <c r="F20" s="19">
        <v>7924.75</v>
      </c>
      <c r="G20" s="19">
        <v>1.98</v>
      </c>
      <c r="H20" s="19" t="s">
        <v>18</v>
      </c>
    </row>
    <row r="21" spans="2:8">
      <c r="B21" s="21" t="s">
        <v>57</v>
      </c>
      <c r="C21" s="18" t="s">
        <v>58</v>
      </c>
      <c r="D21" s="18" t="s">
        <v>59</v>
      </c>
      <c r="E21" s="22">
        <v>2607647</v>
      </c>
      <c r="F21" s="19">
        <v>7825.55</v>
      </c>
      <c r="G21" s="19">
        <v>1.96</v>
      </c>
      <c r="H21" s="19" t="s">
        <v>44</v>
      </c>
    </row>
    <row r="22" spans="2:8">
      <c r="B22" s="21" t="s">
        <v>60</v>
      </c>
      <c r="C22" s="18" t="s">
        <v>61</v>
      </c>
      <c r="D22" s="18" t="s">
        <v>59</v>
      </c>
      <c r="E22" s="22">
        <v>2051215</v>
      </c>
      <c r="F22" s="19">
        <v>7759.75</v>
      </c>
      <c r="G22" s="19">
        <v>1.94</v>
      </c>
      <c r="H22" s="19" t="s">
        <v>18</v>
      </c>
    </row>
    <row r="23" spans="2:8">
      <c r="B23" s="21" t="s">
        <v>62</v>
      </c>
      <c r="C23" s="18" t="s">
        <v>63</v>
      </c>
      <c r="D23" s="18" t="s">
        <v>64</v>
      </c>
      <c r="E23" s="22">
        <v>57931</v>
      </c>
      <c r="F23" s="19">
        <v>7688.6</v>
      </c>
      <c r="G23" s="19">
        <v>1.92</v>
      </c>
      <c r="H23" s="19" t="s">
        <v>44</v>
      </c>
    </row>
    <row r="24" spans="2:8">
      <c r="B24" s="21" t="s">
        <v>65</v>
      </c>
      <c r="C24" s="18" t="s">
        <v>66</v>
      </c>
      <c r="D24" s="18" t="s">
        <v>67</v>
      </c>
      <c r="E24" s="22">
        <v>167267</v>
      </c>
      <c r="F24" s="19">
        <v>7427.32</v>
      </c>
      <c r="G24" s="19">
        <v>1.86</v>
      </c>
      <c r="H24" s="19" t="s">
        <v>18</v>
      </c>
    </row>
    <row r="25" spans="2:8">
      <c r="B25" s="21" t="s">
        <v>68</v>
      </c>
      <c r="C25" s="18" t="s">
        <v>69</v>
      </c>
      <c r="D25" s="18" t="s">
        <v>70</v>
      </c>
      <c r="E25" s="22">
        <v>1230817</v>
      </c>
      <c r="F25" s="19">
        <v>7403.36</v>
      </c>
      <c r="G25" s="19">
        <v>1.85</v>
      </c>
      <c r="H25" s="19" t="s">
        <v>18</v>
      </c>
    </row>
    <row r="26" spans="2:8">
      <c r="B26" s="21" t="s">
        <v>71</v>
      </c>
      <c r="C26" s="18" t="s">
        <v>72</v>
      </c>
      <c r="D26" s="18" t="s">
        <v>47</v>
      </c>
      <c r="E26" s="22">
        <v>630741</v>
      </c>
      <c r="F26" s="19">
        <v>7334.26</v>
      </c>
      <c r="G26" s="19">
        <v>1.84</v>
      </c>
      <c r="H26" s="19" t="s">
        <v>44</v>
      </c>
    </row>
    <row r="27" spans="2:8">
      <c r="B27" s="21" t="s">
        <v>73</v>
      </c>
      <c r="C27" s="18" t="s">
        <v>74</v>
      </c>
      <c r="D27" s="18" t="s">
        <v>24</v>
      </c>
      <c r="E27" s="22">
        <v>12204938</v>
      </c>
      <c r="F27" s="19">
        <v>7147.21</v>
      </c>
      <c r="G27" s="19">
        <v>1.79</v>
      </c>
      <c r="H27" s="19" t="s">
        <v>18</v>
      </c>
    </row>
    <row r="28" spans="2:8">
      <c r="B28" s="21" t="s">
        <v>75</v>
      </c>
      <c r="C28" s="18" t="s">
        <v>76</v>
      </c>
      <c r="D28" s="18" t="s">
        <v>27</v>
      </c>
      <c r="E28" s="22">
        <v>390745</v>
      </c>
      <c r="F28" s="19">
        <v>7107.26</v>
      </c>
      <c r="G28" s="19">
        <v>1.78</v>
      </c>
      <c r="H28" s="19" t="s">
        <v>18</v>
      </c>
    </row>
    <row r="29" spans="2:8">
      <c r="B29" s="21" t="s">
        <v>77</v>
      </c>
      <c r="C29" s="18" t="s">
        <v>78</v>
      </c>
      <c r="D29" s="18" t="s">
        <v>79</v>
      </c>
      <c r="E29" s="22">
        <v>47594</v>
      </c>
      <c r="F29" s="19">
        <v>6949.2</v>
      </c>
      <c r="G29" s="19">
        <v>1.74</v>
      </c>
      <c r="H29" s="19" t="s">
        <v>18</v>
      </c>
    </row>
    <row r="30" spans="2:8">
      <c r="B30" s="21" t="s">
        <v>80</v>
      </c>
      <c r="C30" s="18" t="s">
        <v>81</v>
      </c>
      <c r="D30" s="18" t="s">
        <v>21</v>
      </c>
      <c r="E30" s="22">
        <v>708780</v>
      </c>
      <c r="F30" s="19">
        <v>6915.57</v>
      </c>
      <c r="G30" s="19">
        <v>1.73</v>
      </c>
      <c r="H30" s="19" t="s">
        <v>18</v>
      </c>
    </row>
    <row r="31" spans="2:8">
      <c r="B31" s="21" t="s">
        <v>82</v>
      </c>
      <c r="C31" s="18" t="s">
        <v>83</v>
      </c>
      <c r="D31" s="18" t="s">
        <v>84</v>
      </c>
      <c r="E31" s="22">
        <v>195930</v>
      </c>
      <c r="F31" s="19">
        <v>6653</v>
      </c>
      <c r="G31" s="19">
        <v>1.66</v>
      </c>
      <c r="H31" s="19" t="s">
        <v>18</v>
      </c>
    </row>
    <row r="32" spans="2:8">
      <c r="B32" s="21" t="s">
        <v>85</v>
      </c>
      <c r="C32" s="18" t="s">
        <v>86</v>
      </c>
      <c r="D32" s="18" t="s">
        <v>59</v>
      </c>
      <c r="E32" s="22">
        <v>499565</v>
      </c>
      <c r="F32" s="19">
        <v>6645.21</v>
      </c>
      <c r="G32" s="19">
        <v>1.66</v>
      </c>
      <c r="H32" s="19" t="s">
        <v>44</v>
      </c>
    </row>
    <row r="33" spans="2:8">
      <c r="B33" s="21" t="s">
        <v>87</v>
      </c>
      <c r="C33" s="18" t="s">
        <v>88</v>
      </c>
      <c r="D33" s="18" t="s">
        <v>89</v>
      </c>
      <c r="E33" s="22">
        <v>2108275</v>
      </c>
      <c r="F33" s="19">
        <v>6585.2</v>
      </c>
      <c r="G33" s="19">
        <v>1.65</v>
      </c>
      <c r="H33" s="19" t="s">
        <v>18</v>
      </c>
    </row>
    <row r="34" spans="2:8">
      <c r="B34" s="21" t="s">
        <v>90</v>
      </c>
      <c r="C34" s="18" t="s">
        <v>91</v>
      </c>
      <c r="D34" s="18" t="s">
        <v>92</v>
      </c>
      <c r="E34" s="22">
        <v>1576707</v>
      </c>
      <c r="F34" s="19">
        <v>6492.09</v>
      </c>
      <c r="G34" s="19">
        <v>1.62</v>
      </c>
      <c r="H34" s="19" t="s">
        <v>44</v>
      </c>
    </row>
    <row r="35" spans="2:8">
      <c r="B35" s="21" t="s">
        <v>93</v>
      </c>
      <c r="C35" s="18" t="s">
        <v>94</v>
      </c>
      <c r="D35" s="18" t="s">
        <v>95</v>
      </c>
      <c r="E35" s="22">
        <v>144184</v>
      </c>
      <c r="F35" s="19">
        <v>6458.43</v>
      </c>
      <c r="G35" s="19">
        <v>1.62</v>
      </c>
      <c r="H35" s="19" t="s">
        <v>18</v>
      </c>
    </row>
    <row r="36" spans="2:8">
      <c r="B36" s="21" t="s">
        <v>96</v>
      </c>
      <c r="C36" s="18" t="s">
        <v>97</v>
      </c>
      <c r="D36" s="18" t="s">
        <v>70</v>
      </c>
      <c r="E36" s="22">
        <v>720554</v>
      </c>
      <c r="F36" s="19">
        <v>6386.99</v>
      </c>
      <c r="G36" s="19">
        <v>1.6</v>
      </c>
      <c r="H36" s="19" t="s">
        <v>98</v>
      </c>
    </row>
    <row r="37" spans="2:8">
      <c r="B37" s="21" t="s">
        <v>99</v>
      </c>
      <c r="C37" s="18" t="s">
        <v>100</v>
      </c>
      <c r="D37" s="18" t="s">
        <v>21</v>
      </c>
      <c r="E37" s="22">
        <v>218552</v>
      </c>
      <c r="F37" s="19">
        <v>6297.36</v>
      </c>
      <c r="G37" s="19">
        <v>1.58</v>
      </c>
      <c r="H37" s="19" t="s">
        <v>18</v>
      </c>
    </row>
    <row r="38" spans="2:8">
      <c r="B38" s="21" t="s">
        <v>101</v>
      </c>
      <c r="C38" s="18" t="s">
        <v>102</v>
      </c>
      <c r="D38" s="18" t="s">
        <v>103</v>
      </c>
      <c r="E38" s="22">
        <v>476764</v>
      </c>
      <c r="F38" s="19">
        <v>6267.06</v>
      </c>
      <c r="G38" s="19">
        <v>1.57</v>
      </c>
      <c r="H38" s="19" t="s">
        <v>18</v>
      </c>
    </row>
    <row r="39" spans="2:8">
      <c r="B39" s="21" t="s">
        <v>104</v>
      </c>
      <c r="C39" s="18" t="s">
        <v>105</v>
      </c>
      <c r="D39" s="18" t="s">
        <v>21</v>
      </c>
      <c r="E39" s="22">
        <v>66991</v>
      </c>
      <c r="F39" s="19">
        <v>6136.04</v>
      </c>
      <c r="G39" s="19">
        <v>1.54</v>
      </c>
      <c r="H39" s="19" t="s">
        <v>98</v>
      </c>
    </row>
    <row r="40" spans="2:8">
      <c r="B40" s="21" t="s">
        <v>106</v>
      </c>
      <c r="C40" s="18" t="s">
        <v>107</v>
      </c>
      <c r="D40" s="18" t="s">
        <v>50</v>
      </c>
      <c r="E40" s="22">
        <v>256939</v>
      </c>
      <c r="F40" s="19">
        <v>5932.46</v>
      </c>
      <c r="G40" s="19">
        <v>1.48</v>
      </c>
      <c r="H40" s="19" t="s">
        <v>18</v>
      </c>
    </row>
    <row r="41" spans="2:8">
      <c r="B41" s="21" t="s">
        <v>108</v>
      </c>
      <c r="C41" s="18" t="s">
        <v>109</v>
      </c>
      <c r="D41" s="18" t="s">
        <v>110</v>
      </c>
      <c r="E41" s="22">
        <v>98685</v>
      </c>
      <c r="F41" s="19">
        <v>5823.9</v>
      </c>
      <c r="G41" s="19">
        <v>1.46</v>
      </c>
      <c r="H41" s="19" t="s">
        <v>44</v>
      </c>
    </row>
    <row r="42" spans="2:8">
      <c r="B42" s="21" t="s">
        <v>111</v>
      </c>
      <c r="C42" s="18" t="s">
        <v>112</v>
      </c>
      <c r="D42" s="18" t="s">
        <v>17</v>
      </c>
      <c r="E42" s="22">
        <v>470991</v>
      </c>
      <c r="F42" s="19">
        <v>5757.39</v>
      </c>
      <c r="G42" s="19">
        <v>1.44</v>
      </c>
      <c r="H42" s="19" t="s">
        <v>18</v>
      </c>
    </row>
    <row r="43" spans="2:8">
      <c r="B43" s="21" t="s">
        <v>113</v>
      </c>
      <c r="C43" s="18" t="s">
        <v>114</v>
      </c>
      <c r="D43" s="18" t="s">
        <v>92</v>
      </c>
      <c r="E43" s="22">
        <v>118181</v>
      </c>
      <c r="F43" s="19">
        <v>5368.25</v>
      </c>
      <c r="G43" s="19">
        <v>1.34</v>
      </c>
      <c r="H43" s="19" t="s">
        <v>44</v>
      </c>
    </row>
    <row r="44" spans="2:8">
      <c r="B44" s="21" t="s">
        <v>115</v>
      </c>
      <c r="C44" s="18" t="s">
        <v>116</v>
      </c>
      <c r="D44" s="18" t="s">
        <v>24</v>
      </c>
      <c r="E44" s="22">
        <v>560787</v>
      </c>
      <c r="F44" s="19">
        <v>5356.92</v>
      </c>
      <c r="G44" s="19">
        <v>1.34</v>
      </c>
      <c r="H44" s="19" t="s">
        <v>18</v>
      </c>
    </row>
    <row r="45" spans="2:8">
      <c r="B45" s="21" t="s">
        <v>117</v>
      </c>
      <c r="C45" s="18" t="s">
        <v>118</v>
      </c>
      <c r="D45" s="18" t="s">
        <v>103</v>
      </c>
      <c r="E45" s="22">
        <v>6914359</v>
      </c>
      <c r="F45" s="19">
        <v>5306.08</v>
      </c>
      <c r="G45" s="19">
        <v>1.33</v>
      </c>
      <c r="H45" s="19" t="s">
        <v>18</v>
      </c>
    </row>
    <row r="46" spans="2:8">
      <c r="B46" s="21" t="s">
        <v>119</v>
      </c>
      <c r="C46" s="18" t="s">
        <v>120</v>
      </c>
      <c r="D46" s="18" t="s">
        <v>110</v>
      </c>
      <c r="E46" s="22">
        <v>1203197</v>
      </c>
      <c r="F46" s="19">
        <v>5128.03</v>
      </c>
      <c r="G46" s="19">
        <v>1.28</v>
      </c>
      <c r="H46" s="19" t="s">
        <v>98</v>
      </c>
    </row>
    <row r="47" spans="2:8">
      <c r="B47" s="21" t="s">
        <v>121</v>
      </c>
      <c r="C47" s="18" t="s">
        <v>122</v>
      </c>
      <c r="D47" s="18" t="s">
        <v>123</v>
      </c>
      <c r="E47" s="22">
        <v>199266</v>
      </c>
      <c r="F47" s="19">
        <v>5102.8</v>
      </c>
      <c r="G47" s="19">
        <v>1.28</v>
      </c>
      <c r="H47" s="19" t="s">
        <v>18</v>
      </c>
    </row>
    <row r="48" spans="2:8">
      <c r="B48" s="21" t="s">
        <v>124</v>
      </c>
      <c r="C48" s="18" t="s">
        <v>125</v>
      </c>
      <c r="D48" s="18" t="s">
        <v>123</v>
      </c>
      <c r="E48" s="22">
        <v>16693</v>
      </c>
      <c r="F48" s="19">
        <v>5020.42</v>
      </c>
      <c r="G48" s="19">
        <v>1.26</v>
      </c>
      <c r="H48" s="19" t="s">
        <v>18</v>
      </c>
    </row>
    <row r="49" spans="2:8">
      <c r="B49" s="21" t="s">
        <v>126</v>
      </c>
      <c r="C49" s="18" t="s">
        <v>127</v>
      </c>
      <c r="D49" s="18" t="s">
        <v>59</v>
      </c>
      <c r="E49" s="22">
        <v>118113</v>
      </c>
      <c r="F49" s="19">
        <v>5020.2700000000004</v>
      </c>
      <c r="G49" s="19">
        <v>1.26</v>
      </c>
      <c r="H49" s="19" t="s">
        <v>44</v>
      </c>
    </row>
    <row r="50" spans="2:8">
      <c r="B50" s="21" t="s">
        <v>128</v>
      </c>
      <c r="C50" s="18" t="s">
        <v>129</v>
      </c>
      <c r="D50" s="18" t="s">
        <v>95</v>
      </c>
      <c r="E50" s="22">
        <v>121026</v>
      </c>
      <c r="F50" s="19">
        <v>5017.25</v>
      </c>
      <c r="G50" s="19">
        <v>1.26</v>
      </c>
      <c r="H50" s="19" t="s">
        <v>18</v>
      </c>
    </row>
    <row r="51" spans="2:8">
      <c r="B51" s="21" t="s">
        <v>130</v>
      </c>
      <c r="C51" s="18" t="s">
        <v>131</v>
      </c>
      <c r="D51" s="18" t="s">
        <v>89</v>
      </c>
      <c r="E51" s="22">
        <v>106660</v>
      </c>
      <c r="F51" s="19">
        <v>4718.32</v>
      </c>
      <c r="G51" s="19">
        <v>1.18</v>
      </c>
      <c r="H51" s="19" t="s">
        <v>18</v>
      </c>
    </row>
    <row r="52" spans="2:8">
      <c r="B52" s="21" t="s">
        <v>132</v>
      </c>
      <c r="C52" s="18" t="s">
        <v>133</v>
      </c>
      <c r="D52" s="18" t="s">
        <v>134</v>
      </c>
      <c r="E52" s="22">
        <v>119578</v>
      </c>
      <c r="F52" s="19">
        <v>4564.7700000000004</v>
      </c>
      <c r="G52" s="19">
        <v>1.1399999999999999</v>
      </c>
      <c r="H52" s="19" t="s">
        <v>18</v>
      </c>
    </row>
    <row r="53" spans="2:8">
      <c r="B53" s="21" t="s">
        <v>135</v>
      </c>
      <c r="C53" s="18" t="s">
        <v>136</v>
      </c>
      <c r="D53" s="18" t="s">
        <v>137</v>
      </c>
      <c r="E53" s="22">
        <v>1704523</v>
      </c>
      <c r="F53" s="19">
        <v>4431.42</v>
      </c>
      <c r="G53" s="19">
        <v>1.1100000000000001</v>
      </c>
      <c r="H53" s="19" t="s">
        <v>18</v>
      </c>
    </row>
    <row r="54" spans="2:8">
      <c r="B54" s="21" t="s">
        <v>138</v>
      </c>
      <c r="C54" s="18" t="s">
        <v>139</v>
      </c>
      <c r="D54" s="18" t="s">
        <v>95</v>
      </c>
      <c r="E54" s="22">
        <v>255510</v>
      </c>
      <c r="F54" s="19">
        <v>4391.96</v>
      </c>
      <c r="G54" s="19">
        <v>1.1000000000000001</v>
      </c>
      <c r="H54" s="19" t="s">
        <v>18</v>
      </c>
    </row>
    <row r="55" spans="2:8">
      <c r="B55" s="21" t="s">
        <v>140</v>
      </c>
      <c r="C55" s="18" t="s">
        <v>141</v>
      </c>
      <c r="D55" s="18" t="s">
        <v>79</v>
      </c>
      <c r="E55" s="22">
        <v>111467</v>
      </c>
      <c r="F55" s="19">
        <v>4355.8</v>
      </c>
      <c r="G55" s="19">
        <v>1.0900000000000001</v>
      </c>
      <c r="H55" s="19" t="s">
        <v>44</v>
      </c>
    </row>
    <row r="56" spans="2:8">
      <c r="B56" s="21" t="s">
        <v>142</v>
      </c>
      <c r="C56" s="18" t="s">
        <v>143</v>
      </c>
      <c r="D56" s="18" t="s">
        <v>79</v>
      </c>
      <c r="E56" s="22">
        <v>360543</v>
      </c>
      <c r="F56" s="19">
        <v>4220.5200000000004</v>
      </c>
      <c r="G56" s="19">
        <v>1.06</v>
      </c>
      <c r="H56" s="19" t="s">
        <v>18</v>
      </c>
    </row>
    <row r="57" spans="2:8">
      <c r="B57" s="21" t="s">
        <v>144</v>
      </c>
      <c r="C57" s="18" t="s">
        <v>145</v>
      </c>
      <c r="D57" s="18" t="s">
        <v>64</v>
      </c>
      <c r="E57" s="22">
        <v>68073</v>
      </c>
      <c r="F57" s="19">
        <v>4061.24</v>
      </c>
      <c r="G57" s="19">
        <v>1.02</v>
      </c>
      <c r="H57" s="19" t="s">
        <v>18</v>
      </c>
    </row>
    <row r="58" spans="2:8">
      <c r="B58" s="21" t="s">
        <v>146</v>
      </c>
      <c r="C58" s="18" t="s">
        <v>147</v>
      </c>
      <c r="D58" s="18" t="s">
        <v>50</v>
      </c>
      <c r="E58" s="22">
        <v>100785</v>
      </c>
      <c r="F58" s="19">
        <v>3930.01</v>
      </c>
      <c r="G58" s="19">
        <v>0.98</v>
      </c>
      <c r="H58" s="19" t="s">
        <v>18</v>
      </c>
    </row>
    <row r="59" spans="2:8">
      <c r="B59" s="21" t="s">
        <v>148</v>
      </c>
      <c r="C59" s="18" t="s">
        <v>149</v>
      </c>
      <c r="D59" s="18" t="s">
        <v>32</v>
      </c>
      <c r="E59" s="22">
        <v>230871</v>
      </c>
      <c r="F59" s="19">
        <v>3802.91</v>
      </c>
      <c r="G59" s="19">
        <v>0.95</v>
      </c>
      <c r="H59" s="19" t="s">
        <v>18</v>
      </c>
    </row>
    <row r="60" spans="2:8">
      <c r="B60" s="21" t="s">
        <v>150</v>
      </c>
      <c r="C60" s="18" t="s">
        <v>151</v>
      </c>
      <c r="D60" s="18" t="s">
        <v>152</v>
      </c>
      <c r="E60" s="22">
        <v>212867</v>
      </c>
      <c r="F60" s="19">
        <v>3764.13</v>
      </c>
      <c r="G60" s="19">
        <v>0.94</v>
      </c>
      <c r="H60" s="19" t="s">
        <v>18</v>
      </c>
    </row>
    <row r="61" spans="2:8">
      <c r="B61" s="21" t="s">
        <v>153</v>
      </c>
      <c r="C61" s="18" t="s">
        <v>154</v>
      </c>
      <c r="D61" s="18" t="s">
        <v>84</v>
      </c>
      <c r="E61" s="22">
        <v>78040</v>
      </c>
      <c r="F61" s="19">
        <v>3635.42</v>
      </c>
      <c r="G61" s="19">
        <v>0.91</v>
      </c>
      <c r="H61" s="19" t="s">
        <v>98</v>
      </c>
    </row>
    <row r="62" spans="2:8">
      <c r="B62" s="21" t="s">
        <v>155</v>
      </c>
      <c r="C62" s="18" t="s">
        <v>156</v>
      </c>
      <c r="D62" s="18" t="s">
        <v>59</v>
      </c>
      <c r="E62" s="22">
        <v>2674874</v>
      </c>
      <c r="F62" s="19">
        <v>3632.48</v>
      </c>
      <c r="G62" s="19">
        <v>0.91</v>
      </c>
      <c r="H62" s="19" t="s">
        <v>18</v>
      </c>
    </row>
    <row r="63" spans="2:8">
      <c r="B63" s="21" t="s">
        <v>157</v>
      </c>
      <c r="C63" s="18" t="s">
        <v>158</v>
      </c>
      <c r="D63" s="18" t="s">
        <v>79</v>
      </c>
      <c r="E63" s="22">
        <v>195454</v>
      </c>
      <c r="F63" s="19">
        <v>3450.54</v>
      </c>
      <c r="G63" s="19">
        <v>0.86</v>
      </c>
      <c r="H63" s="19" t="s">
        <v>18</v>
      </c>
    </row>
    <row r="64" spans="2:8">
      <c r="B64" s="21" t="s">
        <v>159</v>
      </c>
      <c r="C64" s="18" t="s">
        <v>160</v>
      </c>
      <c r="D64" s="18" t="s">
        <v>50</v>
      </c>
      <c r="E64" s="22">
        <v>118072</v>
      </c>
      <c r="F64" s="19">
        <v>3121.35</v>
      </c>
      <c r="G64" s="19">
        <v>0.78</v>
      </c>
      <c r="H64" s="19" t="s">
        <v>98</v>
      </c>
    </row>
    <row r="65" spans="2:8">
      <c r="B65" s="21" t="s">
        <v>161</v>
      </c>
      <c r="C65" s="18" t="s">
        <v>162</v>
      </c>
      <c r="D65" s="18" t="s">
        <v>163</v>
      </c>
      <c r="E65" s="22">
        <v>2150491</v>
      </c>
      <c r="F65" s="19">
        <v>2685.75</v>
      </c>
      <c r="G65" s="19">
        <v>0.67</v>
      </c>
      <c r="H65" s="19" t="s">
        <v>18</v>
      </c>
    </row>
    <row r="66" spans="2:8">
      <c r="B66" s="21" t="s">
        <v>164</v>
      </c>
      <c r="C66" s="18" t="s">
        <v>165</v>
      </c>
      <c r="D66" s="18" t="s">
        <v>123</v>
      </c>
      <c r="E66" s="22">
        <v>61931</v>
      </c>
      <c r="F66" s="19">
        <v>1394.07</v>
      </c>
      <c r="G66" s="19">
        <v>0.35</v>
      </c>
      <c r="H66" s="19" t="s">
        <v>44</v>
      </c>
    </row>
    <row r="67" spans="2:8">
      <c r="B67" s="24" t="s">
        <v>166</v>
      </c>
      <c r="C67" s="25"/>
      <c r="D67" s="25"/>
      <c r="E67" s="25"/>
      <c r="F67" s="26">
        <f>SUM(F7:F66)</f>
        <v>382886.33</v>
      </c>
      <c r="G67" s="26">
        <f>SUM(G7:G66)</f>
        <v>95.81</v>
      </c>
      <c r="H67" s="26"/>
    </row>
    <row r="68" spans="2:8">
      <c r="B68" s="27" t="s">
        <v>167</v>
      </c>
      <c r="C68" s="27"/>
      <c r="D68" s="27"/>
      <c r="E68" s="27"/>
      <c r="F68" s="28">
        <f>F67</f>
        <v>382886.33</v>
      </c>
      <c r="G68" s="28">
        <f>G67</f>
        <v>95.81</v>
      </c>
      <c r="H68" s="28"/>
    </row>
    <row r="69" spans="2:8">
      <c r="B69" s="29" t="s">
        <v>168</v>
      </c>
      <c r="C69" s="30"/>
      <c r="D69" s="30"/>
      <c r="E69" s="30"/>
      <c r="F69" s="31"/>
      <c r="G69" s="31"/>
      <c r="H69" s="31"/>
    </row>
    <row r="70" spans="2:8">
      <c r="B70" s="21" t="s">
        <v>168</v>
      </c>
      <c r="C70" s="18"/>
      <c r="D70" s="18"/>
      <c r="E70" s="18"/>
      <c r="F70" s="19">
        <v>14789.54</v>
      </c>
      <c r="G70" s="19">
        <v>3.7</v>
      </c>
      <c r="H70" s="19"/>
    </row>
    <row r="71" spans="2:8">
      <c r="B71" s="24" t="s">
        <v>166</v>
      </c>
      <c r="C71" s="25"/>
      <c r="D71" s="25"/>
      <c r="E71" s="25"/>
      <c r="F71" s="26">
        <f>SUM(F69:F70)</f>
        <v>14789.54</v>
      </c>
      <c r="G71" s="26">
        <f>SUM(G69:G70)</f>
        <v>3.7</v>
      </c>
      <c r="H71" s="26"/>
    </row>
    <row r="72" spans="2:8">
      <c r="B72" s="32" t="s">
        <v>167</v>
      </c>
      <c r="C72" s="32"/>
      <c r="D72" s="32"/>
      <c r="E72" s="32"/>
      <c r="F72" s="33">
        <f>F71</f>
        <v>14789.54</v>
      </c>
      <c r="G72" s="33">
        <f>G71</f>
        <v>3.7</v>
      </c>
      <c r="H72" s="33"/>
    </row>
    <row r="73" spans="2:8">
      <c r="B73" s="34" t="s">
        <v>169</v>
      </c>
      <c r="C73" s="34"/>
      <c r="D73" s="34"/>
      <c r="E73" s="34"/>
      <c r="F73" s="35">
        <f>F74-(+F68+F72)</f>
        <v>1993.2600000000093</v>
      </c>
      <c r="G73" s="35">
        <f>G74-(+G68+G72)</f>
        <v>0.48999999999999488</v>
      </c>
      <c r="H73" s="35"/>
    </row>
    <row r="74" spans="2:8">
      <c r="B74" s="34" t="s">
        <v>170</v>
      </c>
      <c r="C74" s="34"/>
      <c r="D74" s="34"/>
      <c r="E74" s="34"/>
      <c r="F74" s="35">
        <v>399669.13</v>
      </c>
      <c r="G74" s="35">
        <v>100</v>
      </c>
      <c r="H74" s="35"/>
    </row>
    <row r="76" spans="2:8" ht="12" thickBot="1">
      <c r="B76" s="36"/>
    </row>
    <row r="77" spans="2:8" ht="12.5" thickTop="1" thickBot="1">
      <c r="B77" s="38" t="s">
        <v>171</v>
      </c>
      <c r="C77" s="39" t="s">
        <v>172</v>
      </c>
    </row>
    <row r="78" spans="2:8" ht="12" thickTop="1"/>
    <row r="79" spans="2:8">
      <c r="B79" s="36" t="s">
        <v>173</v>
      </c>
    </row>
    <row r="81" spans="2:2" ht="14.5">
      <c r="B81" s="40" t="s">
        <v>174</v>
      </c>
    </row>
  </sheetData>
  <mergeCells count="5">
    <mergeCell ref="B1:G1"/>
    <mergeCell ref="K5:K12"/>
    <mergeCell ref="L5:L12"/>
    <mergeCell ref="M5:M12"/>
    <mergeCell ref="N5:N12"/>
  </mergeCells>
  <hyperlinks>
    <hyperlink ref="B81" r:id="rId1" tooltip="Original URL: https://www.canararobeco.com/docs/default-source/default-document-library/Scheme_Performance_November-25.pdf. Click or tap if you trust this link." xr:uid="{803CB4C9-1E6C-40EF-81E7-835A7B9C4D9E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16:15:37</KDate>
  <Classification>Public</Classification>
  <Subclassification/>
  <HostName>MUMCMP01346</HostName>
  <Domain_User>CANARAROBECOMF/396</Domain_User>
  <IPAdd>192.9.198.198</IPAdd>
  <FilePath>Book10</FilePath>
  <KID>1098191A8D7D639008073374884945</KID>
  <UniqueName/>
  <Suggested/>
  <Justification/>
</Klassify>
</file>

<file path=customXml/itemProps1.xml><?xml version="1.0" encoding="utf-8"?>
<ds:datastoreItem xmlns:ds="http://schemas.openxmlformats.org/officeDocument/2006/customXml" ds:itemID="{5D304A11-7507-4EA9-BD2A-EE532E48FE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2025-12-08T10:45:26Z</dcterms:created>
  <dcterms:modified xsi:type="dcterms:W3CDTF">2025-12-08T10:45:37Z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1098191A8D7D639008073374884945</vt:lpwstr>
  </property>
</Properties>
</file>