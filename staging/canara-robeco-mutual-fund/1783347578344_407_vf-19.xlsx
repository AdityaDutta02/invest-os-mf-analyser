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October 2022\"/>
    </mc:Choice>
  </mc:AlternateContent>
  <bookViews>
    <workbookView xWindow="0" yWindow="0" windowWidth="20490" windowHeight="7650"/>
  </bookViews>
  <sheets>
    <sheet name="VF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4" i="1" l="1"/>
  <c r="G55" i="1" s="1"/>
  <c r="F54" i="1"/>
  <c r="F55" i="1" s="1"/>
  <c r="G50" i="1"/>
  <c r="G51" i="1" s="1"/>
  <c r="G56" i="1" s="1"/>
  <c r="F50" i="1"/>
  <c r="F51" i="1" s="1"/>
  <c r="F56" i="1" s="1"/>
</calcChain>
</file>

<file path=xl/sharedStrings.xml><?xml version="1.0" encoding="utf-8"?>
<sst xmlns="http://schemas.openxmlformats.org/spreadsheetml/2006/main" count="195" uniqueCount="132">
  <si>
    <t>CANARA ROBECO VALUE FUND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</si>
  <si>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</si>
  <si>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</si>
  <si>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</si>
  <si>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</si>
  <si>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</si>
  <si>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</si>
  <si>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</si>
  <si>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Market Capitalization</t>
  </si>
  <si>
    <t>Scheme Risk-o-meter Level- Oct'22</t>
  </si>
  <si>
    <t>Benchmark Risk-o-meter Level- Oct'22</t>
  </si>
  <si>
    <t>Previous Scheme Risk-o-meter Level- Sep'22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</si>
  <si>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</si>
  <si>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</si>
  <si>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</si>
  <si>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</si>
  <si>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</si>
  <si>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</si>
  <si>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Infosys Ltd</t>
  </si>
  <si>
    <t>INE009A01021</t>
  </si>
  <si>
    <t>IT - Software</t>
  </si>
  <si>
    <t>HDFC Bank Ltd</t>
  </si>
  <si>
    <t>INE040A01034</t>
  </si>
  <si>
    <t>Axis Bank Ltd</t>
  </si>
  <si>
    <t>INE238A01034</t>
  </si>
  <si>
    <t>ITC Ltd</t>
  </si>
  <si>
    <t>INE154A01025</t>
  </si>
  <si>
    <t>Diversified Fmcg</t>
  </si>
  <si>
    <t>Reliance Industries Ltd</t>
  </si>
  <si>
    <t>INE002A01018</t>
  </si>
  <si>
    <t>Petroleum Products</t>
  </si>
  <si>
    <t>State Bank of India</t>
  </si>
  <si>
    <t>INE062A01020</t>
  </si>
  <si>
    <t>Benchmark: S&amp;P BSE 500 TRI</t>
  </si>
  <si>
    <t>Maruti Suzuki India Ltd</t>
  </si>
  <si>
    <t>INE585B01010</t>
  </si>
  <si>
    <t>Automobiles</t>
  </si>
  <si>
    <t>NTPC Ltd</t>
  </si>
  <si>
    <t>INE733E01010</t>
  </si>
  <si>
    <t>Power</t>
  </si>
  <si>
    <t>Sun Pharmaceutical Industries Ltd</t>
  </si>
  <si>
    <t>INE044A01036</t>
  </si>
  <si>
    <t>Pharmaceuticals &amp; Biotechnology</t>
  </si>
  <si>
    <t>Bharti Airtel Ltd</t>
  </si>
  <si>
    <t>INE397D01024</t>
  </si>
  <si>
    <t>Telecom - Services</t>
  </si>
  <si>
    <t>Bharat Electronics Ltd</t>
  </si>
  <si>
    <t>INE263A01024</t>
  </si>
  <si>
    <t>Aerospace &amp; Defense</t>
  </si>
  <si>
    <t>J.B. Chemicals &amp; Pharmaceuticals Ltd</t>
  </si>
  <si>
    <t>INE572A01028</t>
  </si>
  <si>
    <t>Small Cap</t>
  </si>
  <si>
    <t>KEI Industries Ltd</t>
  </si>
  <si>
    <t>INE878B01027</t>
  </si>
  <si>
    <t>Industrial Products</t>
  </si>
  <si>
    <t>Varun Beverages Ltd</t>
  </si>
  <si>
    <t>INE200M01013</t>
  </si>
  <si>
    <t>Beverages</t>
  </si>
  <si>
    <t>Mid Cap</t>
  </si>
  <si>
    <t>Creditaccess Grameen Ltd</t>
  </si>
  <si>
    <t>INE741K01010</t>
  </si>
  <si>
    <t>Finance</t>
  </si>
  <si>
    <t>Housing Development Finance Corporation Ltd</t>
  </si>
  <si>
    <t>INE001A01036</t>
  </si>
  <si>
    <t>Larsen &amp; Toubro Ltd</t>
  </si>
  <si>
    <t>INE018A01030</t>
  </si>
  <si>
    <t>Construction</t>
  </si>
  <si>
    <t>Federal Bank Ltd</t>
  </si>
  <si>
    <t>INE171A01029</t>
  </si>
  <si>
    <t>Brigade Enterprises Ltd</t>
  </si>
  <si>
    <t>INE791I01019</t>
  </si>
  <si>
    <t>Realty</t>
  </si>
  <si>
    <t>Ambuja Cements Ltd</t>
  </si>
  <si>
    <t>INE079A01024</t>
  </si>
  <si>
    <t>Cement &amp; Cement Products</t>
  </si>
  <si>
    <t>SBI Life Insurance Co Ltd</t>
  </si>
  <si>
    <t>INE123W01016</t>
  </si>
  <si>
    <t>Insurance</t>
  </si>
  <si>
    <t>Container Corporation Of India Ltd</t>
  </si>
  <si>
    <t>INE111A01025</t>
  </si>
  <si>
    <t>Transport Services</t>
  </si>
  <si>
    <t>Cera Sanitaryware Ltd</t>
  </si>
  <si>
    <t>INE739E01017</t>
  </si>
  <si>
    <t>Consumer Durables</t>
  </si>
  <si>
    <t>Max Healthcare Institute Ltd</t>
  </si>
  <si>
    <t>INE027H01010</t>
  </si>
  <si>
    <t>Healthcare Services</t>
  </si>
  <si>
    <t>IndusInd Bank Ltd</t>
  </si>
  <si>
    <t>INE095A01012</t>
  </si>
  <si>
    <t>Bajaj Auto Ltd</t>
  </si>
  <si>
    <t>INE917I01010</t>
  </si>
  <si>
    <t>Cipla Ltd</t>
  </si>
  <si>
    <t>INE059A01026</t>
  </si>
  <si>
    <t>EID Parry India Ltd</t>
  </si>
  <si>
    <t>INE126A01031</t>
  </si>
  <si>
    <t>Agricultural Food &amp; Other Products</t>
  </si>
  <si>
    <t>Tata Motors Ltd</t>
  </si>
  <si>
    <t>INE155A01022</t>
  </si>
  <si>
    <t>VRL Logistics Ltd</t>
  </si>
  <si>
    <t>INE366I01010</t>
  </si>
  <si>
    <t>KEC International Ltd</t>
  </si>
  <si>
    <t>INE389H01022</t>
  </si>
  <si>
    <t>Electrical Equipment</t>
  </si>
  <si>
    <t>HCL Technologies Ltd</t>
  </si>
  <si>
    <t>INE860A01027</t>
  </si>
  <si>
    <t>AIA Engineering Ltd</t>
  </si>
  <si>
    <t>INE212H01026</t>
  </si>
  <si>
    <t>Ahluwalia Contracts (India) Ltd</t>
  </si>
  <si>
    <t>INE758C01029</t>
  </si>
  <si>
    <t>JK Lakshmi Cement Ltd</t>
  </si>
  <si>
    <t>INE786A01032</t>
  </si>
  <si>
    <t>Equitas Holdings Ltd</t>
  </si>
  <si>
    <t>INE988K01017</t>
  </si>
  <si>
    <t>Sundaram Finance Ltd</t>
  </si>
  <si>
    <t>INE660A01013</t>
  </si>
  <si>
    <t>Great Eastern Shipping Co Ltd</t>
  </si>
  <si>
    <t>INE017A01032</t>
  </si>
  <si>
    <t>GAIL (India) Ltd</t>
  </si>
  <si>
    <t>INE129A01019</t>
  </si>
  <si>
    <t>Gas</t>
  </si>
  <si>
    <t>K.P.R. Mill Ltd</t>
  </si>
  <si>
    <t>INE930H01031</t>
  </si>
  <si>
    <t>Textiles &amp; Apparels</t>
  </si>
  <si>
    <t>Hindustan Petroleum Corporation Ltd</t>
  </si>
  <si>
    <t>INE094A01015</t>
  </si>
  <si>
    <t>Bharti Airtel Ltd - Partly Paid</t>
  </si>
  <si>
    <t>IN9397D01014</t>
  </si>
  <si>
    <t>Sub Total</t>
  </si>
  <si>
    <t>Total</t>
  </si>
  <si>
    <t>TREPS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</si>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</sst>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43" fontId="3" fillId="3" borderId="0" xfId="1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3" borderId="6" xfId="0" applyFont="1" applyFill="1" applyBorder="1"/>
    <xf numFmtId="0" fontId="3" fillId="3" borderId="6" xfId="0" applyFont="1" applyFill="1" applyBorder="1"/>
    <xf numFmtId="0" fontId="3" fillId="3" borderId="6" xfId="0" applyNumberFormat="1" applyFont="1" applyFill="1" applyBorder="1"/>
    <xf numFmtId="4" fontId="3" fillId="3" borderId="6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3" borderId="5" xfId="0" applyFont="1" applyFill="1" applyBorder="1"/>
    <xf numFmtId="0" fontId="3" fillId="3" borderId="5" xfId="0" applyFont="1" applyFill="1" applyBorder="1"/>
    <xf numFmtId="0" fontId="3" fillId="3" borderId="5" xfId="0" applyNumberFormat="1" applyFont="1" applyFill="1" applyBorder="1"/>
    <xf numFmtId="4" fontId="3" fillId="3" borderId="5" xfId="0" applyNumberFormat="1" applyFont="1" applyFill="1" applyBorder="1"/>
    <xf numFmtId="3" fontId="3" fillId="3" borderId="5" xfId="0" applyNumberFormat="1" applyFont="1" applyFill="1" applyBorder="1"/>
    <xf numFmtId="43" fontId="3" fillId="3" borderId="0" xfId="1" applyFont="1" applyFill="1" applyAlignment="1"/>
    <xf numFmtId="0" fontId="3" fillId="3" borderId="0" xfId="0" applyFont="1" applyFill="1" applyAlignment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  <xf numFmtId="4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303460</xdr:colOff>
      <xdr:row>4</xdr:row>
      <xdr:rowOff>60477</xdr:rowOff>
    </xdr:from>
    <xdr:to>
      <xdr:col>10</xdr:col>
      <xdr:colOff>1962149</xdr:colOff>
      <xdr:row>11</xdr:row>
      <xdr:rowOff>85725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E2A1B8-B5D6-4A16-A079-9BEBCF66B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047910" y="1155852"/>
          <a:ext cx="1658689" cy="1092048"/>
        </a:xfrm>
        <a:prstGeom prst="rect">
          <a:avLst/>
        </a:prstGeom>
      </xdr:spPr>
    </xdr:pic>
    <xdr:clientData/>
  </xdr:twoCellAnchor>
  <xdr:twoCellAnchor editAs="oneCell">
    <xdr:from>
      <xdr:col>9</xdr:col>
      <xdr:colOff>156295</xdr:colOff>
      <xdr:row>4</xdr:row>
      <xdr:rowOff>47626</xdr:rowOff>
    </xdr:from>
    <xdr:to>
      <xdr:col>9</xdr:col>
      <xdr:colOff>1885950</xdr:colOff>
      <xdr:row>11</xdr:row>
      <xdr:rowOff>47626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20F43F1-E19F-45F8-9D09-9D0590150F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833820" y="1143001"/>
          <a:ext cx="1729655" cy="1066800"/>
        </a:xfrm>
        <a:prstGeom prst="rect">
          <a:avLst/>
        </a:prstGeom>
      </xdr:spPr>
    </xdr:pic>
    <xdr:clientData/>
  </xdr:twoCellAnchor>
  <xdr:oneCellAnchor>
    <xdr:from>
      <xdr:col>11</xdr:col>
      <xdr:colOff>458436</xdr:colOff>
      <xdr:row>4</xdr:row>
      <xdr:rowOff>84349</xdr:rowOff>
    </xdr:from>
    <xdr:ext cx="1703739" cy="1020551"/>
    <xdr:pic>
      <xdr:nvPicPr>
        <xdr:cNvPr id="4" name="Picture 3">
          <a:extLst>
            <a:ext uri="{FF2B5EF4-FFF2-40B4-BE49-F238E27FC236}">
              <a16:creationId xmlns:a16="http://schemas.microsoft.com/office/drawing/2014/main" id="{9DDAA737-FC32-45DC-86BA-0BA95AD90D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79361" y="1179724"/>
          <a:ext cx="1703739" cy="102055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59"/>
  <sheetViews>
    <sheetView tabSelected="1" workbookViewId="0">
      <selection activeCell="A4" sqref="A4"/>
    </sheetView>
  </sheetViews>
  <sheetFormatPr defaultRowHeight="12"/>
  <cols>
    <col min="1" max="1" width="9.140625" style="3"/>
    <col min="2" max="2" width="58.28515625" style="3" bestFit="1" customWidth="1"/>
    <col min="3" max="3" width="13.5703125" style="3" bestFit="1" customWidth="1"/>
    <col min="4" max="4" width="28.42578125" style="3" bestFit="1" customWidth="1"/>
    <col min="5" max="5" width="8.85546875" style="31" bestFit="1" customWidth="1"/>
    <col min="6" max="6" width="15.28515625" style="32" bestFit="1" customWidth="1"/>
    <col min="7" max="7" width="7.42578125" style="32" bestFit="1" customWidth="1"/>
    <col min="8" max="8" width="9.140625" style="3"/>
    <col min="9" max="9" width="10" style="4" bestFit="1" customWidth="1"/>
    <col min="10" max="10" width="31" style="4" bestFit="1" customWidth="1"/>
    <col min="11" max="11" width="34.140625" style="4" bestFit="1" customWidth="1"/>
    <col min="12" max="12" width="39.28515625" style="4" bestFit="1" customWidth="1"/>
    <col min="13" max="16384" width="9.140625" style="3"/>
  </cols>
  <sheetData>
    <row r="1" spans="2:12" ht="21" customHeight="1">
      <c r="B1" s="1" t="s">
        <v>0</v>
      </c>
      <c r="C1" s="2"/>
      <c r="D1" s="2"/>
      <c r="E1" s="2"/>
      <c r="F1" s="2"/>
      <c r="G1" s="2"/>
    </row>
    <row r="3" spans="2:12" ht="16.5" thickBot="1">
      <c r="B3" s="5" t="s">
        <v>1</v>
      </c>
      <c r="C3" s="6"/>
      <c r="D3" s="7"/>
      <c r="E3" s="8"/>
      <c r="F3" s="9"/>
      <c r="G3" s="9"/>
    </row>
    <row r="4" spans="2:12" ht="36.75" thickBot="1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3" t="s">
        <v>7</v>
      </c>
      <c r="H4" s="14" t="s">
        <v>8</v>
      </c>
      <c r="J4" s="15" t="s">
        <v>9</v>
      </c>
      <c r="K4" s="15" t="s">
        <v>10</v>
      </c>
      <c r="L4" s="15" t="s">
        <v>11</v>
      </c>
    </row>
    <row r="5" spans="2:12">
      <c r="B5" s="16" t="s">
        <v>12</v>
      </c>
      <c r="C5" s="17"/>
      <c r="D5" s="17"/>
      <c r="E5" s="18"/>
      <c r="F5" s="19"/>
      <c r="G5" s="19"/>
      <c r="H5" s="17"/>
      <c r="J5" s="20"/>
      <c r="K5" s="20"/>
      <c r="L5" s="20"/>
    </row>
    <row r="6" spans="2:12">
      <c r="B6" s="21" t="s">
        <v>13</v>
      </c>
      <c r="C6" s="22"/>
      <c r="D6" s="22"/>
      <c r="E6" s="23"/>
      <c r="F6" s="24"/>
      <c r="G6" s="24"/>
      <c r="H6" s="22"/>
      <c r="J6" s="20"/>
      <c r="K6" s="20"/>
      <c r="L6" s="20"/>
    </row>
    <row r="7" spans="2:12">
      <c r="B7" s="22" t="s">
        <v>14</v>
      </c>
      <c r="C7" s="22" t="s">
        <v>15</v>
      </c>
      <c r="D7" s="22" t="s">
        <v>16</v>
      </c>
      <c r="E7" s="25">
        <v>695585</v>
      </c>
      <c r="F7" s="24">
        <v>6320.78</v>
      </c>
      <c r="G7" s="24">
        <v>8.14</v>
      </c>
      <c r="H7" s="22" t="s">
        <v>17</v>
      </c>
      <c r="J7" s="20"/>
      <c r="K7" s="20"/>
      <c r="L7" s="20"/>
    </row>
    <row r="8" spans="2:12">
      <c r="B8" s="22" t="s">
        <v>18</v>
      </c>
      <c r="C8" s="22" t="s">
        <v>19</v>
      </c>
      <c r="D8" s="22" t="s">
        <v>20</v>
      </c>
      <c r="E8" s="25">
        <v>388500</v>
      </c>
      <c r="F8" s="24">
        <v>5973.77</v>
      </c>
      <c r="G8" s="24">
        <v>7.7</v>
      </c>
      <c r="H8" s="22" t="s">
        <v>17</v>
      </c>
      <c r="J8" s="20"/>
      <c r="K8" s="20"/>
      <c r="L8" s="20"/>
    </row>
    <row r="9" spans="2:12">
      <c r="B9" s="22" t="s">
        <v>21</v>
      </c>
      <c r="C9" s="22" t="s">
        <v>22</v>
      </c>
      <c r="D9" s="22" t="s">
        <v>16</v>
      </c>
      <c r="E9" s="25">
        <v>272000</v>
      </c>
      <c r="F9" s="24">
        <v>4071.02</v>
      </c>
      <c r="G9" s="24">
        <v>5.25</v>
      </c>
      <c r="H9" s="22" t="s">
        <v>17</v>
      </c>
      <c r="J9" s="20"/>
      <c r="K9" s="20"/>
      <c r="L9" s="20"/>
    </row>
    <row r="10" spans="2:12">
      <c r="B10" s="22" t="s">
        <v>23</v>
      </c>
      <c r="C10" s="22" t="s">
        <v>24</v>
      </c>
      <c r="D10" s="22" t="s">
        <v>16</v>
      </c>
      <c r="E10" s="25">
        <v>417357</v>
      </c>
      <c r="F10" s="24">
        <v>3781.25</v>
      </c>
      <c r="G10" s="24">
        <v>4.87</v>
      </c>
      <c r="H10" s="22" t="s">
        <v>17</v>
      </c>
      <c r="J10" s="20"/>
      <c r="K10" s="20"/>
      <c r="L10" s="20"/>
    </row>
    <row r="11" spans="2:12">
      <c r="B11" s="22" t="s">
        <v>25</v>
      </c>
      <c r="C11" s="22" t="s">
        <v>26</v>
      </c>
      <c r="D11" s="22" t="s">
        <v>27</v>
      </c>
      <c r="E11" s="25">
        <v>896880</v>
      </c>
      <c r="F11" s="24">
        <v>3127.42</v>
      </c>
      <c r="G11" s="24">
        <v>4.03</v>
      </c>
      <c r="H11" s="22" t="s">
        <v>17</v>
      </c>
      <c r="J11" s="20"/>
      <c r="K11" s="20"/>
      <c r="L11" s="20"/>
    </row>
    <row r="12" spans="2:12">
      <c r="B12" s="22" t="s">
        <v>28</v>
      </c>
      <c r="C12" s="22" t="s">
        <v>29</v>
      </c>
      <c r="D12" s="22" t="s">
        <v>30</v>
      </c>
      <c r="E12" s="25">
        <v>120799</v>
      </c>
      <c r="F12" s="24">
        <v>3079.89</v>
      </c>
      <c r="G12" s="24">
        <v>3.97</v>
      </c>
      <c r="H12" s="22" t="s">
        <v>17</v>
      </c>
      <c r="J12" s="20"/>
      <c r="K12" s="20"/>
      <c r="L12" s="20"/>
    </row>
    <row r="13" spans="2:12">
      <c r="B13" s="22" t="s">
        <v>31</v>
      </c>
      <c r="C13" s="22" t="s">
        <v>32</v>
      </c>
      <c r="D13" s="22" t="s">
        <v>16</v>
      </c>
      <c r="E13" s="25">
        <v>523915</v>
      </c>
      <c r="F13" s="24">
        <v>3006.22</v>
      </c>
      <c r="G13" s="24">
        <v>3.87</v>
      </c>
      <c r="H13" s="22" t="s">
        <v>17</v>
      </c>
      <c r="J13" s="26"/>
      <c r="K13" s="27" t="s">
        <v>33</v>
      </c>
      <c r="L13" s="27"/>
    </row>
    <row r="14" spans="2:12">
      <c r="B14" s="22" t="s">
        <v>34</v>
      </c>
      <c r="C14" s="22" t="s">
        <v>35</v>
      </c>
      <c r="D14" s="22" t="s">
        <v>36</v>
      </c>
      <c r="E14" s="25">
        <v>29500</v>
      </c>
      <c r="F14" s="24">
        <v>2810.64</v>
      </c>
      <c r="G14" s="24">
        <v>3.62</v>
      </c>
      <c r="H14" s="22" t="s">
        <v>17</v>
      </c>
    </row>
    <row r="15" spans="2:12">
      <c r="B15" s="22" t="s">
        <v>37</v>
      </c>
      <c r="C15" s="22" t="s">
        <v>38</v>
      </c>
      <c r="D15" s="22" t="s">
        <v>39</v>
      </c>
      <c r="E15" s="25">
        <v>1595000</v>
      </c>
      <c r="F15" s="24">
        <v>2760.95</v>
      </c>
      <c r="G15" s="24">
        <v>3.56</v>
      </c>
      <c r="H15" s="22" t="s">
        <v>17</v>
      </c>
    </row>
    <row r="16" spans="2:12">
      <c r="B16" s="22" t="s">
        <v>40</v>
      </c>
      <c r="C16" s="22" t="s">
        <v>41</v>
      </c>
      <c r="D16" s="22" t="s">
        <v>42</v>
      </c>
      <c r="E16" s="25">
        <v>266938</v>
      </c>
      <c r="F16" s="24">
        <v>2714.49</v>
      </c>
      <c r="G16" s="24">
        <v>3.5</v>
      </c>
      <c r="H16" s="22" t="s">
        <v>17</v>
      </c>
    </row>
    <row r="17" spans="2:8">
      <c r="B17" s="22" t="s">
        <v>43</v>
      </c>
      <c r="C17" s="22" t="s">
        <v>44</v>
      </c>
      <c r="D17" s="22" t="s">
        <v>45</v>
      </c>
      <c r="E17" s="25">
        <v>303000</v>
      </c>
      <c r="F17" s="24">
        <v>2520.96</v>
      </c>
      <c r="G17" s="24">
        <v>3.25</v>
      </c>
      <c r="H17" s="22" t="s">
        <v>17</v>
      </c>
    </row>
    <row r="18" spans="2:8">
      <c r="B18" s="22" t="s">
        <v>46</v>
      </c>
      <c r="C18" s="22" t="s">
        <v>47</v>
      </c>
      <c r="D18" s="22" t="s">
        <v>48</v>
      </c>
      <c r="E18" s="25">
        <v>2165783</v>
      </c>
      <c r="F18" s="24">
        <v>2314.14</v>
      </c>
      <c r="G18" s="24">
        <v>2.98</v>
      </c>
      <c r="H18" s="22" t="s">
        <v>17</v>
      </c>
    </row>
    <row r="19" spans="2:8">
      <c r="B19" s="22" t="s">
        <v>49</v>
      </c>
      <c r="C19" s="22" t="s">
        <v>50</v>
      </c>
      <c r="D19" s="22" t="s">
        <v>42</v>
      </c>
      <c r="E19" s="25">
        <v>116342</v>
      </c>
      <c r="F19" s="24">
        <v>2296.0100000000002</v>
      </c>
      <c r="G19" s="24">
        <v>2.96</v>
      </c>
      <c r="H19" s="22" t="s">
        <v>51</v>
      </c>
    </row>
    <row r="20" spans="2:8">
      <c r="B20" s="22" t="s">
        <v>52</v>
      </c>
      <c r="C20" s="22" t="s">
        <v>53</v>
      </c>
      <c r="D20" s="22" t="s">
        <v>54</v>
      </c>
      <c r="E20" s="25">
        <v>141290</v>
      </c>
      <c r="F20" s="24">
        <v>2282.12</v>
      </c>
      <c r="G20" s="24">
        <v>2.94</v>
      </c>
      <c r="H20" s="22" t="s">
        <v>51</v>
      </c>
    </row>
    <row r="21" spans="2:8">
      <c r="B21" s="22" t="s">
        <v>55</v>
      </c>
      <c r="C21" s="22" t="s">
        <v>56</v>
      </c>
      <c r="D21" s="22" t="s">
        <v>57</v>
      </c>
      <c r="E21" s="25">
        <v>202492</v>
      </c>
      <c r="F21" s="24">
        <v>2124.2399999999998</v>
      </c>
      <c r="G21" s="24">
        <v>2.74</v>
      </c>
      <c r="H21" s="22" t="s">
        <v>58</v>
      </c>
    </row>
    <row r="22" spans="2:8">
      <c r="B22" s="22" t="s">
        <v>59</v>
      </c>
      <c r="C22" s="22" t="s">
        <v>60</v>
      </c>
      <c r="D22" s="22" t="s">
        <v>61</v>
      </c>
      <c r="E22" s="25">
        <v>215638</v>
      </c>
      <c r="F22" s="24">
        <v>2102.9</v>
      </c>
      <c r="G22" s="24">
        <v>2.71</v>
      </c>
      <c r="H22" s="22" t="s">
        <v>51</v>
      </c>
    </row>
    <row r="23" spans="2:8">
      <c r="B23" s="22" t="s">
        <v>62</v>
      </c>
      <c r="C23" s="22" t="s">
        <v>63</v>
      </c>
      <c r="D23" s="22" t="s">
        <v>61</v>
      </c>
      <c r="E23" s="25">
        <v>77838</v>
      </c>
      <c r="F23" s="24">
        <v>1922.44</v>
      </c>
      <c r="G23" s="24">
        <v>2.48</v>
      </c>
      <c r="H23" s="22" t="s">
        <v>17</v>
      </c>
    </row>
    <row r="24" spans="2:8">
      <c r="B24" s="22" t="s">
        <v>64</v>
      </c>
      <c r="C24" s="22" t="s">
        <v>65</v>
      </c>
      <c r="D24" s="22" t="s">
        <v>66</v>
      </c>
      <c r="E24" s="25">
        <v>92907</v>
      </c>
      <c r="F24" s="24">
        <v>1879.6</v>
      </c>
      <c r="G24" s="24">
        <v>2.42</v>
      </c>
      <c r="H24" s="22" t="s">
        <v>17</v>
      </c>
    </row>
    <row r="25" spans="2:8">
      <c r="B25" s="22" t="s">
        <v>67</v>
      </c>
      <c r="C25" s="22" t="s">
        <v>68</v>
      </c>
      <c r="D25" s="22" t="s">
        <v>16</v>
      </c>
      <c r="E25" s="25">
        <v>1399741</v>
      </c>
      <c r="F25" s="24">
        <v>1840.66</v>
      </c>
      <c r="G25" s="24">
        <v>2.37</v>
      </c>
      <c r="H25" s="22" t="s">
        <v>58</v>
      </c>
    </row>
    <row r="26" spans="2:8">
      <c r="B26" s="22" t="s">
        <v>69</v>
      </c>
      <c r="C26" s="22" t="s">
        <v>70</v>
      </c>
      <c r="D26" s="22" t="s">
        <v>71</v>
      </c>
      <c r="E26" s="25">
        <v>342165</v>
      </c>
      <c r="F26" s="24">
        <v>1709.29</v>
      </c>
      <c r="G26" s="24">
        <v>2.2000000000000002</v>
      </c>
      <c r="H26" s="22" t="s">
        <v>51</v>
      </c>
    </row>
    <row r="27" spans="2:8">
      <c r="B27" s="22" t="s">
        <v>72</v>
      </c>
      <c r="C27" s="22" t="s">
        <v>73</v>
      </c>
      <c r="D27" s="22" t="s">
        <v>74</v>
      </c>
      <c r="E27" s="25">
        <v>275000</v>
      </c>
      <c r="F27" s="24">
        <v>1465.61</v>
      </c>
      <c r="G27" s="24">
        <v>1.89</v>
      </c>
      <c r="H27" s="22" t="s">
        <v>17</v>
      </c>
    </row>
    <row r="28" spans="2:8">
      <c r="B28" s="22" t="s">
        <v>75</v>
      </c>
      <c r="C28" s="22" t="s">
        <v>76</v>
      </c>
      <c r="D28" s="22" t="s">
        <v>77</v>
      </c>
      <c r="E28" s="25">
        <v>115000</v>
      </c>
      <c r="F28" s="24">
        <v>1455.84</v>
      </c>
      <c r="G28" s="24">
        <v>1.88</v>
      </c>
      <c r="H28" s="22" t="s">
        <v>17</v>
      </c>
    </row>
    <row r="29" spans="2:8">
      <c r="B29" s="22" t="s">
        <v>78</v>
      </c>
      <c r="C29" s="22" t="s">
        <v>79</v>
      </c>
      <c r="D29" s="22" t="s">
        <v>80</v>
      </c>
      <c r="E29" s="25">
        <v>146000</v>
      </c>
      <c r="F29" s="24">
        <v>1165.08</v>
      </c>
      <c r="G29" s="24">
        <v>1.5</v>
      </c>
      <c r="H29" s="22" t="s">
        <v>58</v>
      </c>
    </row>
    <row r="30" spans="2:8">
      <c r="B30" s="22" t="s">
        <v>81</v>
      </c>
      <c r="C30" s="22" t="s">
        <v>82</v>
      </c>
      <c r="D30" s="22" t="s">
        <v>83</v>
      </c>
      <c r="E30" s="25">
        <v>20000</v>
      </c>
      <c r="F30" s="24">
        <v>1115.07</v>
      </c>
      <c r="G30" s="24">
        <v>1.44</v>
      </c>
      <c r="H30" s="22" t="s">
        <v>51</v>
      </c>
    </row>
    <row r="31" spans="2:8">
      <c r="B31" s="22" t="s">
        <v>84</v>
      </c>
      <c r="C31" s="22" t="s">
        <v>85</v>
      </c>
      <c r="D31" s="22" t="s">
        <v>86</v>
      </c>
      <c r="E31" s="25">
        <v>210000</v>
      </c>
      <c r="F31" s="24">
        <v>958.23</v>
      </c>
      <c r="G31" s="24">
        <v>1.23</v>
      </c>
      <c r="H31" s="22" t="s">
        <v>58</v>
      </c>
    </row>
    <row r="32" spans="2:8">
      <c r="B32" s="22" t="s">
        <v>87</v>
      </c>
      <c r="C32" s="22" t="s">
        <v>88</v>
      </c>
      <c r="D32" s="22" t="s">
        <v>16</v>
      </c>
      <c r="E32" s="25">
        <v>81000</v>
      </c>
      <c r="F32" s="24">
        <v>925.55</v>
      </c>
      <c r="G32" s="24">
        <v>1.19</v>
      </c>
      <c r="H32" s="22" t="s">
        <v>17</v>
      </c>
    </row>
    <row r="33" spans="2:8">
      <c r="B33" s="22" t="s">
        <v>89</v>
      </c>
      <c r="C33" s="22" t="s">
        <v>90</v>
      </c>
      <c r="D33" s="22" t="s">
        <v>36</v>
      </c>
      <c r="E33" s="25">
        <v>23925</v>
      </c>
      <c r="F33" s="24">
        <v>878.49</v>
      </c>
      <c r="G33" s="24">
        <v>1.1299999999999999</v>
      </c>
      <c r="H33" s="22" t="s">
        <v>17</v>
      </c>
    </row>
    <row r="34" spans="2:8">
      <c r="B34" s="22" t="s">
        <v>91</v>
      </c>
      <c r="C34" s="22" t="s">
        <v>92</v>
      </c>
      <c r="D34" s="22" t="s">
        <v>42</v>
      </c>
      <c r="E34" s="25">
        <v>71831</v>
      </c>
      <c r="F34" s="24">
        <v>838.56</v>
      </c>
      <c r="G34" s="24">
        <v>1.08</v>
      </c>
      <c r="H34" s="22" t="s">
        <v>17</v>
      </c>
    </row>
    <row r="35" spans="2:8">
      <c r="B35" s="22" t="s">
        <v>93</v>
      </c>
      <c r="C35" s="22" t="s">
        <v>94</v>
      </c>
      <c r="D35" s="22" t="s">
        <v>95</v>
      </c>
      <c r="E35" s="25">
        <v>130000</v>
      </c>
      <c r="F35" s="24">
        <v>805.22</v>
      </c>
      <c r="G35" s="24">
        <v>1.04</v>
      </c>
      <c r="H35" s="22" t="s">
        <v>51</v>
      </c>
    </row>
    <row r="36" spans="2:8">
      <c r="B36" s="22" t="s">
        <v>96</v>
      </c>
      <c r="C36" s="22" t="s">
        <v>97</v>
      </c>
      <c r="D36" s="22" t="s">
        <v>36</v>
      </c>
      <c r="E36" s="25">
        <v>189504</v>
      </c>
      <c r="F36" s="24">
        <v>782.18</v>
      </c>
      <c r="G36" s="24">
        <v>1.01</v>
      </c>
      <c r="H36" s="22" t="s">
        <v>17</v>
      </c>
    </row>
    <row r="37" spans="2:8">
      <c r="B37" s="22" t="s">
        <v>98</v>
      </c>
      <c r="C37" s="22" t="s">
        <v>99</v>
      </c>
      <c r="D37" s="22" t="s">
        <v>80</v>
      </c>
      <c r="E37" s="25">
        <v>120000</v>
      </c>
      <c r="F37" s="24">
        <v>727.68</v>
      </c>
      <c r="G37" s="24">
        <v>0.94</v>
      </c>
      <c r="H37" s="22" t="s">
        <v>51</v>
      </c>
    </row>
    <row r="38" spans="2:8">
      <c r="B38" s="22" t="s">
        <v>100</v>
      </c>
      <c r="C38" s="22" t="s">
        <v>101</v>
      </c>
      <c r="D38" s="22" t="s">
        <v>102</v>
      </c>
      <c r="E38" s="25">
        <v>161000</v>
      </c>
      <c r="F38" s="24">
        <v>708.4</v>
      </c>
      <c r="G38" s="24">
        <v>0.91</v>
      </c>
      <c r="H38" s="22" t="s">
        <v>51</v>
      </c>
    </row>
    <row r="39" spans="2:8">
      <c r="B39" s="22" t="s">
        <v>103</v>
      </c>
      <c r="C39" s="22" t="s">
        <v>104</v>
      </c>
      <c r="D39" s="22" t="s">
        <v>20</v>
      </c>
      <c r="E39" s="25">
        <v>64430</v>
      </c>
      <c r="F39" s="24">
        <v>670.81</v>
      </c>
      <c r="G39" s="24">
        <v>0.86</v>
      </c>
      <c r="H39" s="22" t="s">
        <v>17</v>
      </c>
    </row>
    <row r="40" spans="2:8">
      <c r="B40" s="22" t="s">
        <v>105</v>
      </c>
      <c r="C40" s="22" t="s">
        <v>106</v>
      </c>
      <c r="D40" s="22" t="s">
        <v>54</v>
      </c>
      <c r="E40" s="25">
        <v>23500</v>
      </c>
      <c r="F40" s="24">
        <v>630.21</v>
      </c>
      <c r="G40" s="24">
        <v>0.81</v>
      </c>
      <c r="H40" s="22" t="s">
        <v>58</v>
      </c>
    </row>
    <row r="41" spans="2:8">
      <c r="B41" s="22" t="s">
        <v>107</v>
      </c>
      <c r="C41" s="22" t="s">
        <v>108</v>
      </c>
      <c r="D41" s="22" t="s">
        <v>66</v>
      </c>
      <c r="E41" s="25">
        <v>140000</v>
      </c>
      <c r="F41" s="24">
        <v>610.04999999999995</v>
      </c>
      <c r="G41" s="24">
        <v>0.79</v>
      </c>
      <c r="H41" s="22" t="s">
        <v>51</v>
      </c>
    </row>
    <row r="42" spans="2:8">
      <c r="B42" s="22" t="s">
        <v>109</v>
      </c>
      <c r="C42" s="22" t="s">
        <v>110</v>
      </c>
      <c r="D42" s="22" t="s">
        <v>74</v>
      </c>
      <c r="E42" s="25">
        <v>105000</v>
      </c>
      <c r="F42" s="24">
        <v>580.54999999999995</v>
      </c>
      <c r="G42" s="24">
        <v>0.75</v>
      </c>
      <c r="H42" s="22" t="s">
        <v>51</v>
      </c>
    </row>
    <row r="43" spans="2:8">
      <c r="B43" s="22" t="s">
        <v>111</v>
      </c>
      <c r="C43" s="22" t="s">
        <v>112</v>
      </c>
      <c r="D43" s="22" t="s">
        <v>61</v>
      </c>
      <c r="E43" s="25">
        <v>514401</v>
      </c>
      <c r="F43" s="24">
        <v>519.03</v>
      </c>
      <c r="G43" s="24">
        <v>0.67</v>
      </c>
      <c r="H43" s="22" t="s">
        <v>51</v>
      </c>
    </row>
    <row r="44" spans="2:8">
      <c r="B44" s="22" t="s">
        <v>113</v>
      </c>
      <c r="C44" s="22" t="s">
        <v>114</v>
      </c>
      <c r="D44" s="22" t="s">
        <v>61</v>
      </c>
      <c r="E44" s="25">
        <v>21500</v>
      </c>
      <c r="F44" s="24">
        <v>505.55</v>
      </c>
      <c r="G44" s="24">
        <v>0.65</v>
      </c>
      <c r="H44" s="22" t="s">
        <v>58</v>
      </c>
    </row>
    <row r="45" spans="2:8">
      <c r="B45" s="22" t="s">
        <v>115</v>
      </c>
      <c r="C45" s="22" t="s">
        <v>116</v>
      </c>
      <c r="D45" s="22" t="s">
        <v>80</v>
      </c>
      <c r="E45" s="25">
        <v>87260</v>
      </c>
      <c r="F45" s="24">
        <v>486.17</v>
      </c>
      <c r="G45" s="24">
        <v>0.63</v>
      </c>
      <c r="H45" s="22" t="s">
        <v>51</v>
      </c>
    </row>
    <row r="46" spans="2:8">
      <c r="B46" s="22" t="s">
        <v>117</v>
      </c>
      <c r="C46" s="22" t="s">
        <v>118</v>
      </c>
      <c r="D46" s="22" t="s">
        <v>119</v>
      </c>
      <c r="E46" s="25">
        <v>421149</v>
      </c>
      <c r="F46" s="24">
        <v>384.51</v>
      </c>
      <c r="G46" s="24">
        <v>0.5</v>
      </c>
      <c r="H46" s="22" t="s">
        <v>17</v>
      </c>
    </row>
    <row r="47" spans="2:8">
      <c r="B47" s="22" t="s">
        <v>120</v>
      </c>
      <c r="C47" s="22" t="s">
        <v>121</v>
      </c>
      <c r="D47" s="22" t="s">
        <v>122</v>
      </c>
      <c r="E47" s="25">
        <v>68547</v>
      </c>
      <c r="F47" s="24">
        <v>378.31</v>
      </c>
      <c r="G47" s="24">
        <v>0.49</v>
      </c>
      <c r="H47" s="22" t="s">
        <v>58</v>
      </c>
    </row>
    <row r="48" spans="2:8">
      <c r="B48" s="22" t="s">
        <v>123</v>
      </c>
      <c r="C48" s="22" t="s">
        <v>124</v>
      </c>
      <c r="D48" s="22" t="s">
        <v>30</v>
      </c>
      <c r="E48" s="25">
        <v>175000</v>
      </c>
      <c r="F48" s="24">
        <v>374.24</v>
      </c>
      <c r="G48" s="24">
        <v>0.48</v>
      </c>
      <c r="H48" s="22" t="s">
        <v>58</v>
      </c>
    </row>
    <row r="49" spans="2:8">
      <c r="B49" s="22" t="s">
        <v>125</v>
      </c>
      <c r="C49" s="22" t="s">
        <v>126</v>
      </c>
      <c r="D49" s="22" t="s">
        <v>45</v>
      </c>
      <c r="E49" s="25">
        <v>10357</v>
      </c>
      <c r="F49" s="24">
        <v>45.56</v>
      </c>
      <c r="G49" s="24">
        <v>0.06</v>
      </c>
      <c r="H49" s="22" t="s">
        <v>17</v>
      </c>
    </row>
    <row r="50" spans="2:8">
      <c r="B50" s="21" t="s">
        <v>127</v>
      </c>
      <c r="C50" s="21"/>
      <c r="D50" s="21"/>
      <c r="E50" s="28"/>
      <c r="F50" s="29">
        <f>SUM(F7:F49)</f>
        <v>75649.689999999988</v>
      </c>
      <c r="G50" s="29">
        <f>SUM(G7:G49)</f>
        <v>97.490000000000009</v>
      </c>
      <c r="H50" s="22"/>
    </row>
    <row r="51" spans="2:8">
      <c r="B51" s="21" t="s">
        <v>128</v>
      </c>
      <c r="C51" s="21"/>
      <c r="D51" s="21"/>
      <c r="E51" s="28"/>
      <c r="F51" s="29">
        <f>F50</f>
        <v>75649.689999999988</v>
      </c>
      <c r="G51" s="29">
        <f>G50</f>
        <v>97.490000000000009</v>
      </c>
      <c r="H51" s="22"/>
    </row>
    <row r="52" spans="2:8">
      <c r="B52" s="21" t="s">
        <v>129</v>
      </c>
      <c r="C52" s="22"/>
      <c r="D52" s="22"/>
      <c r="E52" s="23"/>
      <c r="F52" s="24"/>
      <c r="G52" s="24"/>
      <c r="H52" s="22"/>
    </row>
    <row r="53" spans="2:8">
      <c r="B53" s="22" t="s">
        <v>129</v>
      </c>
      <c r="C53" s="22"/>
      <c r="D53" s="22"/>
      <c r="E53" s="23"/>
      <c r="F53" s="24">
        <v>2016.89</v>
      </c>
      <c r="G53" s="24">
        <v>2.6</v>
      </c>
      <c r="H53" s="22"/>
    </row>
    <row r="54" spans="2:8">
      <c r="B54" s="21" t="s">
        <v>127</v>
      </c>
      <c r="C54" s="21"/>
      <c r="D54" s="21"/>
      <c r="E54" s="28"/>
      <c r="F54" s="29">
        <f>SUM(F52:F53)</f>
        <v>2016.89</v>
      </c>
      <c r="G54" s="29">
        <f>SUM(G52:G53)</f>
        <v>2.6</v>
      </c>
      <c r="H54" s="22"/>
    </row>
    <row r="55" spans="2:8">
      <c r="B55" s="21" t="s">
        <v>128</v>
      </c>
      <c r="C55" s="21"/>
      <c r="D55" s="21"/>
      <c r="E55" s="28"/>
      <c r="F55" s="29">
        <f>F54</f>
        <v>2016.89</v>
      </c>
      <c r="G55" s="29">
        <f>G54</f>
        <v>2.6</v>
      </c>
      <c r="H55" s="22"/>
    </row>
    <row r="56" spans="2:8">
      <c r="B56" s="21" t="s">
        <v>130</v>
      </c>
      <c r="C56" s="21"/>
      <c r="D56" s="21"/>
      <c r="E56" s="28"/>
      <c r="F56" s="29">
        <f>F57-(+F51+F55)</f>
        <v>-50.709999999991851</v>
      </c>
      <c r="G56" s="29">
        <f>G57-(+G51+G55)</f>
        <v>-9.0000000000003411E-2</v>
      </c>
      <c r="H56" s="22"/>
    </row>
    <row r="57" spans="2:8">
      <c r="B57" s="21" t="s">
        <v>131</v>
      </c>
      <c r="C57" s="21"/>
      <c r="D57" s="21"/>
      <c r="E57" s="28"/>
      <c r="F57" s="29">
        <v>77615.87</v>
      </c>
      <c r="G57" s="29">
        <v>100</v>
      </c>
      <c r="H57" s="22"/>
    </row>
    <row r="59" spans="2:8">
      <c r="B59" s="30"/>
    </row>
  </sheetData>
  <mergeCells count="4">
    <mergeCell ref="B1:G1"/>
    <mergeCell ref="J5:J12"/>
    <mergeCell ref="K5:K12"/>
    <mergeCell ref="L5:L12"/>
  </mergeCells>
  <printOptions horizontalCentered="1"/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2022-11-07 15:36:03</KDate>
  <Classification>Public</Classification>
  <Subclassification/>
  <HostName>MUMCMP00935</HostName>
  <Domain_User>CANARAROBECOMF/628</Domain_User>
  <IPAdd>192.9.198.194</IPAdd>
  <FilePath>Book9</FilePath>
  <KID>C025A5607E97638034321637435083</KID>
  <UniqueName/>
  <Suggested/>
  <Justification/>
</Klassify>
</file>

<file path=customXml/itemProps1.xml><?xml version="1.0" encoding="utf-8"?>
<ds:datastoreItem xmlns:ds="http://schemas.openxmlformats.org/officeDocument/2006/customXml" ds:itemID="{BD891003-D968-4293-A1BA-896D91D1A9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2022-11-07T10:05:57Z</dcterms:created>
  <dcterms:modified xsi:type="dcterms:W3CDTF">2022-11-07T10:06:03Z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C025A5607E97638034321637435083</vt:lpwstr>
  </property>
</Properties>
</file>