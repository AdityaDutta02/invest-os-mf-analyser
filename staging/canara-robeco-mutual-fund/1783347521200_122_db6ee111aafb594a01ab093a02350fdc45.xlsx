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9" i="1" s="1"/>
  <c r="F18" i="1"/>
  <c r="F19" i="1" s="1"/>
  <c r="G15" i="1"/>
  <c r="G20" i="1" s="1"/>
  <c r="F15" i="1"/>
  <c r="F20" i="1" l="1"/>
</calcChain>
</file>

<file path=xl/sharedStrings.xml><?xml version="1.0" encoding="utf-8"?>
<sst xmlns="http://schemas.openxmlformats.org/spreadsheetml/2006/main" count="61" uniqueCount="51">
  <si>
    <t>CANARA ROBECO DYNAMIC BOND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</si>
  <si>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</si>
  <si>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</si>
  <si>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</si>
  <si>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</si>
  <si>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</si>
  <si>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</si>
  <si>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</si>
  <si>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</si>
  <si>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Jan'23</t>
  </si>
  <si>
    <t>Benchmark Risk-o-meter Level- Jan'23</t>
  </si>
  <si>
    <t>Previous Scheme Risk-o-meter Level- Dec'22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</si>
  <si>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</si>
  <si>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</si>
  <si>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</si>
  <si>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</si>
  <si>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</si>
  <si>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</si>
  <si>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7.26% GOI 22-AUG-32</t>
  </si>
  <si>
    <t>IN0020220060</t>
  </si>
  <si>
    <t>Sovereign</t>
  </si>
  <si>
    <t>Interest Rate Risk ↓</t>
  </si>
  <si>
    <t>7.41% GOI 19-DEC-36</t>
  </si>
  <si>
    <t>IN0020220102</t>
  </si>
  <si>
    <t>Relatively Low (Class I)</t>
  </si>
  <si>
    <t>7.38% GOI 20-JUN-27</t>
  </si>
  <si>
    <t>IN0020220037</t>
  </si>
  <si>
    <t>5.74% INDIA GOVERNMENT 15-NOV-26</t>
  </si>
  <si>
    <t>IN0020210186</t>
  </si>
  <si>
    <t>Moderate 
(Class II)</t>
  </si>
  <si>
    <t>7.59% INDIA GOVERNMENT 11-JAN-26</t>
  </si>
  <si>
    <t>IN0020150093</t>
  </si>
  <si>
    <t>7.27% INDIA GOVERNMENT 08-APR-26</t>
  </si>
  <si>
    <t>IN0020190016</t>
  </si>
  <si>
    <t>Relatively High (Class III)</t>
  </si>
  <si>
    <t>B-III</t>
  </si>
  <si>
    <t>5.63% INDIA GOVERNMENT 12-APR-26</t>
  </si>
  <si>
    <t>IN0020210012</t>
  </si>
  <si>
    <t>7.54% GOI 23-MAY-36</t>
  </si>
  <si>
    <t>IN0020220029</t>
  </si>
  <si>
    <t>Benchmark: CRISIL Dynamic Bond Fund B-III Index</t>
  </si>
  <si>
    <t>6.68% INDIA GOVERNMENT 17-SEP-31</t>
  </si>
  <si>
    <t>IN0020170042</t>
  </si>
  <si>
    <t>Total</t>
  </si>
  <si>
    <t>TREPS</t>
  </si>
  <si>
    <t>Sub Total</t>
  </si>
  <si>
    <t>Net Receivables / (Payables)</t>
  </si>
  <si>
    <t>Grand Total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</si>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</sst>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64716</xdr:rowOff>
    </xdr:from>
    <xdr:ext cx="2045075" cy="1553647"/>
    <xdr:pic>
      <xdr:nvPicPr>
        <xdr:cNvPr id="2" name="Picture 1">
          <a:extLst>
            <a:ext uri="{FF2B5EF4-FFF2-40B4-BE49-F238E27FC236}">
              <a16:creationId xmlns:a16="http://schemas.microsoft.com/office/drawing/2014/main" id="{6C82F2E1-8094-4F89-87C2-61C98C6BA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3550" y="1074366"/>
          <a:ext cx="2045075" cy="1553647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134181" cy="1523626"/>
    <xdr:pic>
      <xdr:nvPicPr>
        <xdr:cNvPr id="3" name="Picture 2">
          <a:extLst>
            <a:ext uri="{FF2B5EF4-FFF2-40B4-BE49-F238E27FC236}">
              <a16:creationId xmlns:a16="http://schemas.microsoft.com/office/drawing/2014/main" id="{C3E2D2E8-AF5F-43DF-ADBE-7E9B8AD1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59771" y="1084731"/>
          <a:ext cx="2134181" cy="1523626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64716</xdr:rowOff>
    </xdr:from>
    <xdr:ext cx="2045075" cy="1553647"/>
    <xdr:pic>
      <xdr:nvPicPr>
        <xdr:cNvPr id="4" name="Picture 3">
          <a:extLst>
            <a:ext uri="{FF2B5EF4-FFF2-40B4-BE49-F238E27FC236}">
              <a16:creationId xmlns:a16="http://schemas.microsoft.com/office/drawing/2014/main" id="{0F53E03D-0E2F-444C-82CA-B354ABC44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76025" y="1074366"/>
          <a:ext cx="2045075" cy="15536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tabSelected="1" workbookViewId="0">
      <selection activeCell="A3" sqref="A3"/>
    </sheetView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2.7109375" style="3" bestFit="1" customWidth="1"/>
    <col min="4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33.42578125" style="4" customWidth="1"/>
    <col min="11" max="11" width="35" style="4" customWidth="1"/>
    <col min="12" max="12" width="33.42578125" style="4" customWidth="1"/>
    <col min="13" max="13" width="4.7109375" style="4" bestFit="1" customWidth="1"/>
    <col min="14" max="16384" width="13.710937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24">
      <c r="B6" s="24" t="s">
        <v>18</v>
      </c>
      <c r="C6" s="24" t="s">
        <v>19</v>
      </c>
      <c r="D6" s="24" t="s">
        <v>20</v>
      </c>
      <c r="E6" s="25">
        <v>3590000</v>
      </c>
      <c r="F6" s="26">
        <v>3565.91</v>
      </c>
      <c r="G6" s="26">
        <v>30.62</v>
      </c>
      <c r="H6" s="26">
        <v>7.49</v>
      </c>
      <c r="J6" s="27"/>
      <c r="K6" s="27"/>
      <c r="L6" s="27"/>
      <c r="N6" s="28" t="s">
        <v>21</v>
      </c>
      <c r="O6" s="29"/>
      <c r="P6" s="29"/>
      <c r="Q6" s="29"/>
    </row>
    <row r="7" spans="2:17">
      <c r="B7" s="24" t="s">
        <v>22</v>
      </c>
      <c r="C7" s="24" t="s">
        <v>23</v>
      </c>
      <c r="D7" s="24" t="s">
        <v>20</v>
      </c>
      <c r="E7" s="25">
        <v>2100000</v>
      </c>
      <c r="F7" s="26">
        <v>2093.2199999999998</v>
      </c>
      <c r="G7" s="26">
        <v>17.97</v>
      </c>
      <c r="H7" s="26">
        <v>7.58</v>
      </c>
      <c r="J7" s="27"/>
      <c r="K7" s="27"/>
      <c r="L7" s="27"/>
      <c r="N7" s="30" t="s">
        <v>24</v>
      </c>
      <c r="O7" s="31"/>
      <c r="P7" s="31"/>
      <c r="Q7" s="31"/>
    </row>
    <row r="8" spans="2:17">
      <c r="B8" s="24" t="s">
        <v>25</v>
      </c>
      <c r="C8" s="24" t="s">
        <v>26</v>
      </c>
      <c r="D8" s="24" t="s">
        <v>20</v>
      </c>
      <c r="E8" s="25">
        <v>1249900</v>
      </c>
      <c r="F8" s="26">
        <v>1257.02</v>
      </c>
      <c r="G8" s="26">
        <v>10.79</v>
      </c>
      <c r="H8" s="26">
        <v>7.35</v>
      </c>
      <c r="J8" s="27"/>
      <c r="K8" s="27"/>
      <c r="L8" s="27"/>
      <c r="N8" s="32"/>
      <c r="O8" s="33"/>
      <c r="P8" s="33"/>
      <c r="Q8" s="33"/>
    </row>
    <row r="9" spans="2:17">
      <c r="B9" s="24" t="s">
        <v>27</v>
      </c>
      <c r="C9" s="24" t="s">
        <v>28</v>
      </c>
      <c r="D9" s="24" t="s">
        <v>20</v>
      </c>
      <c r="E9" s="25">
        <v>1000000</v>
      </c>
      <c r="F9" s="26">
        <v>952.51</v>
      </c>
      <c r="G9" s="26">
        <v>8.18</v>
      </c>
      <c r="H9" s="26">
        <v>7.32</v>
      </c>
      <c r="J9" s="27"/>
      <c r="K9" s="27"/>
      <c r="L9" s="27"/>
      <c r="N9" s="30" t="s">
        <v>29</v>
      </c>
      <c r="O9" s="31"/>
      <c r="P9" s="31"/>
      <c r="Q9" s="31"/>
    </row>
    <row r="10" spans="2:17">
      <c r="B10" s="24" t="s">
        <v>30</v>
      </c>
      <c r="C10" s="24" t="s">
        <v>31</v>
      </c>
      <c r="D10" s="24" t="s">
        <v>20</v>
      </c>
      <c r="E10" s="25">
        <v>500000</v>
      </c>
      <c r="F10" s="26">
        <v>506.04</v>
      </c>
      <c r="G10" s="26">
        <v>4.3499999999999996</v>
      </c>
      <c r="H10" s="26">
        <v>7.25</v>
      </c>
      <c r="J10" s="27"/>
      <c r="K10" s="27"/>
      <c r="L10" s="27"/>
      <c r="N10" s="32"/>
      <c r="O10" s="33"/>
      <c r="P10" s="33"/>
      <c r="Q10" s="33"/>
    </row>
    <row r="11" spans="2:17" ht="19.5" customHeight="1">
      <c r="B11" s="24" t="s">
        <v>32</v>
      </c>
      <c r="C11" s="24" t="s">
        <v>33</v>
      </c>
      <c r="D11" s="24" t="s">
        <v>20</v>
      </c>
      <c r="E11" s="25">
        <v>500000</v>
      </c>
      <c r="F11" s="26">
        <v>501.32</v>
      </c>
      <c r="G11" s="26">
        <v>4.3</v>
      </c>
      <c r="H11" s="26">
        <v>7.3</v>
      </c>
      <c r="J11" s="27"/>
      <c r="K11" s="27"/>
      <c r="L11" s="27"/>
      <c r="N11" s="30" t="s">
        <v>34</v>
      </c>
      <c r="O11" s="31"/>
      <c r="P11" s="34" t="s">
        <v>35</v>
      </c>
      <c r="Q11" s="31"/>
    </row>
    <row r="12" spans="2:17" ht="27" customHeight="1">
      <c r="B12" s="24" t="s">
        <v>36</v>
      </c>
      <c r="C12" s="24" t="s">
        <v>37</v>
      </c>
      <c r="D12" s="24" t="s">
        <v>20</v>
      </c>
      <c r="E12" s="25">
        <v>500000</v>
      </c>
      <c r="F12" s="26">
        <v>478.73</v>
      </c>
      <c r="G12" s="26">
        <v>4.1100000000000003</v>
      </c>
      <c r="H12" s="26">
        <v>7.27</v>
      </c>
      <c r="J12" s="35"/>
      <c r="K12" s="35"/>
      <c r="L12" s="35"/>
      <c r="N12" s="32"/>
      <c r="O12" s="33"/>
      <c r="P12" s="36"/>
      <c r="Q12" s="33"/>
    </row>
    <row r="13" spans="2:17">
      <c r="B13" s="24" t="s">
        <v>38</v>
      </c>
      <c r="C13" s="24" t="s">
        <v>39</v>
      </c>
      <c r="D13" s="24" t="s">
        <v>20</v>
      </c>
      <c r="E13" s="25">
        <v>140730</v>
      </c>
      <c r="F13" s="26">
        <v>141.79</v>
      </c>
      <c r="G13" s="26">
        <v>1.22</v>
      </c>
      <c r="H13" s="26">
        <v>7.59</v>
      </c>
      <c r="K13" s="37" t="s">
        <v>40</v>
      </c>
    </row>
    <row r="14" spans="2:17">
      <c r="B14" s="38" t="s">
        <v>41</v>
      </c>
      <c r="C14" s="38" t="s">
        <v>42</v>
      </c>
      <c r="D14" s="38" t="s">
        <v>20</v>
      </c>
      <c r="E14" s="39">
        <v>23200</v>
      </c>
      <c r="F14" s="40">
        <v>22.2</v>
      </c>
      <c r="G14" s="40">
        <v>0.19</v>
      </c>
      <c r="H14" s="40">
        <v>7.5</v>
      </c>
    </row>
    <row r="15" spans="2:17">
      <c r="B15" s="41" t="s">
        <v>43</v>
      </c>
      <c r="C15" s="41"/>
      <c r="D15" s="41"/>
      <c r="E15" s="41"/>
      <c r="F15" s="42">
        <f>SUM(F6:F14)</f>
        <v>9518.7400000000016</v>
      </c>
      <c r="G15" s="42">
        <f>SUM(G6:G14)</f>
        <v>81.72999999999999</v>
      </c>
      <c r="H15" s="42"/>
      <c r="I15" s="43"/>
    </row>
    <row r="16" spans="2:17">
      <c r="B16" s="44" t="s">
        <v>44</v>
      </c>
      <c r="C16" s="24"/>
      <c r="D16" s="24"/>
      <c r="E16" s="24"/>
      <c r="F16" s="26"/>
      <c r="G16" s="26"/>
      <c r="H16" s="26"/>
    </row>
    <row r="17" spans="2:9">
      <c r="B17" s="24" t="s">
        <v>44</v>
      </c>
      <c r="C17" s="24"/>
      <c r="D17" s="24"/>
      <c r="E17" s="24"/>
      <c r="F17" s="26">
        <v>1902.25</v>
      </c>
      <c r="G17" s="26">
        <v>16.329999999999998</v>
      </c>
      <c r="H17" s="26"/>
    </row>
    <row r="18" spans="2:9">
      <c r="B18" s="45" t="s">
        <v>45</v>
      </c>
      <c r="C18" s="45"/>
      <c r="D18" s="45"/>
      <c r="E18" s="45"/>
      <c r="F18" s="46">
        <f>SUM(F16:F17)</f>
        <v>1902.25</v>
      </c>
      <c r="G18" s="46">
        <f>SUM(G16:G17)</f>
        <v>16.329999999999998</v>
      </c>
      <c r="H18" s="47"/>
      <c r="I18" s="43"/>
    </row>
    <row r="19" spans="2:9">
      <c r="B19" s="48" t="s">
        <v>43</v>
      </c>
      <c r="C19" s="48"/>
      <c r="D19" s="48"/>
      <c r="E19" s="48"/>
      <c r="F19" s="49">
        <f>F18</f>
        <v>1902.25</v>
      </c>
      <c r="G19" s="49">
        <f>G18</f>
        <v>16.329999999999998</v>
      </c>
      <c r="H19" s="49"/>
      <c r="I19" s="43"/>
    </row>
    <row r="20" spans="2:9">
      <c r="B20" s="50" t="s">
        <v>46</v>
      </c>
      <c r="C20" s="50"/>
      <c r="D20" s="50"/>
      <c r="E20" s="50"/>
      <c r="F20" s="51">
        <f>F21-(+F15+F19)</f>
        <v>224.59999999999854</v>
      </c>
      <c r="G20" s="51">
        <f>G21-(+G15+G19)</f>
        <v>1.9400000000000119</v>
      </c>
      <c r="H20" s="51"/>
      <c r="I20" s="43"/>
    </row>
    <row r="21" spans="2:9">
      <c r="B21" s="50" t="s">
        <v>47</v>
      </c>
      <c r="C21" s="50"/>
      <c r="D21" s="50"/>
      <c r="E21" s="50"/>
      <c r="F21" s="51">
        <v>11645.59</v>
      </c>
      <c r="G21" s="51">
        <v>100</v>
      </c>
      <c r="H21" s="51"/>
      <c r="I21" s="43"/>
    </row>
    <row r="23" spans="2:9" ht="12.75" thickBot="1">
      <c r="B23" s="43"/>
    </row>
    <row r="24" spans="2:9" ht="13.5" thickTop="1" thickBot="1">
      <c r="B24" s="52" t="s">
        <v>48</v>
      </c>
      <c r="C24" s="53">
        <v>6.7851847963502241</v>
      </c>
    </row>
    <row r="25" spans="2:9" ht="12.75" thickTop="1">
      <c r="B25" s="54"/>
    </row>
    <row r="26" spans="2:9" ht="12.75" thickBot="1">
      <c r="B26" s="54"/>
    </row>
    <row r="27" spans="2:9" ht="13.5" thickTop="1" thickBot="1">
      <c r="B27" s="52" t="s">
        <v>49</v>
      </c>
      <c r="C27" s="55">
        <v>7.2559835707373871E-2</v>
      </c>
    </row>
    <row r="28" spans="2:9" ht="12.75" thickTop="1">
      <c r="B28" s="54"/>
    </row>
    <row r="29" spans="2:9" ht="12.75" thickBot="1">
      <c r="B29" s="54"/>
    </row>
    <row r="30" spans="2:9" ht="13.5" thickTop="1" thickBot="1">
      <c r="B30" s="52" t="s">
        <v>50</v>
      </c>
      <c r="C30" s="56">
        <v>4.9519777796912949</v>
      </c>
    </row>
    <row r="31" spans="2:9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17:11:55</KDate>
  <Classification>Public</Classification>
  <Subclassification/>
  <HostName>MUMCMP00935</HostName>
  <Domain_User>CANARAROBECOMF/628</Domain_User>
  <IPAdd>192.9.198.194</IPAdd>
  <FilePath>Book12</FilePath>
  <KID>C025A5607E97638110411154677215</KID>
  <UniqueName/>
  <Suggested/>
  <Justification/>
</Klassify>
</file>

<file path=customXml/itemProps1.xml><?xml version="1.0" encoding="utf-8"?>
<ds:datastoreItem xmlns:ds="http://schemas.openxmlformats.org/officeDocument/2006/customXml" ds:itemID="{18A6F0B4-203B-4E32-85E7-229C8689E5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2023-02-03T11:41:44Z</dcterms:created>
  <dcterms:modified xsi:type="dcterms:W3CDTF">2023-02-03T11:41:55Z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C025A5607E97638110411154677215</vt:lpwstr>
  </property>
</Properties>
</file>