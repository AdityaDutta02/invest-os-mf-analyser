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TA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G46" i="1" s="1"/>
  <c r="F45" i="1"/>
  <c r="F46" i="1" s="1"/>
  <c r="G42" i="1"/>
  <c r="F42" i="1"/>
  <c r="G38" i="1"/>
  <c r="F38" i="1"/>
  <c r="G35" i="1"/>
  <c r="G39" i="1" s="1"/>
  <c r="F35" i="1"/>
  <c r="F39" i="1" s="1"/>
  <c r="G32" i="1"/>
  <c r="F32" i="1"/>
  <c r="G19" i="1"/>
  <c r="G47" i="1" s="1"/>
  <c r="F19" i="1"/>
  <c r="G18" i="1"/>
  <c r="F18" i="1"/>
  <c r="F47" i="1" l="1"/>
</calcChain>
</file>

<file path=xl/sharedStrings.xml><?xml version="1.0" encoding="utf-8"?>
<sst xmlns="http://schemas.openxmlformats.org/spreadsheetml/2006/main" count="120" uniqueCount="97">
  <si>
    <t>CANARA ROBECO ULTRA SHORT TERM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</si>
  <si>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</si>
  <si>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</si>
  <si>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</si>
  <si>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</si>
  <si>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</si>
  <si>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</si>
  <si>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</si>
  <si>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</si>
  <si>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Dec'22</t>
  </si>
  <si>
    <t>Benchmark Risk-o-meter Level- Dec'22</t>
  </si>
  <si>
    <t>Previous Scheme Risk-o-meter Level- Nov'22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</si>
  <si>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</si>
  <si>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</si>
  <si>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</si>
  <si>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</si>
  <si>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</si>
  <si>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</si>
  <si>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</si>
  <si>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</si>
  <si>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7.6351% KOTAK MAHINDRA PRIME LTD 23-FEB-23 **</t>
  </si>
  <si>
    <t>INE916DA7QG7</t>
  </si>
  <si>
    <t>CRISIL AAA</t>
  </si>
  <si>
    <t>Relatively Low (Class I)</t>
  </si>
  <si>
    <t>B-I</t>
  </si>
  <si>
    <t>6.55% NTPC Ltd (17/04/2023) **</t>
  </si>
  <si>
    <t>INE733E08148</t>
  </si>
  <si>
    <t>7.12% REC Ltd (31/03/2023) **</t>
  </si>
  <si>
    <t>INE020B08CH4</t>
  </si>
  <si>
    <t>Moderate 
(Class II)</t>
  </si>
  <si>
    <t>7.10% Bajaj Finance Ltd (10/02/2023) **</t>
  </si>
  <si>
    <t>INE296A07RB5</t>
  </si>
  <si>
    <t>7.20% Reliance Industries Ltd (17/04/2023) **</t>
  </si>
  <si>
    <t>INE002A08609</t>
  </si>
  <si>
    <t>Relatively High (Class III)</t>
  </si>
  <si>
    <t>6.98% Power Finance Corporation Ltd (20/04/2023) **</t>
  </si>
  <si>
    <t>INE134E08KN8</t>
  </si>
  <si>
    <t>6.72% National Bank For Agriculture &amp; Rural Development (14/04/2023) **</t>
  </si>
  <si>
    <t>INE261F08BW6</t>
  </si>
  <si>
    <t>ICRA AAA</t>
  </si>
  <si>
    <t>Benchmark: CRISIL Ultra Short Duration Fund B-I Index</t>
  </si>
  <si>
    <t>5.35% LIC Housing Finance Ltd (20/03/2023) **</t>
  </si>
  <si>
    <t>INE115A07PC9</t>
  </si>
  <si>
    <t>CARE AAA</t>
  </si>
  <si>
    <t>6.99% Housing Development Finance Corporation Ltd (13/02/2023) **</t>
  </si>
  <si>
    <t>INE001A07SH4</t>
  </si>
  <si>
    <t>7.25% Larsen &amp; Toubro Ltd (24/04/2023)</t>
  </si>
  <si>
    <t>INE018A08AY9</t>
  </si>
  <si>
    <t>7.42% Sundaram Finance Ltd (03/04/2023)</t>
  </si>
  <si>
    <t>INE660A07QF5</t>
  </si>
  <si>
    <t>Sub Total</t>
  </si>
  <si>
    <t>Total</t>
  </si>
  <si>
    <t>Money Market Instruments</t>
  </si>
  <si>
    <t>Certificate of Deposit</t>
  </si>
  <si>
    <t>Small Industries Development Bank of India (22/02/2023) ** #</t>
  </si>
  <si>
    <t>INE556F16937</t>
  </si>
  <si>
    <t>CARE A1+</t>
  </si>
  <si>
    <t>HDFC Bank Ltd (15/06/2023) #</t>
  </si>
  <si>
    <t>INE040A16DD4</t>
  </si>
  <si>
    <t>Kotak Mahindra Bank Ltd (21/06/2023) ** #</t>
  </si>
  <si>
    <t>INE237A169O1</t>
  </si>
  <si>
    <t>CRISIL A1+</t>
  </si>
  <si>
    <t>HDFC Bank Ltd (14/08/2023) ** #</t>
  </si>
  <si>
    <t>INE040A16DI3</t>
  </si>
  <si>
    <t>Export-Import Bank Of India (17/08/2023) ** #</t>
  </si>
  <si>
    <t>INE514E16CC4</t>
  </si>
  <si>
    <t>State Bank Of India (12/09/2023) #</t>
  </si>
  <si>
    <t>INE062A16465</t>
  </si>
  <si>
    <t>IND A1+</t>
  </si>
  <si>
    <t>Bank of Baroda (15/11/2023) ** #</t>
  </si>
  <si>
    <t>INE028A16CY7</t>
  </si>
  <si>
    <t>ICICI Bank Ltd (17/11/2023) ** #</t>
  </si>
  <si>
    <t>INE090A169Y6</t>
  </si>
  <si>
    <t>ICRA A1+</t>
  </si>
  <si>
    <t>Axis Bank Ltd (23/11/2023) #</t>
  </si>
  <si>
    <t>INE238AD6157</t>
  </si>
  <si>
    <t>ICICI Bank Ltd (11/09/2023) ** #</t>
  </si>
  <si>
    <t>INE090A161Y3</t>
  </si>
  <si>
    <t>Commercial Paper</t>
  </si>
  <si>
    <t>Housing Development Finance Corporation Ltd (30/08/2023) **</t>
  </si>
  <si>
    <t>INE001A14ZK9</t>
  </si>
  <si>
    <t>Treasury Bill</t>
  </si>
  <si>
    <t>364 DAYS TREASURY BILLS 19-JAN-23</t>
  </si>
  <si>
    <t>IN002021Z442</t>
  </si>
  <si>
    <t xml:space="preserve"> Sovereign</t>
  </si>
  <si>
    <t>Government Bonds</t>
  </si>
  <si>
    <t>8.21% RAJASTHAN SDL UDAY 31-MAR-23</t>
  </si>
  <si>
    <t>IN2920150421</t>
  </si>
  <si>
    <t>Sovereign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</si>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</sst>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4</xdr:row>
      <xdr:rowOff>161925</xdr:rowOff>
    </xdr:from>
    <xdr:ext cx="1863481" cy="14382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1171575"/>
          <a:ext cx="1863481" cy="1438276"/>
        </a:xfrm>
        <a:prstGeom prst="rect">
          <a:avLst/>
        </a:prstGeom>
      </xdr:spPr>
    </xdr:pic>
    <xdr:clientData/>
  </xdr:oneCellAnchor>
  <xdr:twoCellAnchor editAs="oneCell">
    <xdr:from>
      <xdr:col>10</xdr:col>
      <xdr:colOff>342900</xdr:colOff>
      <xdr:row>4</xdr:row>
      <xdr:rowOff>104776</xdr:rowOff>
    </xdr:from>
    <xdr:to>
      <xdr:col>10</xdr:col>
      <xdr:colOff>2190751</xdr:colOff>
      <xdr:row>11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0100" y="1114426"/>
          <a:ext cx="1847851" cy="1514474"/>
        </a:xfrm>
        <a:prstGeom prst="rect">
          <a:avLst/>
        </a:prstGeom>
      </xdr:spPr>
    </xdr:pic>
    <xdr:clientData/>
  </xdr:twoCellAnchor>
  <xdr:oneCellAnchor>
    <xdr:from>
      <xdr:col>11</xdr:col>
      <xdr:colOff>76200</xdr:colOff>
      <xdr:row>4</xdr:row>
      <xdr:rowOff>161925</xdr:rowOff>
    </xdr:from>
    <xdr:ext cx="1863481" cy="143827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9900" y="1171575"/>
          <a:ext cx="1863481" cy="14382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0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13.855468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3" style="4" customWidth="1"/>
    <col min="11" max="11" width="37.140625" style="4" customWidth="1"/>
    <col min="12" max="12" width="33.4257812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8"/>
      <c r="P6" s="28"/>
      <c r="Q6" s="28"/>
    </row>
    <row r="7" spans="2:17">
      <c r="B7" s="25" t="s">
        <v>20</v>
      </c>
      <c r="C7" s="25" t="s">
        <v>21</v>
      </c>
      <c r="D7" s="25" t="s">
        <v>22</v>
      </c>
      <c r="E7" s="29">
        <v>350</v>
      </c>
      <c r="F7" s="26">
        <v>3501.62</v>
      </c>
      <c r="G7" s="26">
        <v>5.72</v>
      </c>
      <c r="H7" s="26">
        <v>6.87</v>
      </c>
      <c r="J7" s="21"/>
      <c r="K7" s="21"/>
      <c r="L7" s="21"/>
      <c r="N7" s="30" t="s">
        <v>23</v>
      </c>
      <c r="O7" s="31"/>
      <c r="P7" s="32" t="s">
        <v>24</v>
      </c>
      <c r="Q7" s="31"/>
    </row>
    <row r="8" spans="2:17">
      <c r="B8" s="25" t="s">
        <v>25</v>
      </c>
      <c r="C8" s="25" t="s">
        <v>26</v>
      </c>
      <c r="D8" s="25" t="s">
        <v>22</v>
      </c>
      <c r="E8" s="29">
        <v>300</v>
      </c>
      <c r="F8" s="26">
        <v>2992.7</v>
      </c>
      <c r="G8" s="26">
        <v>4.8899999999999997</v>
      </c>
      <c r="H8" s="26">
        <v>7.08</v>
      </c>
      <c r="J8" s="21"/>
      <c r="K8" s="21"/>
      <c r="L8" s="21"/>
      <c r="N8" s="30"/>
      <c r="O8" s="33"/>
      <c r="P8" s="34"/>
      <c r="Q8" s="33"/>
    </row>
    <row r="9" spans="2:17">
      <c r="B9" s="25" t="s">
        <v>27</v>
      </c>
      <c r="C9" s="25" t="s">
        <v>28</v>
      </c>
      <c r="D9" s="25" t="s">
        <v>22</v>
      </c>
      <c r="E9" s="29">
        <v>250</v>
      </c>
      <c r="F9" s="26">
        <v>2500.4499999999998</v>
      </c>
      <c r="G9" s="26">
        <v>4.09</v>
      </c>
      <c r="H9" s="26">
        <v>6.68</v>
      </c>
      <c r="J9" s="21"/>
      <c r="K9" s="21"/>
      <c r="L9" s="21"/>
      <c r="N9" s="30" t="s">
        <v>29</v>
      </c>
      <c r="O9" s="31"/>
      <c r="P9" s="31"/>
      <c r="Q9" s="31"/>
    </row>
    <row r="10" spans="2:17">
      <c r="B10" s="25" t="s">
        <v>30</v>
      </c>
      <c r="C10" s="25" t="s">
        <v>31</v>
      </c>
      <c r="D10" s="25" t="s">
        <v>22</v>
      </c>
      <c r="E10" s="29">
        <v>250</v>
      </c>
      <c r="F10" s="26">
        <v>2499.4299999999998</v>
      </c>
      <c r="G10" s="26">
        <v>4.09</v>
      </c>
      <c r="H10" s="26">
        <v>6.88</v>
      </c>
      <c r="J10" s="21"/>
      <c r="K10" s="21"/>
      <c r="L10" s="21"/>
      <c r="N10" s="30"/>
      <c r="O10" s="33"/>
      <c r="P10" s="33"/>
      <c r="Q10" s="33"/>
    </row>
    <row r="11" spans="2:17">
      <c r="B11" s="25" t="s">
        <v>32</v>
      </c>
      <c r="C11" s="25" t="s">
        <v>33</v>
      </c>
      <c r="D11" s="25" t="s">
        <v>22</v>
      </c>
      <c r="E11" s="29">
        <v>250</v>
      </c>
      <c r="F11" s="26">
        <v>2497.46</v>
      </c>
      <c r="G11" s="26">
        <v>4.08</v>
      </c>
      <c r="H11" s="26">
        <v>7.19</v>
      </c>
      <c r="J11" s="21"/>
      <c r="K11" s="21"/>
      <c r="L11" s="21"/>
      <c r="N11" s="30" t="s">
        <v>34</v>
      </c>
      <c r="O11" s="31"/>
      <c r="P11" s="31"/>
      <c r="Q11" s="31"/>
    </row>
    <row r="12" spans="2:17">
      <c r="B12" s="25" t="s">
        <v>35</v>
      </c>
      <c r="C12" s="25" t="s">
        <v>36</v>
      </c>
      <c r="D12" s="25" t="s">
        <v>22</v>
      </c>
      <c r="E12" s="29">
        <v>250</v>
      </c>
      <c r="F12" s="26">
        <v>2496.1999999999998</v>
      </c>
      <c r="G12" s="26">
        <v>4.08</v>
      </c>
      <c r="H12" s="26">
        <v>7.15</v>
      </c>
      <c r="J12" s="21"/>
      <c r="K12" s="21"/>
      <c r="L12" s="21"/>
      <c r="N12" s="30"/>
      <c r="O12" s="33"/>
      <c r="P12" s="33"/>
      <c r="Q12" s="33"/>
    </row>
    <row r="13" spans="2:17">
      <c r="B13" s="25" t="s">
        <v>37</v>
      </c>
      <c r="C13" s="25" t="s">
        <v>38</v>
      </c>
      <c r="D13" s="25" t="s">
        <v>39</v>
      </c>
      <c r="E13" s="29">
        <v>250</v>
      </c>
      <c r="F13" s="26">
        <v>2494.7199999999998</v>
      </c>
      <c r="G13" s="26">
        <v>4.08</v>
      </c>
      <c r="H13" s="26">
        <v>7.14</v>
      </c>
      <c r="J13" s="35"/>
      <c r="K13" s="35" t="s">
        <v>40</v>
      </c>
    </row>
    <row r="14" spans="2:17">
      <c r="B14" s="25" t="s">
        <v>41</v>
      </c>
      <c r="C14" s="25" t="s">
        <v>42</v>
      </c>
      <c r="D14" s="25" t="s">
        <v>43</v>
      </c>
      <c r="E14" s="29">
        <v>250</v>
      </c>
      <c r="F14" s="26">
        <v>2490.75</v>
      </c>
      <c r="G14" s="26">
        <v>4.07</v>
      </c>
      <c r="H14" s="26">
        <v>6.82</v>
      </c>
    </row>
    <row r="15" spans="2:17">
      <c r="B15" s="25" t="s">
        <v>44</v>
      </c>
      <c r="C15" s="25" t="s">
        <v>45</v>
      </c>
      <c r="D15" s="25" t="s">
        <v>22</v>
      </c>
      <c r="E15" s="29">
        <v>100</v>
      </c>
      <c r="F15" s="26">
        <v>999.7</v>
      </c>
      <c r="G15" s="26">
        <v>1.63</v>
      </c>
      <c r="H15" s="26">
        <v>6.83</v>
      </c>
    </row>
    <row r="16" spans="2:17">
      <c r="B16" s="25" t="s">
        <v>46</v>
      </c>
      <c r="C16" s="25" t="s">
        <v>47</v>
      </c>
      <c r="D16" s="25" t="s">
        <v>22</v>
      </c>
      <c r="E16" s="29">
        <v>100</v>
      </c>
      <c r="F16" s="26">
        <v>999.06</v>
      </c>
      <c r="G16" s="26">
        <v>1.63</v>
      </c>
      <c r="H16" s="26">
        <v>7.2</v>
      </c>
    </row>
    <row r="17" spans="2:9">
      <c r="B17" s="25" t="s">
        <v>48</v>
      </c>
      <c r="C17" s="25" t="s">
        <v>49</v>
      </c>
      <c r="D17" s="25" t="s">
        <v>22</v>
      </c>
      <c r="E17" s="29">
        <v>100</v>
      </c>
      <c r="F17" s="26">
        <v>998.96</v>
      </c>
      <c r="G17" s="26">
        <v>1.63</v>
      </c>
      <c r="H17" s="26">
        <v>7.43</v>
      </c>
    </row>
    <row r="18" spans="2:9">
      <c r="B18" s="36" t="s">
        <v>50</v>
      </c>
      <c r="C18" s="36"/>
      <c r="D18" s="36"/>
      <c r="E18" s="36"/>
      <c r="F18" s="37">
        <f>SUM(F6:F17)</f>
        <v>24471.050000000003</v>
      </c>
      <c r="G18" s="37">
        <f>SUM(G6:G17)</f>
        <v>39.99</v>
      </c>
      <c r="H18" s="38"/>
      <c r="I18" s="39"/>
    </row>
    <row r="19" spans="2:9">
      <c r="B19" s="40" t="s">
        <v>51</v>
      </c>
      <c r="C19" s="40"/>
      <c r="D19" s="40"/>
      <c r="E19" s="40"/>
      <c r="F19" s="41">
        <f>F18</f>
        <v>24471.050000000003</v>
      </c>
      <c r="G19" s="41">
        <f>G18</f>
        <v>39.99</v>
      </c>
      <c r="H19" s="41"/>
      <c r="I19" s="39"/>
    </row>
    <row r="20" spans="2:9">
      <c r="B20" s="24" t="s">
        <v>52</v>
      </c>
      <c r="C20" s="25"/>
      <c r="D20" s="25"/>
      <c r="E20" s="25"/>
      <c r="F20" s="26"/>
      <c r="G20" s="26"/>
      <c r="H20" s="26"/>
    </row>
    <row r="21" spans="2:9">
      <c r="B21" s="24" t="s">
        <v>53</v>
      </c>
      <c r="C21" s="25"/>
      <c r="D21" s="25"/>
      <c r="E21" s="25"/>
      <c r="F21" s="26"/>
      <c r="G21" s="26"/>
      <c r="H21" s="26"/>
    </row>
    <row r="22" spans="2:9">
      <c r="B22" s="25" t="s">
        <v>54</v>
      </c>
      <c r="C22" s="25" t="s">
        <v>55</v>
      </c>
      <c r="D22" s="25" t="s">
        <v>56</v>
      </c>
      <c r="E22" s="29">
        <v>500</v>
      </c>
      <c r="F22" s="26">
        <v>2476.98</v>
      </c>
      <c r="G22" s="26">
        <v>4.05</v>
      </c>
      <c r="H22" s="26">
        <v>6.52</v>
      </c>
    </row>
    <row r="23" spans="2:9">
      <c r="B23" s="25" t="s">
        <v>57</v>
      </c>
      <c r="C23" s="25" t="s">
        <v>58</v>
      </c>
      <c r="D23" s="25" t="s">
        <v>56</v>
      </c>
      <c r="E23" s="29">
        <v>500</v>
      </c>
      <c r="F23" s="26">
        <v>2421.1999999999998</v>
      </c>
      <c r="G23" s="26">
        <v>3.96</v>
      </c>
      <c r="H23" s="26">
        <v>7.2</v>
      </c>
    </row>
    <row r="24" spans="2:9">
      <c r="B24" s="25" t="s">
        <v>59</v>
      </c>
      <c r="C24" s="25" t="s">
        <v>60</v>
      </c>
      <c r="D24" s="25" t="s">
        <v>61</v>
      </c>
      <c r="E24" s="29">
        <v>500</v>
      </c>
      <c r="F24" s="26">
        <v>2418.59</v>
      </c>
      <c r="G24" s="26">
        <v>3.95</v>
      </c>
      <c r="H24" s="26">
        <v>7.18</v>
      </c>
    </row>
    <row r="25" spans="2:9">
      <c r="B25" s="25" t="s">
        <v>62</v>
      </c>
      <c r="C25" s="25" t="s">
        <v>63</v>
      </c>
      <c r="D25" s="25" t="s">
        <v>56</v>
      </c>
      <c r="E25" s="29">
        <v>500</v>
      </c>
      <c r="F25" s="26">
        <v>2390.37</v>
      </c>
      <c r="G25" s="26">
        <v>3.91</v>
      </c>
      <c r="H25" s="26">
        <v>7.44</v>
      </c>
    </row>
    <row r="26" spans="2:9">
      <c r="B26" s="25" t="s">
        <v>64</v>
      </c>
      <c r="C26" s="25" t="s">
        <v>65</v>
      </c>
      <c r="D26" s="25" t="s">
        <v>61</v>
      </c>
      <c r="E26" s="29">
        <v>500</v>
      </c>
      <c r="F26" s="26">
        <v>2389.98</v>
      </c>
      <c r="G26" s="26">
        <v>3.91</v>
      </c>
      <c r="H26" s="26">
        <v>7.37</v>
      </c>
    </row>
    <row r="27" spans="2:9">
      <c r="B27" s="25" t="s">
        <v>66</v>
      </c>
      <c r="C27" s="25" t="s">
        <v>67</v>
      </c>
      <c r="D27" s="25" t="s">
        <v>68</v>
      </c>
      <c r="E27" s="29">
        <v>500</v>
      </c>
      <c r="F27" s="26">
        <v>2378.35</v>
      </c>
      <c r="G27" s="26">
        <v>3.89</v>
      </c>
      <c r="H27" s="26">
        <v>7.35</v>
      </c>
    </row>
    <row r="28" spans="2:9">
      <c r="B28" s="25" t="s">
        <v>69</v>
      </c>
      <c r="C28" s="25" t="s">
        <v>70</v>
      </c>
      <c r="D28" s="25" t="s">
        <v>68</v>
      </c>
      <c r="E28" s="29">
        <v>500</v>
      </c>
      <c r="F28" s="26">
        <v>2345.71</v>
      </c>
      <c r="G28" s="26">
        <v>3.83</v>
      </c>
      <c r="H28" s="26">
        <v>7.55</v>
      </c>
    </row>
    <row r="29" spans="2:9">
      <c r="B29" s="25" t="s">
        <v>71</v>
      </c>
      <c r="C29" s="25" t="s">
        <v>72</v>
      </c>
      <c r="D29" s="25" t="s">
        <v>73</v>
      </c>
      <c r="E29" s="29">
        <v>500</v>
      </c>
      <c r="F29" s="26">
        <v>2344.8000000000002</v>
      </c>
      <c r="G29" s="26">
        <v>3.83</v>
      </c>
      <c r="H29" s="26">
        <v>7.55</v>
      </c>
    </row>
    <row r="30" spans="2:9">
      <c r="B30" s="25" t="s">
        <v>74</v>
      </c>
      <c r="C30" s="25" t="s">
        <v>75</v>
      </c>
      <c r="D30" s="25" t="s">
        <v>61</v>
      </c>
      <c r="E30" s="29">
        <v>500</v>
      </c>
      <c r="F30" s="26">
        <v>2341.29</v>
      </c>
      <c r="G30" s="26">
        <v>3.83</v>
      </c>
      <c r="H30" s="26">
        <v>7.59</v>
      </c>
    </row>
    <row r="31" spans="2:9">
      <c r="B31" s="25" t="s">
        <v>76</v>
      </c>
      <c r="C31" s="25" t="s">
        <v>77</v>
      </c>
      <c r="D31" s="25" t="s">
        <v>73</v>
      </c>
      <c r="E31" s="29">
        <v>200</v>
      </c>
      <c r="F31" s="26">
        <v>951.15</v>
      </c>
      <c r="G31" s="26">
        <v>1.55</v>
      </c>
      <c r="H31" s="26">
        <v>7.41</v>
      </c>
    </row>
    <row r="32" spans="2:9">
      <c r="B32" s="24" t="s">
        <v>50</v>
      </c>
      <c r="C32" s="24"/>
      <c r="D32" s="24"/>
      <c r="E32" s="24"/>
      <c r="F32" s="42">
        <f>SUM(F21:F31)</f>
        <v>22458.420000000002</v>
      </c>
      <c r="G32" s="42">
        <f>SUM(G21:G31)</f>
        <v>36.709999999999994</v>
      </c>
      <c r="H32" s="43"/>
      <c r="I32" s="39"/>
    </row>
    <row r="33" spans="2:9">
      <c r="B33" s="24" t="s">
        <v>78</v>
      </c>
      <c r="C33" s="25"/>
      <c r="D33" s="25"/>
      <c r="E33" s="25"/>
      <c r="F33" s="26"/>
      <c r="G33" s="26"/>
      <c r="H33" s="26"/>
    </row>
    <row r="34" spans="2:9">
      <c r="B34" s="25" t="s">
        <v>79</v>
      </c>
      <c r="C34" s="25" t="s">
        <v>80</v>
      </c>
      <c r="D34" s="25" t="s">
        <v>73</v>
      </c>
      <c r="E34" s="29">
        <v>500</v>
      </c>
      <c r="F34" s="26">
        <v>2380.69</v>
      </c>
      <c r="G34" s="26">
        <v>3.89</v>
      </c>
      <c r="H34" s="26">
        <v>7.59</v>
      </c>
    </row>
    <row r="35" spans="2:9">
      <c r="B35" s="24" t="s">
        <v>50</v>
      </c>
      <c r="C35" s="24"/>
      <c r="D35" s="24"/>
      <c r="E35" s="24"/>
      <c r="F35" s="42">
        <f>SUM(F33:F34)</f>
        <v>2380.69</v>
      </c>
      <c r="G35" s="42">
        <f>SUM(G33:G34)</f>
        <v>3.89</v>
      </c>
      <c r="H35" s="43"/>
      <c r="I35" s="39"/>
    </row>
    <row r="36" spans="2:9">
      <c r="B36" s="24" t="s">
        <v>81</v>
      </c>
      <c r="C36" s="25"/>
      <c r="D36" s="25"/>
      <c r="E36" s="25"/>
      <c r="F36" s="26"/>
      <c r="G36" s="26"/>
      <c r="H36" s="26"/>
    </row>
    <row r="37" spans="2:9">
      <c r="B37" s="25" t="s">
        <v>82</v>
      </c>
      <c r="C37" s="25" t="s">
        <v>83</v>
      </c>
      <c r="D37" s="25" t="s">
        <v>84</v>
      </c>
      <c r="E37" s="29">
        <v>5000000</v>
      </c>
      <c r="F37" s="26">
        <v>4985.25</v>
      </c>
      <c r="G37" s="26">
        <v>8.15</v>
      </c>
      <c r="H37" s="26">
        <v>6</v>
      </c>
    </row>
    <row r="38" spans="2:9">
      <c r="B38" s="36" t="s">
        <v>50</v>
      </c>
      <c r="C38" s="36"/>
      <c r="D38" s="36"/>
      <c r="E38" s="36"/>
      <c r="F38" s="37">
        <f>SUM(F36:F37)</f>
        <v>4985.25</v>
      </c>
      <c r="G38" s="37">
        <f>SUM(G36:G37)</f>
        <v>8.15</v>
      </c>
      <c r="H38" s="38"/>
      <c r="I38" s="39"/>
    </row>
    <row r="39" spans="2:9">
      <c r="B39" s="40" t="s">
        <v>51</v>
      </c>
      <c r="C39" s="40"/>
      <c r="D39" s="40"/>
      <c r="E39" s="40"/>
      <c r="F39" s="41">
        <f>F32+F35+F38</f>
        <v>29824.36</v>
      </c>
      <c r="G39" s="41">
        <f>G32+G35+G38</f>
        <v>48.749999999999993</v>
      </c>
      <c r="H39" s="41"/>
      <c r="I39" s="39"/>
    </row>
    <row r="40" spans="2:9">
      <c r="B40" s="24" t="s">
        <v>85</v>
      </c>
      <c r="C40" s="25"/>
      <c r="D40" s="25"/>
      <c r="E40" s="25"/>
      <c r="F40" s="26"/>
      <c r="G40" s="26"/>
      <c r="H40" s="26"/>
    </row>
    <row r="41" spans="2:9">
      <c r="B41" s="44" t="s">
        <v>86</v>
      </c>
      <c r="C41" s="44" t="s">
        <v>87</v>
      </c>
      <c r="D41" s="44" t="s">
        <v>88</v>
      </c>
      <c r="E41" s="45">
        <v>2000000</v>
      </c>
      <c r="F41" s="46">
        <v>2007.05</v>
      </c>
      <c r="G41" s="46">
        <v>3.28</v>
      </c>
      <c r="H41" s="46">
        <v>6.72</v>
      </c>
    </row>
    <row r="42" spans="2:9">
      <c r="B42" s="47" t="s">
        <v>51</v>
      </c>
      <c r="C42" s="47"/>
      <c r="D42" s="47"/>
      <c r="E42" s="47"/>
      <c r="F42" s="42">
        <f>SUM(F41:F41)</f>
        <v>2007.05</v>
      </c>
      <c r="G42" s="42">
        <f>SUM(G41:G41)</f>
        <v>3.28</v>
      </c>
      <c r="H42" s="42"/>
      <c r="I42" s="39"/>
    </row>
    <row r="43" spans="2:9">
      <c r="B43" s="24" t="s">
        <v>89</v>
      </c>
      <c r="C43" s="25"/>
      <c r="D43" s="25"/>
      <c r="E43" s="25"/>
      <c r="F43" s="26"/>
      <c r="G43" s="26"/>
      <c r="H43" s="26"/>
    </row>
    <row r="44" spans="2:9">
      <c r="B44" s="25" t="s">
        <v>89</v>
      </c>
      <c r="C44" s="25"/>
      <c r="D44" s="25"/>
      <c r="E44" s="25"/>
      <c r="F44" s="26">
        <v>3571.2</v>
      </c>
      <c r="G44" s="26">
        <v>5.84</v>
      </c>
      <c r="H44" s="26"/>
    </row>
    <row r="45" spans="2:9">
      <c r="B45" s="36" t="s">
        <v>50</v>
      </c>
      <c r="C45" s="36"/>
      <c r="D45" s="36"/>
      <c r="E45" s="36"/>
      <c r="F45" s="37">
        <f>SUM(F43:F44)</f>
        <v>3571.2</v>
      </c>
      <c r="G45" s="37">
        <f>SUM(G43:G44)</f>
        <v>5.84</v>
      </c>
      <c r="H45" s="38"/>
      <c r="I45" s="39"/>
    </row>
    <row r="46" spans="2:9">
      <c r="B46" s="48" t="s">
        <v>51</v>
      </c>
      <c r="C46" s="48"/>
      <c r="D46" s="48"/>
      <c r="E46" s="48"/>
      <c r="F46" s="49">
        <f>F45</f>
        <v>3571.2</v>
      </c>
      <c r="G46" s="49">
        <f>G45</f>
        <v>5.84</v>
      </c>
      <c r="H46" s="49"/>
      <c r="I46" s="39"/>
    </row>
    <row r="47" spans="2:9">
      <c r="B47" s="50" t="s">
        <v>90</v>
      </c>
      <c r="C47" s="50"/>
      <c r="D47" s="50"/>
      <c r="E47" s="50"/>
      <c r="F47" s="51">
        <f>F48-(+F19+F39+F42+F46)</f>
        <v>1298.1699999999983</v>
      </c>
      <c r="G47" s="51">
        <f>G48-(+G19+G39+G42+G46)</f>
        <v>2.1400000000000006</v>
      </c>
      <c r="H47" s="51"/>
      <c r="I47" s="39"/>
    </row>
    <row r="48" spans="2:9">
      <c r="B48" s="50" t="s">
        <v>91</v>
      </c>
      <c r="C48" s="50"/>
      <c r="D48" s="50"/>
      <c r="E48" s="50"/>
      <c r="F48" s="51">
        <v>61171.83</v>
      </c>
      <c r="G48" s="51">
        <v>100</v>
      </c>
      <c r="H48" s="51"/>
      <c r="I48" s="39"/>
    </row>
    <row r="50" spans="2:3">
      <c r="B50" s="39" t="s">
        <v>92</v>
      </c>
    </row>
    <row r="51" spans="2:3">
      <c r="B51" s="39" t="s">
        <v>93</v>
      </c>
    </row>
    <row r="52" spans="2:3" ht="12.75" thickBot="1"/>
    <row r="53" spans="2:3" ht="13.5" thickTop="1" thickBot="1">
      <c r="B53" s="52" t="s">
        <v>94</v>
      </c>
      <c r="C53" s="53">
        <v>0.36258138265530371</v>
      </c>
    </row>
    <row r="54" spans="2:3" ht="12.75" thickTop="1">
      <c r="B54" s="54"/>
      <c r="C54" s="54"/>
    </row>
    <row r="55" spans="2:3" ht="12.75" thickBot="1">
      <c r="B55" s="54"/>
      <c r="C55" s="54"/>
    </row>
    <row r="56" spans="2:3" ht="13.5" thickTop="1" thickBot="1">
      <c r="B56" s="52" t="s">
        <v>95</v>
      </c>
      <c r="C56" s="55">
        <v>7.0025647573239994E-2</v>
      </c>
    </row>
    <row r="57" spans="2:3" ht="12.75" thickTop="1">
      <c r="B57" s="54"/>
      <c r="C57" s="54"/>
    </row>
    <row r="58" spans="2:3" ht="12.75" thickBot="1">
      <c r="B58" s="54"/>
      <c r="C58" s="54"/>
    </row>
    <row r="59" spans="2:3" ht="13.5" thickTop="1" thickBot="1">
      <c r="B59" s="52" t="s">
        <v>96</v>
      </c>
      <c r="C59" s="56">
        <v>0.36613292830629673</v>
      </c>
    </row>
    <row r="60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12:44:19</KDate>
  <Classification>Public</Classification>
  <Subclassification/>
  <HostName>MUMCMP00935</HostName>
  <Domain_User>CANARAROBECOMF/628</Domain_User>
  <IPAdd>192.9.198.194</IPAdd>
  <FilePath>Book19</FilePath>
  <KID>C025A5607E97638085194593629158</KID>
  <UniqueName/>
  <Suggested/>
  <Justification/>
</Klassify>
</file>

<file path=customXml/itemProps1.xml><?xml version="1.0" encoding="utf-8"?>
<ds:datastoreItem xmlns:ds="http://schemas.openxmlformats.org/officeDocument/2006/customXml" ds:itemID="{DD62160D-717E-4CA2-B2A7-693D5F65E1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2023-01-05T07:14:14Z</dcterms:created>
  <dcterms:modified xsi:type="dcterms:W3CDTF">2023-01-05T07:14:19Z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C025A5607E97638085194593629158</vt:lpwstr>
  </property>
</Properties>
</file>