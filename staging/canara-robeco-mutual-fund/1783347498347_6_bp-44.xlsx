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8DCF6E42-142F-417C-816F-72E311D86474}" xr6:coauthVersionLast="47" xr6:coauthVersionMax="47" xr10:uidLastSave="{00000000-0000-0000-0000-000000000000}"/>
  <bookViews>
    <workbookView xWindow="-120" yWindow="-120" windowWidth="20730" windowHeight="11160" xr2:uid="{9AA4816C-91F1-4001-A030-2CD96E8E5A18}"/>
  </bookViews>
  <sheets>
    <sheet name="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7" i="1" s="1"/>
  <c r="F46" i="1"/>
  <c r="F47" i="1" s="1"/>
  <c r="G43" i="1"/>
  <c r="F43" i="1"/>
  <c r="G40" i="1"/>
  <c r="F40" i="1"/>
  <c r="G34" i="1"/>
  <c r="F34" i="1"/>
  <c r="G31" i="1"/>
  <c r="G35" i="1" s="1"/>
  <c r="F31" i="1"/>
  <c r="F35" i="1" s="1"/>
  <c r="G26" i="1"/>
  <c r="G27" i="1" s="1"/>
  <c r="G48" i="1" s="1"/>
  <c r="F26" i="1"/>
  <c r="F27" i="1" s="1"/>
  <c r="F48" i="1" s="1"/>
</calcChain>
</file>

<file path=xl/sharedStrings.xml><?xml version="1.0" encoding="utf-8"?>
<sst xmlns="http://schemas.openxmlformats.org/spreadsheetml/2006/main" count="123" uniqueCount="97">
  <si>
    <t>CANARA ROBECO BANKING AND PSU DEBT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</si>
  <si>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</si>
  <si>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</si>
  <si>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</si>
  <si>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</si>
  <si>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</si>
  <si>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</si>
  <si>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</si>
  <si>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</si>
  <si>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</si>
  <si>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</si>
  <si>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</si>
  <si>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</si>
  <si>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</si>
  <si>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</si>
  <si>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</si>
  <si>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</si>
  <si>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</si>
  <si>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</si>
  <si>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</si>
  <si>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</si>
  <si>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</si>
  <si>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</si>
  <si>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</si>
  <si>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</si>
  <si>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</si>
  <si>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8.20% Power Grid Corporation of India Ltd (23/01/2025)</t>
  </si>
  <si>
    <t>INE752E07MG9</t>
  </si>
  <si>
    <t>Moderate 
(Class II)</t>
  </si>
  <si>
    <t>7.35% NTPC Ltd (17/04/2026) **</t>
  </si>
  <si>
    <t>INE733E08247</t>
  </si>
  <si>
    <t>7.44% REC Ltd (30/04/2026) **</t>
  </si>
  <si>
    <t>INE020B08EL2</t>
  </si>
  <si>
    <t>IND AAA</t>
  </si>
  <si>
    <t>Relatively High (Class III)</t>
  </si>
  <si>
    <t>B-III</t>
  </si>
  <si>
    <t>7.35% NHPC Ltd (15/09/2026) **</t>
  </si>
  <si>
    <t>INE848E07AL0</t>
  </si>
  <si>
    <t>CARE AAA</t>
  </si>
  <si>
    <t>7.15% Small Industries Development Bank Of India (21/07/2025)</t>
  </si>
  <si>
    <t>INE556F08JZ5</t>
  </si>
  <si>
    <t>ICRA AAA</t>
  </si>
  <si>
    <t>Benchmark: CRISIL Banking and PSU Debt A-II Index</t>
  </si>
  <si>
    <t>8.45% Indian Railway Finance Corporation Ltd (04/12/2028) **</t>
  </si>
  <si>
    <t>INE053F07AY7</t>
  </si>
  <si>
    <t>7.65% Indian Railway Finance Corporation Ltd (30/12/2032) **</t>
  </si>
  <si>
    <t>INE053F08221</t>
  </si>
  <si>
    <t>7.80% National Bank For Agriculture &amp; Rural Development (15/03/2027)</t>
  </si>
  <si>
    <t>INE261F08EF5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</si>
  <si>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</si>
  <si>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</si>
  <si>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</si>
  <si>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</si>
  <si>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</si>
  <si>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</si>
  <si>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8.27% REC Ltd (06/02/2025) **</t>
  </si>
  <si>
    <t>INE020B08906</t>
  </si>
  <si>
    <t>9.15% ICICI Bank Ltd (06/08/2024) **</t>
  </si>
  <si>
    <t>INE090A08TN1</t>
  </si>
  <si>
    <t>7.71% LIC Housing Finance Ltd (09/05/2033)</t>
  </si>
  <si>
    <t>INE115A07QI4</t>
  </si>
  <si>
    <t>6.19% LIC Housing Finance Ltd (25/11/2024) **</t>
  </si>
  <si>
    <t>INE115A07OW0</t>
  </si>
  <si>
    <t>7.68% Power Finance Corporation Ltd (15/07/2030) **</t>
  </si>
  <si>
    <t>INE134E08KR9</t>
  </si>
  <si>
    <t>7.59% Small Industries Development Bank Of India (10/02/2026) **</t>
  </si>
  <si>
    <t>INE556F08KG3</t>
  </si>
  <si>
    <t>Sub Total</t>
  </si>
  <si>
    <t>Total</t>
  </si>
  <si>
    <t>Money Market Instruments</t>
  </si>
  <si>
    <t>Certificate of Deposit</t>
  </si>
  <si>
    <t>ICICI Bank Ltd (29/10/2024) ** #</t>
  </si>
  <si>
    <t>INE090AD6071</t>
  </si>
  <si>
    <t>ICRA A1+</t>
  </si>
  <si>
    <t>Treasury Bill</t>
  </si>
  <si>
    <t>364 DTB (16-JAN-2025)</t>
  </si>
  <si>
    <t>IN002023Z448</t>
  </si>
  <si>
    <t xml:space="preserve"> Sovereign</t>
  </si>
  <si>
    <t>Government Bonds</t>
  </si>
  <si>
    <t>7.18% GOI 2037 (14-AUG-2033)</t>
  </si>
  <si>
    <t>IN0020230085</t>
  </si>
  <si>
    <t>Sovereign</t>
  </si>
  <si>
    <t>7.18% GOI 2037 (24-JUL-2037)</t>
  </si>
  <si>
    <t>IN0020230077</t>
  </si>
  <si>
    <t>7.10% GOI 18-APR-29</t>
  </si>
  <si>
    <t>IN0020220011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</si>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</sst>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" fontId="3" fillId="3" borderId="0" xfId="1" applyNumberFormat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4</xdr:row>
      <xdr:rowOff>162662</xdr:rowOff>
    </xdr:from>
    <xdr:ext cx="2000250" cy="1247038"/>
    <xdr:pic>
      <xdr:nvPicPr>
        <xdr:cNvPr id="2" name="Picture 1">
          <a:extLst>
            <a:ext uri="{FF2B5EF4-FFF2-40B4-BE49-F238E27FC236}">
              <a16:creationId xmlns:a16="http://schemas.microsoft.com/office/drawing/2014/main" id="{DA848F57-E72D-4811-9CAD-31EDFEAA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7475" y="1153262"/>
          <a:ext cx="2000250" cy="1247038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3" name="Picture 2">
          <a:extLst>
            <a:ext uri="{FF2B5EF4-FFF2-40B4-BE49-F238E27FC236}">
              <a16:creationId xmlns:a16="http://schemas.microsoft.com/office/drawing/2014/main" id="{6FA8CB15-7ABD-44D3-9EEB-F9B11E50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7075" y="1209675"/>
          <a:ext cx="1797502" cy="1177019"/>
        </a:xfrm>
        <a:prstGeom prst="rect">
          <a:avLst/>
        </a:prstGeom>
      </xdr:spPr>
    </xdr:pic>
    <xdr:clientData/>
  </xdr:oneCellAnchor>
  <xdr:twoCellAnchor editAs="oneCell">
    <xdr:from>
      <xdr:col>10</xdr:col>
      <xdr:colOff>76200</xdr:colOff>
      <xdr:row>4</xdr:row>
      <xdr:rowOff>123825</xdr:rowOff>
    </xdr:from>
    <xdr:to>
      <xdr:col>10</xdr:col>
      <xdr:colOff>2124075</xdr:colOff>
      <xdr:row>10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034DDF-E321-43F9-805B-62AC4C0E7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1075" y="1114425"/>
          <a:ext cx="2047875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9B83-0F5A-4F98-A5DD-D631725C8547}">
  <dimension ref="B1:Q161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5"/>
    <col min="2" max="2" width="60.28515625" style="5" bestFit="1" customWidth="1"/>
    <col min="3" max="3" width="13.85546875" style="5" bestFit="1" customWidth="1"/>
    <col min="4" max="4" width="22.85546875" style="5" bestFit="1" customWidth="1"/>
    <col min="5" max="5" width="8.855468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5" customWidth="1"/>
    <col min="12" max="12" width="31.42578125" style="5" customWidth="1"/>
    <col min="13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250</v>
      </c>
      <c r="F7" s="26">
        <v>2553.59</v>
      </c>
      <c r="G7" s="26">
        <v>6.3</v>
      </c>
      <c r="H7" s="26">
        <v>7.87</v>
      </c>
      <c r="I7" s="29"/>
      <c r="J7" s="21"/>
      <c r="K7" s="21"/>
      <c r="L7" s="21"/>
      <c r="N7" s="30" t="s">
        <v>23</v>
      </c>
      <c r="O7" s="31"/>
      <c r="P7" s="31"/>
      <c r="Q7" s="31"/>
    </row>
    <row r="8" spans="2:17" x14ac:dyDescent="0.2">
      <c r="B8" s="25" t="s">
        <v>24</v>
      </c>
      <c r="C8" s="25" t="s">
        <v>25</v>
      </c>
      <c r="D8" s="25" t="s">
        <v>22</v>
      </c>
      <c r="E8" s="28">
        <v>250</v>
      </c>
      <c r="F8" s="26">
        <v>2511.9</v>
      </c>
      <c r="G8" s="26">
        <v>6.19</v>
      </c>
      <c r="H8" s="26">
        <v>7.89</v>
      </c>
      <c r="I8" s="29"/>
      <c r="J8" s="21"/>
      <c r="K8" s="21"/>
      <c r="L8" s="21"/>
      <c r="N8" s="30"/>
      <c r="O8" s="32"/>
      <c r="P8" s="32"/>
      <c r="Q8" s="32"/>
    </row>
    <row r="9" spans="2:17" x14ac:dyDescent="0.2">
      <c r="B9" s="25" t="s">
        <v>26</v>
      </c>
      <c r="C9" s="25" t="s">
        <v>27</v>
      </c>
      <c r="D9" s="25" t="s">
        <v>22</v>
      </c>
      <c r="E9" s="28">
        <v>250</v>
      </c>
      <c r="F9" s="26">
        <v>2507.2800000000002</v>
      </c>
      <c r="G9" s="26">
        <v>6.18</v>
      </c>
      <c r="H9" s="26">
        <v>7.7</v>
      </c>
      <c r="I9" s="29"/>
      <c r="J9" s="21"/>
      <c r="K9" s="21"/>
      <c r="L9" s="21"/>
      <c r="N9" s="30" t="s">
        <v>28</v>
      </c>
      <c r="O9" s="31"/>
      <c r="P9" s="31"/>
      <c r="Q9" s="31"/>
    </row>
    <row r="10" spans="2:17" x14ac:dyDescent="0.2">
      <c r="B10" s="25" t="s">
        <v>29</v>
      </c>
      <c r="C10" s="25" t="s">
        <v>30</v>
      </c>
      <c r="D10" s="25" t="s">
        <v>22</v>
      </c>
      <c r="E10" s="28">
        <v>2500</v>
      </c>
      <c r="F10" s="26">
        <v>2496.09</v>
      </c>
      <c r="G10" s="26">
        <v>6.16</v>
      </c>
      <c r="H10" s="26">
        <v>7.43</v>
      </c>
      <c r="I10" s="29"/>
      <c r="J10" s="21"/>
      <c r="K10" s="21"/>
      <c r="L10" s="21"/>
      <c r="N10" s="30"/>
      <c r="O10" s="32"/>
      <c r="P10" s="32"/>
      <c r="Q10" s="32"/>
    </row>
    <row r="11" spans="2:17" x14ac:dyDescent="0.2">
      <c r="B11" s="25" t="s">
        <v>31</v>
      </c>
      <c r="C11" s="25" t="s">
        <v>32</v>
      </c>
      <c r="D11" s="25" t="s">
        <v>33</v>
      </c>
      <c r="E11" s="28">
        <v>2500</v>
      </c>
      <c r="F11" s="26">
        <v>2489.59</v>
      </c>
      <c r="G11" s="26">
        <v>6.14</v>
      </c>
      <c r="H11" s="26">
        <v>7.65</v>
      </c>
      <c r="I11" s="29"/>
      <c r="J11" s="21"/>
      <c r="K11" s="21"/>
      <c r="L11" s="21"/>
      <c r="N11" s="30" t="s">
        <v>34</v>
      </c>
      <c r="O11" s="31"/>
      <c r="P11" s="33" t="s">
        <v>35</v>
      </c>
      <c r="Q11" s="31"/>
    </row>
    <row r="12" spans="2:17" x14ac:dyDescent="0.2">
      <c r="B12" s="25" t="s">
        <v>36</v>
      </c>
      <c r="C12" s="25" t="s">
        <v>37</v>
      </c>
      <c r="D12" s="25" t="s">
        <v>38</v>
      </c>
      <c r="E12" s="28">
        <v>250</v>
      </c>
      <c r="F12" s="26">
        <v>2488.58</v>
      </c>
      <c r="G12" s="26">
        <v>6.14</v>
      </c>
      <c r="H12" s="26">
        <v>7.53</v>
      </c>
      <c r="I12" s="29"/>
      <c r="J12" s="21"/>
      <c r="K12" s="21"/>
      <c r="L12" s="21"/>
      <c r="N12" s="30"/>
      <c r="O12" s="32"/>
      <c r="P12" s="34"/>
      <c r="Q12" s="32"/>
    </row>
    <row r="13" spans="2:17" ht="15" x14ac:dyDescent="0.25">
      <c r="B13" s="25" t="s">
        <v>39</v>
      </c>
      <c r="C13" s="25" t="s">
        <v>40</v>
      </c>
      <c r="D13" s="25" t="s">
        <v>41</v>
      </c>
      <c r="E13" s="28">
        <v>250</v>
      </c>
      <c r="F13" s="26">
        <v>2480.02</v>
      </c>
      <c r="G13" s="26">
        <v>6.12</v>
      </c>
      <c r="H13" s="26">
        <v>7.77</v>
      </c>
      <c r="I13" s="29"/>
      <c r="K13" t="s">
        <v>42</v>
      </c>
      <c r="L13" s="4"/>
    </row>
    <row r="14" spans="2:17" x14ac:dyDescent="0.2">
      <c r="B14" s="25" t="s">
        <v>43</v>
      </c>
      <c r="C14" s="25" t="s">
        <v>44</v>
      </c>
      <c r="D14" s="25" t="s">
        <v>22</v>
      </c>
      <c r="E14" s="28">
        <v>150</v>
      </c>
      <c r="F14" s="26">
        <v>1554.41</v>
      </c>
      <c r="G14" s="26">
        <v>3.83</v>
      </c>
      <c r="H14" s="26">
        <v>7.49</v>
      </c>
      <c r="I14" s="29"/>
      <c r="K14" s="4"/>
      <c r="L14" s="4"/>
      <c r="M14" s="4"/>
    </row>
    <row r="15" spans="2:17" x14ac:dyDescent="0.2">
      <c r="B15" s="25" t="s">
        <v>45</v>
      </c>
      <c r="C15" s="25" t="s">
        <v>46</v>
      </c>
      <c r="D15" s="25" t="s">
        <v>22</v>
      </c>
      <c r="E15" s="28">
        <v>150</v>
      </c>
      <c r="F15" s="26">
        <v>1518.13</v>
      </c>
      <c r="G15" s="26">
        <v>3.74</v>
      </c>
      <c r="H15" s="26">
        <v>7.45</v>
      </c>
      <c r="I15" s="29"/>
      <c r="K15" s="4"/>
      <c r="L15" s="4"/>
      <c r="M15" s="4"/>
    </row>
    <row r="16" spans="2:17" x14ac:dyDescent="0.2">
      <c r="B16" s="25" t="s">
        <v>47</v>
      </c>
      <c r="C16" s="25" t="s">
        <v>48</v>
      </c>
      <c r="D16" s="25" t="s">
        <v>41</v>
      </c>
      <c r="E16" s="28">
        <v>1500</v>
      </c>
      <c r="F16" s="26">
        <v>1505.18</v>
      </c>
      <c r="G16" s="26">
        <v>3.71</v>
      </c>
      <c r="H16" s="26">
        <v>7.66</v>
      </c>
      <c r="I16" s="29"/>
      <c r="K16" s="4"/>
      <c r="L16" s="4"/>
      <c r="M16" s="4"/>
    </row>
    <row r="17" spans="2:13" x14ac:dyDescent="0.2">
      <c r="B17" s="25" t="s">
        <v>49</v>
      </c>
      <c r="C17" s="25" t="s">
        <v>50</v>
      </c>
      <c r="D17" s="25" t="s">
        <v>22</v>
      </c>
      <c r="E17" s="28">
        <v>150</v>
      </c>
      <c r="F17" s="26">
        <v>1499.54</v>
      </c>
      <c r="G17" s="26">
        <v>3.7</v>
      </c>
      <c r="H17" s="26">
        <v>7.62</v>
      </c>
      <c r="I17" s="29"/>
      <c r="K17" s="4"/>
      <c r="L17" s="4"/>
      <c r="M17" s="4"/>
    </row>
    <row r="18" spans="2:13" x14ac:dyDescent="0.2">
      <c r="B18" s="25" t="s">
        <v>51</v>
      </c>
      <c r="C18" s="25" t="s">
        <v>52</v>
      </c>
      <c r="D18" s="25" t="s">
        <v>41</v>
      </c>
      <c r="E18" s="28">
        <v>150</v>
      </c>
      <c r="F18" s="26">
        <v>1459.63</v>
      </c>
      <c r="G18" s="26">
        <v>3.6</v>
      </c>
      <c r="H18" s="26">
        <v>7.48</v>
      </c>
      <c r="I18" s="29"/>
      <c r="K18" s="4"/>
      <c r="L18" s="4"/>
      <c r="M18" s="4"/>
    </row>
    <row r="19" spans="2:13" x14ac:dyDescent="0.2">
      <c r="B19" s="25" t="s">
        <v>53</v>
      </c>
      <c r="C19" s="25" t="s">
        <v>54</v>
      </c>
      <c r="D19" s="25" t="s">
        <v>22</v>
      </c>
      <c r="E19" s="28">
        <v>100</v>
      </c>
      <c r="F19" s="26">
        <v>1025.51</v>
      </c>
      <c r="G19" s="26">
        <v>2.5299999999999998</v>
      </c>
      <c r="H19" s="26">
        <v>7.91</v>
      </c>
      <c r="I19" s="29"/>
      <c r="K19" s="4"/>
      <c r="L19" s="4"/>
      <c r="M19" s="4"/>
    </row>
    <row r="20" spans="2:13" x14ac:dyDescent="0.2">
      <c r="B20" s="25" t="s">
        <v>55</v>
      </c>
      <c r="C20" s="25" t="s">
        <v>56</v>
      </c>
      <c r="D20" s="25" t="s">
        <v>22</v>
      </c>
      <c r="E20" s="28">
        <v>100</v>
      </c>
      <c r="F20" s="26">
        <v>1004.54</v>
      </c>
      <c r="G20" s="26">
        <v>2.48</v>
      </c>
      <c r="H20" s="26">
        <v>7.73</v>
      </c>
      <c r="I20" s="29"/>
      <c r="K20" s="4"/>
      <c r="L20" s="4"/>
      <c r="M20" s="4"/>
    </row>
    <row r="21" spans="2:13" x14ac:dyDescent="0.2">
      <c r="B21" s="25" t="s">
        <v>57</v>
      </c>
      <c r="C21" s="25" t="s">
        <v>58</v>
      </c>
      <c r="D21" s="25" t="s">
        <v>41</v>
      </c>
      <c r="E21" s="28">
        <v>100</v>
      </c>
      <c r="F21" s="26">
        <v>1004.53</v>
      </c>
      <c r="G21" s="26">
        <v>2.48</v>
      </c>
      <c r="H21" s="26">
        <v>7.71</v>
      </c>
      <c r="I21" s="29"/>
      <c r="K21" s="4"/>
      <c r="L21" s="4"/>
      <c r="M21" s="4"/>
    </row>
    <row r="22" spans="2:13" x14ac:dyDescent="0.2">
      <c r="B22" s="25" t="s">
        <v>59</v>
      </c>
      <c r="C22" s="25" t="s">
        <v>60</v>
      </c>
      <c r="D22" s="25" t="s">
        <v>22</v>
      </c>
      <c r="E22" s="28">
        <v>100</v>
      </c>
      <c r="F22" s="26">
        <v>1001.65</v>
      </c>
      <c r="G22" s="26">
        <v>2.4700000000000002</v>
      </c>
      <c r="H22" s="26">
        <v>7.68</v>
      </c>
      <c r="I22" s="29"/>
      <c r="K22" s="4"/>
      <c r="L22" s="4"/>
      <c r="M22" s="4"/>
    </row>
    <row r="23" spans="2:13" x14ac:dyDescent="0.2">
      <c r="B23" s="25" t="s">
        <v>61</v>
      </c>
      <c r="C23" s="25" t="s">
        <v>62</v>
      </c>
      <c r="D23" s="25" t="s">
        <v>22</v>
      </c>
      <c r="E23" s="28">
        <v>100</v>
      </c>
      <c r="F23" s="26">
        <v>988.43</v>
      </c>
      <c r="G23" s="26">
        <v>2.44</v>
      </c>
      <c r="H23" s="26">
        <v>7.89</v>
      </c>
      <c r="I23" s="29"/>
      <c r="K23" s="4"/>
      <c r="L23" s="4"/>
      <c r="M23" s="4"/>
    </row>
    <row r="24" spans="2:13" x14ac:dyDescent="0.2">
      <c r="B24" s="25" t="s">
        <v>63</v>
      </c>
      <c r="C24" s="25" t="s">
        <v>64</v>
      </c>
      <c r="D24" s="25" t="s">
        <v>22</v>
      </c>
      <c r="E24" s="28">
        <v>50</v>
      </c>
      <c r="F24" s="26">
        <v>503.87</v>
      </c>
      <c r="G24" s="26">
        <v>1.24</v>
      </c>
      <c r="H24" s="26">
        <v>7.52</v>
      </c>
      <c r="I24" s="29"/>
      <c r="K24" s="4"/>
      <c r="L24" s="4"/>
      <c r="M24" s="4"/>
    </row>
    <row r="25" spans="2:13" x14ac:dyDescent="0.2">
      <c r="B25" s="25" t="s">
        <v>65</v>
      </c>
      <c r="C25" s="25" t="s">
        <v>66</v>
      </c>
      <c r="D25" s="25" t="s">
        <v>22</v>
      </c>
      <c r="E25" s="28">
        <v>500</v>
      </c>
      <c r="F25" s="26">
        <v>498.7</v>
      </c>
      <c r="G25" s="26">
        <v>1.23</v>
      </c>
      <c r="H25" s="26">
        <v>7.73</v>
      </c>
      <c r="I25" s="29"/>
      <c r="K25" s="4"/>
      <c r="L25" s="4"/>
      <c r="M25" s="4"/>
    </row>
    <row r="26" spans="2:13" x14ac:dyDescent="0.2">
      <c r="B26" s="35" t="s">
        <v>67</v>
      </c>
      <c r="C26" s="35"/>
      <c r="D26" s="35"/>
      <c r="E26" s="35"/>
      <c r="F26" s="36">
        <f>SUM(F6:F25)</f>
        <v>31091.170000000002</v>
      </c>
      <c r="G26" s="36">
        <f>SUM(G6:G25)</f>
        <v>76.680000000000007</v>
      </c>
      <c r="H26" s="37"/>
      <c r="I26" s="29"/>
      <c r="K26" s="4"/>
      <c r="L26" s="4"/>
      <c r="M26" s="4"/>
    </row>
    <row r="27" spans="2:13" x14ac:dyDescent="0.2">
      <c r="B27" s="38" t="s">
        <v>68</v>
      </c>
      <c r="C27" s="38"/>
      <c r="D27" s="38"/>
      <c r="E27" s="38"/>
      <c r="F27" s="39">
        <f>F26</f>
        <v>31091.170000000002</v>
      </c>
      <c r="G27" s="39">
        <f>G26</f>
        <v>76.680000000000007</v>
      </c>
      <c r="H27" s="39"/>
      <c r="I27" s="29"/>
      <c r="K27" s="4"/>
      <c r="L27" s="4"/>
      <c r="M27" s="4"/>
    </row>
    <row r="28" spans="2:13" x14ac:dyDescent="0.2">
      <c r="B28" s="24" t="s">
        <v>69</v>
      </c>
      <c r="C28" s="25"/>
      <c r="D28" s="25"/>
      <c r="E28" s="25"/>
      <c r="F28" s="26"/>
      <c r="G28" s="26"/>
      <c r="H28" s="26"/>
      <c r="I28" s="29"/>
      <c r="K28" s="4"/>
      <c r="L28" s="4"/>
      <c r="M28" s="4"/>
    </row>
    <row r="29" spans="2:13" x14ac:dyDescent="0.2">
      <c r="B29" s="24" t="s">
        <v>70</v>
      </c>
      <c r="C29" s="25"/>
      <c r="D29" s="25"/>
      <c r="E29" s="25"/>
      <c r="F29" s="26"/>
      <c r="G29" s="26"/>
      <c r="H29" s="26"/>
      <c r="I29" s="29"/>
      <c r="K29" s="4"/>
      <c r="L29" s="4"/>
      <c r="M29" s="4"/>
    </row>
    <row r="30" spans="2:13" x14ac:dyDescent="0.2">
      <c r="B30" s="25" t="s">
        <v>71</v>
      </c>
      <c r="C30" s="25" t="s">
        <v>72</v>
      </c>
      <c r="D30" s="25" t="s">
        <v>73</v>
      </c>
      <c r="E30" s="28">
        <v>500</v>
      </c>
      <c r="F30" s="26">
        <v>2396.2600000000002</v>
      </c>
      <c r="G30" s="26">
        <v>5.91</v>
      </c>
      <c r="H30" s="26">
        <v>7.49</v>
      </c>
      <c r="I30" s="29"/>
      <c r="K30" s="4"/>
      <c r="L30" s="4"/>
      <c r="M30" s="4"/>
    </row>
    <row r="31" spans="2:13" x14ac:dyDescent="0.2">
      <c r="B31" s="24" t="s">
        <v>67</v>
      </c>
      <c r="C31" s="24"/>
      <c r="D31" s="24"/>
      <c r="E31" s="24"/>
      <c r="F31" s="40">
        <f>SUM(F29:F30)</f>
        <v>2396.2600000000002</v>
      </c>
      <c r="G31" s="40">
        <f>SUM(G29:G30)</f>
        <v>5.91</v>
      </c>
      <c r="H31" s="41"/>
      <c r="I31" s="29"/>
      <c r="K31" s="4"/>
      <c r="L31" s="4"/>
      <c r="M31" s="4"/>
    </row>
    <row r="32" spans="2:13" x14ac:dyDescent="0.2">
      <c r="B32" s="24" t="s">
        <v>74</v>
      </c>
      <c r="C32" s="25"/>
      <c r="D32" s="25"/>
      <c r="E32" s="25"/>
      <c r="F32" s="26"/>
      <c r="G32" s="26"/>
      <c r="H32" s="26"/>
      <c r="I32" s="29"/>
      <c r="K32" s="4"/>
      <c r="L32" s="4"/>
      <c r="M32" s="4"/>
    </row>
    <row r="33" spans="2:13" x14ac:dyDescent="0.2">
      <c r="B33" s="25" t="s">
        <v>75</v>
      </c>
      <c r="C33" s="25" t="s">
        <v>76</v>
      </c>
      <c r="D33" s="25" t="s">
        <v>77</v>
      </c>
      <c r="E33" s="28">
        <v>250000</v>
      </c>
      <c r="F33" s="26">
        <v>236.72</v>
      </c>
      <c r="G33" s="26">
        <v>0.57999999999999996</v>
      </c>
      <c r="H33" s="26">
        <v>7.06</v>
      </c>
      <c r="I33" s="29"/>
      <c r="K33" s="4"/>
      <c r="L33" s="4"/>
      <c r="M33" s="4"/>
    </row>
    <row r="34" spans="2:13" x14ac:dyDescent="0.2">
      <c r="B34" s="35" t="s">
        <v>67</v>
      </c>
      <c r="C34" s="35"/>
      <c r="D34" s="35"/>
      <c r="E34" s="35"/>
      <c r="F34" s="36">
        <f>SUM(F32:F33)</f>
        <v>236.72</v>
      </c>
      <c r="G34" s="36">
        <f>SUM(G32:G33)</f>
        <v>0.57999999999999996</v>
      </c>
      <c r="H34" s="37"/>
      <c r="I34" s="29"/>
      <c r="K34" s="4"/>
      <c r="L34" s="4"/>
      <c r="M34" s="4"/>
    </row>
    <row r="35" spans="2:13" x14ac:dyDescent="0.2">
      <c r="B35" s="38" t="s">
        <v>68</v>
      </c>
      <c r="C35" s="38"/>
      <c r="D35" s="38"/>
      <c r="E35" s="38"/>
      <c r="F35" s="39">
        <f>F31+F34</f>
        <v>2632.98</v>
      </c>
      <c r="G35" s="39">
        <f>G31+G34</f>
        <v>6.49</v>
      </c>
      <c r="H35" s="39"/>
      <c r="I35" s="29"/>
      <c r="K35" s="4"/>
      <c r="L35" s="4"/>
      <c r="M35" s="4"/>
    </row>
    <row r="36" spans="2:13" x14ac:dyDescent="0.2">
      <c r="B36" s="24" t="s">
        <v>78</v>
      </c>
      <c r="C36" s="25"/>
      <c r="D36" s="25"/>
      <c r="E36" s="25"/>
      <c r="F36" s="26"/>
      <c r="G36" s="26"/>
      <c r="H36" s="26"/>
      <c r="I36" s="29"/>
      <c r="K36" s="4"/>
      <c r="L36" s="4"/>
      <c r="M36" s="4"/>
    </row>
    <row r="37" spans="2:13" x14ac:dyDescent="0.2">
      <c r="B37" s="25" t="s">
        <v>79</v>
      </c>
      <c r="C37" s="25" t="s">
        <v>80</v>
      </c>
      <c r="D37" s="25" t="s">
        <v>81</v>
      </c>
      <c r="E37" s="28">
        <v>3000000</v>
      </c>
      <c r="F37" s="26">
        <v>3025.63</v>
      </c>
      <c r="G37" s="26">
        <v>7.46</v>
      </c>
      <c r="H37" s="26">
        <v>7.18</v>
      </c>
      <c r="I37" s="29"/>
      <c r="K37" s="4"/>
      <c r="L37" s="4"/>
      <c r="M37" s="4"/>
    </row>
    <row r="38" spans="2:13" x14ac:dyDescent="0.2">
      <c r="B38" s="25" t="s">
        <v>82</v>
      </c>
      <c r="C38" s="25" t="s">
        <v>83</v>
      </c>
      <c r="D38" s="25" t="s">
        <v>81</v>
      </c>
      <c r="E38" s="28">
        <v>1000000</v>
      </c>
      <c r="F38" s="26">
        <v>1007.59</v>
      </c>
      <c r="G38" s="26">
        <v>2.48</v>
      </c>
      <c r="H38" s="26">
        <v>7.21</v>
      </c>
      <c r="I38" s="29"/>
      <c r="K38" s="4"/>
      <c r="L38" s="4"/>
      <c r="M38" s="4"/>
    </row>
    <row r="39" spans="2:13" x14ac:dyDescent="0.2">
      <c r="B39" s="42" t="s">
        <v>84</v>
      </c>
      <c r="C39" s="42" t="s">
        <v>85</v>
      </c>
      <c r="D39" s="42" t="s">
        <v>81</v>
      </c>
      <c r="E39" s="43">
        <v>500000</v>
      </c>
      <c r="F39" s="44">
        <v>500.92</v>
      </c>
      <c r="G39" s="44">
        <v>1.24</v>
      </c>
      <c r="H39" s="44">
        <v>7.18</v>
      </c>
      <c r="I39" s="29"/>
      <c r="K39" s="4"/>
      <c r="L39" s="4"/>
      <c r="M39" s="4"/>
    </row>
    <row r="40" spans="2:13" x14ac:dyDescent="0.2">
      <c r="B40" s="45" t="s">
        <v>68</v>
      </c>
      <c r="C40" s="45"/>
      <c r="D40" s="45"/>
      <c r="E40" s="45"/>
      <c r="F40" s="40">
        <f>SUM(F37:F39)</f>
        <v>4534.1400000000003</v>
      </c>
      <c r="G40" s="40">
        <f>SUM(G37:G39)</f>
        <v>11.18</v>
      </c>
      <c r="H40" s="40"/>
      <c r="I40" s="29"/>
      <c r="K40" s="4"/>
      <c r="L40" s="4"/>
      <c r="M40" s="4"/>
    </row>
    <row r="41" spans="2:13" x14ac:dyDescent="0.2">
      <c r="B41" s="24" t="s">
        <v>86</v>
      </c>
      <c r="C41" s="25"/>
      <c r="D41" s="25"/>
      <c r="E41" s="25"/>
      <c r="F41" s="26"/>
      <c r="G41" s="26"/>
      <c r="H41" s="26"/>
      <c r="I41" s="29"/>
      <c r="K41" s="4"/>
      <c r="L41" s="4"/>
      <c r="M41" s="4"/>
    </row>
    <row r="42" spans="2:13" x14ac:dyDescent="0.2">
      <c r="B42" s="42" t="s">
        <v>87</v>
      </c>
      <c r="C42" s="42" t="s">
        <v>88</v>
      </c>
      <c r="D42" s="42" t="s">
        <v>86</v>
      </c>
      <c r="E42" s="43">
        <v>1059.925</v>
      </c>
      <c r="F42" s="44">
        <v>107.96</v>
      </c>
      <c r="G42" s="44">
        <v>0.27</v>
      </c>
      <c r="H42" s="44">
        <v>6.95</v>
      </c>
      <c r="I42" s="29"/>
      <c r="K42" s="4"/>
      <c r="L42" s="4"/>
      <c r="M42" s="4"/>
    </row>
    <row r="43" spans="2:13" x14ac:dyDescent="0.2">
      <c r="B43" s="45" t="s">
        <v>68</v>
      </c>
      <c r="C43" s="45"/>
      <c r="D43" s="45"/>
      <c r="E43" s="45"/>
      <c r="F43" s="40">
        <f>SUM(F42:F42)</f>
        <v>107.96</v>
      </c>
      <c r="G43" s="40">
        <f>SUM(G42:G42)</f>
        <v>0.27</v>
      </c>
      <c r="H43" s="40"/>
      <c r="I43" s="29"/>
      <c r="K43" s="4"/>
      <c r="L43" s="4"/>
      <c r="M43" s="4"/>
    </row>
    <row r="44" spans="2:13" x14ac:dyDescent="0.2">
      <c r="B44" s="24" t="s">
        <v>89</v>
      </c>
      <c r="C44" s="25"/>
      <c r="D44" s="25"/>
      <c r="E44" s="25"/>
      <c r="F44" s="26"/>
      <c r="G44" s="26"/>
      <c r="H44" s="26"/>
      <c r="I44" s="29"/>
      <c r="K44" s="4"/>
      <c r="L44" s="4"/>
      <c r="M44" s="4"/>
    </row>
    <row r="45" spans="2:13" x14ac:dyDescent="0.2">
      <c r="B45" s="25" t="s">
        <v>89</v>
      </c>
      <c r="C45" s="25"/>
      <c r="D45" s="25"/>
      <c r="E45" s="25"/>
      <c r="F45" s="26">
        <v>1062.49</v>
      </c>
      <c r="G45" s="26">
        <v>2.62</v>
      </c>
      <c r="H45" s="26"/>
      <c r="I45" s="29"/>
      <c r="K45" s="4"/>
      <c r="L45" s="4"/>
      <c r="M45" s="4"/>
    </row>
    <row r="46" spans="2:13" x14ac:dyDescent="0.2">
      <c r="B46" s="35" t="s">
        <v>67</v>
      </c>
      <c r="C46" s="35"/>
      <c r="D46" s="35"/>
      <c r="E46" s="35"/>
      <c r="F46" s="36">
        <f>SUM(F44:F45)</f>
        <v>1062.49</v>
      </c>
      <c r="G46" s="36">
        <f>SUM(G44:G45)</f>
        <v>2.62</v>
      </c>
      <c r="H46" s="37"/>
      <c r="I46" s="29"/>
      <c r="K46" s="4"/>
      <c r="L46" s="4"/>
      <c r="M46" s="4"/>
    </row>
    <row r="47" spans="2:13" x14ac:dyDescent="0.2">
      <c r="B47" s="46" t="s">
        <v>68</v>
      </c>
      <c r="C47" s="46"/>
      <c r="D47" s="46"/>
      <c r="E47" s="46"/>
      <c r="F47" s="47">
        <f>F46</f>
        <v>1062.49</v>
      </c>
      <c r="G47" s="47">
        <f>G46</f>
        <v>2.62</v>
      </c>
      <c r="H47" s="47"/>
      <c r="I47" s="29"/>
      <c r="K47" s="4"/>
      <c r="L47" s="4"/>
      <c r="M47" s="4"/>
    </row>
    <row r="48" spans="2:13" x14ac:dyDescent="0.2">
      <c r="B48" s="48" t="s">
        <v>90</v>
      </c>
      <c r="C48" s="48"/>
      <c r="D48" s="48"/>
      <c r="E48" s="48"/>
      <c r="F48" s="49">
        <f>F49-(+F27+F35+F40+F43+F47)</f>
        <v>1122.8199999999997</v>
      </c>
      <c r="G48" s="49">
        <f>G49-(+G27+G35+G40+G43+G47)</f>
        <v>2.7600000000000051</v>
      </c>
      <c r="H48" s="49"/>
      <c r="I48" s="29"/>
      <c r="K48" s="4"/>
      <c r="L48" s="4"/>
      <c r="M48" s="4"/>
    </row>
    <row r="49" spans="2:13" x14ac:dyDescent="0.2">
      <c r="B49" s="48" t="s">
        <v>91</v>
      </c>
      <c r="C49" s="48"/>
      <c r="D49" s="48"/>
      <c r="E49" s="48"/>
      <c r="F49" s="49">
        <v>40551.56</v>
      </c>
      <c r="G49" s="49">
        <v>100</v>
      </c>
      <c r="H49" s="49"/>
      <c r="I49" s="29"/>
      <c r="K49" s="4"/>
      <c r="L49" s="4"/>
      <c r="M49" s="4"/>
    </row>
    <row r="50" spans="2:13" x14ac:dyDescent="0.2">
      <c r="I50" s="29"/>
      <c r="K50" s="4"/>
      <c r="L50" s="4"/>
      <c r="M50" s="4"/>
    </row>
    <row r="51" spans="2:13" x14ac:dyDescent="0.2">
      <c r="B51" s="50" t="s">
        <v>92</v>
      </c>
      <c r="I51" s="29"/>
      <c r="K51" s="4"/>
      <c r="L51" s="4"/>
      <c r="M51" s="4"/>
    </row>
    <row r="52" spans="2:13" x14ac:dyDescent="0.2">
      <c r="B52" s="50" t="s">
        <v>93</v>
      </c>
      <c r="I52" s="29"/>
      <c r="K52" s="4"/>
      <c r="L52" s="4"/>
      <c r="M52" s="4"/>
    </row>
    <row r="53" spans="2:13" ht="12.75" thickBot="1" x14ac:dyDescent="0.25">
      <c r="I53" s="29"/>
      <c r="K53" s="4"/>
      <c r="L53" s="4"/>
      <c r="M53" s="4"/>
    </row>
    <row r="54" spans="2:13" ht="13.5" thickTop="1" thickBot="1" x14ac:dyDescent="0.25">
      <c r="B54" s="51" t="s">
        <v>94</v>
      </c>
      <c r="C54" s="52">
        <v>2.7385000000000002</v>
      </c>
      <c r="I54" s="29"/>
      <c r="K54" s="4"/>
      <c r="L54" s="4"/>
      <c r="M54" s="4"/>
    </row>
    <row r="55" spans="2:13" ht="13.5" thickTop="1" thickBot="1" x14ac:dyDescent="0.25">
      <c r="I55" s="29"/>
      <c r="K55" s="4"/>
      <c r="L55" s="4"/>
      <c r="M55" s="4"/>
    </row>
    <row r="56" spans="2:13" ht="13.5" thickTop="1" thickBot="1" x14ac:dyDescent="0.25">
      <c r="B56" s="51" t="s">
        <v>95</v>
      </c>
      <c r="C56" s="53">
        <v>7.5600000000000001E-2</v>
      </c>
      <c r="I56" s="29"/>
      <c r="K56" s="4"/>
      <c r="L56" s="4"/>
      <c r="M56" s="4"/>
    </row>
    <row r="57" spans="2:13" ht="13.5" thickTop="1" thickBot="1" x14ac:dyDescent="0.25">
      <c r="I57" s="29"/>
      <c r="K57" s="4"/>
      <c r="L57" s="4"/>
      <c r="M57" s="4"/>
    </row>
    <row r="58" spans="2:13" ht="13.5" thickTop="1" thickBot="1" x14ac:dyDescent="0.25">
      <c r="B58" s="51" t="s">
        <v>96</v>
      </c>
      <c r="C58" s="52">
        <v>2.9018000000000002</v>
      </c>
      <c r="I58" s="29"/>
      <c r="K58" s="4"/>
      <c r="L58" s="4"/>
      <c r="M58" s="4"/>
    </row>
    <row r="59" spans="2:13" ht="12.75" thickTop="1" x14ac:dyDescent="0.2">
      <c r="I59" s="29"/>
      <c r="K59" s="4"/>
      <c r="L59" s="4"/>
      <c r="M59" s="4"/>
    </row>
    <row r="60" spans="2:13" x14ac:dyDescent="0.2">
      <c r="I60" s="29"/>
      <c r="K60" s="4"/>
      <c r="L60" s="4"/>
      <c r="M60" s="4"/>
    </row>
    <row r="61" spans="2:13" x14ac:dyDescent="0.2">
      <c r="I61" s="29"/>
      <c r="K61" s="4"/>
      <c r="L61" s="4"/>
      <c r="M61" s="4"/>
    </row>
    <row r="62" spans="2:13" x14ac:dyDescent="0.2">
      <c r="I62" s="29"/>
      <c r="K62" s="4"/>
      <c r="L62" s="4"/>
      <c r="M62" s="4"/>
    </row>
    <row r="63" spans="2:13" x14ac:dyDescent="0.2">
      <c r="I63" s="29"/>
      <c r="K63" s="4"/>
      <c r="L63" s="4"/>
      <c r="M63" s="4"/>
    </row>
    <row r="64" spans="2:13" x14ac:dyDescent="0.2">
      <c r="I64" s="29"/>
      <c r="K64" s="4"/>
      <c r="L64" s="4"/>
      <c r="M64" s="4"/>
    </row>
    <row r="65" spans="9:13" x14ac:dyDescent="0.2">
      <c r="I65" s="29"/>
      <c r="K65" s="4"/>
      <c r="L65" s="4"/>
      <c r="M65" s="4"/>
    </row>
    <row r="66" spans="9:13" x14ac:dyDescent="0.2">
      <c r="I66" s="29"/>
      <c r="K66" s="4"/>
      <c r="L66" s="4"/>
      <c r="M66" s="4"/>
    </row>
    <row r="67" spans="9:13" x14ac:dyDescent="0.2">
      <c r="I67" s="29"/>
      <c r="K67" s="4"/>
      <c r="L67" s="4"/>
      <c r="M67" s="4"/>
    </row>
    <row r="68" spans="9:13" x14ac:dyDescent="0.2">
      <c r="I68" s="29"/>
      <c r="K68" s="4"/>
      <c r="L68" s="4"/>
      <c r="M68" s="4"/>
    </row>
    <row r="69" spans="9:13" x14ac:dyDescent="0.2">
      <c r="I69" s="29"/>
      <c r="K69" s="4"/>
      <c r="L69" s="4"/>
      <c r="M69" s="4"/>
    </row>
    <row r="70" spans="9:13" x14ac:dyDescent="0.2">
      <c r="I70" s="29"/>
      <c r="K70" s="4"/>
      <c r="L70" s="4"/>
      <c r="M70" s="4"/>
    </row>
    <row r="71" spans="9:13" x14ac:dyDescent="0.2">
      <c r="I71" s="29"/>
      <c r="K71" s="4"/>
      <c r="L71" s="4"/>
      <c r="M71" s="4"/>
    </row>
    <row r="72" spans="9:13" x14ac:dyDescent="0.2">
      <c r="I72" s="29"/>
      <c r="K72" s="4"/>
      <c r="L72" s="4"/>
      <c r="M72" s="4"/>
    </row>
    <row r="73" spans="9:13" x14ac:dyDescent="0.2">
      <c r="I73" s="29"/>
      <c r="K73" s="4"/>
      <c r="L73" s="4"/>
      <c r="M73" s="4"/>
    </row>
    <row r="74" spans="9:13" x14ac:dyDescent="0.2">
      <c r="I74" s="29"/>
      <c r="K74" s="4"/>
      <c r="L74" s="4"/>
      <c r="M74" s="4"/>
    </row>
    <row r="75" spans="9:13" x14ac:dyDescent="0.2">
      <c r="I75" s="29"/>
      <c r="K75" s="4"/>
      <c r="L75" s="4"/>
      <c r="M75" s="4"/>
    </row>
    <row r="76" spans="9:13" x14ac:dyDescent="0.2">
      <c r="I76" s="29"/>
      <c r="K76" s="4"/>
      <c r="L76" s="4"/>
      <c r="M76" s="4"/>
    </row>
    <row r="77" spans="9:13" x14ac:dyDescent="0.2">
      <c r="I77" s="29"/>
      <c r="K77" s="4"/>
      <c r="L77" s="4"/>
      <c r="M77" s="4"/>
    </row>
    <row r="78" spans="9:13" x14ac:dyDescent="0.2">
      <c r="I78" s="29"/>
      <c r="K78" s="4"/>
      <c r="L78" s="4"/>
      <c r="M78" s="4"/>
    </row>
    <row r="79" spans="9:13" x14ac:dyDescent="0.2">
      <c r="I79" s="29"/>
      <c r="K79" s="4"/>
      <c r="L79" s="4"/>
      <c r="M79" s="4"/>
    </row>
    <row r="80" spans="9:13" x14ac:dyDescent="0.2">
      <c r="I80" s="29"/>
      <c r="K80" s="4"/>
      <c r="L80" s="4"/>
      <c r="M80" s="4"/>
    </row>
    <row r="81" spans="9:13" x14ac:dyDescent="0.2">
      <c r="I81" s="29"/>
      <c r="K81" s="4"/>
      <c r="L81" s="4"/>
      <c r="M81" s="4"/>
    </row>
    <row r="82" spans="9:13" x14ac:dyDescent="0.2">
      <c r="I82" s="29"/>
      <c r="K82" s="4"/>
      <c r="L82" s="4"/>
      <c r="M82" s="4"/>
    </row>
    <row r="83" spans="9:13" x14ac:dyDescent="0.2">
      <c r="I83" s="29"/>
      <c r="K83" s="4"/>
      <c r="L83" s="4"/>
      <c r="M83" s="4"/>
    </row>
    <row r="84" spans="9:13" x14ac:dyDescent="0.2">
      <c r="I84" s="29"/>
    </row>
    <row r="85" spans="9:13" x14ac:dyDescent="0.2">
      <c r="I85" s="29"/>
    </row>
    <row r="86" spans="9:13" x14ac:dyDescent="0.2">
      <c r="I86" s="29"/>
    </row>
    <row r="87" spans="9:13" x14ac:dyDescent="0.2">
      <c r="I87" s="29"/>
    </row>
    <row r="88" spans="9:13" x14ac:dyDescent="0.2">
      <c r="I88" s="29"/>
    </row>
    <row r="89" spans="9:13" x14ac:dyDescent="0.2">
      <c r="I89" s="29"/>
    </row>
    <row r="90" spans="9:13" x14ac:dyDescent="0.2">
      <c r="I90" s="29"/>
    </row>
    <row r="91" spans="9:13" x14ac:dyDescent="0.2">
      <c r="I91" s="29"/>
    </row>
    <row r="92" spans="9:13" x14ac:dyDescent="0.2">
      <c r="I92" s="29"/>
    </row>
    <row r="93" spans="9:13" x14ac:dyDescent="0.2">
      <c r="I93" s="29"/>
    </row>
    <row r="94" spans="9:13" x14ac:dyDescent="0.2">
      <c r="I94" s="29"/>
    </row>
    <row r="95" spans="9:13" x14ac:dyDescent="0.2">
      <c r="I95" s="29"/>
    </row>
    <row r="96" spans="9:13" x14ac:dyDescent="0.2">
      <c r="I96" s="29"/>
    </row>
    <row r="97" spans="9:9" x14ac:dyDescent="0.2">
      <c r="I97" s="29"/>
    </row>
    <row r="98" spans="9:9" x14ac:dyDescent="0.2">
      <c r="I98" s="29"/>
    </row>
    <row r="99" spans="9:9" x14ac:dyDescent="0.2">
      <c r="I99" s="29"/>
    </row>
    <row r="100" spans="9:9" x14ac:dyDescent="0.2">
      <c r="I100" s="29"/>
    </row>
    <row r="101" spans="9:9" x14ac:dyDescent="0.2">
      <c r="I101" s="29"/>
    </row>
    <row r="102" spans="9:9" x14ac:dyDescent="0.2">
      <c r="I102" s="29"/>
    </row>
    <row r="103" spans="9:9" x14ac:dyDescent="0.2">
      <c r="I103" s="29"/>
    </row>
    <row r="104" spans="9:9" x14ac:dyDescent="0.2">
      <c r="I104" s="29"/>
    </row>
    <row r="105" spans="9:9" x14ac:dyDescent="0.2">
      <c r="I105" s="29"/>
    </row>
    <row r="106" spans="9:9" x14ac:dyDescent="0.2">
      <c r="I106" s="29"/>
    </row>
    <row r="107" spans="9:9" x14ac:dyDescent="0.2">
      <c r="I107" s="29"/>
    </row>
    <row r="108" spans="9:9" x14ac:dyDescent="0.2">
      <c r="I108" s="29"/>
    </row>
    <row r="109" spans="9:9" x14ac:dyDescent="0.2">
      <c r="I109" s="29"/>
    </row>
    <row r="110" spans="9:9" x14ac:dyDescent="0.2">
      <c r="I110" s="29"/>
    </row>
    <row r="111" spans="9:9" x14ac:dyDescent="0.2">
      <c r="I111" s="29"/>
    </row>
    <row r="112" spans="9:9" x14ac:dyDescent="0.2">
      <c r="I112" s="29"/>
    </row>
    <row r="113" spans="9:9" x14ac:dyDescent="0.2">
      <c r="I113" s="29"/>
    </row>
    <row r="114" spans="9:9" x14ac:dyDescent="0.2">
      <c r="I114" s="29"/>
    </row>
    <row r="115" spans="9:9" x14ac:dyDescent="0.2">
      <c r="I115" s="29"/>
    </row>
    <row r="116" spans="9:9" x14ac:dyDescent="0.2">
      <c r="I116" s="29"/>
    </row>
    <row r="117" spans="9:9" x14ac:dyDescent="0.2">
      <c r="I117" s="29"/>
    </row>
    <row r="118" spans="9:9" x14ac:dyDescent="0.2">
      <c r="I118" s="29"/>
    </row>
    <row r="119" spans="9:9" x14ac:dyDescent="0.2">
      <c r="I119" s="29"/>
    </row>
    <row r="120" spans="9:9" x14ac:dyDescent="0.2">
      <c r="I120" s="29"/>
    </row>
    <row r="121" spans="9:9" x14ac:dyDescent="0.2">
      <c r="I121" s="29"/>
    </row>
    <row r="122" spans="9:9" x14ac:dyDescent="0.2">
      <c r="I122" s="29"/>
    </row>
    <row r="123" spans="9:9" x14ac:dyDescent="0.2">
      <c r="I123" s="29"/>
    </row>
    <row r="124" spans="9:9" x14ac:dyDescent="0.2">
      <c r="I124" s="29"/>
    </row>
    <row r="125" spans="9:9" x14ac:dyDescent="0.2">
      <c r="I125" s="29"/>
    </row>
    <row r="126" spans="9:9" x14ac:dyDescent="0.2">
      <c r="I126" s="29"/>
    </row>
    <row r="127" spans="9:9" x14ac:dyDescent="0.2">
      <c r="I127" s="29"/>
    </row>
    <row r="128" spans="9:9" x14ac:dyDescent="0.2">
      <c r="I128" s="29"/>
    </row>
    <row r="129" spans="9:9" x14ac:dyDescent="0.2">
      <c r="I129" s="29"/>
    </row>
    <row r="130" spans="9:9" x14ac:dyDescent="0.2">
      <c r="I130" s="29"/>
    </row>
    <row r="131" spans="9:9" x14ac:dyDescent="0.2">
      <c r="I131" s="29"/>
    </row>
    <row r="132" spans="9:9" x14ac:dyDescent="0.2">
      <c r="I132" s="29"/>
    </row>
    <row r="133" spans="9:9" x14ac:dyDescent="0.2">
      <c r="I133" s="29"/>
    </row>
    <row r="134" spans="9:9" x14ac:dyDescent="0.2">
      <c r="I134" s="29"/>
    </row>
    <row r="135" spans="9:9" x14ac:dyDescent="0.2">
      <c r="I135" s="29"/>
    </row>
    <row r="136" spans="9:9" x14ac:dyDescent="0.2">
      <c r="I136" s="29"/>
    </row>
    <row r="137" spans="9:9" x14ac:dyDescent="0.2">
      <c r="I137" s="29"/>
    </row>
    <row r="138" spans="9:9" x14ac:dyDescent="0.2">
      <c r="I138" s="29"/>
    </row>
    <row r="139" spans="9:9" x14ac:dyDescent="0.2">
      <c r="I139" s="29"/>
    </row>
    <row r="140" spans="9:9" x14ac:dyDescent="0.2">
      <c r="I140" s="29"/>
    </row>
    <row r="141" spans="9:9" x14ac:dyDescent="0.2">
      <c r="I141" s="29"/>
    </row>
    <row r="142" spans="9:9" x14ac:dyDescent="0.2">
      <c r="I142" s="29"/>
    </row>
    <row r="143" spans="9:9" x14ac:dyDescent="0.2">
      <c r="I143" s="29"/>
    </row>
    <row r="144" spans="9:9" x14ac:dyDescent="0.2">
      <c r="I144" s="29"/>
    </row>
    <row r="145" spans="9:9" x14ac:dyDescent="0.2">
      <c r="I145" s="29"/>
    </row>
    <row r="146" spans="9:9" x14ac:dyDescent="0.2">
      <c r="I146" s="29"/>
    </row>
    <row r="147" spans="9:9" x14ac:dyDescent="0.2">
      <c r="I147" s="29"/>
    </row>
    <row r="148" spans="9:9" x14ac:dyDescent="0.2">
      <c r="I148" s="29"/>
    </row>
    <row r="149" spans="9:9" x14ac:dyDescent="0.2">
      <c r="I149" s="29"/>
    </row>
    <row r="150" spans="9:9" x14ac:dyDescent="0.2">
      <c r="I150" s="29"/>
    </row>
    <row r="151" spans="9:9" x14ac:dyDescent="0.2">
      <c r="I151" s="29"/>
    </row>
    <row r="152" spans="9:9" x14ac:dyDescent="0.2">
      <c r="I152" s="29"/>
    </row>
    <row r="153" spans="9:9" x14ac:dyDescent="0.2">
      <c r="I153" s="29"/>
    </row>
    <row r="154" spans="9:9" x14ac:dyDescent="0.2">
      <c r="I154" s="29"/>
    </row>
    <row r="155" spans="9:9" x14ac:dyDescent="0.2">
      <c r="I155" s="29"/>
    </row>
    <row r="156" spans="9:9" x14ac:dyDescent="0.2">
      <c r="I156" s="29"/>
    </row>
    <row r="157" spans="9:9" x14ac:dyDescent="0.2">
      <c r="I157" s="29"/>
    </row>
    <row r="158" spans="9:9" x14ac:dyDescent="0.2">
      <c r="I158" s="29"/>
    </row>
    <row r="159" spans="9:9" x14ac:dyDescent="0.2">
      <c r="I159" s="29"/>
    </row>
    <row r="160" spans="9:9" x14ac:dyDescent="0.2">
      <c r="I160" s="29"/>
    </row>
    <row r="161" spans="9:9" x14ac:dyDescent="0.2">
      <c r="I161" s="29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10:54:19</KDate>
  <Classification>Public</Classification>
  <Subclassification/>
  <HostName>MUMCMP00935</HostName>
  <Domain_User>CANARAROBECOMF/628</Domain_User>
  <IPAdd>192.9.198.194</IPAdd>
  <FilePath>Book24</FilePath>
  <KID>C025A5607E97638479112591480171</KID>
  <UniqueName/>
  <Suggested/>
  <Justification/>
</Klassify>
</file>

<file path=customXml/itemProps1.xml><?xml version="1.0" encoding="utf-8"?>
<ds:datastoreItem xmlns:ds="http://schemas.openxmlformats.org/officeDocument/2006/customXml" ds:itemID="{CCA4A646-11ED-47AE-BA0A-5462546A4A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2024-04-05T05:24:15Z</dcterms:created>
  <dcterms:modified xsi:type="dcterms:W3CDTF">2024-04-05T05:24:19Z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C025A5607E97638479112591480171</vt:lpwstr>
  </property>
</Properties>
</file>