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62378290-6DBC-4886-9BDC-8D8649DF912A}" xr6:coauthVersionLast="47" xr6:coauthVersionMax="47" xr10:uidLastSave="{00000000-0000-0000-0000-000000000000}"/>
  <bookViews>
    <workbookView xWindow="-120" yWindow="-120" windowWidth="20730" windowHeight="11160" xr2:uid="{121DA3B2-6A93-47FD-BD60-849EBBC17D3E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G53" i="1" s="1"/>
  <c r="F52" i="1"/>
  <c r="F53" i="1" s="1"/>
  <c r="G48" i="1"/>
  <c r="G49" i="1" s="1"/>
  <c r="F48" i="1"/>
  <c r="F49" i="1" s="1"/>
  <c r="F54" i="1" s="1"/>
  <c r="G54" i="1" l="1"/>
</calcChain>
</file>

<file path=xl/sharedStrings.xml><?xml version="1.0" encoding="utf-8"?>
<sst xmlns="http://schemas.openxmlformats.org/spreadsheetml/2006/main" count="189" uniqueCount="126">
  <si>
    <t>CANARA ROBECO CONSUMER TRENDS FUND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</si>
  <si>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</si>
  <si>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</si>
  <si>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</si>
  <si>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</si>
  <si>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</si>
  <si>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</si>
  <si>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</si>
  <si>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</si>
  <si>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Jun'23</t>
  </si>
  <si>
    <t>Benchmark Risk-o-meter Level- Jun'23</t>
  </si>
  <si>
    <t>Scheme Risk-o-meter Level- May'23</t>
  </si>
  <si>
    <t>Equity &amp; Equity related</t>
  </si>
  <si>
    <t>(a) Listed / awaiting listing on Stock Exchanges</t>
  </si>
  <si>
    <t>ITC Ltd</t>
  </si>
  <si>
    <t>INE154A01025</t>
  </si>
  <si>
    <t>Diversified Fmcg</t>
  </si>
  <si>
    <t>Large Cap</t>
  </si>
  <si>
    <t>Hindustan Unilever Ltd</t>
  </si>
  <si>
    <t>INE030A01027</t>
  </si>
  <si>
    <t>Bharti Airtel Ltd</t>
  </si>
  <si>
    <t>INE397D01024</t>
  </si>
  <si>
    <t>Telecom - Services</t>
  </si>
  <si>
    <t>Axis Bank Ltd</t>
  </si>
  <si>
    <t>INE238A01034</t>
  </si>
  <si>
    <t>Banks</t>
  </si>
  <si>
    <t>Titan Co Ltd</t>
  </si>
  <si>
    <t>INE280A01028</t>
  </si>
  <si>
    <t>Consumer Durables</t>
  </si>
  <si>
    <t>Bajaj Finance Ltd</t>
  </si>
  <si>
    <t>INE296A01024</t>
  </si>
  <si>
    <t>Finance</t>
  </si>
  <si>
    <t>Godrej Consumer Products Ltd</t>
  </si>
  <si>
    <t>INE102D01028</t>
  </si>
  <si>
    <t>Personal Products</t>
  </si>
  <si>
    <t>Benchmark: S&amp;P BSE 100 TRI</t>
  </si>
  <si>
    <t>HDFC Bank Ltd</t>
  </si>
  <si>
    <t>INE040A01034</t>
  </si>
  <si>
    <t>Trent Ltd</t>
  </si>
  <si>
    <t>INE849A01020</t>
  </si>
  <si>
    <t>Retailing</t>
  </si>
  <si>
    <t>ICICI Bank Ltd</t>
  </si>
  <si>
    <t>INE090A01021</t>
  </si>
  <si>
    <t>IndusInd Bank Ltd</t>
  </si>
  <si>
    <t>INE095A01012</t>
  </si>
  <si>
    <t>State Bank of India</t>
  </si>
  <si>
    <t>INE062A01020</t>
  </si>
  <si>
    <t>KEI Industries Ltd</t>
  </si>
  <si>
    <t>INE878B01027</t>
  </si>
  <si>
    <t>Industrial Products</t>
  </si>
  <si>
    <t>Small Cap</t>
  </si>
  <si>
    <t>Maruti Suzuki India Ltd</t>
  </si>
  <si>
    <t>INE585B01010</t>
  </si>
  <si>
    <t>Automobiles</t>
  </si>
  <si>
    <t>United Spirits Ltd</t>
  </si>
  <si>
    <t>INE854D01024</t>
  </si>
  <si>
    <t>Beverages</t>
  </si>
  <si>
    <t>Bata India Ltd</t>
  </si>
  <si>
    <t>INE176A01028</t>
  </si>
  <si>
    <t>Mid Cap</t>
  </si>
  <si>
    <t>SBI Cards and Payment Services Ltd</t>
  </si>
  <si>
    <t>INE018E01016</t>
  </si>
  <si>
    <t>Tata Motors Ltd</t>
  </si>
  <si>
    <t>INE155A01022</t>
  </si>
  <si>
    <t>J.B. Chemicals &amp; Pharmaceuticals Ltd</t>
  </si>
  <si>
    <t>INE572A01028</t>
  </si>
  <si>
    <t>Pharmaceuticals &amp; Biotechnology</t>
  </si>
  <si>
    <t>ICICI Lombard General Insurance Co Ltd</t>
  </si>
  <si>
    <t>INE765G01017</t>
  </si>
  <si>
    <t>Insurance</t>
  </si>
  <si>
    <t>United Breweries Ltd</t>
  </si>
  <si>
    <t>INE686F01025</t>
  </si>
  <si>
    <t>Indian Hotels Co Ltd</t>
  </si>
  <si>
    <t>INE053A01029</t>
  </si>
  <si>
    <t>Leisure Services</t>
  </si>
  <si>
    <t>Tata Consumer Products Ltd</t>
  </si>
  <si>
    <t>INE192A01025</t>
  </si>
  <si>
    <t>Agricultural Food &amp; Other Products</t>
  </si>
  <si>
    <t>Westlife Foodworld Ltd</t>
  </si>
  <si>
    <t>INE274F01020</t>
  </si>
  <si>
    <t>Dabur India Ltd</t>
  </si>
  <si>
    <t>INE016A01026</t>
  </si>
  <si>
    <t>Interglobe Aviation Ltd</t>
  </si>
  <si>
    <t>INE646L01027</t>
  </si>
  <si>
    <t>Transport Services</t>
  </si>
  <si>
    <t>Varun Beverages Ltd</t>
  </si>
  <si>
    <t>INE200M01021</t>
  </si>
  <si>
    <t>Vedant Fashions Ltd</t>
  </si>
  <si>
    <t>INE825V01034</t>
  </si>
  <si>
    <t>Havells India Ltd</t>
  </si>
  <si>
    <t>INE176B01034</t>
  </si>
  <si>
    <t>Samvardhana Motherson International Ltd</t>
  </si>
  <si>
    <t>INE775A01035</t>
  </si>
  <si>
    <t>Auto Components</t>
  </si>
  <si>
    <t>Page Industries Ltd</t>
  </si>
  <si>
    <t>INE761H01022</t>
  </si>
  <si>
    <t>Textiles &amp; Apparels</t>
  </si>
  <si>
    <t>Apollo Hospitals Enterprise Ltd</t>
  </si>
  <si>
    <t>INE437A01024</t>
  </si>
  <si>
    <t>Healthcare Services</t>
  </si>
  <si>
    <t>SBI Life Insurance Co Ltd</t>
  </si>
  <si>
    <t>INE123W01016</t>
  </si>
  <si>
    <t>Ashok Leyland Ltd</t>
  </si>
  <si>
    <t>INE208A01029</t>
  </si>
  <si>
    <t>Agricultural, Commercial &amp; Construction Vehicles</t>
  </si>
  <si>
    <t>Blue Dart Express Ltd</t>
  </si>
  <si>
    <t>INE233B01017</t>
  </si>
  <si>
    <t>Federal Bank Ltd</t>
  </si>
  <si>
    <t>INE171A01029</t>
  </si>
  <si>
    <t>Avenue Supermarts Ltd</t>
  </si>
  <si>
    <t>INE192R01011</t>
  </si>
  <si>
    <t>Voltas Ltd</t>
  </si>
  <si>
    <t>INE226A01021</t>
  </si>
  <si>
    <t>Kansai Nerolac Paints Ltd</t>
  </si>
  <si>
    <t>INE531A01024</t>
  </si>
  <si>
    <t>City Union Bank Ltd</t>
  </si>
  <si>
    <t>INE491A01021</t>
  </si>
  <si>
    <t>Uno Minda Ltd</t>
  </si>
  <si>
    <t>INE405E01023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</si>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</sst>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0" fontId="3" fillId="3" borderId="22" xfId="0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4" fontId="3" fillId="3" borderId="0" xfId="0" applyNumberFormat="1" applyFont="1" applyFill="1"/>
    <xf numFmtId="0" fontId="10" fillId="4" borderId="25" xfId="0" applyFont="1" applyFill="1" applyBorder="1"/>
    <xf numFmtId="164" fontId="9" fillId="3" borderId="26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74408</xdr:colOff>
      <xdr:row>4</xdr:row>
      <xdr:rowOff>48836</xdr:rowOff>
    </xdr:from>
    <xdr:to>
      <xdr:col>10</xdr:col>
      <xdr:colOff>1962150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251F6C-5A50-487D-B3EA-CA8521063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0833" y="1039436"/>
          <a:ext cx="1887742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98198</xdr:colOff>
      <xdr:row>4</xdr:row>
      <xdr:rowOff>51513</xdr:rowOff>
    </xdr:from>
    <xdr:to>
      <xdr:col>9</xdr:col>
      <xdr:colOff>2047875</xdr:colOff>
      <xdr:row>11</xdr:row>
      <xdr:rowOff>83979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B1A7CF-BA67-40E1-9805-C5298AD97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99598" y="1042113"/>
          <a:ext cx="1949677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93E7CF8D-4ED9-40A3-8D59-8D6C2B2C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134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625C-F276-4804-837F-C8AC75F8B4B8}">
  <dimension ref="B1:L58"/>
  <sheetViews>
    <sheetView tabSelected="1" workbookViewId="0">
      <selection activeCell="H33" sqref="H33"/>
    </sheetView>
  </sheetViews>
  <sheetFormatPr defaultRowHeight="12" x14ac:dyDescent="0.2"/>
  <cols>
    <col min="1" max="1" width="9.140625" style="4"/>
    <col min="2" max="2" width="55" style="4" bestFit="1" customWidth="1"/>
    <col min="3" max="3" width="13.5703125" style="4" bestFit="1" customWidth="1"/>
    <col min="4" max="4" width="40.42578125" style="4" bestFit="1" customWidth="1"/>
    <col min="5" max="5" width="8.85546875" style="4" bestFit="1" customWidth="1"/>
    <col min="6" max="6" width="15.28515625" style="44" bestFit="1" customWidth="1"/>
    <col min="7" max="7" width="7.42578125" style="44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4" customWidth="1"/>
    <col min="13" max="16384" width="9.140625" style="4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5" t="s">
        <v>1</v>
      </c>
      <c r="C3" s="6"/>
      <c r="D3" s="7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 x14ac:dyDescent="0.2">
      <c r="B5" s="14" t="s">
        <v>12</v>
      </c>
      <c r="C5" s="15"/>
      <c r="D5" s="15"/>
      <c r="E5" s="15"/>
      <c r="F5" s="16"/>
      <c r="G5" s="16"/>
      <c r="H5" s="16"/>
      <c r="J5" s="17"/>
      <c r="K5" s="18"/>
      <c r="L5" s="19"/>
    </row>
    <row r="6" spans="2:12" x14ac:dyDescent="0.2">
      <c r="B6" s="20" t="s">
        <v>13</v>
      </c>
      <c r="C6" s="21"/>
      <c r="D6" s="21"/>
      <c r="E6" s="21"/>
      <c r="F6" s="22"/>
      <c r="G6" s="22"/>
      <c r="H6" s="22"/>
      <c r="J6" s="23"/>
      <c r="K6" s="24"/>
      <c r="L6" s="25"/>
    </row>
    <row r="7" spans="2:12" x14ac:dyDescent="0.2">
      <c r="B7" s="26" t="s">
        <v>14</v>
      </c>
      <c r="C7" s="21" t="s">
        <v>15</v>
      </c>
      <c r="D7" s="21" t="s">
        <v>16</v>
      </c>
      <c r="E7" s="27">
        <v>1600000</v>
      </c>
      <c r="F7" s="22">
        <v>7225.6</v>
      </c>
      <c r="G7" s="22">
        <v>6.48</v>
      </c>
      <c r="H7" s="22" t="s">
        <v>17</v>
      </c>
      <c r="J7" s="23"/>
      <c r="K7" s="24"/>
      <c r="L7" s="25"/>
    </row>
    <row r="8" spans="2:12" x14ac:dyDescent="0.2">
      <c r="B8" s="26" t="s">
        <v>18</v>
      </c>
      <c r="C8" s="21" t="s">
        <v>19</v>
      </c>
      <c r="D8" s="21" t="s">
        <v>16</v>
      </c>
      <c r="E8" s="27">
        <v>195000</v>
      </c>
      <c r="F8" s="22">
        <v>5222.3900000000003</v>
      </c>
      <c r="G8" s="22">
        <v>4.68</v>
      </c>
      <c r="H8" s="22" t="s">
        <v>17</v>
      </c>
      <c r="J8" s="23"/>
      <c r="K8" s="24"/>
      <c r="L8" s="25"/>
    </row>
    <row r="9" spans="2:12" x14ac:dyDescent="0.2">
      <c r="B9" s="26" t="s">
        <v>20</v>
      </c>
      <c r="C9" s="21" t="s">
        <v>21</v>
      </c>
      <c r="D9" s="21" t="s">
        <v>22</v>
      </c>
      <c r="E9" s="27">
        <v>535000</v>
      </c>
      <c r="F9" s="22">
        <v>4701.3100000000004</v>
      </c>
      <c r="G9" s="22">
        <v>4.22</v>
      </c>
      <c r="H9" s="22" t="s">
        <v>17</v>
      </c>
      <c r="J9" s="23"/>
      <c r="K9" s="24"/>
      <c r="L9" s="25"/>
    </row>
    <row r="10" spans="2:12" x14ac:dyDescent="0.2">
      <c r="B10" s="26" t="s">
        <v>23</v>
      </c>
      <c r="C10" s="21" t="s">
        <v>24</v>
      </c>
      <c r="D10" s="21" t="s">
        <v>25</v>
      </c>
      <c r="E10" s="27">
        <v>446000</v>
      </c>
      <c r="F10" s="22">
        <v>4404.03</v>
      </c>
      <c r="G10" s="22">
        <v>3.95</v>
      </c>
      <c r="H10" s="22" t="s">
        <v>17</v>
      </c>
      <c r="J10" s="23"/>
      <c r="K10" s="24"/>
      <c r="L10" s="25"/>
    </row>
    <row r="11" spans="2:12" x14ac:dyDescent="0.2">
      <c r="B11" s="26" t="s">
        <v>26</v>
      </c>
      <c r="C11" s="21" t="s">
        <v>27</v>
      </c>
      <c r="D11" s="21" t="s">
        <v>28</v>
      </c>
      <c r="E11" s="27">
        <v>135000</v>
      </c>
      <c r="F11" s="22">
        <v>4114.33</v>
      </c>
      <c r="G11" s="22">
        <v>3.69</v>
      </c>
      <c r="H11" s="22" t="s">
        <v>17</v>
      </c>
      <c r="J11" s="23"/>
      <c r="K11" s="24"/>
      <c r="L11" s="25"/>
    </row>
    <row r="12" spans="2:12" x14ac:dyDescent="0.2">
      <c r="B12" s="26" t="s">
        <v>29</v>
      </c>
      <c r="C12" s="21" t="s">
        <v>30</v>
      </c>
      <c r="D12" s="21" t="s">
        <v>31</v>
      </c>
      <c r="E12" s="27">
        <v>50000</v>
      </c>
      <c r="F12" s="22">
        <v>3580.3</v>
      </c>
      <c r="G12" s="22">
        <v>3.21</v>
      </c>
      <c r="H12" s="22" t="s">
        <v>17</v>
      </c>
      <c r="J12" s="28"/>
      <c r="K12" s="29"/>
      <c r="L12" s="30"/>
    </row>
    <row r="13" spans="2:12" x14ac:dyDescent="0.2">
      <c r="B13" s="26" t="s">
        <v>32</v>
      </c>
      <c r="C13" s="21" t="s">
        <v>33</v>
      </c>
      <c r="D13" s="21" t="s">
        <v>34</v>
      </c>
      <c r="E13" s="27">
        <v>330000</v>
      </c>
      <c r="F13" s="22">
        <v>3567.3</v>
      </c>
      <c r="G13" s="22">
        <v>3.2</v>
      </c>
      <c r="H13" s="22" t="s">
        <v>17</v>
      </c>
      <c r="K13" s="31" t="s">
        <v>35</v>
      </c>
      <c r="L13" s="3"/>
    </row>
    <row r="14" spans="2:12" x14ac:dyDescent="0.2">
      <c r="B14" s="26" t="s">
        <v>36</v>
      </c>
      <c r="C14" s="21" t="s">
        <v>37</v>
      </c>
      <c r="D14" s="21" t="s">
        <v>25</v>
      </c>
      <c r="E14" s="27">
        <v>207000</v>
      </c>
      <c r="F14" s="22">
        <v>3521.9</v>
      </c>
      <c r="G14" s="22">
        <v>3.16</v>
      </c>
      <c r="H14" s="22" t="s">
        <v>17</v>
      </c>
    </row>
    <row r="15" spans="2:12" x14ac:dyDescent="0.2">
      <c r="B15" s="26" t="s">
        <v>38</v>
      </c>
      <c r="C15" s="21" t="s">
        <v>39</v>
      </c>
      <c r="D15" s="21" t="s">
        <v>40</v>
      </c>
      <c r="E15" s="27">
        <v>180000</v>
      </c>
      <c r="F15" s="22">
        <v>3175.47</v>
      </c>
      <c r="G15" s="22">
        <v>2.85</v>
      </c>
      <c r="H15" s="22" t="s">
        <v>17</v>
      </c>
    </row>
    <row r="16" spans="2:12" x14ac:dyDescent="0.2">
      <c r="B16" s="26" t="s">
        <v>41</v>
      </c>
      <c r="C16" s="21" t="s">
        <v>42</v>
      </c>
      <c r="D16" s="21" t="s">
        <v>25</v>
      </c>
      <c r="E16" s="27">
        <v>332000</v>
      </c>
      <c r="F16" s="22">
        <v>3102.87</v>
      </c>
      <c r="G16" s="22">
        <v>2.78</v>
      </c>
      <c r="H16" s="22" t="s">
        <v>17</v>
      </c>
    </row>
    <row r="17" spans="2:8" x14ac:dyDescent="0.2">
      <c r="B17" s="26" t="s">
        <v>43</v>
      </c>
      <c r="C17" s="21" t="s">
        <v>44</v>
      </c>
      <c r="D17" s="21" t="s">
        <v>25</v>
      </c>
      <c r="E17" s="27">
        <v>220000</v>
      </c>
      <c r="F17" s="22">
        <v>3024.23</v>
      </c>
      <c r="G17" s="22">
        <v>2.71</v>
      </c>
      <c r="H17" s="22" t="s">
        <v>17</v>
      </c>
    </row>
    <row r="18" spans="2:8" x14ac:dyDescent="0.2">
      <c r="B18" s="26" t="s">
        <v>45</v>
      </c>
      <c r="C18" s="21" t="s">
        <v>46</v>
      </c>
      <c r="D18" s="21" t="s">
        <v>25</v>
      </c>
      <c r="E18" s="27">
        <v>517000</v>
      </c>
      <c r="F18" s="22">
        <v>2961.63</v>
      </c>
      <c r="G18" s="22">
        <v>2.66</v>
      </c>
      <c r="H18" s="22" t="s">
        <v>17</v>
      </c>
    </row>
    <row r="19" spans="2:8" x14ac:dyDescent="0.2">
      <c r="B19" s="26" t="s">
        <v>47</v>
      </c>
      <c r="C19" s="21" t="s">
        <v>48</v>
      </c>
      <c r="D19" s="21" t="s">
        <v>49</v>
      </c>
      <c r="E19" s="27">
        <v>122500</v>
      </c>
      <c r="F19" s="22">
        <v>2836.61</v>
      </c>
      <c r="G19" s="22">
        <v>2.54</v>
      </c>
      <c r="H19" s="22" t="s">
        <v>50</v>
      </c>
    </row>
    <row r="20" spans="2:8" x14ac:dyDescent="0.2">
      <c r="B20" s="26" t="s">
        <v>51</v>
      </c>
      <c r="C20" s="21" t="s">
        <v>52</v>
      </c>
      <c r="D20" s="21" t="s">
        <v>53</v>
      </c>
      <c r="E20" s="27">
        <v>28500</v>
      </c>
      <c r="F20" s="22">
        <v>2789.88</v>
      </c>
      <c r="G20" s="22">
        <v>2.5</v>
      </c>
      <c r="H20" s="22" t="s">
        <v>17</v>
      </c>
    </row>
    <row r="21" spans="2:8" x14ac:dyDescent="0.2">
      <c r="B21" s="26" t="s">
        <v>54</v>
      </c>
      <c r="C21" s="21" t="s">
        <v>55</v>
      </c>
      <c r="D21" s="21" t="s">
        <v>56</v>
      </c>
      <c r="E21" s="27">
        <v>300000</v>
      </c>
      <c r="F21" s="22">
        <v>2736.6</v>
      </c>
      <c r="G21" s="22">
        <v>2.4500000000000002</v>
      </c>
      <c r="H21" s="22" t="s">
        <v>17</v>
      </c>
    </row>
    <row r="22" spans="2:8" x14ac:dyDescent="0.2">
      <c r="B22" s="26" t="s">
        <v>57</v>
      </c>
      <c r="C22" s="21" t="s">
        <v>58</v>
      </c>
      <c r="D22" s="21" t="s">
        <v>28</v>
      </c>
      <c r="E22" s="27">
        <v>160000</v>
      </c>
      <c r="F22" s="22">
        <v>2680.8</v>
      </c>
      <c r="G22" s="22">
        <v>2.4</v>
      </c>
      <c r="H22" s="22" t="s">
        <v>59</v>
      </c>
    </row>
    <row r="23" spans="2:8" x14ac:dyDescent="0.2">
      <c r="B23" s="26" t="s">
        <v>60</v>
      </c>
      <c r="C23" s="21" t="s">
        <v>61</v>
      </c>
      <c r="D23" s="21" t="s">
        <v>31</v>
      </c>
      <c r="E23" s="27">
        <v>310000</v>
      </c>
      <c r="F23" s="22">
        <v>2626.32</v>
      </c>
      <c r="G23" s="22">
        <v>2.36</v>
      </c>
      <c r="H23" s="22" t="s">
        <v>17</v>
      </c>
    </row>
    <row r="24" spans="2:8" x14ac:dyDescent="0.2">
      <c r="B24" s="26" t="s">
        <v>62</v>
      </c>
      <c r="C24" s="21" t="s">
        <v>63</v>
      </c>
      <c r="D24" s="21" t="s">
        <v>53</v>
      </c>
      <c r="E24" s="27">
        <v>440000</v>
      </c>
      <c r="F24" s="22">
        <v>2620.42</v>
      </c>
      <c r="G24" s="22">
        <v>2.35</v>
      </c>
      <c r="H24" s="22" t="s">
        <v>17</v>
      </c>
    </row>
    <row r="25" spans="2:8" x14ac:dyDescent="0.2">
      <c r="B25" s="26" t="s">
        <v>64</v>
      </c>
      <c r="C25" s="21" t="s">
        <v>65</v>
      </c>
      <c r="D25" s="21" t="s">
        <v>66</v>
      </c>
      <c r="E25" s="27">
        <v>105000</v>
      </c>
      <c r="F25" s="22">
        <v>2485.3000000000002</v>
      </c>
      <c r="G25" s="22">
        <v>2.23</v>
      </c>
      <c r="H25" s="22" t="s">
        <v>50</v>
      </c>
    </row>
    <row r="26" spans="2:8" x14ac:dyDescent="0.2">
      <c r="B26" s="26" t="s">
        <v>67</v>
      </c>
      <c r="C26" s="21" t="s">
        <v>68</v>
      </c>
      <c r="D26" s="21" t="s">
        <v>69</v>
      </c>
      <c r="E26" s="27">
        <v>182500</v>
      </c>
      <c r="F26" s="22">
        <v>2453.62</v>
      </c>
      <c r="G26" s="22">
        <v>2.2000000000000002</v>
      </c>
      <c r="H26" s="22" t="s">
        <v>17</v>
      </c>
    </row>
    <row r="27" spans="2:8" x14ac:dyDescent="0.2">
      <c r="B27" s="26" t="s">
        <v>70</v>
      </c>
      <c r="C27" s="21" t="s">
        <v>71</v>
      </c>
      <c r="D27" s="21" t="s">
        <v>56</v>
      </c>
      <c r="E27" s="27">
        <v>162000</v>
      </c>
      <c r="F27" s="22">
        <v>2449.36</v>
      </c>
      <c r="G27" s="22">
        <v>2.2000000000000002</v>
      </c>
      <c r="H27" s="22" t="s">
        <v>59</v>
      </c>
    </row>
    <row r="28" spans="2:8" x14ac:dyDescent="0.2">
      <c r="B28" s="26" t="s">
        <v>72</v>
      </c>
      <c r="C28" s="21" t="s">
        <v>73</v>
      </c>
      <c r="D28" s="21" t="s">
        <v>74</v>
      </c>
      <c r="E28" s="27">
        <v>617500</v>
      </c>
      <c r="F28" s="22">
        <v>2423.69</v>
      </c>
      <c r="G28" s="22">
        <v>2.17</v>
      </c>
      <c r="H28" s="22" t="s">
        <v>59</v>
      </c>
    </row>
    <row r="29" spans="2:8" x14ac:dyDescent="0.2">
      <c r="B29" s="26" t="s">
        <v>75</v>
      </c>
      <c r="C29" s="21" t="s">
        <v>76</v>
      </c>
      <c r="D29" s="21" t="s">
        <v>77</v>
      </c>
      <c r="E29" s="27">
        <v>276000</v>
      </c>
      <c r="F29" s="22">
        <v>2376.08</v>
      </c>
      <c r="G29" s="22">
        <v>2.13</v>
      </c>
      <c r="H29" s="22" t="s">
        <v>17</v>
      </c>
    </row>
    <row r="30" spans="2:8" x14ac:dyDescent="0.2">
      <c r="B30" s="26" t="s">
        <v>78</v>
      </c>
      <c r="C30" s="21" t="s">
        <v>79</v>
      </c>
      <c r="D30" s="21" t="s">
        <v>74</v>
      </c>
      <c r="E30" s="27">
        <v>275000</v>
      </c>
      <c r="F30" s="22">
        <v>2353.59</v>
      </c>
      <c r="G30" s="22">
        <v>2.11</v>
      </c>
      <c r="H30" s="22" t="s">
        <v>50</v>
      </c>
    </row>
    <row r="31" spans="2:8" x14ac:dyDescent="0.2">
      <c r="B31" s="26" t="s">
        <v>80</v>
      </c>
      <c r="C31" s="21" t="s">
        <v>81</v>
      </c>
      <c r="D31" s="21" t="s">
        <v>34</v>
      </c>
      <c r="E31" s="27">
        <v>410000</v>
      </c>
      <c r="F31" s="22">
        <v>2349.1</v>
      </c>
      <c r="G31" s="22">
        <v>2.11</v>
      </c>
      <c r="H31" s="22" t="s">
        <v>17</v>
      </c>
    </row>
    <row r="32" spans="2:8" x14ac:dyDescent="0.2">
      <c r="B32" s="26" t="s">
        <v>82</v>
      </c>
      <c r="C32" s="21" t="s">
        <v>83</v>
      </c>
      <c r="D32" s="21" t="s">
        <v>84</v>
      </c>
      <c r="E32" s="27">
        <v>88500</v>
      </c>
      <c r="F32" s="22">
        <v>2324.81</v>
      </c>
      <c r="G32" s="22">
        <v>2.09</v>
      </c>
      <c r="H32" s="22" t="s">
        <v>17</v>
      </c>
    </row>
    <row r="33" spans="2:8" x14ac:dyDescent="0.2">
      <c r="B33" s="26" t="s">
        <v>85</v>
      </c>
      <c r="C33" s="21" t="s">
        <v>86</v>
      </c>
      <c r="D33" s="21" t="s">
        <v>56</v>
      </c>
      <c r="E33" s="27">
        <v>270000</v>
      </c>
      <c r="F33" s="22">
        <v>2166.89</v>
      </c>
      <c r="G33" s="22">
        <v>1.94</v>
      </c>
      <c r="H33" s="22" t="s">
        <v>17</v>
      </c>
    </row>
    <row r="34" spans="2:8" x14ac:dyDescent="0.2">
      <c r="B34" s="26" t="s">
        <v>87</v>
      </c>
      <c r="C34" s="21" t="s">
        <v>88</v>
      </c>
      <c r="D34" s="21" t="s">
        <v>40</v>
      </c>
      <c r="E34" s="27">
        <v>160000</v>
      </c>
      <c r="F34" s="22">
        <v>1982.4</v>
      </c>
      <c r="G34" s="22">
        <v>1.78</v>
      </c>
      <c r="H34" s="22" t="s">
        <v>59</v>
      </c>
    </row>
    <row r="35" spans="2:8" x14ac:dyDescent="0.2">
      <c r="B35" s="26" t="s">
        <v>89</v>
      </c>
      <c r="C35" s="21" t="s">
        <v>90</v>
      </c>
      <c r="D35" s="21" t="s">
        <v>28</v>
      </c>
      <c r="E35" s="27">
        <v>145000</v>
      </c>
      <c r="F35" s="22">
        <v>1860.06</v>
      </c>
      <c r="G35" s="22">
        <v>1.67</v>
      </c>
      <c r="H35" s="22" t="s">
        <v>17</v>
      </c>
    </row>
    <row r="36" spans="2:8" x14ac:dyDescent="0.2">
      <c r="B36" s="26" t="s">
        <v>91</v>
      </c>
      <c r="C36" s="21" t="s">
        <v>92</v>
      </c>
      <c r="D36" s="21" t="s">
        <v>93</v>
      </c>
      <c r="E36" s="27">
        <v>2125000</v>
      </c>
      <c r="F36" s="22">
        <v>1821.13</v>
      </c>
      <c r="G36" s="22">
        <v>1.63</v>
      </c>
      <c r="H36" s="22" t="s">
        <v>17</v>
      </c>
    </row>
    <row r="37" spans="2:8" x14ac:dyDescent="0.2">
      <c r="B37" s="26" t="s">
        <v>94</v>
      </c>
      <c r="C37" s="21" t="s">
        <v>95</v>
      </c>
      <c r="D37" s="21" t="s">
        <v>96</v>
      </c>
      <c r="E37" s="27">
        <v>4800</v>
      </c>
      <c r="F37" s="22">
        <v>1807.07</v>
      </c>
      <c r="G37" s="22">
        <v>1.62</v>
      </c>
      <c r="H37" s="22" t="s">
        <v>17</v>
      </c>
    </row>
    <row r="38" spans="2:8" x14ac:dyDescent="0.2">
      <c r="B38" s="26" t="s">
        <v>97</v>
      </c>
      <c r="C38" s="21" t="s">
        <v>98</v>
      </c>
      <c r="D38" s="21" t="s">
        <v>99</v>
      </c>
      <c r="E38" s="27">
        <v>35000</v>
      </c>
      <c r="F38" s="22">
        <v>1784.37</v>
      </c>
      <c r="G38" s="22">
        <v>1.6</v>
      </c>
      <c r="H38" s="22" t="s">
        <v>17</v>
      </c>
    </row>
    <row r="39" spans="2:8" x14ac:dyDescent="0.2">
      <c r="B39" s="26" t="s">
        <v>100</v>
      </c>
      <c r="C39" s="21" t="s">
        <v>101</v>
      </c>
      <c r="D39" s="21" t="s">
        <v>69</v>
      </c>
      <c r="E39" s="27">
        <v>135000</v>
      </c>
      <c r="F39" s="22">
        <v>1764.32</v>
      </c>
      <c r="G39" s="22">
        <v>1.58</v>
      </c>
      <c r="H39" s="22" t="s">
        <v>17</v>
      </c>
    </row>
    <row r="40" spans="2:8" x14ac:dyDescent="0.2">
      <c r="B40" s="26" t="s">
        <v>102</v>
      </c>
      <c r="C40" s="21" t="s">
        <v>103</v>
      </c>
      <c r="D40" s="21" t="s">
        <v>104</v>
      </c>
      <c r="E40" s="27">
        <v>1050000</v>
      </c>
      <c r="F40" s="22">
        <v>1757.7</v>
      </c>
      <c r="G40" s="22">
        <v>1.58</v>
      </c>
      <c r="H40" s="22" t="s">
        <v>59</v>
      </c>
    </row>
    <row r="41" spans="2:8" x14ac:dyDescent="0.2">
      <c r="B41" s="26" t="s">
        <v>105</v>
      </c>
      <c r="C41" s="21" t="s">
        <v>106</v>
      </c>
      <c r="D41" s="21" t="s">
        <v>84</v>
      </c>
      <c r="E41" s="27">
        <v>23000</v>
      </c>
      <c r="F41" s="22">
        <v>1666.48</v>
      </c>
      <c r="G41" s="22">
        <v>1.49</v>
      </c>
      <c r="H41" s="22" t="s">
        <v>59</v>
      </c>
    </row>
    <row r="42" spans="2:8" x14ac:dyDescent="0.2">
      <c r="B42" s="26" t="s">
        <v>107</v>
      </c>
      <c r="C42" s="21" t="s">
        <v>108</v>
      </c>
      <c r="D42" s="21" t="s">
        <v>25</v>
      </c>
      <c r="E42" s="27">
        <v>1185000</v>
      </c>
      <c r="F42" s="22">
        <v>1494.88</v>
      </c>
      <c r="G42" s="22">
        <v>1.34</v>
      </c>
      <c r="H42" s="22" t="s">
        <v>59</v>
      </c>
    </row>
    <row r="43" spans="2:8" x14ac:dyDescent="0.2">
      <c r="B43" s="26" t="s">
        <v>109</v>
      </c>
      <c r="C43" s="21" t="s">
        <v>110</v>
      </c>
      <c r="D43" s="21" t="s">
        <v>40</v>
      </c>
      <c r="E43" s="27">
        <v>35250</v>
      </c>
      <c r="F43" s="22">
        <v>1370.94</v>
      </c>
      <c r="G43" s="22">
        <v>1.23</v>
      </c>
      <c r="H43" s="22" t="s">
        <v>17</v>
      </c>
    </row>
    <row r="44" spans="2:8" x14ac:dyDescent="0.2">
      <c r="B44" s="26" t="s">
        <v>111</v>
      </c>
      <c r="C44" s="21" t="s">
        <v>112</v>
      </c>
      <c r="D44" s="21" t="s">
        <v>28</v>
      </c>
      <c r="E44" s="27">
        <v>180000</v>
      </c>
      <c r="F44" s="22">
        <v>1367.55</v>
      </c>
      <c r="G44" s="22">
        <v>1.23</v>
      </c>
      <c r="H44" s="22" t="s">
        <v>59</v>
      </c>
    </row>
    <row r="45" spans="2:8" x14ac:dyDescent="0.2">
      <c r="B45" s="26" t="s">
        <v>113</v>
      </c>
      <c r="C45" s="21" t="s">
        <v>114</v>
      </c>
      <c r="D45" s="21" t="s">
        <v>28</v>
      </c>
      <c r="E45" s="27">
        <v>230000</v>
      </c>
      <c r="F45" s="22">
        <v>1036.04</v>
      </c>
      <c r="G45" s="22">
        <v>0.93</v>
      </c>
      <c r="H45" s="22" t="s">
        <v>59</v>
      </c>
    </row>
    <row r="46" spans="2:8" x14ac:dyDescent="0.2">
      <c r="B46" s="26" t="s">
        <v>115</v>
      </c>
      <c r="C46" s="21" t="s">
        <v>116</v>
      </c>
      <c r="D46" s="21" t="s">
        <v>25</v>
      </c>
      <c r="E46" s="27">
        <v>700000</v>
      </c>
      <c r="F46" s="22">
        <v>891.1</v>
      </c>
      <c r="G46" s="22">
        <v>0.8</v>
      </c>
      <c r="H46" s="22" t="s">
        <v>50</v>
      </c>
    </row>
    <row r="47" spans="2:8" x14ac:dyDescent="0.2">
      <c r="B47" s="26" t="s">
        <v>117</v>
      </c>
      <c r="C47" s="21" t="s">
        <v>118</v>
      </c>
      <c r="D47" s="21" t="s">
        <v>93</v>
      </c>
      <c r="E47" s="27">
        <v>107130</v>
      </c>
      <c r="F47" s="22">
        <v>623.28</v>
      </c>
      <c r="G47" s="22">
        <v>0.56000000000000005</v>
      </c>
      <c r="H47" s="22" t="s">
        <v>59</v>
      </c>
    </row>
    <row r="48" spans="2:8" x14ac:dyDescent="0.2">
      <c r="B48" s="32" t="s">
        <v>119</v>
      </c>
      <c r="C48" s="33"/>
      <c r="D48" s="33"/>
      <c r="E48" s="33"/>
      <c r="F48" s="34">
        <f>SUM(F7:F47)</f>
        <v>107501.75000000001</v>
      </c>
      <c r="G48" s="34">
        <f>SUM(G7:G47)</f>
        <v>96.410000000000011</v>
      </c>
      <c r="H48" s="34"/>
    </row>
    <row r="49" spans="2:8" x14ac:dyDescent="0.2">
      <c r="B49" s="35" t="s">
        <v>120</v>
      </c>
      <c r="C49" s="35"/>
      <c r="D49" s="35"/>
      <c r="E49" s="35"/>
      <c r="F49" s="36">
        <f>F48</f>
        <v>107501.75000000001</v>
      </c>
      <c r="G49" s="36">
        <f>G48</f>
        <v>96.410000000000011</v>
      </c>
      <c r="H49" s="36"/>
    </row>
    <row r="50" spans="2:8" x14ac:dyDescent="0.2">
      <c r="B50" s="37" t="s">
        <v>121</v>
      </c>
      <c r="C50" s="38"/>
      <c r="D50" s="38"/>
      <c r="E50" s="38"/>
      <c r="F50" s="39"/>
      <c r="G50" s="39"/>
      <c r="H50" s="39"/>
    </row>
    <row r="51" spans="2:8" x14ac:dyDescent="0.2">
      <c r="B51" s="26" t="s">
        <v>121</v>
      </c>
      <c r="C51" s="26"/>
      <c r="D51" s="21"/>
      <c r="E51" s="21"/>
      <c r="F51" s="22">
        <v>4084.3</v>
      </c>
      <c r="G51" s="22">
        <v>3.66</v>
      </c>
      <c r="H51" s="22"/>
    </row>
    <row r="52" spans="2:8" x14ac:dyDescent="0.2">
      <c r="B52" s="32" t="s">
        <v>119</v>
      </c>
      <c r="C52" s="33"/>
      <c r="D52" s="33"/>
      <c r="E52" s="33"/>
      <c r="F52" s="34">
        <f>SUM(F50:F51)</f>
        <v>4084.3</v>
      </c>
      <c r="G52" s="34">
        <f>SUM(G50:G51)</f>
        <v>3.66</v>
      </c>
      <c r="H52" s="34"/>
    </row>
    <row r="53" spans="2:8" x14ac:dyDescent="0.2">
      <c r="B53" s="40" t="s">
        <v>120</v>
      </c>
      <c r="C53" s="40"/>
      <c r="D53" s="40"/>
      <c r="E53" s="40"/>
      <c r="F53" s="41">
        <f>F52</f>
        <v>4084.3</v>
      </c>
      <c r="G53" s="41">
        <f>G52</f>
        <v>3.66</v>
      </c>
      <c r="H53" s="41"/>
    </row>
    <row r="54" spans="2:8" x14ac:dyDescent="0.2">
      <c r="B54" s="42" t="s">
        <v>122</v>
      </c>
      <c r="C54" s="42"/>
      <c r="D54" s="42"/>
      <c r="E54" s="42"/>
      <c r="F54" s="43">
        <f>F55-(+F49+F53)</f>
        <v>-88.740000000019791</v>
      </c>
      <c r="G54" s="43">
        <f>G55-(+G49+G53)</f>
        <v>-7.000000000000739E-2</v>
      </c>
      <c r="H54" s="43"/>
    </row>
    <row r="55" spans="2:8" x14ac:dyDescent="0.2">
      <c r="B55" s="42" t="s">
        <v>123</v>
      </c>
      <c r="C55" s="42"/>
      <c r="D55" s="42"/>
      <c r="E55" s="42"/>
      <c r="F55" s="43">
        <v>111497.31</v>
      </c>
      <c r="G55" s="43">
        <v>100</v>
      </c>
      <c r="H55" s="43"/>
    </row>
    <row r="56" spans="2:8" ht="12.75" thickBot="1" x14ac:dyDescent="0.25"/>
    <row r="57" spans="2:8" ht="13.5" thickTop="1" thickBot="1" x14ac:dyDescent="0.25">
      <c r="B57" s="45" t="s">
        <v>124</v>
      </c>
      <c r="C57" s="46" t="s">
        <v>125</v>
      </c>
    </row>
    <row r="58" spans="2:8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11:05:57</KDate>
  <Classification>Public</Classification>
  <Subclassification/>
  <HostName>MUMCMP00915</HostName>
  <Domain_User>CANARAROBECOMF/396</Domain_User>
  <IPAdd>192.9.198.198</IPAdd>
  <FilePath>Book5</FilePath>
  <KID>A4BB6D0D6391638242383574782343</KID>
  <UniqueName/>
  <Suggested/>
  <Justification/>
</Klassify>
</file>

<file path=customXml/itemProps1.xml><?xml version="1.0" encoding="utf-8"?>
<ds:datastoreItem xmlns:ds="http://schemas.openxmlformats.org/officeDocument/2006/customXml" ds:itemID="{6C4D23CE-03A3-4D98-9666-74D63DE92A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2023-07-06T05:35:53Z</dcterms:created>
  <dcterms:modified xsi:type="dcterms:W3CDTF">2023-07-06T05:35:57Z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A4BB6D0D6391638242383574782343</vt:lpwstr>
  </property>
</Properties>
</file>