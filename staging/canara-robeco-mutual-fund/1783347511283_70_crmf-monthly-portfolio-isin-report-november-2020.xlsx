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60" windowHeight="7365"/>
  </bookViews>
  <sheets>
    <sheet name="CRI" sheetId="1" r:id="rId1"/>
    <sheet name="CREDF" sheetId="2" r:id="rId2"/>
    <sheet name="CRETSF" sheetId="3" r:id="rId3"/>
    <sheet name="CREE" sheetId="4" r:id="rId4"/>
    <sheet name="CRCTF" sheetId="5" r:id="rId5"/>
    <sheet name="CRBCEF" sheetId="6" r:id="rId6"/>
    <sheet name="CRSCF" sheetId="7" r:id="rId7"/>
    <sheet name="CREHF" sheetId="8" r:id="rId8"/>
    <sheet name="CRDBF" sheetId="9" r:id="rId9"/>
    <sheet name="CRGILT" sheetId="10" r:id="rId10"/>
    <sheet name="CRINC" sheetId="11" r:id="rId11"/>
    <sheet name="CRSF" sheetId="12" r:id="rId12"/>
    <sheet name="CRCHF" sheetId="13" r:id="rId13"/>
    <sheet name="CRG1988" sheetId="14" r:id="rId14"/>
    <sheet name="CRL" sheetId="15" r:id="rId15"/>
    <sheet name="CRUSTF" sheetId="16" r:id="rId16"/>
    <sheet name="CROF" sheetId="17" r:id="rId17"/>
    <sheet name="CRSDF" sheetId="18" r:id="rId18"/>
    <sheet name="CRCBF" sheetId="19" r:id="rId19"/>
    <sheet name="CRCPOF9" sheetId="20" r:id="rId20"/>
    <sheet name="CRDAF1" sheetId="21" r:id="rId21"/>
    <sheet name="CRFMP8" sheetId="22" r:id="rId22"/>
    <sheet name="CRCPOF10" sheetId="23" r:id="rId23"/>
  </sheets>
  <calcPr calcId="162913"/>
</workbook>
</file>

<file path=xl/calcChain.xml><?xml version="1.0" encoding="utf-8"?>
<calcChain xmlns="http://schemas.openxmlformats.org/spreadsheetml/2006/main">
  <c r="G66" i="23" l="1"/>
  <c r="G67" i="23" s="1"/>
  <c r="F66" i="23"/>
  <c r="F67" i="23" s="1"/>
  <c r="G63" i="23"/>
  <c r="F63" i="23"/>
  <c r="G58" i="23"/>
  <c r="F58" i="23"/>
  <c r="G57" i="23"/>
  <c r="F57" i="23"/>
  <c r="G48" i="23"/>
  <c r="G68" i="23" s="1"/>
  <c r="F48" i="23"/>
  <c r="F68" i="23" s="1"/>
  <c r="G47" i="23"/>
  <c r="F47" i="23"/>
  <c r="G30" i="22"/>
  <c r="G31" i="22" s="1"/>
  <c r="F30" i="22"/>
  <c r="F31" i="22" s="1"/>
  <c r="G27" i="22"/>
  <c r="F27" i="22"/>
  <c r="G24" i="22"/>
  <c r="F24" i="22"/>
  <c r="G23" i="22"/>
  <c r="F23" i="22"/>
  <c r="G19" i="22"/>
  <c r="G32" i="22" s="1"/>
  <c r="F19" i="22"/>
  <c r="F32" i="22" s="1"/>
  <c r="G18" i="22"/>
  <c r="F18" i="22"/>
  <c r="G77" i="21"/>
  <c r="G78" i="21" s="1"/>
  <c r="F77" i="21"/>
  <c r="F78" i="21" s="1"/>
  <c r="G74" i="21"/>
  <c r="F74" i="21"/>
  <c r="G70" i="21"/>
  <c r="F70" i="21"/>
  <c r="G69" i="21"/>
  <c r="F69" i="21"/>
  <c r="G65" i="21"/>
  <c r="F65" i="21"/>
  <c r="G64" i="21"/>
  <c r="F64" i="21"/>
  <c r="G46" i="21"/>
  <c r="G79" i="21" s="1"/>
  <c r="F46" i="21"/>
  <c r="F79" i="21" s="1"/>
  <c r="G45" i="21"/>
  <c r="F45" i="21"/>
  <c r="G67" i="20"/>
  <c r="G68" i="20" s="1"/>
  <c r="F67" i="20"/>
  <c r="F68" i="20" s="1"/>
  <c r="G64" i="20"/>
  <c r="F64" i="20"/>
  <c r="G58" i="20"/>
  <c r="F58" i="20"/>
  <c r="G57" i="20"/>
  <c r="F57" i="20"/>
  <c r="G42" i="20"/>
  <c r="G69" i="20" s="1"/>
  <c r="F42" i="20"/>
  <c r="F69" i="20" s="1"/>
  <c r="G41" i="20"/>
  <c r="F41" i="20"/>
  <c r="G55" i="19"/>
  <c r="G56" i="19" s="1"/>
  <c r="F55" i="19"/>
  <c r="F56" i="19" s="1"/>
  <c r="G52" i="19"/>
  <c r="F52" i="19"/>
  <c r="G42" i="19"/>
  <c r="F42" i="19"/>
  <c r="G41" i="19"/>
  <c r="F41" i="19"/>
  <c r="G37" i="19"/>
  <c r="G57" i="19" s="1"/>
  <c r="F37" i="19"/>
  <c r="F57" i="19" s="1"/>
  <c r="G36" i="19"/>
  <c r="F36" i="19"/>
  <c r="G82" i="18"/>
  <c r="G83" i="18" s="1"/>
  <c r="F82" i="18"/>
  <c r="F83" i="18" s="1"/>
  <c r="G79" i="18"/>
  <c r="F79" i="18"/>
  <c r="G64" i="18"/>
  <c r="F64" i="18"/>
  <c r="G63" i="18"/>
  <c r="F63" i="18"/>
  <c r="G56" i="18"/>
  <c r="G84" i="18" s="1"/>
  <c r="F56" i="18"/>
  <c r="F84" i="18" s="1"/>
  <c r="G55" i="18"/>
  <c r="F55" i="18"/>
  <c r="G7" i="17"/>
  <c r="G8" i="17" s="1"/>
  <c r="G9" i="17" s="1"/>
  <c r="F7" i="17"/>
  <c r="F8" i="17" s="1"/>
  <c r="F9" i="17" s="1"/>
  <c r="G46" i="16"/>
  <c r="F46" i="16"/>
  <c r="G45" i="16"/>
  <c r="F45" i="16"/>
  <c r="G42" i="16"/>
  <c r="F42" i="16"/>
  <c r="G38" i="16"/>
  <c r="F38" i="16"/>
  <c r="G29" i="16"/>
  <c r="F29" i="16"/>
  <c r="G26" i="16"/>
  <c r="G39" i="16" s="1"/>
  <c r="F26" i="16"/>
  <c r="F39" i="16" s="1"/>
  <c r="G20" i="16"/>
  <c r="G21" i="16" s="1"/>
  <c r="F20" i="16"/>
  <c r="F21" i="16" s="1"/>
  <c r="F47" i="16" s="1"/>
  <c r="G33" i="15"/>
  <c r="F33" i="15"/>
  <c r="G32" i="15"/>
  <c r="F32" i="15"/>
  <c r="G28" i="15"/>
  <c r="F28" i="15"/>
  <c r="G18" i="15"/>
  <c r="G29" i="15" s="1"/>
  <c r="G34" i="15" s="1"/>
  <c r="F18" i="15"/>
  <c r="F29" i="15" s="1"/>
  <c r="F34" i="15" s="1"/>
  <c r="G12" i="15"/>
  <c r="F12" i="15"/>
  <c r="F13" i="14"/>
  <c r="G11" i="14"/>
  <c r="G12" i="14" s="1"/>
  <c r="G13" i="14" s="1"/>
  <c r="F11" i="14"/>
  <c r="F12" i="14" s="1"/>
  <c r="G8" i="14"/>
  <c r="F8" i="14"/>
  <c r="F75" i="13"/>
  <c r="G73" i="13"/>
  <c r="G74" i="13" s="1"/>
  <c r="F73" i="13"/>
  <c r="F74" i="13" s="1"/>
  <c r="G70" i="13"/>
  <c r="F70" i="13"/>
  <c r="G60" i="13"/>
  <c r="F60" i="13"/>
  <c r="G59" i="13"/>
  <c r="F59" i="13"/>
  <c r="G55" i="13"/>
  <c r="F55" i="13"/>
  <c r="G54" i="13"/>
  <c r="F54" i="13"/>
  <c r="G42" i="13"/>
  <c r="G75" i="13" s="1"/>
  <c r="F42" i="13"/>
  <c r="G41" i="13"/>
  <c r="F41" i="13"/>
  <c r="G65" i="12"/>
  <c r="G66" i="12" s="1"/>
  <c r="F65" i="12"/>
  <c r="F66" i="12" s="1"/>
  <c r="G62" i="12"/>
  <c r="F62" i="12"/>
  <c r="G54" i="12"/>
  <c r="F54" i="12"/>
  <c r="G45" i="12"/>
  <c r="G55" i="12" s="1"/>
  <c r="F45" i="12"/>
  <c r="F55" i="12" s="1"/>
  <c r="G41" i="12"/>
  <c r="F41" i="12"/>
  <c r="G32" i="12"/>
  <c r="F32" i="12"/>
  <c r="F67" i="12" s="1"/>
  <c r="G31" i="12"/>
  <c r="F31" i="12"/>
  <c r="G36" i="11"/>
  <c r="G37" i="11" s="1"/>
  <c r="F36" i="11"/>
  <c r="F37" i="11" s="1"/>
  <c r="G33" i="11"/>
  <c r="F33" i="11"/>
  <c r="G17" i="11"/>
  <c r="G38" i="11" s="1"/>
  <c r="F17" i="11"/>
  <c r="F38" i="11" s="1"/>
  <c r="G16" i="11"/>
  <c r="F16" i="11"/>
  <c r="G19" i="10"/>
  <c r="G20" i="10" s="1"/>
  <c r="G21" i="10" s="1"/>
  <c r="F19" i="10"/>
  <c r="F20" i="10" s="1"/>
  <c r="F21" i="10" s="1"/>
  <c r="G16" i="10"/>
  <c r="F16" i="10"/>
  <c r="F27" i="9"/>
  <c r="G25" i="9"/>
  <c r="G26" i="9" s="1"/>
  <c r="F25" i="9"/>
  <c r="F26" i="9" s="1"/>
  <c r="G22" i="9"/>
  <c r="F22" i="9"/>
  <c r="G14" i="9"/>
  <c r="F14" i="9"/>
  <c r="G13" i="9"/>
  <c r="F13" i="9"/>
  <c r="G9" i="9"/>
  <c r="G27" i="9" s="1"/>
  <c r="F9" i="9"/>
  <c r="G8" i="9"/>
  <c r="F8" i="9"/>
  <c r="F118" i="8"/>
  <c r="G116" i="8"/>
  <c r="G117" i="8" s="1"/>
  <c r="F116" i="8"/>
  <c r="F117" i="8" s="1"/>
  <c r="G113" i="8"/>
  <c r="F113" i="8"/>
  <c r="G99" i="8"/>
  <c r="F99" i="8"/>
  <c r="G98" i="8"/>
  <c r="F98" i="8"/>
  <c r="G61" i="8"/>
  <c r="G118" i="8" s="1"/>
  <c r="F61" i="8"/>
  <c r="G60" i="8"/>
  <c r="F60" i="8"/>
  <c r="G65" i="7"/>
  <c r="G66" i="7" s="1"/>
  <c r="F65" i="7"/>
  <c r="F66" i="7" s="1"/>
  <c r="G61" i="7"/>
  <c r="G62" i="7" s="1"/>
  <c r="F61" i="7"/>
  <c r="F62" i="7" s="1"/>
  <c r="G54" i="6"/>
  <c r="G55" i="6" s="1"/>
  <c r="F54" i="6"/>
  <c r="F55" i="6" s="1"/>
  <c r="G50" i="6"/>
  <c r="G51" i="6" s="1"/>
  <c r="F50" i="6"/>
  <c r="F51" i="6" s="1"/>
  <c r="F56" i="6" s="1"/>
  <c r="G58" i="5"/>
  <c r="G59" i="5" s="1"/>
  <c r="F58" i="5"/>
  <c r="F59" i="5" s="1"/>
  <c r="G54" i="5"/>
  <c r="G55" i="5" s="1"/>
  <c r="F54" i="5"/>
  <c r="F55" i="5" s="1"/>
  <c r="F60" i="5" s="1"/>
  <c r="G69" i="4"/>
  <c r="F69" i="4"/>
  <c r="G68" i="4"/>
  <c r="F68" i="4"/>
  <c r="G65" i="4"/>
  <c r="G70" i="4" s="1"/>
  <c r="F65" i="4"/>
  <c r="F70" i="4" s="1"/>
  <c r="G64" i="4"/>
  <c r="F64" i="4"/>
  <c r="G64" i="3"/>
  <c r="G65" i="3" s="1"/>
  <c r="F64" i="3"/>
  <c r="F65" i="3" s="1"/>
  <c r="G60" i="3"/>
  <c r="G61" i="3" s="1"/>
  <c r="F60" i="3"/>
  <c r="F61" i="3" s="1"/>
  <c r="F66" i="3" s="1"/>
  <c r="G67" i="2"/>
  <c r="F67" i="2"/>
  <c r="G66" i="2"/>
  <c r="F66" i="2"/>
  <c r="G63" i="2"/>
  <c r="G68" i="2" s="1"/>
  <c r="F63" i="2"/>
  <c r="F68" i="2" s="1"/>
  <c r="G62" i="2"/>
  <c r="F62" i="2"/>
  <c r="G43" i="1"/>
  <c r="G44" i="1" s="1"/>
  <c r="F43" i="1"/>
  <c r="F44" i="1" s="1"/>
  <c r="G39" i="1"/>
  <c r="G40" i="1" s="1"/>
  <c r="F39" i="1"/>
  <c r="F40" i="1" s="1"/>
  <c r="F67" i="7" l="1"/>
  <c r="G67" i="7"/>
  <c r="G56" i="6"/>
  <c r="F45" i="1"/>
  <c r="G45" i="1"/>
  <c r="G66" i="3"/>
  <c r="G47" i="16"/>
  <c r="G60" i="5"/>
  <c r="G67" i="12"/>
</calcChain>
</file>

<file path=xl/sharedStrings.xml><?xml version="1.0" encoding="utf-8"?>
<sst xmlns="http://schemas.openxmlformats.org/spreadsheetml/2006/main" count="3199" uniqueCount="806">
  <si>
    <t>Name of the Instrument</t>
  </si>
  <si>
    <t>ISIN</t>
  </si>
  <si>
    <t>Quantity</t>
  </si>
  <si>
    <t>Market/Fair Value
 (Rs. in Lacs)</t>
  </si>
  <si>
    <t>% to Net
 Assets</t>
  </si>
  <si>
    <t>Industry / Rating</t>
  </si>
  <si>
    <t>Yield %</t>
  </si>
  <si>
    <t>Monthly Portfolio Statement as on November 30, 2020</t>
  </si>
  <si>
    <t>CANARA ROBECO INFRASTRUCTURE</t>
  </si>
  <si>
    <t>CANARA ROBECO EQUITY DIVERSIFIED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</si>
  <si>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</si>
  <si>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</si>
  <si>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</si>
  <si>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</si>
  <si>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</si>
  <si>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</si>
  <si>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</si>
  <si>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</si>
  <si>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</si>
  <si>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</si>
  <si>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</si>
  <si>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</si>
  <si>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</si>
  <si>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</si>
  <si>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</si>
  <si>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</si>
  <si>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</si>
  <si>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CANARA ROBECO   CAPITAL  PROTECTION  ORIENTED  FUND– SERIES 9</t>
  </si>
  <si>
    <t>CANARA ROBECO DUAL ADVANTAGE FUND - SERIES 1</t>
  </si>
  <si>
    <t>CANARA ROBECO FIXED MATURITY PLAN SERIES 8</t>
  </si>
  <si>
    <t>CANARA  ROBECO  CAPITAL  PROTECTION  ORIENTED FUND– SERIES 10</t>
  </si>
  <si>
    <t>Equity &amp; Equity related</t>
  </si>
  <si>
    <t>(a) Listed / awaiting listing on Stock Exchanges</t>
  </si>
  <si>
    <t>Larsen &amp; Toubro Ltd</t>
  </si>
  <si>
    <t>INE018A01030</t>
  </si>
  <si>
    <t>Construction Project</t>
  </si>
  <si>
    <t>Reliance Industries Ltd</t>
  </si>
  <si>
    <t>INE002A01018</t>
  </si>
  <si>
    <t>Petroleum Products</t>
  </si>
  <si>
    <t>The Ramco Cements Ltd</t>
  </si>
  <si>
    <t>INE331A01037</t>
  </si>
  <si>
    <t>Cement</t>
  </si>
  <si>
    <t>ICICI Bank Ltd</t>
  </si>
  <si>
    <t>INE090A01021</t>
  </si>
  <si>
    <t>Banks</t>
  </si>
  <si>
    <t>Honeywell Automation India Ltd</t>
  </si>
  <si>
    <t>INE671A01010</t>
  </si>
  <si>
    <t>Industrial Capital Goods</t>
  </si>
  <si>
    <t>Bharat Electronics Ltd</t>
  </si>
  <si>
    <t>INE263A01024</t>
  </si>
  <si>
    <t>KNR Constructions Ltd</t>
  </si>
  <si>
    <t>INE634I01029</t>
  </si>
  <si>
    <t>Construction</t>
  </si>
  <si>
    <t>Siemens Ltd</t>
  </si>
  <si>
    <t>INE003A01024</t>
  </si>
  <si>
    <t>TCI Express Ltd</t>
  </si>
  <si>
    <t>INE586V01016</t>
  </si>
  <si>
    <t>Transportation</t>
  </si>
  <si>
    <t>Voltas Ltd</t>
  </si>
  <si>
    <t>INE226A01021</t>
  </si>
  <si>
    <t>Consumer Durables</t>
  </si>
  <si>
    <t>Gujarat Gas Ltd</t>
  </si>
  <si>
    <t>INE844O01030</t>
  </si>
  <si>
    <t>Gas</t>
  </si>
  <si>
    <t>State Bank of India</t>
  </si>
  <si>
    <t>INE062A01020</t>
  </si>
  <si>
    <t>AIA Engineering Ltd</t>
  </si>
  <si>
    <t>INE212H01026</t>
  </si>
  <si>
    <t>Industrial Products</t>
  </si>
  <si>
    <t>Thermax Ltd</t>
  </si>
  <si>
    <t>INE152A01029</t>
  </si>
  <si>
    <t>Hindustan Petroleum Corporation Ltd</t>
  </si>
  <si>
    <t>INE094A01015</t>
  </si>
  <si>
    <t>Amber Enterprises India Ltd</t>
  </si>
  <si>
    <t>INE371P01015</t>
  </si>
  <si>
    <t>Timken India Ltd</t>
  </si>
  <si>
    <t>INE325A01013</t>
  </si>
  <si>
    <t>Petronet LNG Ltd</t>
  </si>
  <si>
    <t>INE347G01014</t>
  </si>
  <si>
    <t>Ambuja Cements Ltd</t>
  </si>
  <si>
    <t>INE079A01024</t>
  </si>
  <si>
    <t>Indraprastha Gas Ltd</t>
  </si>
  <si>
    <t>INE203G01027</t>
  </si>
  <si>
    <t>Ahluwalia Contracts (India) Ltd</t>
  </si>
  <si>
    <t>INE758C01029</t>
  </si>
  <si>
    <t>Dixon Technologies (India) Ltd</t>
  </si>
  <si>
    <t>INE935N01012</t>
  </si>
  <si>
    <t>Crompton Greaves Consumer Electricals Ltd</t>
  </si>
  <si>
    <t>INE299U01018</t>
  </si>
  <si>
    <t>Shree Cement Ltd</t>
  </si>
  <si>
    <t>INE070A01015</t>
  </si>
  <si>
    <t>Power Grid Corporation of India Ltd</t>
  </si>
  <si>
    <t>INE752E01010</t>
  </si>
  <si>
    <t>Power</t>
  </si>
  <si>
    <t>NTPC Ltd</t>
  </si>
  <si>
    <t>INE733E01010</t>
  </si>
  <si>
    <t>Ultratech Cement Ltd</t>
  </si>
  <si>
    <t>INE481G01011</t>
  </si>
  <si>
    <t>PNC Infratech Ltd</t>
  </si>
  <si>
    <t>INE195J01029</t>
  </si>
  <si>
    <t>Schaeffler India Ltd</t>
  </si>
  <si>
    <t>INE513A01014</t>
  </si>
  <si>
    <t>Hindalco Industries Ltd</t>
  </si>
  <si>
    <t>INE038A01020</t>
  </si>
  <si>
    <t>Non - Ferrous Metals</t>
  </si>
  <si>
    <t>Bharti Airtel Ltd</t>
  </si>
  <si>
    <t>INE397D01024</t>
  </si>
  <si>
    <t>Telecom - Services</t>
  </si>
  <si>
    <t>Blue Star Ltd</t>
  </si>
  <si>
    <t>INE472A01039</t>
  </si>
  <si>
    <t>Sub Total</t>
  </si>
  <si>
    <t>Total</t>
  </si>
  <si>
    <t>TREPS</t>
  </si>
  <si>
    <t>Grand Total</t>
  </si>
  <si>
    <t>Net Receivables / (Payables)</t>
  </si>
  <si>
    <t>HDFC Bank Ltd</t>
  </si>
  <si>
    <t>INE040A01034</t>
  </si>
  <si>
    <t>Infosys Ltd</t>
  </si>
  <si>
    <t>INE009A01021</t>
  </si>
  <si>
    <t>Software</t>
  </si>
  <si>
    <t>Bajaj Finance Ltd</t>
  </si>
  <si>
    <t>INE296A01024</t>
  </si>
  <si>
    <t>Finance</t>
  </si>
  <si>
    <t>Tata Consultancy Services Ltd</t>
  </si>
  <si>
    <t>INE467B01029</t>
  </si>
  <si>
    <t>Housing Development Finance Corporation Ltd</t>
  </si>
  <si>
    <t>INE001A01036</t>
  </si>
  <si>
    <t>Axis Bank Ltd</t>
  </si>
  <si>
    <t>INE238A01034</t>
  </si>
  <si>
    <t>Hindustan Unilever Ltd</t>
  </si>
  <si>
    <t>INE030A01027</t>
  </si>
  <si>
    <t>Consumer Non Durables</t>
  </si>
  <si>
    <t>Kotak Mahindra Bank Ltd</t>
  </si>
  <si>
    <t>INE237A01028</t>
  </si>
  <si>
    <t>Divi's Laboratories Ltd</t>
  </si>
  <si>
    <t>INE361B01024</t>
  </si>
  <si>
    <t>Pharmaceuticals</t>
  </si>
  <si>
    <t>HCL Technologies Ltd</t>
  </si>
  <si>
    <t>INE860A01027</t>
  </si>
  <si>
    <t>Mahindra &amp; Mahindra Ltd</t>
  </si>
  <si>
    <t>INE101A01026</t>
  </si>
  <si>
    <t>Auto</t>
  </si>
  <si>
    <t>Maruti Suzuki India Ltd</t>
  </si>
  <si>
    <t>INE585B01010</t>
  </si>
  <si>
    <t>Titan Co Ltd</t>
  </si>
  <si>
    <t>INE280A01028</t>
  </si>
  <si>
    <t>PI Industries Ltd</t>
  </si>
  <si>
    <t>INE603J01030</t>
  </si>
  <si>
    <t>Pesticides</t>
  </si>
  <si>
    <t>Hero MotoCorp Ltd</t>
  </si>
  <si>
    <t>INE158A01026</t>
  </si>
  <si>
    <t>Nestle India Ltd</t>
  </si>
  <si>
    <t>INE239A01016</t>
  </si>
  <si>
    <t>Britannia Industries Ltd</t>
  </si>
  <si>
    <t>INE216A01030</t>
  </si>
  <si>
    <t>IPCA Laboratories Ltd</t>
  </si>
  <si>
    <t>INE571A01020</t>
  </si>
  <si>
    <t>Navin Fluorine International Ltd</t>
  </si>
  <si>
    <t>INE048G01026</t>
  </si>
  <si>
    <t>Chemicals</t>
  </si>
  <si>
    <t>Multi Commodity Exchange Of India Ltd</t>
  </si>
  <si>
    <t>INE745G01035</t>
  </si>
  <si>
    <t>Balkrishna Industries Ltd</t>
  </si>
  <si>
    <t>INE787D01026</t>
  </si>
  <si>
    <t>Auto Ancillaries</t>
  </si>
  <si>
    <t>Abbott India Ltd</t>
  </si>
  <si>
    <t>INE358A01014</t>
  </si>
  <si>
    <t>Alkem Laboratories Ltd</t>
  </si>
  <si>
    <t>INE540L01014</t>
  </si>
  <si>
    <t>Bata India Ltd</t>
  </si>
  <si>
    <t>INE176A01028</t>
  </si>
  <si>
    <t>HDFC Life Insurance Co Ltd</t>
  </si>
  <si>
    <t>INE795G01014</t>
  </si>
  <si>
    <t>Atul Ltd</t>
  </si>
  <si>
    <t>INE100A01010</t>
  </si>
  <si>
    <t>Cipla Ltd</t>
  </si>
  <si>
    <t>INE059A01026</t>
  </si>
  <si>
    <t>Bharat Forge Ltd</t>
  </si>
  <si>
    <t>INE465A01025</t>
  </si>
  <si>
    <t>Vinati Organics Ltd</t>
  </si>
  <si>
    <t>INE410B01037</t>
  </si>
  <si>
    <t>Dr. Lal Path Labs Ltd</t>
  </si>
  <si>
    <t>INE600L01024</t>
  </si>
  <si>
    <t>Healthcare Services</t>
  </si>
  <si>
    <t>Whirlpool Of India Ltd</t>
  </si>
  <si>
    <t>INE716A01013</t>
  </si>
  <si>
    <t>UTI Asset Management Co Ltd</t>
  </si>
  <si>
    <t>INE094J01016</t>
  </si>
  <si>
    <t>Minda Industries Ltd</t>
  </si>
  <si>
    <t>INE405E01023</t>
  </si>
  <si>
    <t>Can Fin Homes Ltd</t>
  </si>
  <si>
    <t>INE477A01020</t>
  </si>
  <si>
    <t>Sun Pharmaceutical Industries Ltd</t>
  </si>
  <si>
    <t>INE044A01036</t>
  </si>
  <si>
    <t>Asian Paints Ltd</t>
  </si>
  <si>
    <t>INE021A01026</t>
  </si>
  <si>
    <t>EPL Ltd</t>
  </si>
  <si>
    <t>INE255A01020</t>
  </si>
  <si>
    <t>ICICI Lombard General Insurance Co Ltd</t>
  </si>
  <si>
    <t>INE765G01017</t>
  </si>
  <si>
    <t>Cholamandalam Investment and Finance Co Ltd</t>
  </si>
  <si>
    <t>INE121A01024</t>
  </si>
  <si>
    <t>SBI Cards and Payment Services Ltd</t>
  </si>
  <si>
    <t>INE018E01016</t>
  </si>
  <si>
    <t>Larsen &amp; Toubro Infotech Ltd</t>
  </si>
  <si>
    <t>INE214T01019</t>
  </si>
  <si>
    <t>Jubilant Foodworks Ltd</t>
  </si>
  <si>
    <t>INE797F01012</t>
  </si>
  <si>
    <t>MindTree Ltd</t>
  </si>
  <si>
    <t>INE018I01017</t>
  </si>
  <si>
    <t>Bajaj Auto Ltd</t>
  </si>
  <si>
    <t>INE917I01010</t>
  </si>
  <si>
    <t>Ashok Leyland Ltd</t>
  </si>
  <si>
    <t>INE208A01029</t>
  </si>
  <si>
    <t>Persistent Systems Ltd</t>
  </si>
  <si>
    <t>INE262H01013</t>
  </si>
  <si>
    <t>Mphasis Ltd</t>
  </si>
  <si>
    <t>INE356A01018</t>
  </si>
  <si>
    <t>Indiamart Intermesh Ltd</t>
  </si>
  <si>
    <t>INE933S01016</t>
  </si>
  <si>
    <t>Aarti Industries Ltd</t>
  </si>
  <si>
    <t>INE769A01020</t>
  </si>
  <si>
    <t>Info Edge (India) Ltd</t>
  </si>
  <si>
    <t>INE663F01024</t>
  </si>
  <si>
    <t>J.K. Cement Ltd</t>
  </si>
  <si>
    <t>INE823G01014</t>
  </si>
  <si>
    <t>Dr. Reddy's Laboratories Ltd</t>
  </si>
  <si>
    <t>INE089A01023</t>
  </si>
  <si>
    <t>Tata Consumer Products Ltd</t>
  </si>
  <si>
    <t>INE192A01025</t>
  </si>
  <si>
    <t>ICICI Prudential Life Insurance Co Ltd</t>
  </si>
  <si>
    <t>INE726G01019</t>
  </si>
  <si>
    <t>AU Small Finance Bank Ltd</t>
  </si>
  <si>
    <t>INE949L01017</t>
  </si>
  <si>
    <t>Coromandel International Ltd</t>
  </si>
  <si>
    <t>INE169A01031</t>
  </si>
  <si>
    <t>Fertilisers</t>
  </si>
  <si>
    <t>SBI Life Insurance Co Ltd</t>
  </si>
  <si>
    <t>INE123W01016</t>
  </si>
  <si>
    <t>Mahindra &amp; Mahindra Financial Services Ltd</t>
  </si>
  <si>
    <t>INE774D01024</t>
  </si>
  <si>
    <t>Avenue Supermarts Ltd</t>
  </si>
  <si>
    <t>INE192R01011</t>
  </si>
  <si>
    <t>Retailing</t>
  </si>
  <si>
    <t>Aditya Birla Fashion and Retail Ltd</t>
  </si>
  <si>
    <t>INE647O01011</t>
  </si>
  <si>
    <t>City Union Bank Ltd</t>
  </si>
  <si>
    <t>INE491A01021</t>
  </si>
  <si>
    <t>Kansai Nerolac Paints Ltd</t>
  </si>
  <si>
    <t>INE531A01024</t>
  </si>
  <si>
    <t>Gland Pharma Ltd</t>
  </si>
  <si>
    <t>INE068V01023</t>
  </si>
  <si>
    <t>Syngene International Ltd</t>
  </si>
  <si>
    <t>INE398R01022</t>
  </si>
  <si>
    <t>Polycab India Ltd</t>
  </si>
  <si>
    <t>INE455K01017</t>
  </si>
  <si>
    <t>Computer Age Management Services Ltd</t>
  </si>
  <si>
    <t>INE596I01012</t>
  </si>
  <si>
    <t>Indian Railway Catering And Tourism Corp Ltd</t>
  </si>
  <si>
    <t>INE335Y01012</t>
  </si>
  <si>
    <t>Services</t>
  </si>
  <si>
    <t>Century Textile &amp; Industries Ltd</t>
  </si>
  <si>
    <t>INE055A01016</t>
  </si>
  <si>
    <t>Paper</t>
  </si>
  <si>
    <t>ISGEC Heavy Engineering Ltd</t>
  </si>
  <si>
    <t>INE858B01029</t>
  </si>
  <si>
    <t>IN9647O01019</t>
  </si>
  <si>
    <t>Orient Electric Ltd</t>
  </si>
  <si>
    <t>INE142Z01019</t>
  </si>
  <si>
    <t>Dabur India Ltd</t>
  </si>
  <si>
    <t>INE016A01026</t>
  </si>
  <si>
    <t>Marico Ltd</t>
  </si>
  <si>
    <t>INE196A01026</t>
  </si>
  <si>
    <t>Godrej Consumer Products Ltd</t>
  </si>
  <si>
    <t>INE102D01028</t>
  </si>
  <si>
    <t>Berger Paints India Ltd</t>
  </si>
  <si>
    <t>INE463A01038</t>
  </si>
  <si>
    <t>Kajaria Ceramics Ltd</t>
  </si>
  <si>
    <t>INE217B01036</t>
  </si>
  <si>
    <t>ITC Ltd</t>
  </si>
  <si>
    <t>INE154A01025</t>
  </si>
  <si>
    <t>K.P.R. Mill Ltd</t>
  </si>
  <si>
    <t>INE930H01023</t>
  </si>
  <si>
    <t>Textile Products</t>
  </si>
  <si>
    <t>National Aluminium Co Ltd</t>
  </si>
  <si>
    <t>INE139A01034</t>
  </si>
  <si>
    <t>Deepak Nitrite Ltd</t>
  </si>
  <si>
    <t>INE288B01029</t>
  </si>
  <si>
    <t>Subros Ltd</t>
  </si>
  <si>
    <t>INE287B01021</t>
  </si>
  <si>
    <t>Creditaccess Grameen Ltd</t>
  </si>
  <si>
    <t>INE741K01010</t>
  </si>
  <si>
    <t>V-Mart Retail Ltd</t>
  </si>
  <si>
    <t>INE665J01013</t>
  </si>
  <si>
    <t>Finolex Industries Ltd</t>
  </si>
  <si>
    <t>INE183A01016</t>
  </si>
  <si>
    <t>Gulf Oil Lubricants India Ltd</t>
  </si>
  <si>
    <t>INE635Q01029</t>
  </si>
  <si>
    <t>Central Depository Services (India) Ltd</t>
  </si>
  <si>
    <t>INE736A01011</t>
  </si>
  <si>
    <t>Galaxy Surfactants Ltd</t>
  </si>
  <si>
    <t>INE600K01018</t>
  </si>
  <si>
    <t>Metropolis Healthcare Ltd</t>
  </si>
  <si>
    <t>INE112L01020</t>
  </si>
  <si>
    <t>BSE Ltd</t>
  </si>
  <si>
    <t>INE118H01025</t>
  </si>
  <si>
    <t>NOCIL Ltd</t>
  </si>
  <si>
    <t>INE163A01018</t>
  </si>
  <si>
    <t>EID Parry India Ltd</t>
  </si>
  <si>
    <t>INE126A01031</t>
  </si>
  <si>
    <t>Hindustan Zinc Ltd</t>
  </si>
  <si>
    <t>INE267A01025</t>
  </si>
  <si>
    <t>Rallis India Ltd</t>
  </si>
  <si>
    <t>INE613A01020</t>
  </si>
  <si>
    <t>The Great Eastern Shipping Co Ltd</t>
  </si>
  <si>
    <t>INE017A01032</t>
  </si>
  <si>
    <t>Indian Energy Exchange Ltd</t>
  </si>
  <si>
    <t>INE022Q01020</t>
  </si>
  <si>
    <t>Teamlease Services Ltd</t>
  </si>
  <si>
    <t>INE985S01024</t>
  </si>
  <si>
    <t>Commercial Services</t>
  </si>
  <si>
    <t>J.B. Chemicals &amp; Pharmaceuticals Ltd</t>
  </si>
  <si>
    <t>INE572A01028</t>
  </si>
  <si>
    <t>Avanti Feeds Ltd</t>
  </si>
  <si>
    <t>INE871C01038</t>
  </si>
  <si>
    <t>Escorts Ltd</t>
  </si>
  <si>
    <t>INE042A01014</t>
  </si>
  <si>
    <t>Fine Organic Industries Ltd</t>
  </si>
  <si>
    <t>INE686Y01026</t>
  </si>
  <si>
    <t>Dhanuka Agritech Ltd</t>
  </si>
  <si>
    <t>INE435G01025</t>
  </si>
  <si>
    <t>Greenply Industries Ltd</t>
  </si>
  <si>
    <t>INE461C01038</t>
  </si>
  <si>
    <t>Blue Dart Express Ltd</t>
  </si>
  <si>
    <t>INE233B01017</t>
  </si>
  <si>
    <t>Cholamandalam Financial Holdings Ltd</t>
  </si>
  <si>
    <t>INE149A01033</t>
  </si>
  <si>
    <t>Sobha Ltd</t>
  </si>
  <si>
    <t>INE671H01015</t>
  </si>
  <si>
    <t>HeidelbergCement India Ltd</t>
  </si>
  <si>
    <t>INE578A01017</t>
  </si>
  <si>
    <t>Cera Sanitaryware Ltd</t>
  </si>
  <si>
    <t>INE739E01017</t>
  </si>
  <si>
    <t>Hikal Ltd</t>
  </si>
  <si>
    <t>INE475B01022</t>
  </si>
  <si>
    <t>Gujarat State Petronet Ltd</t>
  </si>
  <si>
    <t>INE246F01010</t>
  </si>
  <si>
    <t>KSB Ltd</t>
  </si>
  <si>
    <t>INE999A01015</t>
  </si>
  <si>
    <t>Greenlam Industries Ltd</t>
  </si>
  <si>
    <t>INE544R01013</t>
  </si>
  <si>
    <t>Debt Instruments</t>
  </si>
  <si>
    <t>7.87% Housing Development Finance Corporation Ltd (18/07/2022) **</t>
  </si>
  <si>
    <t>INE001A07RW5</t>
  </si>
  <si>
    <t>CRISIL AAA</t>
  </si>
  <si>
    <t>7.07% Reliance Industries Ltd (24/12/2020)</t>
  </si>
  <si>
    <t>INE002A08526</t>
  </si>
  <si>
    <t>7.40% Power Finance Corporation Ltd (30/09/2021) **</t>
  </si>
  <si>
    <t>INE134E08IM4</t>
  </si>
  <si>
    <t>8.65% Reliance Industries Ltd (11/12/2028) **</t>
  </si>
  <si>
    <t>INE002A08567</t>
  </si>
  <si>
    <t>6.99% REC Ltd (31/12/2020) **</t>
  </si>
  <si>
    <t>INE020B08AN6</t>
  </si>
  <si>
    <t>7.17% Reliance Industries Ltd (08/11/2022) **</t>
  </si>
  <si>
    <t>INE002A08500</t>
  </si>
  <si>
    <t>7.22% LIC Housing Finance Ltd (19/11/2021) **</t>
  </si>
  <si>
    <t>INE115A07OP4</t>
  </si>
  <si>
    <t>CARE AAA</t>
  </si>
  <si>
    <t>7.15% Housing Development Finance Corporation Ltd (16/09/2021) **</t>
  </si>
  <si>
    <t>INE001A07RY1</t>
  </si>
  <si>
    <t>5.45% NTPC Ltd (15/10/2025) **</t>
  </si>
  <si>
    <t>INE733E08163</t>
  </si>
  <si>
    <t>7.99% Housing Development Finance Corporation Ltd (11/07/2024) **</t>
  </si>
  <si>
    <t>INE001A07RV7</t>
  </si>
  <si>
    <t>8.40% Indian Railway Finance Corporation Ltd (08/01/2029) **</t>
  </si>
  <si>
    <t>INE053F07AZ4</t>
  </si>
  <si>
    <t>7.69% National Bank For Agriculture &amp; Rural Development (29/05/2024) **</t>
  </si>
  <si>
    <t>INE261F08BK1</t>
  </si>
  <si>
    <t>7.75% LIC Housing Finance Ltd (23/07/2024) **</t>
  </si>
  <si>
    <t>INE115A07OL3</t>
  </si>
  <si>
    <t>7.45% REC Ltd (30/11/2022) **</t>
  </si>
  <si>
    <t>INE020B08AP1</t>
  </si>
  <si>
    <t>7.50% Power Finance Corporation Ltd (16/08/2021) **</t>
  </si>
  <si>
    <t>INE134E08IH4</t>
  </si>
  <si>
    <t>7.65% Small Industries Development Bank Of India (15/04/2021) **</t>
  </si>
  <si>
    <t>INE556F08JD2</t>
  </si>
  <si>
    <t>0.00% Sundaram Finance Ltd (15/06/2021) **</t>
  </si>
  <si>
    <t>INE660A07PN1</t>
  </si>
  <si>
    <t>ICRA AAA</t>
  </si>
  <si>
    <t>8.22% National Bank For Agriculture &amp; Rural Development (13/12/2028) **</t>
  </si>
  <si>
    <t>INE261F08AV0</t>
  </si>
  <si>
    <t>8.35% Indian Railway Finance Corporation Ltd (13/03/2029) **</t>
  </si>
  <si>
    <t>INE053F07BC1</t>
  </si>
  <si>
    <t>8.80% LIC Housing Finance Ltd (25/01/2029) **</t>
  </si>
  <si>
    <t>INE115A07NU6</t>
  </si>
  <si>
    <t>8.33% LIC Housing Finance Ltd (31/05/2024) **</t>
  </si>
  <si>
    <t>INE115A07OE8</t>
  </si>
  <si>
    <t>7.79% LIC Housing Finance Ltd (18/10/2024) **</t>
  </si>
  <si>
    <t>INE115A07OM1</t>
  </si>
  <si>
    <t>7.09% REC Ltd (13/12/2022) **</t>
  </si>
  <si>
    <t>INE020B08CD3</t>
  </si>
  <si>
    <t>6.27% Small Industries Development Bank Of India (27/02/2023) **</t>
  </si>
  <si>
    <t>INE556F08JP6</t>
  </si>
  <si>
    <t>8.70% Reliance Industries Ltd (15/06/2021) **</t>
  </si>
  <si>
    <t>INE110L07112</t>
  </si>
  <si>
    <t>7.47% Power Finance Corporation Ltd (16/09/2021) **</t>
  </si>
  <si>
    <t>INE134E08IJ0</t>
  </si>
  <si>
    <t>7.70% REC Ltd (15/03/2021) **</t>
  </si>
  <si>
    <t>INE020B08AS5</t>
  </si>
  <si>
    <t>8.30% Reliance Industries Ltd (08/03/2022) **</t>
  </si>
  <si>
    <t>INE002A08575</t>
  </si>
  <si>
    <t>8.30% NTPC Ltd (15/01/2029) **</t>
  </si>
  <si>
    <t>INE733E07KJ7</t>
  </si>
  <si>
    <t>8.13% Power Grid Corporation of India Ltd (25/04/2024) **</t>
  </si>
  <si>
    <t>INE752E07NQ6</t>
  </si>
  <si>
    <t>7.85% Power Finance Corporation Ltd (03/04/2028) **</t>
  </si>
  <si>
    <t>INE134E08JP5</t>
  </si>
  <si>
    <t>7.32% NTPC Ltd (17/07/2029) **</t>
  </si>
  <si>
    <t>INE733E07KL3</t>
  </si>
  <si>
    <t>7.35% Bharat Petroleum Corporation Ltd (10/03/2022) **</t>
  </si>
  <si>
    <t>INE029A07075</t>
  </si>
  <si>
    <t>8.60% National Bank For Agriculture &amp; Rural Development (31/01/2022)</t>
  </si>
  <si>
    <t>INE261F08AI7</t>
  </si>
  <si>
    <t>Government Bonds</t>
  </si>
  <si>
    <t>6.18% GOI (04/11/2024)</t>
  </si>
  <si>
    <t>IN0020190396</t>
  </si>
  <si>
    <t>Sovereign</t>
  </si>
  <si>
    <t>5.77% GOI (03/08/2030)</t>
  </si>
  <si>
    <t>IN0020200153</t>
  </si>
  <si>
    <t>7.35% GOI (22/06/2024)</t>
  </si>
  <si>
    <t>IN0020090034</t>
  </si>
  <si>
    <t>6.84% GOI (19/12/2022)</t>
  </si>
  <si>
    <t>IN0020160050</t>
  </si>
  <si>
    <t>7.26% GOI (14/01/2029)</t>
  </si>
  <si>
    <t>IN0020180454</t>
  </si>
  <si>
    <t>6.79% GOI (15/05/2027)</t>
  </si>
  <si>
    <t>IN0020170026</t>
  </si>
  <si>
    <t>8.24% GOI (15/02/2027)</t>
  </si>
  <si>
    <t>IN0020060078</t>
  </si>
  <si>
    <t>8.15% GOI (24/11/2026)</t>
  </si>
  <si>
    <t>IN0020140060</t>
  </si>
  <si>
    <t>7.16% GOI (20/09/2050)</t>
  </si>
  <si>
    <t>IN0020200054</t>
  </si>
  <si>
    <t>6.79% GOI (26/12/2029)</t>
  </si>
  <si>
    <t>IN0020160118</t>
  </si>
  <si>
    <t>5.22% GOI (15/06/2025)</t>
  </si>
  <si>
    <t>IN0020200112</t>
  </si>
  <si>
    <t>7.42% Maharashtra SDL 11-May-22</t>
  </si>
  <si>
    <t>IN2220170012</t>
  </si>
  <si>
    <t>8.81% Small Industries Development Bank Of India (25/01/2022) **</t>
  </si>
  <si>
    <t>INE556F08JI1</t>
  </si>
  <si>
    <t>Money Market Instruments</t>
  </si>
  <si>
    <t>Treasury Bill</t>
  </si>
  <si>
    <t>182 DAYS INDIA TREASURY BILLS 28-JAN-21</t>
  </si>
  <si>
    <t>IN002020Y173</t>
  </si>
  <si>
    <t xml:space="preserve"> Sovereign</t>
  </si>
  <si>
    <t>7.17% GOI (08/01/2028)</t>
  </si>
  <si>
    <t>IN0020170174</t>
  </si>
  <si>
    <t>7.27% GOI (08/04/2026)</t>
  </si>
  <si>
    <t>IN0020190016</t>
  </si>
  <si>
    <t>5.85% GOI (01/12/2030)</t>
  </si>
  <si>
    <t>IN0020200294</t>
  </si>
  <si>
    <t>7.57% GOI (17/06/2033)</t>
  </si>
  <si>
    <t>IN0020190065</t>
  </si>
  <si>
    <t>6.68% GOI (17/09/2031)</t>
  </si>
  <si>
    <t>IN0020170042</t>
  </si>
  <si>
    <t>5.15% GOI (09/11/2025)</t>
  </si>
  <si>
    <t>IN0020200278</t>
  </si>
  <si>
    <t>6.22% GOI (16/03/2035)</t>
  </si>
  <si>
    <t>IN0020200245</t>
  </si>
  <si>
    <t>8.13% GOI (22/06/2045)</t>
  </si>
  <si>
    <t>IN0020150044</t>
  </si>
  <si>
    <t>7.48% Indian Railway Finance Corporation Ltd (13/08/2029)</t>
  </si>
  <si>
    <t>INE053F07BU3</t>
  </si>
  <si>
    <t>7.43% National Bank For Agriculture &amp; Rural Development (31/01/2030) **</t>
  </si>
  <si>
    <t>INE261F08BX4</t>
  </si>
  <si>
    <t>7.50% Housing Development Finance Corporation Ltd (08/01/2025) **</t>
  </si>
  <si>
    <t>INE001A07SE1</t>
  </si>
  <si>
    <t>6.87% National Bank For Agriculture &amp; Rural Development (08/03/2030) **</t>
  </si>
  <si>
    <t>INE261F08CB8</t>
  </si>
  <si>
    <t>8.39% National Bank For Agriculture &amp; Rural Development (19/07/2021) **</t>
  </si>
  <si>
    <t>INE261F08AL1</t>
  </si>
  <si>
    <t>6.57% GOI (05/12/2033)</t>
  </si>
  <si>
    <t>IN0020160100</t>
  </si>
  <si>
    <t>6.19% GOI (16/09/2034)</t>
  </si>
  <si>
    <t>IN0020200096</t>
  </si>
  <si>
    <t>7.62% GOI (15/09/2039)</t>
  </si>
  <si>
    <t>IN0020190024</t>
  </si>
  <si>
    <t>6.68% UTTAR PRADESH SDL 16-SEP-30</t>
  </si>
  <si>
    <t>IN3320200097</t>
  </si>
  <si>
    <t>6.50% GUJARAT SDL 11-NOV-30</t>
  </si>
  <si>
    <t>IN1520200206</t>
  </si>
  <si>
    <t>8.47% Maharashtra SDL 10-Feb-26</t>
  </si>
  <si>
    <t>IN2220150188</t>
  </si>
  <si>
    <t>8.2534% LIC Housing Finance Ltd (17/09/2021) **</t>
  </si>
  <si>
    <t>INE115A07OA6</t>
  </si>
  <si>
    <t>7.35% Power Finance Corporation Ltd (15/10/2022) **</t>
  </si>
  <si>
    <t>INE134E08KG2</t>
  </si>
  <si>
    <t>0.00% Kotak Mahindra Prime Ltd (23/12/2020) **</t>
  </si>
  <si>
    <t>INE916DA7PH7</t>
  </si>
  <si>
    <t>8.18% Power Finance Corporation Ltd (19/03/2022) **</t>
  </si>
  <si>
    <t>INE134E08JW1</t>
  </si>
  <si>
    <t>9.36% Power Finance Corporation Ltd (01/08/2021) **</t>
  </si>
  <si>
    <t>INE134E08DR4</t>
  </si>
  <si>
    <t>7.66% LIC Housing Finance Ltd (21/10/2021) **</t>
  </si>
  <si>
    <t>INE115A07KR8</t>
  </si>
  <si>
    <t>8.32% Reliance Industries Ltd (08/07/2021) **</t>
  </si>
  <si>
    <t>INE110L07070</t>
  </si>
  <si>
    <t>6.32% REC Ltd (31/12/2021) **</t>
  </si>
  <si>
    <t>INE020B08CL6</t>
  </si>
  <si>
    <t>6.57% LIC Housing Finance Ltd (13/07/2021) **</t>
  </si>
  <si>
    <t>INE115A07OT6</t>
  </si>
  <si>
    <t>6.99% Housing Development Finance Corporation Ltd (25/11/2021)</t>
  </si>
  <si>
    <t>INE001A07SC5</t>
  </si>
  <si>
    <t>6.99% Small Industries Development Bank Of India (08/08/2022) **</t>
  </si>
  <si>
    <t>INE556F08JN1</t>
  </si>
  <si>
    <t>7.49% Power Grid Corporation of India Ltd (25/10/2024) **</t>
  </si>
  <si>
    <t>INE752E08593</t>
  </si>
  <si>
    <t>8.02% Larsen &amp; Toubro Ltd (22/05/2022) **</t>
  </si>
  <si>
    <t>INE018A08AS1</t>
  </si>
  <si>
    <t>6.75% Power Finance Corporation Ltd (22/05/2023)</t>
  </si>
  <si>
    <t>INE134E08KS7</t>
  </si>
  <si>
    <t>8.13% Power Grid Corporation of India Ltd (25/04/2022) **</t>
  </si>
  <si>
    <t>INE752E07NO1</t>
  </si>
  <si>
    <t>7.24% REC Ltd (31/12/2022) **</t>
  </si>
  <si>
    <t>INE020B08CG6</t>
  </si>
  <si>
    <t>6.98% National Bank For Agriculture &amp; Rural Development (19/09/2022) **</t>
  </si>
  <si>
    <t>INE261F08BO3</t>
  </si>
  <si>
    <t>7.24% LIC Housing Finance Ltd (23/08/2021) **</t>
  </si>
  <si>
    <t>INE115A07OK5</t>
  </si>
  <si>
    <t>Certificate of Deposit</t>
  </si>
  <si>
    <t>Bank of Baroda (01/06/2021) ** #</t>
  </si>
  <si>
    <t>INE028A16CG4</t>
  </si>
  <si>
    <t>IND A1+</t>
  </si>
  <si>
    <t>National Bank For Agriculture &amp; Rural Development (17/06/2021) ** #</t>
  </si>
  <si>
    <t>INE261F16546</t>
  </si>
  <si>
    <t>Axis Bank Ltd (22/10/2021) ** #</t>
  </si>
  <si>
    <t>INE238A166U3</t>
  </si>
  <si>
    <t>CRISIL A1+</t>
  </si>
  <si>
    <t>Kotak Mahindra Bank Ltd (22/12/2020) ** #</t>
  </si>
  <si>
    <t>INE237A169K9</t>
  </si>
  <si>
    <t>Axis Bank Ltd (10/03/2021) ** #</t>
  </si>
  <si>
    <t>INE238A165U5</t>
  </si>
  <si>
    <t>Axis Bank Ltd (12/02/2021) #</t>
  </si>
  <si>
    <t>INE238A161U4</t>
  </si>
  <si>
    <t>Commercial Paper</t>
  </si>
  <si>
    <t>Housing Development Finance Corporation Ltd (10/03/2021) ** #</t>
  </si>
  <si>
    <t>INE001A14WM2</t>
  </si>
  <si>
    <t>Reliance Industries Ltd (02/03/2021) ** #</t>
  </si>
  <si>
    <t>INE002A14EM8</t>
  </si>
  <si>
    <t>182 DAYS INDIA TREASURY BILLS 10-DEC-20</t>
  </si>
  <si>
    <t>IN002020Y108</t>
  </si>
  <si>
    <t>364 DAYS INDIA TREASURY BILLS 29-JUL-21</t>
  </si>
  <si>
    <t>IN002020Z170</t>
  </si>
  <si>
    <t>364 DAYS INDIA TREASURY BILLS 22-JUL-21</t>
  </si>
  <si>
    <t>IN002020Z162</t>
  </si>
  <si>
    <t>91 DAYS INDIA TREASURY BILLS 14-JAN-21</t>
  </si>
  <si>
    <t>IN002020X290</t>
  </si>
  <si>
    <t>364 DAYS INDIA TREASURY BILLS 08-APR-21</t>
  </si>
  <si>
    <t>IN002020Z014</t>
  </si>
  <si>
    <t>182 DAYS INDIA TREASURY BILLS 29-APR-21</t>
  </si>
  <si>
    <t>IN002020Y298</t>
  </si>
  <si>
    <t>364 DAYS INDIA TREASURY BILLS 07-MAY-21</t>
  </si>
  <si>
    <t>IN002020Z055</t>
  </si>
  <si>
    <t>5.54% GOI (15/10/2021)</t>
  </si>
  <si>
    <t>IN2120200059</t>
  </si>
  <si>
    <t>8.12% GOI (10/12/2020)</t>
  </si>
  <si>
    <t>IN0020120054</t>
  </si>
  <si>
    <t>7.68% GOI (15/12/2023)</t>
  </si>
  <si>
    <t>IN0020150010</t>
  </si>
  <si>
    <t>7.32% GOI (28/01/2024)</t>
  </si>
  <si>
    <t>IN0020180488</t>
  </si>
  <si>
    <t>9.23% GUJARAT SDL 23-NOV-21</t>
  </si>
  <si>
    <t>IN1520110090</t>
  </si>
  <si>
    <t>#  Unlisted Security</t>
  </si>
  <si>
    <t>Dalmia Bharat Ltd</t>
  </si>
  <si>
    <t>INE00R701025</t>
  </si>
  <si>
    <t>Transport Corporation of India Ltd</t>
  </si>
  <si>
    <t>INE688A01022</t>
  </si>
  <si>
    <t>8.95% Reliance Industries Ltd (09/11/2028) **</t>
  </si>
  <si>
    <t>INE002A08542</t>
  </si>
  <si>
    <t>364 DAYS INDIA TREASURY BILLS 23-SEP-21</t>
  </si>
  <si>
    <t>IN002020Z253</t>
  </si>
  <si>
    <t>6.58% UTTAR PRADESH SDL 25-NOV-30</t>
  </si>
  <si>
    <t>IN3320200188</t>
  </si>
  <si>
    <t>8.49% Punjab SDL Uday 31-Mar-22</t>
  </si>
  <si>
    <t>IN2820150273</t>
  </si>
  <si>
    <t>7.72% GOI (26/10/2055)</t>
  </si>
  <si>
    <t>IN0020150077</t>
  </si>
  <si>
    <t>7.59% GOI (11/01/2026)</t>
  </si>
  <si>
    <t>IN0020150093</t>
  </si>
  <si>
    <t>ICICI Bank Ltd (31/12/2020) ** #</t>
  </si>
  <si>
    <t>INE090A165W8</t>
  </si>
  <si>
    <t>ICRA A1+</t>
  </si>
  <si>
    <t>Axis Bank Ltd (18/12/2020) ** #</t>
  </si>
  <si>
    <t>INE238A166S7</t>
  </si>
  <si>
    <t>Axis Bank Ltd (04/01/2021) ** #</t>
  </si>
  <si>
    <t>INE238A163T2</t>
  </si>
  <si>
    <t>ICICI Bank Ltd (18/12/2020) #</t>
  </si>
  <si>
    <t>INE090A161W7</t>
  </si>
  <si>
    <t>Axis Bank Ltd (24/12/2020) ** #</t>
  </si>
  <si>
    <t>INE238A167S5</t>
  </si>
  <si>
    <t>Reliance Industries Ltd (29/12/2020) ** #</t>
  </si>
  <si>
    <t>INE002A14GI1</t>
  </si>
  <si>
    <t>NTPC Ltd (22/01/2021) ** #</t>
  </si>
  <si>
    <t>INE733E14930</t>
  </si>
  <si>
    <t>National Bank For Agriculture &amp; Rural Development (28/12/2020) ** #</t>
  </si>
  <si>
    <t>INE261F14HA7</t>
  </si>
  <si>
    <t>Housing Development Finance Corporation Ltd (13/01/2021) ** #</t>
  </si>
  <si>
    <t>INE001A14WG4</t>
  </si>
  <si>
    <t>91 DAYS INDIA TREASURY BILLS 10-DEC-20</t>
  </si>
  <si>
    <t>IN002020X258</t>
  </si>
  <si>
    <t>182 DAYS INDIA TREASURY BILLS 17-DEC-20</t>
  </si>
  <si>
    <t>IN002020Y116</t>
  </si>
  <si>
    <t>91 DAYS INDIA TREASURY BILLS 07-JAN-21</t>
  </si>
  <si>
    <t>IN002020X282</t>
  </si>
  <si>
    <t>182 DAYS INDIA TREASURY BILLS 03-DEC-20</t>
  </si>
  <si>
    <t>IN002020Y090</t>
  </si>
  <si>
    <t>91 DAYS INDIA TREASURY BILLS 03-DEC-20</t>
  </si>
  <si>
    <t>IN002020X241</t>
  </si>
  <si>
    <t>182 DAYS INDIA TREASURY BILLS 14-JAN-21</t>
  </si>
  <si>
    <t>IN002020Y157</t>
  </si>
  <si>
    <t>7.67% LIC Housing Finance Ltd (29/07/2021) **</t>
  </si>
  <si>
    <t>INE115A07LX4</t>
  </si>
  <si>
    <t>8.18% NTPC Ltd (31/12/2020) **</t>
  </si>
  <si>
    <t>INE733E07JY8</t>
  </si>
  <si>
    <t>7.20% Power Grid Corporation of India Ltd (21/12/2021) **</t>
  </si>
  <si>
    <t>INE752E07OD2</t>
  </si>
  <si>
    <t>7.06% Housing Development Finance Corporation Ltd (13/12/2021)</t>
  </si>
  <si>
    <t>INE001A07SL6</t>
  </si>
  <si>
    <t>7.10% Power Finance Corporation Ltd (08/08/2022) **</t>
  </si>
  <si>
    <t>INE134E08JD1</t>
  </si>
  <si>
    <t>8.70% Reliance Industries Ltd (16/07/2021) **</t>
  </si>
  <si>
    <t>INE110L07120</t>
  </si>
  <si>
    <t>9.4041% L&amp;T Housing Finance Ltd (11/10/2021) **</t>
  </si>
  <si>
    <t>INE476M07BQ0</t>
  </si>
  <si>
    <t>182 DAYS INDIA TREASURY BILLS 31-DEC-20</t>
  </si>
  <si>
    <t>IN002020Y132</t>
  </si>
  <si>
    <t>182 DAYS INDIA TREASURY BILLS 18-FEB-21</t>
  </si>
  <si>
    <t>IN002020Y207</t>
  </si>
  <si>
    <t>6.17% GOI (15/07/2021)</t>
  </si>
  <si>
    <t>IN0020190099</t>
  </si>
  <si>
    <t>6.59% Indian Railway Finance Corporation Ltd (14/04/2023) **</t>
  </si>
  <si>
    <t>INE053F07BZ2</t>
  </si>
  <si>
    <t>7.42% Power Finance Corporation Ltd (19/11/2024) **</t>
  </si>
  <si>
    <t>INE134E08KH0</t>
  </si>
  <si>
    <t>7.20% Housing Development Finance Corporation Ltd (13/04/2023) **</t>
  </si>
  <si>
    <t>INE001A07SJ0</t>
  </si>
  <si>
    <t>7.4450% LIC HOUSING FINANCE LTD13-JAN-23 **</t>
  </si>
  <si>
    <t>INE115A07OJ7</t>
  </si>
  <si>
    <t>5.32% National Housing Bank (01/09/2023) **</t>
  </si>
  <si>
    <t>INE557F08FK3</t>
  </si>
  <si>
    <t>7.16% Power Finance Corporation Ltd (24/04/2025) **</t>
  </si>
  <si>
    <t>INE134E08KP3</t>
  </si>
  <si>
    <t>8.15% REC Ltd (10/06/2022) **</t>
  </si>
  <si>
    <t>INE020B08BT1</t>
  </si>
  <si>
    <t>7.87% Larsen &amp; Toubro Ltd (18/04/2022) **</t>
  </si>
  <si>
    <t>INE018A08AR3</t>
  </si>
  <si>
    <t>6.80% Small Industries Development Bank Of India (29/09/2022) **</t>
  </si>
  <si>
    <t>INE556F08JO9</t>
  </si>
  <si>
    <t>6.72% Power Finance Corporation Ltd (09/06/2023)</t>
  </si>
  <si>
    <t>INE134E08KW9</t>
  </si>
  <si>
    <t>5.40% Housing Development Finance Corporation Ltd (11/08/2023) **</t>
  </si>
  <si>
    <t>INE001A07SP7</t>
  </si>
  <si>
    <t>7.85% LIC Housing Finance Ltd (23/09/2022) **</t>
  </si>
  <si>
    <t>INE115A07OG3</t>
  </si>
  <si>
    <t>7.85% National Bank For Agriculture &amp; Rural Development (23/05/2022) **</t>
  </si>
  <si>
    <t>INE261F08BJ3</t>
  </si>
  <si>
    <t>7.00% Reliance Industries Ltd (31/08/2022) **</t>
  </si>
  <si>
    <t>INE002A08476</t>
  </si>
  <si>
    <t>6.93% UltraTech Cement Ltd (25/11/2021) **</t>
  </si>
  <si>
    <t>INE481G08032</t>
  </si>
  <si>
    <t>7.5438%Kotak Mahindra Prime Ltd (08/01/2021) **</t>
  </si>
  <si>
    <t>INE916DA7PE4</t>
  </si>
  <si>
    <t>8.40% Power Grid Corporation of India Ltd (14/09/2021) **</t>
  </si>
  <si>
    <t>INE752E07MZ9</t>
  </si>
  <si>
    <t>8.40% Power Grid Corporation of India Ltd (27/05/2027) **</t>
  </si>
  <si>
    <t>INE752E07MT2</t>
  </si>
  <si>
    <t>8.40% Power Grid Corporation of India Ltd (27/05/2026) **</t>
  </si>
  <si>
    <t>INE752E07MS4</t>
  </si>
  <si>
    <t>8.50% National Bank For Agriculture &amp; Rural Development (31/01/2023) **</t>
  </si>
  <si>
    <t>INE261F08AT4</t>
  </si>
  <si>
    <t>7.55% Indian Railway Finance Corporation Ltd (12/04/2030) **</t>
  </si>
  <si>
    <t>INE053F07BY5</t>
  </si>
  <si>
    <t>8.50% LIC Housing Finance Ltd (20/06/2022) **</t>
  </si>
  <si>
    <t>INE115A07OD0</t>
  </si>
  <si>
    <t>8.25% Mahindra &amp; Mahindra Financial Services Ltd (19/04/2022) **</t>
  </si>
  <si>
    <t>INE774D07SC1</t>
  </si>
  <si>
    <t>6.60% REC Ltd (21/03/2022) **</t>
  </si>
  <si>
    <t>INE020B08CV5</t>
  </si>
  <si>
    <t>6.72% NTPC Ltd (24/11/2021) **</t>
  </si>
  <si>
    <t>INE733E07KH1</t>
  </si>
  <si>
    <t>8.10% NTPC Ltd (27/05/2021) **</t>
  </si>
  <si>
    <t>INE733E07KB4</t>
  </si>
  <si>
    <t>8.58% Housing Development Finance Corporation Ltd (18/03/2022)</t>
  </si>
  <si>
    <t>INE001A07RS3</t>
  </si>
  <si>
    <t>364 DAYS INDIA TREASURY BILLS 16-SEP-21</t>
  </si>
  <si>
    <t>IN002020Z246</t>
  </si>
  <si>
    <t>364 DAYS INDIA TREASURY BILLS 05-AUG-21</t>
  </si>
  <si>
    <t>IN002020Z188</t>
  </si>
  <si>
    <t>8.75% UTTAR PRADESH SDL 11-JAN-22</t>
  </si>
  <si>
    <t>IN3320110130</t>
  </si>
  <si>
    <t>8.62% MAHARASHTRA SDL 06-MAR-23</t>
  </si>
  <si>
    <t>IN2220120116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</si>
  <si>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</si>
  <si>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</si>
  <si>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</si>
  <si>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</si>
  <si>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</si>
  <si>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</si>
  <si>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8.21% Haryana SDL Uday 31-Mar-22</t>
  </si>
  <si>
    <t>IN1620150145</t>
  </si>
  <si>
    <t>8.88% GUJARAT SDL 06-JUN-22</t>
  </si>
  <si>
    <t>IN1520120032</t>
  </si>
  <si>
    <t>8.21% Rajasthan Uday 31-Mar-21</t>
  </si>
  <si>
    <t>IN2920150405</t>
  </si>
  <si>
    <t>7.86% Karnataka SDL 15-Mar-27</t>
  </si>
  <si>
    <t>IN1920160117</t>
  </si>
  <si>
    <t>7.40% LIC Housing Finance Ltd (06/09/2024) **</t>
  </si>
  <si>
    <t>INE115A07ML7</t>
  </si>
  <si>
    <t>8.10% Mahindra &amp; Mahindra Financial Services Ltd (19/04/2021) **</t>
  </si>
  <si>
    <t>INE774D07SB3</t>
  </si>
  <si>
    <t>IND AAA</t>
  </si>
  <si>
    <t>9.35% Power Grid Corporation of India Ltd (29/08/2023) **</t>
  </si>
  <si>
    <t>INE752E07IT0</t>
  </si>
  <si>
    <t>7.60% Grasim Industries Ltd (04/06/2024) **</t>
  </si>
  <si>
    <t>INE047A08158</t>
  </si>
  <si>
    <t>7.40% National Bank For Agriculture &amp; Rural Development (19/03/2030) **</t>
  </si>
  <si>
    <t>INE261F08CC6</t>
  </si>
  <si>
    <t>7.50% Indian Railway Finance Corporation Ltd (07/09/2029) **</t>
  </si>
  <si>
    <t>INE053F07BW9</t>
  </si>
  <si>
    <t>7.28% Housing Development Finance Corporation Ltd (26/09/2022) **</t>
  </si>
  <si>
    <t>INE001A07RZ8</t>
  </si>
  <si>
    <t>7.80% LIC Housing Finance Ltd (03/05/2022) **</t>
  </si>
  <si>
    <t>INE115A07LQ8</t>
  </si>
  <si>
    <t>7.25% Housing Development Finance Corporation Ltd (17/06/2030) **</t>
  </si>
  <si>
    <t>INE001A07SO0</t>
  </si>
  <si>
    <t>0.00% Aditya Birla Finance Ltd (12/10/2021) **</t>
  </si>
  <si>
    <t>INE860H07GD2</t>
  </si>
  <si>
    <t>8.84% MAHARASHTRA SDL 17-OCT-22</t>
  </si>
  <si>
    <t>IN2220120058</t>
  </si>
  <si>
    <t>9.25% UTTAR PRADESH SDL 23-NOV-21</t>
  </si>
  <si>
    <t>IN3320110106</t>
  </si>
  <si>
    <t>8.72% MAHARASHTRA SDL 11-JAN-22</t>
  </si>
  <si>
    <t>IN2220110083</t>
  </si>
  <si>
    <t>6.70% GUJARAT SDL 23-SEP-30</t>
  </si>
  <si>
    <t>IN1520200156</t>
  </si>
  <si>
    <t>0.00% Kotak Mahindra Prime Ltd (29/03/2021) **</t>
  </si>
  <si>
    <t>INE916DA7PK1</t>
  </si>
  <si>
    <t>0.00% HDB Financial Services Ltd (06/04/2021) **</t>
  </si>
  <si>
    <t>INE756I07BW1</t>
  </si>
  <si>
    <t>7.65% Indian Railway Finance Corporation Ltd (15/03/2021) **</t>
  </si>
  <si>
    <t>INE053F07AK6</t>
  </si>
  <si>
    <t>7.73% Power Finance Corporation Ltd (12/03/2021) **</t>
  </si>
  <si>
    <t>INE134E08JJ8</t>
  </si>
  <si>
    <t>0.00% Mahindra &amp; Mahindra Financial Services Ltd (07/04/2021) **</t>
  </si>
  <si>
    <t>INE774D07RY7</t>
  </si>
  <si>
    <t>8.33% NTPC Ltd (24/02/2021) **</t>
  </si>
  <si>
    <t>INE733E07JZ5</t>
  </si>
  <si>
    <t>8.75% LIC Housing Finance Ltd (12/02/2021) **</t>
  </si>
  <si>
    <t>INE115A07JB4</t>
  </si>
  <si>
    <t>8.75% Housing Development Finance Corporation Ltd (04/03/2021) **</t>
  </si>
  <si>
    <t>INE001A07OO9</t>
  </si>
  <si>
    <t>7.88% LIC Housing Finance Ltd (28/01/2021) **</t>
  </si>
  <si>
    <t>INE115A07MT0</t>
  </si>
  <si>
    <t>0.00% LIC Housing Finance Ltd (25/03/2021) **</t>
  </si>
  <si>
    <t>INE115A07MX2</t>
  </si>
  <si>
    <t>7.73% Power Finance Corporation Ltd (05/04/2021) **</t>
  </si>
  <si>
    <t>INE134E08JK6</t>
  </si>
  <si>
    <t>8.39% Rajasthan SDL 15-Mar-21</t>
  </si>
  <si>
    <t>IN2920150306</t>
  </si>
  <si>
    <t>8.43% Uttar Pradesh SDL Uday 29-Mar-21</t>
  </si>
  <si>
    <t>IN3320150656</t>
  </si>
  <si>
    <t>8.51% Uttar Pradesh SDL Uday 21-Mar-21</t>
  </si>
  <si>
    <t>IN3320150532</t>
  </si>
  <si>
    <t>HDFC Asset Management Company Ltd</t>
  </si>
  <si>
    <t>INE127D01025</t>
  </si>
  <si>
    <t>V.I.P. Industries Ltd</t>
  </si>
  <si>
    <t>INE054A01027</t>
  </si>
  <si>
    <t>7.73% REC Ltd (15/06/2021) **</t>
  </si>
  <si>
    <t>INE020B08AW7</t>
  </si>
  <si>
    <t>7.5320% Mahindra &amp; Mahin Fin Ser (29/01/2021) **</t>
  </si>
  <si>
    <t>INE774D07RV3</t>
  </si>
  <si>
    <t>7.93% Power Grid Corporation of India Ltd (20/05/2021) **</t>
  </si>
  <si>
    <t>INE752E07KS8</t>
  </si>
  <si>
    <t>8.71% HDB Financial Services Ltd (17/05/2021) **</t>
  </si>
  <si>
    <t>INE756I07CQ1</t>
  </si>
  <si>
    <t>8.50% LIC Housing Finance Ltd (05/01/2021) **</t>
  </si>
  <si>
    <t>INE115A07IO9</t>
  </si>
  <si>
    <t>9.57% Indian Railway Finance Corporation Ltd (31/05/2021) **</t>
  </si>
  <si>
    <t>INE053F09HR2</t>
  </si>
  <si>
    <t>9.64% Power Grid Corporation of India Ltd (31/05/2021) **</t>
  </si>
  <si>
    <t>INE752E07IG7</t>
  </si>
  <si>
    <t>7.18% REC Ltd (21/05/2021) **</t>
  </si>
  <si>
    <t>INE020B08AO4</t>
  </si>
  <si>
    <t>7.94% GOI (24/05/2021)</t>
  </si>
  <si>
    <t>IN0020060318</t>
  </si>
  <si>
    <t>10.25% GOI (30/05/2021)</t>
  </si>
  <si>
    <t>IN0020010040</t>
  </si>
  <si>
    <t>8.62% GUJARAT SDL 07-SEP-21</t>
  </si>
  <si>
    <t>IN1520110066</t>
  </si>
  <si>
    <t>7.95% LIC Housing Finance Ltd (24/03/2022) **</t>
  </si>
  <si>
    <t>INE115A07LM7</t>
  </si>
  <si>
    <t>8.99% GUJARAT SDL 14-MAR-22</t>
  </si>
  <si>
    <t>IN1520110132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</si>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</sst>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/>
    <xf numFmtId="4" fontId="6" fillId="2" borderId="0" xfId="0" applyNumberFormat="1" applyFont="1" applyFill="1"/>
    <xf numFmtId="0" fontId="7" fillId="2" borderId="0" xfId="0" applyFont="1" applyFill="1"/>
    <xf numFmtId="4" fontId="7" fillId="2" borderId="0" xfId="0" applyNumberFormat="1" applyFont="1" applyFill="1"/>
    <xf numFmtId="4" fontId="7" fillId="2" borderId="4" xfId="0" applyNumberFormat="1" applyFont="1" applyFill="1" applyBorder="1"/>
    <xf numFmtId="0" fontId="7" fillId="2" borderId="5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4" fontId="6" fillId="2" borderId="6" xfId="0" applyNumberFormat="1" applyFont="1" applyFill="1" applyBorder="1"/>
    <xf numFmtId="4" fontId="6" fillId="2" borderId="7" xfId="0" applyNumberFormat="1" applyFont="1" applyFill="1" applyBorder="1"/>
    <xf numFmtId="0" fontId="7" fillId="2" borderId="8" xfId="0" applyFont="1" applyFill="1" applyBorder="1"/>
    <xf numFmtId="0" fontId="6" fillId="2" borderId="9" xfId="0" applyFont="1" applyFill="1" applyBorder="1"/>
    <xf numFmtId="0" fontId="6" fillId="2" borderId="9" xfId="0" applyNumberFormat="1" applyFont="1" applyFill="1" applyBorder="1"/>
    <xf numFmtId="4" fontId="6" fillId="2" borderId="9" xfId="0" applyNumberFormat="1" applyFont="1" applyFill="1" applyBorder="1"/>
    <xf numFmtId="4" fontId="6" fillId="2" borderId="10" xfId="0" applyNumberFormat="1" applyFont="1" applyFill="1" applyBorder="1"/>
    <xf numFmtId="0" fontId="6" fillId="2" borderId="8" xfId="0" applyFont="1" applyFill="1" applyBorder="1"/>
    <xf numFmtId="3" fontId="6" fillId="2" borderId="9" xfId="0" applyNumberFormat="1" applyFont="1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12" xfId="0" applyNumberFormat="1" applyFont="1" applyFill="1" applyBorder="1"/>
    <xf numFmtId="4" fontId="7" fillId="2" borderId="13" xfId="0" applyNumberFormat="1" applyFont="1" applyFill="1" applyBorder="1"/>
    <xf numFmtId="4" fontId="7" fillId="2" borderId="14" xfId="0" applyNumberFormat="1" applyFont="1" applyFill="1" applyBorder="1"/>
    <xf numFmtId="0" fontId="7" fillId="2" borderId="15" xfId="0" applyFont="1" applyFill="1" applyBorder="1"/>
    <xf numFmtId="0" fontId="7" fillId="2" borderId="15" xfId="0" applyNumberFormat="1" applyFont="1" applyFill="1" applyBorder="1"/>
    <xf numFmtId="4" fontId="7" fillId="2" borderId="15" xfId="0" applyNumberFormat="1" applyFont="1" applyFill="1" applyBorder="1"/>
    <xf numFmtId="0" fontId="7" fillId="2" borderId="16" xfId="0" applyFont="1" applyFill="1" applyBorder="1"/>
    <xf numFmtId="0" fontId="7" fillId="2" borderId="16" xfId="0" applyNumberFormat="1" applyFont="1" applyFill="1" applyBorder="1"/>
    <xf numFmtId="4" fontId="7" fillId="2" borderId="16" xfId="0" applyNumberFormat="1" applyFont="1" applyFill="1" applyBorder="1"/>
    <xf numFmtId="0" fontId="7" fillId="2" borderId="17" xfId="0" applyFont="1" applyFill="1" applyBorder="1"/>
    <xf numFmtId="0" fontId="6" fillId="2" borderId="18" xfId="0" applyFont="1" applyFill="1" applyBorder="1"/>
    <xf numFmtId="0" fontId="6" fillId="2" borderId="18" xfId="0" applyNumberFormat="1" applyFont="1" applyFill="1" applyBorder="1"/>
    <xf numFmtId="4" fontId="6" fillId="2" borderId="18" xfId="0" applyNumberFormat="1" applyFont="1" applyFill="1" applyBorder="1"/>
    <xf numFmtId="0" fontId="7" fillId="2" borderId="4" xfId="0" applyFont="1" applyFill="1" applyBorder="1"/>
    <xf numFmtId="0" fontId="7" fillId="2" borderId="4" xfId="0" applyNumberFormat="1" applyFont="1" applyFill="1" applyBorder="1"/>
    <xf numFmtId="0" fontId="7" fillId="2" borderId="18" xfId="0" applyFont="1" applyFill="1" applyBorder="1"/>
    <xf numFmtId="0" fontId="7" fillId="2" borderId="9" xfId="0" applyFont="1" applyFill="1" applyBorder="1"/>
    <xf numFmtId="4" fontId="7" fillId="2" borderId="12" xfId="0" applyNumberFormat="1" applyFont="1" applyFill="1" applyBorder="1"/>
    <xf numFmtId="0" fontId="7" fillId="2" borderId="19" xfId="0" applyFont="1" applyFill="1" applyBorder="1"/>
    <xf numFmtId="0" fontId="7" fillId="2" borderId="19" xfId="0" applyNumberFormat="1" applyFont="1" applyFill="1" applyBorder="1"/>
    <xf numFmtId="4" fontId="7" fillId="2" borderId="19" xfId="0" applyNumberFormat="1" applyFont="1" applyFill="1" applyBorder="1"/>
    <xf numFmtId="0" fontId="6" fillId="2" borderId="20" xfId="0" applyFont="1" applyFill="1" applyBorder="1"/>
    <xf numFmtId="3" fontId="6" fillId="2" borderId="20" xfId="0" applyNumberFormat="1" applyFont="1" applyFill="1" applyBorder="1"/>
    <xf numFmtId="4" fontId="6" fillId="2" borderId="20" xfId="0" applyNumberFormat="1" applyFont="1" applyFill="1" applyBorder="1"/>
    <xf numFmtId="0" fontId="7" fillId="2" borderId="21" xfId="0" applyFont="1" applyFill="1" applyBorder="1"/>
    <xf numFmtId="0" fontId="7" fillId="2" borderId="21" xfId="0" applyNumberFormat="1" applyFont="1" applyFill="1" applyBorder="1"/>
    <xf numFmtId="4" fontId="7" fillId="2" borderId="21" xfId="0" applyNumberFormat="1" applyFont="1" applyFill="1" applyBorder="1"/>
    <xf numFmtId="0" fontId="7" fillId="2" borderId="6" xfId="0" applyFont="1" applyFill="1" applyBorder="1"/>
    <xf numFmtId="0" fontId="7" fillId="2" borderId="9" xfId="0" applyNumberFormat="1" applyFont="1" applyFill="1" applyBorder="1"/>
    <xf numFmtId="4" fontId="7" fillId="2" borderId="9" xfId="0" applyNumberFormat="1" applyFont="1" applyFill="1" applyBorder="1"/>
    <xf numFmtId="0" fontId="1" fillId="3" borderId="2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8"/>
  <sheetViews>
    <sheetView tabSelected="1" workbookViewId="0">
      <selection activeCell="B7" sqref="B7"/>
    </sheetView>
  </sheetViews>
  <sheetFormatPr defaultRowHeight="12" x14ac:dyDescent="0.2"/>
  <cols>
    <col min="1" max="1" width="9.140625" style="1"/>
    <col min="2" max="2" width="61" style="1" bestFit="1" customWidth="1"/>
    <col min="3" max="3" width="13.28515625" style="1" bestFit="1" customWidth="1"/>
    <col min="4" max="4" width="20.28515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8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33</v>
      </c>
      <c r="C7" s="23" t="s">
        <v>34</v>
      </c>
      <c r="D7" s="23" t="s">
        <v>35</v>
      </c>
      <c r="E7" s="28">
        <v>75800</v>
      </c>
      <c r="F7" s="25">
        <v>850.78</v>
      </c>
      <c r="G7" s="25">
        <v>8.7799999999999994</v>
      </c>
    </row>
    <row r="8" spans="2:7" x14ac:dyDescent="0.2">
      <c r="B8" s="27" t="s">
        <v>36</v>
      </c>
      <c r="C8" s="23" t="s">
        <v>37</v>
      </c>
      <c r="D8" s="23" t="s">
        <v>38</v>
      </c>
      <c r="E8" s="28">
        <v>25800</v>
      </c>
      <c r="F8" s="25">
        <v>497.89</v>
      </c>
      <c r="G8" s="25">
        <v>5.14</v>
      </c>
    </row>
    <row r="9" spans="2:7" x14ac:dyDescent="0.2">
      <c r="B9" s="27" t="s">
        <v>39</v>
      </c>
      <c r="C9" s="23" t="s">
        <v>40</v>
      </c>
      <c r="D9" s="23" t="s">
        <v>41</v>
      </c>
      <c r="E9" s="28">
        <v>54000</v>
      </c>
      <c r="F9" s="25">
        <v>481.76</v>
      </c>
      <c r="G9" s="25">
        <v>4.97</v>
      </c>
    </row>
    <row r="10" spans="2:7" x14ac:dyDescent="0.2">
      <c r="B10" s="27" t="s">
        <v>42</v>
      </c>
      <c r="C10" s="23" t="s">
        <v>43</v>
      </c>
      <c r="D10" s="23" t="s">
        <v>44</v>
      </c>
      <c r="E10" s="28">
        <v>90500</v>
      </c>
      <c r="F10" s="25">
        <v>428.38</v>
      </c>
      <c r="G10" s="25">
        <v>4.42</v>
      </c>
    </row>
    <row r="11" spans="2:7" x14ac:dyDescent="0.2">
      <c r="B11" s="27" t="s">
        <v>45</v>
      </c>
      <c r="C11" s="23" t="s">
        <v>46</v>
      </c>
      <c r="D11" s="23" t="s">
        <v>47</v>
      </c>
      <c r="E11" s="28">
        <v>1320</v>
      </c>
      <c r="F11" s="25">
        <v>421.83</v>
      </c>
      <c r="G11" s="25">
        <v>4.3499999999999996</v>
      </c>
    </row>
    <row r="12" spans="2:7" x14ac:dyDescent="0.2">
      <c r="B12" s="27" t="s">
        <v>48</v>
      </c>
      <c r="C12" s="23" t="s">
        <v>49</v>
      </c>
      <c r="D12" s="23" t="s">
        <v>47</v>
      </c>
      <c r="E12" s="28">
        <v>361000</v>
      </c>
      <c r="F12" s="25">
        <v>401.07</v>
      </c>
      <c r="G12" s="25">
        <v>4.1399999999999997</v>
      </c>
    </row>
    <row r="13" spans="2:7" x14ac:dyDescent="0.2">
      <c r="B13" s="27" t="s">
        <v>50</v>
      </c>
      <c r="C13" s="23" t="s">
        <v>51</v>
      </c>
      <c r="D13" s="23" t="s">
        <v>52</v>
      </c>
      <c r="E13" s="28">
        <v>130937</v>
      </c>
      <c r="F13" s="25">
        <v>373.3</v>
      </c>
      <c r="G13" s="25">
        <v>3.85</v>
      </c>
    </row>
    <row r="14" spans="2:7" x14ac:dyDescent="0.2">
      <c r="B14" s="27" t="s">
        <v>53</v>
      </c>
      <c r="C14" s="23" t="s">
        <v>54</v>
      </c>
      <c r="D14" s="23" t="s">
        <v>47</v>
      </c>
      <c r="E14" s="28">
        <v>24000</v>
      </c>
      <c r="F14" s="25">
        <v>363.23</v>
      </c>
      <c r="G14" s="25">
        <v>3.75</v>
      </c>
    </row>
    <row r="15" spans="2:7" x14ac:dyDescent="0.2">
      <c r="B15" s="27" t="s">
        <v>55</v>
      </c>
      <c r="C15" s="23" t="s">
        <v>56</v>
      </c>
      <c r="D15" s="23" t="s">
        <v>57</v>
      </c>
      <c r="E15" s="28">
        <v>44243</v>
      </c>
      <c r="F15" s="25">
        <v>356.8</v>
      </c>
      <c r="G15" s="25">
        <v>3.68</v>
      </c>
    </row>
    <row r="16" spans="2:7" x14ac:dyDescent="0.2">
      <c r="B16" s="27" t="s">
        <v>58</v>
      </c>
      <c r="C16" s="23" t="s">
        <v>59</v>
      </c>
      <c r="D16" s="23" t="s">
        <v>60</v>
      </c>
      <c r="E16" s="28">
        <v>43000</v>
      </c>
      <c r="F16" s="25">
        <v>346.84</v>
      </c>
      <c r="G16" s="25">
        <v>3.58</v>
      </c>
    </row>
    <row r="17" spans="2:7" x14ac:dyDescent="0.2">
      <c r="B17" s="27" t="s">
        <v>61</v>
      </c>
      <c r="C17" s="23" t="s">
        <v>62</v>
      </c>
      <c r="D17" s="23" t="s">
        <v>63</v>
      </c>
      <c r="E17" s="28">
        <v>97342</v>
      </c>
      <c r="F17" s="25">
        <v>339.58</v>
      </c>
      <c r="G17" s="25">
        <v>3.5</v>
      </c>
    </row>
    <row r="18" spans="2:7" x14ac:dyDescent="0.2">
      <c r="B18" s="27" t="s">
        <v>64</v>
      </c>
      <c r="C18" s="23" t="s">
        <v>65</v>
      </c>
      <c r="D18" s="23" t="s">
        <v>44</v>
      </c>
      <c r="E18" s="28">
        <v>137000</v>
      </c>
      <c r="F18" s="25">
        <v>334.62</v>
      </c>
      <c r="G18" s="25">
        <v>3.45</v>
      </c>
    </row>
    <row r="19" spans="2:7" x14ac:dyDescent="0.2">
      <c r="B19" s="27" t="s">
        <v>66</v>
      </c>
      <c r="C19" s="23" t="s">
        <v>67</v>
      </c>
      <c r="D19" s="23" t="s">
        <v>68</v>
      </c>
      <c r="E19" s="28">
        <v>17206</v>
      </c>
      <c r="F19" s="25">
        <v>319.39999999999998</v>
      </c>
      <c r="G19" s="25">
        <v>3.29</v>
      </c>
    </row>
    <row r="20" spans="2:7" x14ac:dyDescent="0.2">
      <c r="B20" s="27" t="s">
        <v>69</v>
      </c>
      <c r="C20" s="23" t="s">
        <v>70</v>
      </c>
      <c r="D20" s="23" t="s">
        <v>47</v>
      </c>
      <c r="E20" s="28">
        <v>35664</v>
      </c>
      <c r="F20" s="25">
        <v>318.62</v>
      </c>
      <c r="G20" s="25">
        <v>3.29</v>
      </c>
    </row>
    <row r="21" spans="2:7" x14ac:dyDescent="0.2">
      <c r="B21" s="27" t="s">
        <v>71</v>
      </c>
      <c r="C21" s="23" t="s">
        <v>72</v>
      </c>
      <c r="D21" s="23" t="s">
        <v>38</v>
      </c>
      <c r="E21" s="28">
        <v>150000</v>
      </c>
      <c r="F21" s="25">
        <v>314.02999999999997</v>
      </c>
      <c r="G21" s="25">
        <v>3.24</v>
      </c>
    </row>
    <row r="22" spans="2:7" x14ac:dyDescent="0.2">
      <c r="B22" s="27" t="s">
        <v>73</v>
      </c>
      <c r="C22" s="23" t="s">
        <v>74</v>
      </c>
      <c r="D22" s="23" t="s">
        <v>60</v>
      </c>
      <c r="E22" s="28">
        <v>11000</v>
      </c>
      <c r="F22" s="25">
        <v>263.95999999999998</v>
      </c>
      <c r="G22" s="25">
        <v>2.72</v>
      </c>
    </row>
    <row r="23" spans="2:7" x14ac:dyDescent="0.2">
      <c r="B23" s="27" t="s">
        <v>75</v>
      </c>
      <c r="C23" s="23" t="s">
        <v>76</v>
      </c>
      <c r="D23" s="23" t="s">
        <v>68</v>
      </c>
      <c r="E23" s="28">
        <v>20500</v>
      </c>
      <c r="F23" s="25">
        <v>246.3</v>
      </c>
      <c r="G23" s="25">
        <v>2.54</v>
      </c>
    </row>
    <row r="24" spans="2:7" x14ac:dyDescent="0.2">
      <c r="B24" s="27" t="s">
        <v>77</v>
      </c>
      <c r="C24" s="23" t="s">
        <v>78</v>
      </c>
      <c r="D24" s="23" t="s">
        <v>63</v>
      </c>
      <c r="E24" s="28">
        <v>91693</v>
      </c>
      <c r="F24" s="25">
        <v>230.38</v>
      </c>
      <c r="G24" s="25">
        <v>2.38</v>
      </c>
    </row>
    <row r="25" spans="2:7" x14ac:dyDescent="0.2">
      <c r="B25" s="27" t="s">
        <v>79</v>
      </c>
      <c r="C25" s="23" t="s">
        <v>80</v>
      </c>
      <c r="D25" s="23" t="s">
        <v>41</v>
      </c>
      <c r="E25" s="28">
        <v>85000</v>
      </c>
      <c r="F25" s="25">
        <v>221.89</v>
      </c>
      <c r="G25" s="25">
        <v>2.29</v>
      </c>
    </row>
    <row r="26" spans="2:7" x14ac:dyDescent="0.2">
      <c r="B26" s="27" t="s">
        <v>81</v>
      </c>
      <c r="C26" s="23" t="s">
        <v>82</v>
      </c>
      <c r="D26" s="23" t="s">
        <v>63</v>
      </c>
      <c r="E26" s="28">
        <v>43500</v>
      </c>
      <c r="F26" s="25">
        <v>215.93</v>
      </c>
      <c r="G26" s="25">
        <v>2.23</v>
      </c>
    </row>
    <row r="27" spans="2:7" x14ac:dyDescent="0.2">
      <c r="B27" s="27" t="s">
        <v>83</v>
      </c>
      <c r="C27" s="23" t="s">
        <v>84</v>
      </c>
      <c r="D27" s="23" t="s">
        <v>52</v>
      </c>
      <c r="E27" s="28">
        <v>85772</v>
      </c>
      <c r="F27" s="25">
        <v>211.13</v>
      </c>
      <c r="G27" s="25">
        <v>2.1800000000000002</v>
      </c>
    </row>
    <row r="28" spans="2:7" x14ac:dyDescent="0.2">
      <c r="B28" s="27" t="s">
        <v>85</v>
      </c>
      <c r="C28" s="23" t="s">
        <v>86</v>
      </c>
      <c r="D28" s="23" t="s">
        <v>60</v>
      </c>
      <c r="E28" s="28">
        <v>1750</v>
      </c>
      <c r="F28" s="25">
        <v>207.9</v>
      </c>
      <c r="G28" s="25">
        <v>2.14</v>
      </c>
    </row>
    <row r="29" spans="2:7" x14ac:dyDescent="0.2">
      <c r="B29" s="27" t="s">
        <v>87</v>
      </c>
      <c r="C29" s="23" t="s">
        <v>88</v>
      </c>
      <c r="D29" s="23" t="s">
        <v>60</v>
      </c>
      <c r="E29" s="28">
        <v>65000</v>
      </c>
      <c r="F29" s="25">
        <v>198.45</v>
      </c>
      <c r="G29" s="25">
        <v>2.0499999999999998</v>
      </c>
    </row>
    <row r="30" spans="2:7" x14ac:dyDescent="0.2">
      <c r="B30" s="27" t="s">
        <v>89</v>
      </c>
      <c r="C30" s="23" t="s">
        <v>90</v>
      </c>
      <c r="D30" s="23" t="s">
        <v>41</v>
      </c>
      <c r="E30" s="28">
        <v>800</v>
      </c>
      <c r="F30" s="25">
        <v>194.45</v>
      </c>
      <c r="G30" s="25">
        <v>2.0099999999999998</v>
      </c>
    </row>
    <row r="31" spans="2:7" x14ac:dyDescent="0.2">
      <c r="B31" s="27" t="s">
        <v>91</v>
      </c>
      <c r="C31" s="23" t="s">
        <v>92</v>
      </c>
      <c r="D31" s="23" t="s">
        <v>93</v>
      </c>
      <c r="E31" s="28">
        <v>99558</v>
      </c>
      <c r="F31" s="25">
        <v>191.55</v>
      </c>
      <c r="G31" s="25">
        <v>1.98</v>
      </c>
    </row>
    <row r="32" spans="2:7" x14ac:dyDescent="0.2">
      <c r="B32" s="27" t="s">
        <v>94</v>
      </c>
      <c r="C32" s="23" t="s">
        <v>95</v>
      </c>
      <c r="D32" s="23" t="s">
        <v>93</v>
      </c>
      <c r="E32" s="28">
        <v>201600</v>
      </c>
      <c r="F32" s="25">
        <v>190.92</v>
      </c>
      <c r="G32" s="25">
        <v>1.97</v>
      </c>
    </row>
    <row r="33" spans="2:9" x14ac:dyDescent="0.2">
      <c r="B33" s="27" t="s">
        <v>96</v>
      </c>
      <c r="C33" s="23" t="s">
        <v>97</v>
      </c>
      <c r="D33" s="23" t="s">
        <v>41</v>
      </c>
      <c r="E33" s="28">
        <v>3750</v>
      </c>
      <c r="F33" s="25">
        <v>180.08</v>
      </c>
      <c r="G33" s="25">
        <v>1.86</v>
      </c>
    </row>
    <row r="34" spans="2:9" x14ac:dyDescent="0.2">
      <c r="B34" s="27" t="s">
        <v>98</v>
      </c>
      <c r="C34" s="23" t="s">
        <v>99</v>
      </c>
      <c r="D34" s="23" t="s">
        <v>52</v>
      </c>
      <c r="E34" s="28">
        <v>100000</v>
      </c>
      <c r="F34" s="25">
        <v>170.7</v>
      </c>
      <c r="G34" s="25">
        <v>1.76</v>
      </c>
    </row>
    <row r="35" spans="2:9" x14ac:dyDescent="0.2">
      <c r="B35" s="27" t="s">
        <v>100</v>
      </c>
      <c r="C35" s="23" t="s">
        <v>101</v>
      </c>
      <c r="D35" s="23" t="s">
        <v>68</v>
      </c>
      <c r="E35" s="28">
        <v>4000</v>
      </c>
      <c r="F35" s="25">
        <v>159.37</v>
      </c>
      <c r="G35" s="25">
        <v>1.64</v>
      </c>
    </row>
    <row r="36" spans="2:9" x14ac:dyDescent="0.2">
      <c r="B36" s="27" t="s">
        <v>102</v>
      </c>
      <c r="C36" s="23" t="s">
        <v>103</v>
      </c>
      <c r="D36" s="23" t="s">
        <v>104</v>
      </c>
      <c r="E36" s="28">
        <v>65000</v>
      </c>
      <c r="F36" s="25">
        <v>147.13</v>
      </c>
      <c r="G36" s="25">
        <v>1.52</v>
      </c>
    </row>
    <row r="37" spans="2:9" x14ac:dyDescent="0.2">
      <c r="B37" s="27" t="s">
        <v>105</v>
      </c>
      <c r="C37" s="23" t="s">
        <v>106</v>
      </c>
      <c r="D37" s="23" t="s">
        <v>107</v>
      </c>
      <c r="E37" s="28">
        <v>27040</v>
      </c>
      <c r="F37" s="25">
        <v>125.26</v>
      </c>
      <c r="G37" s="25">
        <v>1.29</v>
      </c>
    </row>
    <row r="38" spans="2:9" x14ac:dyDescent="0.2">
      <c r="B38" s="27" t="s">
        <v>108</v>
      </c>
      <c r="C38" s="23" t="s">
        <v>109</v>
      </c>
      <c r="D38" s="23" t="s">
        <v>60</v>
      </c>
      <c r="E38" s="28">
        <v>15000</v>
      </c>
      <c r="F38" s="25">
        <v>121.78</v>
      </c>
      <c r="G38" s="25">
        <v>1.26</v>
      </c>
    </row>
    <row r="39" spans="2:9" x14ac:dyDescent="0.2">
      <c r="B39" s="29" t="s">
        <v>110</v>
      </c>
      <c r="C39" s="30"/>
      <c r="D39" s="30"/>
      <c r="E39" s="31"/>
      <c r="F39" s="32">
        <f>SUM(F7:F38)</f>
        <v>9425.3100000000013</v>
      </c>
      <c r="G39" s="32">
        <f>SUM(G7:G38)</f>
        <v>97.250000000000043</v>
      </c>
      <c r="H39" s="14"/>
      <c r="I39" s="14"/>
    </row>
    <row r="40" spans="2:9" x14ac:dyDescent="0.2">
      <c r="B40" s="37" t="s">
        <v>111</v>
      </c>
      <c r="C40" s="37"/>
      <c r="D40" s="37"/>
      <c r="E40" s="38"/>
      <c r="F40" s="39">
        <f>F39</f>
        <v>9425.3100000000013</v>
      </c>
      <c r="G40" s="39">
        <f>G39</f>
        <v>97.250000000000043</v>
      </c>
      <c r="H40" s="14"/>
      <c r="I40" s="14"/>
    </row>
    <row r="41" spans="2:9" x14ac:dyDescent="0.2">
      <c r="B41" s="40" t="s">
        <v>112</v>
      </c>
      <c r="C41" s="41"/>
      <c r="D41" s="41"/>
      <c r="E41" s="42"/>
      <c r="F41" s="43"/>
      <c r="G41" s="43"/>
    </row>
    <row r="42" spans="2:9" x14ac:dyDescent="0.2">
      <c r="B42" s="27" t="s">
        <v>112</v>
      </c>
      <c r="C42" s="23"/>
      <c r="D42" s="23"/>
      <c r="E42" s="24"/>
      <c r="F42" s="25">
        <v>90.04</v>
      </c>
      <c r="G42" s="25">
        <v>0.93</v>
      </c>
    </row>
    <row r="43" spans="2:9" x14ac:dyDescent="0.2">
      <c r="B43" s="29" t="s">
        <v>110</v>
      </c>
      <c r="C43" s="30"/>
      <c r="D43" s="30"/>
      <c r="E43" s="31"/>
      <c r="F43" s="32">
        <f>SUM(F41:F42)</f>
        <v>90.04</v>
      </c>
      <c r="G43" s="32">
        <f>SUM(G41:G42)</f>
        <v>0.93</v>
      </c>
      <c r="H43" s="14"/>
      <c r="I43" s="14"/>
    </row>
    <row r="44" spans="2:9" x14ac:dyDescent="0.2">
      <c r="B44" s="34" t="s">
        <v>111</v>
      </c>
      <c r="C44" s="34"/>
      <c r="D44" s="34"/>
      <c r="E44" s="35"/>
      <c r="F44" s="36">
        <f>F43</f>
        <v>90.04</v>
      </c>
      <c r="G44" s="36">
        <f>G43</f>
        <v>0.93</v>
      </c>
      <c r="H44" s="14"/>
      <c r="I44" s="14"/>
    </row>
    <row r="45" spans="2:9" x14ac:dyDescent="0.2">
      <c r="B45" s="44" t="s">
        <v>114</v>
      </c>
      <c r="C45" s="44"/>
      <c r="D45" s="44"/>
      <c r="E45" s="45"/>
      <c r="F45" s="16">
        <f>F46-(+F40+F44)</f>
        <v>172.12999999999738</v>
      </c>
      <c r="G45" s="16">
        <f>G46-(+G40+G44)</f>
        <v>1.8199999999999505</v>
      </c>
      <c r="H45" s="14"/>
      <c r="I45" s="14"/>
    </row>
    <row r="46" spans="2:9" x14ac:dyDescent="0.2">
      <c r="B46" s="44" t="s">
        <v>113</v>
      </c>
      <c r="C46" s="44"/>
      <c r="D46" s="44"/>
      <c r="E46" s="45"/>
      <c r="F46" s="16">
        <v>9687.48</v>
      </c>
      <c r="G46" s="16">
        <v>100</v>
      </c>
      <c r="H46" s="14"/>
      <c r="I46" s="14"/>
    </row>
    <row r="48" spans="2:9" x14ac:dyDescent="0.2">
      <c r="B48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1"/>
  <sheetViews>
    <sheetView workbookViewId="0">
      <selection activeCell="H8" sqref="H8"/>
    </sheetView>
  </sheetViews>
  <sheetFormatPr defaultRowHeight="12" x14ac:dyDescent="0.2"/>
  <cols>
    <col min="1" max="1" width="9.140625" style="1"/>
    <col min="2" max="2" width="61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9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115</v>
      </c>
      <c r="C7" s="23" t="s">
        <v>116</v>
      </c>
      <c r="D7" s="23" t="s">
        <v>44</v>
      </c>
      <c r="E7" s="28">
        <v>1552340</v>
      </c>
      <c r="F7" s="25">
        <v>22366.89</v>
      </c>
      <c r="G7" s="25">
        <v>8.0500000000000007</v>
      </c>
    </row>
    <row r="8" spans="2:7" x14ac:dyDescent="0.2">
      <c r="B8" s="27" t="s">
        <v>117</v>
      </c>
      <c r="C8" s="23" t="s">
        <v>118</v>
      </c>
      <c r="D8" s="23" t="s">
        <v>119</v>
      </c>
      <c r="E8" s="28">
        <v>1657188</v>
      </c>
      <c r="F8" s="25">
        <v>18229.07</v>
      </c>
      <c r="G8" s="25">
        <v>6.56</v>
      </c>
    </row>
    <row r="9" spans="2:7" x14ac:dyDescent="0.2">
      <c r="B9" s="27" t="s">
        <v>42</v>
      </c>
      <c r="C9" s="23" t="s">
        <v>43</v>
      </c>
      <c r="D9" s="23" t="s">
        <v>44</v>
      </c>
      <c r="E9" s="28">
        <v>3740550</v>
      </c>
      <c r="F9" s="25">
        <v>17705.89</v>
      </c>
      <c r="G9" s="25">
        <v>6.37</v>
      </c>
    </row>
    <row r="10" spans="2:7" x14ac:dyDescent="0.2">
      <c r="B10" s="27" t="s">
        <v>36</v>
      </c>
      <c r="C10" s="23" t="s">
        <v>37</v>
      </c>
      <c r="D10" s="23" t="s">
        <v>38</v>
      </c>
      <c r="E10" s="28">
        <v>802400</v>
      </c>
      <c r="F10" s="25">
        <v>15484.72</v>
      </c>
      <c r="G10" s="25">
        <v>5.57</v>
      </c>
    </row>
    <row r="11" spans="2:7" x14ac:dyDescent="0.2">
      <c r="B11" s="27" t="s">
        <v>120</v>
      </c>
      <c r="C11" s="23" t="s">
        <v>121</v>
      </c>
      <c r="D11" s="23" t="s">
        <v>122</v>
      </c>
      <c r="E11" s="28">
        <v>214500</v>
      </c>
      <c r="F11" s="25">
        <v>10529.38</v>
      </c>
      <c r="G11" s="25">
        <v>3.79</v>
      </c>
    </row>
    <row r="12" spans="2:7" x14ac:dyDescent="0.2">
      <c r="B12" s="27" t="s">
        <v>123</v>
      </c>
      <c r="C12" s="23" t="s">
        <v>124</v>
      </c>
      <c r="D12" s="23" t="s">
        <v>119</v>
      </c>
      <c r="E12" s="28">
        <v>380100</v>
      </c>
      <c r="F12" s="25">
        <v>10185.35</v>
      </c>
      <c r="G12" s="25">
        <v>3.66</v>
      </c>
    </row>
    <row r="13" spans="2:7" x14ac:dyDescent="0.2">
      <c r="B13" s="27" t="s">
        <v>125</v>
      </c>
      <c r="C13" s="23" t="s">
        <v>126</v>
      </c>
      <c r="D13" s="23" t="s">
        <v>122</v>
      </c>
      <c r="E13" s="28">
        <v>370900</v>
      </c>
      <c r="F13" s="25">
        <v>8368.43</v>
      </c>
      <c r="G13" s="25">
        <v>3.01</v>
      </c>
    </row>
    <row r="14" spans="2:7" x14ac:dyDescent="0.2">
      <c r="B14" s="27" t="s">
        <v>127</v>
      </c>
      <c r="C14" s="23" t="s">
        <v>128</v>
      </c>
      <c r="D14" s="23" t="s">
        <v>44</v>
      </c>
      <c r="E14" s="28">
        <v>1353600</v>
      </c>
      <c r="F14" s="25">
        <v>8143.26</v>
      </c>
      <c r="G14" s="25">
        <v>2.93</v>
      </c>
    </row>
    <row r="15" spans="2:7" x14ac:dyDescent="0.2">
      <c r="B15" s="27" t="s">
        <v>129</v>
      </c>
      <c r="C15" s="23" t="s">
        <v>130</v>
      </c>
      <c r="D15" s="23" t="s">
        <v>131</v>
      </c>
      <c r="E15" s="28">
        <v>355400</v>
      </c>
      <c r="F15" s="25">
        <v>7599.16</v>
      </c>
      <c r="G15" s="25">
        <v>2.73</v>
      </c>
    </row>
    <row r="16" spans="2:7" x14ac:dyDescent="0.2">
      <c r="B16" s="27" t="s">
        <v>132</v>
      </c>
      <c r="C16" s="23" t="s">
        <v>133</v>
      </c>
      <c r="D16" s="23" t="s">
        <v>44</v>
      </c>
      <c r="E16" s="28">
        <v>391651</v>
      </c>
      <c r="F16" s="25">
        <v>7469.18</v>
      </c>
      <c r="G16" s="25">
        <v>2.69</v>
      </c>
    </row>
    <row r="17" spans="2:7" x14ac:dyDescent="0.2">
      <c r="B17" s="27" t="s">
        <v>134</v>
      </c>
      <c r="C17" s="23" t="s">
        <v>135</v>
      </c>
      <c r="D17" s="23" t="s">
        <v>136</v>
      </c>
      <c r="E17" s="28">
        <v>157032</v>
      </c>
      <c r="F17" s="25">
        <v>5661.16</v>
      </c>
      <c r="G17" s="25">
        <v>2.04</v>
      </c>
    </row>
    <row r="18" spans="2:7" x14ac:dyDescent="0.2">
      <c r="B18" s="27" t="s">
        <v>96</v>
      </c>
      <c r="C18" s="23" t="s">
        <v>97</v>
      </c>
      <c r="D18" s="23" t="s">
        <v>41</v>
      </c>
      <c r="E18" s="28">
        <v>116971</v>
      </c>
      <c r="F18" s="25">
        <v>5616.95</v>
      </c>
      <c r="G18" s="25">
        <v>2.02</v>
      </c>
    </row>
    <row r="19" spans="2:7" x14ac:dyDescent="0.2">
      <c r="B19" s="27" t="s">
        <v>58</v>
      </c>
      <c r="C19" s="23" t="s">
        <v>59</v>
      </c>
      <c r="D19" s="23" t="s">
        <v>60</v>
      </c>
      <c r="E19" s="28">
        <v>690429</v>
      </c>
      <c r="F19" s="25">
        <v>5569</v>
      </c>
      <c r="G19" s="25">
        <v>2</v>
      </c>
    </row>
    <row r="20" spans="2:7" x14ac:dyDescent="0.2">
      <c r="B20" s="27" t="s">
        <v>137</v>
      </c>
      <c r="C20" s="23" t="s">
        <v>138</v>
      </c>
      <c r="D20" s="23" t="s">
        <v>119</v>
      </c>
      <c r="E20" s="28">
        <v>670000</v>
      </c>
      <c r="F20" s="25">
        <v>5508.07</v>
      </c>
      <c r="G20" s="25">
        <v>1.98</v>
      </c>
    </row>
    <row r="21" spans="2:7" x14ac:dyDescent="0.2">
      <c r="B21" s="27" t="s">
        <v>139</v>
      </c>
      <c r="C21" s="23" t="s">
        <v>140</v>
      </c>
      <c r="D21" s="23" t="s">
        <v>141</v>
      </c>
      <c r="E21" s="28">
        <v>695000</v>
      </c>
      <c r="F21" s="25">
        <v>5017.8999999999996</v>
      </c>
      <c r="G21" s="25">
        <v>1.81</v>
      </c>
    </row>
    <row r="22" spans="2:7" x14ac:dyDescent="0.2">
      <c r="B22" s="27" t="s">
        <v>105</v>
      </c>
      <c r="C22" s="23" t="s">
        <v>106</v>
      </c>
      <c r="D22" s="23" t="s">
        <v>107</v>
      </c>
      <c r="E22" s="28">
        <v>1047334</v>
      </c>
      <c r="F22" s="25">
        <v>4851.7700000000004</v>
      </c>
      <c r="G22" s="25">
        <v>1.75</v>
      </c>
    </row>
    <row r="23" spans="2:7" x14ac:dyDescent="0.2">
      <c r="B23" s="27" t="s">
        <v>142</v>
      </c>
      <c r="C23" s="23" t="s">
        <v>143</v>
      </c>
      <c r="D23" s="23" t="s">
        <v>141</v>
      </c>
      <c r="E23" s="28">
        <v>61626</v>
      </c>
      <c r="F23" s="25">
        <v>4335.88</v>
      </c>
      <c r="G23" s="25">
        <v>1.56</v>
      </c>
    </row>
    <row r="24" spans="2:7" x14ac:dyDescent="0.2">
      <c r="B24" s="27" t="s">
        <v>144</v>
      </c>
      <c r="C24" s="23" t="s">
        <v>145</v>
      </c>
      <c r="D24" s="23" t="s">
        <v>60</v>
      </c>
      <c r="E24" s="28">
        <v>288800</v>
      </c>
      <c r="F24" s="25">
        <v>3931.15</v>
      </c>
      <c r="G24" s="25">
        <v>1.41</v>
      </c>
    </row>
    <row r="25" spans="2:7" x14ac:dyDescent="0.2">
      <c r="B25" s="27" t="s">
        <v>146</v>
      </c>
      <c r="C25" s="23" t="s">
        <v>147</v>
      </c>
      <c r="D25" s="23" t="s">
        <v>148</v>
      </c>
      <c r="E25" s="28">
        <v>174975</v>
      </c>
      <c r="F25" s="25">
        <v>3864.15</v>
      </c>
      <c r="G25" s="25">
        <v>1.39</v>
      </c>
    </row>
    <row r="26" spans="2:7" x14ac:dyDescent="0.2">
      <c r="B26" s="27" t="s">
        <v>149</v>
      </c>
      <c r="C26" s="23" t="s">
        <v>150</v>
      </c>
      <c r="D26" s="23" t="s">
        <v>141</v>
      </c>
      <c r="E26" s="28">
        <v>116500</v>
      </c>
      <c r="F26" s="25">
        <v>3621.81</v>
      </c>
      <c r="G26" s="25">
        <v>1.3</v>
      </c>
    </row>
    <row r="27" spans="2:7" x14ac:dyDescent="0.2">
      <c r="B27" s="27" t="s">
        <v>151</v>
      </c>
      <c r="C27" s="23" t="s">
        <v>152</v>
      </c>
      <c r="D27" s="23" t="s">
        <v>131</v>
      </c>
      <c r="E27" s="28">
        <v>20000</v>
      </c>
      <c r="F27" s="25">
        <v>3577.79</v>
      </c>
      <c r="G27" s="25">
        <v>1.29</v>
      </c>
    </row>
    <row r="28" spans="2:7" x14ac:dyDescent="0.2">
      <c r="B28" s="27" t="s">
        <v>153</v>
      </c>
      <c r="C28" s="23" t="s">
        <v>154</v>
      </c>
      <c r="D28" s="23" t="s">
        <v>131</v>
      </c>
      <c r="E28" s="28">
        <v>94490</v>
      </c>
      <c r="F28" s="25">
        <v>3437.5</v>
      </c>
      <c r="G28" s="25">
        <v>1.24</v>
      </c>
    </row>
    <row r="29" spans="2:7" x14ac:dyDescent="0.2">
      <c r="B29" s="27" t="s">
        <v>81</v>
      </c>
      <c r="C29" s="23" t="s">
        <v>82</v>
      </c>
      <c r="D29" s="23" t="s">
        <v>63</v>
      </c>
      <c r="E29" s="28">
        <v>688000</v>
      </c>
      <c r="F29" s="25">
        <v>3415.23</v>
      </c>
      <c r="G29" s="25">
        <v>1.23</v>
      </c>
    </row>
    <row r="30" spans="2:7" x14ac:dyDescent="0.2">
      <c r="B30" s="27" t="s">
        <v>155</v>
      </c>
      <c r="C30" s="23" t="s">
        <v>156</v>
      </c>
      <c r="D30" s="23" t="s">
        <v>136</v>
      </c>
      <c r="E30" s="28">
        <v>150659</v>
      </c>
      <c r="F30" s="25">
        <v>3264.4</v>
      </c>
      <c r="G30" s="25">
        <v>1.17</v>
      </c>
    </row>
    <row r="31" spans="2:7" x14ac:dyDescent="0.2">
      <c r="B31" s="27" t="s">
        <v>45</v>
      </c>
      <c r="C31" s="23" t="s">
        <v>46</v>
      </c>
      <c r="D31" s="23" t="s">
        <v>47</v>
      </c>
      <c r="E31" s="28">
        <v>9910</v>
      </c>
      <c r="F31" s="25">
        <v>3166.94</v>
      </c>
      <c r="G31" s="25">
        <v>1.1399999999999999</v>
      </c>
    </row>
    <row r="32" spans="2:7" x14ac:dyDescent="0.2">
      <c r="B32" s="27" t="s">
        <v>157</v>
      </c>
      <c r="C32" s="23" t="s">
        <v>158</v>
      </c>
      <c r="D32" s="23" t="s">
        <v>159</v>
      </c>
      <c r="E32" s="28">
        <v>116780</v>
      </c>
      <c r="F32" s="25">
        <v>3138</v>
      </c>
      <c r="G32" s="25">
        <v>1.1299999999999999</v>
      </c>
    </row>
    <row r="33" spans="2:7" x14ac:dyDescent="0.2">
      <c r="B33" s="27" t="s">
        <v>160</v>
      </c>
      <c r="C33" s="23" t="s">
        <v>161</v>
      </c>
      <c r="D33" s="23" t="s">
        <v>122</v>
      </c>
      <c r="E33" s="28">
        <v>193250</v>
      </c>
      <c r="F33" s="25">
        <v>3120.89</v>
      </c>
      <c r="G33" s="25">
        <v>1.1200000000000001</v>
      </c>
    </row>
    <row r="34" spans="2:7" x14ac:dyDescent="0.2">
      <c r="B34" s="27" t="s">
        <v>33</v>
      </c>
      <c r="C34" s="23" t="s">
        <v>34</v>
      </c>
      <c r="D34" s="23" t="s">
        <v>35</v>
      </c>
      <c r="E34" s="28">
        <v>277954</v>
      </c>
      <c r="F34" s="25">
        <v>3119.76</v>
      </c>
      <c r="G34" s="25">
        <v>1.1200000000000001</v>
      </c>
    </row>
    <row r="35" spans="2:7" x14ac:dyDescent="0.2">
      <c r="B35" s="27" t="s">
        <v>162</v>
      </c>
      <c r="C35" s="23" t="s">
        <v>163</v>
      </c>
      <c r="D35" s="23" t="s">
        <v>164</v>
      </c>
      <c r="E35" s="28">
        <v>187500</v>
      </c>
      <c r="F35" s="25">
        <v>3111.38</v>
      </c>
      <c r="G35" s="25">
        <v>1.1200000000000001</v>
      </c>
    </row>
    <row r="36" spans="2:7" x14ac:dyDescent="0.2">
      <c r="B36" s="27" t="s">
        <v>165</v>
      </c>
      <c r="C36" s="23" t="s">
        <v>166</v>
      </c>
      <c r="D36" s="23" t="s">
        <v>136</v>
      </c>
      <c r="E36" s="28">
        <v>19860</v>
      </c>
      <c r="F36" s="25">
        <v>3058.25</v>
      </c>
      <c r="G36" s="25">
        <v>1.1000000000000001</v>
      </c>
    </row>
    <row r="37" spans="2:7" x14ac:dyDescent="0.2">
      <c r="B37" s="27" t="s">
        <v>61</v>
      </c>
      <c r="C37" s="23" t="s">
        <v>62</v>
      </c>
      <c r="D37" s="23" t="s">
        <v>63</v>
      </c>
      <c r="E37" s="28">
        <v>864056</v>
      </c>
      <c r="F37" s="25">
        <v>3014.26</v>
      </c>
      <c r="G37" s="25">
        <v>1.08</v>
      </c>
    </row>
    <row r="38" spans="2:7" x14ac:dyDescent="0.2">
      <c r="B38" s="27" t="s">
        <v>167</v>
      </c>
      <c r="C38" s="23" t="s">
        <v>168</v>
      </c>
      <c r="D38" s="23" t="s">
        <v>136</v>
      </c>
      <c r="E38" s="28">
        <v>105104</v>
      </c>
      <c r="F38" s="25">
        <v>2986.69</v>
      </c>
      <c r="G38" s="25">
        <v>1.07</v>
      </c>
    </row>
    <row r="39" spans="2:7" x14ac:dyDescent="0.2">
      <c r="B39" s="27" t="s">
        <v>169</v>
      </c>
      <c r="C39" s="23" t="s">
        <v>170</v>
      </c>
      <c r="D39" s="23" t="s">
        <v>60</v>
      </c>
      <c r="E39" s="28">
        <v>185000</v>
      </c>
      <c r="F39" s="25">
        <v>2909.87</v>
      </c>
      <c r="G39" s="25">
        <v>1.05</v>
      </c>
    </row>
    <row r="40" spans="2:7" x14ac:dyDescent="0.2">
      <c r="B40" s="27" t="s">
        <v>171</v>
      </c>
      <c r="C40" s="23" t="s">
        <v>172</v>
      </c>
      <c r="D40" s="23" t="s">
        <v>122</v>
      </c>
      <c r="E40" s="28">
        <v>445000</v>
      </c>
      <c r="F40" s="25">
        <v>2878.26</v>
      </c>
      <c r="G40" s="25">
        <v>1.04</v>
      </c>
    </row>
    <row r="41" spans="2:7" x14ac:dyDescent="0.2">
      <c r="B41" s="27" t="s">
        <v>173</v>
      </c>
      <c r="C41" s="23" t="s">
        <v>174</v>
      </c>
      <c r="D41" s="23" t="s">
        <v>159</v>
      </c>
      <c r="E41" s="28">
        <v>44752</v>
      </c>
      <c r="F41" s="25">
        <v>2824.01</v>
      </c>
      <c r="G41" s="25">
        <v>1.02</v>
      </c>
    </row>
    <row r="42" spans="2:7" x14ac:dyDescent="0.2">
      <c r="B42" s="27" t="s">
        <v>175</v>
      </c>
      <c r="C42" s="23" t="s">
        <v>176</v>
      </c>
      <c r="D42" s="23" t="s">
        <v>136</v>
      </c>
      <c r="E42" s="28">
        <v>375000</v>
      </c>
      <c r="F42" s="25">
        <v>2796</v>
      </c>
      <c r="G42" s="25">
        <v>1.01</v>
      </c>
    </row>
    <row r="43" spans="2:7" x14ac:dyDescent="0.2">
      <c r="B43" s="27" t="s">
        <v>55</v>
      </c>
      <c r="C43" s="23" t="s">
        <v>56</v>
      </c>
      <c r="D43" s="23" t="s">
        <v>57</v>
      </c>
      <c r="E43" s="28">
        <v>340979</v>
      </c>
      <c r="F43" s="25">
        <v>2749.83</v>
      </c>
      <c r="G43" s="25">
        <v>0.99</v>
      </c>
    </row>
    <row r="44" spans="2:7" x14ac:dyDescent="0.2">
      <c r="B44" s="27" t="s">
        <v>177</v>
      </c>
      <c r="C44" s="23" t="s">
        <v>178</v>
      </c>
      <c r="D44" s="23" t="s">
        <v>68</v>
      </c>
      <c r="E44" s="28">
        <v>536750</v>
      </c>
      <c r="F44" s="25">
        <v>2728.57</v>
      </c>
      <c r="G44" s="25">
        <v>0.98</v>
      </c>
    </row>
    <row r="45" spans="2:7" x14ac:dyDescent="0.2">
      <c r="B45" s="27" t="s">
        <v>179</v>
      </c>
      <c r="C45" s="23" t="s">
        <v>180</v>
      </c>
      <c r="D45" s="23" t="s">
        <v>159</v>
      </c>
      <c r="E45" s="28">
        <v>225000</v>
      </c>
      <c r="F45" s="25">
        <v>2650.16</v>
      </c>
      <c r="G45" s="25">
        <v>0.95</v>
      </c>
    </row>
    <row r="46" spans="2:7" x14ac:dyDescent="0.2">
      <c r="B46" s="27" t="s">
        <v>181</v>
      </c>
      <c r="C46" s="23" t="s">
        <v>182</v>
      </c>
      <c r="D46" s="23" t="s">
        <v>183</v>
      </c>
      <c r="E46" s="28">
        <v>115394</v>
      </c>
      <c r="F46" s="25">
        <v>2643.1</v>
      </c>
      <c r="G46" s="25">
        <v>0.95</v>
      </c>
    </row>
    <row r="47" spans="2:7" x14ac:dyDescent="0.2">
      <c r="B47" s="27" t="s">
        <v>89</v>
      </c>
      <c r="C47" s="23" t="s">
        <v>90</v>
      </c>
      <c r="D47" s="23" t="s">
        <v>41</v>
      </c>
      <c r="E47" s="28">
        <v>10842</v>
      </c>
      <c r="F47" s="25">
        <v>2635.29</v>
      </c>
      <c r="G47" s="25">
        <v>0.95</v>
      </c>
    </row>
    <row r="48" spans="2:7" x14ac:dyDescent="0.2">
      <c r="B48" s="27" t="s">
        <v>184</v>
      </c>
      <c r="C48" s="23" t="s">
        <v>185</v>
      </c>
      <c r="D48" s="23" t="s">
        <v>60</v>
      </c>
      <c r="E48" s="28">
        <v>115028</v>
      </c>
      <c r="F48" s="25">
        <v>2511.41</v>
      </c>
      <c r="G48" s="25">
        <v>0.9</v>
      </c>
    </row>
    <row r="49" spans="2:9" x14ac:dyDescent="0.2">
      <c r="B49" s="27" t="s">
        <v>186</v>
      </c>
      <c r="C49" s="23" t="s">
        <v>187</v>
      </c>
      <c r="D49" s="23" t="s">
        <v>122</v>
      </c>
      <c r="E49" s="28">
        <v>450940</v>
      </c>
      <c r="F49" s="25">
        <v>2473.63</v>
      </c>
      <c r="G49" s="25">
        <v>0.89</v>
      </c>
    </row>
    <row r="50" spans="2:9" x14ac:dyDescent="0.2">
      <c r="B50" s="27" t="s">
        <v>188</v>
      </c>
      <c r="C50" s="23" t="s">
        <v>189</v>
      </c>
      <c r="D50" s="23" t="s">
        <v>164</v>
      </c>
      <c r="E50" s="28">
        <v>630000</v>
      </c>
      <c r="F50" s="25">
        <v>2435.58</v>
      </c>
      <c r="G50" s="25">
        <v>0.88</v>
      </c>
    </row>
    <row r="51" spans="2:9" x14ac:dyDescent="0.2">
      <c r="B51" s="27" t="s">
        <v>190</v>
      </c>
      <c r="C51" s="23" t="s">
        <v>191</v>
      </c>
      <c r="D51" s="23" t="s">
        <v>122</v>
      </c>
      <c r="E51" s="28">
        <v>500000</v>
      </c>
      <c r="F51" s="25">
        <v>2409.75</v>
      </c>
      <c r="G51" s="25">
        <v>0.87</v>
      </c>
    </row>
    <row r="52" spans="2:9" x14ac:dyDescent="0.2">
      <c r="B52" s="27" t="s">
        <v>192</v>
      </c>
      <c r="C52" s="23" t="s">
        <v>193</v>
      </c>
      <c r="D52" s="23" t="s">
        <v>136</v>
      </c>
      <c r="E52" s="28">
        <v>465000</v>
      </c>
      <c r="F52" s="25">
        <v>2379.17</v>
      </c>
      <c r="G52" s="25">
        <v>0.86</v>
      </c>
    </row>
    <row r="53" spans="2:9" x14ac:dyDescent="0.2">
      <c r="B53" s="27" t="s">
        <v>194</v>
      </c>
      <c r="C53" s="23" t="s">
        <v>195</v>
      </c>
      <c r="D53" s="23" t="s">
        <v>131</v>
      </c>
      <c r="E53" s="28">
        <v>104500</v>
      </c>
      <c r="F53" s="25">
        <v>2314.9899999999998</v>
      </c>
      <c r="G53" s="25">
        <v>0.83</v>
      </c>
    </row>
    <row r="54" spans="2:9" x14ac:dyDescent="0.2">
      <c r="B54" s="27" t="s">
        <v>66</v>
      </c>
      <c r="C54" s="23" t="s">
        <v>67</v>
      </c>
      <c r="D54" s="23" t="s">
        <v>68</v>
      </c>
      <c r="E54" s="28">
        <v>117400</v>
      </c>
      <c r="F54" s="25">
        <v>2179.35</v>
      </c>
      <c r="G54" s="25">
        <v>0.78</v>
      </c>
    </row>
    <row r="55" spans="2:9" x14ac:dyDescent="0.2">
      <c r="B55" s="27" t="s">
        <v>196</v>
      </c>
      <c r="C55" s="23" t="s">
        <v>197</v>
      </c>
      <c r="D55" s="23" t="s">
        <v>68</v>
      </c>
      <c r="E55" s="28">
        <v>770000</v>
      </c>
      <c r="F55" s="25">
        <v>2008.16</v>
      </c>
      <c r="G55" s="25">
        <v>0.72</v>
      </c>
    </row>
    <row r="56" spans="2:9" x14ac:dyDescent="0.2">
      <c r="B56" s="27" t="s">
        <v>198</v>
      </c>
      <c r="C56" s="23" t="s">
        <v>199</v>
      </c>
      <c r="D56" s="23" t="s">
        <v>122</v>
      </c>
      <c r="E56" s="28">
        <v>134455</v>
      </c>
      <c r="F56" s="25">
        <v>1951.48</v>
      </c>
      <c r="G56" s="25">
        <v>0.7</v>
      </c>
    </row>
    <row r="57" spans="2:9" x14ac:dyDescent="0.2">
      <c r="B57" s="27" t="s">
        <v>200</v>
      </c>
      <c r="C57" s="23" t="s">
        <v>201</v>
      </c>
      <c r="D57" s="23" t="s">
        <v>122</v>
      </c>
      <c r="E57" s="28">
        <v>450000</v>
      </c>
      <c r="F57" s="25">
        <v>1749.15</v>
      </c>
      <c r="G57" s="25">
        <v>0.63</v>
      </c>
    </row>
    <row r="58" spans="2:9" x14ac:dyDescent="0.2">
      <c r="B58" s="27" t="s">
        <v>202</v>
      </c>
      <c r="C58" s="23" t="s">
        <v>203</v>
      </c>
      <c r="D58" s="23" t="s">
        <v>122</v>
      </c>
      <c r="E58" s="28">
        <v>148000</v>
      </c>
      <c r="F58" s="25">
        <v>1182.96</v>
      </c>
      <c r="G58" s="25">
        <v>0.43</v>
      </c>
    </row>
    <row r="59" spans="2:9" x14ac:dyDescent="0.2">
      <c r="B59" s="27" t="s">
        <v>204</v>
      </c>
      <c r="C59" s="23" t="s">
        <v>205</v>
      </c>
      <c r="D59" s="23" t="s">
        <v>119</v>
      </c>
      <c r="E59" s="28">
        <v>34913</v>
      </c>
      <c r="F59" s="25">
        <v>1117.3699999999999</v>
      </c>
      <c r="G59" s="25">
        <v>0.4</v>
      </c>
    </row>
    <row r="60" spans="2:9" x14ac:dyDescent="0.2">
      <c r="B60" s="27" t="s">
        <v>206</v>
      </c>
      <c r="C60" s="23" t="s">
        <v>207</v>
      </c>
      <c r="D60" s="23" t="s">
        <v>131</v>
      </c>
      <c r="E60" s="28">
        <v>30200</v>
      </c>
      <c r="F60" s="25">
        <v>755.24</v>
      </c>
      <c r="G60" s="25">
        <v>0.27</v>
      </c>
    </row>
    <row r="61" spans="2:9" x14ac:dyDescent="0.2">
      <c r="B61" s="27" t="s">
        <v>208</v>
      </c>
      <c r="C61" s="23" t="s">
        <v>209</v>
      </c>
      <c r="D61" s="23" t="s">
        <v>119</v>
      </c>
      <c r="E61" s="28">
        <v>21197</v>
      </c>
      <c r="F61" s="25">
        <v>300.43</v>
      </c>
      <c r="G61" s="25">
        <v>0.11</v>
      </c>
    </row>
    <row r="62" spans="2:9" x14ac:dyDescent="0.2">
      <c r="B62" s="29" t="s">
        <v>110</v>
      </c>
      <c r="C62" s="30"/>
      <c r="D62" s="30"/>
      <c r="E62" s="31"/>
      <c r="F62" s="32">
        <f>SUM(F7:F61)</f>
        <v>263054.02000000008</v>
      </c>
      <c r="G62" s="32">
        <f>SUM(G7:G61)</f>
        <v>94.640000000000015</v>
      </c>
      <c r="H62" s="14"/>
      <c r="I62" s="14"/>
    </row>
    <row r="63" spans="2:9" x14ac:dyDescent="0.2">
      <c r="B63" s="37" t="s">
        <v>111</v>
      </c>
      <c r="C63" s="37"/>
      <c r="D63" s="37"/>
      <c r="E63" s="38"/>
      <c r="F63" s="39">
        <f>F62</f>
        <v>263054.02000000008</v>
      </c>
      <c r="G63" s="39">
        <f>G62</f>
        <v>94.640000000000015</v>
      </c>
      <c r="H63" s="14"/>
      <c r="I63" s="14"/>
    </row>
    <row r="64" spans="2:9" x14ac:dyDescent="0.2">
      <c r="B64" s="40" t="s">
        <v>112</v>
      </c>
      <c r="C64" s="41"/>
      <c r="D64" s="41"/>
      <c r="E64" s="42"/>
      <c r="F64" s="43"/>
      <c r="G64" s="43"/>
    </row>
    <row r="65" spans="2:9" x14ac:dyDescent="0.2">
      <c r="B65" s="27" t="s">
        <v>112</v>
      </c>
      <c r="C65" s="23"/>
      <c r="D65" s="23"/>
      <c r="E65" s="24"/>
      <c r="F65" s="25">
        <v>15910.58</v>
      </c>
      <c r="G65" s="25">
        <v>5.72</v>
      </c>
    </row>
    <row r="66" spans="2:9" x14ac:dyDescent="0.2">
      <c r="B66" s="29" t="s">
        <v>110</v>
      </c>
      <c r="C66" s="30"/>
      <c r="D66" s="30"/>
      <c r="E66" s="31"/>
      <c r="F66" s="32">
        <f>SUM(F64:F65)</f>
        <v>15910.58</v>
      </c>
      <c r="G66" s="32">
        <f>SUM(G64:G65)</f>
        <v>5.72</v>
      </c>
      <c r="H66" s="14"/>
      <c r="I66" s="14"/>
    </row>
    <row r="67" spans="2:9" x14ac:dyDescent="0.2">
      <c r="B67" s="34" t="s">
        <v>111</v>
      </c>
      <c r="C67" s="34"/>
      <c r="D67" s="34"/>
      <c r="E67" s="35"/>
      <c r="F67" s="36">
        <f>F66</f>
        <v>15910.58</v>
      </c>
      <c r="G67" s="36">
        <f>G66</f>
        <v>5.72</v>
      </c>
      <c r="H67" s="14"/>
      <c r="I67" s="14"/>
    </row>
    <row r="68" spans="2:9" x14ac:dyDescent="0.2">
      <c r="B68" s="44" t="s">
        <v>114</v>
      </c>
      <c r="C68" s="44"/>
      <c r="D68" s="44"/>
      <c r="E68" s="45"/>
      <c r="F68" s="16">
        <f>F69-(+F63+F67)</f>
        <v>-549.36000000010245</v>
      </c>
      <c r="G68" s="16">
        <f>G69-(+G63+G67)</f>
        <v>-0.36000000000001364</v>
      </c>
      <c r="H68" s="14"/>
      <c r="I68" s="14"/>
    </row>
    <row r="69" spans="2:9" x14ac:dyDescent="0.2">
      <c r="B69" s="44" t="s">
        <v>113</v>
      </c>
      <c r="C69" s="44"/>
      <c r="D69" s="44"/>
      <c r="E69" s="45"/>
      <c r="F69" s="16">
        <v>278415.24</v>
      </c>
      <c r="G69" s="16">
        <v>100</v>
      </c>
      <c r="H69" s="14"/>
      <c r="I69" s="14"/>
    </row>
    <row r="71" spans="2:9" x14ac:dyDescent="0.2">
      <c r="B71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9"/>
  <sheetViews>
    <sheetView workbookViewId="0">
      <selection activeCell="J7" sqref="J7"/>
    </sheetView>
  </sheetViews>
  <sheetFormatPr defaultRowHeight="12" x14ac:dyDescent="0.2"/>
  <cols>
    <col min="1" max="1" width="9.140625" style="1"/>
    <col min="2" max="2" width="61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10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117</v>
      </c>
      <c r="C7" s="23" t="s">
        <v>118</v>
      </c>
      <c r="D7" s="23" t="s">
        <v>119</v>
      </c>
      <c r="E7" s="28">
        <v>1074500</v>
      </c>
      <c r="F7" s="25">
        <v>11819.5</v>
      </c>
      <c r="G7" s="25">
        <v>8.82</v>
      </c>
    </row>
    <row r="8" spans="2:7" x14ac:dyDescent="0.2">
      <c r="B8" s="27" t="s">
        <v>42</v>
      </c>
      <c r="C8" s="23" t="s">
        <v>43</v>
      </c>
      <c r="D8" s="23" t="s">
        <v>44</v>
      </c>
      <c r="E8" s="28">
        <v>2381000</v>
      </c>
      <c r="F8" s="25">
        <v>11270.46</v>
      </c>
      <c r="G8" s="25">
        <v>8.41</v>
      </c>
    </row>
    <row r="9" spans="2:7" x14ac:dyDescent="0.2">
      <c r="B9" s="27" t="s">
        <v>115</v>
      </c>
      <c r="C9" s="23" t="s">
        <v>116</v>
      </c>
      <c r="D9" s="23" t="s">
        <v>44</v>
      </c>
      <c r="E9" s="28">
        <v>692184</v>
      </c>
      <c r="F9" s="25">
        <v>9973.33</v>
      </c>
      <c r="G9" s="25">
        <v>7.44</v>
      </c>
    </row>
    <row r="10" spans="2:7" x14ac:dyDescent="0.2">
      <c r="B10" s="27" t="s">
        <v>120</v>
      </c>
      <c r="C10" s="23" t="s">
        <v>121</v>
      </c>
      <c r="D10" s="23" t="s">
        <v>122</v>
      </c>
      <c r="E10" s="28">
        <v>119150</v>
      </c>
      <c r="F10" s="25">
        <v>5848.84</v>
      </c>
      <c r="G10" s="25">
        <v>4.3600000000000003</v>
      </c>
    </row>
    <row r="11" spans="2:7" x14ac:dyDescent="0.2">
      <c r="B11" s="27" t="s">
        <v>123</v>
      </c>
      <c r="C11" s="23" t="s">
        <v>124</v>
      </c>
      <c r="D11" s="23" t="s">
        <v>119</v>
      </c>
      <c r="E11" s="28">
        <v>180000</v>
      </c>
      <c r="F11" s="25">
        <v>4823.37</v>
      </c>
      <c r="G11" s="25">
        <v>3.6</v>
      </c>
    </row>
    <row r="12" spans="2:7" x14ac:dyDescent="0.2">
      <c r="B12" s="27" t="s">
        <v>36</v>
      </c>
      <c r="C12" s="23" t="s">
        <v>37</v>
      </c>
      <c r="D12" s="23" t="s">
        <v>38</v>
      </c>
      <c r="E12" s="28">
        <v>244500</v>
      </c>
      <c r="F12" s="25">
        <v>4718.3599999999997</v>
      </c>
      <c r="G12" s="25">
        <v>3.52</v>
      </c>
    </row>
    <row r="13" spans="2:7" x14ac:dyDescent="0.2">
      <c r="B13" s="27" t="s">
        <v>194</v>
      </c>
      <c r="C13" s="23" t="s">
        <v>195</v>
      </c>
      <c r="D13" s="23" t="s">
        <v>131</v>
      </c>
      <c r="E13" s="28">
        <v>210000</v>
      </c>
      <c r="F13" s="25">
        <v>4652.13</v>
      </c>
      <c r="G13" s="25">
        <v>3.47</v>
      </c>
    </row>
    <row r="14" spans="2:7" x14ac:dyDescent="0.2">
      <c r="B14" s="27" t="s">
        <v>134</v>
      </c>
      <c r="C14" s="23" t="s">
        <v>135</v>
      </c>
      <c r="D14" s="23" t="s">
        <v>136</v>
      </c>
      <c r="E14" s="28">
        <v>104500</v>
      </c>
      <c r="F14" s="25">
        <v>3767.33</v>
      </c>
      <c r="G14" s="25">
        <v>2.81</v>
      </c>
    </row>
    <row r="15" spans="2:7" x14ac:dyDescent="0.2">
      <c r="B15" s="27" t="s">
        <v>64</v>
      </c>
      <c r="C15" s="23" t="s">
        <v>65</v>
      </c>
      <c r="D15" s="23" t="s">
        <v>44</v>
      </c>
      <c r="E15" s="28">
        <v>1350000</v>
      </c>
      <c r="F15" s="25">
        <v>3297.38</v>
      </c>
      <c r="G15" s="25">
        <v>2.46</v>
      </c>
    </row>
    <row r="16" spans="2:7" x14ac:dyDescent="0.2">
      <c r="B16" s="27" t="s">
        <v>137</v>
      </c>
      <c r="C16" s="23" t="s">
        <v>138</v>
      </c>
      <c r="D16" s="23" t="s">
        <v>119</v>
      </c>
      <c r="E16" s="28">
        <v>370000</v>
      </c>
      <c r="F16" s="25">
        <v>3041.77</v>
      </c>
      <c r="G16" s="25">
        <v>2.27</v>
      </c>
    </row>
    <row r="17" spans="2:7" x14ac:dyDescent="0.2">
      <c r="B17" s="27" t="s">
        <v>58</v>
      </c>
      <c r="C17" s="23" t="s">
        <v>59</v>
      </c>
      <c r="D17" s="23" t="s">
        <v>60</v>
      </c>
      <c r="E17" s="28">
        <v>335000</v>
      </c>
      <c r="F17" s="25">
        <v>2702.11</v>
      </c>
      <c r="G17" s="25">
        <v>2.02</v>
      </c>
    </row>
    <row r="18" spans="2:7" x14ac:dyDescent="0.2">
      <c r="B18" s="27" t="s">
        <v>102</v>
      </c>
      <c r="C18" s="23" t="s">
        <v>103</v>
      </c>
      <c r="D18" s="23" t="s">
        <v>104</v>
      </c>
      <c r="E18" s="28">
        <v>1100000</v>
      </c>
      <c r="F18" s="25">
        <v>2489.85</v>
      </c>
      <c r="G18" s="25">
        <v>1.86</v>
      </c>
    </row>
    <row r="19" spans="2:7" x14ac:dyDescent="0.2">
      <c r="B19" s="27" t="s">
        <v>210</v>
      </c>
      <c r="C19" s="23" t="s">
        <v>211</v>
      </c>
      <c r="D19" s="23" t="s">
        <v>141</v>
      </c>
      <c r="E19" s="28">
        <v>75000</v>
      </c>
      <c r="F19" s="25">
        <v>2380.16</v>
      </c>
      <c r="G19" s="25">
        <v>1.78</v>
      </c>
    </row>
    <row r="20" spans="2:7" x14ac:dyDescent="0.2">
      <c r="B20" s="27" t="s">
        <v>146</v>
      </c>
      <c r="C20" s="23" t="s">
        <v>147</v>
      </c>
      <c r="D20" s="23" t="s">
        <v>148</v>
      </c>
      <c r="E20" s="28">
        <v>103000</v>
      </c>
      <c r="F20" s="25">
        <v>2274.65</v>
      </c>
      <c r="G20" s="25">
        <v>1.7</v>
      </c>
    </row>
    <row r="21" spans="2:7" x14ac:dyDescent="0.2">
      <c r="B21" s="27" t="s">
        <v>125</v>
      </c>
      <c r="C21" s="23" t="s">
        <v>126</v>
      </c>
      <c r="D21" s="23" t="s">
        <v>122</v>
      </c>
      <c r="E21" s="28">
        <v>100000</v>
      </c>
      <c r="F21" s="25">
        <v>2256.25</v>
      </c>
      <c r="G21" s="25">
        <v>1.68</v>
      </c>
    </row>
    <row r="22" spans="2:7" x14ac:dyDescent="0.2">
      <c r="B22" s="27" t="s">
        <v>171</v>
      </c>
      <c r="C22" s="23" t="s">
        <v>172</v>
      </c>
      <c r="D22" s="23" t="s">
        <v>122</v>
      </c>
      <c r="E22" s="28">
        <v>348000</v>
      </c>
      <c r="F22" s="25">
        <v>2250.86</v>
      </c>
      <c r="G22" s="25">
        <v>1.68</v>
      </c>
    </row>
    <row r="23" spans="2:7" x14ac:dyDescent="0.2">
      <c r="B23" s="27" t="s">
        <v>142</v>
      </c>
      <c r="C23" s="23" t="s">
        <v>143</v>
      </c>
      <c r="D23" s="23" t="s">
        <v>141</v>
      </c>
      <c r="E23" s="28">
        <v>31750</v>
      </c>
      <c r="F23" s="25">
        <v>2233.87</v>
      </c>
      <c r="G23" s="25">
        <v>1.67</v>
      </c>
    </row>
    <row r="24" spans="2:7" x14ac:dyDescent="0.2">
      <c r="B24" s="27" t="s">
        <v>212</v>
      </c>
      <c r="C24" s="23" t="s">
        <v>213</v>
      </c>
      <c r="D24" s="23" t="s">
        <v>141</v>
      </c>
      <c r="E24" s="28">
        <v>2380000</v>
      </c>
      <c r="F24" s="25">
        <v>2193.17</v>
      </c>
      <c r="G24" s="25">
        <v>1.64</v>
      </c>
    </row>
    <row r="25" spans="2:7" x14ac:dyDescent="0.2">
      <c r="B25" s="27" t="s">
        <v>186</v>
      </c>
      <c r="C25" s="23" t="s">
        <v>187</v>
      </c>
      <c r="D25" s="23" t="s">
        <v>122</v>
      </c>
      <c r="E25" s="28">
        <v>381108</v>
      </c>
      <c r="F25" s="25">
        <v>2090.5700000000002</v>
      </c>
      <c r="G25" s="25">
        <v>1.56</v>
      </c>
    </row>
    <row r="26" spans="2:7" x14ac:dyDescent="0.2">
      <c r="B26" s="27" t="s">
        <v>214</v>
      </c>
      <c r="C26" s="23" t="s">
        <v>215</v>
      </c>
      <c r="D26" s="23" t="s">
        <v>119</v>
      </c>
      <c r="E26" s="28">
        <v>175000</v>
      </c>
      <c r="F26" s="25">
        <v>2088.36</v>
      </c>
      <c r="G26" s="25">
        <v>1.56</v>
      </c>
    </row>
    <row r="27" spans="2:7" x14ac:dyDescent="0.2">
      <c r="B27" s="27" t="s">
        <v>87</v>
      </c>
      <c r="C27" s="23" t="s">
        <v>88</v>
      </c>
      <c r="D27" s="23" t="s">
        <v>60</v>
      </c>
      <c r="E27" s="28">
        <v>664272</v>
      </c>
      <c r="F27" s="25">
        <v>2028.02</v>
      </c>
      <c r="G27" s="25">
        <v>1.51</v>
      </c>
    </row>
    <row r="28" spans="2:7" x14ac:dyDescent="0.2">
      <c r="B28" s="27" t="s">
        <v>149</v>
      </c>
      <c r="C28" s="23" t="s">
        <v>150</v>
      </c>
      <c r="D28" s="23" t="s">
        <v>141</v>
      </c>
      <c r="E28" s="28">
        <v>65000</v>
      </c>
      <c r="F28" s="25">
        <v>2020.75</v>
      </c>
      <c r="G28" s="25">
        <v>1.51</v>
      </c>
    </row>
    <row r="29" spans="2:7" x14ac:dyDescent="0.2">
      <c r="B29" s="27" t="s">
        <v>208</v>
      </c>
      <c r="C29" s="23" t="s">
        <v>209</v>
      </c>
      <c r="D29" s="23" t="s">
        <v>119</v>
      </c>
      <c r="E29" s="28">
        <v>138500</v>
      </c>
      <c r="F29" s="25">
        <v>1962.96</v>
      </c>
      <c r="G29" s="25">
        <v>1.46</v>
      </c>
    </row>
    <row r="30" spans="2:7" x14ac:dyDescent="0.2">
      <c r="B30" s="27" t="s">
        <v>216</v>
      </c>
      <c r="C30" s="23" t="s">
        <v>217</v>
      </c>
      <c r="D30" s="23" t="s">
        <v>119</v>
      </c>
      <c r="E30" s="28">
        <v>149000</v>
      </c>
      <c r="F30" s="25">
        <v>1960.39</v>
      </c>
      <c r="G30" s="25">
        <v>1.46</v>
      </c>
    </row>
    <row r="31" spans="2:7" x14ac:dyDescent="0.2">
      <c r="B31" s="27" t="s">
        <v>218</v>
      </c>
      <c r="C31" s="23" t="s">
        <v>219</v>
      </c>
      <c r="D31" s="23" t="s">
        <v>119</v>
      </c>
      <c r="E31" s="28">
        <v>38235</v>
      </c>
      <c r="F31" s="25">
        <v>1947.08</v>
      </c>
      <c r="G31" s="25">
        <v>1.45</v>
      </c>
    </row>
    <row r="32" spans="2:7" x14ac:dyDescent="0.2">
      <c r="B32" s="27" t="s">
        <v>175</v>
      </c>
      <c r="C32" s="23" t="s">
        <v>176</v>
      </c>
      <c r="D32" s="23" t="s">
        <v>136</v>
      </c>
      <c r="E32" s="28">
        <v>245000</v>
      </c>
      <c r="F32" s="25">
        <v>1826.72</v>
      </c>
      <c r="G32" s="25">
        <v>1.36</v>
      </c>
    </row>
    <row r="33" spans="2:7" x14ac:dyDescent="0.2">
      <c r="B33" s="27" t="s">
        <v>73</v>
      </c>
      <c r="C33" s="23" t="s">
        <v>74</v>
      </c>
      <c r="D33" s="23" t="s">
        <v>60</v>
      </c>
      <c r="E33" s="28">
        <v>75644</v>
      </c>
      <c r="F33" s="25">
        <v>1815.15</v>
      </c>
      <c r="G33" s="25">
        <v>1.35</v>
      </c>
    </row>
    <row r="34" spans="2:7" x14ac:dyDescent="0.2">
      <c r="B34" s="27" t="s">
        <v>55</v>
      </c>
      <c r="C34" s="23" t="s">
        <v>56</v>
      </c>
      <c r="D34" s="23" t="s">
        <v>57</v>
      </c>
      <c r="E34" s="28">
        <v>221389</v>
      </c>
      <c r="F34" s="25">
        <v>1785.39</v>
      </c>
      <c r="G34" s="25">
        <v>1.33</v>
      </c>
    </row>
    <row r="35" spans="2:7" x14ac:dyDescent="0.2">
      <c r="B35" s="27" t="s">
        <v>220</v>
      </c>
      <c r="C35" s="23" t="s">
        <v>221</v>
      </c>
      <c r="D35" s="23" t="s">
        <v>159</v>
      </c>
      <c r="E35" s="28">
        <v>152781</v>
      </c>
      <c r="F35" s="25">
        <v>1765.08</v>
      </c>
      <c r="G35" s="25">
        <v>1.32</v>
      </c>
    </row>
    <row r="36" spans="2:7" x14ac:dyDescent="0.2">
      <c r="B36" s="27" t="s">
        <v>204</v>
      </c>
      <c r="C36" s="23" t="s">
        <v>205</v>
      </c>
      <c r="D36" s="23" t="s">
        <v>119</v>
      </c>
      <c r="E36" s="28">
        <v>52500</v>
      </c>
      <c r="F36" s="25">
        <v>1680.24</v>
      </c>
      <c r="G36" s="25">
        <v>1.25</v>
      </c>
    </row>
    <row r="37" spans="2:7" x14ac:dyDescent="0.2">
      <c r="B37" s="27" t="s">
        <v>85</v>
      </c>
      <c r="C37" s="23" t="s">
        <v>86</v>
      </c>
      <c r="D37" s="23" t="s">
        <v>60</v>
      </c>
      <c r="E37" s="28">
        <v>13965</v>
      </c>
      <c r="F37" s="25">
        <v>1659.02</v>
      </c>
      <c r="G37" s="25">
        <v>1.24</v>
      </c>
    </row>
    <row r="38" spans="2:7" x14ac:dyDescent="0.2">
      <c r="B38" s="27" t="s">
        <v>45</v>
      </c>
      <c r="C38" s="23" t="s">
        <v>46</v>
      </c>
      <c r="D38" s="23" t="s">
        <v>47</v>
      </c>
      <c r="E38" s="28">
        <v>5016</v>
      </c>
      <c r="F38" s="25">
        <v>1602.96</v>
      </c>
      <c r="G38" s="25">
        <v>1.2</v>
      </c>
    </row>
    <row r="39" spans="2:7" x14ac:dyDescent="0.2">
      <c r="B39" s="27" t="s">
        <v>222</v>
      </c>
      <c r="C39" s="23" t="s">
        <v>223</v>
      </c>
      <c r="D39" s="23" t="s">
        <v>119</v>
      </c>
      <c r="E39" s="28">
        <v>35000</v>
      </c>
      <c r="F39" s="25">
        <v>1507.22</v>
      </c>
      <c r="G39" s="25">
        <v>1.1200000000000001</v>
      </c>
    </row>
    <row r="40" spans="2:7" x14ac:dyDescent="0.2">
      <c r="B40" s="27" t="s">
        <v>206</v>
      </c>
      <c r="C40" s="23" t="s">
        <v>207</v>
      </c>
      <c r="D40" s="23" t="s">
        <v>131</v>
      </c>
      <c r="E40" s="28">
        <v>60000</v>
      </c>
      <c r="F40" s="25">
        <v>1500.48</v>
      </c>
      <c r="G40" s="25">
        <v>1.1200000000000001</v>
      </c>
    </row>
    <row r="41" spans="2:7" x14ac:dyDescent="0.2">
      <c r="B41" s="27" t="s">
        <v>162</v>
      </c>
      <c r="C41" s="23" t="s">
        <v>163</v>
      </c>
      <c r="D41" s="23" t="s">
        <v>164</v>
      </c>
      <c r="E41" s="28">
        <v>89000</v>
      </c>
      <c r="F41" s="25">
        <v>1476.87</v>
      </c>
      <c r="G41" s="25">
        <v>1.1000000000000001</v>
      </c>
    </row>
    <row r="42" spans="2:7" x14ac:dyDescent="0.2">
      <c r="B42" s="27" t="s">
        <v>224</v>
      </c>
      <c r="C42" s="23" t="s">
        <v>225</v>
      </c>
      <c r="D42" s="23" t="s">
        <v>41</v>
      </c>
      <c r="E42" s="28">
        <v>70500</v>
      </c>
      <c r="F42" s="25">
        <v>1431.11</v>
      </c>
      <c r="G42" s="25">
        <v>1.07</v>
      </c>
    </row>
    <row r="43" spans="2:7" x14ac:dyDescent="0.2">
      <c r="B43" s="27" t="s">
        <v>108</v>
      </c>
      <c r="C43" s="23" t="s">
        <v>109</v>
      </c>
      <c r="D43" s="23" t="s">
        <v>60</v>
      </c>
      <c r="E43" s="28">
        <v>163600</v>
      </c>
      <c r="F43" s="25">
        <v>1328.19</v>
      </c>
      <c r="G43" s="25">
        <v>0.99</v>
      </c>
    </row>
    <row r="44" spans="2:7" x14ac:dyDescent="0.2">
      <c r="B44" s="27" t="s">
        <v>157</v>
      </c>
      <c r="C44" s="23" t="s">
        <v>158</v>
      </c>
      <c r="D44" s="23" t="s">
        <v>159</v>
      </c>
      <c r="E44" s="28">
        <v>49099</v>
      </c>
      <c r="F44" s="25">
        <v>1319.34</v>
      </c>
      <c r="G44" s="25">
        <v>0.98</v>
      </c>
    </row>
    <row r="45" spans="2:7" x14ac:dyDescent="0.2">
      <c r="B45" s="27" t="s">
        <v>179</v>
      </c>
      <c r="C45" s="23" t="s">
        <v>180</v>
      </c>
      <c r="D45" s="23" t="s">
        <v>159</v>
      </c>
      <c r="E45" s="28">
        <v>111563</v>
      </c>
      <c r="F45" s="25">
        <v>1314.04</v>
      </c>
      <c r="G45" s="25">
        <v>0.98</v>
      </c>
    </row>
    <row r="46" spans="2:7" x14ac:dyDescent="0.2">
      <c r="B46" s="27" t="s">
        <v>226</v>
      </c>
      <c r="C46" s="23" t="s">
        <v>227</v>
      </c>
      <c r="D46" s="23" t="s">
        <v>136</v>
      </c>
      <c r="E46" s="28">
        <v>27000</v>
      </c>
      <c r="F46" s="25">
        <v>1303.82</v>
      </c>
      <c r="G46" s="25">
        <v>0.97</v>
      </c>
    </row>
    <row r="47" spans="2:7" x14ac:dyDescent="0.2">
      <c r="B47" s="27" t="s">
        <v>129</v>
      </c>
      <c r="C47" s="23" t="s">
        <v>130</v>
      </c>
      <c r="D47" s="23" t="s">
        <v>131</v>
      </c>
      <c r="E47" s="28">
        <v>60830</v>
      </c>
      <c r="F47" s="25">
        <v>1300.67</v>
      </c>
      <c r="G47" s="25">
        <v>0.97</v>
      </c>
    </row>
    <row r="48" spans="2:7" x14ac:dyDescent="0.2">
      <c r="B48" s="27" t="s">
        <v>155</v>
      </c>
      <c r="C48" s="23" t="s">
        <v>156</v>
      </c>
      <c r="D48" s="23" t="s">
        <v>136</v>
      </c>
      <c r="E48" s="28">
        <v>55000</v>
      </c>
      <c r="F48" s="25">
        <v>1191.71</v>
      </c>
      <c r="G48" s="25">
        <v>0.89</v>
      </c>
    </row>
    <row r="49" spans="2:9" x14ac:dyDescent="0.2">
      <c r="B49" s="27" t="s">
        <v>177</v>
      </c>
      <c r="C49" s="23" t="s">
        <v>178</v>
      </c>
      <c r="D49" s="23" t="s">
        <v>68</v>
      </c>
      <c r="E49" s="28">
        <v>225000</v>
      </c>
      <c r="F49" s="25">
        <v>1143.79</v>
      </c>
      <c r="G49" s="25">
        <v>0.85</v>
      </c>
    </row>
    <row r="50" spans="2:9" x14ac:dyDescent="0.2">
      <c r="B50" s="27" t="s">
        <v>228</v>
      </c>
      <c r="C50" s="23" t="s">
        <v>229</v>
      </c>
      <c r="D50" s="23" t="s">
        <v>131</v>
      </c>
      <c r="E50" s="28">
        <v>210000</v>
      </c>
      <c r="F50" s="25">
        <v>1129.8</v>
      </c>
      <c r="G50" s="25">
        <v>0.84</v>
      </c>
    </row>
    <row r="51" spans="2:9" x14ac:dyDescent="0.2">
      <c r="B51" s="27" t="s">
        <v>230</v>
      </c>
      <c r="C51" s="23" t="s">
        <v>231</v>
      </c>
      <c r="D51" s="23" t="s">
        <v>122</v>
      </c>
      <c r="E51" s="28">
        <v>250000</v>
      </c>
      <c r="F51" s="25">
        <v>1104.25</v>
      </c>
      <c r="G51" s="25">
        <v>0.82</v>
      </c>
    </row>
    <row r="52" spans="2:9" x14ac:dyDescent="0.2">
      <c r="B52" s="27" t="s">
        <v>232</v>
      </c>
      <c r="C52" s="23" t="s">
        <v>233</v>
      </c>
      <c r="D52" s="23" t="s">
        <v>44</v>
      </c>
      <c r="E52" s="28">
        <v>120000</v>
      </c>
      <c r="F52" s="25">
        <v>1006.86</v>
      </c>
      <c r="G52" s="25">
        <v>0.75</v>
      </c>
    </row>
    <row r="53" spans="2:9" x14ac:dyDescent="0.2">
      <c r="B53" s="27" t="s">
        <v>234</v>
      </c>
      <c r="C53" s="23" t="s">
        <v>235</v>
      </c>
      <c r="D53" s="23" t="s">
        <v>236</v>
      </c>
      <c r="E53" s="28">
        <v>121339</v>
      </c>
      <c r="F53" s="25">
        <v>1005.11</v>
      </c>
      <c r="G53" s="25">
        <v>0.75</v>
      </c>
    </row>
    <row r="54" spans="2:9" x14ac:dyDescent="0.2">
      <c r="B54" s="27" t="s">
        <v>79</v>
      </c>
      <c r="C54" s="23" t="s">
        <v>80</v>
      </c>
      <c r="D54" s="23" t="s">
        <v>41</v>
      </c>
      <c r="E54" s="28">
        <v>360000</v>
      </c>
      <c r="F54" s="25">
        <v>939.78</v>
      </c>
      <c r="G54" s="25">
        <v>0.7</v>
      </c>
    </row>
    <row r="55" spans="2:9" x14ac:dyDescent="0.2">
      <c r="B55" s="27" t="s">
        <v>173</v>
      </c>
      <c r="C55" s="23" t="s">
        <v>174</v>
      </c>
      <c r="D55" s="23" t="s">
        <v>159</v>
      </c>
      <c r="E55" s="28">
        <v>12879</v>
      </c>
      <c r="F55" s="25">
        <v>812.71</v>
      </c>
      <c r="G55" s="25">
        <v>0.61</v>
      </c>
    </row>
    <row r="56" spans="2:9" x14ac:dyDescent="0.2">
      <c r="B56" s="27" t="s">
        <v>160</v>
      </c>
      <c r="C56" s="23" t="s">
        <v>161</v>
      </c>
      <c r="D56" s="23" t="s">
        <v>122</v>
      </c>
      <c r="E56" s="28">
        <v>50000</v>
      </c>
      <c r="F56" s="25">
        <v>807.48</v>
      </c>
      <c r="G56" s="25">
        <v>0.6</v>
      </c>
    </row>
    <row r="57" spans="2:9" x14ac:dyDescent="0.2">
      <c r="B57" s="27" t="s">
        <v>39</v>
      </c>
      <c r="C57" s="23" t="s">
        <v>40</v>
      </c>
      <c r="D57" s="23" t="s">
        <v>41</v>
      </c>
      <c r="E57" s="28">
        <v>80000</v>
      </c>
      <c r="F57" s="25">
        <v>713.72</v>
      </c>
      <c r="G57" s="25">
        <v>0.53</v>
      </c>
    </row>
    <row r="58" spans="2:9" x14ac:dyDescent="0.2">
      <c r="B58" s="27" t="s">
        <v>202</v>
      </c>
      <c r="C58" s="23" t="s">
        <v>203</v>
      </c>
      <c r="D58" s="23" t="s">
        <v>122</v>
      </c>
      <c r="E58" s="28">
        <v>68000</v>
      </c>
      <c r="F58" s="25">
        <v>543.52</v>
      </c>
      <c r="G58" s="25">
        <v>0.41</v>
      </c>
    </row>
    <row r="59" spans="2:9" x14ac:dyDescent="0.2">
      <c r="B59" s="27" t="s">
        <v>237</v>
      </c>
      <c r="C59" s="23" t="s">
        <v>238</v>
      </c>
      <c r="D59" s="23" t="s">
        <v>122</v>
      </c>
      <c r="E59" s="28">
        <v>51000</v>
      </c>
      <c r="F59" s="25">
        <v>431.49</v>
      </c>
      <c r="G59" s="25">
        <v>0.32</v>
      </c>
    </row>
    <row r="60" spans="2:9" x14ac:dyDescent="0.2">
      <c r="B60" s="29" t="s">
        <v>110</v>
      </c>
      <c r="C60" s="30"/>
      <c r="D60" s="30"/>
      <c r="E60" s="31"/>
      <c r="F60" s="32">
        <f>SUM(F7:F59)</f>
        <v>131538.04</v>
      </c>
      <c r="G60" s="32">
        <f>SUM(G7:G59)</f>
        <v>98.119999999999976</v>
      </c>
      <c r="H60" s="14"/>
      <c r="I60" s="14"/>
    </row>
    <row r="61" spans="2:9" x14ac:dyDescent="0.2">
      <c r="B61" s="37" t="s">
        <v>111</v>
      </c>
      <c r="C61" s="37"/>
      <c r="D61" s="37"/>
      <c r="E61" s="38"/>
      <c r="F61" s="39">
        <f>F60</f>
        <v>131538.04</v>
      </c>
      <c r="G61" s="39">
        <f>G60</f>
        <v>98.119999999999976</v>
      </c>
      <c r="H61" s="14"/>
      <c r="I61" s="14"/>
    </row>
    <row r="62" spans="2:9" x14ac:dyDescent="0.2">
      <c r="B62" s="40" t="s">
        <v>112</v>
      </c>
      <c r="C62" s="41"/>
      <c r="D62" s="41"/>
      <c r="E62" s="42"/>
      <c r="F62" s="43"/>
      <c r="G62" s="43"/>
    </row>
    <row r="63" spans="2:9" x14ac:dyDescent="0.2">
      <c r="B63" s="27" t="s">
        <v>112</v>
      </c>
      <c r="C63" s="23"/>
      <c r="D63" s="23"/>
      <c r="E63" s="24"/>
      <c r="F63" s="25">
        <v>2337.9499999999998</v>
      </c>
      <c r="G63" s="25">
        <v>1.74</v>
      </c>
    </row>
    <row r="64" spans="2:9" x14ac:dyDescent="0.2">
      <c r="B64" s="29" t="s">
        <v>110</v>
      </c>
      <c r="C64" s="30"/>
      <c r="D64" s="30"/>
      <c r="E64" s="31"/>
      <c r="F64" s="32">
        <f>SUM(F62:F63)</f>
        <v>2337.9499999999998</v>
      </c>
      <c r="G64" s="32">
        <f>SUM(G62:G63)</f>
        <v>1.74</v>
      </c>
      <c r="H64" s="14"/>
      <c r="I64" s="14"/>
    </row>
    <row r="65" spans="2:9" x14ac:dyDescent="0.2">
      <c r="B65" s="34" t="s">
        <v>111</v>
      </c>
      <c r="C65" s="34"/>
      <c r="D65" s="34"/>
      <c r="E65" s="35"/>
      <c r="F65" s="36">
        <f>F64</f>
        <v>2337.9499999999998</v>
      </c>
      <c r="G65" s="36">
        <f>G64</f>
        <v>1.74</v>
      </c>
      <c r="H65" s="14"/>
      <c r="I65" s="14"/>
    </row>
    <row r="66" spans="2:9" x14ac:dyDescent="0.2">
      <c r="B66" s="44" t="s">
        <v>114</v>
      </c>
      <c r="C66" s="44"/>
      <c r="D66" s="44"/>
      <c r="E66" s="45"/>
      <c r="F66" s="16">
        <f>F67-(+F61+F65)</f>
        <v>-586.88000000003376</v>
      </c>
      <c r="G66" s="16">
        <f>G67-(+G61+G65)</f>
        <v>0.14000000000002899</v>
      </c>
      <c r="H66" s="14"/>
      <c r="I66" s="14"/>
    </row>
    <row r="67" spans="2:9" x14ac:dyDescent="0.2">
      <c r="B67" s="44" t="s">
        <v>113</v>
      </c>
      <c r="C67" s="44"/>
      <c r="D67" s="44"/>
      <c r="E67" s="45"/>
      <c r="F67" s="16">
        <v>133289.10999999999</v>
      </c>
      <c r="G67" s="16">
        <v>100</v>
      </c>
      <c r="H67" s="14"/>
      <c r="I67" s="14"/>
    </row>
    <row r="69" spans="2:9" x14ac:dyDescent="0.2">
      <c r="B69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3"/>
  <sheetViews>
    <sheetView workbookViewId="0">
      <selection activeCell="H15" sqref="H15"/>
    </sheetView>
  </sheetViews>
  <sheetFormatPr defaultRowHeight="12" x14ac:dyDescent="0.2"/>
  <cols>
    <col min="1" max="1" width="9.140625" style="1"/>
    <col min="2" max="2" width="61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11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115</v>
      </c>
      <c r="C7" s="23" t="s">
        <v>116</v>
      </c>
      <c r="D7" s="23" t="s">
        <v>44</v>
      </c>
      <c r="E7" s="28">
        <v>2941000</v>
      </c>
      <c r="F7" s="25">
        <v>42375.4</v>
      </c>
      <c r="G7" s="25">
        <v>6.15</v>
      </c>
    </row>
    <row r="8" spans="2:7" x14ac:dyDescent="0.2">
      <c r="B8" s="27" t="s">
        <v>42</v>
      </c>
      <c r="C8" s="23" t="s">
        <v>43</v>
      </c>
      <c r="D8" s="23" t="s">
        <v>44</v>
      </c>
      <c r="E8" s="28">
        <v>7398000</v>
      </c>
      <c r="F8" s="25">
        <v>35018.43</v>
      </c>
      <c r="G8" s="25">
        <v>5.08</v>
      </c>
    </row>
    <row r="9" spans="2:7" x14ac:dyDescent="0.2">
      <c r="B9" s="27" t="s">
        <v>117</v>
      </c>
      <c r="C9" s="23" t="s">
        <v>118</v>
      </c>
      <c r="D9" s="23" t="s">
        <v>119</v>
      </c>
      <c r="E9" s="28">
        <v>2935000</v>
      </c>
      <c r="F9" s="25">
        <v>32285</v>
      </c>
      <c r="G9" s="25">
        <v>4.68</v>
      </c>
    </row>
    <row r="10" spans="2:7" x14ac:dyDescent="0.2">
      <c r="B10" s="27" t="s">
        <v>36</v>
      </c>
      <c r="C10" s="23" t="s">
        <v>37</v>
      </c>
      <c r="D10" s="23" t="s">
        <v>38</v>
      </c>
      <c r="E10" s="28">
        <v>1433000</v>
      </c>
      <c r="F10" s="25">
        <v>27654.03</v>
      </c>
      <c r="G10" s="25">
        <v>4.01</v>
      </c>
    </row>
    <row r="11" spans="2:7" x14ac:dyDescent="0.2">
      <c r="B11" s="27" t="s">
        <v>120</v>
      </c>
      <c r="C11" s="23" t="s">
        <v>121</v>
      </c>
      <c r="D11" s="23" t="s">
        <v>122</v>
      </c>
      <c r="E11" s="28">
        <v>548000</v>
      </c>
      <c r="F11" s="25">
        <v>26900.22</v>
      </c>
      <c r="G11" s="25">
        <v>3.9</v>
      </c>
    </row>
    <row r="12" spans="2:7" x14ac:dyDescent="0.2">
      <c r="B12" s="27" t="s">
        <v>127</v>
      </c>
      <c r="C12" s="23" t="s">
        <v>128</v>
      </c>
      <c r="D12" s="23" t="s">
        <v>44</v>
      </c>
      <c r="E12" s="28">
        <v>4063090</v>
      </c>
      <c r="F12" s="25">
        <v>24443.55</v>
      </c>
      <c r="G12" s="25">
        <v>3.55</v>
      </c>
    </row>
    <row r="13" spans="2:7" x14ac:dyDescent="0.2">
      <c r="B13" s="27" t="s">
        <v>58</v>
      </c>
      <c r="C13" s="23" t="s">
        <v>59</v>
      </c>
      <c r="D13" s="23" t="s">
        <v>60</v>
      </c>
      <c r="E13" s="28">
        <v>2221175</v>
      </c>
      <c r="F13" s="25">
        <v>17916</v>
      </c>
      <c r="G13" s="25">
        <v>2.6</v>
      </c>
    </row>
    <row r="14" spans="2:7" x14ac:dyDescent="0.2">
      <c r="B14" s="27" t="s">
        <v>81</v>
      </c>
      <c r="C14" s="23" t="s">
        <v>82</v>
      </c>
      <c r="D14" s="23" t="s">
        <v>63</v>
      </c>
      <c r="E14" s="28">
        <v>3160534</v>
      </c>
      <c r="F14" s="25">
        <v>15688.89</v>
      </c>
      <c r="G14" s="25">
        <v>2.2799999999999998</v>
      </c>
    </row>
    <row r="15" spans="2:7" x14ac:dyDescent="0.2">
      <c r="B15" s="27" t="s">
        <v>200</v>
      </c>
      <c r="C15" s="23" t="s">
        <v>201</v>
      </c>
      <c r="D15" s="23" t="s">
        <v>122</v>
      </c>
      <c r="E15" s="28">
        <v>3872365</v>
      </c>
      <c r="F15" s="25">
        <v>15051.88</v>
      </c>
      <c r="G15" s="25">
        <v>2.1800000000000002</v>
      </c>
    </row>
    <row r="16" spans="2:7" x14ac:dyDescent="0.2">
      <c r="B16" s="27" t="s">
        <v>188</v>
      </c>
      <c r="C16" s="23" t="s">
        <v>189</v>
      </c>
      <c r="D16" s="23" t="s">
        <v>164</v>
      </c>
      <c r="E16" s="28">
        <v>3794476</v>
      </c>
      <c r="F16" s="25">
        <v>14669.44</v>
      </c>
      <c r="G16" s="25">
        <v>2.13</v>
      </c>
    </row>
    <row r="17" spans="2:7" x14ac:dyDescent="0.2">
      <c r="B17" s="27" t="s">
        <v>155</v>
      </c>
      <c r="C17" s="23" t="s">
        <v>156</v>
      </c>
      <c r="D17" s="23" t="s">
        <v>136</v>
      </c>
      <c r="E17" s="28">
        <v>674923</v>
      </c>
      <c r="F17" s="25">
        <v>14623.89</v>
      </c>
      <c r="G17" s="25">
        <v>2.12</v>
      </c>
    </row>
    <row r="18" spans="2:7" x14ac:dyDescent="0.2">
      <c r="B18" s="27" t="s">
        <v>239</v>
      </c>
      <c r="C18" s="23" t="s">
        <v>240</v>
      </c>
      <c r="D18" s="23" t="s">
        <v>122</v>
      </c>
      <c r="E18" s="28">
        <v>8500000</v>
      </c>
      <c r="F18" s="25">
        <v>14535</v>
      </c>
      <c r="G18" s="25">
        <v>2.11</v>
      </c>
    </row>
    <row r="19" spans="2:7" x14ac:dyDescent="0.2">
      <c r="B19" s="27" t="s">
        <v>173</v>
      </c>
      <c r="C19" s="23" t="s">
        <v>174</v>
      </c>
      <c r="D19" s="23" t="s">
        <v>159</v>
      </c>
      <c r="E19" s="28">
        <v>218427</v>
      </c>
      <c r="F19" s="25">
        <v>13783.51</v>
      </c>
      <c r="G19" s="25">
        <v>2</v>
      </c>
    </row>
    <row r="20" spans="2:7" x14ac:dyDescent="0.2">
      <c r="B20" s="27" t="s">
        <v>61</v>
      </c>
      <c r="C20" s="23" t="s">
        <v>62</v>
      </c>
      <c r="D20" s="23" t="s">
        <v>63</v>
      </c>
      <c r="E20" s="28">
        <v>3919300</v>
      </c>
      <c r="F20" s="25">
        <v>13672.48</v>
      </c>
      <c r="G20" s="25">
        <v>1.98</v>
      </c>
    </row>
    <row r="21" spans="2:7" x14ac:dyDescent="0.2">
      <c r="B21" s="27" t="s">
        <v>162</v>
      </c>
      <c r="C21" s="23" t="s">
        <v>163</v>
      </c>
      <c r="D21" s="23" t="s">
        <v>164</v>
      </c>
      <c r="E21" s="28">
        <v>791072</v>
      </c>
      <c r="F21" s="25">
        <v>13127.05</v>
      </c>
      <c r="G21" s="25">
        <v>1.9</v>
      </c>
    </row>
    <row r="22" spans="2:7" x14ac:dyDescent="0.2">
      <c r="B22" s="27" t="s">
        <v>105</v>
      </c>
      <c r="C22" s="23" t="s">
        <v>106</v>
      </c>
      <c r="D22" s="23" t="s">
        <v>107</v>
      </c>
      <c r="E22" s="28">
        <v>2689667</v>
      </c>
      <c r="F22" s="25">
        <v>12459.88</v>
      </c>
      <c r="G22" s="25">
        <v>1.81</v>
      </c>
    </row>
    <row r="23" spans="2:7" x14ac:dyDescent="0.2">
      <c r="B23" s="27" t="s">
        <v>157</v>
      </c>
      <c r="C23" s="23" t="s">
        <v>158</v>
      </c>
      <c r="D23" s="23" t="s">
        <v>159</v>
      </c>
      <c r="E23" s="28">
        <v>445131</v>
      </c>
      <c r="F23" s="25">
        <v>11961.12</v>
      </c>
      <c r="G23" s="25">
        <v>1.74</v>
      </c>
    </row>
    <row r="24" spans="2:7" x14ac:dyDescent="0.2">
      <c r="B24" s="27" t="s">
        <v>169</v>
      </c>
      <c r="C24" s="23" t="s">
        <v>170</v>
      </c>
      <c r="D24" s="23" t="s">
        <v>60</v>
      </c>
      <c r="E24" s="28">
        <v>736983</v>
      </c>
      <c r="F24" s="25">
        <v>11592.01</v>
      </c>
      <c r="G24" s="25">
        <v>1.68</v>
      </c>
    </row>
    <row r="25" spans="2:7" x14ac:dyDescent="0.2">
      <c r="B25" s="27" t="s">
        <v>184</v>
      </c>
      <c r="C25" s="23" t="s">
        <v>185</v>
      </c>
      <c r="D25" s="23" t="s">
        <v>60</v>
      </c>
      <c r="E25" s="28">
        <v>521405</v>
      </c>
      <c r="F25" s="25">
        <v>11383.84</v>
      </c>
      <c r="G25" s="25">
        <v>1.65</v>
      </c>
    </row>
    <row r="26" spans="2:7" x14ac:dyDescent="0.2">
      <c r="B26" s="27" t="s">
        <v>241</v>
      </c>
      <c r="C26" s="23" t="s">
        <v>242</v>
      </c>
      <c r="D26" s="23" t="s">
        <v>243</v>
      </c>
      <c r="E26" s="28">
        <v>493005</v>
      </c>
      <c r="F26" s="25">
        <v>11285.87</v>
      </c>
      <c r="G26" s="25">
        <v>1.64</v>
      </c>
    </row>
    <row r="27" spans="2:7" x14ac:dyDescent="0.2">
      <c r="B27" s="27" t="s">
        <v>134</v>
      </c>
      <c r="C27" s="23" t="s">
        <v>135</v>
      </c>
      <c r="D27" s="23" t="s">
        <v>136</v>
      </c>
      <c r="E27" s="28">
        <v>310378</v>
      </c>
      <c r="F27" s="25">
        <v>11189.44</v>
      </c>
      <c r="G27" s="25">
        <v>1.62</v>
      </c>
    </row>
    <row r="28" spans="2:7" x14ac:dyDescent="0.2">
      <c r="B28" s="27" t="s">
        <v>244</v>
      </c>
      <c r="C28" s="23" t="s">
        <v>245</v>
      </c>
      <c r="D28" s="23" t="s">
        <v>243</v>
      </c>
      <c r="E28" s="28">
        <v>6706869</v>
      </c>
      <c r="F28" s="25">
        <v>10908.72</v>
      </c>
      <c r="G28" s="25">
        <v>1.58</v>
      </c>
    </row>
    <row r="29" spans="2:7" x14ac:dyDescent="0.2">
      <c r="B29" s="27" t="s">
        <v>139</v>
      </c>
      <c r="C29" s="23" t="s">
        <v>140</v>
      </c>
      <c r="D29" s="23" t="s">
        <v>141</v>
      </c>
      <c r="E29" s="28">
        <v>1500000</v>
      </c>
      <c r="F29" s="25">
        <v>10830</v>
      </c>
      <c r="G29" s="25">
        <v>1.57</v>
      </c>
    </row>
    <row r="30" spans="2:7" x14ac:dyDescent="0.2">
      <c r="B30" s="27" t="s">
        <v>129</v>
      </c>
      <c r="C30" s="23" t="s">
        <v>130</v>
      </c>
      <c r="D30" s="23" t="s">
        <v>131</v>
      </c>
      <c r="E30" s="28">
        <v>500000</v>
      </c>
      <c r="F30" s="25">
        <v>10691</v>
      </c>
      <c r="G30" s="25">
        <v>1.55</v>
      </c>
    </row>
    <row r="31" spans="2:7" x14ac:dyDescent="0.2">
      <c r="B31" s="27" t="s">
        <v>123</v>
      </c>
      <c r="C31" s="23" t="s">
        <v>124</v>
      </c>
      <c r="D31" s="23" t="s">
        <v>119</v>
      </c>
      <c r="E31" s="28">
        <v>390000</v>
      </c>
      <c r="F31" s="25">
        <v>10450.64</v>
      </c>
      <c r="G31" s="25">
        <v>1.52</v>
      </c>
    </row>
    <row r="32" spans="2:7" x14ac:dyDescent="0.2">
      <c r="B32" s="27" t="s">
        <v>228</v>
      </c>
      <c r="C32" s="23" t="s">
        <v>229</v>
      </c>
      <c r="D32" s="23" t="s">
        <v>131</v>
      </c>
      <c r="E32" s="28">
        <v>1930000</v>
      </c>
      <c r="F32" s="25">
        <v>10383.4</v>
      </c>
      <c r="G32" s="25">
        <v>1.51</v>
      </c>
    </row>
    <row r="33" spans="2:7" x14ac:dyDescent="0.2">
      <c r="B33" s="27" t="s">
        <v>146</v>
      </c>
      <c r="C33" s="23" t="s">
        <v>147</v>
      </c>
      <c r="D33" s="23" t="s">
        <v>148</v>
      </c>
      <c r="E33" s="28">
        <v>468084</v>
      </c>
      <c r="F33" s="25">
        <v>10337.17</v>
      </c>
      <c r="G33" s="25">
        <v>1.5</v>
      </c>
    </row>
    <row r="34" spans="2:7" x14ac:dyDescent="0.2">
      <c r="B34" s="27" t="s">
        <v>132</v>
      </c>
      <c r="C34" s="23" t="s">
        <v>133</v>
      </c>
      <c r="D34" s="23" t="s">
        <v>44</v>
      </c>
      <c r="E34" s="28">
        <v>539657</v>
      </c>
      <c r="F34" s="25">
        <v>10291.799999999999</v>
      </c>
      <c r="G34" s="25">
        <v>1.49</v>
      </c>
    </row>
    <row r="35" spans="2:7" x14ac:dyDescent="0.2">
      <c r="B35" s="27" t="s">
        <v>66</v>
      </c>
      <c r="C35" s="23" t="s">
        <v>67</v>
      </c>
      <c r="D35" s="23" t="s">
        <v>68</v>
      </c>
      <c r="E35" s="28">
        <v>552414</v>
      </c>
      <c r="F35" s="25">
        <v>10254.74</v>
      </c>
      <c r="G35" s="25">
        <v>1.49</v>
      </c>
    </row>
    <row r="36" spans="2:7" x14ac:dyDescent="0.2">
      <c r="B36" s="27" t="s">
        <v>45</v>
      </c>
      <c r="C36" s="23" t="s">
        <v>46</v>
      </c>
      <c r="D36" s="23" t="s">
        <v>47</v>
      </c>
      <c r="E36" s="28">
        <v>32070</v>
      </c>
      <c r="F36" s="25">
        <v>10248.61</v>
      </c>
      <c r="G36" s="25">
        <v>1.49</v>
      </c>
    </row>
    <row r="37" spans="2:7" x14ac:dyDescent="0.2">
      <c r="B37" s="27" t="s">
        <v>246</v>
      </c>
      <c r="C37" s="23" t="s">
        <v>247</v>
      </c>
      <c r="D37" s="23" t="s">
        <v>44</v>
      </c>
      <c r="E37" s="28">
        <v>5492674</v>
      </c>
      <c r="F37" s="25">
        <v>10219.120000000001</v>
      </c>
      <c r="G37" s="25">
        <v>1.48</v>
      </c>
    </row>
    <row r="38" spans="2:7" x14ac:dyDescent="0.2">
      <c r="B38" s="27" t="s">
        <v>39</v>
      </c>
      <c r="C38" s="23" t="s">
        <v>40</v>
      </c>
      <c r="D38" s="23" t="s">
        <v>41</v>
      </c>
      <c r="E38" s="28">
        <v>1124043</v>
      </c>
      <c r="F38" s="25">
        <v>10028.15</v>
      </c>
      <c r="G38" s="25">
        <v>1.45</v>
      </c>
    </row>
    <row r="39" spans="2:7" x14ac:dyDescent="0.2">
      <c r="B39" s="27" t="s">
        <v>248</v>
      </c>
      <c r="C39" s="23" t="s">
        <v>249</v>
      </c>
      <c r="D39" s="23" t="s">
        <v>131</v>
      </c>
      <c r="E39" s="28">
        <v>1833216</v>
      </c>
      <c r="F39" s="25">
        <v>9935.11</v>
      </c>
      <c r="G39" s="25">
        <v>1.44</v>
      </c>
    </row>
    <row r="40" spans="2:7" x14ac:dyDescent="0.2">
      <c r="B40" s="27" t="s">
        <v>96</v>
      </c>
      <c r="C40" s="23" t="s">
        <v>97</v>
      </c>
      <c r="D40" s="23" t="s">
        <v>41</v>
      </c>
      <c r="E40" s="28">
        <v>205000</v>
      </c>
      <c r="F40" s="25">
        <v>9844.1</v>
      </c>
      <c r="G40" s="25">
        <v>1.43</v>
      </c>
    </row>
    <row r="41" spans="2:7" x14ac:dyDescent="0.2">
      <c r="B41" s="27" t="s">
        <v>206</v>
      </c>
      <c r="C41" s="23" t="s">
        <v>207</v>
      </c>
      <c r="D41" s="23" t="s">
        <v>131</v>
      </c>
      <c r="E41" s="28">
        <v>388954</v>
      </c>
      <c r="F41" s="25">
        <v>9726.9599999999991</v>
      </c>
      <c r="G41" s="25">
        <v>1.41</v>
      </c>
    </row>
    <row r="42" spans="2:7" x14ac:dyDescent="0.2">
      <c r="B42" s="27" t="s">
        <v>102</v>
      </c>
      <c r="C42" s="23" t="s">
        <v>103</v>
      </c>
      <c r="D42" s="23" t="s">
        <v>104</v>
      </c>
      <c r="E42" s="28">
        <v>4000000</v>
      </c>
      <c r="F42" s="25">
        <v>9054</v>
      </c>
      <c r="G42" s="25">
        <v>1.31</v>
      </c>
    </row>
    <row r="43" spans="2:7" x14ac:dyDescent="0.2">
      <c r="B43" s="27" t="s">
        <v>181</v>
      </c>
      <c r="C43" s="23" t="s">
        <v>182</v>
      </c>
      <c r="D43" s="23" t="s">
        <v>183</v>
      </c>
      <c r="E43" s="28">
        <v>362586</v>
      </c>
      <c r="F43" s="25">
        <v>8305.0300000000007</v>
      </c>
      <c r="G43" s="25">
        <v>1.2</v>
      </c>
    </row>
    <row r="44" spans="2:7" x14ac:dyDescent="0.2">
      <c r="B44" s="27" t="s">
        <v>165</v>
      </c>
      <c r="C44" s="23" t="s">
        <v>166</v>
      </c>
      <c r="D44" s="23" t="s">
        <v>136</v>
      </c>
      <c r="E44" s="28">
        <v>53776</v>
      </c>
      <c r="F44" s="25">
        <v>8280.99</v>
      </c>
      <c r="G44" s="25">
        <v>1.2</v>
      </c>
    </row>
    <row r="45" spans="2:7" x14ac:dyDescent="0.2">
      <c r="B45" s="27" t="s">
        <v>160</v>
      </c>
      <c r="C45" s="23" t="s">
        <v>161</v>
      </c>
      <c r="D45" s="23" t="s">
        <v>122</v>
      </c>
      <c r="E45" s="28">
        <v>492000</v>
      </c>
      <c r="F45" s="25">
        <v>7945.55</v>
      </c>
      <c r="G45" s="25">
        <v>1.1499999999999999</v>
      </c>
    </row>
    <row r="46" spans="2:7" x14ac:dyDescent="0.2">
      <c r="B46" s="27" t="s">
        <v>153</v>
      </c>
      <c r="C46" s="23" t="s">
        <v>154</v>
      </c>
      <c r="D46" s="23" t="s">
        <v>131</v>
      </c>
      <c r="E46" s="28">
        <v>218012</v>
      </c>
      <c r="F46" s="25">
        <v>7931.17</v>
      </c>
      <c r="G46" s="25">
        <v>1.1499999999999999</v>
      </c>
    </row>
    <row r="47" spans="2:7" x14ac:dyDescent="0.2">
      <c r="B47" s="27" t="s">
        <v>212</v>
      </c>
      <c r="C47" s="23" t="s">
        <v>213</v>
      </c>
      <c r="D47" s="23" t="s">
        <v>141</v>
      </c>
      <c r="E47" s="28">
        <v>8500000</v>
      </c>
      <c r="F47" s="25">
        <v>7832.75</v>
      </c>
      <c r="G47" s="25">
        <v>1.1399999999999999</v>
      </c>
    </row>
    <row r="48" spans="2:7" x14ac:dyDescent="0.2">
      <c r="B48" s="27" t="s">
        <v>250</v>
      </c>
      <c r="C48" s="23" t="s">
        <v>251</v>
      </c>
      <c r="D48" s="23" t="s">
        <v>183</v>
      </c>
      <c r="E48" s="28">
        <v>365216</v>
      </c>
      <c r="F48" s="25">
        <v>7717.01</v>
      </c>
      <c r="G48" s="25">
        <v>1.1200000000000001</v>
      </c>
    </row>
    <row r="49" spans="2:9" x14ac:dyDescent="0.2">
      <c r="B49" s="27" t="s">
        <v>177</v>
      </c>
      <c r="C49" s="23" t="s">
        <v>178</v>
      </c>
      <c r="D49" s="23" t="s">
        <v>68</v>
      </c>
      <c r="E49" s="28">
        <v>1506703</v>
      </c>
      <c r="F49" s="25">
        <v>7659.32</v>
      </c>
      <c r="G49" s="25">
        <v>1.1100000000000001</v>
      </c>
    </row>
    <row r="50" spans="2:9" x14ac:dyDescent="0.2">
      <c r="B50" s="27" t="s">
        <v>192</v>
      </c>
      <c r="C50" s="23" t="s">
        <v>193</v>
      </c>
      <c r="D50" s="23" t="s">
        <v>136</v>
      </c>
      <c r="E50" s="28">
        <v>1350000</v>
      </c>
      <c r="F50" s="25">
        <v>6907.28</v>
      </c>
      <c r="G50" s="25">
        <v>1</v>
      </c>
    </row>
    <row r="51" spans="2:9" x14ac:dyDescent="0.2">
      <c r="B51" s="27" t="s">
        <v>202</v>
      </c>
      <c r="C51" s="23" t="s">
        <v>203</v>
      </c>
      <c r="D51" s="23" t="s">
        <v>122</v>
      </c>
      <c r="E51" s="28">
        <v>839619</v>
      </c>
      <c r="F51" s="25">
        <v>6711.07</v>
      </c>
      <c r="G51" s="25">
        <v>0.97</v>
      </c>
    </row>
    <row r="52" spans="2:9" x14ac:dyDescent="0.2">
      <c r="B52" s="27" t="s">
        <v>144</v>
      </c>
      <c r="C52" s="23" t="s">
        <v>145</v>
      </c>
      <c r="D52" s="23" t="s">
        <v>60</v>
      </c>
      <c r="E52" s="28">
        <v>488000</v>
      </c>
      <c r="F52" s="25">
        <v>6642.66</v>
      </c>
      <c r="G52" s="25">
        <v>0.96</v>
      </c>
    </row>
    <row r="53" spans="2:9" x14ac:dyDescent="0.2">
      <c r="B53" s="27" t="s">
        <v>137</v>
      </c>
      <c r="C53" s="23" t="s">
        <v>138</v>
      </c>
      <c r="D53" s="23" t="s">
        <v>119</v>
      </c>
      <c r="E53" s="28">
        <v>800000</v>
      </c>
      <c r="F53" s="25">
        <v>6576.8</v>
      </c>
      <c r="G53" s="25">
        <v>0.95</v>
      </c>
    </row>
    <row r="54" spans="2:9" x14ac:dyDescent="0.2">
      <c r="B54" s="27" t="s">
        <v>252</v>
      </c>
      <c r="C54" s="23" t="s">
        <v>253</v>
      </c>
      <c r="D54" s="23" t="s">
        <v>136</v>
      </c>
      <c r="E54" s="28">
        <v>1029191</v>
      </c>
      <c r="F54" s="25">
        <v>5948.21</v>
      </c>
      <c r="G54" s="25">
        <v>0.86</v>
      </c>
    </row>
    <row r="55" spans="2:9" x14ac:dyDescent="0.2">
      <c r="B55" s="27" t="s">
        <v>254</v>
      </c>
      <c r="C55" s="23" t="s">
        <v>255</v>
      </c>
      <c r="D55" s="23" t="s">
        <v>68</v>
      </c>
      <c r="E55" s="28">
        <v>575000</v>
      </c>
      <c r="F55" s="25">
        <v>5510.8</v>
      </c>
      <c r="G55" s="25">
        <v>0.8</v>
      </c>
    </row>
    <row r="56" spans="2:9" x14ac:dyDescent="0.2">
      <c r="B56" s="27" t="s">
        <v>256</v>
      </c>
      <c r="C56" s="23" t="s">
        <v>257</v>
      </c>
      <c r="D56" s="23" t="s">
        <v>122</v>
      </c>
      <c r="E56" s="28">
        <v>375000</v>
      </c>
      <c r="F56" s="25">
        <v>5419.31</v>
      </c>
      <c r="G56" s="25">
        <v>0.79</v>
      </c>
    </row>
    <row r="57" spans="2:9" x14ac:dyDescent="0.2">
      <c r="B57" s="27" t="s">
        <v>179</v>
      </c>
      <c r="C57" s="23" t="s">
        <v>180</v>
      </c>
      <c r="D57" s="23" t="s">
        <v>159</v>
      </c>
      <c r="E57" s="28">
        <v>444365</v>
      </c>
      <c r="F57" s="25">
        <v>5233.95</v>
      </c>
      <c r="G57" s="25">
        <v>0.76</v>
      </c>
    </row>
    <row r="58" spans="2:9" x14ac:dyDescent="0.2">
      <c r="B58" s="27" t="s">
        <v>208</v>
      </c>
      <c r="C58" s="23" t="s">
        <v>209</v>
      </c>
      <c r="D58" s="23" t="s">
        <v>119</v>
      </c>
      <c r="E58" s="28">
        <v>361479</v>
      </c>
      <c r="F58" s="25">
        <v>5123.24</v>
      </c>
      <c r="G58" s="25">
        <v>0.74</v>
      </c>
    </row>
    <row r="59" spans="2:9" x14ac:dyDescent="0.2">
      <c r="B59" s="27" t="s">
        <v>258</v>
      </c>
      <c r="C59" s="23" t="s">
        <v>259</v>
      </c>
      <c r="D59" s="23" t="s">
        <v>260</v>
      </c>
      <c r="E59" s="28">
        <v>377028</v>
      </c>
      <c r="F59" s="25">
        <v>5102.8900000000003</v>
      </c>
      <c r="G59" s="25">
        <v>0.74</v>
      </c>
    </row>
    <row r="60" spans="2:9" x14ac:dyDescent="0.2">
      <c r="B60" s="27" t="s">
        <v>261</v>
      </c>
      <c r="C60" s="23" t="s">
        <v>262</v>
      </c>
      <c r="D60" s="23" t="s">
        <v>263</v>
      </c>
      <c r="E60" s="28">
        <v>1396805</v>
      </c>
      <c r="F60" s="25">
        <v>4914.66</v>
      </c>
      <c r="G60" s="25">
        <v>0.71</v>
      </c>
    </row>
    <row r="61" spans="2:9" x14ac:dyDescent="0.2">
      <c r="B61" s="27" t="s">
        <v>55</v>
      </c>
      <c r="C61" s="23" t="s">
        <v>56</v>
      </c>
      <c r="D61" s="23" t="s">
        <v>57</v>
      </c>
      <c r="E61" s="28">
        <v>378781</v>
      </c>
      <c r="F61" s="25">
        <v>3054.68</v>
      </c>
      <c r="G61" s="25">
        <v>0.44</v>
      </c>
    </row>
    <row r="62" spans="2:9" x14ac:dyDescent="0.2">
      <c r="B62" s="27" t="s">
        <v>264</v>
      </c>
      <c r="C62" s="23" t="s">
        <v>265</v>
      </c>
      <c r="D62" s="23" t="s">
        <v>47</v>
      </c>
      <c r="E62" s="28">
        <v>658108</v>
      </c>
      <c r="F62" s="25">
        <v>1682.78</v>
      </c>
      <c r="G62" s="25">
        <v>0.24</v>
      </c>
    </row>
    <row r="63" spans="2:9" x14ac:dyDescent="0.2">
      <c r="B63" s="27" t="s">
        <v>244</v>
      </c>
      <c r="C63" s="23" t="s">
        <v>266</v>
      </c>
      <c r="D63" s="23" t="s">
        <v>243</v>
      </c>
      <c r="E63" s="28">
        <v>767000</v>
      </c>
      <c r="F63" s="25">
        <v>776.97</v>
      </c>
      <c r="G63" s="25">
        <v>0.11</v>
      </c>
    </row>
    <row r="64" spans="2:9" x14ac:dyDescent="0.2">
      <c r="B64" s="29" t="s">
        <v>110</v>
      </c>
      <c r="C64" s="30"/>
      <c r="D64" s="30"/>
      <c r="E64" s="31"/>
      <c r="F64" s="32">
        <f>SUM(F7:F63)</f>
        <v>670097.57000000018</v>
      </c>
      <c r="G64" s="32">
        <f>SUM(G7:G63)</f>
        <v>97.169999999999987</v>
      </c>
      <c r="H64" s="14"/>
      <c r="I64" s="14"/>
    </row>
    <row r="65" spans="2:9" x14ac:dyDescent="0.2">
      <c r="B65" s="37" t="s">
        <v>111</v>
      </c>
      <c r="C65" s="37"/>
      <c r="D65" s="37"/>
      <c r="E65" s="38"/>
      <c r="F65" s="39">
        <f>F64</f>
        <v>670097.57000000018</v>
      </c>
      <c r="G65" s="39">
        <f>G64</f>
        <v>97.169999999999987</v>
      </c>
      <c r="H65" s="14"/>
      <c r="I65" s="14"/>
    </row>
    <row r="66" spans="2:9" x14ac:dyDescent="0.2">
      <c r="B66" s="40" t="s">
        <v>112</v>
      </c>
      <c r="C66" s="41"/>
      <c r="D66" s="41"/>
      <c r="E66" s="42"/>
      <c r="F66" s="43"/>
      <c r="G66" s="43"/>
    </row>
    <row r="67" spans="2:9" x14ac:dyDescent="0.2">
      <c r="B67" s="27" t="s">
        <v>112</v>
      </c>
      <c r="C67" s="23"/>
      <c r="D67" s="23"/>
      <c r="E67" s="24"/>
      <c r="F67" s="25">
        <v>24487.45</v>
      </c>
      <c r="G67" s="25">
        <v>3.55</v>
      </c>
    </row>
    <row r="68" spans="2:9" x14ac:dyDescent="0.2">
      <c r="B68" s="29" t="s">
        <v>110</v>
      </c>
      <c r="C68" s="30"/>
      <c r="D68" s="30"/>
      <c r="E68" s="31"/>
      <c r="F68" s="32">
        <f>SUM(F66:F67)</f>
        <v>24487.45</v>
      </c>
      <c r="G68" s="32">
        <f>SUM(G66:G67)</f>
        <v>3.55</v>
      </c>
      <c r="H68" s="14"/>
      <c r="I68" s="14"/>
    </row>
    <row r="69" spans="2:9" x14ac:dyDescent="0.2">
      <c r="B69" s="34" t="s">
        <v>111</v>
      </c>
      <c r="C69" s="34"/>
      <c r="D69" s="34"/>
      <c r="E69" s="35"/>
      <c r="F69" s="36">
        <f>F68</f>
        <v>24487.45</v>
      </c>
      <c r="G69" s="36">
        <f>G68</f>
        <v>3.55</v>
      </c>
      <c r="H69" s="14"/>
      <c r="I69" s="14"/>
    </row>
    <row r="70" spans="2:9" x14ac:dyDescent="0.2">
      <c r="B70" s="44" t="s">
        <v>114</v>
      </c>
      <c r="C70" s="44"/>
      <c r="D70" s="44"/>
      <c r="E70" s="45"/>
      <c r="F70" s="16">
        <f>F71-(+F65+F69)</f>
        <v>-6629.5400000001537</v>
      </c>
      <c r="G70" s="16">
        <f>G71-(+G65+G69)</f>
        <v>-0.71999999999998465</v>
      </c>
      <c r="H70" s="14"/>
      <c r="I70" s="14"/>
    </row>
    <row r="71" spans="2:9" x14ac:dyDescent="0.2">
      <c r="B71" s="44" t="s">
        <v>113</v>
      </c>
      <c r="C71" s="44"/>
      <c r="D71" s="44"/>
      <c r="E71" s="45"/>
      <c r="F71" s="16">
        <v>687955.48</v>
      </c>
      <c r="G71" s="16">
        <v>100</v>
      </c>
      <c r="H71" s="14"/>
      <c r="I71" s="14"/>
    </row>
    <row r="73" spans="2:9" x14ac:dyDescent="0.2">
      <c r="B73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3"/>
  <sheetViews>
    <sheetView workbookViewId="0">
      <selection activeCell="F8" sqref="F8"/>
    </sheetView>
  </sheetViews>
  <sheetFormatPr defaultRowHeight="12" x14ac:dyDescent="0.2"/>
  <cols>
    <col min="1" max="1" width="9.140625" style="1"/>
    <col min="2" max="2" width="61" style="1" bestFit="1" customWidth="1"/>
    <col min="3" max="3" width="13.28515625" style="1" bestFit="1" customWidth="1"/>
    <col min="4" max="4" width="21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12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115</v>
      </c>
      <c r="C7" s="23" t="s">
        <v>116</v>
      </c>
      <c r="D7" s="23" t="s">
        <v>44</v>
      </c>
      <c r="E7" s="28">
        <v>230800</v>
      </c>
      <c r="F7" s="25">
        <v>3325.48</v>
      </c>
      <c r="G7" s="25">
        <v>7.23</v>
      </c>
    </row>
    <row r="8" spans="2:7" x14ac:dyDescent="0.2">
      <c r="B8" s="27" t="s">
        <v>42</v>
      </c>
      <c r="C8" s="23" t="s">
        <v>43</v>
      </c>
      <c r="D8" s="23" t="s">
        <v>44</v>
      </c>
      <c r="E8" s="28">
        <v>567000</v>
      </c>
      <c r="F8" s="25">
        <v>2683.89</v>
      </c>
      <c r="G8" s="25">
        <v>5.84</v>
      </c>
    </row>
    <row r="9" spans="2:7" x14ac:dyDescent="0.2">
      <c r="B9" s="27" t="s">
        <v>194</v>
      </c>
      <c r="C9" s="23" t="s">
        <v>195</v>
      </c>
      <c r="D9" s="23" t="s">
        <v>131</v>
      </c>
      <c r="E9" s="28">
        <v>116675</v>
      </c>
      <c r="F9" s="25">
        <v>2584.6999999999998</v>
      </c>
      <c r="G9" s="25">
        <v>5.62</v>
      </c>
    </row>
    <row r="10" spans="2:7" x14ac:dyDescent="0.2">
      <c r="B10" s="27" t="s">
        <v>120</v>
      </c>
      <c r="C10" s="23" t="s">
        <v>121</v>
      </c>
      <c r="D10" s="23" t="s">
        <v>122</v>
      </c>
      <c r="E10" s="28">
        <v>47175</v>
      </c>
      <c r="F10" s="25">
        <v>2315.73</v>
      </c>
      <c r="G10" s="25">
        <v>5.04</v>
      </c>
    </row>
    <row r="11" spans="2:7" x14ac:dyDescent="0.2">
      <c r="B11" s="27" t="s">
        <v>228</v>
      </c>
      <c r="C11" s="23" t="s">
        <v>229</v>
      </c>
      <c r="D11" s="23" t="s">
        <v>131</v>
      </c>
      <c r="E11" s="28">
        <v>285000</v>
      </c>
      <c r="F11" s="25">
        <v>1533.3</v>
      </c>
      <c r="G11" s="25">
        <v>3.33</v>
      </c>
    </row>
    <row r="12" spans="2:7" x14ac:dyDescent="0.2">
      <c r="B12" s="27" t="s">
        <v>206</v>
      </c>
      <c r="C12" s="23" t="s">
        <v>207</v>
      </c>
      <c r="D12" s="23" t="s">
        <v>131</v>
      </c>
      <c r="E12" s="28">
        <v>57500</v>
      </c>
      <c r="F12" s="25">
        <v>1437.96</v>
      </c>
      <c r="G12" s="25">
        <v>3.13</v>
      </c>
    </row>
    <row r="13" spans="2:7" x14ac:dyDescent="0.2">
      <c r="B13" s="27" t="s">
        <v>58</v>
      </c>
      <c r="C13" s="23" t="s">
        <v>59</v>
      </c>
      <c r="D13" s="23" t="s">
        <v>60</v>
      </c>
      <c r="E13" s="28">
        <v>177500</v>
      </c>
      <c r="F13" s="25">
        <v>1431.72</v>
      </c>
      <c r="G13" s="25">
        <v>3.11</v>
      </c>
    </row>
    <row r="14" spans="2:7" x14ac:dyDescent="0.2">
      <c r="B14" s="27" t="s">
        <v>149</v>
      </c>
      <c r="C14" s="23" t="s">
        <v>150</v>
      </c>
      <c r="D14" s="23" t="s">
        <v>141</v>
      </c>
      <c r="E14" s="28">
        <v>38000</v>
      </c>
      <c r="F14" s="25">
        <v>1181.3599999999999</v>
      </c>
      <c r="G14" s="25">
        <v>2.57</v>
      </c>
    </row>
    <row r="15" spans="2:7" x14ac:dyDescent="0.2">
      <c r="B15" s="27" t="s">
        <v>171</v>
      </c>
      <c r="C15" s="23" t="s">
        <v>172</v>
      </c>
      <c r="D15" s="23" t="s">
        <v>122</v>
      </c>
      <c r="E15" s="28">
        <v>175000</v>
      </c>
      <c r="F15" s="25">
        <v>1131.9000000000001</v>
      </c>
      <c r="G15" s="25">
        <v>2.46</v>
      </c>
    </row>
    <row r="16" spans="2:7" x14ac:dyDescent="0.2">
      <c r="B16" s="27" t="s">
        <v>125</v>
      </c>
      <c r="C16" s="23" t="s">
        <v>126</v>
      </c>
      <c r="D16" s="23" t="s">
        <v>122</v>
      </c>
      <c r="E16" s="28">
        <v>50000</v>
      </c>
      <c r="F16" s="25">
        <v>1128.1300000000001</v>
      </c>
      <c r="G16" s="25">
        <v>2.4500000000000002</v>
      </c>
    </row>
    <row r="17" spans="2:7" x14ac:dyDescent="0.2">
      <c r="B17" s="27" t="s">
        <v>85</v>
      </c>
      <c r="C17" s="23" t="s">
        <v>86</v>
      </c>
      <c r="D17" s="23" t="s">
        <v>60</v>
      </c>
      <c r="E17" s="28">
        <v>8801</v>
      </c>
      <c r="F17" s="25">
        <v>1045.55</v>
      </c>
      <c r="G17" s="25">
        <v>2.27</v>
      </c>
    </row>
    <row r="18" spans="2:7" x14ac:dyDescent="0.2">
      <c r="B18" s="27" t="s">
        <v>267</v>
      </c>
      <c r="C18" s="23" t="s">
        <v>268</v>
      </c>
      <c r="D18" s="23" t="s">
        <v>60</v>
      </c>
      <c r="E18" s="28">
        <v>438587</v>
      </c>
      <c r="F18" s="25">
        <v>1042.52</v>
      </c>
      <c r="G18" s="25">
        <v>2.27</v>
      </c>
    </row>
    <row r="19" spans="2:7" x14ac:dyDescent="0.2">
      <c r="B19" s="27" t="s">
        <v>73</v>
      </c>
      <c r="C19" s="23" t="s">
        <v>74</v>
      </c>
      <c r="D19" s="23" t="s">
        <v>60</v>
      </c>
      <c r="E19" s="28">
        <v>41870</v>
      </c>
      <c r="F19" s="25">
        <v>1004.71</v>
      </c>
      <c r="G19" s="25">
        <v>2.1800000000000002</v>
      </c>
    </row>
    <row r="20" spans="2:7" x14ac:dyDescent="0.2">
      <c r="B20" s="27" t="s">
        <v>142</v>
      </c>
      <c r="C20" s="23" t="s">
        <v>143</v>
      </c>
      <c r="D20" s="23" t="s">
        <v>141</v>
      </c>
      <c r="E20" s="28">
        <v>14250</v>
      </c>
      <c r="F20" s="25">
        <v>1002.6</v>
      </c>
      <c r="G20" s="25">
        <v>2.1800000000000002</v>
      </c>
    </row>
    <row r="21" spans="2:7" x14ac:dyDescent="0.2">
      <c r="B21" s="27" t="s">
        <v>218</v>
      </c>
      <c r="C21" s="23" t="s">
        <v>219</v>
      </c>
      <c r="D21" s="23" t="s">
        <v>119</v>
      </c>
      <c r="E21" s="28">
        <v>19660</v>
      </c>
      <c r="F21" s="25">
        <v>1001.17</v>
      </c>
      <c r="G21" s="25">
        <v>2.1800000000000002</v>
      </c>
    </row>
    <row r="22" spans="2:7" x14ac:dyDescent="0.2">
      <c r="B22" s="27" t="s">
        <v>269</v>
      </c>
      <c r="C22" s="23" t="s">
        <v>270</v>
      </c>
      <c r="D22" s="23" t="s">
        <v>131</v>
      </c>
      <c r="E22" s="28">
        <v>200000</v>
      </c>
      <c r="F22" s="25">
        <v>999.6</v>
      </c>
      <c r="G22" s="25">
        <v>2.17</v>
      </c>
    </row>
    <row r="23" spans="2:7" x14ac:dyDescent="0.2">
      <c r="B23" s="27" t="s">
        <v>64</v>
      </c>
      <c r="C23" s="23" t="s">
        <v>65</v>
      </c>
      <c r="D23" s="23" t="s">
        <v>44</v>
      </c>
      <c r="E23" s="28">
        <v>400000</v>
      </c>
      <c r="F23" s="25">
        <v>977</v>
      </c>
      <c r="G23" s="25">
        <v>2.12</v>
      </c>
    </row>
    <row r="24" spans="2:7" x14ac:dyDescent="0.2">
      <c r="B24" s="27" t="s">
        <v>36</v>
      </c>
      <c r="C24" s="23" t="s">
        <v>37</v>
      </c>
      <c r="D24" s="23" t="s">
        <v>38</v>
      </c>
      <c r="E24" s="28">
        <v>50000</v>
      </c>
      <c r="F24" s="25">
        <v>964.9</v>
      </c>
      <c r="G24" s="25">
        <v>2.1</v>
      </c>
    </row>
    <row r="25" spans="2:7" x14ac:dyDescent="0.2">
      <c r="B25" s="27" t="s">
        <v>129</v>
      </c>
      <c r="C25" s="23" t="s">
        <v>130</v>
      </c>
      <c r="D25" s="23" t="s">
        <v>131</v>
      </c>
      <c r="E25" s="28">
        <v>44850</v>
      </c>
      <c r="F25" s="25">
        <v>958.98</v>
      </c>
      <c r="G25" s="25">
        <v>2.09</v>
      </c>
    </row>
    <row r="26" spans="2:7" x14ac:dyDescent="0.2">
      <c r="B26" s="27" t="s">
        <v>222</v>
      </c>
      <c r="C26" s="23" t="s">
        <v>223</v>
      </c>
      <c r="D26" s="23" t="s">
        <v>119</v>
      </c>
      <c r="E26" s="28">
        <v>21999</v>
      </c>
      <c r="F26" s="25">
        <v>947.35</v>
      </c>
      <c r="G26" s="25">
        <v>2.06</v>
      </c>
    </row>
    <row r="27" spans="2:7" x14ac:dyDescent="0.2">
      <c r="B27" s="27" t="s">
        <v>210</v>
      </c>
      <c r="C27" s="23" t="s">
        <v>211</v>
      </c>
      <c r="D27" s="23" t="s">
        <v>141</v>
      </c>
      <c r="E27" s="28">
        <v>29500</v>
      </c>
      <c r="F27" s="25">
        <v>936.2</v>
      </c>
      <c r="G27" s="25">
        <v>2.04</v>
      </c>
    </row>
    <row r="28" spans="2:7" x14ac:dyDescent="0.2">
      <c r="B28" s="27" t="s">
        <v>87</v>
      </c>
      <c r="C28" s="23" t="s">
        <v>88</v>
      </c>
      <c r="D28" s="23" t="s">
        <v>60</v>
      </c>
      <c r="E28" s="28">
        <v>303791</v>
      </c>
      <c r="F28" s="25">
        <v>927.47</v>
      </c>
      <c r="G28" s="25">
        <v>2.02</v>
      </c>
    </row>
    <row r="29" spans="2:7" x14ac:dyDescent="0.2">
      <c r="B29" s="27" t="s">
        <v>186</v>
      </c>
      <c r="C29" s="23" t="s">
        <v>187</v>
      </c>
      <c r="D29" s="23" t="s">
        <v>122</v>
      </c>
      <c r="E29" s="28">
        <v>158054</v>
      </c>
      <c r="F29" s="25">
        <v>867.01</v>
      </c>
      <c r="G29" s="25">
        <v>1.89</v>
      </c>
    </row>
    <row r="30" spans="2:7" x14ac:dyDescent="0.2">
      <c r="B30" s="27" t="s">
        <v>153</v>
      </c>
      <c r="C30" s="23" t="s">
        <v>154</v>
      </c>
      <c r="D30" s="23" t="s">
        <v>131</v>
      </c>
      <c r="E30" s="28">
        <v>23500</v>
      </c>
      <c r="F30" s="25">
        <v>854.92</v>
      </c>
      <c r="G30" s="25">
        <v>1.86</v>
      </c>
    </row>
    <row r="31" spans="2:7" x14ac:dyDescent="0.2">
      <c r="B31" s="27" t="s">
        <v>108</v>
      </c>
      <c r="C31" s="23" t="s">
        <v>109</v>
      </c>
      <c r="D31" s="23" t="s">
        <v>60</v>
      </c>
      <c r="E31" s="28">
        <v>105000</v>
      </c>
      <c r="F31" s="25">
        <v>852.44</v>
      </c>
      <c r="G31" s="25">
        <v>1.85</v>
      </c>
    </row>
    <row r="32" spans="2:7" x14ac:dyDescent="0.2">
      <c r="B32" s="27" t="s">
        <v>271</v>
      </c>
      <c r="C32" s="23" t="s">
        <v>272</v>
      </c>
      <c r="D32" s="23" t="s">
        <v>131</v>
      </c>
      <c r="E32" s="28">
        <v>202500</v>
      </c>
      <c r="F32" s="25">
        <v>744.59</v>
      </c>
      <c r="G32" s="25">
        <v>1.62</v>
      </c>
    </row>
    <row r="33" spans="2:7" x14ac:dyDescent="0.2">
      <c r="B33" s="27" t="s">
        <v>232</v>
      </c>
      <c r="C33" s="23" t="s">
        <v>233</v>
      </c>
      <c r="D33" s="23" t="s">
        <v>44</v>
      </c>
      <c r="E33" s="28">
        <v>88500</v>
      </c>
      <c r="F33" s="25">
        <v>742.56</v>
      </c>
      <c r="G33" s="25">
        <v>1.61</v>
      </c>
    </row>
    <row r="34" spans="2:7" x14ac:dyDescent="0.2">
      <c r="B34" s="27" t="s">
        <v>151</v>
      </c>
      <c r="C34" s="23" t="s">
        <v>152</v>
      </c>
      <c r="D34" s="23" t="s">
        <v>131</v>
      </c>
      <c r="E34" s="28">
        <v>3900</v>
      </c>
      <c r="F34" s="25">
        <v>697.67</v>
      </c>
      <c r="G34" s="25">
        <v>1.52</v>
      </c>
    </row>
    <row r="35" spans="2:7" x14ac:dyDescent="0.2">
      <c r="B35" s="27" t="s">
        <v>212</v>
      </c>
      <c r="C35" s="23" t="s">
        <v>213</v>
      </c>
      <c r="D35" s="23" t="s">
        <v>141</v>
      </c>
      <c r="E35" s="28">
        <v>750000</v>
      </c>
      <c r="F35" s="25">
        <v>691.13</v>
      </c>
      <c r="G35" s="25">
        <v>1.5</v>
      </c>
    </row>
    <row r="36" spans="2:7" x14ac:dyDescent="0.2">
      <c r="B36" s="27" t="s">
        <v>273</v>
      </c>
      <c r="C36" s="23" t="s">
        <v>274</v>
      </c>
      <c r="D36" s="23" t="s">
        <v>131</v>
      </c>
      <c r="E36" s="28">
        <v>88500</v>
      </c>
      <c r="F36" s="25">
        <v>619.28</v>
      </c>
      <c r="G36" s="25">
        <v>1.35</v>
      </c>
    </row>
    <row r="37" spans="2:7" x14ac:dyDescent="0.2">
      <c r="B37" s="27" t="s">
        <v>134</v>
      </c>
      <c r="C37" s="23" t="s">
        <v>135</v>
      </c>
      <c r="D37" s="23" t="s">
        <v>136</v>
      </c>
      <c r="E37" s="28">
        <v>17125</v>
      </c>
      <c r="F37" s="25">
        <v>617.37</v>
      </c>
      <c r="G37" s="25">
        <v>1.34</v>
      </c>
    </row>
    <row r="38" spans="2:7" x14ac:dyDescent="0.2">
      <c r="B38" s="27" t="s">
        <v>184</v>
      </c>
      <c r="C38" s="23" t="s">
        <v>185</v>
      </c>
      <c r="D38" s="23" t="s">
        <v>60</v>
      </c>
      <c r="E38" s="28">
        <v>28250</v>
      </c>
      <c r="F38" s="25">
        <v>616.78</v>
      </c>
      <c r="G38" s="25">
        <v>1.34</v>
      </c>
    </row>
    <row r="39" spans="2:7" x14ac:dyDescent="0.2">
      <c r="B39" s="27" t="s">
        <v>248</v>
      </c>
      <c r="C39" s="23" t="s">
        <v>249</v>
      </c>
      <c r="D39" s="23" t="s">
        <v>131</v>
      </c>
      <c r="E39" s="28">
        <v>112000</v>
      </c>
      <c r="F39" s="25">
        <v>606.98</v>
      </c>
      <c r="G39" s="25">
        <v>1.32</v>
      </c>
    </row>
    <row r="40" spans="2:7" x14ac:dyDescent="0.2">
      <c r="B40" s="27" t="s">
        <v>275</v>
      </c>
      <c r="C40" s="23" t="s">
        <v>276</v>
      </c>
      <c r="D40" s="23" t="s">
        <v>131</v>
      </c>
      <c r="E40" s="28">
        <v>91000</v>
      </c>
      <c r="F40" s="25">
        <v>589.45000000000005</v>
      </c>
      <c r="G40" s="25">
        <v>1.28</v>
      </c>
    </row>
    <row r="41" spans="2:7" x14ac:dyDescent="0.2">
      <c r="B41" s="27" t="s">
        <v>162</v>
      </c>
      <c r="C41" s="23" t="s">
        <v>163</v>
      </c>
      <c r="D41" s="23" t="s">
        <v>164</v>
      </c>
      <c r="E41" s="28">
        <v>35000</v>
      </c>
      <c r="F41" s="25">
        <v>580.79</v>
      </c>
      <c r="G41" s="25">
        <v>1.26</v>
      </c>
    </row>
    <row r="42" spans="2:7" x14ac:dyDescent="0.2">
      <c r="B42" s="27" t="s">
        <v>146</v>
      </c>
      <c r="C42" s="23" t="s">
        <v>147</v>
      </c>
      <c r="D42" s="23" t="s">
        <v>148</v>
      </c>
      <c r="E42" s="28">
        <v>26082</v>
      </c>
      <c r="F42" s="25">
        <v>575.99</v>
      </c>
      <c r="G42" s="25">
        <v>1.25</v>
      </c>
    </row>
    <row r="43" spans="2:7" x14ac:dyDescent="0.2">
      <c r="B43" s="27" t="s">
        <v>196</v>
      </c>
      <c r="C43" s="23" t="s">
        <v>197</v>
      </c>
      <c r="D43" s="23" t="s">
        <v>68</v>
      </c>
      <c r="E43" s="28">
        <v>200000</v>
      </c>
      <c r="F43" s="25">
        <v>521.6</v>
      </c>
      <c r="G43" s="25">
        <v>1.1299999999999999</v>
      </c>
    </row>
    <row r="44" spans="2:7" x14ac:dyDescent="0.2">
      <c r="B44" s="27" t="s">
        <v>244</v>
      </c>
      <c r="C44" s="23" t="s">
        <v>245</v>
      </c>
      <c r="D44" s="23" t="s">
        <v>243</v>
      </c>
      <c r="E44" s="28">
        <v>305000</v>
      </c>
      <c r="F44" s="25">
        <v>496.08</v>
      </c>
      <c r="G44" s="25">
        <v>1.08</v>
      </c>
    </row>
    <row r="45" spans="2:7" x14ac:dyDescent="0.2">
      <c r="B45" s="27" t="s">
        <v>230</v>
      </c>
      <c r="C45" s="23" t="s">
        <v>231</v>
      </c>
      <c r="D45" s="23" t="s">
        <v>122</v>
      </c>
      <c r="E45" s="28">
        <v>105000</v>
      </c>
      <c r="F45" s="25">
        <v>463.79</v>
      </c>
      <c r="G45" s="25">
        <v>1.01</v>
      </c>
    </row>
    <row r="46" spans="2:7" x14ac:dyDescent="0.2">
      <c r="B46" s="27" t="s">
        <v>241</v>
      </c>
      <c r="C46" s="23" t="s">
        <v>242</v>
      </c>
      <c r="D46" s="23" t="s">
        <v>243</v>
      </c>
      <c r="E46" s="28">
        <v>20000</v>
      </c>
      <c r="F46" s="25">
        <v>457.84</v>
      </c>
      <c r="G46" s="25">
        <v>1</v>
      </c>
    </row>
    <row r="47" spans="2:7" x14ac:dyDescent="0.2">
      <c r="B47" s="27" t="s">
        <v>175</v>
      </c>
      <c r="C47" s="23" t="s">
        <v>176</v>
      </c>
      <c r="D47" s="23" t="s">
        <v>136</v>
      </c>
      <c r="E47" s="28">
        <v>57500</v>
      </c>
      <c r="F47" s="25">
        <v>428.72</v>
      </c>
      <c r="G47" s="25">
        <v>0.93</v>
      </c>
    </row>
    <row r="48" spans="2:7" x14ac:dyDescent="0.2">
      <c r="B48" s="27" t="s">
        <v>160</v>
      </c>
      <c r="C48" s="23" t="s">
        <v>161</v>
      </c>
      <c r="D48" s="23" t="s">
        <v>122</v>
      </c>
      <c r="E48" s="28">
        <v>26000</v>
      </c>
      <c r="F48" s="25">
        <v>419.89</v>
      </c>
      <c r="G48" s="25">
        <v>0.91</v>
      </c>
    </row>
    <row r="49" spans="2:9" x14ac:dyDescent="0.2">
      <c r="B49" s="27" t="s">
        <v>234</v>
      </c>
      <c r="C49" s="23" t="s">
        <v>235</v>
      </c>
      <c r="D49" s="23" t="s">
        <v>236</v>
      </c>
      <c r="E49" s="28">
        <v>42000</v>
      </c>
      <c r="F49" s="25">
        <v>347.91</v>
      </c>
      <c r="G49" s="25">
        <v>0.76</v>
      </c>
    </row>
    <row r="50" spans="2:9" x14ac:dyDescent="0.2">
      <c r="B50" s="27" t="s">
        <v>202</v>
      </c>
      <c r="C50" s="23" t="s">
        <v>203</v>
      </c>
      <c r="D50" s="23" t="s">
        <v>122</v>
      </c>
      <c r="E50" s="28">
        <v>42500</v>
      </c>
      <c r="F50" s="25">
        <v>339.7</v>
      </c>
      <c r="G50" s="25">
        <v>0.74</v>
      </c>
    </row>
    <row r="51" spans="2:9" x14ac:dyDescent="0.2">
      <c r="B51" s="27" t="s">
        <v>181</v>
      </c>
      <c r="C51" s="23" t="s">
        <v>182</v>
      </c>
      <c r="D51" s="23" t="s">
        <v>183</v>
      </c>
      <c r="E51" s="28">
        <v>9450</v>
      </c>
      <c r="F51" s="25">
        <v>216.45</v>
      </c>
      <c r="G51" s="25">
        <v>0.47</v>
      </c>
    </row>
    <row r="52" spans="2:9" x14ac:dyDescent="0.2">
      <c r="B52" s="27" t="s">
        <v>155</v>
      </c>
      <c r="C52" s="23" t="s">
        <v>156</v>
      </c>
      <c r="D52" s="23" t="s">
        <v>136</v>
      </c>
      <c r="E52" s="28">
        <v>8500</v>
      </c>
      <c r="F52" s="25">
        <v>184.17</v>
      </c>
      <c r="G52" s="25">
        <v>0.4</v>
      </c>
    </row>
    <row r="53" spans="2:9" x14ac:dyDescent="0.2">
      <c r="B53" s="27" t="s">
        <v>277</v>
      </c>
      <c r="C53" s="23" t="s">
        <v>278</v>
      </c>
      <c r="D53" s="23" t="s">
        <v>52</v>
      </c>
      <c r="E53" s="28">
        <v>17227</v>
      </c>
      <c r="F53" s="25">
        <v>111.61</v>
      </c>
      <c r="G53" s="25">
        <v>0.24</v>
      </c>
    </row>
    <row r="54" spans="2:9" x14ac:dyDescent="0.2">
      <c r="B54" s="29" t="s">
        <v>110</v>
      </c>
      <c r="C54" s="30"/>
      <c r="D54" s="30"/>
      <c r="E54" s="31"/>
      <c r="F54" s="32">
        <f>SUM(F7:F53)</f>
        <v>44206.939999999973</v>
      </c>
      <c r="G54" s="32">
        <f>SUM(G7:G53)</f>
        <v>96.120000000000019</v>
      </c>
      <c r="H54" s="14"/>
      <c r="I54" s="14"/>
    </row>
    <row r="55" spans="2:9" x14ac:dyDescent="0.2">
      <c r="B55" s="37" t="s">
        <v>111</v>
      </c>
      <c r="C55" s="37"/>
      <c r="D55" s="37"/>
      <c r="E55" s="38"/>
      <c r="F55" s="39">
        <f>F54</f>
        <v>44206.939999999973</v>
      </c>
      <c r="G55" s="39">
        <f>G54</f>
        <v>96.120000000000019</v>
      </c>
      <c r="H55" s="14"/>
      <c r="I55" s="14"/>
    </row>
    <row r="56" spans="2:9" x14ac:dyDescent="0.2">
      <c r="B56" s="40" t="s">
        <v>112</v>
      </c>
      <c r="C56" s="41"/>
      <c r="D56" s="41"/>
      <c r="E56" s="42"/>
      <c r="F56" s="43"/>
      <c r="G56" s="43"/>
    </row>
    <row r="57" spans="2:9" x14ac:dyDescent="0.2">
      <c r="B57" s="27" t="s">
        <v>112</v>
      </c>
      <c r="C57" s="23"/>
      <c r="D57" s="23"/>
      <c r="E57" s="24"/>
      <c r="F57" s="25">
        <v>607.65</v>
      </c>
      <c r="G57" s="25">
        <v>1.32</v>
      </c>
    </row>
    <row r="58" spans="2:9" x14ac:dyDescent="0.2">
      <c r="B58" s="29" t="s">
        <v>110</v>
      </c>
      <c r="C58" s="30"/>
      <c r="D58" s="30"/>
      <c r="E58" s="31"/>
      <c r="F58" s="32">
        <f>SUM(F56:F57)</f>
        <v>607.65</v>
      </c>
      <c r="G58" s="32">
        <f>SUM(G56:G57)</f>
        <v>1.32</v>
      </c>
      <c r="H58" s="14"/>
      <c r="I58" s="14"/>
    </row>
    <row r="59" spans="2:9" x14ac:dyDescent="0.2">
      <c r="B59" s="34" t="s">
        <v>111</v>
      </c>
      <c r="C59" s="34"/>
      <c r="D59" s="34"/>
      <c r="E59" s="35"/>
      <c r="F59" s="36">
        <f>F58</f>
        <v>607.65</v>
      </c>
      <c r="G59" s="36">
        <f>G58</f>
        <v>1.32</v>
      </c>
      <c r="H59" s="14"/>
      <c r="I59" s="14"/>
    </row>
    <row r="60" spans="2:9" x14ac:dyDescent="0.2">
      <c r="B60" s="44" t="s">
        <v>114</v>
      </c>
      <c r="C60" s="44"/>
      <c r="D60" s="44"/>
      <c r="E60" s="45"/>
      <c r="F60" s="16">
        <f>F61-(+F55+F59)</f>
        <v>1152.1800000000221</v>
      </c>
      <c r="G60" s="16">
        <f>G61-(+G55+G59)</f>
        <v>2.5599999999999881</v>
      </c>
      <c r="H60" s="14"/>
      <c r="I60" s="14"/>
    </row>
    <row r="61" spans="2:9" x14ac:dyDescent="0.2">
      <c r="B61" s="44" t="s">
        <v>113</v>
      </c>
      <c r="C61" s="44"/>
      <c r="D61" s="44"/>
      <c r="E61" s="45"/>
      <c r="F61" s="16">
        <v>45966.77</v>
      </c>
      <c r="G61" s="16">
        <v>100</v>
      </c>
      <c r="H61" s="14"/>
      <c r="I61" s="14"/>
    </row>
    <row r="63" spans="2:9" x14ac:dyDescent="0.2">
      <c r="B63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9"/>
  <sheetViews>
    <sheetView workbookViewId="0">
      <selection activeCell="I4" sqref="I4"/>
    </sheetView>
  </sheetViews>
  <sheetFormatPr defaultRowHeight="12" x14ac:dyDescent="0.2"/>
  <cols>
    <col min="1" max="1" width="9.140625" style="1"/>
    <col min="2" max="2" width="61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13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115</v>
      </c>
      <c r="C7" s="23" t="s">
        <v>116</v>
      </c>
      <c r="D7" s="23" t="s">
        <v>44</v>
      </c>
      <c r="E7" s="28">
        <v>724700</v>
      </c>
      <c r="F7" s="25">
        <v>10441.84</v>
      </c>
      <c r="G7" s="25">
        <v>9.35</v>
      </c>
    </row>
    <row r="8" spans="2:7" x14ac:dyDescent="0.2">
      <c r="B8" s="27" t="s">
        <v>117</v>
      </c>
      <c r="C8" s="23" t="s">
        <v>118</v>
      </c>
      <c r="D8" s="23" t="s">
        <v>119</v>
      </c>
      <c r="E8" s="28">
        <v>764142</v>
      </c>
      <c r="F8" s="25">
        <v>8405.56</v>
      </c>
      <c r="G8" s="25">
        <v>7.53</v>
      </c>
    </row>
    <row r="9" spans="2:7" x14ac:dyDescent="0.2">
      <c r="B9" s="27" t="s">
        <v>42</v>
      </c>
      <c r="C9" s="23" t="s">
        <v>43</v>
      </c>
      <c r="D9" s="23" t="s">
        <v>44</v>
      </c>
      <c r="E9" s="28">
        <v>1720600</v>
      </c>
      <c r="F9" s="25">
        <v>8144.46</v>
      </c>
      <c r="G9" s="25">
        <v>7.29</v>
      </c>
    </row>
    <row r="10" spans="2:7" x14ac:dyDescent="0.2">
      <c r="B10" s="27" t="s">
        <v>36</v>
      </c>
      <c r="C10" s="23" t="s">
        <v>37</v>
      </c>
      <c r="D10" s="23" t="s">
        <v>38</v>
      </c>
      <c r="E10" s="28">
        <v>411250</v>
      </c>
      <c r="F10" s="25">
        <v>7936.3</v>
      </c>
      <c r="G10" s="25">
        <v>7.11</v>
      </c>
    </row>
    <row r="11" spans="2:7" x14ac:dyDescent="0.2">
      <c r="B11" s="27" t="s">
        <v>125</v>
      </c>
      <c r="C11" s="23" t="s">
        <v>126</v>
      </c>
      <c r="D11" s="23" t="s">
        <v>122</v>
      </c>
      <c r="E11" s="28">
        <v>238450</v>
      </c>
      <c r="F11" s="25">
        <v>5380.03</v>
      </c>
      <c r="G11" s="25">
        <v>4.82</v>
      </c>
    </row>
    <row r="12" spans="2:7" x14ac:dyDescent="0.2">
      <c r="B12" s="27" t="s">
        <v>123</v>
      </c>
      <c r="C12" s="23" t="s">
        <v>124</v>
      </c>
      <c r="D12" s="23" t="s">
        <v>119</v>
      </c>
      <c r="E12" s="28">
        <v>172050</v>
      </c>
      <c r="F12" s="25">
        <v>4610.34</v>
      </c>
      <c r="G12" s="25">
        <v>4.13</v>
      </c>
    </row>
    <row r="13" spans="2:7" x14ac:dyDescent="0.2">
      <c r="B13" s="27" t="s">
        <v>120</v>
      </c>
      <c r="C13" s="23" t="s">
        <v>121</v>
      </c>
      <c r="D13" s="23" t="s">
        <v>122</v>
      </c>
      <c r="E13" s="28">
        <v>84200</v>
      </c>
      <c r="F13" s="25">
        <v>4133.21</v>
      </c>
      <c r="G13" s="25">
        <v>3.7</v>
      </c>
    </row>
    <row r="14" spans="2:7" x14ac:dyDescent="0.2">
      <c r="B14" s="27" t="s">
        <v>137</v>
      </c>
      <c r="C14" s="23" t="s">
        <v>138</v>
      </c>
      <c r="D14" s="23" t="s">
        <v>119</v>
      </c>
      <c r="E14" s="28">
        <v>447000</v>
      </c>
      <c r="F14" s="25">
        <v>3674.79</v>
      </c>
      <c r="G14" s="25">
        <v>3.29</v>
      </c>
    </row>
    <row r="15" spans="2:7" x14ac:dyDescent="0.2">
      <c r="B15" s="27" t="s">
        <v>127</v>
      </c>
      <c r="C15" s="23" t="s">
        <v>128</v>
      </c>
      <c r="D15" s="23" t="s">
        <v>44</v>
      </c>
      <c r="E15" s="28">
        <v>509200</v>
      </c>
      <c r="F15" s="25">
        <v>3063.35</v>
      </c>
      <c r="G15" s="25">
        <v>2.74</v>
      </c>
    </row>
    <row r="16" spans="2:7" x14ac:dyDescent="0.2">
      <c r="B16" s="27" t="s">
        <v>132</v>
      </c>
      <c r="C16" s="23" t="s">
        <v>133</v>
      </c>
      <c r="D16" s="23" t="s">
        <v>44</v>
      </c>
      <c r="E16" s="28">
        <v>148750</v>
      </c>
      <c r="F16" s="25">
        <v>2836.81</v>
      </c>
      <c r="G16" s="25">
        <v>2.54</v>
      </c>
    </row>
    <row r="17" spans="2:7" x14ac:dyDescent="0.2">
      <c r="B17" s="27" t="s">
        <v>105</v>
      </c>
      <c r="C17" s="23" t="s">
        <v>106</v>
      </c>
      <c r="D17" s="23" t="s">
        <v>107</v>
      </c>
      <c r="E17" s="28">
        <v>608316</v>
      </c>
      <c r="F17" s="25">
        <v>2818.02</v>
      </c>
      <c r="G17" s="25">
        <v>2.52</v>
      </c>
    </row>
    <row r="18" spans="2:7" x14ac:dyDescent="0.2">
      <c r="B18" s="27" t="s">
        <v>129</v>
      </c>
      <c r="C18" s="23" t="s">
        <v>130</v>
      </c>
      <c r="D18" s="23" t="s">
        <v>131</v>
      </c>
      <c r="E18" s="28">
        <v>129800</v>
      </c>
      <c r="F18" s="25">
        <v>2775.38</v>
      </c>
      <c r="G18" s="25">
        <v>2.48</v>
      </c>
    </row>
    <row r="19" spans="2:7" x14ac:dyDescent="0.2">
      <c r="B19" s="27" t="s">
        <v>142</v>
      </c>
      <c r="C19" s="23" t="s">
        <v>143</v>
      </c>
      <c r="D19" s="23" t="s">
        <v>141</v>
      </c>
      <c r="E19" s="28">
        <v>33400</v>
      </c>
      <c r="F19" s="25">
        <v>2349.96</v>
      </c>
      <c r="G19" s="25">
        <v>2.1</v>
      </c>
    </row>
    <row r="20" spans="2:7" x14ac:dyDescent="0.2">
      <c r="B20" s="27" t="s">
        <v>58</v>
      </c>
      <c r="C20" s="23" t="s">
        <v>59</v>
      </c>
      <c r="D20" s="23" t="s">
        <v>60</v>
      </c>
      <c r="E20" s="28">
        <v>256200</v>
      </c>
      <c r="F20" s="25">
        <v>2066.5100000000002</v>
      </c>
      <c r="G20" s="25">
        <v>1.85</v>
      </c>
    </row>
    <row r="21" spans="2:7" x14ac:dyDescent="0.2">
      <c r="B21" s="27" t="s">
        <v>134</v>
      </c>
      <c r="C21" s="23" t="s">
        <v>135</v>
      </c>
      <c r="D21" s="23" t="s">
        <v>136</v>
      </c>
      <c r="E21" s="28">
        <v>56981</v>
      </c>
      <c r="F21" s="25">
        <v>2054.2199999999998</v>
      </c>
      <c r="G21" s="25">
        <v>1.84</v>
      </c>
    </row>
    <row r="22" spans="2:7" x14ac:dyDescent="0.2">
      <c r="B22" s="27" t="s">
        <v>96</v>
      </c>
      <c r="C22" s="23" t="s">
        <v>97</v>
      </c>
      <c r="D22" s="23" t="s">
        <v>41</v>
      </c>
      <c r="E22" s="28">
        <v>41152</v>
      </c>
      <c r="F22" s="25">
        <v>1976.12</v>
      </c>
      <c r="G22" s="25">
        <v>1.77</v>
      </c>
    </row>
    <row r="23" spans="2:7" x14ac:dyDescent="0.2">
      <c r="B23" s="27" t="s">
        <v>139</v>
      </c>
      <c r="C23" s="23" t="s">
        <v>140</v>
      </c>
      <c r="D23" s="23" t="s">
        <v>141</v>
      </c>
      <c r="E23" s="28">
        <v>247000</v>
      </c>
      <c r="F23" s="25">
        <v>1783.34</v>
      </c>
      <c r="G23" s="25">
        <v>1.6</v>
      </c>
    </row>
    <row r="24" spans="2:7" x14ac:dyDescent="0.2">
      <c r="B24" s="27" t="s">
        <v>33</v>
      </c>
      <c r="C24" s="23" t="s">
        <v>34</v>
      </c>
      <c r="D24" s="23" t="s">
        <v>35</v>
      </c>
      <c r="E24" s="28">
        <v>155685</v>
      </c>
      <c r="F24" s="25">
        <v>1747.41</v>
      </c>
      <c r="G24" s="25">
        <v>1.56</v>
      </c>
    </row>
    <row r="25" spans="2:7" x14ac:dyDescent="0.2">
      <c r="B25" s="27" t="s">
        <v>64</v>
      </c>
      <c r="C25" s="23" t="s">
        <v>65</v>
      </c>
      <c r="D25" s="23" t="s">
        <v>44</v>
      </c>
      <c r="E25" s="28">
        <v>700000</v>
      </c>
      <c r="F25" s="25">
        <v>1709.75</v>
      </c>
      <c r="G25" s="25">
        <v>1.53</v>
      </c>
    </row>
    <row r="26" spans="2:7" x14ac:dyDescent="0.2">
      <c r="B26" s="27" t="s">
        <v>210</v>
      </c>
      <c r="C26" s="23" t="s">
        <v>211</v>
      </c>
      <c r="D26" s="23" t="s">
        <v>141</v>
      </c>
      <c r="E26" s="28">
        <v>53000</v>
      </c>
      <c r="F26" s="25">
        <v>1681.98</v>
      </c>
      <c r="G26" s="25">
        <v>1.51</v>
      </c>
    </row>
    <row r="27" spans="2:7" x14ac:dyDescent="0.2">
      <c r="B27" s="27" t="s">
        <v>226</v>
      </c>
      <c r="C27" s="23" t="s">
        <v>227</v>
      </c>
      <c r="D27" s="23" t="s">
        <v>136</v>
      </c>
      <c r="E27" s="28">
        <v>31400</v>
      </c>
      <c r="F27" s="25">
        <v>1516.29</v>
      </c>
      <c r="G27" s="25">
        <v>1.36</v>
      </c>
    </row>
    <row r="28" spans="2:7" x14ac:dyDescent="0.2">
      <c r="B28" s="27" t="s">
        <v>151</v>
      </c>
      <c r="C28" s="23" t="s">
        <v>152</v>
      </c>
      <c r="D28" s="23" t="s">
        <v>131</v>
      </c>
      <c r="E28" s="28">
        <v>8400</v>
      </c>
      <c r="F28" s="25">
        <v>1502.67</v>
      </c>
      <c r="G28" s="25">
        <v>1.35</v>
      </c>
    </row>
    <row r="29" spans="2:7" x14ac:dyDescent="0.2">
      <c r="B29" s="27" t="s">
        <v>144</v>
      </c>
      <c r="C29" s="23" t="s">
        <v>145</v>
      </c>
      <c r="D29" s="23" t="s">
        <v>60</v>
      </c>
      <c r="E29" s="28">
        <v>109700</v>
      </c>
      <c r="F29" s="25">
        <v>1493.24</v>
      </c>
      <c r="G29" s="25">
        <v>1.34</v>
      </c>
    </row>
    <row r="30" spans="2:7" x14ac:dyDescent="0.2">
      <c r="B30" s="27" t="s">
        <v>87</v>
      </c>
      <c r="C30" s="23" t="s">
        <v>88</v>
      </c>
      <c r="D30" s="23" t="s">
        <v>60</v>
      </c>
      <c r="E30" s="28">
        <v>450000</v>
      </c>
      <c r="F30" s="25">
        <v>1373.85</v>
      </c>
      <c r="G30" s="25">
        <v>1.23</v>
      </c>
    </row>
    <row r="31" spans="2:7" x14ac:dyDescent="0.2">
      <c r="B31" s="27" t="s">
        <v>81</v>
      </c>
      <c r="C31" s="23" t="s">
        <v>82</v>
      </c>
      <c r="D31" s="23" t="s">
        <v>63</v>
      </c>
      <c r="E31" s="28">
        <v>270000</v>
      </c>
      <c r="F31" s="25">
        <v>1340.28</v>
      </c>
      <c r="G31" s="25">
        <v>1.2</v>
      </c>
    </row>
    <row r="32" spans="2:7" x14ac:dyDescent="0.2">
      <c r="B32" s="27" t="s">
        <v>248</v>
      </c>
      <c r="C32" s="23" t="s">
        <v>249</v>
      </c>
      <c r="D32" s="23" t="s">
        <v>131</v>
      </c>
      <c r="E32" s="28">
        <v>240000</v>
      </c>
      <c r="F32" s="25">
        <v>1300.68</v>
      </c>
      <c r="G32" s="25">
        <v>1.1599999999999999</v>
      </c>
    </row>
    <row r="33" spans="2:7" x14ac:dyDescent="0.2">
      <c r="B33" s="27" t="s">
        <v>228</v>
      </c>
      <c r="C33" s="23" t="s">
        <v>229</v>
      </c>
      <c r="D33" s="23" t="s">
        <v>131</v>
      </c>
      <c r="E33" s="28">
        <v>241324</v>
      </c>
      <c r="F33" s="25">
        <v>1298.32</v>
      </c>
      <c r="G33" s="25">
        <v>1.1599999999999999</v>
      </c>
    </row>
    <row r="34" spans="2:7" x14ac:dyDescent="0.2">
      <c r="B34" s="27" t="s">
        <v>89</v>
      </c>
      <c r="C34" s="23" t="s">
        <v>90</v>
      </c>
      <c r="D34" s="23" t="s">
        <v>41</v>
      </c>
      <c r="E34" s="28">
        <v>4875</v>
      </c>
      <c r="F34" s="25">
        <v>1184.93</v>
      </c>
      <c r="G34" s="25">
        <v>1.06</v>
      </c>
    </row>
    <row r="35" spans="2:7" x14ac:dyDescent="0.2">
      <c r="B35" s="27" t="s">
        <v>153</v>
      </c>
      <c r="C35" s="23" t="s">
        <v>154</v>
      </c>
      <c r="D35" s="23" t="s">
        <v>131</v>
      </c>
      <c r="E35" s="28">
        <v>32094</v>
      </c>
      <c r="F35" s="25">
        <v>1167.56</v>
      </c>
      <c r="G35" s="25">
        <v>1.05</v>
      </c>
    </row>
    <row r="36" spans="2:7" x14ac:dyDescent="0.2">
      <c r="B36" s="27" t="s">
        <v>279</v>
      </c>
      <c r="C36" s="23" t="s">
        <v>280</v>
      </c>
      <c r="D36" s="23" t="s">
        <v>131</v>
      </c>
      <c r="E36" s="28">
        <v>600500</v>
      </c>
      <c r="F36" s="25">
        <v>1162.8699999999999</v>
      </c>
      <c r="G36" s="25">
        <v>1.04</v>
      </c>
    </row>
    <row r="37" spans="2:7" x14ac:dyDescent="0.2">
      <c r="B37" s="27" t="s">
        <v>194</v>
      </c>
      <c r="C37" s="23" t="s">
        <v>195</v>
      </c>
      <c r="D37" s="23" t="s">
        <v>131</v>
      </c>
      <c r="E37" s="28">
        <v>52100</v>
      </c>
      <c r="F37" s="25">
        <v>1154.17</v>
      </c>
      <c r="G37" s="25">
        <v>1.03</v>
      </c>
    </row>
    <row r="38" spans="2:7" x14ac:dyDescent="0.2">
      <c r="B38" s="27" t="s">
        <v>171</v>
      </c>
      <c r="C38" s="23" t="s">
        <v>172</v>
      </c>
      <c r="D38" s="23" t="s">
        <v>122</v>
      </c>
      <c r="E38" s="28">
        <v>175000</v>
      </c>
      <c r="F38" s="25">
        <v>1131.9000000000001</v>
      </c>
      <c r="G38" s="25">
        <v>1.01</v>
      </c>
    </row>
    <row r="39" spans="2:7" x14ac:dyDescent="0.2">
      <c r="B39" s="27" t="s">
        <v>192</v>
      </c>
      <c r="C39" s="23" t="s">
        <v>193</v>
      </c>
      <c r="D39" s="23" t="s">
        <v>136</v>
      </c>
      <c r="E39" s="28">
        <v>209500</v>
      </c>
      <c r="F39" s="25">
        <v>1071.9100000000001</v>
      </c>
      <c r="G39" s="25">
        <v>0.96</v>
      </c>
    </row>
    <row r="40" spans="2:7" x14ac:dyDescent="0.2">
      <c r="B40" s="27" t="s">
        <v>77</v>
      </c>
      <c r="C40" s="23" t="s">
        <v>78</v>
      </c>
      <c r="D40" s="23" t="s">
        <v>63</v>
      </c>
      <c r="E40" s="28">
        <v>426000</v>
      </c>
      <c r="F40" s="25">
        <v>1070.33</v>
      </c>
      <c r="G40" s="25">
        <v>0.96</v>
      </c>
    </row>
    <row r="41" spans="2:7" x14ac:dyDescent="0.2">
      <c r="B41" s="27" t="s">
        <v>149</v>
      </c>
      <c r="C41" s="23" t="s">
        <v>150</v>
      </c>
      <c r="D41" s="23" t="s">
        <v>141</v>
      </c>
      <c r="E41" s="28">
        <v>33500</v>
      </c>
      <c r="F41" s="25">
        <v>1041.46</v>
      </c>
      <c r="G41" s="25">
        <v>0.93</v>
      </c>
    </row>
    <row r="42" spans="2:7" x14ac:dyDescent="0.2">
      <c r="B42" s="27" t="s">
        <v>241</v>
      </c>
      <c r="C42" s="23" t="s">
        <v>242</v>
      </c>
      <c r="D42" s="23" t="s">
        <v>243</v>
      </c>
      <c r="E42" s="28">
        <v>45300</v>
      </c>
      <c r="F42" s="25">
        <v>1037.01</v>
      </c>
      <c r="G42" s="25">
        <v>0.93</v>
      </c>
    </row>
    <row r="43" spans="2:7" x14ac:dyDescent="0.2">
      <c r="B43" s="27" t="s">
        <v>61</v>
      </c>
      <c r="C43" s="23" t="s">
        <v>62</v>
      </c>
      <c r="D43" s="23" t="s">
        <v>63</v>
      </c>
      <c r="E43" s="28">
        <v>293220</v>
      </c>
      <c r="F43" s="25">
        <v>1022.9</v>
      </c>
      <c r="G43" s="25">
        <v>0.92</v>
      </c>
    </row>
    <row r="44" spans="2:7" x14ac:dyDescent="0.2">
      <c r="B44" s="27" t="s">
        <v>198</v>
      </c>
      <c r="C44" s="23" t="s">
        <v>199</v>
      </c>
      <c r="D44" s="23" t="s">
        <v>122</v>
      </c>
      <c r="E44" s="28">
        <v>69786</v>
      </c>
      <c r="F44" s="25">
        <v>1012.87</v>
      </c>
      <c r="G44" s="25">
        <v>0.91</v>
      </c>
    </row>
    <row r="45" spans="2:7" x14ac:dyDescent="0.2">
      <c r="B45" s="27" t="s">
        <v>184</v>
      </c>
      <c r="C45" s="23" t="s">
        <v>185</v>
      </c>
      <c r="D45" s="23" t="s">
        <v>60</v>
      </c>
      <c r="E45" s="28">
        <v>46026</v>
      </c>
      <c r="F45" s="25">
        <v>1004.89</v>
      </c>
      <c r="G45" s="25">
        <v>0.9</v>
      </c>
    </row>
    <row r="46" spans="2:7" x14ac:dyDescent="0.2">
      <c r="B46" s="27" t="s">
        <v>175</v>
      </c>
      <c r="C46" s="23" t="s">
        <v>176</v>
      </c>
      <c r="D46" s="23" t="s">
        <v>136</v>
      </c>
      <c r="E46" s="28">
        <v>127000</v>
      </c>
      <c r="F46" s="25">
        <v>946.91</v>
      </c>
      <c r="G46" s="25">
        <v>0.85</v>
      </c>
    </row>
    <row r="47" spans="2:7" x14ac:dyDescent="0.2">
      <c r="B47" s="27" t="s">
        <v>165</v>
      </c>
      <c r="C47" s="23" t="s">
        <v>166</v>
      </c>
      <c r="D47" s="23" t="s">
        <v>136</v>
      </c>
      <c r="E47" s="28">
        <v>6035</v>
      </c>
      <c r="F47" s="25">
        <v>929.33</v>
      </c>
      <c r="G47" s="25">
        <v>0.83</v>
      </c>
    </row>
    <row r="48" spans="2:7" x14ac:dyDescent="0.2">
      <c r="B48" s="27" t="s">
        <v>181</v>
      </c>
      <c r="C48" s="23" t="s">
        <v>182</v>
      </c>
      <c r="D48" s="23" t="s">
        <v>183</v>
      </c>
      <c r="E48" s="28">
        <v>25498</v>
      </c>
      <c r="F48" s="25">
        <v>584.03</v>
      </c>
      <c r="G48" s="25">
        <v>0.52</v>
      </c>
    </row>
    <row r="49" spans="2:9" x14ac:dyDescent="0.2">
      <c r="B49" s="27" t="s">
        <v>206</v>
      </c>
      <c r="C49" s="23" t="s">
        <v>207</v>
      </c>
      <c r="D49" s="23" t="s">
        <v>131</v>
      </c>
      <c r="E49" s="28">
        <v>12000</v>
      </c>
      <c r="F49" s="25">
        <v>300.10000000000002</v>
      </c>
      <c r="G49" s="25">
        <v>0.27</v>
      </c>
    </row>
    <row r="50" spans="2:9" x14ac:dyDescent="0.2">
      <c r="B50" s="29" t="s">
        <v>110</v>
      </c>
      <c r="C50" s="30"/>
      <c r="D50" s="30"/>
      <c r="E50" s="31"/>
      <c r="F50" s="32">
        <f>SUM(F7:F49)</f>
        <v>105237.87999999996</v>
      </c>
      <c r="G50" s="32">
        <f>SUM(G7:G49)</f>
        <v>94.23</v>
      </c>
      <c r="H50" s="14"/>
      <c r="I50" s="14"/>
    </row>
    <row r="51" spans="2:9" x14ac:dyDescent="0.2">
      <c r="B51" s="37" t="s">
        <v>111</v>
      </c>
      <c r="C51" s="37"/>
      <c r="D51" s="37"/>
      <c r="E51" s="38"/>
      <c r="F51" s="39">
        <f>F50</f>
        <v>105237.87999999996</v>
      </c>
      <c r="G51" s="39">
        <f>G50</f>
        <v>94.23</v>
      </c>
      <c r="H51" s="14"/>
      <c r="I51" s="14"/>
    </row>
    <row r="52" spans="2:9" x14ac:dyDescent="0.2">
      <c r="B52" s="40" t="s">
        <v>112</v>
      </c>
      <c r="C52" s="41"/>
      <c r="D52" s="41"/>
      <c r="E52" s="42"/>
      <c r="F52" s="43"/>
      <c r="G52" s="43"/>
    </row>
    <row r="53" spans="2:9" x14ac:dyDescent="0.2">
      <c r="B53" s="27" t="s">
        <v>112</v>
      </c>
      <c r="C53" s="23"/>
      <c r="D53" s="23"/>
      <c r="E53" s="24"/>
      <c r="F53" s="25">
        <v>5314.73</v>
      </c>
      <c r="G53" s="25">
        <v>4.76</v>
      </c>
    </row>
    <row r="54" spans="2:9" x14ac:dyDescent="0.2">
      <c r="B54" s="29" t="s">
        <v>110</v>
      </c>
      <c r="C54" s="30"/>
      <c r="D54" s="30"/>
      <c r="E54" s="31"/>
      <c r="F54" s="32">
        <f>SUM(F52:F53)</f>
        <v>5314.73</v>
      </c>
      <c r="G54" s="32">
        <f>SUM(G52:G53)</f>
        <v>4.76</v>
      </c>
      <c r="H54" s="14"/>
      <c r="I54" s="14"/>
    </row>
    <row r="55" spans="2:9" x14ac:dyDescent="0.2">
      <c r="B55" s="34" t="s">
        <v>111</v>
      </c>
      <c r="C55" s="34"/>
      <c r="D55" s="34"/>
      <c r="E55" s="35"/>
      <c r="F55" s="36">
        <f>F54</f>
        <v>5314.73</v>
      </c>
      <c r="G55" s="36">
        <f>G54</f>
        <v>4.76</v>
      </c>
      <c r="H55" s="14"/>
      <c r="I55" s="14"/>
    </row>
    <row r="56" spans="2:9" x14ac:dyDescent="0.2">
      <c r="B56" s="44" t="s">
        <v>114</v>
      </c>
      <c r="C56" s="44"/>
      <c r="D56" s="44"/>
      <c r="E56" s="45"/>
      <c r="F56" s="16">
        <f>F57-(+F51+F55)</f>
        <v>1676.7600000000384</v>
      </c>
      <c r="G56" s="16">
        <f>G57-(+G51+G55)</f>
        <v>1.0099999999999909</v>
      </c>
      <c r="H56" s="14"/>
      <c r="I56" s="14"/>
    </row>
    <row r="57" spans="2:9" x14ac:dyDescent="0.2">
      <c r="B57" s="44" t="s">
        <v>113</v>
      </c>
      <c r="C57" s="44"/>
      <c r="D57" s="44"/>
      <c r="E57" s="45"/>
      <c r="F57" s="16">
        <v>112229.37</v>
      </c>
      <c r="G57" s="16">
        <v>100</v>
      </c>
      <c r="H57" s="14"/>
      <c r="I57" s="14"/>
    </row>
    <row r="59" spans="2:9" x14ac:dyDescent="0.2">
      <c r="B59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0"/>
  <sheetViews>
    <sheetView workbookViewId="0">
      <selection activeCell="H1" sqref="H1"/>
    </sheetView>
  </sheetViews>
  <sheetFormatPr defaultRowHeight="12" x14ac:dyDescent="0.2"/>
  <cols>
    <col min="1" max="1" width="9.140625" style="1"/>
    <col min="2" max="2" width="61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14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281</v>
      </c>
      <c r="C7" s="23" t="s">
        <v>282</v>
      </c>
      <c r="D7" s="23" t="s">
        <v>283</v>
      </c>
      <c r="E7" s="28">
        <v>207729</v>
      </c>
      <c r="F7" s="25">
        <v>1673.26</v>
      </c>
      <c r="G7" s="25">
        <v>2.93</v>
      </c>
    </row>
    <row r="8" spans="2:7" x14ac:dyDescent="0.2">
      <c r="B8" s="27" t="s">
        <v>85</v>
      </c>
      <c r="C8" s="23" t="s">
        <v>86</v>
      </c>
      <c r="D8" s="23" t="s">
        <v>60</v>
      </c>
      <c r="E8" s="28">
        <v>13759</v>
      </c>
      <c r="F8" s="25">
        <v>1634.55</v>
      </c>
      <c r="G8" s="25">
        <v>2.86</v>
      </c>
    </row>
    <row r="9" spans="2:7" x14ac:dyDescent="0.2">
      <c r="B9" s="27" t="s">
        <v>284</v>
      </c>
      <c r="C9" s="23" t="s">
        <v>285</v>
      </c>
      <c r="D9" s="23" t="s">
        <v>104</v>
      </c>
      <c r="E9" s="28">
        <v>4085000</v>
      </c>
      <c r="F9" s="25">
        <v>1601.32</v>
      </c>
      <c r="G9" s="25">
        <v>2.8</v>
      </c>
    </row>
    <row r="10" spans="2:7" x14ac:dyDescent="0.2">
      <c r="B10" s="27" t="s">
        <v>286</v>
      </c>
      <c r="C10" s="23" t="s">
        <v>287</v>
      </c>
      <c r="D10" s="23" t="s">
        <v>159</v>
      </c>
      <c r="E10" s="28">
        <v>182175</v>
      </c>
      <c r="F10" s="25">
        <v>1576</v>
      </c>
      <c r="G10" s="25">
        <v>2.76</v>
      </c>
    </row>
    <row r="11" spans="2:7" x14ac:dyDescent="0.2">
      <c r="B11" s="27" t="s">
        <v>50</v>
      </c>
      <c r="C11" s="23" t="s">
        <v>51</v>
      </c>
      <c r="D11" s="23" t="s">
        <v>52</v>
      </c>
      <c r="E11" s="28">
        <v>544881</v>
      </c>
      <c r="F11" s="25">
        <v>1553.46</v>
      </c>
      <c r="G11" s="25">
        <v>2.72</v>
      </c>
    </row>
    <row r="12" spans="2:7" x14ac:dyDescent="0.2">
      <c r="B12" s="27" t="s">
        <v>196</v>
      </c>
      <c r="C12" s="23" t="s">
        <v>197</v>
      </c>
      <c r="D12" s="23" t="s">
        <v>68</v>
      </c>
      <c r="E12" s="28">
        <v>589685</v>
      </c>
      <c r="F12" s="25">
        <v>1537.9</v>
      </c>
      <c r="G12" s="25">
        <v>2.69</v>
      </c>
    </row>
    <row r="13" spans="2:7" x14ac:dyDescent="0.2">
      <c r="B13" s="27" t="s">
        <v>288</v>
      </c>
      <c r="C13" s="23" t="s">
        <v>289</v>
      </c>
      <c r="D13" s="23" t="s">
        <v>164</v>
      </c>
      <c r="E13" s="28">
        <v>503518</v>
      </c>
      <c r="F13" s="25">
        <v>1475.81</v>
      </c>
      <c r="G13" s="25">
        <v>2.58</v>
      </c>
    </row>
    <row r="14" spans="2:7" x14ac:dyDescent="0.2">
      <c r="B14" s="27" t="s">
        <v>290</v>
      </c>
      <c r="C14" s="23" t="s">
        <v>291</v>
      </c>
      <c r="D14" s="23" t="s">
        <v>122</v>
      </c>
      <c r="E14" s="28">
        <v>181911</v>
      </c>
      <c r="F14" s="25">
        <v>1439.1</v>
      </c>
      <c r="G14" s="25">
        <v>2.52</v>
      </c>
    </row>
    <row r="15" spans="2:7" x14ac:dyDescent="0.2">
      <c r="B15" s="27" t="s">
        <v>292</v>
      </c>
      <c r="C15" s="23" t="s">
        <v>293</v>
      </c>
      <c r="D15" s="23" t="s">
        <v>243</v>
      </c>
      <c r="E15" s="28">
        <v>60922</v>
      </c>
      <c r="F15" s="25">
        <v>1372.15</v>
      </c>
      <c r="G15" s="25">
        <v>2.4</v>
      </c>
    </row>
    <row r="16" spans="2:7" x14ac:dyDescent="0.2">
      <c r="B16" s="27" t="s">
        <v>190</v>
      </c>
      <c r="C16" s="23" t="s">
        <v>191</v>
      </c>
      <c r="D16" s="23" t="s">
        <v>122</v>
      </c>
      <c r="E16" s="28">
        <v>283000</v>
      </c>
      <c r="F16" s="25">
        <v>1363.92</v>
      </c>
      <c r="G16" s="25">
        <v>2.39</v>
      </c>
    </row>
    <row r="17" spans="2:7" x14ac:dyDescent="0.2">
      <c r="B17" s="27" t="s">
        <v>214</v>
      </c>
      <c r="C17" s="23" t="s">
        <v>215</v>
      </c>
      <c r="D17" s="23" t="s">
        <v>119</v>
      </c>
      <c r="E17" s="28">
        <v>113030</v>
      </c>
      <c r="F17" s="25">
        <v>1348.84</v>
      </c>
      <c r="G17" s="25">
        <v>2.36</v>
      </c>
    </row>
    <row r="18" spans="2:7" x14ac:dyDescent="0.2">
      <c r="B18" s="27" t="s">
        <v>294</v>
      </c>
      <c r="C18" s="23" t="s">
        <v>295</v>
      </c>
      <c r="D18" s="23" t="s">
        <v>68</v>
      </c>
      <c r="E18" s="28">
        <v>209466</v>
      </c>
      <c r="F18" s="25">
        <v>1321.42</v>
      </c>
      <c r="G18" s="25">
        <v>2.31</v>
      </c>
    </row>
    <row r="19" spans="2:7" x14ac:dyDescent="0.2">
      <c r="B19" s="27" t="s">
        <v>160</v>
      </c>
      <c r="C19" s="23" t="s">
        <v>161</v>
      </c>
      <c r="D19" s="23" t="s">
        <v>122</v>
      </c>
      <c r="E19" s="28">
        <v>81500</v>
      </c>
      <c r="F19" s="25">
        <v>1316.18</v>
      </c>
      <c r="G19" s="25">
        <v>2.2999999999999998</v>
      </c>
    </row>
    <row r="20" spans="2:7" x14ac:dyDescent="0.2">
      <c r="B20" s="27" t="s">
        <v>177</v>
      </c>
      <c r="C20" s="23" t="s">
        <v>178</v>
      </c>
      <c r="D20" s="23" t="s">
        <v>68</v>
      </c>
      <c r="E20" s="28">
        <v>257500</v>
      </c>
      <c r="F20" s="25">
        <v>1309</v>
      </c>
      <c r="G20" s="25">
        <v>2.29</v>
      </c>
    </row>
    <row r="21" spans="2:7" x14ac:dyDescent="0.2">
      <c r="B21" s="27" t="s">
        <v>296</v>
      </c>
      <c r="C21" s="23" t="s">
        <v>297</v>
      </c>
      <c r="D21" s="23" t="s">
        <v>38</v>
      </c>
      <c r="E21" s="28">
        <v>163752</v>
      </c>
      <c r="F21" s="25">
        <v>1296.0999999999999</v>
      </c>
      <c r="G21" s="25">
        <v>2.27</v>
      </c>
    </row>
    <row r="22" spans="2:7" x14ac:dyDescent="0.2">
      <c r="B22" s="27" t="s">
        <v>298</v>
      </c>
      <c r="C22" s="23" t="s">
        <v>299</v>
      </c>
      <c r="D22" s="23" t="s">
        <v>122</v>
      </c>
      <c r="E22" s="28">
        <v>263016</v>
      </c>
      <c r="F22" s="25">
        <v>1287.99</v>
      </c>
      <c r="G22" s="25">
        <v>2.25</v>
      </c>
    </row>
    <row r="23" spans="2:7" x14ac:dyDescent="0.2">
      <c r="B23" s="27" t="s">
        <v>300</v>
      </c>
      <c r="C23" s="23" t="s">
        <v>301</v>
      </c>
      <c r="D23" s="23" t="s">
        <v>159</v>
      </c>
      <c r="E23" s="28">
        <v>62184</v>
      </c>
      <c r="F23" s="25">
        <v>1206.25</v>
      </c>
      <c r="G23" s="25">
        <v>2.11</v>
      </c>
    </row>
    <row r="24" spans="2:7" x14ac:dyDescent="0.2">
      <c r="B24" s="27" t="s">
        <v>302</v>
      </c>
      <c r="C24" s="23" t="s">
        <v>303</v>
      </c>
      <c r="D24" s="23" t="s">
        <v>183</v>
      </c>
      <c r="E24" s="28">
        <v>52200</v>
      </c>
      <c r="F24" s="25">
        <v>1166.3599999999999</v>
      </c>
      <c r="G24" s="25">
        <v>2.04</v>
      </c>
    </row>
    <row r="25" spans="2:7" x14ac:dyDescent="0.2">
      <c r="B25" s="27" t="s">
        <v>173</v>
      </c>
      <c r="C25" s="23" t="s">
        <v>174</v>
      </c>
      <c r="D25" s="23" t="s">
        <v>159</v>
      </c>
      <c r="E25" s="28">
        <v>18444</v>
      </c>
      <c r="F25" s="25">
        <v>1163.8800000000001</v>
      </c>
      <c r="G25" s="25">
        <v>2.04</v>
      </c>
    </row>
    <row r="26" spans="2:7" x14ac:dyDescent="0.2">
      <c r="B26" s="27" t="s">
        <v>55</v>
      </c>
      <c r="C26" s="23" t="s">
        <v>56</v>
      </c>
      <c r="D26" s="23" t="s">
        <v>57</v>
      </c>
      <c r="E26" s="28">
        <v>143353</v>
      </c>
      <c r="F26" s="25">
        <v>1156.07</v>
      </c>
      <c r="G26" s="25">
        <v>2.02</v>
      </c>
    </row>
    <row r="27" spans="2:7" x14ac:dyDescent="0.2">
      <c r="B27" s="27" t="s">
        <v>304</v>
      </c>
      <c r="C27" s="23" t="s">
        <v>305</v>
      </c>
      <c r="D27" s="23" t="s">
        <v>122</v>
      </c>
      <c r="E27" s="28">
        <v>208142</v>
      </c>
      <c r="F27" s="25">
        <v>1151.8599999999999</v>
      </c>
      <c r="G27" s="25">
        <v>2.02</v>
      </c>
    </row>
    <row r="28" spans="2:7" x14ac:dyDescent="0.2">
      <c r="B28" s="27" t="s">
        <v>75</v>
      </c>
      <c r="C28" s="23" t="s">
        <v>76</v>
      </c>
      <c r="D28" s="23" t="s">
        <v>68</v>
      </c>
      <c r="E28" s="28">
        <v>95771</v>
      </c>
      <c r="F28" s="25">
        <v>1150.6400000000001</v>
      </c>
      <c r="G28" s="25">
        <v>2.0099999999999998</v>
      </c>
    </row>
    <row r="29" spans="2:7" x14ac:dyDescent="0.2">
      <c r="B29" s="27" t="s">
        <v>256</v>
      </c>
      <c r="C29" s="23" t="s">
        <v>257</v>
      </c>
      <c r="D29" s="23" t="s">
        <v>122</v>
      </c>
      <c r="E29" s="28">
        <v>79496</v>
      </c>
      <c r="F29" s="25">
        <v>1148.8399999999999</v>
      </c>
      <c r="G29" s="25">
        <v>2.0099999999999998</v>
      </c>
    </row>
    <row r="30" spans="2:7" x14ac:dyDescent="0.2">
      <c r="B30" s="27" t="s">
        <v>306</v>
      </c>
      <c r="C30" s="23" t="s">
        <v>307</v>
      </c>
      <c r="D30" s="23" t="s">
        <v>159</v>
      </c>
      <c r="E30" s="28">
        <v>799870</v>
      </c>
      <c r="F30" s="25">
        <v>1127.02</v>
      </c>
      <c r="G30" s="25">
        <v>1.97</v>
      </c>
    </row>
    <row r="31" spans="2:7" x14ac:dyDescent="0.2">
      <c r="B31" s="27" t="s">
        <v>66</v>
      </c>
      <c r="C31" s="23" t="s">
        <v>67</v>
      </c>
      <c r="D31" s="23" t="s">
        <v>68</v>
      </c>
      <c r="E31" s="28">
        <v>60004</v>
      </c>
      <c r="F31" s="25">
        <v>1113.8800000000001</v>
      </c>
      <c r="G31" s="25">
        <v>1.95</v>
      </c>
    </row>
    <row r="32" spans="2:7" x14ac:dyDescent="0.2">
      <c r="B32" s="27" t="s">
        <v>100</v>
      </c>
      <c r="C32" s="23" t="s">
        <v>101</v>
      </c>
      <c r="D32" s="23" t="s">
        <v>68</v>
      </c>
      <c r="E32" s="28">
        <v>26280</v>
      </c>
      <c r="F32" s="25">
        <v>1047.03</v>
      </c>
      <c r="G32" s="25">
        <v>1.83</v>
      </c>
    </row>
    <row r="33" spans="2:7" x14ac:dyDescent="0.2">
      <c r="B33" s="27" t="s">
        <v>308</v>
      </c>
      <c r="C33" s="23" t="s">
        <v>309</v>
      </c>
      <c r="D33" s="23" t="s">
        <v>236</v>
      </c>
      <c r="E33" s="28">
        <v>289000</v>
      </c>
      <c r="F33" s="25">
        <v>1002.25</v>
      </c>
      <c r="G33" s="25">
        <v>1.75</v>
      </c>
    </row>
    <row r="34" spans="2:7" x14ac:dyDescent="0.2">
      <c r="B34" s="27" t="s">
        <v>310</v>
      </c>
      <c r="C34" s="23" t="s">
        <v>311</v>
      </c>
      <c r="D34" s="23" t="s">
        <v>104</v>
      </c>
      <c r="E34" s="28">
        <v>425000</v>
      </c>
      <c r="F34" s="25">
        <v>976.23</v>
      </c>
      <c r="G34" s="25">
        <v>1.71</v>
      </c>
    </row>
    <row r="35" spans="2:7" x14ac:dyDescent="0.2">
      <c r="B35" s="27" t="s">
        <v>73</v>
      </c>
      <c r="C35" s="23" t="s">
        <v>74</v>
      </c>
      <c r="D35" s="23" t="s">
        <v>60</v>
      </c>
      <c r="E35" s="28">
        <v>39671</v>
      </c>
      <c r="F35" s="25">
        <v>951.95</v>
      </c>
      <c r="G35" s="25">
        <v>1.67</v>
      </c>
    </row>
    <row r="36" spans="2:7" x14ac:dyDescent="0.2">
      <c r="B36" s="27" t="s">
        <v>312</v>
      </c>
      <c r="C36" s="23" t="s">
        <v>313</v>
      </c>
      <c r="D36" s="23" t="s">
        <v>148</v>
      </c>
      <c r="E36" s="28">
        <v>333559</v>
      </c>
      <c r="F36" s="25">
        <v>940.47</v>
      </c>
      <c r="G36" s="25">
        <v>1.65</v>
      </c>
    </row>
    <row r="37" spans="2:7" x14ac:dyDescent="0.2">
      <c r="B37" s="27" t="s">
        <v>314</v>
      </c>
      <c r="C37" s="23" t="s">
        <v>315</v>
      </c>
      <c r="D37" s="23" t="s">
        <v>57</v>
      </c>
      <c r="E37" s="28">
        <v>364500</v>
      </c>
      <c r="F37" s="25">
        <v>920.36</v>
      </c>
      <c r="G37" s="25">
        <v>1.61</v>
      </c>
    </row>
    <row r="38" spans="2:7" x14ac:dyDescent="0.2">
      <c r="B38" s="27" t="s">
        <v>45</v>
      </c>
      <c r="C38" s="23" t="s">
        <v>46</v>
      </c>
      <c r="D38" s="23" t="s">
        <v>47</v>
      </c>
      <c r="E38" s="28">
        <v>2850</v>
      </c>
      <c r="F38" s="25">
        <v>910.77</v>
      </c>
      <c r="G38" s="25">
        <v>1.59</v>
      </c>
    </row>
    <row r="39" spans="2:7" x14ac:dyDescent="0.2">
      <c r="B39" s="27" t="s">
        <v>316</v>
      </c>
      <c r="C39" s="23" t="s">
        <v>317</v>
      </c>
      <c r="D39" s="23" t="s">
        <v>122</v>
      </c>
      <c r="E39" s="28">
        <v>418000</v>
      </c>
      <c r="F39" s="25">
        <v>909.99</v>
      </c>
      <c r="G39" s="25">
        <v>1.59</v>
      </c>
    </row>
    <row r="40" spans="2:7" x14ac:dyDescent="0.2">
      <c r="B40" s="27" t="s">
        <v>208</v>
      </c>
      <c r="C40" s="23" t="s">
        <v>209</v>
      </c>
      <c r="D40" s="23" t="s">
        <v>119</v>
      </c>
      <c r="E40" s="28">
        <v>63700</v>
      </c>
      <c r="F40" s="25">
        <v>902.82</v>
      </c>
      <c r="G40" s="25">
        <v>1.58</v>
      </c>
    </row>
    <row r="41" spans="2:7" x14ac:dyDescent="0.2">
      <c r="B41" s="27" t="s">
        <v>157</v>
      </c>
      <c r="C41" s="23" t="s">
        <v>158</v>
      </c>
      <c r="D41" s="23" t="s">
        <v>159</v>
      </c>
      <c r="E41" s="28">
        <v>33525</v>
      </c>
      <c r="F41" s="25">
        <v>900.85</v>
      </c>
      <c r="G41" s="25">
        <v>1.58</v>
      </c>
    </row>
    <row r="42" spans="2:7" x14ac:dyDescent="0.2">
      <c r="B42" s="27" t="s">
        <v>318</v>
      </c>
      <c r="C42" s="23" t="s">
        <v>319</v>
      </c>
      <c r="D42" s="23" t="s">
        <v>320</v>
      </c>
      <c r="E42" s="28">
        <v>35700</v>
      </c>
      <c r="F42" s="25">
        <v>892.46</v>
      </c>
      <c r="G42" s="25">
        <v>1.56</v>
      </c>
    </row>
    <row r="43" spans="2:7" x14ac:dyDescent="0.2">
      <c r="B43" s="27" t="s">
        <v>321</v>
      </c>
      <c r="C43" s="23" t="s">
        <v>322</v>
      </c>
      <c r="D43" s="23" t="s">
        <v>136</v>
      </c>
      <c r="E43" s="28">
        <v>88266</v>
      </c>
      <c r="F43" s="25">
        <v>877.98</v>
      </c>
      <c r="G43" s="25">
        <v>1.54</v>
      </c>
    </row>
    <row r="44" spans="2:7" x14ac:dyDescent="0.2">
      <c r="B44" s="27" t="s">
        <v>323</v>
      </c>
      <c r="C44" s="23" t="s">
        <v>324</v>
      </c>
      <c r="D44" s="23" t="s">
        <v>131</v>
      </c>
      <c r="E44" s="28">
        <v>161000</v>
      </c>
      <c r="F44" s="25">
        <v>839.78</v>
      </c>
      <c r="G44" s="25">
        <v>1.47</v>
      </c>
    </row>
    <row r="45" spans="2:7" x14ac:dyDescent="0.2">
      <c r="B45" s="27" t="s">
        <v>179</v>
      </c>
      <c r="C45" s="23" t="s">
        <v>180</v>
      </c>
      <c r="D45" s="23" t="s">
        <v>159</v>
      </c>
      <c r="E45" s="28">
        <v>65800</v>
      </c>
      <c r="F45" s="25">
        <v>775.03</v>
      </c>
      <c r="G45" s="25">
        <v>1.36</v>
      </c>
    </row>
    <row r="46" spans="2:7" x14ac:dyDescent="0.2">
      <c r="B46" s="27" t="s">
        <v>325</v>
      </c>
      <c r="C46" s="23" t="s">
        <v>326</v>
      </c>
      <c r="D46" s="23" t="s">
        <v>141</v>
      </c>
      <c r="E46" s="28">
        <v>55100</v>
      </c>
      <c r="F46" s="25">
        <v>773.52</v>
      </c>
      <c r="G46" s="25">
        <v>1.35</v>
      </c>
    </row>
    <row r="47" spans="2:7" x14ac:dyDescent="0.2">
      <c r="B47" s="27" t="s">
        <v>327</v>
      </c>
      <c r="C47" s="23" t="s">
        <v>328</v>
      </c>
      <c r="D47" s="23" t="s">
        <v>159</v>
      </c>
      <c r="E47" s="28">
        <v>27812</v>
      </c>
      <c r="F47" s="25">
        <v>716.13</v>
      </c>
      <c r="G47" s="25">
        <v>1.25</v>
      </c>
    </row>
    <row r="48" spans="2:7" x14ac:dyDescent="0.2">
      <c r="B48" s="27" t="s">
        <v>329</v>
      </c>
      <c r="C48" s="23" t="s">
        <v>330</v>
      </c>
      <c r="D48" s="23" t="s">
        <v>148</v>
      </c>
      <c r="E48" s="28">
        <v>92418</v>
      </c>
      <c r="F48" s="25">
        <v>694.11</v>
      </c>
      <c r="G48" s="25">
        <v>1.21</v>
      </c>
    </row>
    <row r="49" spans="2:9" x14ac:dyDescent="0.2">
      <c r="B49" s="27" t="s">
        <v>331</v>
      </c>
      <c r="C49" s="23" t="s">
        <v>332</v>
      </c>
      <c r="D49" s="23" t="s">
        <v>60</v>
      </c>
      <c r="E49" s="28">
        <v>657584</v>
      </c>
      <c r="F49" s="25">
        <v>690.13</v>
      </c>
      <c r="G49" s="25">
        <v>1.21</v>
      </c>
    </row>
    <row r="50" spans="2:9" x14ac:dyDescent="0.2">
      <c r="B50" s="27" t="s">
        <v>333</v>
      </c>
      <c r="C50" s="23" t="s">
        <v>334</v>
      </c>
      <c r="D50" s="23" t="s">
        <v>57</v>
      </c>
      <c r="E50" s="28">
        <v>17000</v>
      </c>
      <c r="F50" s="25">
        <v>679.21</v>
      </c>
      <c r="G50" s="25">
        <v>1.19</v>
      </c>
    </row>
    <row r="51" spans="2:9" x14ac:dyDescent="0.2">
      <c r="B51" s="27" t="s">
        <v>335</v>
      </c>
      <c r="C51" s="23" t="s">
        <v>336</v>
      </c>
      <c r="D51" s="23" t="s">
        <v>122</v>
      </c>
      <c r="E51" s="28">
        <v>122153</v>
      </c>
      <c r="F51" s="25">
        <v>661.09</v>
      </c>
      <c r="G51" s="25">
        <v>1.1599999999999999</v>
      </c>
    </row>
    <row r="52" spans="2:9" x14ac:dyDescent="0.2">
      <c r="B52" s="27" t="s">
        <v>337</v>
      </c>
      <c r="C52" s="23" t="s">
        <v>338</v>
      </c>
      <c r="D52" s="23" t="s">
        <v>52</v>
      </c>
      <c r="E52" s="28">
        <v>212124</v>
      </c>
      <c r="F52" s="25">
        <v>659.6</v>
      </c>
      <c r="G52" s="25">
        <v>1.1499999999999999</v>
      </c>
    </row>
    <row r="53" spans="2:9" x14ac:dyDescent="0.2">
      <c r="B53" s="27" t="s">
        <v>339</v>
      </c>
      <c r="C53" s="23" t="s">
        <v>340</v>
      </c>
      <c r="D53" s="23" t="s">
        <v>41</v>
      </c>
      <c r="E53" s="28">
        <v>301323</v>
      </c>
      <c r="F53" s="25">
        <v>627.51</v>
      </c>
      <c r="G53" s="25">
        <v>1.1000000000000001</v>
      </c>
    </row>
    <row r="54" spans="2:9" x14ac:dyDescent="0.2">
      <c r="B54" s="27" t="s">
        <v>341</v>
      </c>
      <c r="C54" s="23" t="s">
        <v>342</v>
      </c>
      <c r="D54" s="23" t="s">
        <v>52</v>
      </c>
      <c r="E54" s="28">
        <v>18522</v>
      </c>
      <c r="F54" s="25">
        <v>578.72</v>
      </c>
      <c r="G54" s="25">
        <v>1.01</v>
      </c>
    </row>
    <row r="55" spans="2:9" x14ac:dyDescent="0.2">
      <c r="B55" s="27" t="s">
        <v>188</v>
      </c>
      <c r="C55" s="23" t="s">
        <v>189</v>
      </c>
      <c r="D55" s="23" t="s">
        <v>164</v>
      </c>
      <c r="E55" s="28">
        <v>140000</v>
      </c>
      <c r="F55" s="25">
        <v>541.24</v>
      </c>
      <c r="G55" s="25">
        <v>0.95</v>
      </c>
    </row>
    <row r="56" spans="2:9" x14ac:dyDescent="0.2">
      <c r="B56" s="27" t="s">
        <v>343</v>
      </c>
      <c r="C56" s="23" t="s">
        <v>344</v>
      </c>
      <c r="D56" s="23" t="s">
        <v>136</v>
      </c>
      <c r="E56" s="28">
        <v>276706</v>
      </c>
      <c r="F56" s="25">
        <v>475.66</v>
      </c>
      <c r="G56" s="25">
        <v>0.83</v>
      </c>
    </row>
    <row r="57" spans="2:9" x14ac:dyDescent="0.2">
      <c r="B57" s="27" t="s">
        <v>345</v>
      </c>
      <c r="C57" s="23" t="s">
        <v>346</v>
      </c>
      <c r="D57" s="23" t="s">
        <v>63</v>
      </c>
      <c r="E57" s="28">
        <v>208500</v>
      </c>
      <c r="F57" s="25">
        <v>457.76</v>
      </c>
      <c r="G57" s="25">
        <v>0.8</v>
      </c>
    </row>
    <row r="58" spans="2:9" x14ac:dyDescent="0.2">
      <c r="B58" s="27" t="s">
        <v>108</v>
      </c>
      <c r="C58" s="23" t="s">
        <v>109</v>
      </c>
      <c r="D58" s="23" t="s">
        <v>60</v>
      </c>
      <c r="E58" s="28">
        <v>52000</v>
      </c>
      <c r="F58" s="25">
        <v>422.16</v>
      </c>
      <c r="G58" s="25">
        <v>0.74</v>
      </c>
    </row>
    <row r="59" spans="2:9" x14ac:dyDescent="0.2">
      <c r="B59" s="27" t="s">
        <v>347</v>
      </c>
      <c r="C59" s="23" t="s">
        <v>348</v>
      </c>
      <c r="D59" s="23" t="s">
        <v>68</v>
      </c>
      <c r="E59" s="28">
        <v>51555</v>
      </c>
      <c r="F59" s="25">
        <v>293.48</v>
      </c>
      <c r="G59" s="25">
        <v>0.51</v>
      </c>
    </row>
    <row r="60" spans="2:9" x14ac:dyDescent="0.2">
      <c r="B60" s="27" t="s">
        <v>349</v>
      </c>
      <c r="C60" s="23" t="s">
        <v>350</v>
      </c>
      <c r="D60" s="23" t="s">
        <v>60</v>
      </c>
      <c r="E60" s="28">
        <v>30000</v>
      </c>
      <c r="F60" s="25">
        <v>237.8</v>
      </c>
      <c r="G60" s="25">
        <v>0.42</v>
      </c>
    </row>
    <row r="61" spans="2:9" x14ac:dyDescent="0.2">
      <c r="B61" s="29" t="s">
        <v>110</v>
      </c>
      <c r="C61" s="30"/>
      <c r="D61" s="30"/>
      <c r="E61" s="31"/>
      <c r="F61" s="32">
        <f>SUM(F7:F60)</f>
        <v>54847.889999999992</v>
      </c>
      <c r="G61" s="32">
        <f>SUM(G7:G60)</f>
        <v>95.97</v>
      </c>
      <c r="H61" s="14"/>
      <c r="I61" s="14"/>
    </row>
    <row r="62" spans="2:9" x14ac:dyDescent="0.2">
      <c r="B62" s="37" t="s">
        <v>111</v>
      </c>
      <c r="C62" s="37"/>
      <c r="D62" s="37"/>
      <c r="E62" s="38"/>
      <c r="F62" s="39">
        <f>F61</f>
        <v>54847.889999999992</v>
      </c>
      <c r="G62" s="39">
        <f>G61</f>
        <v>95.97</v>
      </c>
      <c r="H62" s="14"/>
      <c r="I62" s="14"/>
    </row>
    <row r="63" spans="2:9" x14ac:dyDescent="0.2">
      <c r="B63" s="40" t="s">
        <v>112</v>
      </c>
      <c r="C63" s="41"/>
      <c r="D63" s="41"/>
      <c r="E63" s="42"/>
      <c r="F63" s="43"/>
      <c r="G63" s="43"/>
    </row>
    <row r="64" spans="2:9" x14ac:dyDescent="0.2">
      <c r="B64" s="27" t="s">
        <v>112</v>
      </c>
      <c r="C64" s="23"/>
      <c r="D64" s="23"/>
      <c r="E64" s="24"/>
      <c r="F64" s="25">
        <v>1179.04</v>
      </c>
      <c r="G64" s="25">
        <v>2.06</v>
      </c>
    </row>
    <row r="65" spans="2:9" x14ac:dyDescent="0.2">
      <c r="B65" s="29" t="s">
        <v>110</v>
      </c>
      <c r="C65" s="30"/>
      <c r="D65" s="30"/>
      <c r="E65" s="31"/>
      <c r="F65" s="32">
        <f>SUM(F63:F64)</f>
        <v>1179.04</v>
      </c>
      <c r="G65" s="32">
        <f>SUM(G63:G64)</f>
        <v>2.06</v>
      </c>
      <c r="H65" s="14"/>
      <c r="I65" s="14"/>
    </row>
    <row r="66" spans="2:9" x14ac:dyDescent="0.2">
      <c r="B66" s="34" t="s">
        <v>111</v>
      </c>
      <c r="C66" s="34"/>
      <c r="D66" s="34"/>
      <c r="E66" s="35"/>
      <c r="F66" s="36">
        <f>F65</f>
        <v>1179.04</v>
      </c>
      <c r="G66" s="36">
        <f>G65</f>
        <v>2.06</v>
      </c>
      <c r="H66" s="14"/>
      <c r="I66" s="14"/>
    </row>
    <row r="67" spans="2:9" x14ac:dyDescent="0.2">
      <c r="B67" s="44" t="s">
        <v>114</v>
      </c>
      <c r="C67" s="44"/>
      <c r="D67" s="44"/>
      <c r="E67" s="45"/>
      <c r="F67" s="16">
        <f>F68-(+F62+F66)</f>
        <v>1172.6100000000079</v>
      </c>
      <c r="G67" s="16">
        <f>G68-(+G62+G66)</f>
        <v>1.9699999999999989</v>
      </c>
      <c r="H67" s="14"/>
      <c r="I67" s="14"/>
    </row>
    <row r="68" spans="2:9" x14ac:dyDescent="0.2">
      <c r="B68" s="44" t="s">
        <v>113</v>
      </c>
      <c r="C68" s="44"/>
      <c r="D68" s="44"/>
      <c r="E68" s="45"/>
      <c r="F68" s="16">
        <v>57199.54</v>
      </c>
      <c r="G68" s="16">
        <v>100</v>
      </c>
      <c r="H68" s="14"/>
      <c r="I68" s="14"/>
    </row>
    <row r="70" spans="2:9" x14ac:dyDescent="0.2">
      <c r="B70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1"/>
  <sheetViews>
    <sheetView workbookViewId="0">
      <selection activeCell="H7" sqref="H7"/>
    </sheetView>
  </sheetViews>
  <sheetFormatPr defaultRowHeight="12" x14ac:dyDescent="0.2"/>
  <cols>
    <col min="1" max="1" width="9.140625" style="1"/>
    <col min="2" max="2" width="61" style="1" bestFit="1" customWidth="1"/>
    <col min="3" max="3" width="13.855468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15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115</v>
      </c>
      <c r="C7" s="23" t="s">
        <v>116</v>
      </c>
      <c r="D7" s="23" t="s">
        <v>44</v>
      </c>
      <c r="E7" s="28">
        <v>1929950</v>
      </c>
      <c r="F7" s="25">
        <v>27807.68</v>
      </c>
      <c r="G7" s="25">
        <v>7.11</v>
      </c>
      <c r="H7" s="26"/>
    </row>
    <row r="8" spans="2:8" x14ac:dyDescent="0.2">
      <c r="B8" s="27" t="s">
        <v>117</v>
      </c>
      <c r="C8" s="23" t="s">
        <v>118</v>
      </c>
      <c r="D8" s="23" t="s">
        <v>119</v>
      </c>
      <c r="E8" s="28">
        <v>1970472</v>
      </c>
      <c r="F8" s="25">
        <v>21675.19</v>
      </c>
      <c r="G8" s="25">
        <v>5.54</v>
      </c>
      <c r="H8" s="26"/>
    </row>
    <row r="9" spans="2:8" x14ac:dyDescent="0.2">
      <c r="B9" s="27" t="s">
        <v>42</v>
      </c>
      <c r="C9" s="23" t="s">
        <v>43</v>
      </c>
      <c r="D9" s="23" t="s">
        <v>44</v>
      </c>
      <c r="E9" s="28">
        <v>4203600</v>
      </c>
      <c r="F9" s="25">
        <v>19897.740000000002</v>
      </c>
      <c r="G9" s="25">
        <v>5.09</v>
      </c>
      <c r="H9" s="26"/>
    </row>
    <row r="10" spans="2:8" x14ac:dyDescent="0.2">
      <c r="B10" s="27" t="s">
        <v>36</v>
      </c>
      <c r="C10" s="23" t="s">
        <v>37</v>
      </c>
      <c r="D10" s="23" t="s">
        <v>38</v>
      </c>
      <c r="E10" s="28">
        <v>801900</v>
      </c>
      <c r="F10" s="25">
        <v>15475.07</v>
      </c>
      <c r="G10" s="25">
        <v>3.96</v>
      </c>
      <c r="H10" s="26"/>
    </row>
    <row r="11" spans="2:8" x14ac:dyDescent="0.2">
      <c r="B11" s="27" t="s">
        <v>123</v>
      </c>
      <c r="C11" s="23" t="s">
        <v>124</v>
      </c>
      <c r="D11" s="23" t="s">
        <v>119</v>
      </c>
      <c r="E11" s="28">
        <v>423200</v>
      </c>
      <c r="F11" s="25">
        <v>11340.28</v>
      </c>
      <c r="G11" s="25">
        <v>2.9</v>
      </c>
      <c r="H11" s="26"/>
    </row>
    <row r="12" spans="2:8" x14ac:dyDescent="0.2">
      <c r="B12" s="27" t="s">
        <v>120</v>
      </c>
      <c r="C12" s="23" t="s">
        <v>121</v>
      </c>
      <c r="D12" s="23" t="s">
        <v>122</v>
      </c>
      <c r="E12" s="28">
        <v>211373</v>
      </c>
      <c r="F12" s="25">
        <v>10375.879999999999</v>
      </c>
      <c r="G12" s="25">
        <v>2.65</v>
      </c>
      <c r="H12" s="26"/>
    </row>
    <row r="13" spans="2:8" x14ac:dyDescent="0.2">
      <c r="B13" s="27" t="s">
        <v>127</v>
      </c>
      <c r="C13" s="23" t="s">
        <v>128</v>
      </c>
      <c r="D13" s="23" t="s">
        <v>44</v>
      </c>
      <c r="E13" s="28">
        <v>1663100</v>
      </c>
      <c r="F13" s="25">
        <v>10005.209999999999</v>
      </c>
      <c r="G13" s="25">
        <v>2.56</v>
      </c>
      <c r="H13" s="26"/>
    </row>
    <row r="14" spans="2:8" x14ac:dyDescent="0.2">
      <c r="B14" s="27" t="s">
        <v>125</v>
      </c>
      <c r="C14" s="23" t="s">
        <v>126</v>
      </c>
      <c r="D14" s="23" t="s">
        <v>122</v>
      </c>
      <c r="E14" s="28">
        <v>368000</v>
      </c>
      <c r="F14" s="25">
        <v>8303</v>
      </c>
      <c r="G14" s="25">
        <v>2.12</v>
      </c>
      <c r="H14" s="26"/>
    </row>
    <row r="15" spans="2:8" x14ac:dyDescent="0.2">
      <c r="B15" s="27" t="s">
        <v>129</v>
      </c>
      <c r="C15" s="23" t="s">
        <v>130</v>
      </c>
      <c r="D15" s="23" t="s">
        <v>131</v>
      </c>
      <c r="E15" s="28">
        <v>356800</v>
      </c>
      <c r="F15" s="25">
        <v>7629.1</v>
      </c>
      <c r="G15" s="25">
        <v>1.95</v>
      </c>
      <c r="H15" s="26"/>
    </row>
    <row r="16" spans="2:8" x14ac:dyDescent="0.2">
      <c r="B16" s="27" t="s">
        <v>132</v>
      </c>
      <c r="C16" s="23" t="s">
        <v>133</v>
      </c>
      <c r="D16" s="23" t="s">
        <v>44</v>
      </c>
      <c r="E16" s="28">
        <v>392829</v>
      </c>
      <c r="F16" s="25">
        <v>7491.64</v>
      </c>
      <c r="G16" s="25">
        <v>1.91</v>
      </c>
      <c r="H16" s="26"/>
    </row>
    <row r="17" spans="2:8" x14ac:dyDescent="0.2">
      <c r="B17" s="27" t="s">
        <v>96</v>
      </c>
      <c r="C17" s="23" t="s">
        <v>97</v>
      </c>
      <c r="D17" s="23" t="s">
        <v>41</v>
      </c>
      <c r="E17" s="28">
        <v>152621</v>
      </c>
      <c r="F17" s="25">
        <v>7328.86</v>
      </c>
      <c r="G17" s="25">
        <v>1.87</v>
      </c>
      <c r="H17" s="26"/>
    </row>
    <row r="18" spans="2:8" x14ac:dyDescent="0.2">
      <c r="B18" s="27" t="s">
        <v>137</v>
      </c>
      <c r="C18" s="23" t="s">
        <v>138</v>
      </c>
      <c r="D18" s="23" t="s">
        <v>119</v>
      </c>
      <c r="E18" s="28">
        <v>770000</v>
      </c>
      <c r="F18" s="25">
        <v>6330.17</v>
      </c>
      <c r="G18" s="25">
        <v>1.62</v>
      </c>
      <c r="H18" s="26"/>
    </row>
    <row r="19" spans="2:8" x14ac:dyDescent="0.2">
      <c r="B19" s="27" t="s">
        <v>142</v>
      </c>
      <c r="C19" s="23" t="s">
        <v>143</v>
      </c>
      <c r="D19" s="23" t="s">
        <v>141</v>
      </c>
      <c r="E19" s="28">
        <v>87848</v>
      </c>
      <c r="F19" s="25">
        <v>6180.81</v>
      </c>
      <c r="G19" s="25">
        <v>1.58</v>
      </c>
      <c r="H19" s="26"/>
    </row>
    <row r="20" spans="2:8" x14ac:dyDescent="0.2">
      <c r="B20" s="27" t="s">
        <v>105</v>
      </c>
      <c r="C20" s="23" t="s">
        <v>106</v>
      </c>
      <c r="D20" s="23" t="s">
        <v>107</v>
      </c>
      <c r="E20" s="28">
        <v>1271515</v>
      </c>
      <c r="F20" s="25">
        <v>5890.29</v>
      </c>
      <c r="G20" s="25">
        <v>1.51</v>
      </c>
      <c r="H20" s="26"/>
    </row>
    <row r="21" spans="2:8" x14ac:dyDescent="0.2">
      <c r="B21" s="27" t="s">
        <v>139</v>
      </c>
      <c r="C21" s="23" t="s">
        <v>140</v>
      </c>
      <c r="D21" s="23" t="s">
        <v>141</v>
      </c>
      <c r="E21" s="28">
        <v>800000</v>
      </c>
      <c r="F21" s="25">
        <v>5776</v>
      </c>
      <c r="G21" s="25">
        <v>1.48</v>
      </c>
      <c r="H21" s="26"/>
    </row>
    <row r="22" spans="2:8" x14ac:dyDescent="0.2">
      <c r="B22" s="27" t="s">
        <v>58</v>
      </c>
      <c r="C22" s="23" t="s">
        <v>59</v>
      </c>
      <c r="D22" s="23" t="s">
        <v>60</v>
      </c>
      <c r="E22" s="28">
        <v>712573</v>
      </c>
      <c r="F22" s="25">
        <v>5747.61</v>
      </c>
      <c r="G22" s="25">
        <v>1.47</v>
      </c>
      <c r="H22" s="26"/>
    </row>
    <row r="23" spans="2:8" x14ac:dyDescent="0.2">
      <c r="B23" s="27" t="s">
        <v>134</v>
      </c>
      <c r="C23" s="23" t="s">
        <v>135</v>
      </c>
      <c r="D23" s="23" t="s">
        <v>136</v>
      </c>
      <c r="E23" s="28">
        <v>144608</v>
      </c>
      <c r="F23" s="25">
        <v>5213.26</v>
      </c>
      <c r="G23" s="25">
        <v>1.33</v>
      </c>
      <c r="H23" s="26"/>
    </row>
    <row r="24" spans="2:8" x14ac:dyDescent="0.2">
      <c r="B24" s="27" t="s">
        <v>153</v>
      </c>
      <c r="C24" s="23" t="s">
        <v>154</v>
      </c>
      <c r="D24" s="23" t="s">
        <v>131</v>
      </c>
      <c r="E24" s="28">
        <v>125266</v>
      </c>
      <c r="F24" s="25">
        <v>4557.1099999999997</v>
      </c>
      <c r="G24" s="25">
        <v>1.1599999999999999</v>
      </c>
      <c r="H24" s="26"/>
    </row>
    <row r="25" spans="2:8" x14ac:dyDescent="0.2">
      <c r="B25" s="27" t="s">
        <v>157</v>
      </c>
      <c r="C25" s="23" t="s">
        <v>158</v>
      </c>
      <c r="D25" s="23" t="s">
        <v>159</v>
      </c>
      <c r="E25" s="28">
        <v>155980</v>
      </c>
      <c r="F25" s="25">
        <v>4191.34</v>
      </c>
      <c r="G25" s="25">
        <v>1.07</v>
      </c>
      <c r="H25" s="26"/>
    </row>
    <row r="26" spans="2:8" x14ac:dyDescent="0.2">
      <c r="B26" s="27" t="s">
        <v>149</v>
      </c>
      <c r="C26" s="23" t="s">
        <v>150</v>
      </c>
      <c r="D26" s="23" t="s">
        <v>141</v>
      </c>
      <c r="E26" s="28">
        <v>130500</v>
      </c>
      <c r="F26" s="25">
        <v>4057.05</v>
      </c>
      <c r="G26" s="25">
        <v>1.04</v>
      </c>
      <c r="H26" s="26"/>
    </row>
    <row r="27" spans="2:8" x14ac:dyDescent="0.2">
      <c r="B27" s="27" t="s">
        <v>173</v>
      </c>
      <c r="C27" s="23" t="s">
        <v>174</v>
      </c>
      <c r="D27" s="23" t="s">
        <v>159</v>
      </c>
      <c r="E27" s="28">
        <v>62109</v>
      </c>
      <c r="F27" s="25">
        <v>3919.3</v>
      </c>
      <c r="G27" s="25">
        <v>1</v>
      </c>
      <c r="H27" s="26"/>
    </row>
    <row r="28" spans="2:8" x14ac:dyDescent="0.2">
      <c r="B28" s="27" t="s">
        <v>144</v>
      </c>
      <c r="C28" s="23" t="s">
        <v>145</v>
      </c>
      <c r="D28" s="23" t="s">
        <v>60</v>
      </c>
      <c r="E28" s="28">
        <v>281700</v>
      </c>
      <c r="F28" s="25">
        <v>3834.5</v>
      </c>
      <c r="G28" s="25">
        <v>0.98</v>
      </c>
      <c r="H28" s="26"/>
    </row>
    <row r="29" spans="2:8" x14ac:dyDescent="0.2">
      <c r="B29" s="27" t="s">
        <v>250</v>
      </c>
      <c r="C29" s="23" t="s">
        <v>251</v>
      </c>
      <c r="D29" s="23" t="s">
        <v>183</v>
      </c>
      <c r="E29" s="28">
        <v>173610</v>
      </c>
      <c r="F29" s="25">
        <v>3668.38</v>
      </c>
      <c r="G29" s="25">
        <v>0.94</v>
      </c>
      <c r="H29" s="26"/>
    </row>
    <row r="30" spans="2:8" x14ac:dyDescent="0.2">
      <c r="B30" s="27" t="s">
        <v>33</v>
      </c>
      <c r="C30" s="23" t="s">
        <v>34</v>
      </c>
      <c r="D30" s="23" t="s">
        <v>35</v>
      </c>
      <c r="E30" s="28">
        <v>326418</v>
      </c>
      <c r="F30" s="25">
        <v>3663.72</v>
      </c>
      <c r="G30" s="25">
        <v>0.94</v>
      </c>
      <c r="H30" s="26"/>
    </row>
    <row r="31" spans="2:8" x14ac:dyDescent="0.2">
      <c r="B31" s="27" t="s">
        <v>210</v>
      </c>
      <c r="C31" s="23" t="s">
        <v>211</v>
      </c>
      <c r="D31" s="23" t="s">
        <v>141</v>
      </c>
      <c r="E31" s="28">
        <v>115000</v>
      </c>
      <c r="F31" s="25">
        <v>3649.58</v>
      </c>
      <c r="G31" s="25">
        <v>0.93</v>
      </c>
      <c r="H31" s="26"/>
    </row>
    <row r="32" spans="2:8" x14ac:dyDescent="0.2">
      <c r="B32" s="27" t="s">
        <v>155</v>
      </c>
      <c r="C32" s="23" t="s">
        <v>156</v>
      </c>
      <c r="D32" s="23" t="s">
        <v>136</v>
      </c>
      <c r="E32" s="28">
        <v>165637</v>
      </c>
      <c r="F32" s="25">
        <v>3588.94</v>
      </c>
      <c r="G32" s="25">
        <v>0.92</v>
      </c>
      <c r="H32" s="26"/>
    </row>
    <row r="33" spans="2:8" x14ac:dyDescent="0.2">
      <c r="B33" s="27" t="s">
        <v>165</v>
      </c>
      <c r="C33" s="23" t="s">
        <v>166</v>
      </c>
      <c r="D33" s="23" t="s">
        <v>136</v>
      </c>
      <c r="E33" s="28">
        <v>22696</v>
      </c>
      <c r="F33" s="25">
        <v>3494.97</v>
      </c>
      <c r="G33" s="25">
        <v>0.89</v>
      </c>
      <c r="H33" s="26"/>
    </row>
    <row r="34" spans="2:8" x14ac:dyDescent="0.2">
      <c r="B34" s="27" t="s">
        <v>81</v>
      </c>
      <c r="C34" s="23" t="s">
        <v>82</v>
      </c>
      <c r="D34" s="23" t="s">
        <v>63</v>
      </c>
      <c r="E34" s="28">
        <v>695000</v>
      </c>
      <c r="F34" s="25">
        <v>3449.98</v>
      </c>
      <c r="G34" s="25">
        <v>0.88</v>
      </c>
      <c r="H34" s="26"/>
    </row>
    <row r="35" spans="2:8" x14ac:dyDescent="0.2">
      <c r="B35" s="27" t="s">
        <v>237</v>
      </c>
      <c r="C35" s="23" t="s">
        <v>238</v>
      </c>
      <c r="D35" s="23" t="s">
        <v>122</v>
      </c>
      <c r="E35" s="28">
        <v>405000</v>
      </c>
      <c r="F35" s="25">
        <v>3426.5</v>
      </c>
      <c r="G35" s="25">
        <v>0.88</v>
      </c>
      <c r="H35" s="26"/>
    </row>
    <row r="36" spans="2:8" x14ac:dyDescent="0.2">
      <c r="B36" s="27" t="s">
        <v>146</v>
      </c>
      <c r="C36" s="23" t="s">
        <v>147</v>
      </c>
      <c r="D36" s="23" t="s">
        <v>148</v>
      </c>
      <c r="E36" s="28">
        <v>152248</v>
      </c>
      <c r="F36" s="25">
        <v>3362.24</v>
      </c>
      <c r="G36" s="25">
        <v>0.86</v>
      </c>
      <c r="H36" s="26"/>
    </row>
    <row r="37" spans="2:8" x14ac:dyDescent="0.2">
      <c r="B37" s="27" t="s">
        <v>45</v>
      </c>
      <c r="C37" s="23" t="s">
        <v>46</v>
      </c>
      <c r="D37" s="23" t="s">
        <v>47</v>
      </c>
      <c r="E37" s="28">
        <v>10146</v>
      </c>
      <c r="F37" s="25">
        <v>3242.36</v>
      </c>
      <c r="G37" s="25">
        <v>0.83</v>
      </c>
      <c r="H37" s="26"/>
    </row>
    <row r="38" spans="2:8" x14ac:dyDescent="0.2">
      <c r="B38" s="27" t="s">
        <v>151</v>
      </c>
      <c r="C38" s="23" t="s">
        <v>152</v>
      </c>
      <c r="D38" s="23" t="s">
        <v>131</v>
      </c>
      <c r="E38" s="28">
        <v>18000</v>
      </c>
      <c r="F38" s="25">
        <v>3220.01</v>
      </c>
      <c r="G38" s="25">
        <v>0.82</v>
      </c>
      <c r="H38" s="26"/>
    </row>
    <row r="39" spans="2:8" x14ac:dyDescent="0.2">
      <c r="B39" s="27" t="s">
        <v>162</v>
      </c>
      <c r="C39" s="23" t="s">
        <v>163</v>
      </c>
      <c r="D39" s="23" t="s">
        <v>164</v>
      </c>
      <c r="E39" s="28">
        <v>187946</v>
      </c>
      <c r="F39" s="25">
        <v>3118.78</v>
      </c>
      <c r="G39" s="25">
        <v>0.8</v>
      </c>
      <c r="H39" s="26"/>
    </row>
    <row r="40" spans="2:8" x14ac:dyDescent="0.2">
      <c r="B40" s="27" t="s">
        <v>239</v>
      </c>
      <c r="C40" s="23" t="s">
        <v>240</v>
      </c>
      <c r="D40" s="23" t="s">
        <v>122</v>
      </c>
      <c r="E40" s="28">
        <v>1800000</v>
      </c>
      <c r="F40" s="25">
        <v>3078</v>
      </c>
      <c r="G40" s="25">
        <v>0.79</v>
      </c>
      <c r="H40" s="26"/>
    </row>
    <row r="41" spans="2:8" x14ac:dyDescent="0.2">
      <c r="B41" s="27" t="s">
        <v>177</v>
      </c>
      <c r="C41" s="23" t="s">
        <v>178</v>
      </c>
      <c r="D41" s="23" t="s">
        <v>68</v>
      </c>
      <c r="E41" s="28">
        <v>605000</v>
      </c>
      <c r="F41" s="25">
        <v>3075.52</v>
      </c>
      <c r="G41" s="25">
        <v>0.79</v>
      </c>
      <c r="H41" s="26"/>
    </row>
    <row r="42" spans="2:8" x14ac:dyDescent="0.2">
      <c r="B42" s="27" t="s">
        <v>61</v>
      </c>
      <c r="C42" s="23" t="s">
        <v>62</v>
      </c>
      <c r="D42" s="23" t="s">
        <v>63</v>
      </c>
      <c r="E42" s="28">
        <v>867498</v>
      </c>
      <c r="F42" s="25">
        <v>3026.27</v>
      </c>
      <c r="G42" s="25">
        <v>0.77</v>
      </c>
      <c r="H42" s="26"/>
    </row>
    <row r="43" spans="2:8" x14ac:dyDescent="0.2">
      <c r="B43" s="27" t="s">
        <v>254</v>
      </c>
      <c r="C43" s="23" t="s">
        <v>255</v>
      </c>
      <c r="D43" s="23" t="s">
        <v>68</v>
      </c>
      <c r="E43" s="28">
        <v>307305</v>
      </c>
      <c r="F43" s="25">
        <v>2945.21</v>
      </c>
      <c r="G43" s="25">
        <v>0.75</v>
      </c>
      <c r="H43" s="26"/>
    </row>
    <row r="44" spans="2:8" x14ac:dyDescent="0.2">
      <c r="B44" s="27" t="s">
        <v>89</v>
      </c>
      <c r="C44" s="23" t="s">
        <v>90</v>
      </c>
      <c r="D44" s="23" t="s">
        <v>41</v>
      </c>
      <c r="E44" s="28">
        <v>11920</v>
      </c>
      <c r="F44" s="25">
        <v>2897.32</v>
      </c>
      <c r="G44" s="25">
        <v>0.74</v>
      </c>
      <c r="H44" s="26"/>
    </row>
    <row r="45" spans="2:8" x14ac:dyDescent="0.2">
      <c r="B45" s="27" t="s">
        <v>194</v>
      </c>
      <c r="C45" s="23" t="s">
        <v>195</v>
      </c>
      <c r="D45" s="23" t="s">
        <v>131</v>
      </c>
      <c r="E45" s="28">
        <v>130100</v>
      </c>
      <c r="F45" s="25">
        <v>2882.11</v>
      </c>
      <c r="G45" s="25">
        <v>0.74</v>
      </c>
      <c r="H45" s="26"/>
    </row>
    <row r="46" spans="2:8" x14ac:dyDescent="0.2">
      <c r="B46" s="27" t="s">
        <v>244</v>
      </c>
      <c r="C46" s="23" t="s">
        <v>245</v>
      </c>
      <c r="D46" s="23" t="s">
        <v>243</v>
      </c>
      <c r="E46" s="28">
        <v>1735947</v>
      </c>
      <c r="F46" s="25">
        <v>2823.52</v>
      </c>
      <c r="G46" s="25">
        <v>0.72</v>
      </c>
      <c r="H46" s="26"/>
    </row>
    <row r="47" spans="2:8" x14ac:dyDescent="0.2">
      <c r="B47" s="27" t="s">
        <v>241</v>
      </c>
      <c r="C47" s="23" t="s">
        <v>242</v>
      </c>
      <c r="D47" s="23" t="s">
        <v>243</v>
      </c>
      <c r="E47" s="28">
        <v>115840</v>
      </c>
      <c r="F47" s="25">
        <v>2651.81</v>
      </c>
      <c r="G47" s="25">
        <v>0.68</v>
      </c>
      <c r="H47" s="26"/>
    </row>
    <row r="48" spans="2:8" x14ac:dyDescent="0.2">
      <c r="B48" s="27" t="s">
        <v>167</v>
      </c>
      <c r="C48" s="23" t="s">
        <v>168</v>
      </c>
      <c r="D48" s="23" t="s">
        <v>136</v>
      </c>
      <c r="E48" s="28">
        <v>93290</v>
      </c>
      <c r="F48" s="25">
        <v>2650.98</v>
      </c>
      <c r="G48" s="25">
        <v>0.68</v>
      </c>
      <c r="H48" s="26"/>
    </row>
    <row r="49" spans="2:10" x14ac:dyDescent="0.2">
      <c r="B49" s="27" t="s">
        <v>184</v>
      </c>
      <c r="C49" s="23" t="s">
        <v>185</v>
      </c>
      <c r="D49" s="23" t="s">
        <v>60</v>
      </c>
      <c r="E49" s="28">
        <v>120256</v>
      </c>
      <c r="F49" s="25">
        <v>2625.55</v>
      </c>
      <c r="G49" s="25">
        <v>0.67</v>
      </c>
      <c r="H49" s="26"/>
    </row>
    <row r="50" spans="2:10" x14ac:dyDescent="0.2">
      <c r="B50" s="27" t="s">
        <v>160</v>
      </c>
      <c r="C50" s="23" t="s">
        <v>161</v>
      </c>
      <c r="D50" s="23" t="s">
        <v>122</v>
      </c>
      <c r="E50" s="28">
        <v>161500</v>
      </c>
      <c r="F50" s="25">
        <v>2608.14</v>
      </c>
      <c r="G50" s="25">
        <v>0.67</v>
      </c>
      <c r="H50" s="26"/>
    </row>
    <row r="51" spans="2:10" x14ac:dyDescent="0.2">
      <c r="B51" s="27" t="s">
        <v>188</v>
      </c>
      <c r="C51" s="23" t="s">
        <v>189</v>
      </c>
      <c r="D51" s="23" t="s">
        <v>164</v>
      </c>
      <c r="E51" s="28">
        <v>650000</v>
      </c>
      <c r="F51" s="25">
        <v>2512.9</v>
      </c>
      <c r="G51" s="25">
        <v>0.64</v>
      </c>
      <c r="H51" s="26"/>
    </row>
    <row r="52" spans="2:10" x14ac:dyDescent="0.2">
      <c r="B52" s="27" t="s">
        <v>192</v>
      </c>
      <c r="C52" s="23" t="s">
        <v>193</v>
      </c>
      <c r="D52" s="23" t="s">
        <v>136</v>
      </c>
      <c r="E52" s="28">
        <v>465000</v>
      </c>
      <c r="F52" s="25">
        <v>2379.17</v>
      </c>
      <c r="G52" s="25">
        <v>0.61</v>
      </c>
      <c r="H52" s="26"/>
    </row>
    <row r="53" spans="2:10" x14ac:dyDescent="0.2">
      <c r="B53" s="27" t="s">
        <v>181</v>
      </c>
      <c r="C53" s="23" t="s">
        <v>182</v>
      </c>
      <c r="D53" s="23" t="s">
        <v>183</v>
      </c>
      <c r="E53" s="28">
        <v>100721</v>
      </c>
      <c r="F53" s="25">
        <v>2307.0100000000002</v>
      </c>
      <c r="G53" s="25">
        <v>0.59</v>
      </c>
      <c r="H53" s="26"/>
    </row>
    <row r="54" spans="2:10" x14ac:dyDescent="0.2">
      <c r="B54" s="27" t="s">
        <v>175</v>
      </c>
      <c r="C54" s="23" t="s">
        <v>176</v>
      </c>
      <c r="D54" s="23" t="s">
        <v>136</v>
      </c>
      <c r="E54" s="28">
        <v>305000</v>
      </c>
      <c r="F54" s="25">
        <v>2274.08</v>
      </c>
      <c r="G54" s="25">
        <v>0.57999999999999996</v>
      </c>
      <c r="H54" s="26"/>
    </row>
    <row r="55" spans="2:10" x14ac:dyDescent="0.2">
      <c r="B55" s="27" t="s">
        <v>66</v>
      </c>
      <c r="C55" s="23" t="s">
        <v>67</v>
      </c>
      <c r="D55" s="23" t="s">
        <v>68</v>
      </c>
      <c r="E55" s="28">
        <v>114535</v>
      </c>
      <c r="F55" s="25">
        <v>2126.17</v>
      </c>
      <c r="G55" s="25">
        <v>0.54</v>
      </c>
      <c r="H55" s="26"/>
    </row>
    <row r="56" spans="2:10" x14ac:dyDescent="0.2">
      <c r="B56" s="27" t="s">
        <v>198</v>
      </c>
      <c r="C56" s="23" t="s">
        <v>199</v>
      </c>
      <c r="D56" s="23" t="s">
        <v>122</v>
      </c>
      <c r="E56" s="28">
        <v>144000</v>
      </c>
      <c r="F56" s="25">
        <v>2090.02</v>
      </c>
      <c r="G56" s="25">
        <v>0.53</v>
      </c>
      <c r="H56" s="26"/>
    </row>
    <row r="57" spans="2:10" x14ac:dyDescent="0.2">
      <c r="B57" s="27" t="s">
        <v>206</v>
      </c>
      <c r="C57" s="23" t="s">
        <v>207</v>
      </c>
      <c r="D57" s="23" t="s">
        <v>131</v>
      </c>
      <c r="E57" s="28">
        <v>51117</v>
      </c>
      <c r="F57" s="25">
        <v>1278.33</v>
      </c>
      <c r="G57" s="25">
        <v>0.33</v>
      </c>
      <c r="H57" s="26"/>
    </row>
    <row r="58" spans="2:10" x14ac:dyDescent="0.2">
      <c r="B58" s="27" t="s">
        <v>39</v>
      </c>
      <c r="C58" s="23" t="s">
        <v>40</v>
      </c>
      <c r="D58" s="23" t="s">
        <v>41</v>
      </c>
      <c r="E58" s="28">
        <v>100000</v>
      </c>
      <c r="F58" s="25">
        <v>892.15</v>
      </c>
      <c r="G58" s="25">
        <v>0.23</v>
      </c>
      <c r="H58" s="26"/>
    </row>
    <row r="59" spans="2:10" x14ac:dyDescent="0.2">
      <c r="B59" s="27" t="s">
        <v>186</v>
      </c>
      <c r="C59" s="23" t="s">
        <v>187</v>
      </c>
      <c r="D59" s="23" t="s">
        <v>122</v>
      </c>
      <c r="E59" s="28">
        <v>70871</v>
      </c>
      <c r="F59" s="25">
        <v>388.76</v>
      </c>
      <c r="G59" s="25">
        <v>0.1</v>
      </c>
      <c r="H59" s="26"/>
    </row>
    <row r="60" spans="2:10" x14ac:dyDescent="0.2">
      <c r="B60" s="29" t="s">
        <v>110</v>
      </c>
      <c r="C60" s="30"/>
      <c r="D60" s="30"/>
      <c r="E60" s="31"/>
      <c r="F60" s="32">
        <f>SUM(F7:F59)</f>
        <v>288425.57</v>
      </c>
      <c r="G60" s="32">
        <f>SUM(G7:G59)</f>
        <v>73.739999999999981</v>
      </c>
      <c r="H60" s="33"/>
      <c r="I60" s="14"/>
      <c r="J60" s="14"/>
    </row>
    <row r="61" spans="2:10" x14ac:dyDescent="0.2">
      <c r="B61" s="37" t="s">
        <v>111</v>
      </c>
      <c r="C61" s="37"/>
      <c r="D61" s="37"/>
      <c r="E61" s="38"/>
      <c r="F61" s="39">
        <f>F60</f>
        <v>288425.57</v>
      </c>
      <c r="G61" s="39">
        <f>G60</f>
        <v>73.739999999999981</v>
      </c>
      <c r="H61" s="15"/>
      <c r="I61" s="14"/>
      <c r="J61" s="14"/>
    </row>
    <row r="62" spans="2:10" x14ac:dyDescent="0.2">
      <c r="B62" s="46" t="s">
        <v>351</v>
      </c>
      <c r="C62" s="41"/>
      <c r="D62" s="41"/>
      <c r="E62" s="42"/>
      <c r="F62" s="43"/>
      <c r="G62" s="43"/>
      <c r="H62" s="43"/>
    </row>
    <row r="63" spans="2:10" x14ac:dyDescent="0.2">
      <c r="B63" s="47" t="s">
        <v>32</v>
      </c>
      <c r="C63" s="23"/>
      <c r="D63" s="23"/>
      <c r="E63" s="24"/>
      <c r="F63" s="25"/>
      <c r="G63" s="25"/>
      <c r="H63" s="25"/>
    </row>
    <row r="64" spans="2:10" x14ac:dyDescent="0.2">
      <c r="B64" s="23" t="s">
        <v>352</v>
      </c>
      <c r="C64" s="23" t="s">
        <v>353</v>
      </c>
      <c r="D64" s="23" t="s">
        <v>354</v>
      </c>
      <c r="E64" s="28">
        <v>450</v>
      </c>
      <c r="F64" s="25">
        <v>4736.58</v>
      </c>
      <c r="G64" s="25">
        <v>1.21</v>
      </c>
      <c r="H64" s="25">
        <v>4.43</v>
      </c>
    </row>
    <row r="65" spans="2:8" x14ac:dyDescent="0.2">
      <c r="B65" s="23" t="s">
        <v>355</v>
      </c>
      <c r="C65" s="23" t="s">
        <v>356</v>
      </c>
      <c r="D65" s="23" t="s">
        <v>354</v>
      </c>
      <c r="E65" s="28">
        <v>450</v>
      </c>
      <c r="F65" s="25">
        <v>4511.2299999999996</v>
      </c>
      <c r="G65" s="25">
        <v>1.1499999999999999</v>
      </c>
      <c r="H65" s="25">
        <v>3.06</v>
      </c>
    </row>
    <row r="66" spans="2:8" x14ac:dyDescent="0.2">
      <c r="B66" s="23" t="s">
        <v>357</v>
      </c>
      <c r="C66" s="23" t="s">
        <v>358</v>
      </c>
      <c r="D66" s="23" t="s">
        <v>354</v>
      </c>
      <c r="E66" s="28">
        <v>350</v>
      </c>
      <c r="F66" s="25">
        <v>3601.23</v>
      </c>
      <c r="G66" s="25">
        <v>0.92</v>
      </c>
      <c r="H66" s="25">
        <v>3.77</v>
      </c>
    </row>
    <row r="67" spans="2:8" x14ac:dyDescent="0.2">
      <c r="B67" s="23" t="s">
        <v>359</v>
      </c>
      <c r="C67" s="23" t="s">
        <v>360</v>
      </c>
      <c r="D67" s="23" t="s">
        <v>354</v>
      </c>
      <c r="E67" s="28">
        <v>300</v>
      </c>
      <c r="F67" s="25">
        <v>3415.48</v>
      </c>
      <c r="G67" s="25">
        <v>0.87</v>
      </c>
      <c r="H67" s="25">
        <v>6.39</v>
      </c>
    </row>
    <row r="68" spans="2:8" x14ac:dyDescent="0.2">
      <c r="B68" s="23" t="s">
        <v>361</v>
      </c>
      <c r="C68" s="23" t="s">
        <v>362</v>
      </c>
      <c r="D68" s="23" t="s">
        <v>354</v>
      </c>
      <c r="E68" s="28">
        <v>300</v>
      </c>
      <c r="F68" s="25">
        <v>3009.47</v>
      </c>
      <c r="G68" s="25">
        <v>0.77</v>
      </c>
      <c r="H68" s="25">
        <v>3.07</v>
      </c>
    </row>
    <row r="69" spans="2:8" x14ac:dyDescent="0.2">
      <c r="B69" s="23" t="s">
        <v>363</v>
      </c>
      <c r="C69" s="23" t="s">
        <v>364</v>
      </c>
      <c r="D69" s="23" t="s">
        <v>354</v>
      </c>
      <c r="E69" s="28">
        <v>250</v>
      </c>
      <c r="F69" s="25">
        <v>2632.35</v>
      </c>
      <c r="G69" s="25">
        <v>0.67</v>
      </c>
      <c r="H69" s="25">
        <v>4.26</v>
      </c>
    </row>
    <row r="70" spans="2:8" x14ac:dyDescent="0.2">
      <c r="B70" s="23" t="s">
        <v>365</v>
      </c>
      <c r="C70" s="23" t="s">
        <v>366</v>
      </c>
      <c r="D70" s="23" t="s">
        <v>367</v>
      </c>
      <c r="E70" s="28">
        <v>250</v>
      </c>
      <c r="F70" s="25">
        <v>2574.73</v>
      </c>
      <c r="G70" s="25">
        <v>0.66</v>
      </c>
      <c r="H70" s="25">
        <v>4.01</v>
      </c>
    </row>
    <row r="71" spans="2:8" x14ac:dyDescent="0.2">
      <c r="B71" s="23" t="s">
        <v>368</v>
      </c>
      <c r="C71" s="23" t="s">
        <v>369</v>
      </c>
      <c r="D71" s="23" t="s">
        <v>354</v>
      </c>
      <c r="E71" s="28">
        <v>250</v>
      </c>
      <c r="F71" s="25">
        <v>2562.29</v>
      </c>
      <c r="G71" s="25">
        <v>0.65</v>
      </c>
      <c r="H71" s="25">
        <v>3.86</v>
      </c>
    </row>
    <row r="72" spans="2:8" x14ac:dyDescent="0.2">
      <c r="B72" s="23" t="s">
        <v>370</v>
      </c>
      <c r="C72" s="23" t="s">
        <v>371</v>
      </c>
      <c r="D72" s="23" t="s">
        <v>354</v>
      </c>
      <c r="E72" s="28">
        <v>250</v>
      </c>
      <c r="F72" s="25">
        <v>2519.5700000000002</v>
      </c>
      <c r="G72" s="25">
        <v>0.64</v>
      </c>
      <c r="H72" s="25">
        <v>5.26</v>
      </c>
    </row>
    <row r="73" spans="2:8" x14ac:dyDescent="0.2">
      <c r="B73" s="23" t="s">
        <v>372</v>
      </c>
      <c r="C73" s="23" t="s">
        <v>373</v>
      </c>
      <c r="D73" s="23" t="s">
        <v>354</v>
      </c>
      <c r="E73" s="28">
        <v>200</v>
      </c>
      <c r="F73" s="25">
        <v>2166.85</v>
      </c>
      <c r="G73" s="25">
        <v>0.55000000000000004</v>
      </c>
      <c r="H73" s="25">
        <v>5.37</v>
      </c>
    </row>
    <row r="74" spans="2:8" x14ac:dyDescent="0.2">
      <c r="B74" s="23" t="s">
        <v>374</v>
      </c>
      <c r="C74" s="23" t="s">
        <v>375</v>
      </c>
      <c r="D74" s="23" t="s">
        <v>354</v>
      </c>
      <c r="E74" s="28">
        <v>150</v>
      </c>
      <c r="F74" s="25">
        <v>1682.65</v>
      </c>
      <c r="G74" s="25">
        <v>0.43</v>
      </c>
      <c r="H74" s="25">
        <v>6.43</v>
      </c>
    </row>
    <row r="75" spans="2:8" x14ac:dyDescent="0.2">
      <c r="B75" s="23" t="s">
        <v>376</v>
      </c>
      <c r="C75" s="23" t="s">
        <v>377</v>
      </c>
      <c r="D75" s="23" t="s">
        <v>354</v>
      </c>
      <c r="E75" s="28">
        <v>150</v>
      </c>
      <c r="F75" s="25">
        <v>1636.16</v>
      </c>
      <c r="G75" s="25">
        <v>0.42</v>
      </c>
      <c r="H75" s="25">
        <v>4.79</v>
      </c>
    </row>
    <row r="76" spans="2:8" x14ac:dyDescent="0.2">
      <c r="B76" s="23" t="s">
        <v>378</v>
      </c>
      <c r="C76" s="23" t="s">
        <v>379</v>
      </c>
      <c r="D76" s="23" t="s">
        <v>354</v>
      </c>
      <c r="E76" s="28">
        <v>150</v>
      </c>
      <c r="F76" s="25">
        <v>1608.5</v>
      </c>
      <c r="G76" s="25">
        <v>0.41</v>
      </c>
      <c r="H76" s="25">
        <v>5.49</v>
      </c>
    </row>
    <row r="77" spans="2:8" x14ac:dyDescent="0.2">
      <c r="B77" s="23" t="s">
        <v>380</v>
      </c>
      <c r="C77" s="23" t="s">
        <v>381</v>
      </c>
      <c r="D77" s="23" t="s">
        <v>354</v>
      </c>
      <c r="E77" s="28">
        <v>150</v>
      </c>
      <c r="F77" s="25">
        <v>1583.48</v>
      </c>
      <c r="G77" s="25">
        <v>0.4</v>
      </c>
      <c r="H77" s="25">
        <v>4.47</v>
      </c>
    </row>
    <row r="78" spans="2:8" x14ac:dyDescent="0.2">
      <c r="B78" s="23" t="s">
        <v>382</v>
      </c>
      <c r="C78" s="23" t="s">
        <v>383</v>
      </c>
      <c r="D78" s="23" t="s">
        <v>354</v>
      </c>
      <c r="E78" s="28">
        <v>150</v>
      </c>
      <c r="F78" s="25">
        <v>1538.32</v>
      </c>
      <c r="G78" s="25">
        <v>0.39</v>
      </c>
      <c r="H78" s="25">
        <v>3.72</v>
      </c>
    </row>
    <row r="79" spans="2:8" x14ac:dyDescent="0.2">
      <c r="B79" s="23" t="s">
        <v>384</v>
      </c>
      <c r="C79" s="23" t="s">
        <v>385</v>
      </c>
      <c r="D79" s="23" t="s">
        <v>367</v>
      </c>
      <c r="E79" s="28">
        <v>150</v>
      </c>
      <c r="F79" s="25">
        <v>1522.19</v>
      </c>
      <c r="G79" s="25">
        <v>0.39</v>
      </c>
      <c r="H79" s="25">
        <v>3.46</v>
      </c>
    </row>
    <row r="80" spans="2:8" x14ac:dyDescent="0.2">
      <c r="B80" s="23" t="s">
        <v>386</v>
      </c>
      <c r="C80" s="23" t="s">
        <v>387</v>
      </c>
      <c r="D80" s="23" t="s">
        <v>388</v>
      </c>
      <c r="E80" s="28">
        <v>152</v>
      </c>
      <c r="F80" s="25">
        <v>1489.49</v>
      </c>
      <c r="G80" s="25">
        <v>0.38</v>
      </c>
      <c r="H80" s="25">
        <v>3.8</v>
      </c>
    </row>
    <row r="81" spans="2:8" x14ac:dyDescent="0.2">
      <c r="B81" s="23" t="s">
        <v>389</v>
      </c>
      <c r="C81" s="23" t="s">
        <v>390</v>
      </c>
      <c r="D81" s="23" t="s">
        <v>354</v>
      </c>
      <c r="E81" s="28">
        <v>112</v>
      </c>
      <c r="F81" s="25">
        <v>1254.21</v>
      </c>
      <c r="G81" s="25">
        <v>0.32</v>
      </c>
      <c r="H81" s="25">
        <v>6.4</v>
      </c>
    </row>
    <row r="82" spans="2:8" x14ac:dyDescent="0.2">
      <c r="B82" s="23" t="s">
        <v>391</v>
      </c>
      <c r="C82" s="23" t="s">
        <v>392</v>
      </c>
      <c r="D82" s="23" t="s">
        <v>354</v>
      </c>
      <c r="E82" s="28">
        <v>100</v>
      </c>
      <c r="F82" s="25">
        <v>1120.74</v>
      </c>
      <c r="G82" s="25">
        <v>0.28999999999999998</v>
      </c>
      <c r="H82" s="25">
        <v>6.43</v>
      </c>
    </row>
    <row r="83" spans="2:8" x14ac:dyDescent="0.2">
      <c r="B83" s="23" t="s">
        <v>393</v>
      </c>
      <c r="C83" s="23" t="s">
        <v>394</v>
      </c>
      <c r="D83" s="23" t="s">
        <v>354</v>
      </c>
      <c r="E83" s="28">
        <v>100</v>
      </c>
      <c r="F83" s="25">
        <v>1116.5</v>
      </c>
      <c r="G83" s="25">
        <v>0.28999999999999998</v>
      </c>
      <c r="H83" s="25">
        <v>6.88</v>
      </c>
    </row>
    <row r="84" spans="2:8" x14ac:dyDescent="0.2">
      <c r="B84" s="23" t="s">
        <v>395</v>
      </c>
      <c r="C84" s="23" t="s">
        <v>396</v>
      </c>
      <c r="D84" s="23" t="s">
        <v>354</v>
      </c>
      <c r="E84" s="28">
        <v>100</v>
      </c>
      <c r="F84" s="25">
        <v>1087.6099999999999</v>
      </c>
      <c r="G84" s="25">
        <v>0.28000000000000003</v>
      </c>
      <c r="H84" s="25">
        <v>5.49</v>
      </c>
    </row>
    <row r="85" spans="2:8" x14ac:dyDescent="0.2">
      <c r="B85" s="23" t="s">
        <v>397</v>
      </c>
      <c r="C85" s="23" t="s">
        <v>398</v>
      </c>
      <c r="D85" s="23" t="s">
        <v>354</v>
      </c>
      <c r="E85" s="28">
        <v>100</v>
      </c>
      <c r="F85" s="25">
        <v>1078.24</v>
      </c>
      <c r="G85" s="25">
        <v>0.28000000000000003</v>
      </c>
      <c r="H85" s="25">
        <v>5.49</v>
      </c>
    </row>
    <row r="86" spans="2:8" x14ac:dyDescent="0.2">
      <c r="B86" s="23" t="s">
        <v>399</v>
      </c>
      <c r="C86" s="23" t="s">
        <v>400</v>
      </c>
      <c r="D86" s="23" t="s">
        <v>354</v>
      </c>
      <c r="E86" s="28">
        <v>100</v>
      </c>
      <c r="F86" s="25">
        <v>1049.71</v>
      </c>
      <c r="G86" s="25">
        <v>0.27</v>
      </c>
      <c r="H86" s="25">
        <v>4.47</v>
      </c>
    </row>
    <row r="87" spans="2:8" x14ac:dyDescent="0.2">
      <c r="B87" s="23" t="s">
        <v>401</v>
      </c>
      <c r="C87" s="23" t="s">
        <v>402</v>
      </c>
      <c r="D87" s="23" t="s">
        <v>388</v>
      </c>
      <c r="E87" s="28">
        <v>100</v>
      </c>
      <c r="F87" s="25">
        <v>1043.3800000000001</v>
      </c>
      <c r="G87" s="25">
        <v>0.27</v>
      </c>
      <c r="H87" s="25">
        <v>4.1900000000000004</v>
      </c>
    </row>
    <row r="88" spans="2:8" x14ac:dyDescent="0.2">
      <c r="B88" s="23" t="s">
        <v>403</v>
      </c>
      <c r="C88" s="23" t="s">
        <v>404</v>
      </c>
      <c r="D88" s="23" t="s">
        <v>354</v>
      </c>
      <c r="E88" s="28">
        <v>100</v>
      </c>
      <c r="F88" s="25">
        <v>1026.22</v>
      </c>
      <c r="G88" s="25">
        <v>0.26</v>
      </c>
      <c r="H88" s="25">
        <v>3.6</v>
      </c>
    </row>
    <row r="89" spans="2:8" x14ac:dyDescent="0.2">
      <c r="B89" s="23" t="s">
        <v>405</v>
      </c>
      <c r="C89" s="23" t="s">
        <v>406</v>
      </c>
      <c r="D89" s="23" t="s">
        <v>354</v>
      </c>
      <c r="E89" s="28">
        <v>69</v>
      </c>
      <c r="F89" s="25">
        <v>709.62</v>
      </c>
      <c r="G89" s="25">
        <v>0.18</v>
      </c>
      <c r="H89" s="25">
        <v>3.73</v>
      </c>
    </row>
    <row r="90" spans="2:8" x14ac:dyDescent="0.2">
      <c r="B90" s="23" t="s">
        <v>407</v>
      </c>
      <c r="C90" s="23" t="s">
        <v>408</v>
      </c>
      <c r="D90" s="23" t="s">
        <v>354</v>
      </c>
      <c r="E90" s="28">
        <v>70</v>
      </c>
      <c r="F90" s="25">
        <v>708.47</v>
      </c>
      <c r="G90" s="25">
        <v>0.18</v>
      </c>
      <c r="H90" s="25">
        <v>3.27</v>
      </c>
    </row>
    <row r="91" spans="2:8" x14ac:dyDescent="0.2">
      <c r="B91" s="23" t="s">
        <v>409</v>
      </c>
      <c r="C91" s="23" t="s">
        <v>410</v>
      </c>
      <c r="D91" s="23" t="s">
        <v>354</v>
      </c>
      <c r="E91" s="28">
        <v>60</v>
      </c>
      <c r="F91" s="25">
        <v>631.62</v>
      </c>
      <c r="G91" s="25">
        <v>0.16</v>
      </c>
      <c r="H91" s="25">
        <v>3.93</v>
      </c>
    </row>
    <row r="92" spans="2:8" x14ac:dyDescent="0.2">
      <c r="B92" s="23" t="s">
        <v>411</v>
      </c>
      <c r="C92" s="23" t="s">
        <v>412</v>
      </c>
      <c r="D92" s="23" t="s">
        <v>354</v>
      </c>
      <c r="E92" s="28">
        <v>50</v>
      </c>
      <c r="F92" s="25">
        <v>558.96</v>
      </c>
      <c r="G92" s="25">
        <v>0.14000000000000001</v>
      </c>
      <c r="H92" s="25">
        <v>6.39</v>
      </c>
    </row>
    <row r="93" spans="2:8" x14ac:dyDescent="0.2">
      <c r="B93" s="23" t="s">
        <v>413</v>
      </c>
      <c r="C93" s="23" t="s">
        <v>414</v>
      </c>
      <c r="D93" s="23" t="s">
        <v>354</v>
      </c>
      <c r="E93" s="28">
        <v>50</v>
      </c>
      <c r="F93" s="25">
        <v>551.91999999999996</v>
      </c>
      <c r="G93" s="25">
        <v>0.14000000000000001</v>
      </c>
      <c r="H93" s="25">
        <v>4.7300000000000004</v>
      </c>
    </row>
    <row r="94" spans="2:8" x14ac:dyDescent="0.2">
      <c r="B94" s="23" t="s">
        <v>415</v>
      </c>
      <c r="C94" s="23" t="s">
        <v>416</v>
      </c>
      <c r="D94" s="23" t="s">
        <v>354</v>
      </c>
      <c r="E94" s="28">
        <v>50</v>
      </c>
      <c r="F94" s="25">
        <v>538.97</v>
      </c>
      <c r="G94" s="25">
        <v>0.14000000000000001</v>
      </c>
      <c r="H94" s="25">
        <v>6.6</v>
      </c>
    </row>
    <row r="95" spans="2:8" x14ac:dyDescent="0.2">
      <c r="B95" s="23" t="s">
        <v>417</v>
      </c>
      <c r="C95" s="23" t="s">
        <v>418</v>
      </c>
      <c r="D95" s="23" t="s">
        <v>354</v>
      </c>
      <c r="E95" s="28">
        <v>50</v>
      </c>
      <c r="F95" s="25">
        <v>529.86</v>
      </c>
      <c r="G95" s="25">
        <v>0.14000000000000001</v>
      </c>
      <c r="H95" s="25">
        <v>6.39</v>
      </c>
    </row>
    <row r="96" spans="2:8" x14ac:dyDescent="0.2">
      <c r="B96" s="23" t="s">
        <v>419</v>
      </c>
      <c r="C96" s="23" t="s">
        <v>420</v>
      </c>
      <c r="D96" s="23" t="s">
        <v>354</v>
      </c>
      <c r="E96" s="28">
        <v>50</v>
      </c>
      <c r="F96" s="25">
        <v>517.99</v>
      </c>
      <c r="G96" s="25">
        <v>0.13</v>
      </c>
      <c r="H96" s="25">
        <v>4.45</v>
      </c>
    </row>
    <row r="97" spans="2:10" x14ac:dyDescent="0.2">
      <c r="B97" s="23" t="s">
        <v>421</v>
      </c>
      <c r="C97" s="23" t="s">
        <v>422</v>
      </c>
      <c r="D97" s="23" t="s">
        <v>354</v>
      </c>
      <c r="E97" s="28">
        <v>10</v>
      </c>
      <c r="F97" s="25">
        <v>105.36</v>
      </c>
      <c r="G97" s="25">
        <v>0.03</v>
      </c>
      <c r="H97" s="25">
        <v>3.8</v>
      </c>
    </row>
    <row r="98" spans="2:10" x14ac:dyDescent="0.2">
      <c r="B98" s="30" t="s">
        <v>110</v>
      </c>
      <c r="C98" s="30"/>
      <c r="D98" s="30"/>
      <c r="E98" s="31"/>
      <c r="F98" s="32">
        <f>SUM(F63:F97)</f>
        <v>56419.95</v>
      </c>
      <c r="G98" s="32">
        <f>SUM(G63:G97)</f>
        <v>14.41</v>
      </c>
      <c r="H98" s="48"/>
      <c r="I98" s="14"/>
      <c r="J98" s="14"/>
    </row>
    <row r="99" spans="2:10" x14ac:dyDescent="0.2">
      <c r="B99" s="49" t="s">
        <v>111</v>
      </c>
      <c r="C99" s="49"/>
      <c r="D99" s="49"/>
      <c r="E99" s="50"/>
      <c r="F99" s="51">
        <f>F98</f>
        <v>56419.95</v>
      </c>
      <c r="G99" s="51">
        <f>G98</f>
        <v>14.41</v>
      </c>
      <c r="H99" s="51"/>
      <c r="I99" s="14"/>
      <c r="J99" s="14"/>
    </row>
    <row r="100" spans="2:10" x14ac:dyDescent="0.2">
      <c r="B100" s="47" t="s">
        <v>423</v>
      </c>
      <c r="C100" s="23"/>
      <c r="D100" s="23"/>
      <c r="E100" s="24"/>
      <c r="F100" s="25"/>
      <c r="G100" s="25"/>
      <c r="H100" s="25"/>
    </row>
    <row r="101" spans="2:10" x14ac:dyDescent="0.2">
      <c r="B101" s="23" t="s">
        <v>424</v>
      </c>
      <c r="C101" s="23" t="s">
        <v>425</v>
      </c>
      <c r="D101" s="23" t="s">
        <v>426</v>
      </c>
      <c r="E101" s="28">
        <v>6500000</v>
      </c>
      <c r="F101" s="25">
        <v>6817.48</v>
      </c>
      <c r="G101" s="25">
        <v>1.74</v>
      </c>
      <c r="H101" s="25">
        <v>4.8</v>
      </c>
    </row>
    <row r="102" spans="2:10" x14ac:dyDescent="0.2">
      <c r="B102" s="23" t="s">
        <v>427</v>
      </c>
      <c r="C102" s="23" t="s">
        <v>428</v>
      </c>
      <c r="D102" s="23" t="s">
        <v>426</v>
      </c>
      <c r="E102" s="28">
        <v>2600000</v>
      </c>
      <c r="F102" s="25">
        <v>2573.1799999999998</v>
      </c>
      <c r="G102" s="25">
        <v>0.66</v>
      </c>
      <c r="H102" s="25">
        <v>5.91</v>
      </c>
    </row>
    <row r="103" spans="2:10" x14ac:dyDescent="0.2">
      <c r="B103" s="23" t="s">
        <v>429</v>
      </c>
      <c r="C103" s="23" t="s">
        <v>430</v>
      </c>
      <c r="D103" s="23" t="s">
        <v>426</v>
      </c>
      <c r="E103" s="28">
        <v>1500000</v>
      </c>
      <c r="F103" s="25">
        <v>1630.5</v>
      </c>
      <c r="G103" s="25">
        <v>0.42</v>
      </c>
      <c r="H103" s="25">
        <v>4.67</v>
      </c>
    </row>
    <row r="104" spans="2:10" x14ac:dyDescent="0.2">
      <c r="B104" s="23" t="s">
        <v>431</v>
      </c>
      <c r="C104" s="23" t="s">
        <v>432</v>
      </c>
      <c r="D104" s="23" t="s">
        <v>426</v>
      </c>
      <c r="E104" s="28">
        <v>1500000</v>
      </c>
      <c r="F104" s="25">
        <v>1585.5</v>
      </c>
      <c r="G104" s="25">
        <v>0.41</v>
      </c>
      <c r="H104" s="25">
        <v>3.92</v>
      </c>
    </row>
    <row r="105" spans="2:10" x14ac:dyDescent="0.2">
      <c r="B105" s="23" t="s">
        <v>433</v>
      </c>
      <c r="C105" s="23" t="s">
        <v>434</v>
      </c>
      <c r="D105" s="23" t="s">
        <v>426</v>
      </c>
      <c r="E105" s="28">
        <v>1000000</v>
      </c>
      <c r="F105" s="25">
        <v>1083.45</v>
      </c>
      <c r="G105" s="25">
        <v>0.28000000000000003</v>
      </c>
      <c r="H105" s="25">
        <v>5.95</v>
      </c>
    </row>
    <row r="106" spans="2:10" x14ac:dyDescent="0.2">
      <c r="B106" s="23" t="s">
        <v>435</v>
      </c>
      <c r="C106" s="23" t="s">
        <v>436</v>
      </c>
      <c r="D106" s="23" t="s">
        <v>426</v>
      </c>
      <c r="E106" s="28">
        <v>1000000</v>
      </c>
      <c r="F106" s="25">
        <v>1062.1500000000001</v>
      </c>
      <c r="G106" s="25">
        <v>0.27</v>
      </c>
      <c r="H106" s="25">
        <v>5.63</v>
      </c>
    </row>
    <row r="107" spans="2:10" x14ac:dyDescent="0.2">
      <c r="B107" s="23" t="s">
        <v>437</v>
      </c>
      <c r="C107" s="23" t="s">
        <v>438</v>
      </c>
      <c r="D107" s="23" t="s">
        <v>426</v>
      </c>
      <c r="E107" s="28">
        <v>500000</v>
      </c>
      <c r="F107" s="25">
        <v>566.39</v>
      </c>
      <c r="G107" s="25">
        <v>0.14000000000000001</v>
      </c>
      <c r="H107" s="25">
        <v>5.67</v>
      </c>
    </row>
    <row r="108" spans="2:10" x14ac:dyDescent="0.2">
      <c r="B108" s="23" t="s">
        <v>439</v>
      </c>
      <c r="C108" s="23" t="s">
        <v>440</v>
      </c>
      <c r="D108" s="23" t="s">
        <v>426</v>
      </c>
      <c r="E108" s="28">
        <v>500000</v>
      </c>
      <c r="F108" s="25">
        <v>565.04</v>
      </c>
      <c r="G108" s="25">
        <v>0.14000000000000001</v>
      </c>
      <c r="H108" s="25">
        <v>5.56</v>
      </c>
    </row>
    <row r="109" spans="2:10" x14ac:dyDescent="0.2">
      <c r="B109" s="23" t="s">
        <v>441</v>
      </c>
      <c r="C109" s="23" t="s">
        <v>442</v>
      </c>
      <c r="D109" s="23" t="s">
        <v>426</v>
      </c>
      <c r="E109" s="28">
        <v>500000</v>
      </c>
      <c r="F109" s="25">
        <v>536.66</v>
      </c>
      <c r="G109" s="25">
        <v>0.14000000000000001</v>
      </c>
      <c r="H109" s="25">
        <v>6.59</v>
      </c>
    </row>
    <row r="110" spans="2:10" x14ac:dyDescent="0.2">
      <c r="B110" s="23" t="s">
        <v>443</v>
      </c>
      <c r="C110" s="23" t="s">
        <v>444</v>
      </c>
      <c r="D110" s="23" t="s">
        <v>426</v>
      </c>
      <c r="E110" s="28">
        <v>500000</v>
      </c>
      <c r="F110" s="25">
        <v>526.69000000000005</v>
      </c>
      <c r="G110" s="25">
        <v>0.13</v>
      </c>
      <c r="H110" s="25">
        <v>6.02</v>
      </c>
    </row>
    <row r="111" spans="2:10" x14ac:dyDescent="0.2">
      <c r="B111" s="23" t="s">
        <v>445</v>
      </c>
      <c r="C111" s="23" t="s">
        <v>446</v>
      </c>
      <c r="D111" s="23" t="s">
        <v>426</v>
      </c>
      <c r="E111" s="28">
        <v>500000</v>
      </c>
      <c r="F111" s="25">
        <v>502.7</v>
      </c>
      <c r="G111" s="25">
        <v>0.13</v>
      </c>
      <c r="H111" s="25">
        <v>5.08</v>
      </c>
    </row>
    <row r="112" spans="2:10" x14ac:dyDescent="0.2">
      <c r="B112" s="52" t="s">
        <v>447</v>
      </c>
      <c r="C112" s="52" t="s">
        <v>448</v>
      </c>
      <c r="D112" s="52" t="s">
        <v>426</v>
      </c>
      <c r="E112" s="53">
        <v>191700</v>
      </c>
      <c r="F112" s="54">
        <v>201.06</v>
      </c>
      <c r="G112" s="54">
        <v>0.05</v>
      </c>
      <c r="H112" s="54">
        <v>3.92</v>
      </c>
    </row>
    <row r="113" spans="2:10" x14ac:dyDescent="0.2">
      <c r="B113" s="55" t="s">
        <v>111</v>
      </c>
      <c r="C113" s="55"/>
      <c r="D113" s="55"/>
      <c r="E113" s="56"/>
      <c r="F113" s="57">
        <f>SUM(F101:F112)</f>
        <v>17650.8</v>
      </c>
      <c r="G113" s="57">
        <f>SUM(G101:G112)</f>
        <v>4.5099999999999989</v>
      </c>
      <c r="H113" s="57"/>
      <c r="I113" s="14"/>
      <c r="J113" s="14"/>
    </row>
    <row r="114" spans="2:10" x14ac:dyDescent="0.2">
      <c r="B114" s="47" t="s">
        <v>112</v>
      </c>
      <c r="C114" s="23"/>
      <c r="D114" s="23"/>
      <c r="E114" s="24"/>
      <c r="F114" s="25"/>
      <c r="G114" s="25"/>
      <c r="H114" s="25"/>
    </row>
    <row r="115" spans="2:10" x14ac:dyDescent="0.2">
      <c r="B115" s="23" t="s">
        <v>112</v>
      </c>
      <c r="C115" s="23"/>
      <c r="D115" s="23"/>
      <c r="E115" s="24"/>
      <c r="F115" s="25">
        <v>24522.45</v>
      </c>
      <c r="G115" s="25">
        <v>6.27</v>
      </c>
      <c r="H115" s="25"/>
    </row>
    <row r="116" spans="2:10" x14ac:dyDescent="0.2">
      <c r="B116" s="30" t="s">
        <v>110</v>
      </c>
      <c r="C116" s="30"/>
      <c r="D116" s="30"/>
      <c r="E116" s="31"/>
      <c r="F116" s="32">
        <f>SUM(F114:F115)</f>
        <v>24522.45</v>
      </c>
      <c r="G116" s="32">
        <f>SUM(G114:G115)</f>
        <v>6.27</v>
      </c>
      <c r="H116" s="48"/>
      <c r="I116" s="14"/>
      <c r="J116" s="14"/>
    </row>
    <row r="117" spans="2:10" x14ac:dyDescent="0.2">
      <c r="B117" s="34" t="s">
        <v>111</v>
      </c>
      <c r="C117" s="34"/>
      <c r="D117" s="34"/>
      <c r="E117" s="35"/>
      <c r="F117" s="36">
        <f>F116</f>
        <v>24522.45</v>
      </c>
      <c r="G117" s="36">
        <f>G116</f>
        <v>6.27</v>
      </c>
      <c r="H117" s="36"/>
      <c r="I117" s="14"/>
      <c r="J117" s="14"/>
    </row>
    <row r="118" spans="2:10" x14ac:dyDescent="0.2">
      <c r="B118" s="44" t="s">
        <v>114</v>
      </c>
      <c r="C118" s="44"/>
      <c r="D118" s="44"/>
      <c r="E118" s="45"/>
      <c r="F118" s="16">
        <f>F119-(+F61+F99+F113+F117)</f>
        <v>3585.3099999999977</v>
      </c>
      <c r="G118" s="16">
        <f>G119-(+G61+G99+G113+G117)</f>
        <v>1.0700000000000216</v>
      </c>
      <c r="H118" s="16"/>
      <c r="I118" s="14"/>
      <c r="J118" s="14"/>
    </row>
    <row r="119" spans="2:10" x14ac:dyDescent="0.2">
      <c r="B119" s="44" t="s">
        <v>113</v>
      </c>
      <c r="C119" s="44"/>
      <c r="D119" s="44"/>
      <c r="E119" s="45"/>
      <c r="F119" s="16">
        <v>390604.08</v>
      </c>
      <c r="G119" s="16">
        <v>100</v>
      </c>
      <c r="H119" s="16"/>
      <c r="I119" s="14"/>
      <c r="J119" s="14"/>
    </row>
    <row r="121" spans="2:10" x14ac:dyDescent="0.2">
      <c r="B121" s="14" t="s">
        <v>805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"/>
  <sheetViews>
    <sheetView workbookViewId="0">
      <selection activeCell="B31" sqref="B31"/>
    </sheetView>
  </sheetViews>
  <sheetFormatPr defaultRowHeight="12" x14ac:dyDescent="0.2"/>
  <cols>
    <col min="1" max="1" width="9.140625" style="1"/>
    <col min="2" max="2" width="61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16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351</v>
      </c>
      <c r="C5" s="18"/>
      <c r="D5" s="18"/>
      <c r="E5" s="19"/>
      <c r="F5" s="20"/>
      <c r="G5" s="20"/>
      <c r="H5" s="20"/>
    </row>
    <row r="6" spans="2:10" x14ac:dyDescent="0.2">
      <c r="B6" s="47" t="s">
        <v>32</v>
      </c>
      <c r="C6" s="23"/>
      <c r="D6" s="23"/>
      <c r="E6" s="24"/>
      <c r="F6" s="25"/>
      <c r="G6" s="25"/>
      <c r="H6" s="25"/>
    </row>
    <row r="7" spans="2:10" x14ac:dyDescent="0.2">
      <c r="B7" s="23" t="s">
        <v>449</v>
      </c>
      <c r="C7" s="23" t="s">
        <v>450</v>
      </c>
      <c r="D7" s="23" t="s">
        <v>367</v>
      </c>
      <c r="E7" s="28">
        <v>50</v>
      </c>
      <c r="F7" s="25">
        <v>527.96</v>
      </c>
      <c r="G7" s="25">
        <v>4.41</v>
      </c>
      <c r="H7" s="25">
        <v>3.74</v>
      </c>
    </row>
    <row r="8" spans="2:10" x14ac:dyDescent="0.2">
      <c r="B8" s="30" t="s">
        <v>110</v>
      </c>
      <c r="C8" s="30"/>
      <c r="D8" s="30"/>
      <c r="E8" s="31"/>
      <c r="F8" s="32">
        <f>SUM(F6:F7)</f>
        <v>527.96</v>
      </c>
      <c r="G8" s="32">
        <f>SUM(G6:G7)</f>
        <v>4.41</v>
      </c>
      <c r="H8" s="48"/>
      <c r="I8" s="14"/>
      <c r="J8" s="14"/>
    </row>
    <row r="9" spans="2:10" x14ac:dyDescent="0.2">
      <c r="B9" s="49" t="s">
        <v>111</v>
      </c>
      <c r="C9" s="49"/>
      <c r="D9" s="49"/>
      <c r="E9" s="50"/>
      <c r="F9" s="51">
        <f>F8</f>
        <v>527.96</v>
      </c>
      <c r="G9" s="51">
        <f>G8</f>
        <v>4.41</v>
      </c>
      <c r="H9" s="51"/>
      <c r="I9" s="14"/>
      <c r="J9" s="14"/>
    </row>
    <row r="10" spans="2:10" x14ac:dyDescent="0.2">
      <c r="B10" s="47" t="s">
        <v>451</v>
      </c>
      <c r="C10" s="23"/>
      <c r="D10" s="23"/>
      <c r="E10" s="24"/>
      <c r="F10" s="25"/>
      <c r="G10" s="25"/>
      <c r="H10" s="25"/>
    </row>
    <row r="11" spans="2:10" x14ac:dyDescent="0.2">
      <c r="B11" s="47" t="s">
        <v>452</v>
      </c>
      <c r="C11" s="23"/>
      <c r="D11" s="23"/>
      <c r="E11" s="24"/>
      <c r="F11" s="25"/>
      <c r="G11" s="25"/>
      <c r="H11" s="25"/>
    </row>
    <row r="12" spans="2:10" x14ac:dyDescent="0.2">
      <c r="B12" s="23" t="s">
        <v>453</v>
      </c>
      <c r="C12" s="23" t="s">
        <v>454</v>
      </c>
      <c r="D12" s="23" t="s">
        <v>455</v>
      </c>
      <c r="E12" s="28">
        <v>2000000</v>
      </c>
      <c r="F12" s="25">
        <v>1990.98</v>
      </c>
      <c r="G12" s="25">
        <v>16.649999999999999</v>
      </c>
      <c r="H12" s="25">
        <v>2.85</v>
      </c>
    </row>
    <row r="13" spans="2:10" x14ac:dyDescent="0.2">
      <c r="B13" s="30" t="s">
        <v>110</v>
      </c>
      <c r="C13" s="30"/>
      <c r="D13" s="30"/>
      <c r="E13" s="31"/>
      <c r="F13" s="32">
        <f>SUM(F11:F12)</f>
        <v>1990.98</v>
      </c>
      <c r="G13" s="32">
        <f>SUM(G11:G12)</f>
        <v>16.649999999999999</v>
      </c>
      <c r="H13" s="48"/>
      <c r="I13" s="14"/>
      <c r="J13" s="14"/>
    </row>
    <row r="14" spans="2:10" x14ac:dyDescent="0.2">
      <c r="B14" s="49" t="s">
        <v>111</v>
      </c>
      <c r="C14" s="49"/>
      <c r="D14" s="49"/>
      <c r="E14" s="50"/>
      <c r="F14" s="51">
        <f>+F13</f>
        <v>1990.98</v>
      </c>
      <c r="G14" s="51">
        <f>+G13</f>
        <v>16.649999999999999</v>
      </c>
      <c r="H14" s="51"/>
      <c r="I14" s="14"/>
      <c r="J14" s="14"/>
    </row>
    <row r="15" spans="2:10" x14ac:dyDescent="0.2">
      <c r="B15" s="47" t="s">
        <v>423</v>
      </c>
      <c r="C15" s="23"/>
      <c r="D15" s="23"/>
      <c r="E15" s="24"/>
      <c r="F15" s="25"/>
      <c r="G15" s="25"/>
      <c r="H15" s="25"/>
    </row>
    <row r="16" spans="2:10" x14ac:dyDescent="0.2">
      <c r="B16" s="23" t="s">
        <v>456</v>
      </c>
      <c r="C16" s="23" t="s">
        <v>457</v>
      </c>
      <c r="D16" s="23" t="s">
        <v>426</v>
      </c>
      <c r="E16" s="28">
        <v>3350000</v>
      </c>
      <c r="F16" s="25">
        <v>3614.58</v>
      </c>
      <c r="G16" s="25">
        <v>30.22</v>
      </c>
      <c r="H16" s="25">
        <v>5.8</v>
      </c>
    </row>
    <row r="17" spans="2:10" x14ac:dyDescent="0.2">
      <c r="B17" s="23" t="s">
        <v>458</v>
      </c>
      <c r="C17" s="23" t="s">
        <v>459</v>
      </c>
      <c r="D17" s="23" t="s">
        <v>426</v>
      </c>
      <c r="E17" s="28">
        <v>1500000</v>
      </c>
      <c r="F17" s="25">
        <v>1634.29</v>
      </c>
      <c r="G17" s="25">
        <v>13.66</v>
      </c>
      <c r="H17" s="25">
        <v>5.32</v>
      </c>
    </row>
    <row r="18" spans="2:10" x14ac:dyDescent="0.2">
      <c r="B18" s="23" t="s">
        <v>460</v>
      </c>
      <c r="C18" s="23" t="s">
        <v>461</v>
      </c>
      <c r="D18" s="23" t="s">
        <v>426</v>
      </c>
      <c r="E18" s="28">
        <v>1500000</v>
      </c>
      <c r="F18" s="25">
        <v>1501.57</v>
      </c>
      <c r="G18" s="25">
        <v>12.55</v>
      </c>
      <c r="H18" s="25">
        <v>5.84</v>
      </c>
    </row>
    <row r="19" spans="2:10" x14ac:dyDescent="0.2">
      <c r="B19" s="23" t="s">
        <v>462</v>
      </c>
      <c r="C19" s="23" t="s">
        <v>463</v>
      </c>
      <c r="D19" s="23" t="s">
        <v>426</v>
      </c>
      <c r="E19" s="28">
        <v>1350000</v>
      </c>
      <c r="F19" s="25">
        <v>1501.39</v>
      </c>
      <c r="G19" s="25">
        <v>12.55</v>
      </c>
      <c r="H19" s="25">
        <v>6.27</v>
      </c>
    </row>
    <row r="20" spans="2:10" x14ac:dyDescent="0.2">
      <c r="B20" s="23" t="s">
        <v>443</v>
      </c>
      <c r="C20" s="23" t="s">
        <v>444</v>
      </c>
      <c r="D20" s="23" t="s">
        <v>426</v>
      </c>
      <c r="E20" s="28">
        <v>500000</v>
      </c>
      <c r="F20" s="25">
        <v>526.69000000000005</v>
      </c>
      <c r="G20" s="25">
        <v>4.4000000000000004</v>
      </c>
      <c r="H20" s="25">
        <v>6.02</v>
      </c>
    </row>
    <row r="21" spans="2:10" x14ac:dyDescent="0.2">
      <c r="B21" s="52" t="s">
        <v>464</v>
      </c>
      <c r="C21" s="52" t="s">
        <v>465</v>
      </c>
      <c r="D21" s="52" t="s">
        <v>426</v>
      </c>
      <c r="E21" s="53">
        <v>23200</v>
      </c>
      <c r="F21" s="54">
        <v>24.22</v>
      </c>
      <c r="G21" s="54">
        <v>0.2</v>
      </c>
      <c r="H21" s="54">
        <v>6.12</v>
      </c>
    </row>
    <row r="22" spans="2:10" x14ac:dyDescent="0.2">
      <c r="B22" s="55" t="s">
        <v>111</v>
      </c>
      <c r="C22" s="55"/>
      <c r="D22" s="55"/>
      <c r="E22" s="56"/>
      <c r="F22" s="57">
        <f>SUM(F16:F21)</f>
        <v>8802.74</v>
      </c>
      <c r="G22" s="57">
        <f>SUM(G16:G21)</f>
        <v>73.58</v>
      </c>
      <c r="H22" s="57"/>
      <c r="I22" s="14"/>
      <c r="J22" s="14"/>
    </row>
    <row r="23" spans="2:10" x14ac:dyDescent="0.2">
      <c r="B23" s="47" t="s">
        <v>112</v>
      </c>
      <c r="C23" s="23"/>
      <c r="D23" s="23"/>
      <c r="E23" s="24"/>
      <c r="F23" s="25"/>
      <c r="G23" s="25"/>
      <c r="H23" s="25"/>
    </row>
    <row r="24" spans="2:10" x14ac:dyDescent="0.2">
      <c r="B24" s="23" t="s">
        <v>112</v>
      </c>
      <c r="C24" s="23"/>
      <c r="D24" s="23"/>
      <c r="E24" s="24"/>
      <c r="F24" s="25">
        <v>2303.7600000000002</v>
      </c>
      <c r="G24" s="25">
        <v>19.25</v>
      </c>
      <c r="H24" s="25"/>
    </row>
    <row r="25" spans="2:10" x14ac:dyDescent="0.2">
      <c r="B25" s="30" t="s">
        <v>110</v>
      </c>
      <c r="C25" s="30"/>
      <c r="D25" s="30"/>
      <c r="E25" s="31"/>
      <c r="F25" s="32">
        <f>SUM(F23:F24)</f>
        <v>2303.7600000000002</v>
      </c>
      <c r="G25" s="32">
        <f>SUM(G23:G24)</f>
        <v>19.25</v>
      </c>
      <c r="H25" s="48"/>
      <c r="I25" s="14"/>
      <c r="J25" s="14"/>
    </row>
    <row r="26" spans="2:10" x14ac:dyDescent="0.2">
      <c r="B26" s="34" t="s">
        <v>111</v>
      </c>
      <c r="C26" s="34"/>
      <c r="D26" s="34"/>
      <c r="E26" s="35"/>
      <c r="F26" s="36">
        <f>F25</f>
        <v>2303.7600000000002</v>
      </c>
      <c r="G26" s="36">
        <f>G25</f>
        <v>19.25</v>
      </c>
      <c r="H26" s="36"/>
      <c r="I26" s="14"/>
      <c r="J26" s="14"/>
    </row>
    <row r="27" spans="2:10" x14ac:dyDescent="0.2">
      <c r="B27" s="44" t="s">
        <v>114</v>
      </c>
      <c r="C27" s="44"/>
      <c r="D27" s="44"/>
      <c r="E27" s="45"/>
      <c r="F27" s="16">
        <f>F28-(+F9+F14+F22+F26)</f>
        <v>-1644.6200000000008</v>
      </c>
      <c r="G27" s="16">
        <f>G28-(+G9+G14+G22+G26)</f>
        <v>-13.89</v>
      </c>
      <c r="H27" s="16"/>
      <c r="I27" s="14"/>
      <c r="J27" s="14"/>
    </row>
    <row r="28" spans="2:10" x14ac:dyDescent="0.2">
      <c r="B28" s="44" t="s">
        <v>113</v>
      </c>
      <c r="C28" s="44"/>
      <c r="D28" s="44"/>
      <c r="E28" s="45"/>
      <c r="F28" s="16">
        <v>11980.82</v>
      </c>
      <c r="G28" s="16">
        <v>100</v>
      </c>
      <c r="H28" s="16"/>
      <c r="I28" s="14"/>
      <c r="J28" s="14"/>
    </row>
    <row r="30" spans="2:10" x14ac:dyDescent="0.2">
      <c r="B30" s="14" t="s">
        <v>805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workbookViewId="0">
      <selection activeCell="G24" sqref="G24"/>
    </sheetView>
  </sheetViews>
  <sheetFormatPr defaultRowHeight="12" x14ac:dyDescent="0.2"/>
  <cols>
    <col min="1" max="1" width="9.140625" style="1"/>
    <col min="2" max="2" width="61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17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423</v>
      </c>
      <c r="C5" s="18"/>
      <c r="D5" s="18"/>
      <c r="E5" s="19"/>
      <c r="F5" s="20"/>
      <c r="G5" s="20"/>
      <c r="H5" s="20"/>
    </row>
    <row r="6" spans="2:10" x14ac:dyDescent="0.2">
      <c r="B6" s="23" t="s">
        <v>458</v>
      </c>
      <c r="C6" s="23" t="s">
        <v>459</v>
      </c>
      <c r="D6" s="23" t="s">
        <v>426</v>
      </c>
      <c r="E6" s="28">
        <v>2500000</v>
      </c>
      <c r="F6" s="25">
        <v>2723.82</v>
      </c>
      <c r="G6" s="25">
        <v>19.62</v>
      </c>
      <c r="H6" s="25">
        <v>5.32</v>
      </c>
    </row>
    <row r="7" spans="2:10" x14ac:dyDescent="0.2">
      <c r="B7" s="23" t="s">
        <v>456</v>
      </c>
      <c r="C7" s="23" t="s">
        <v>457</v>
      </c>
      <c r="D7" s="23" t="s">
        <v>426</v>
      </c>
      <c r="E7" s="28">
        <v>1823300</v>
      </c>
      <c r="F7" s="25">
        <v>1967.3</v>
      </c>
      <c r="G7" s="25">
        <v>14.17</v>
      </c>
      <c r="H7" s="25">
        <v>5.8</v>
      </c>
    </row>
    <row r="8" spans="2:10" x14ac:dyDescent="0.2">
      <c r="B8" s="23" t="s">
        <v>427</v>
      </c>
      <c r="C8" s="23" t="s">
        <v>428</v>
      </c>
      <c r="D8" s="23" t="s">
        <v>426</v>
      </c>
      <c r="E8" s="28">
        <v>1900000</v>
      </c>
      <c r="F8" s="25">
        <v>1880.4</v>
      </c>
      <c r="G8" s="25">
        <v>13.54</v>
      </c>
      <c r="H8" s="25">
        <v>5.91</v>
      </c>
    </row>
    <row r="9" spans="2:10" x14ac:dyDescent="0.2">
      <c r="B9" s="23" t="s">
        <v>462</v>
      </c>
      <c r="C9" s="23" t="s">
        <v>463</v>
      </c>
      <c r="D9" s="23" t="s">
        <v>426</v>
      </c>
      <c r="E9" s="28">
        <v>1650000</v>
      </c>
      <c r="F9" s="25">
        <v>1835.03</v>
      </c>
      <c r="G9" s="25">
        <v>13.22</v>
      </c>
      <c r="H9" s="25">
        <v>6.27</v>
      </c>
    </row>
    <row r="10" spans="2:10" x14ac:dyDescent="0.2">
      <c r="B10" s="23" t="s">
        <v>466</v>
      </c>
      <c r="C10" s="23" t="s">
        <v>467</v>
      </c>
      <c r="D10" s="23" t="s">
        <v>426</v>
      </c>
      <c r="E10" s="28">
        <v>1500000</v>
      </c>
      <c r="F10" s="25">
        <v>1503.32</v>
      </c>
      <c r="G10" s="25">
        <v>10.83</v>
      </c>
      <c r="H10" s="25">
        <v>5.0999999999999996</v>
      </c>
    </row>
    <row r="11" spans="2:10" x14ac:dyDescent="0.2">
      <c r="B11" s="23" t="s">
        <v>433</v>
      </c>
      <c r="C11" s="23" t="s">
        <v>434</v>
      </c>
      <c r="D11" s="23" t="s">
        <v>426</v>
      </c>
      <c r="E11" s="28">
        <v>1000000</v>
      </c>
      <c r="F11" s="25">
        <v>1083.45</v>
      </c>
      <c r="G11" s="25">
        <v>7.8</v>
      </c>
      <c r="H11" s="25">
        <v>5.95</v>
      </c>
    </row>
    <row r="12" spans="2:10" x14ac:dyDescent="0.2">
      <c r="B12" s="23" t="s">
        <v>460</v>
      </c>
      <c r="C12" s="23" t="s">
        <v>461</v>
      </c>
      <c r="D12" s="23" t="s">
        <v>426</v>
      </c>
      <c r="E12" s="28">
        <v>1000000</v>
      </c>
      <c r="F12" s="25">
        <v>1001.05</v>
      </c>
      <c r="G12" s="25">
        <v>7.21</v>
      </c>
      <c r="H12" s="25">
        <v>5.84</v>
      </c>
    </row>
    <row r="13" spans="2:10" x14ac:dyDescent="0.2">
      <c r="B13" s="23" t="s">
        <v>443</v>
      </c>
      <c r="C13" s="23" t="s">
        <v>444</v>
      </c>
      <c r="D13" s="23" t="s">
        <v>426</v>
      </c>
      <c r="E13" s="28">
        <v>500000</v>
      </c>
      <c r="F13" s="25">
        <v>526.69000000000005</v>
      </c>
      <c r="G13" s="25">
        <v>3.79</v>
      </c>
      <c r="H13" s="25">
        <v>6.02</v>
      </c>
    </row>
    <row r="14" spans="2:10" x14ac:dyDescent="0.2">
      <c r="B14" s="23" t="s">
        <v>468</v>
      </c>
      <c r="C14" s="23" t="s">
        <v>469</v>
      </c>
      <c r="D14" s="23" t="s">
        <v>426</v>
      </c>
      <c r="E14" s="28">
        <v>420100</v>
      </c>
      <c r="F14" s="25">
        <v>420.47</v>
      </c>
      <c r="G14" s="25">
        <v>3.03</v>
      </c>
      <c r="H14" s="25">
        <v>6.21</v>
      </c>
    </row>
    <row r="15" spans="2:10" x14ac:dyDescent="0.2">
      <c r="B15" s="52" t="s">
        <v>470</v>
      </c>
      <c r="C15" s="52" t="s">
        <v>471</v>
      </c>
      <c r="D15" s="52" t="s">
        <v>426</v>
      </c>
      <c r="E15" s="53">
        <v>10000</v>
      </c>
      <c r="F15" s="54">
        <v>11.78</v>
      </c>
      <c r="G15" s="54">
        <v>0.08</v>
      </c>
      <c r="H15" s="54">
        <v>6.65</v>
      </c>
    </row>
    <row r="16" spans="2:10" x14ac:dyDescent="0.2">
      <c r="B16" s="55" t="s">
        <v>111</v>
      </c>
      <c r="C16" s="55"/>
      <c r="D16" s="55"/>
      <c r="E16" s="56"/>
      <c r="F16" s="57">
        <f>SUM(F6:F15)</f>
        <v>12953.310000000001</v>
      </c>
      <c r="G16" s="57">
        <f>SUM(G6:G15)</f>
        <v>93.289999999999992</v>
      </c>
      <c r="H16" s="57"/>
      <c r="I16" s="14"/>
      <c r="J16" s="14"/>
    </row>
    <row r="17" spans="2:10" x14ac:dyDescent="0.2">
      <c r="B17" s="47" t="s">
        <v>112</v>
      </c>
      <c r="C17" s="23"/>
      <c r="D17" s="23"/>
      <c r="E17" s="24"/>
      <c r="F17" s="25"/>
      <c r="G17" s="25"/>
      <c r="H17" s="25"/>
    </row>
    <row r="18" spans="2:10" x14ac:dyDescent="0.2">
      <c r="B18" s="23" t="s">
        <v>112</v>
      </c>
      <c r="C18" s="23"/>
      <c r="D18" s="23"/>
      <c r="E18" s="24"/>
      <c r="F18" s="25">
        <v>1669.4</v>
      </c>
      <c r="G18" s="25">
        <v>12.02</v>
      </c>
      <c r="H18" s="25"/>
    </row>
    <row r="19" spans="2:10" x14ac:dyDescent="0.2">
      <c r="B19" s="30" t="s">
        <v>110</v>
      </c>
      <c r="C19" s="30"/>
      <c r="D19" s="30"/>
      <c r="E19" s="31"/>
      <c r="F19" s="32">
        <f>SUM(F17:F18)</f>
        <v>1669.4</v>
      </c>
      <c r="G19" s="32">
        <f>SUM(G17:G18)</f>
        <v>12.02</v>
      </c>
      <c r="H19" s="48"/>
      <c r="I19" s="14"/>
      <c r="J19" s="14"/>
    </row>
    <row r="20" spans="2:10" x14ac:dyDescent="0.2">
      <c r="B20" s="34" t="s">
        <v>111</v>
      </c>
      <c r="C20" s="34"/>
      <c r="D20" s="34"/>
      <c r="E20" s="35"/>
      <c r="F20" s="36">
        <f>F19</f>
        <v>1669.4</v>
      </c>
      <c r="G20" s="36">
        <f>G19</f>
        <v>12.02</v>
      </c>
      <c r="H20" s="36"/>
      <c r="I20" s="14"/>
      <c r="J20" s="14"/>
    </row>
    <row r="21" spans="2:10" x14ac:dyDescent="0.2">
      <c r="B21" s="44" t="s">
        <v>114</v>
      </c>
      <c r="C21" s="44"/>
      <c r="D21" s="44"/>
      <c r="E21" s="45"/>
      <c r="F21" s="16">
        <f>F22-(+F16+F20)</f>
        <v>-728.29000000000087</v>
      </c>
      <c r="G21" s="16">
        <f>G22-(+G16+G20)</f>
        <v>-5.3099999999999881</v>
      </c>
      <c r="H21" s="16"/>
      <c r="I21" s="14"/>
      <c r="J21" s="14"/>
    </row>
    <row r="22" spans="2:10" x14ac:dyDescent="0.2">
      <c r="B22" s="44" t="s">
        <v>113</v>
      </c>
      <c r="C22" s="44"/>
      <c r="D22" s="44"/>
      <c r="E22" s="45"/>
      <c r="F22" s="16">
        <v>13894.42</v>
      </c>
      <c r="G22" s="16">
        <v>100</v>
      </c>
      <c r="H22" s="16"/>
      <c r="I22" s="14"/>
      <c r="J22" s="14"/>
    </row>
    <row r="24" spans="2:10" x14ac:dyDescent="0.2">
      <c r="B24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workbookViewId="0">
      <selection activeCell="F40" sqref="F40"/>
    </sheetView>
  </sheetViews>
  <sheetFormatPr defaultRowHeight="12" x14ac:dyDescent="0.2"/>
  <cols>
    <col min="1" max="1" width="9.140625" style="1"/>
    <col min="2" max="2" width="61" style="1" bestFit="1" customWidth="1"/>
    <col min="3" max="3" width="13.5703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18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351</v>
      </c>
      <c r="C5" s="18"/>
      <c r="D5" s="18"/>
      <c r="E5" s="19"/>
      <c r="F5" s="20"/>
      <c r="G5" s="20"/>
      <c r="H5" s="20"/>
    </row>
    <row r="6" spans="2:10" x14ac:dyDescent="0.2">
      <c r="B6" s="47" t="s">
        <v>32</v>
      </c>
      <c r="C6" s="23"/>
      <c r="D6" s="23"/>
      <c r="E6" s="24"/>
      <c r="F6" s="25"/>
      <c r="G6" s="25"/>
      <c r="H6" s="25"/>
    </row>
    <row r="7" spans="2:10" x14ac:dyDescent="0.2">
      <c r="B7" s="23" t="s">
        <v>472</v>
      </c>
      <c r="C7" s="23" t="s">
        <v>473</v>
      </c>
      <c r="D7" s="23" t="s">
        <v>354</v>
      </c>
      <c r="E7" s="28">
        <v>100</v>
      </c>
      <c r="F7" s="25">
        <v>1063.3399999999999</v>
      </c>
      <c r="G7" s="25">
        <v>6.93</v>
      </c>
      <c r="H7" s="25">
        <v>6.5</v>
      </c>
    </row>
    <row r="8" spans="2:10" x14ac:dyDescent="0.2">
      <c r="B8" s="23" t="s">
        <v>359</v>
      </c>
      <c r="C8" s="23" t="s">
        <v>360</v>
      </c>
      <c r="D8" s="23" t="s">
        <v>354</v>
      </c>
      <c r="E8" s="28">
        <v>50</v>
      </c>
      <c r="F8" s="25">
        <v>569.25</v>
      </c>
      <c r="G8" s="25">
        <v>3.71</v>
      </c>
      <c r="H8" s="25">
        <v>6.39</v>
      </c>
    </row>
    <row r="9" spans="2:10" x14ac:dyDescent="0.2">
      <c r="B9" s="23" t="s">
        <v>393</v>
      </c>
      <c r="C9" s="23" t="s">
        <v>394</v>
      </c>
      <c r="D9" s="23" t="s">
        <v>354</v>
      </c>
      <c r="E9" s="28">
        <v>50</v>
      </c>
      <c r="F9" s="25">
        <v>558.25</v>
      </c>
      <c r="G9" s="25">
        <v>3.64</v>
      </c>
      <c r="H9" s="25">
        <v>6.88</v>
      </c>
    </row>
    <row r="10" spans="2:10" x14ac:dyDescent="0.2">
      <c r="B10" s="23" t="s">
        <v>372</v>
      </c>
      <c r="C10" s="23" t="s">
        <v>373</v>
      </c>
      <c r="D10" s="23" t="s">
        <v>354</v>
      </c>
      <c r="E10" s="28">
        <v>50</v>
      </c>
      <c r="F10" s="25">
        <v>541.71</v>
      </c>
      <c r="G10" s="25">
        <v>3.53</v>
      </c>
      <c r="H10" s="25">
        <v>5.37</v>
      </c>
    </row>
    <row r="11" spans="2:10" x14ac:dyDescent="0.2">
      <c r="B11" s="23" t="s">
        <v>474</v>
      </c>
      <c r="C11" s="23" t="s">
        <v>475</v>
      </c>
      <c r="D11" s="23" t="s">
        <v>388</v>
      </c>
      <c r="E11" s="28">
        <v>50</v>
      </c>
      <c r="F11" s="25">
        <v>535.05999999999995</v>
      </c>
      <c r="G11" s="25">
        <v>3.49</v>
      </c>
      <c r="H11" s="25">
        <v>6.51</v>
      </c>
    </row>
    <row r="12" spans="2:10" x14ac:dyDescent="0.2">
      <c r="B12" s="23" t="s">
        <v>476</v>
      </c>
      <c r="C12" s="23" t="s">
        <v>477</v>
      </c>
      <c r="D12" s="23" t="s">
        <v>354</v>
      </c>
      <c r="E12" s="28">
        <v>50</v>
      </c>
      <c r="F12" s="25">
        <v>531.84</v>
      </c>
      <c r="G12" s="25">
        <v>3.47</v>
      </c>
      <c r="H12" s="25">
        <v>5.71</v>
      </c>
    </row>
    <row r="13" spans="2:10" x14ac:dyDescent="0.2">
      <c r="B13" s="23" t="s">
        <v>363</v>
      </c>
      <c r="C13" s="23" t="s">
        <v>364</v>
      </c>
      <c r="D13" s="23" t="s">
        <v>354</v>
      </c>
      <c r="E13" s="28">
        <v>50</v>
      </c>
      <c r="F13" s="25">
        <v>526.47</v>
      </c>
      <c r="G13" s="25">
        <v>3.43</v>
      </c>
      <c r="H13" s="25">
        <v>4.26</v>
      </c>
    </row>
    <row r="14" spans="2:10" x14ac:dyDescent="0.2">
      <c r="B14" s="23" t="s">
        <v>478</v>
      </c>
      <c r="C14" s="23" t="s">
        <v>479</v>
      </c>
      <c r="D14" s="23" t="s">
        <v>388</v>
      </c>
      <c r="E14" s="28">
        <v>50</v>
      </c>
      <c r="F14" s="25">
        <v>516</v>
      </c>
      <c r="G14" s="25">
        <v>3.36</v>
      </c>
      <c r="H14" s="25">
        <v>6.51</v>
      </c>
    </row>
    <row r="15" spans="2:10" x14ac:dyDescent="0.2">
      <c r="B15" s="23" t="s">
        <v>480</v>
      </c>
      <c r="C15" s="23" t="s">
        <v>481</v>
      </c>
      <c r="D15" s="23" t="s">
        <v>354</v>
      </c>
      <c r="E15" s="28">
        <v>20</v>
      </c>
      <c r="F15" s="25">
        <v>205.82</v>
      </c>
      <c r="G15" s="25">
        <v>1.34</v>
      </c>
      <c r="H15" s="25">
        <v>3.58</v>
      </c>
    </row>
    <row r="16" spans="2:10" x14ac:dyDescent="0.2">
      <c r="B16" s="30" t="s">
        <v>110</v>
      </c>
      <c r="C16" s="30"/>
      <c r="D16" s="30"/>
      <c r="E16" s="31"/>
      <c r="F16" s="32">
        <f>SUM(F6:F15)</f>
        <v>5047.74</v>
      </c>
      <c r="G16" s="32">
        <f>SUM(G6:G15)</f>
        <v>32.900000000000006</v>
      </c>
      <c r="H16" s="48"/>
      <c r="I16" s="14"/>
      <c r="J16" s="14"/>
    </row>
    <row r="17" spans="2:10" x14ac:dyDescent="0.2">
      <c r="B17" s="49" t="s">
        <v>111</v>
      </c>
      <c r="C17" s="49"/>
      <c r="D17" s="49"/>
      <c r="E17" s="50"/>
      <c r="F17" s="51">
        <f>F16</f>
        <v>5047.74</v>
      </c>
      <c r="G17" s="51">
        <f>G16</f>
        <v>32.900000000000006</v>
      </c>
      <c r="H17" s="51"/>
      <c r="I17" s="14"/>
      <c r="J17" s="14"/>
    </row>
    <row r="18" spans="2:10" x14ac:dyDescent="0.2">
      <c r="B18" s="47" t="s">
        <v>423</v>
      </c>
      <c r="C18" s="23"/>
      <c r="D18" s="23"/>
      <c r="E18" s="24"/>
      <c r="F18" s="25"/>
      <c r="G18" s="25"/>
      <c r="H18" s="25"/>
    </row>
    <row r="19" spans="2:10" x14ac:dyDescent="0.2">
      <c r="B19" s="23" t="s">
        <v>427</v>
      </c>
      <c r="C19" s="23" t="s">
        <v>428</v>
      </c>
      <c r="D19" s="23" t="s">
        <v>426</v>
      </c>
      <c r="E19" s="28">
        <v>1500000</v>
      </c>
      <c r="F19" s="25">
        <v>1484.52</v>
      </c>
      <c r="G19" s="25">
        <v>9.68</v>
      </c>
      <c r="H19" s="25">
        <v>5.91</v>
      </c>
    </row>
    <row r="20" spans="2:10" x14ac:dyDescent="0.2">
      <c r="B20" s="23" t="s">
        <v>482</v>
      </c>
      <c r="C20" s="23" t="s">
        <v>483</v>
      </c>
      <c r="D20" s="23" t="s">
        <v>426</v>
      </c>
      <c r="E20" s="28">
        <v>1000000</v>
      </c>
      <c r="F20" s="25">
        <v>1028.3499999999999</v>
      </c>
      <c r="G20" s="25">
        <v>6.71</v>
      </c>
      <c r="H20" s="25">
        <v>6.25</v>
      </c>
    </row>
    <row r="21" spans="2:10" x14ac:dyDescent="0.2">
      <c r="B21" s="23" t="s">
        <v>466</v>
      </c>
      <c r="C21" s="23" t="s">
        <v>467</v>
      </c>
      <c r="D21" s="23" t="s">
        <v>426</v>
      </c>
      <c r="E21" s="28">
        <v>1000000</v>
      </c>
      <c r="F21" s="25">
        <v>1002.22</v>
      </c>
      <c r="G21" s="25">
        <v>6.54</v>
      </c>
      <c r="H21" s="25">
        <v>5.0999999999999996</v>
      </c>
    </row>
    <row r="22" spans="2:10" x14ac:dyDescent="0.2">
      <c r="B22" s="23" t="s">
        <v>484</v>
      </c>
      <c r="C22" s="23" t="s">
        <v>485</v>
      </c>
      <c r="D22" s="23" t="s">
        <v>426</v>
      </c>
      <c r="E22" s="28">
        <v>1000000</v>
      </c>
      <c r="F22" s="25">
        <v>997.77</v>
      </c>
      <c r="G22" s="25">
        <v>6.51</v>
      </c>
      <c r="H22" s="25">
        <v>6.21</v>
      </c>
    </row>
    <row r="23" spans="2:10" x14ac:dyDescent="0.2">
      <c r="B23" s="23" t="s">
        <v>468</v>
      </c>
      <c r="C23" s="23" t="s">
        <v>469</v>
      </c>
      <c r="D23" s="23" t="s">
        <v>426</v>
      </c>
      <c r="E23" s="28">
        <v>800000</v>
      </c>
      <c r="F23" s="25">
        <v>800.71</v>
      </c>
      <c r="G23" s="25">
        <v>5.22</v>
      </c>
      <c r="H23" s="25">
        <v>6.21</v>
      </c>
    </row>
    <row r="24" spans="2:10" x14ac:dyDescent="0.2">
      <c r="B24" s="23" t="s">
        <v>486</v>
      </c>
      <c r="C24" s="23" t="s">
        <v>487</v>
      </c>
      <c r="D24" s="23" t="s">
        <v>426</v>
      </c>
      <c r="E24" s="28">
        <v>500000</v>
      </c>
      <c r="F24" s="25">
        <v>558.75</v>
      </c>
      <c r="G24" s="25">
        <v>3.64</v>
      </c>
      <c r="H24" s="25">
        <v>6.52</v>
      </c>
    </row>
    <row r="25" spans="2:10" x14ac:dyDescent="0.2">
      <c r="B25" s="23" t="s">
        <v>433</v>
      </c>
      <c r="C25" s="23" t="s">
        <v>434</v>
      </c>
      <c r="D25" s="23" t="s">
        <v>426</v>
      </c>
      <c r="E25" s="28">
        <v>500000</v>
      </c>
      <c r="F25" s="25">
        <v>541.72</v>
      </c>
      <c r="G25" s="25">
        <v>3.53</v>
      </c>
      <c r="H25" s="25">
        <v>5.95</v>
      </c>
    </row>
    <row r="26" spans="2:10" x14ac:dyDescent="0.2">
      <c r="B26" s="23" t="s">
        <v>456</v>
      </c>
      <c r="C26" s="23" t="s">
        <v>457</v>
      </c>
      <c r="D26" s="23" t="s">
        <v>426</v>
      </c>
      <c r="E26" s="28">
        <v>500000</v>
      </c>
      <c r="F26" s="25">
        <v>539.49</v>
      </c>
      <c r="G26" s="25">
        <v>3.52</v>
      </c>
      <c r="H26" s="25">
        <v>5.8</v>
      </c>
    </row>
    <row r="27" spans="2:10" x14ac:dyDescent="0.2">
      <c r="B27" s="23" t="s">
        <v>441</v>
      </c>
      <c r="C27" s="23" t="s">
        <v>442</v>
      </c>
      <c r="D27" s="23" t="s">
        <v>426</v>
      </c>
      <c r="E27" s="28">
        <v>500000</v>
      </c>
      <c r="F27" s="25">
        <v>536.66</v>
      </c>
      <c r="G27" s="25">
        <v>3.5</v>
      </c>
      <c r="H27" s="25">
        <v>6.59</v>
      </c>
    </row>
    <row r="28" spans="2:10" x14ac:dyDescent="0.2">
      <c r="B28" s="23" t="s">
        <v>435</v>
      </c>
      <c r="C28" s="23" t="s">
        <v>436</v>
      </c>
      <c r="D28" s="23" t="s">
        <v>426</v>
      </c>
      <c r="E28" s="28">
        <v>500000</v>
      </c>
      <c r="F28" s="25">
        <v>531.07000000000005</v>
      </c>
      <c r="G28" s="25">
        <v>3.46</v>
      </c>
      <c r="H28" s="25">
        <v>5.63</v>
      </c>
    </row>
    <row r="29" spans="2:10" x14ac:dyDescent="0.2">
      <c r="B29" s="23" t="s">
        <v>443</v>
      </c>
      <c r="C29" s="23" t="s">
        <v>444</v>
      </c>
      <c r="D29" s="23" t="s">
        <v>426</v>
      </c>
      <c r="E29" s="28">
        <v>500000</v>
      </c>
      <c r="F29" s="25">
        <v>526.69000000000005</v>
      </c>
      <c r="G29" s="25">
        <v>3.43</v>
      </c>
      <c r="H29" s="25">
        <v>6.02</v>
      </c>
    </row>
    <row r="30" spans="2:10" x14ac:dyDescent="0.2">
      <c r="B30" s="23" t="s">
        <v>488</v>
      </c>
      <c r="C30" s="23" t="s">
        <v>489</v>
      </c>
      <c r="D30" s="23" t="s">
        <v>426</v>
      </c>
      <c r="E30" s="28">
        <v>500000</v>
      </c>
      <c r="F30" s="25">
        <v>506.81</v>
      </c>
      <c r="G30" s="25">
        <v>3.3</v>
      </c>
      <c r="H30" s="25">
        <v>6.49</v>
      </c>
    </row>
    <row r="31" spans="2:10" x14ac:dyDescent="0.2">
      <c r="B31" s="23" t="s">
        <v>490</v>
      </c>
      <c r="C31" s="23" t="s">
        <v>491</v>
      </c>
      <c r="D31" s="23" t="s">
        <v>426</v>
      </c>
      <c r="E31" s="28">
        <v>500000</v>
      </c>
      <c r="F31" s="25">
        <v>501.2</v>
      </c>
      <c r="G31" s="25">
        <v>3.27</v>
      </c>
      <c r="H31" s="25">
        <v>6.47</v>
      </c>
    </row>
    <row r="32" spans="2:10" x14ac:dyDescent="0.2">
      <c r="B32" s="52" t="s">
        <v>492</v>
      </c>
      <c r="C32" s="52" t="s">
        <v>493</v>
      </c>
      <c r="D32" s="52" t="s">
        <v>426</v>
      </c>
      <c r="E32" s="53">
        <v>28000</v>
      </c>
      <c r="F32" s="54">
        <v>31.25</v>
      </c>
      <c r="G32" s="54">
        <v>0.2</v>
      </c>
      <c r="H32" s="54">
        <v>5.85</v>
      </c>
    </row>
    <row r="33" spans="2:10" x14ac:dyDescent="0.2">
      <c r="B33" s="55" t="s">
        <v>111</v>
      </c>
      <c r="C33" s="55"/>
      <c r="D33" s="55"/>
      <c r="E33" s="56"/>
      <c r="F33" s="57">
        <f>SUM(F19:F32)</f>
        <v>9587.2100000000009</v>
      </c>
      <c r="G33" s="57">
        <f>SUM(G19:G32)</f>
        <v>62.510000000000005</v>
      </c>
      <c r="H33" s="57"/>
      <c r="I33" s="14"/>
      <c r="J33" s="14"/>
    </row>
    <row r="34" spans="2:10" x14ac:dyDescent="0.2">
      <c r="B34" s="47" t="s">
        <v>112</v>
      </c>
      <c r="C34" s="23"/>
      <c r="D34" s="23"/>
      <c r="E34" s="24"/>
      <c r="F34" s="25"/>
      <c r="G34" s="25"/>
      <c r="H34" s="25"/>
    </row>
    <row r="35" spans="2:10" x14ac:dyDescent="0.2">
      <c r="B35" s="23" t="s">
        <v>112</v>
      </c>
      <c r="C35" s="23"/>
      <c r="D35" s="23"/>
      <c r="E35" s="24"/>
      <c r="F35" s="25">
        <v>351.13</v>
      </c>
      <c r="G35" s="25">
        <v>2.29</v>
      </c>
      <c r="H35" s="25"/>
    </row>
    <row r="36" spans="2:10" x14ac:dyDescent="0.2">
      <c r="B36" s="30" t="s">
        <v>110</v>
      </c>
      <c r="C36" s="30"/>
      <c r="D36" s="30"/>
      <c r="E36" s="31"/>
      <c r="F36" s="32">
        <f>SUM(F34:F35)</f>
        <v>351.13</v>
      </c>
      <c r="G36" s="32">
        <f>SUM(G34:G35)</f>
        <v>2.29</v>
      </c>
      <c r="H36" s="48"/>
      <c r="I36" s="14"/>
      <c r="J36" s="14"/>
    </row>
    <row r="37" spans="2:10" x14ac:dyDescent="0.2">
      <c r="B37" s="34" t="s">
        <v>111</v>
      </c>
      <c r="C37" s="34"/>
      <c r="D37" s="34"/>
      <c r="E37" s="35"/>
      <c r="F37" s="36">
        <f>F36</f>
        <v>351.13</v>
      </c>
      <c r="G37" s="36">
        <f>G36</f>
        <v>2.29</v>
      </c>
      <c r="H37" s="36"/>
      <c r="I37" s="14"/>
      <c r="J37" s="14"/>
    </row>
    <row r="38" spans="2:10" x14ac:dyDescent="0.2">
      <c r="B38" s="44" t="s">
        <v>114</v>
      </c>
      <c r="C38" s="44"/>
      <c r="D38" s="44"/>
      <c r="E38" s="45"/>
      <c r="F38" s="16">
        <f>F39-(+F17+F33+F37)</f>
        <v>350.1200000000008</v>
      </c>
      <c r="G38" s="16">
        <f>G39-(+G17+G33+G37)</f>
        <v>2.2999999999999829</v>
      </c>
      <c r="H38" s="16"/>
      <c r="I38" s="14"/>
      <c r="J38" s="14"/>
    </row>
    <row r="39" spans="2:10" x14ac:dyDescent="0.2">
      <c r="B39" s="44" t="s">
        <v>113</v>
      </c>
      <c r="C39" s="44"/>
      <c r="D39" s="44"/>
      <c r="E39" s="45"/>
      <c r="F39" s="16">
        <v>15336.2</v>
      </c>
      <c r="G39" s="16">
        <v>100</v>
      </c>
      <c r="H39" s="16"/>
      <c r="I39" s="14"/>
      <c r="J39" s="14"/>
    </row>
    <row r="41" spans="2:10" x14ac:dyDescent="0.2">
      <c r="B41" s="14" t="s">
        <v>805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1"/>
  <sheetViews>
    <sheetView workbookViewId="0">
      <selection activeCell="F70" sqref="F70"/>
    </sheetView>
  </sheetViews>
  <sheetFormatPr defaultRowHeight="12" x14ac:dyDescent="0.2"/>
  <cols>
    <col min="1" max="1" width="9.140625" style="1"/>
    <col min="2" max="2" width="61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19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351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494</v>
      </c>
      <c r="C7" s="23" t="s">
        <v>495</v>
      </c>
      <c r="D7" s="23" t="s">
        <v>354</v>
      </c>
      <c r="E7" s="28">
        <v>500</v>
      </c>
      <c r="F7" s="25">
        <v>5165.2</v>
      </c>
      <c r="G7" s="25">
        <v>3.98</v>
      </c>
      <c r="H7" s="25">
        <v>3.91</v>
      </c>
    </row>
    <row r="8" spans="2:8" x14ac:dyDescent="0.2">
      <c r="B8" s="23" t="s">
        <v>380</v>
      </c>
      <c r="C8" s="23" t="s">
        <v>381</v>
      </c>
      <c r="D8" s="23" t="s">
        <v>354</v>
      </c>
      <c r="E8" s="28">
        <v>300</v>
      </c>
      <c r="F8" s="25">
        <v>3166.97</v>
      </c>
      <c r="G8" s="25">
        <v>2.44</v>
      </c>
      <c r="H8" s="25">
        <v>4.47</v>
      </c>
    </row>
    <row r="9" spans="2:8" x14ac:dyDescent="0.2">
      <c r="B9" s="23" t="s">
        <v>496</v>
      </c>
      <c r="C9" s="23" t="s">
        <v>497</v>
      </c>
      <c r="D9" s="23" t="s">
        <v>354</v>
      </c>
      <c r="E9" s="28">
        <v>300</v>
      </c>
      <c r="F9" s="25">
        <v>3152.43</v>
      </c>
      <c r="G9" s="25">
        <v>2.4300000000000002</v>
      </c>
      <c r="H9" s="25">
        <v>4.45</v>
      </c>
    </row>
    <row r="10" spans="2:8" x14ac:dyDescent="0.2">
      <c r="B10" s="23" t="s">
        <v>498</v>
      </c>
      <c r="C10" s="23" t="s">
        <v>499</v>
      </c>
      <c r="D10" s="23" t="s">
        <v>354</v>
      </c>
      <c r="E10" s="28">
        <v>250</v>
      </c>
      <c r="F10" s="25">
        <v>3122.69</v>
      </c>
      <c r="G10" s="25">
        <v>2.41</v>
      </c>
      <c r="H10" s="25">
        <v>3</v>
      </c>
    </row>
    <row r="11" spans="2:8" x14ac:dyDescent="0.2">
      <c r="B11" s="23" t="s">
        <v>500</v>
      </c>
      <c r="C11" s="23" t="s">
        <v>501</v>
      </c>
      <c r="D11" s="23" t="s">
        <v>354</v>
      </c>
      <c r="E11" s="28">
        <v>250</v>
      </c>
      <c r="F11" s="25">
        <v>2634.02</v>
      </c>
      <c r="G11" s="25">
        <v>2.0299999999999998</v>
      </c>
      <c r="H11" s="25">
        <v>3.84</v>
      </c>
    </row>
    <row r="12" spans="2:8" x14ac:dyDescent="0.2">
      <c r="B12" s="23" t="s">
        <v>502</v>
      </c>
      <c r="C12" s="23" t="s">
        <v>503</v>
      </c>
      <c r="D12" s="23" t="s">
        <v>354</v>
      </c>
      <c r="E12" s="28">
        <v>250</v>
      </c>
      <c r="F12" s="25">
        <v>2589.89</v>
      </c>
      <c r="G12" s="25">
        <v>2</v>
      </c>
      <c r="H12" s="25">
        <v>3.73</v>
      </c>
    </row>
    <row r="13" spans="2:8" x14ac:dyDescent="0.2">
      <c r="B13" s="23" t="s">
        <v>504</v>
      </c>
      <c r="C13" s="23" t="s">
        <v>505</v>
      </c>
      <c r="D13" s="23" t="s">
        <v>367</v>
      </c>
      <c r="E13" s="28">
        <v>250</v>
      </c>
      <c r="F13" s="25">
        <v>2577.6999999999998</v>
      </c>
      <c r="G13" s="25">
        <v>1.99</v>
      </c>
      <c r="H13" s="25">
        <v>4.01</v>
      </c>
    </row>
    <row r="14" spans="2:8" x14ac:dyDescent="0.2">
      <c r="B14" s="23" t="s">
        <v>506</v>
      </c>
      <c r="C14" s="23" t="s">
        <v>507</v>
      </c>
      <c r="D14" s="23" t="s">
        <v>354</v>
      </c>
      <c r="E14" s="28">
        <v>250</v>
      </c>
      <c r="F14" s="25">
        <v>2564.67</v>
      </c>
      <c r="G14" s="25">
        <v>1.98</v>
      </c>
      <c r="H14" s="25">
        <v>3.8</v>
      </c>
    </row>
    <row r="15" spans="2:8" x14ac:dyDescent="0.2">
      <c r="B15" s="23" t="s">
        <v>508</v>
      </c>
      <c r="C15" s="23" t="s">
        <v>509</v>
      </c>
      <c r="D15" s="23" t="s">
        <v>354</v>
      </c>
      <c r="E15" s="28">
        <v>250</v>
      </c>
      <c r="F15" s="25">
        <v>2564.11</v>
      </c>
      <c r="G15" s="25">
        <v>1.98</v>
      </c>
      <c r="H15" s="25">
        <v>3.85</v>
      </c>
    </row>
    <row r="16" spans="2:8" x14ac:dyDescent="0.2">
      <c r="B16" s="23" t="s">
        <v>368</v>
      </c>
      <c r="C16" s="23" t="s">
        <v>369</v>
      </c>
      <c r="D16" s="23" t="s">
        <v>354</v>
      </c>
      <c r="E16" s="28">
        <v>250</v>
      </c>
      <c r="F16" s="25">
        <v>2562.29</v>
      </c>
      <c r="G16" s="25">
        <v>1.97</v>
      </c>
      <c r="H16" s="25">
        <v>3.86</v>
      </c>
    </row>
    <row r="17" spans="2:10" x14ac:dyDescent="0.2">
      <c r="B17" s="23" t="s">
        <v>510</v>
      </c>
      <c r="C17" s="23" t="s">
        <v>511</v>
      </c>
      <c r="D17" s="23" t="s">
        <v>367</v>
      </c>
      <c r="E17" s="28">
        <v>250</v>
      </c>
      <c r="F17" s="25">
        <v>2539.0700000000002</v>
      </c>
      <c r="G17" s="25">
        <v>1.96</v>
      </c>
      <c r="H17" s="25">
        <v>3.88</v>
      </c>
    </row>
    <row r="18" spans="2:10" x14ac:dyDescent="0.2">
      <c r="B18" s="23" t="s">
        <v>361</v>
      </c>
      <c r="C18" s="23" t="s">
        <v>362</v>
      </c>
      <c r="D18" s="23" t="s">
        <v>354</v>
      </c>
      <c r="E18" s="28">
        <v>250</v>
      </c>
      <c r="F18" s="25">
        <v>2507.89</v>
      </c>
      <c r="G18" s="25">
        <v>1.93</v>
      </c>
      <c r="H18" s="25">
        <v>3.07</v>
      </c>
    </row>
    <row r="19" spans="2:10" x14ac:dyDescent="0.2">
      <c r="B19" s="23" t="s">
        <v>363</v>
      </c>
      <c r="C19" s="23" t="s">
        <v>364</v>
      </c>
      <c r="D19" s="23" t="s">
        <v>354</v>
      </c>
      <c r="E19" s="28">
        <v>200</v>
      </c>
      <c r="F19" s="25">
        <v>2105.88</v>
      </c>
      <c r="G19" s="25">
        <v>1.62</v>
      </c>
      <c r="H19" s="25">
        <v>4.26</v>
      </c>
    </row>
    <row r="20" spans="2:10" x14ac:dyDescent="0.2">
      <c r="B20" s="23" t="s">
        <v>512</v>
      </c>
      <c r="C20" s="23" t="s">
        <v>513</v>
      </c>
      <c r="D20" s="23" t="s">
        <v>354</v>
      </c>
      <c r="E20" s="28">
        <v>200</v>
      </c>
      <c r="F20" s="25">
        <v>2057.48</v>
      </c>
      <c r="G20" s="25">
        <v>1.59</v>
      </c>
      <c r="H20" s="25">
        <v>3.96</v>
      </c>
    </row>
    <row r="21" spans="2:10" x14ac:dyDescent="0.2">
      <c r="B21" s="23" t="s">
        <v>352</v>
      </c>
      <c r="C21" s="23" t="s">
        <v>353</v>
      </c>
      <c r="D21" s="23" t="s">
        <v>354</v>
      </c>
      <c r="E21" s="28">
        <v>150</v>
      </c>
      <c r="F21" s="25">
        <v>1578.86</v>
      </c>
      <c r="G21" s="25">
        <v>1.22</v>
      </c>
      <c r="H21" s="25">
        <v>4.43</v>
      </c>
    </row>
    <row r="22" spans="2:10" x14ac:dyDescent="0.2">
      <c r="B22" s="23" t="s">
        <v>514</v>
      </c>
      <c r="C22" s="23" t="s">
        <v>515</v>
      </c>
      <c r="D22" s="23" t="s">
        <v>367</v>
      </c>
      <c r="E22" s="28">
        <v>150</v>
      </c>
      <c r="F22" s="25">
        <v>1572.39</v>
      </c>
      <c r="G22" s="25">
        <v>1.21</v>
      </c>
      <c r="H22" s="25">
        <v>3.96</v>
      </c>
    </row>
    <row r="23" spans="2:10" x14ac:dyDescent="0.2">
      <c r="B23" s="23" t="s">
        <v>516</v>
      </c>
      <c r="C23" s="23" t="s">
        <v>517</v>
      </c>
      <c r="D23" s="23" t="s">
        <v>354</v>
      </c>
      <c r="E23" s="28">
        <v>400</v>
      </c>
      <c r="F23" s="25">
        <v>1311.71</v>
      </c>
      <c r="G23" s="25">
        <v>1.01</v>
      </c>
      <c r="H23" s="25">
        <v>4.8099999999999996</v>
      </c>
    </row>
    <row r="24" spans="2:10" x14ac:dyDescent="0.2">
      <c r="B24" s="23" t="s">
        <v>518</v>
      </c>
      <c r="C24" s="23" t="s">
        <v>519</v>
      </c>
      <c r="D24" s="23" t="s">
        <v>354</v>
      </c>
      <c r="E24" s="28">
        <v>100</v>
      </c>
      <c r="F24" s="25">
        <v>1056.4000000000001</v>
      </c>
      <c r="G24" s="25">
        <v>0.81</v>
      </c>
      <c r="H24" s="25">
        <v>3.97</v>
      </c>
    </row>
    <row r="25" spans="2:10" x14ac:dyDescent="0.2">
      <c r="B25" s="23" t="s">
        <v>520</v>
      </c>
      <c r="C25" s="23" t="s">
        <v>521</v>
      </c>
      <c r="D25" s="23" t="s">
        <v>354</v>
      </c>
      <c r="E25" s="28">
        <v>100</v>
      </c>
      <c r="F25" s="25">
        <v>1045.7</v>
      </c>
      <c r="G25" s="25">
        <v>0.81</v>
      </c>
      <c r="H25" s="25">
        <v>4.7300000000000004</v>
      </c>
    </row>
    <row r="26" spans="2:10" x14ac:dyDescent="0.2">
      <c r="B26" s="23" t="s">
        <v>355</v>
      </c>
      <c r="C26" s="23" t="s">
        <v>356</v>
      </c>
      <c r="D26" s="23" t="s">
        <v>354</v>
      </c>
      <c r="E26" s="28">
        <v>100</v>
      </c>
      <c r="F26" s="25">
        <v>1002.5</v>
      </c>
      <c r="G26" s="25">
        <v>0.77</v>
      </c>
      <c r="H26" s="25">
        <v>3.06</v>
      </c>
    </row>
    <row r="27" spans="2:10" x14ac:dyDescent="0.2">
      <c r="B27" s="23" t="s">
        <v>522</v>
      </c>
      <c r="C27" s="23" t="s">
        <v>523</v>
      </c>
      <c r="D27" s="23" t="s">
        <v>354</v>
      </c>
      <c r="E27" s="28">
        <v>50</v>
      </c>
      <c r="F27" s="25">
        <v>528.79</v>
      </c>
      <c r="G27" s="25">
        <v>0.41</v>
      </c>
      <c r="H27" s="25">
        <v>3.79</v>
      </c>
    </row>
    <row r="28" spans="2:10" x14ac:dyDescent="0.2">
      <c r="B28" s="23" t="s">
        <v>524</v>
      </c>
      <c r="C28" s="23" t="s">
        <v>525</v>
      </c>
      <c r="D28" s="23" t="s">
        <v>354</v>
      </c>
      <c r="E28" s="28">
        <v>50</v>
      </c>
      <c r="F28" s="25">
        <v>526.85</v>
      </c>
      <c r="G28" s="25">
        <v>0.41</v>
      </c>
      <c r="H28" s="25">
        <v>4.47</v>
      </c>
    </row>
    <row r="29" spans="2:10" x14ac:dyDescent="0.2">
      <c r="B29" s="23" t="s">
        <v>526</v>
      </c>
      <c r="C29" s="23" t="s">
        <v>527</v>
      </c>
      <c r="D29" s="23" t="s">
        <v>354</v>
      </c>
      <c r="E29" s="28">
        <v>50</v>
      </c>
      <c r="F29" s="25">
        <v>525.05999999999995</v>
      </c>
      <c r="G29" s="25">
        <v>0.4</v>
      </c>
      <c r="H29" s="25">
        <v>4.03</v>
      </c>
    </row>
    <row r="30" spans="2:10" x14ac:dyDescent="0.2">
      <c r="B30" s="23" t="s">
        <v>528</v>
      </c>
      <c r="C30" s="23" t="s">
        <v>529</v>
      </c>
      <c r="D30" s="23" t="s">
        <v>354</v>
      </c>
      <c r="E30" s="28">
        <v>50</v>
      </c>
      <c r="F30" s="25">
        <v>511.52</v>
      </c>
      <c r="G30" s="25">
        <v>0.39</v>
      </c>
      <c r="H30" s="25">
        <v>3.91</v>
      </c>
    </row>
    <row r="31" spans="2:10" x14ac:dyDescent="0.2">
      <c r="B31" s="30" t="s">
        <v>110</v>
      </c>
      <c r="C31" s="30"/>
      <c r="D31" s="30"/>
      <c r="E31" s="31"/>
      <c r="F31" s="32">
        <f>SUM(F6:F30)</f>
        <v>48970.069999999992</v>
      </c>
      <c r="G31" s="32">
        <f>SUM(G6:G30)</f>
        <v>37.749999999999993</v>
      </c>
      <c r="H31" s="48"/>
      <c r="I31" s="14"/>
      <c r="J31" s="14"/>
    </row>
    <row r="32" spans="2:10" x14ac:dyDescent="0.2">
      <c r="B32" s="49" t="s">
        <v>111</v>
      </c>
      <c r="C32" s="49"/>
      <c r="D32" s="49"/>
      <c r="E32" s="50"/>
      <c r="F32" s="51">
        <f>F31</f>
        <v>48970.069999999992</v>
      </c>
      <c r="G32" s="51">
        <f>G31</f>
        <v>37.749999999999993</v>
      </c>
      <c r="H32" s="51"/>
      <c r="I32" s="14"/>
      <c r="J32" s="14"/>
    </row>
    <row r="33" spans="2:10" x14ac:dyDescent="0.2">
      <c r="B33" s="47" t="s">
        <v>451</v>
      </c>
      <c r="C33" s="23"/>
      <c r="D33" s="23"/>
      <c r="E33" s="24"/>
      <c r="F33" s="25"/>
      <c r="G33" s="25"/>
      <c r="H33" s="25"/>
    </row>
    <row r="34" spans="2:10" x14ac:dyDescent="0.2">
      <c r="B34" s="47" t="s">
        <v>530</v>
      </c>
      <c r="C34" s="23"/>
      <c r="D34" s="23"/>
      <c r="E34" s="24"/>
      <c r="F34" s="25"/>
      <c r="G34" s="25"/>
      <c r="H34" s="25"/>
    </row>
    <row r="35" spans="2:10" x14ac:dyDescent="0.2">
      <c r="B35" s="23" t="s">
        <v>531</v>
      </c>
      <c r="C35" s="23" t="s">
        <v>532</v>
      </c>
      <c r="D35" s="23" t="s">
        <v>533</v>
      </c>
      <c r="E35" s="28">
        <v>10000</v>
      </c>
      <c r="F35" s="25">
        <v>9838.1200000000008</v>
      </c>
      <c r="G35" s="25">
        <v>7.58</v>
      </c>
      <c r="H35" s="25">
        <v>3.3</v>
      </c>
    </row>
    <row r="36" spans="2:10" x14ac:dyDescent="0.2">
      <c r="B36" s="23" t="s">
        <v>534</v>
      </c>
      <c r="C36" s="23" t="s">
        <v>535</v>
      </c>
      <c r="D36" s="23" t="s">
        <v>533</v>
      </c>
      <c r="E36" s="28">
        <v>7500</v>
      </c>
      <c r="F36" s="25">
        <v>7366.14</v>
      </c>
      <c r="G36" s="25">
        <v>5.68</v>
      </c>
      <c r="H36" s="25">
        <v>3.35</v>
      </c>
    </row>
    <row r="37" spans="2:10" x14ac:dyDescent="0.2">
      <c r="B37" s="23" t="s">
        <v>536</v>
      </c>
      <c r="C37" s="23" t="s">
        <v>537</v>
      </c>
      <c r="D37" s="23" t="s">
        <v>538</v>
      </c>
      <c r="E37" s="28">
        <v>7500</v>
      </c>
      <c r="F37" s="25">
        <v>7265.18</v>
      </c>
      <c r="G37" s="25">
        <v>5.6</v>
      </c>
      <c r="H37" s="25">
        <v>3.63</v>
      </c>
    </row>
    <row r="38" spans="2:10" x14ac:dyDescent="0.2">
      <c r="B38" s="23" t="s">
        <v>539</v>
      </c>
      <c r="C38" s="23" t="s">
        <v>540</v>
      </c>
      <c r="D38" s="23" t="s">
        <v>538</v>
      </c>
      <c r="E38" s="28">
        <v>5000</v>
      </c>
      <c r="F38" s="25">
        <v>4991.8599999999997</v>
      </c>
      <c r="G38" s="25">
        <v>3.85</v>
      </c>
      <c r="H38" s="25">
        <v>2.83</v>
      </c>
    </row>
    <row r="39" spans="2:10" x14ac:dyDescent="0.2">
      <c r="B39" s="23" t="s">
        <v>541</v>
      </c>
      <c r="C39" s="23" t="s">
        <v>542</v>
      </c>
      <c r="D39" s="23" t="s">
        <v>538</v>
      </c>
      <c r="E39" s="28">
        <v>2500</v>
      </c>
      <c r="F39" s="25">
        <v>2479.36</v>
      </c>
      <c r="G39" s="25">
        <v>1.91</v>
      </c>
      <c r="H39" s="25">
        <v>3.07</v>
      </c>
    </row>
    <row r="40" spans="2:10" x14ac:dyDescent="0.2">
      <c r="B40" s="23" t="s">
        <v>543</v>
      </c>
      <c r="C40" s="23" t="s">
        <v>544</v>
      </c>
      <c r="D40" s="23" t="s">
        <v>538</v>
      </c>
      <c r="E40" s="28">
        <v>500</v>
      </c>
      <c r="F40" s="25">
        <v>497.15</v>
      </c>
      <c r="G40" s="25">
        <v>0.38</v>
      </c>
      <c r="H40" s="25">
        <v>2.87</v>
      </c>
    </row>
    <row r="41" spans="2:10" x14ac:dyDescent="0.2">
      <c r="B41" s="47" t="s">
        <v>110</v>
      </c>
      <c r="C41" s="47"/>
      <c r="D41" s="47"/>
      <c r="E41" s="59"/>
      <c r="F41" s="57">
        <f>SUM(F34:F40)</f>
        <v>32437.810000000005</v>
      </c>
      <c r="G41" s="57">
        <f>SUM(G34:G40)</f>
        <v>25</v>
      </c>
      <c r="H41" s="60"/>
      <c r="I41" s="14"/>
      <c r="J41" s="14"/>
    </row>
    <row r="42" spans="2:10" x14ac:dyDescent="0.2">
      <c r="B42" s="47" t="s">
        <v>545</v>
      </c>
      <c r="C42" s="23"/>
      <c r="D42" s="23"/>
      <c r="E42" s="24"/>
      <c r="F42" s="25"/>
      <c r="G42" s="25"/>
      <c r="H42" s="25"/>
    </row>
    <row r="43" spans="2:10" x14ac:dyDescent="0.2">
      <c r="B43" s="23" t="s">
        <v>546</v>
      </c>
      <c r="C43" s="23" t="s">
        <v>547</v>
      </c>
      <c r="D43" s="23" t="s">
        <v>538</v>
      </c>
      <c r="E43" s="28">
        <v>800</v>
      </c>
      <c r="F43" s="25">
        <v>3965.74</v>
      </c>
      <c r="G43" s="25">
        <v>3.06</v>
      </c>
      <c r="H43" s="25">
        <v>3.18</v>
      </c>
    </row>
    <row r="44" spans="2:10" x14ac:dyDescent="0.2">
      <c r="B44" s="23" t="s">
        <v>548</v>
      </c>
      <c r="C44" s="23" t="s">
        <v>549</v>
      </c>
      <c r="D44" s="23" t="s">
        <v>538</v>
      </c>
      <c r="E44" s="28">
        <v>500</v>
      </c>
      <c r="F44" s="25">
        <v>2480.61</v>
      </c>
      <c r="G44" s="25">
        <v>1.91</v>
      </c>
      <c r="H44" s="25">
        <v>3.13</v>
      </c>
    </row>
    <row r="45" spans="2:10" x14ac:dyDescent="0.2">
      <c r="B45" s="47" t="s">
        <v>110</v>
      </c>
      <c r="C45" s="47"/>
      <c r="D45" s="47"/>
      <c r="E45" s="59"/>
      <c r="F45" s="57">
        <f>SUM(F42:F44)</f>
        <v>6446.35</v>
      </c>
      <c r="G45" s="57">
        <f>SUM(G42:G44)</f>
        <v>4.97</v>
      </c>
      <c r="H45" s="60"/>
      <c r="I45" s="14"/>
      <c r="J45" s="14"/>
    </row>
    <row r="46" spans="2:10" x14ac:dyDescent="0.2">
      <c r="B46" s="47" t="s">
        <v>452</v>
      </c>
      <c r="C46" s="23"/>
      <c r="D46" s="23"/>
      <c r="E46" s="24"/>
      <c r="F46" s="25"/>
      <c r="G46" s="25"/>
      <c r="H46" s="25"/>
    </row>
    <row r="47" spans="2:10" x14ac:dyDescent="0.2">
      <c r="B47" s="23" t="s">
        <v>550</v>
      </c>
      <c r="C47" s="23" t="s">
        <v>551</v>
      </c>
      <c r="D47" s="23" t="s">
        <v>455</v>
      </c>
      <c r="E47" s="28">
        <v>5000000</v>
      </c>
      <c r="F47" s="25">
        <v>4996.55</v>
      </c>
      <c r="G47" s="25">
        <v>3.85</v>
      </c>
      <c r="H47" s="25">
        <v>2.8</v>
      </c>
    </row>
    <row r="48" spans="2:10" x14ac:dyDescent="0.2">
      <c r="B48" s="23" t="s">
        <v>552</v>
      </c>
      <c r="C48" s="23" t="s">
        <v>553</v>
      </c>
      <c r="D48" s="23" t="s">
        <v>455</v>
      </c>
      <c r="E48" s="28">
        <v>5000000</v>
      </c>
      <c r="F48" s="25">
        <v>4893.03</v>
      </c>
      <c r="G48" s="25">
        <v>3.77</v>
      </c>
      <c r="H48" s="25">
        <v>3.32</v>
      </c>
    </row>
    <row r="49" spans="2:10" x14ac:dyDescent="0.2">
      <c r="B49" s="23" t="s">
        <v>554</v>
      </c>
      <c r="C49" s="23" t="s">
        <v>555</v>
      </c>
      <c r="D49" s="23" t="s">
        <v>455</v>
      </c>
      <c r="E49" s="28">
        <v>4000000</v>
      </c>
      <c r="F49" s="25">
        <v>3916.86</v>
      </c>
      <c r="G49" s="25">
        <v>3.02</v>
      </c>
      <c r="H49" s="25">
        <v>3.32</v>
      </c>
    </row>
    <row r="50" spans="2:10" x14ac:dyDescent="0.2">
      <c r="B50" s="23" t="s">
        <v>556</v>
      </c>
      <c r="C50" s="23" t="s">
        <v>557</v>
      </c>
      <c r="D50" s="23" t="s">
        <v>455</v>
      </c>
      <c r="E50" s="28">
        <v>2500000</v>
      </c>
      <c r="F50" s="25">
        <v>2491.29</v>
      </c>
      <c r="G50" s="25">
        <v>1.92</v>
      </c>
      <c r="H50" s="25">
        <v>2.9</v>
      </c>
    </row>
    <row r="51" spans="2:10" x14ac:dyDescent="0.2">
      <c r="B51" s="23" t="s">
        <v>558</v>
      </c>
      <c r="C51" s="23" t="s">
        <v>559</v>
      </c>
      <c r="D51" s="23" t="s">
        <v>455</v>
      </c>
      <c r="E51" s="28">
        <v>2500000</v>
      </c>
      <c r="F51" s="25">
        <v>2472.52</v>
      </c>
      <c r="G51" s="25">
        <v>1.91</v>
      </c>
      <c r="H51" s="25">
        <v>3.17</v>
      </c>
    </row>
    <row r="52" spans="2:10" x14ac:dyDescent="0.2">
      <c r="B52" s="23" t="s">
        <v>560</v>
      </c>
      <c r="C52" s="23" t="s">
        <v>561</v>
      </c>
      <c r="D52" s="23" t="s">
        <v>455</v>
      </c>
      <c r="E52" s="28">
        <v>2500000</v>
      </c>
      <c r="F52" s="25">
        <v>2467.8200000000002</v>
      </c>
      <c r="G52" s="25">
        <v>1.9</v>
      </c>
      <c r="H52" s="25">
        <v>3.19</v>
      </c>
    </row>
    <row r="53" spans="2:10" x14ac:dyDescent="0.2">
      <c r="B53" s="23" t="s">
        <v>562</v>
      </c>
      <c r="C53" s="23" t="s">
        <v>563</v>
      </c>
      <c r="D53" s="23" t="s">
        <v>455</v>
      </c>
      <c r="E53" s="28">
        <v>2500000</v>
      </c>
      <c r="F53" s="25">
        <v>2465.79</v>
      </c>
      <c r="G53" s="25">
        <v>1.9</v>
      </c>
      <c r="H53" s="25">
        <v>3.23</v>
      </c>
    </row>
    <row r="54" spans="2:10" x14ac:dyDescent="0.2">
      <c r="B54" s="30" t="s">
        <v>110</v>
      </c>
      <c r="C54" s="30"/>
      <c r="D54" s="30"/>
      <c r="E54" s="31"/>
      <c r="F54" s="32">
        <f>SUM(F46:F53)</f>
        <v>23703.86</v>
      </c>
      <c r="G54" s="32">
        <f>SUM(G46:G53)</f>
        <v>18.27</v>
      </c>
      <c r="H54" s="48"/>
      <c r="I54" s="14"/>
      <c r="J54" s="14"/>
    </row>
    <row r="55" spans="2:10" x14ac:dyDescent="0.2">
      <c r="B55" s="49" t="s">
        <v>111</v>
      </c>
      <c r="C55" s="49"/>
      <c r="D55" s="49"/>
      <c r="E55" s="50"/>
      <c r="F55" s="51">
        <f>F41+F45+F54</f>
        <v>62588.020000000004</v>
      </c>
      <c r="G55" s="51">
        <f>G41+G45+G54</f>
        <v>48.239999999999995</v>
      </c>
      <c r="H55" s="51"/>
      <c r="I55" s="14"/>
      <c r="J55" s="14"/>
    </row>
    <row r="56" spans="2:10" x14ac:dyDescent="0.2">
      <c r="B56" s="47" t="s">
        <v>423</v>
      </c>
      <c r="C56" s="23"/>
      <c r="D56" s="23"/>
      <c r="E56" s="24"/>
      <c r="F56" s="25"/>
      <c r="G56" s="25"/>
      <c r="H56" s="25"/>
    </row>
    <row r="57" spans="2:10" x14ac:dyDescent="0.2">
      <c r="B57" s="23" t="s">
        <v>564</v>
      </c>
      <c r="C57" s="23" t="s">
        <v>565</v>
      </c>
      <c r="D57" s="23" t="s">
        <v>426</v>
      </c>
      <c r="E57" s="28">
        <v>6500000</v>
      </c>
      <c r="F57" s="25">
        <v>6614.34</v>
      </c>
      <c r="G57" s="25">
        <v>5.0999999999999996</v>
      </c>
      <c r="H57" s="25">
        <v>3.47</v>
      </c>
    </row>
    <row r="58" spans="2:10" x14ac:dyDescent="0.2">
      <c r="B58" s="23" t="s">
        <v>566</v>
      </c>
      <c r="C58" s="23" t="s">
        <v>567</v>
      </c>
      <c r="D58" s="23" t="s">
        <v>426</v>
      </c>
      <c r="E58" s="28">
        <v>5000000</v>
      </c>
      <c r="F58" s="25">
        <v>5006.4799999999996</v>
      </c>
      <c r="G58" s="25">
        <v>3.86</v>
      </c>
      <c r="H58" s="25">
        <v>3.25</v>
      </c>
    </row>
    <row r="59" spans="2:10" x14ac:dyDescent="0.2">
      <c r="B59" s="23" t="s">
        <v>568</v>
      </c>
      <c r="C59" s="23" t="s">
        <v>569</v>
      </c>
      <c r="D59" s="23" t="s">
        <v>426</v>
      </c>
      <c r="E59" s="28">
        <v>2000000</v>
      </c>
      <c r="F59" s="25">
        <v>2189.9499999999998</v>
      </c>
      <c r="G59" s="25">
        <v>1.69</v>
      </c>
      <c r="H59" s="25">
        <v>4.3099999999999996</v>
      </c>
    </row>
    <row r="60" spans="2:10" x14ac:dyDescent="0.2">
      <c r="B60" s="23" t="s">
        <v>570</v>
      </c>
      <c r="C60" s="23" t="s">
        <v>571</v>
      </c>
      <c r="D60" s="23" t="s">
        <v>426</v>
      </c>
      <c r="E60" s="28">
        <v>1000000</v>
      </c>
      <c r="F60" s="25">
        <v>1084.5</v>
      </c>
      <c r="G60" s="25">
        <v>0.84</v>
      </c>
      <c r="H60" s="25">
        <v>4.42</v>
      </c>
    </row>
    <row r="61" spans="2:10" x14ac:dyDescent="0.2">
      <c r="B61" s="52" t="s">
        <v>572</v>
      </c>
      <c r="C61" s="52" t="s">
        <v>573</v>
      </c>
      <c r="D61" s="52" t="s">
        <v>426</v>
      </c>
      <c r="E61" s="53">
        <v>700000</v>
      </c>
      <c r="F61" s="54">
        <v>738.07</v>
      </c>
      <c r="G61" s="54">
        <v>0.56999999999999995</v>
      </c>
      <c r="H61" s="54">
        <v>3.54</v>
      </c>
    </row>
    <row r="62" spans="2:10" x14ac:dyDescent="0.2">
      <c r="B62" s="55" t="s">
        <v>111</v>
      </c>
      <c r="C62" s="55"/>
      <c r="D62" s="55"/>
      <c r="E62" s="56"/>
      <c r="F62" s="57">
        <f>SUM(F57:F61)</f>
        <v>15633.34</v>
      </c>
      <c r="G62" s="57">
        <f>SUM(G57:G61)</f>
        <v>12.059999999999999</v>
      </c>
      <c r="H62" s="57"/>
      <c r="I62" s="14"/>
      <c r="J62" s="14"/>
    </row>
    <row r="63" spans="2:10" x14ac:dyDescent="0.2">
      <c r="B63" s="47" t="s">
        <v>112</v>
      </c>
      <c r="C63" s="23"/>
      <c r="D63" s="23"/>
      <c r="E63" s="24"/>
      <c r="F63" s="25"/>
      <c r="G63" s="25"/>
      <c r="H63" s="25"/>
    </row>
    <row r="64" spans="2:10" x14ac:dyDescent="0.2">
      <c r="B64" s="23" t="s">
        <v>112</v>
      </c>
      <c r="C64" s="23"/>
      <c r="D64" s="23"/>
      <c r="E64" s="24"/>
      <c r="F64" s="25">
        <v>2938.29</v>
      </c>
      <c r="G64" s="25">
        <v>2.2599999999999998</v>
      </c>
      <c r="H64" s="25"/>
    </row>
    <row r="65" spans="2:10" x14ac:dyDescent="0.2">
      <c r="B65" s="30" t="s">
        <v>110</v>
      </c>
      <c r="C65" s="30"/>
      <c r="D65" s="30"/>
      <c r="E65" s="31"/>
      <c r="F65" s="32">
        <f>SUM(F63:F64)</f>
        <v>2938.29</v>
      </c>
      <c r="G65" s="32">
        <f>SUM(G63:G64)</f>
        <v>2.2599999999999998</v>
      </c>
      <c r="H65" s="48"/>
      <c r="I65" s="14"/>
      <c r="J65" s="14"/>
    </row>
    <row r="66" spans="2:10" x14ac:dyDescent="0.2">
      <c r="B66" s="34" t="s">
        <v>111</v>
      </c>
      <c r="C66" s="34"/>
      <c r="D66" s="34"/>
      <c r="E66" s="35"/>
      <c r="F66" s="36">
        <f>F65</f>
        <v>2938.29</v>
      </c>
      <c r="G66" s="36">
        <f>G65</f>
        <v>2.2599999999999998</v>
      </c>
      <c r="H66" s="36"/>
      <c r="I66" s="14"/>
      <c r="J66" s="14"/>
    </row>
    <row r="67" spans="2:10" x14ac:dyDescent="0.2">
      <c r="B67" s="44" t="s">
        <v>114</v>
      </c>
      <c r="C67" s="44"/>
      <c r="D67" s="44"/>
      <c r="E67" s="45"/>
      <c r="F67" s="16">
        <f>F68-(+F32+F55+F62+F66)</f>
        <v>2152.6800000000076</v>
      </c>
      <c r="G67" s="16">
        <f>G68-(+G32+G55+G62+G66)</f>
        <v>-0.30999999999998806</v>
      </c>
      <c r="H67" s="16"/>
      <c r="I67" s="14"/>
      <c r="J67" s="14"/>
    </row>
    <row r="68" spans="2:10" x14ac:dyDescent="0.2">
      <c r="B68" s="44" t="s">
        <v>113</v>
      </c>
      <c r="C68" s="44"/>
      <c r="D68" s="44"/>
      <c r="E68" s="45"/>
      <c r="F68" s="16">
        <v>132282.4</v>
      </c>
      <c r="G68" s="16">
        <v>100</v>
      </c>
      <c r="H68" s="16"/>
      <c r="I68" s="14"/>
      <c r="J68" s="14"/>
    </row>
    <row r="70" spans="2:10" x14ac:dyDescent="0.2">
      <c r="B70" s="14" t="s">
        <v>805</v>
      </c>
    </row>
    <row r="71" spans="2:10" x14ac:dyDescent="0.2">
      <c r="B71" s="14" t="s">
        <v>574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8"/>
  <sheetViews>
    <sheetView workbookViewId="0">
      <selection activeCell="F40" sqref="F40"/>
    </sheetView>
  </sheetViews>
  <sheetFormatPr defaultRowHeight="12" x14ac:dyDescent="0.2"/>
  <cols>
    <col min="1" max="1" width="9.140625" style="1"/>
    <col min="2" max="2" width="61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20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115</v>
      </c>
      <c r="C7" s="23" t="s">
        <v>116</v>
      </c>
      <c r="D7" s="23" t="s">
        <v>44</v>
      </c>
      <c r="E7" s="28">
        <v>40032</v>
      </c>
      <c r="F7" s="25">
        <v>576.79999999999995</v>
      </c>
      <c r="G7" s="25">
        <v>1.7</v>
      </c>
      <c r="H7" s="26"/>
    </row>
    <row r="8" spans="2:8" x14ac:dyDescent="0.2">
      <c r="B8" s="27" t="s">
        <v>120</v>
      </c>
      <c r="C8" s="23" t="s">
        <v>121</v>
      </c>
      <c r="D8" s="23" t="s">
        <v>122</v>
      </c>
      <c r="E8" s="28">
        <v>11000</v>
      </c>
      <c r="F8" s="25">
        <v>539.97</v>
      </c>
      <c r="G8" s="25">
        <v>1.59</v>
      </c>
      <c r="H8" s="26"/>
    </row>
    <row r="9" spans="2:8" x14ac:dyDescent="0.2">
      <c r="B9" s="27" t="s">
        <v>117</v>
      </c>
      <c r="C9" s="23" t="s">
        <v>118</v>
      </c>
      <c r="D9" s="23" t="s">
        <v>119</v>
      </c>
      <c r="E9" s="28">
        <v>36920</v>
      </c>
      <c r="F9" s="25">
        <v>406.12</v>
      </c>
      <c r="G9" s="25">
        <v>1.2</v>
      </c>
      <c r="H9" s="26"/>
    </row>
    <row r="10" spans="2:8" x14ac:dyDescent="0.2">
      <c r="B10" s="27" t="s">
        <v>36</v>
      </c>
      <c r="C10" s="23" t="s">
        <v>37</v>
      </c>
      <c r="D10" s="23" t="s">
        <v>38</v>
      </c>
      <c r="E10" s="28">
        <v>17154</v>
      </c>
      <c r="F10" s="25">
        <v>331.04</v>
      </c>
      <c r="G10" s="25">
        <v>0.97</v>
      </c>
      <c r="H10" s="26"/>
    </row>
    <row r="11" spans="2:8" x14ac:dyDescent="0.2">
      <c r="B11" s="27" t="s">
        <v>127</v>
      </c>
      <c r="C11" s="23" t="s">
        <v>128</v>
      </c>
      <c r="D11" s="23" t="s">
        <v>44</v>
      </c>
      <c r="E11" s="28">
        <v>54062</v>
      </c>
      <c r="F11" s="25">
        <v>325.24</v>
      </c>
      <c r="G11" s="25">
        <v>0.96</v>
      </c>
      <c r="H11" s="26"/>
    </row>
    <row r="12" spans="2:8" x14ac:dyDescent="0.2">
      <c r="B12" s="27" t="s">
        <v>134</v>
      </c>
      <c r="C12" s="23" t="s">
        <v>135</v>
      </c>
      <c r="D12" s="23" t="s">
        <v>136</v>
      </c>
      <c r="E12" s="28">
        <v>9000</v>
      </c>
      <c r="F12" s="25">
        <v>324.45999999999998</v>
      </c>
      <c r="G12" s="25">
        <v>0.95</v>
      </c>
      <c r="H12" s="26"/>
    </row>
    <row r="13" spans="2:8" x14ac:dyDescent="0.2">
      <c r="B13" s="27" t="s">
        <v>42</v>
      </c>
      <c r="C13" s="23" t="s">
        <v>43</v>
      </c>
      <c r="D13" s="23" t="s">
        <v>44</v>
      </c>
      <c r="E13" s="28">
        <v>65914</v>
      </c>
      <c r="F13" s="25">
        <v>312</v>
      </c>
      <c r="G13" s="25">
        <v>0.92</v>
      </c>
      <c r="H13" s="26"/>
    </row>
    <row r="14" spans="2:8" x14ac:dyDescent="0.2">
      <c r="B14" s="27" t="s">
        <v>250</v>
      </c>
      <c r="C14" s="23" t="s">
        <v>251</v>
      </c>
      <c r="D14" s="23" t="s">
        <v>183</v>
      </c>
      <c r="E14" s="28">
        <v>12870</v>
      </c>
      <c r="F14" s="25">
        <v>271.94</v>
      </c>
      <c r="G14" s="25">
        <v>0.8</v>
      </c>
      <c r="H14" s="26"/>
    </row>
    <row r="15" spans="2:8" x14ac:dyDescent="0.2">
      <c r="B15" s="27" t="s">
        <v>81</v>
      </c>
      <c r="C15" s="23" t="s">
        <v>82</v>
      </c>
      <c r="D15" s="23" t="s">
        <v>63</v>
      </c>
      <c r="E15" s="28">
        <v>50000</v>
      </c>
      <c r="F15" s="25">
        <v>248.2</v>
      </c>
      <c r="G15" s="25">
        <v>0.73</v>
      </c>
      <c r="H15" s="26"/>
    </row>
    <row r="16" spans="2:8" x14ac:dyDescent="0.2">
      <c r="B16" s="27" t="s">
        <v>123</v>
      </c>
      <c r="C16" s="23" t="s">
        <v>124</v>
      </c>
      <c r="D16" s="23" t="s">
        <v>119</v>
      </c>
      <c r="E16" s="28">
        <v>9242</v>
      </c>
      <c r="F16" s="25">
        <v>247.65</v>
      </c>
      <c r="G16" s="25">
        <v>0.73</v>
      </c>
      <c r="H16" s="26"/>
    </row>
    <row r="17" spans="2:8" x14ac:dyDescent="0.2">
      <c r="B17" s="27" t="s">
        <v>281</v>
      </c>
      <c r="C17" s="23" t="s">
        <v>282</v>
      </c>
      <c r="D17" s="23" t="s">
        <v>283</v>
      </c>
      <c r="E17" s="28">
        <v>30000</v>
      </c>
      <c r="F17" s="25">
        <v>241.65</v>
      </c>
      <c r="G17" s="25">
        <v>0.71</v>
      </c>
      <c r="H17" s="26"/>
    </row>
    <row r="18" spans="2:8" x14ac:dyDescent="0.2">
      <c r="B18" s="27" t="s">
        <v>132</v>
      </c>
      <c r="C18" s="23" t="s">
        <v>133</v>
      </c>
      <c r="D18" s="23" t="s">
        <v>44</v>
      </c>
      <c r="E18" s="28">
        <v>12450</v>
      </c>
      <c r="F18" s="25">
        <v>237.43</v>
      </c>
      <c r="G18" s="25">
        <v>0.7</v>
      </c>
      <c r="H18" s="26"/>
    </row>
    <row r="19" spans="2:8" x14ac:dyDescent="0.2">
      <c r="B19" s="27" t="s">
        <v>173</v>
      </c>
      <c r="C19" s="23" t="s">
        <v>174</v>
      </c>
      <c r="D19" s="23" t="s">
        <v>159</v>
      </c>
      <c r="E19" s="28">
        <v>3715</v>
      </c>
      <c r="F19" s="25">
        <v>234.43</v>
      </c>
      <c r="G19" s="25">
        <v>0.69</v>
      </c>
      <c r="H19" s="26"/>
    </row>
    <row r="20" spans="2:8" x14ac:dyDescent="0.2">
      <c r="B20" s="27" t="s">
        <v>241</v>
      </c>
      <c r="C20" s="23" t="s">
        <v>242</v>
      </c>
      <c r="D20" s="23" t="s">
        <v>243</v>
      </c>
      <c r="E20" s="28">
        <v>10000</v>
      </c>
      <c r="F20" s="25">
        <v>228.92</v>
      </c>
      <c r="G20" s="25">
        <v>0.67</v>
      </c>
      <c r="H20" s="26"/>
    </row>
    <row r="21" spans="2:8" x14ac:dyDescent="0.2">
      <c r="B21" s="27" t="s">
        <v>244</v>
      </c>
      <c r="C21" s="23" t="s">
        <v>245</v>
      </c>
      <c r="D21" s="23" t="s">
        <v>243</v>
      </c>
      <c r="E21" s="28">
        <v>140000</v>
      </c>
      <c r="F21" s="25">
        <v>227.71</v>
      </c>
      <c r="G21" s="25">
        <v>0.67</v>
      </c>
      <c r="H21" s="26"/>
    </row>
    <row r="22" spans="2:8" x14ac:dyDescent="0.2">
      <c r="B22" s="27" t="s">
        <v>155</v>
      </c>
      <c r="C22" s="23" t="s">
        <v>156</v>
      </c>
      <c r="D22" s="23" t="s">
        <v>136</v>
      </c>
      <c r="E22" s="28">
        <v>10000</v>
      </c>
      <c r="F22" s="25">
        <v>216.68</v>
      </c>
      <c r="G22" s="25">
        <v>0.64</v>
      </c>
      <c r="H22" s="26"/>
    </row>
    <row r="23" spans="2:8" x14ac:dyDescent="0.2">
      <c r="B23" s="27" t="s">
        <v>575</v>
      </c>
      <c r="C23" s="23" t="s">
        <v>576</v>
      </c>
      <c r="D23" s="23" t="s">
        <v>41</v>
      </c>
      <c r="E23" s="28">
        <v>18000</v>
      </c>
      <c r="F23" s="25">
        <v>198.31</v>
      </c>
      <c r="G23" s="25">
        <v>0.57999999999999996</v>
      </c>
      <c r="H23" s="26"/>
    </row>
    <row r="24" spans="2:8" x14ac:dyDescent="0.2">
      <c r="B24" s="27" t="s">
        <v>160</v>
      </c>
      <c r="C24" s="23" t="s">
        <v>161</v>
      </c>
      <c r="D24" s="23" t="s">
        <v>122</v>
      </c>
      <c r="E24" s="28">
        <v>12000</v>
      </c>
      <c r="F24" s="25">
        <v>193.79</v>
      </c>
      <c r="G24" s="25">
        <v>0.56999999999999995</v>
      </c>
      <c r="H24" s="26"/>
    </row>
    <row r="25" spans="2:8" x14ac:dyDescent="0.2">
      <c r="B25" s="27" t="s">
        <v>162</v>
      </c>
      <c r="C25" s="23" t="s">
        <v>163</v>
      </c>
      <c r="D25" s="23" t="s">
        <v>164</v>
      </c>
      <c r="E25" s="28">
        <v>11400</v>
      </c>
      <c r="F25" s="25">
        <v>189.17</v>
      </c>
      <c r="G25" s="25">
        <v>0.56000000000000005</v>
      </c>
      <c r="H25" s="26"/>
    </row>
    <row r="26" spans="2:8" x14ac:dyDescent="0.2">
      <c r="B26" s="27" t="s">
        <v>144</v>
      </c>
      <c r="C26" s="23" t="s">
        <v>145</v>
      </c>
      <c r="D26" s="23" t="s">
        <v>60</v>
      </c>
      <c r="E26" s="28">
        <v>13700</v>
      </c>
      <c r="F26" s="25">
        <v>186.48</v>
      </c>
      <c r="G26" s="25">
        <v>0.55000000000000004</v>
      </c>
      <c r="H26" s="26"/>
    </row>
    <row r="27" spans="2:8" x14ac:dyDescent="0.2">
      <c r="B27" s="27" t="s">
        <v>105</v>
      </c>
      <c r="C27" s="23" t="s">
        <v>106</v>
      </c>
      <c r="D27" s="23" t="s">
        <v>107</v>
      </c>
      <c r="E27" s="28">
        <v>40000</v>
      </c>
      <c r="F27" s="25">
        <v>185.3</v>
      </c>
      <c r="G27" s="25">
        <v>0.55000000000000004</v>
      </c>
      <c r="H27" s="26"/>
    </row>
    <row r="28" spans="2:8" x14ac:dyDescent="0.2">
      <c r="B28" s="27" t="s">
        <v>61</v>
      </c>
      <c r="C28" s="23" t="s">
        <v>62</v>
      </c>
      <c r="D28" s="23" t="s">
        <v>63</v>
      </c>
      <c r="E28" s="28">
        <v>50000</v>
      </c>
      <c r="F28" s="25">
        <v>174.43</v>
      </c>
      <c r="G28" s="25">
        <v>0.51</v>
      </c>
      <c r="H28" s="26"/>
    </row>
    <row r="29" spans="2:8" x14ac:dyDescent="0.2">
      <c r="B29" s="27" t="s">
        <v>202</v>
      </c>
      <c r="C29" s="23" t="s">
        <v>203</v>
      </c>
      <c r="D29" s="23" t="s">
        <v>122</v>
      </c>
      <c r="E29" s="28">
        <v>19736</v>
      </c>
      <c r="F29" s="25">
        <v>157.75</v>
      </c>
      <c r="G29" s="25">
        <v>0.46</v>
      </c>
      <c r="H29" s="26"/>
    </row>
    <row r="30" spans="2:8" x14ac:dyDescent="0.2">
      <c r="B30" s="27" t="s">
        <v>188</v>
      </c>
      <c r="C30" s="23" t="s">
        <v>189</v>
      </c>
      <c r="D30" s="23" t="s">
        <v>164</v>
      </c>
      <c r="E30" s="28">
        <v>39500</v>
      </c>
      <c r="F30" s="25">
        <v>152.71</v>
      </c>
      <c r="G30" s="25">
        <v>0.45</v>
      </c>
      <c r="H30" s="26"/>
    </row>
    <row r="31" spans="2:8" x14ac:dyDescent="0.2">
      <c r="B31" s="27" t="s">
        <v>142</v>
      </c>
      <c r="C31" s="23" t="s">
        <v>143</v>
      </c>
      <c r="D31" s="23" t="s">
        <v>141</v>
      </c>
      <c r="E31" s="28">
        <v>2150</v>
      </c>
      <c r="F31" s="25">
        <v>151.27000000000001</v>
      </c>
      <c r="G31" s="25">
        <v>0.45</v>
      </c>
      <c r="H31" s="26"/>
    </row>
    <row r="32" spans="2:8" x14ac:dyDescent="0.2">
      <c r="B32" s="27" t="s">
        <v>206</v>
      </c>
      <c r="C32" s="23" t="s">
        <v>207</v>
      </c>
      <c r="D32" s="23" t="s">
        <v>131</v>
      </c>
      <c r="E32" s="28">
        <v>6000</v>
      </c>
      <c r="F32" s="25">
        <v>150.05000000000001</v>
      </c>
      <c r="G32" s="25">
        <v>0.44</v>
      </c>
      <c r="H32" s="26"/>
    </row>
    <row r="33" spans="2:10" x14ac:dyDescent="0.2">
      <c r="B33" s="27" t="s">
        <v>153</v>
      </c>
      <c r="C33" s="23" t="s">
        <v>154</v>
      </c>
      <c r="D33" s="23" t="s">
        <v>131</v>
      </c>
      <c r="E33" s="28">
        <v>4000</v>
      </c>
      <c r="F33" s="25">
        <v>145.52000000000001</v>
      </c>
      <c r="G33" s="25">
        <v>0.43</v>
      </c>
      <c r="H33" s="26"/>
    </row>
    <row r="34" spans="2:10" x14ac:dyDescent="0.2">
      <c r="B34" s="27" t="s">
        <v>254</v>
      </c>
      <c r="C34" s="23" t="s">
        <v>255</v>
      </c>
      <c r="D34" s="23" t="s">
        <v>68</v>
      </c>
      <c r="E34" s="28">
        <v>15000</v>
      </c>
      <c r="F34" s="25">
        <v>143.76</v>
      </c>
      <c r="G34" s="25">
        <v>0.42</v>
      </c>
      <c r="H34" s="26"/>
    </row>
    <row r="35" spans="2:10" x14ac:dyDescent="0.2">
      <c r="B35" s="27" t="s">
        <v>55</v>
      </c>
      <c r="C35" s="23" t="s">
        <v>56</v>
      </c>
      <c r="D35" s="23" t="s">
        <v>57</v>
      </c>
      <c r="E35" s="28">
        <v>15966</v>
      </c>
      <c r="F35" s="25">
        <v>128.76</v>
      </c>
      <c r="G35" s="25">
        <v>0.38</v>
      </c>
      <c r="H35" s="26"/>
    </row>
    <row r="36" spans="2:10" x14ac:dyDescent="0.2">
      <c r="B36" s="27" t="s">
        <v>577</v>
      </c>
      <c r="C36" s="23" t="s">
        <v>578</v>
      </c>
      <c r="D36" s="23" t="s">
        <v>57</v>
      </c>
      <c r="E36" s="28">
        <v>49244</v>
      </c>
      <c r="F36" s="25">
        <v>123.95</v>
      </c>
      <c r="G36" s="25">
        <v>0.36</v>
      </c>
      <c r="H36" s="26"/>
    </row>
    <row r="37" spans="2:10" x14ac:dyDescent="0.2">
      <c r="B37" s="27" t="s">
        <v>129</v>
      </c>
      <c r="C37" s="23" t="s">
        <v>130</v>
      </c>
      <c r="D37" s="23" t="s">
        <v>131</v>
      </c>
      <c r="E37" s="28">
        <v>5597</v>
      </c>
      <c r="F37" s="25">
        <v>119.68</v>
      </c>
      <c r="G37" s="25">
        <v>0.35</v>
      </c>
      <c r="H37" s="26"/>
    </row>
    <row r="38" spans="2:10" x14ac:dyDescent="0.2">
      <c r="B38" s="27" t="s">
        <v>179</v>
      </c>
      <c r="C38" s="23" t="s">
        <v>180</v>
      </c>
      <c r="D38" s="23" t="s">
        <v>159</v>
      </c>
      <c r="E38" s="28">
        <v>10000</v>
      </c>
      <c r="F38" s="25">
        <v>117.79</v>
      </c>
      <c r="G38" s="25">
        <v>0.35</v>
      </c>
      <c r="H38" s="26"/>
    </row>
    <row r="39" spans="2:10" x14ac:dyDescent="0.2">
      <c r="B39" s="27" t="s">
        <v>184</v>
      </c>
      <c r="C39" s="23" t="s">
        <v>185</v>
      </c>
      <c r="D39" s="23" t="s">
        <v>60</v>
      </c>
      <c r="E39" s="28">
        <v>5000</v>
      </c>
      <c r="F39" s="25">
        <v>109.17</v>
      </c>
      <c r="G39" s="25">
        <v>0.32</v>
      </c>
      <c r="H39" s="26"/>
    </row>
    <row r="40" spans="2:10" x14ac:dyDescent="0.2">
      <c r="B40" s="27" t="s">
        <v>244</v>
      </c>
      <c r="C40" s="23" t="s">
        <v>266</v>
      </c>
      <c r="D40" s="23" t="s">
        <v>243</v>
      </c>
      <c r="E40" s="28">
        <v>15000</v>
      </c>
      <c r="F40" s="25">
        <v>15.2</v>
      </c>
      <c r="G40" s="25">
        <v>0.04</v>
      </c>
      <c r="H40" s="26"/>
    </row>
    <row r="41" spans="2:10" x14ac:dyDescent="0.2">
      <c r="B41" s="29" t="s">
        <v>110</v>
      </c>
      <c r="C41" s="30"/>
      <c r="D41" s="30"/>
      <c r="E41" s="31"/>
      <c r="F41" s="32">
        <f>SUM(F7:F40)</f>
        <v>7613.3300000000027</v>
      </c>
      <c r="G41" s="32">
        <f>SUM(G7:G40)</f>
        <v>22.400000000000006</v>
      </c>
      <c r="H41" s="33"/>
      <c r="I41" s="14"/>
      <c r="J41" s="14"/>
    </row>
    <row r="42" spans="2:10" x14ac:dyDescent="0.2">
      <c r="B42" s="37" t="s">
        <v>111</v>
      </c>
      <c r="C42" s="37"/>
      <c r="D42" s="37"/>
      <c r="E42" s="38"/>
      <c r="F42" s="39">
        <f>F41</f>
        <v>7613.3300000000027</v>
      </c>
      <c r="G42" s="39">
        <f>G41</f>
        <v>22.400000000000006</v>
      </c>
      <c r="H42" s="15"/>
      <c r="I42" s="14"/>
      <c r="J42" s="14"/>
    </row>
    <row r="43" spans="2:10" x14ac:dyDescent="0.2">
      <c r="B43" s="46" t="s">
        <v>351</v>
      </c>
      <c r="C43" s="41"/>
      <c r="D43" s="41"/>
      <c r="E43" s="42"/>
      <c r="F43" s="43"/>
      <c r="G43" s="43"/>
      <c r="H43" s="43"/>
    </row>
    <row r="44" spans="2:10" x14ac:dyDescent="0.2">
      <c r="B44" s="47" t="s">
        <v>32</v>
      </c>
      <c r="C44" s="23"/>
      <c r="D44" s="23"/>
      <c r="E44" s="24"/>
      <c r="F44" s="25"/>
      <c r="G44" s="25"/>
      <c r="H44" s="25"/>
    </row>
    <row r="45" spans="2:10" x14ac:dyDescent="0.2">
      <c r="B45" s="23" t="s">
        <v>393</v>
      </c>
      <c r="C45" s="23" t="s">
        <v>394</v>
      </c>
      <c r="D45" s="23" t="s">
        <v>354</v>
      </c>
      <c r="E45" s="28">
        <v>150</v>
      </c>
      <c r="F45" s="25">
        <v>1674.75</v>
      </c>
      <c r="G45" s="25">
        <v>4.93</v>
      </c>
      <c r="H45" s="25">
        <v>6.88</v>
      </c>
    </row>
    <row r="46" spans="2:10" x14ac:dyDescent="0.2">
      <c r="B46" s="23" t="s">
        <v>391</v>
      </c>
      <c r="C46" s="23" t="s">
        <v>392</v>
      </c>
      <c r="D46" s="23" t="s">
        <v>354</v>
      </c>
      <c r="E46" s="28">
        <v>100</v>
      </c>
      <c r="F46" s="25">
        <v>1120.74</v>
      </c>
      <c r="G46" s="25">
        <v>3.3</v>
      </c>
      <c r="H46" s="25">
        <v>6.43</v>
      </c>
    </row>
    <row r="47" spans="2:10" x14ac:dyDescent="0.2">
      <c r="B47" s="23" t="s">
        <v>372</v>
      </c>
      <c r="C47" s="23" t="s">
        <v>373</v>
      </c>
      <c r="D47" s="23" t="s">
        <v>354</v>
      </c>
      <c r="E47" s="28">
        <v>100</v>
      </c>
      <c r="F47" s="25">
        <v>1083.42</v>
      </c>
      <c r="G47" s="25">
        <v>3.19</v>
      </c>
      <c r="H47" s="25">
        <v>5.37</v>
      </c>
    </row>
    <row r="48" spans="2:10" x14ac:dyDescent="0.2">
      <c r="B48" s="23" t="s">
        <v>476</v>
      </c>
      <c r="C48" s="23" t="s">
        <v>477</v>
      </c>
      <c r="D48" s="23" t="s">
        <v>354</v>
      </c>
      <c r="E48" s="28">
        <v>100</v>
      </c>
      <c r="F48" s="25">
        <v>1063.68</v>
      </c>
      <c r="G48" s="25">
        <v>3.13</v>
      </c>
      <c r="H48" s="25">
        <v>5.71</v>
      </c>
    </row>
    <row r="49" spans="2:10" x14ac:dyDescent="0.2">
      <c r="B49" s="23" t="s">
        <v>380</v>
      </c>
      <c r="C49" s="23" t="s">
        <v>381</v>
      </c>
      <c r="D49" s="23" t="s">
        <v>354</v>
      </c>
      <c r="E49" s="28">
        <v>100</v>
      </c>
      <c r="F49" s="25">
        <v>1055.6600000000001</v>
      </c>
      <c r="G49" s="25">
        <v>3.11</v>
      </c>
      <c r="H49" s="25">
        <v>4.47</v>
      </c>
    </row>
    <row r="50" spans="2:10" x14ac:dyDescent="0.2">
      <c r="B50" s="23" t="s">
        <v>382</v>
      </c>
      <c r="C50" s="23" t="s">
        <v>383</v>
      </c>
      <c r="D50" s="23" t="s">
        <v>354</v>
      </c>
      <c r="E50" s="28">
        <v>100</v>
      </c>
      <c r="F50" s="25">
        <v>1025.55</v>
      </c>
      <c r="G50" s="25">
        <v>3.02</v>
      </c>
      <c r="H50" s="25">
        <v>3.72</v>
      </c>
    </row>
    <row r="51" spans="2:10" x14ac:dyDescent="0.2">
      <c r="B51" s="23" t="s">
        <v>579</v>
      </c>
      <c r="C51" s="23" t="s">
        <v>580</v>
      </c>
      <c r="D51" s="23" t="s">
        <v>354</v>
      </c>
      <c r="E51" s="28">
        <v>50</v>
      </c>
      <c r="F51" s="25">
        <v>577.74</v>
      </c>
      <c r="G51" s="25">
        <v>1.7</v>
      </c>
      <c r="H51" s="25">
        <v>6.39</v>
      </c>
    </row>
    <row r="52" spans="2:10" x14ac:dyDescent="0.2">
      <c r="B52" s="23" t="s">
        <v>376</v>
      </c>
      <c r="C52" s="23" t="s">
        <v>377</v>
      </c>
      <c r="D52" s="23" t="s">
        <v>354</v>
      </c>
      <c r="E52" s="28">
        <v>50</v>
      </c>
      <c r="F52" s="25">
        <v>545.39</v>
      </c>
      <c r="G52" s="25">
        <v>1.61</v>
      </c>
      <c r="H52" s="25">
        <v>4.79</v>
      </c>
    </row>
    <row r="53" spans="2:10" x14ac:dyDescent="0.2">
      <c r="B53" s="23" t="s">
        <v>357</v>
      </c>
      <c r="C53" s="23" t="s">
        <v>358</v>
      </c>
      <c r="D53" s="23" t="s">
        <v>354</v>
      </c>
      <c r="E53" s="28">
        <v>50</v>
      </c>
      <c r="F53" s="25">
        <v>514.46</v>
      </c>
      <c r="G53" s="25">
        <v>1.51</v>
      </c>
      <c r="H53" s="25">
        <v>3.77</v>
      </c>
    </row>
    <row r="54" spans="2:10" x14ac:dyDescent="0.2">
      <c r="B54" s="30" t="s">
        <v>110</v>
      </c>
      <c r="C54" s="30"/>
      <c r="D54" s="30"/>
      <c r="E54" s="31"/>
      <c r="F54" s="32">
        <f>SUM(F44:F53)</f>
        <v>8661.39</v>
      </c>
      <c r="G54" s="32">
        <f>SUM(G44:G53)</f>
        <v>25.5</v>
      </c>
      <c r="H54" s="48"/>
      <c r="I54" s="14"/>
      <c r="J54" s="14"/>
    </row>
    <row r="55" spans="2:10" x14ac:dyDescent="0.2">
      <c r="B55" s="49" t="s">
        <v>111</v>
      </c>
      <c r="C55" s="49"/>
      <c r="D55" s="49"/>
      <c r="E55" s="50"/>
      <c r="F55" s="51">
        <f>F54</f>
        <v>8661.39</v>
      </c>
      <c r="G55" s="51">
        <f>G54</f>
        <v>25.5</v>
      </c>
      <c r="H55" s="51"/>
      <c r="I55" s="14"/>
      <c r="J55" s="14"/>
    </row>
    <row r="56" spans="2:10" x14ac:dyDescent="0.2">
      <c r="B56" s="47" t="s">
        <v>451</v>
      </c>
      <c r="C56" s="23"/>
      <c r="D56" s="23"/>
      <c r="E56" s="24"/>
      <c r="F56" s="25"/>
      <c r="G56" s="25"/>
      <c r="H56" s="25"/>
    </row>
    <row r="57" spans="2:10" x14ac:dyDescent="0.2">
      <c r="B57" s="47" t="s">
        <v>452</v>
      </c>
      <c r="C57" s="23"/>
      <c r="D57" s="23"/>
      <c r="E57" s="24"/>
      <c r="F57" s="25"/>
      <c r="G57" s="25"/>
      <c r="H57" s="25"/>
    </row>
    <row r="58" spans="2:10" x14ac:dyDescent="0.2">
      <c r="B58" s="23" t="s">
        <v>581</v>
      </c>
      <c r="C58" s="23" t="s">
        <v>582</v>
      </c>
      <c r="D58" s="23" t="s">
        <v>455</v>
      </c>
      <c r="E58" s="28">
        <v>3250000</v>
      </c>
      <c r="F58" s="25">
        <v>3163.54</v>
      </c>
      <c r="G58" s="25">
        <v>9.31</v>
      </c>
      <c r="H58" s="25">
        <v>3.37</v>
      </c>
    </row>
    <row r="59" spans="2:10" x14ac:dyDescent="0.2">
      <c r="B59" s="30" t="s">
        <v>110</v>
      </c>
      <c r="C59" s="30"/>
      <c r="D59" s="30"/>
      <c r="E59" s="31"/>
      <c r="F59" s="32">
        <f>SUM(F57:F58)</f>
        <v>3163.54</v>
      </c>
      <c r="G59" s="32">
        <f>SUM(G57:G58)</f>
        <v>9.31</v>
      </c>
      <c r="H59" s="48"/>
      <c r="I59" s="14"/>
      <c r="J59" s="14"/>
    </row>
    <row r="60" spans="2:10" x14ac:dyDescent="0.2">
      <c r="B60" s="49" t="s">
        <v>111</v>
      </c>
      <c r="C60" s="49"/>
      <c r="D60" s="49"/>
      <c r="E60" s="50"/>
      <c r="F60" s="51">
        <f>+F59</f>
        <v>3163.54</v>
      </c>
      <c r="G60" s="51">
        <f>+G59</f>
        <v>9.31</v>
      </c>
      <c r="H60" s="51"/>
      <c r="I60" s="14"/>
      <c r="J60" s="14"/>
    </row>
    <row r="61" spans="2:10" x14ac:dyDescent="0.2">
      <c r="B61" s="47" t="s">
        <v>423</v>
      </c>
      <c r="C61" s="23"/>
      <c r="D61" s="23"/>
      <c r="E61" s="24"/>
      <c r="F61" s="25"/>
      <c r="G61" s="25"/>
      <c r="H61" s="25"/>
    </row>
    <row r="62" spans="2:10" x14ac:dyDescent="0.2">
      <c r="B62" s="23" t="s">
        <v>431</v>
      </c>
      <c r="C62" s="23" t="s">
        <v>432</v>
      </c>
      <c r="D62" s="23" t="s">
        <v>426</v>
      </c>
      <c r="E62" s="28">
        <v>3500000</v>
      </c>
      <c r="F62" s="25">
        <v>3699.51</v>
      </c>
      <c r="G62" s="25">
        <v>10.89</v>
      </c>
      <c r="H62" s="25">
        <v>3.92</v>
      </c>
    </row>
    <row r="63" spans="2:10" x14ac:dyDescent="0.2">
      <c r="B63" s="23" t="s">
        <v>427</v>
      </c>
      <c r="C63" s="23" t="s">
        <v>428</v>
      </c>
      <c r="D63" s="23" t="s">
        <v>426</v>
      </c>
      <c r="E63" s="28">
        <v>2500000</v>
      </c>
      <c r="F63" s="25">
        <v>2474.21</v>
      </c>
      <c r="G63" s="25">
        <v>7.28</v>
      </c>
      <c r="H63" s="25">
        <v>5.91</v>
      </c>
    </row>
    <row r="64" spans="2:10" x14ac:dyDescent="0.2">
      <c r="B64" s="23" t="s">
        <v>424</v>
      </c>
      <c r="C64" s="23" t="s">
        <v>425</v>
      </c>
      <c r="D64" s="23" t="s">
        <v>426</v>
      </c>
      <c r="E64" s="28">
        <v>2000000</v>
      </c>
      <c r="F64" s="25">
        <v>2097.69</v>
      </c>
      <c r="G64" s="25">
        <v>6.17</v>
      </c>
      <c r="H64" s="25">
        <v>4.8</v>
      </c>
    </row>
    <row r="65" spans="2:10" x14ac:dyDescent="0.2">
      <c r="B65" s="23" t="s">
        <v>583</v>
      </c>
      <c r="C65" s="23" t="s">
        <v>584</v>
      </c>
      <c r="D65" s="23" t="s">
        <v>426</v>
      </c>
      <c r="E65" s="28">
        <v>1000000</v>
      </c>
      <c r="F65" s="25">
        <v>1004.92</v>
      </c>
      <c r="G65" s="25">
        <v>2.96</v>
      </c>
      <c r="H65" s="25">
        <v>6.51</v>
      </c>
    </row>
    <row r="66" spans="2:10" x14ac:dyDescent="0.2">
      <c r="B66" s="23" t="s">
        <v>484</v>
      </c>
      <c r="C66" s="23" t="s">
        <v>485</v>
      </c>
      <c r="D66" s="23" t="s">
        <v>426</v>
      </c>
      <c r="E66" s="28">
        <v>1000000</v>
      </c>
      <c r="F66" s="25">
        <v>997.77</v>
      </c>
      <c r="G66" s="25">
        <v>2.94</v>
      </c>
      <c r="H66" s="25">
        <v>6.21</v>
      </c>
    </row>
    <row r="67" spans="2:10" x14ac:dyDescent="0.2">
      <c r="B67" s="23" t="s">
        <v>585</v>
      </c>
      <c r="C67" s="23" t="s">
        <v>586</v>
      </c>
      <c r="D67" s="23" t="s">
        <v>426</v>
      </c>
      <c r="E67" s="28">
        <v>800000</v>
      </c>
      <c r="F67" s="25">
        <v>845.5</v>
      </c>
      <c r="G67" s="25">
        <v>2.4900000000000002</v>
      </c>
      <c r="H67" s="25">
        <v>4.05</v>
      </c>
    </row>
    <row r="68" spans="2:10" x14ac:dyDescent="0.2">
      <c r="B68" s="23" t="s">
        <v>468</v>
      </c>
      <c r="C68" s="23" t="s">
        <v>469</v>
      </c>
      <c r="D68" s="23" t="s">
        <v>426</v>
      </c>
      <c r="E68" s="28">
        <v>200000</v>
      </c>
      <c r="F68" s="25">
        <v>200.18</v>
      </c>
      <c r="G68" s="25">
        <v>0.59</v>
      </c>
      <c r="H68" s="25">
        <v>6.21</v>
      </c>
    </row>
    <row r="69" spans="2:10" x14ac:dyDescent="0.2">
      <c r="B69" s="52" t="s">
        <v>587</v>
      </c>
      <c r="C69" s="52" t="s">
        <v>588</v>
      </c>
      <c r="D69" s="52" t="s">
        <v>426</v>
      </c>
      <c r="E69" s="53">
        <v>800</v>
      </c>
      <c r="F69" s="54">
        <v>0.92</v>
      </c>
      <c r="G69" s="54">
        <v>0</v>
      </c>
      <c r="H69" s="54">
        <v>6.6</v>
      </c>
    </row>
    <row r="70" spans="2:10" x14ac:dyDescent="0.2">
      <c r="B70" s="55" t="s">
        <v>111</v>
      </c>
      <c r="C70" s="55"/>
      <c r="D70" s="55"/>
      <c r="E70" s="56"/>
      <c r="F70" s="57">
        <f>SUM(F62:F69)</f>
        <v>11320.7</v>
      </c>
      <c r="G70" s="57">
        <f>SUM(G62:G69)</f>
        <v>33.320000000000007</v>
      </c>
      <c r="H70" s="57"/>
      <c r="I70" s="14"/>
      <c r="J70" s="14"/>
    </row>
    <row r="71" spans="2:10" x14ac:dyDescent="0.2">
      <c r="B71" s="47" t="s">
        <v>112</v>
      </c>
      <c r="C71" s="23"/>
      <c r="D71" s="23"/>
      <c r="E71" s="24"/>
      <c r="F71" s="25"/>
      <c r="G71" s="25"/>
      <c r="H71" s="25"/>
    </row>
    <row r="72" spans="2:10" x14ac:dyDescent="0.2">
      <c r="B72" s="23" t="s">
        <v>112</v>
      </c>
      <c r="C72" s="23"/>
      <c r="D72" s="23"/>
      <c r="E72" s="24"/>
      <c r="F72" s="25">
        <v>2677.32</v>
      </c>
      <c r="G72" s="25">
        <v>7.88</v>
      </c>
      <c r="H72" s="25"/>
    </row>
    <row r="73" spans="2:10" x14ac:dyDescent="0.2">
      <c r="B73" s="30" t="s">
        <v>110</v>
      </c>
      <c r="C73" s="30"/>
      <c r="D73" s="30"/>
      <c r="E73" s="31"/>
      <c r="F73" s="32">
        <f>SUM(F71:F72)</f>
        <v>2677.32</v>
      </c>
      <c r="G73" s="32">
        <f>SUM(G71:G72)</f>
        <v>7.88</v>
      </c>
      <c r="H73" s="48"/>
      <c r="I73" s="14"/>
      <c r="J73" s="14"/>
    </row>
    <row r="74" spans="2:10" x14ac:dyDescent="0.2">
      <c r="B74" s="34" t="s">
        <v>111</v>
      </c>
      <c r="C74" s="34"/>
      <c r="D74" s="34"/>
      <c r="E74" s="35"/>
      <c r="F74" s="36">
        <f>F73</f>
        <v>2677.32</v>
      </c>
      <c r="G74" s="36">
        <f>G73</f>
        <v>7.88</v>
      </c>
      <c r="H74" s="36"/>
      <c r="I74" s="14"/>
      <c r="J74" s="14"/>
    </row>
    <row r="75" spans="2:10" x14ac:dyDescent="0.2">
      <c r="B75" s="44" t="s">
        <v>114</v>
      </c>
      <c r="C75" s="44"/>
      <c r="D75" s="44"/>
      <c r="E75" s="45"/>
      <c r="F75" s="16">
        <f>F76-(+F42+F55+F60+F70+F74)</f>
        <v>514.21999999999389</v>
      </c>
      <c r="G75" s="16">
        <f>G76-(+G42+G55+G60+G70+G74)</f>
        <v>1.5899999999999892</v>
      </c>
      <c r="H75" s="16"/>
      <c r="I75" s="14"/>
      <c r="J75" s="14"/>
    </row>
    <row r="76" spans="2:10" x14ac:dyDescent="0.2">
      <c r="B76" s="44" t="s">
        <v>113</v>
      </c>
      <c r="C76" s="44"/>
      <c r="D76" s="44"/>
      <c r="E76" s="45"/>
      <c r="F76" s="16">
        <v>33950.5</v>
      </c>
      <c r="G76" s="16">
        <v>100</v>
      </c>
      <c r="H76" s="16"/>
      <c r="I76" s="14"/>
      <c r="J76" s="14"/>
    </row>
    <row r="78" spans="2:10" x14ac:dyDescent="0.2">
      <c r="B78" s="14" t="s">
        <v>805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>
      <selection activeCell="E16" sqref="E16"/>
    </sheetView>
  </sheetViews>
  <sheetFormatPr defaultRowHeight="12" x14ac:dyDescent="0.2"/>
  <cols>
    <col min="1" max="1" width="9.140625" style="1"/>
    <col min="2" max="2" width="61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21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423</v>
      </c>
      <c r="C5" s="18"/>
      <c r="D5" s="18"/>
      <c r="E5" s="19"/>
      <c r="F5" s="20"/>
      <c r="G5" s="20"/>
      <c r="H5" s="20"/>
    </row>
    <row r="6" spans="2:10" x14ac:dyDescent="0.2">
      <c r="B6" s="23" t="s">
        <v>435</v>
      </c>
      <c r="C6" s="23" t="s">
        <v>436</v>
      </c>
      <c r="D6" s="23" t="s">
        <v>426</v>
      </c>
      <c r="E6" s="28">
        <v>1500000</v>
      </c>
      <c r="F6" s="25">
        <v>1593.22</v>
      </c>
      <c r="G6" s="25">
        <v>50.34</v>
      </c>
      <c r="H6" s="25">
        <v>5.63</v>
      </c>
    </row>
    <row r="7" spans="2:10" x14ac:dyDescent="0.2">
      <c r="B7" s="52" t="s">
        <v>589</v>
      </c>
      <c r="C7" s="52" t="s">
        <v>590</v>
      </c>
      <c r="D7" s="52" t="s">
        <v>426</v>
      </c>
      <c r="E7" s="53">
        <v>1000000</v>
      </c>
      <c r="F7" s="54">
        <v>1101.5999999999999</v>
      </c>
      <c r="G7" s="54">
        <v>34.81</v>
      </c>
      <c r="H7" s="54">
        <v>5.29</v>
      </c>
    </row>
    <row r="8" spans="2:10" x14ac:dyDescent="0.2">
      <c r="B8" s="55" t="s">
        <v>111</v>
      </c>
      <c r="C8" s="55"/>
      <c r="D8" s="55"/>
      <c r="E8" s="56"/>
      <c r="F8" s="57">
        <f>SUM(F6:F7)</f>
        <v>2694.8199999999997</v>
      </c>
      <c r="G8" s="57">
        <f>SUM(G6:G7)</f>
        <v>85.15</v>
      </c>
      <c r="H8" s="57"/>
      <c r="I8" s="14"/>
      <c r="J8" s="14"/>
    </row>
    <row r="9" spans="2:10" x14ac:dyDescent="0.2">
      <c r="B9" s="47" t="s">
        <v>112</v>
      </c>
      <c r="C9" s="23"/>
      <c r="D9" s="23"/>
      <c r="E9" s="24"/>
      <c r="F9" s="25"/>
      <c r="G9" s="25"/>
      <c r="H9" s="25"/>
    </row>
    <row r="10" spans="2:10" x14ac:dyDescent="0.2">
      <c r="B10" s="23" t="s">
        <v>112</v>
      </c>
      <c r="C10" s="23"/>
      <c r="D10" s="23"/>
      <c r="E10" s="24"/>
      <c r="F10" s="25">
        <v>419.35</v>
      </c>
      <c r="G10" s="25">
        <v>13.25</v>
      </c>
      <c r="H10" s="25"/>
    </row>
    <row r="11" spans="2:10" x14ac:dyDescent="0.2">
      <c r="B11" s="30" t="s">
        <v>110</v>
      </c>
      <c r="C11" s="30"/>
      <c r="D11" s="30"/>
      <c r="E11" s="31"/>
      <c r="F11" s="32">
        <f>SUM(F9:F10)</f>
        <v>419.35</v>
      </c>
      <c r="G11" s="32">
        <f>SUM(G9:G10)</f>
        <v>13.25</v>
      </c>
      <c r="H11" s="48"/>
      <c r="I11" s="14"/>
      <c r="J11" s="14"/>
    </row>
    <row r="12" spans="2:10" x14ac:dyDescent="0.2">
      <c r="B12" s="34" t="s">
        <v>111</v>
      </c>
      <c r="C12" s="34"/>
      <c r="D12" s="34"/>
      <c r="E12" s="35"/>
      <c r="F12" s="36">
        <f>F11</f>
        <v>419.35</v>
      </c>
      <c r="G12" s="36">
        <f>G11</f>
        <v>13.25</v>
      </c>
      <c r="H12" s="36"/>
      <c r="I12" s="14"/>
      <c r="J12" s="14"/>
    </row>
    <row r="13" spans="2:10" x14ac:dyDescent="0.2">
      <c r="B13" s="44" t="s">
        <v>114</v>
      </c>
      <c r="C13" s="44"/>
      <c r="D13" s="44"/>
      <c r="E13" s="45"/>
      <c r="F13" s="16">
        <f>F14-(+F8+F12)</f>
        <v>50.570000000000164</v>
      </c>
      <c r="G13" s="16">
        <f>G14-(+G8+G12)</f>
        <v>1.5999999999999943</v>
      </c>
      <c r="H13" s="16"/>
      <c r="I13" s="14"/>
      <c r="J13" s="14"/>
    </row>
    <row r="14" spans="2:10" x14ac:dyDescent="0.2">
      <c r="B14" s="44" t="s">
        <v>113</v>
      </c>
      <c r="C14" s="44"/>
      <c r="D14" s="44"/>
      <c r="E14" s="45"/>
      <c r="F14" s="16">
        <v>3164.74</v>
      </c>
      <c r="G14" s="16">
        <v>100</v>
      </c>
      <c r="H14" s="16"/>
      <c r="I14" s="14"/>
      <c r="J14" s="14"/>
    </row>
    <row r="16" spans="2:10" x14ac:dyDescent="0.2">
      <c r="B1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8"/>
  <sheetViews>
    <sheetView workbookViewId="0">
      <selection activeCell="F37" sqref="F37"/>
    </sheetView>
  </sheetViews>
  <sheetFormatPr defaultRowHeight="12" x14ac:dyDescent="0.2"/>
  <cols>
    <col min="1" max="1" width="9.140625" style="1"/>
    <col min="2" max="2" width="61" style="1" bestFit="1" customWidth="1"/>
    <col min="3" max="3" width="13.855468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22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451</v>
      </c>
      <c r="C5" s="18"/>
      <c r="D5" s="18"/>
      <c r="E5" s="19"/>
      <c r="F5" s="20"/>
      <c r="G5" s="20"/>
      <c r="H5" s="20"/>
    </row>
    <row r="6" spans="2:10" x14ac:dyDescent="0.2">
      <c r="B6" s="47" t="s">
        <v>530</v>
      </c>
      <c r="C6" s="23"/>
      <c r="D6" s="23"/>
      <c r="E6" s="24"/>
      <c r="F6" s="25"/>
      <c r="G6" s="25"/>
      <c r="H6" s="25"/>
    </row>
    <row r="7" spans="2:10" x14ac:dyDescent="0.2">
      <c r="B7" s="23" t="s">
        <v>591</v>
      </c>
      <c r="C7" s="23" t="s">
        <v>592</v>
      </c>
      <c r="D7" s="23" t="s">
        <v>593</v>
      </c>
      <c r="E7" s="28">
        <v>10000</v>
      </c>
      <c r="F7" s="25">
        <v>9976.76</v>
      </c>
      <c r="G7" s="25">
        <v>6.82</v>
      </c>
      <c r="H7" s="25">
        <v>2.83</v>
      </c>
    </row>
    <row r="8" spans="2:10" x14ac:dyDescent="0.2">
      <c r="B8" s="23" t="s">
        <v>594</v>
      </c>
      <c r="C8" s="23" t="s">
        <v>595</v>
      </c>
      <c r="D8" s="23" t="s">
        <v>538</v>
      </c>
      <c r="E8" s="28">
        <v>5000</v>
      </c>
      <c r="F8" s="25">
        <v>4993.43</v>
      </c>
      <c r="G8" s="25">
        <v>3.42</v>
      </c>
      <c r="H8" s="25">
        <v>2.82</v>
      </c>
    </row>
    <row r="9" spans="2:10" x14ac:dyDescent="0.2">
      <c r="B9" s="23" t="s">
        <v>596</v>
      </c>
      <c r="C9" s="23" t="s">
        <v>597</v>
      </c>
      <c r="D9" s="23" t="s">
        <v>593</v>
      </c>
      <c r="E9" s="28">
        <v>5000</v>
      </c>
      <c r="F9" s="25">
        <v>4986.53</v>
      </c>
      <c r="G9" s="25">
        <v>3.41</v>
      </c>
      <c r="H9" s="25">
        <v>2.9</v>
      </c>
    </row>
    <row r="10" spans="2:10" x14ac:dyDescent="0.2">
      <c r="B10" s="23" t="s">
        <v>598</v>
      </c>
      <c r="C10" s="23" t="s">
        <v>599</v>
      </c>
      <c r="D10" s="23" t="s">
        <v>593</v>
      </c>
      <c r="E10" s="28">
        <v>2500</v>
      </c>
      <c r="F10" s="25">
        <v>2496.69</v>
      </c>
      <c r="G10" s="25">
        <v>1.71</v>
      </c>
      <c r="H10" s="25">
        <v>2.85</v>
      </c>
    </row>
    <row r="11" spans="2:10" x14ac:dyDescent="0.2">
      <c r="B11" s="23" t="s">
        <v>600</v>
      </c>
      <c r="C11" s="23" t="s">
        <v>601</v>
      </c>
      <c r="D11" s="23" t="s">
        <v>593</v>
      </c>
      <c r="E11" s="28">
        <v>2500</v>
      </c>
      <c r="F11" s="25">
        <v>2495.54</v>
      </c>
      <c r="G11" s="25">
        <v>1.71</v>
      </c>
      <c r="H11" s="25">
        <v>2.83</v>
      </c>
    </row>
    <row r="12" spans="2:10" x14ac:dyDescent="0.2">
      <c r="B12" s="47" t="s">
        <v>110</v>
      </c>
      <c r="C12" s="47"/>
      <c r="D12" s="47"/>
      <c r="E12" s="59"/>
      <c r="F12" s="57">
        <f>SUM(F6:F11)</f>
        <v>24948.95</v>
      </c>
      <c r="G12" s="57">
        <f>SUM(G6:G11)</f>
        <v>17.07</v>
      </c>
      <c r="H12" s="60"/>
      <c r="I12" s="14"/>
      <c r="J12" s="14"/>
    </row>
    <row r="13" spans="2:10" x14ac:dyDescent="0.2">
      <c r="B13" s="47" t="s">
        <v>545</v>
      </c>
      <c r="C13" s="23"/>
      <c r="D13" s="23"/>
      <c r="E13" s="24"/>
      <c r="F13" s="25"/>
      <c r="G13" s="25"/>
      <c r="H13" s="25"/>
    </row>
    <row r="14" spans="2:10" x14ac:dyDescent="0.2">
      <c r="B14" s="23" t="s">
        <v>602</v>
      </c>
      <c r="C14" s="23" t="s">
        <v>603</v>
      </c>
      <c r="D14" s="23" t="s">
        <v>538</v>
      </c>
      <c r="E14" s="28">
        <v>2000</v>
      </c>
      <c r="F14" s="25">
        <v>9977.99</v>
      </c>
      <c r="G14" s="25">
        <v>6.82</v>
      </c>
      <c r="H14" s="25">
        <v>2.88</v>
      </c>
    </row>
    <row r="15" spans="2:10" x14ac:dyDescent="0.2">
      <c r="B15" s="23" t="s">
        <v>604</v>
      </c>
      <c r="C15" s="23" t="s">
        <v>605</v>
      </c>
      <c r="D15" s="23" t="s">
        <v>538</v>
      </c>
      <c r="E15" s="28">
        <v>700</v>
      </c>
      <c r="F15" s="25">
        <v>3485.55</v>
      </c>
      <c r="G15" s="25">
        <v>2.38</v>
      </c>
      <c r="H15" s="25">
        <v>2.91</v>
      </c>
    </row>
    <row r="16" spans="2:10" x14ac:dyDescent="0.2">
      <c r="B16" s="23" t="s">
        <v>606</v>
      </c>
      <c r="C16" s="23" t="s">
        <v>607</v>
      </c>
      <c r="D16" s="23" t="s">
        <v>533</v>
      </c>
      <c r="E16" s="28">
        <v>500</v>
      </c>
      <c r="F16" s="25">
        <v>2494.73</v>
      </c>
      <c r="G16" s="25">
        <v>1.71</v>
      </c>
      <c r="H16" s="25">
        <v>2.85</v>
      </c>
    </row>
    <row r="17" spans="2:10" x14ac:dyDescent="0.2">
      <c r="B17" s="23" t="s">
        <v>608</v>
      </c>
      <c r="C17" s="23" t="s">
        <v>609</v>
      </c>
      <c r="D17" s="23" t="s">
        <v>538</v>
      </c>
      <c r="E17" s="28">
        <v>500</v>
      </c>
      <c r="F17" s="25">
        <v>2491.1999999999998</v>
      </c>
      <c r="G17" s="25">
        <v>1.7</v>
      </c>
      <c r="H17" s="25">
        <v>3</v>
      </c>
    </row>
    <row r="18" spans="2:10" x14ac:dyDescent="0.2">
      <c r="B18" s="47" t="s">
        <v>110</v>
      </c>
      <c r="C18" s="47"/>
      <c r="D18" s="47"/>
      <c r="E18" s="59"/>
      <c r="F18" s="57">
        <f>SUM(F13:F17)</f>
        <v>18449.47</v>
      </c>
      <c r="G18" s="57">
        <f>SUM(G13:G17)</f>
        <v>12.61</v>
      </c>
      <c r="H18" s="60"/>
      <c r="I18" s="14"/>
      <c r="J18" s="14"/>
    </row>
    <row r="19" spans="2:10" x14ac:dyDescent="0.2">
      <c r="B19" s="47" t="s">
        <v>452</v>
      </c>
      <c r="C19" s="23"/>
      <c r="D19" s="23"/>
      <c r="E19" s="24"/>
      <c r="F19" s="25"/>
      <c r="G19" s="25"/>
      <c r="H19" s="25"/>
    </row>
    <row r="20" spans="2:10" x14ac:dyDescent="0.2">
      <c r="B20" s="23" t="s">
        <v>610</v>
      </c>
      <c r="C20" s="23" t="s">
        <v>611</v>
      </c>
      <c r="D20" s="23" t="s">
        <v>455</v>
      </c>
      <c r="E20" s="28">
        <v>25000000</v>
      </c>
      <c r="F20" s="25">
        <v>24982.75</v>
      </c>
      <c r="G20" s="25">
        <v>17.09</v>
      </c>
      <c r="H20" s="25">
        <v>2.8</v>
      </c>
    </row>
    <row r="21" spans="2:10" x14ac:dyDescent="0.2">
      <c r="B21" s="23" t="s">
        <v>550</v>
      </c>
      <c r="C21" s="23" t="s">
        <v>551</v>
      </c>
      <c r="D21" s="23" t="s">
        <v>455</v>
      </c>
      <c r="E21" s="28">
        <v>20000000</v>
      </c>
      <c r="F21" s="25">
        <v>19986.2</v>
      </c>
      <c r="G21" s="25">
        <v>13.67</v>
      </c>
      <c r="H21" s="25">
        <v>2.8</v>
      </c>
    </row>
    <row r="22" spans="2:10" x14ac:dyDescent="0.2">
      <c r="B22" s="23" t="s">
        <v>612</v>
      </c>
      <c r="C22" s="23" t="s">
        <v>613</v>
      </c>
      <c r="D22" s="23" t="s">
        <v>455</v>
      </c>
      <c r="E22" s="28">
        <v>15000000</v>
      </c>
      <c r="F22" s="25">
        <v>14981.55</v>
      </c>
      <c r="G22" s="25">
        <v>10.25</v>
      </c>
      <c r="H22" s="25">
        <v>2.81</v>
      </c>
    </row>
    <row r="23" spans="2:10" x14ac:dyDescent="0.2">
      <c r="B23" s="23" t="s">
        <v>556</v>
      </c>
      <c r="C23" s="23" t="s">
        <v>557</v>
      </c>
      <c r="D23" s="23" t="s">
        <v>455</v>
      </c>
      <c r="E23" s="28">
        <v>15000000</v>
      </c>
      <c r="F23" s="25">
        <v>14947.74</v>
      </c>
      <c r="G23" s="25">
        <v>10.220000000000001</v>
      </c>
      <c r="H23" s="25">
        <v>2.9</v>
      </c>
    </row>
    <row r="24" spans="2:10" x14ac:dyDescent="0.2">
      <c r="B24" s="23" t="s">
        <v>614</v>
      </c>
      <c r="C24" s="23" t="s">
        <v>615</v>
      </c>
      <c r="D24" s="23" t="s">
        <v>455</v>
      </c>
      <c r="E24" s="28">
        <v>10000000</v>
      </c>
      <c r="F24" s="25">
        <v>9970.94</v>
      </c>
      <c r="G24" s="25">
        <v>6.82</v>
      </c>
      <c r="H24" s="25">
        <v>2.88</v>
      </c>
    </row>
    <row r="25" spans="2:10" x14ac:dyDescent="0.2">
      <c r="B25" s="23" t="s">
        <v>616</v>
      </c>
      <c r="C25" s="23" t="s">
        <v>617</v>
      </c>
      <c r="D25" s="23" t="s">
        <v>455</v>
      </c>
      <c r="E25" s="28">
        <v>7500000</v>
      </c>
      <c r="F25" s="25">
        <v>7498.85</v>
      </c>
      <c r="G25" s="25">
        <v>5.13</v>
      </c>
      <c r="H25" s="25">
        <v>2.79</v>
      </c>
    </row>
    <row r="26" spans="2:10" x14ac:dyDescent="0.2">
      <c r="B26" s="23" t="s">
        <v>618</v>
      </c>
      <c r="C26" s="23" t="s">
        <v>619</v>
      </c>
      <c r="D26" s="23" t="s">
        <v>455</v>
      </c>
      <c r="E26" s="28">
        <v>5000000</v>
      </c>
      <c r="F26" s="25">
        <v>4999.24</v>
      </c>
      <c r="G26" s="25">
        <v>3.42</v>
      </c>
      <c r="H26" s="25">
        <v>2.79</v>
      </c>
    </row>
    <row r="27" spans="2:10" x14ac:dyDescent="0.2">
      <c r="B27" s="23" t="s">
        <v>620</v>
      </c>
      <c r="C27" s="23" t="s">
        <v>621</v>
      </c>
      <c r="D27" s="23" t="s">
        <v>455</v>
      </c>
      <c r="E27" s="28">
        <v>2500000</v>
      </c>
      <c r="F27" s="25">
        <v>2491.29</v>
      </c>
      <c r="G27" s="25">
        <v>1.7</v>
      </c>
      <c r="H27" s="25">
        <v>2.9</v>
      </c>
    </row>
    <row r="28" spans="2:10" x14ac:dyDescent="0.2">
      <c r="B28" s="30" t="s">
        <v>110</v>
      </c>
      <c r="C28" s="30"/>
      <c r="D28" s="30"/>
      <c r="E28" s="31"/>
      <c r="F28" s="32">
        <f>SUM(F19:F27)</f>
        <v>99858.560000000012</v>
      </c>
      <c r="G28" s="32">
        <f>SUM(G19:G27)</f>
        <v>68.3</v>
      </c>
      <c r="H28" s="48"/>
      <c r="I28" s="14"/>
      <c r="J28" s="14"/>
    </row>
    <row r="29" spans="2:10" x14ac:dyDescent="0.2">
      <c r="B29" s="49" t="s">
        <v>111</v>
      </c>
      <c r="C29" s="49"/>
      <c r="D29" s="49"/>
      <c r="E29" s="50"/>
      <c r="F29" s="51">
        <f>F12+F18+F28</f>
        <v>143256.98000000001</v>
      </c>
      <c r="G29" s="51">
        <f>G12+G18+G28</f>
        <v>97.97999999999999</v>
      </c>
      <c r="H29" s="51"/>
      <c r="I29" s="14"/>
      <c r="J29" s="14"/>
    </row>
    <row r="30" spans="2:10" x14ac:dyDescent="0.2">
      <c r="B30" s="47" t="s">
        <v>112</v>
      </c>
      <c r="C30" s="23"/>
      <c r="D30" s="23"/>
      <c r="E30" s="24"/>
      <c r="F30" s="25"/>
      <c r="G30" s="25"/>
      <c r="H30" s="25"/>
    </row>
    <row r="31" spans="2:10" x14ac:dyDescent="0.2">
      <c r="B31" s="23" t="s">
        <v>112</v>
      </c>
      <c r="C31" s="23"/>
      <c r="D31" s="23"/>
      <c r="E31" s="24"/>
      <c r="F31" s="25">
        <v>2946.58</v>
      </c>
      <c r="G31" s="25">
        <v>2.0099999999999998</v>
      </c>
      <c r="H31" s="25"/>
    </row>
    <row r="32" spans="2:10" x14ac:dyDescent="0.2">
      <c r="B32" s="30" t="s">
        <v>110</v>
      </c>
      <c r="C32" s="30"/>
      <c r="D32" s="30"/>
      <c r="E32" s="31"/>
      <c r="F32" s="32">
        <f>SUM(F30:F31)</f>
        <v>2946.58</v>
      </c>
      <c r="G32" s="32">
        <f>SUM(G30:G31)</f>
        <v>2.0099999999999998</v>
      </c>
      <c r="H32" s="48"/>
      <c r="I32" s="14"/>
      <c r="J32" s="14"/>
    </row>
    <row r="33" spans="2:10" x14ac:dyDescent="0.2">
      <c r="B33" s="34" t="s">
        <v>111</v>
      </c>
      <c r="C33" s="34"/>
      <c r="D33" s="34"/>
      <c r="E33" s="35"/>
      <c r="F33" s="36">
        <f>F32</f>
        <v>2946.58</v>
      </c>
      <c r="G33" s="36">
        <f>G32</f>
        <v>2.0099999999999998</v>
      </c>
      <c r="H33" s="36"/>
      <c r="I33" s="14"/>
      <c r="J33" s="14"/>
    </row>
    <row r="34" spans="2:10" x14ac:dyDescent="0.2">
      <c r="B34" s="44" t="s">
        <v>114</v>
      </c>
      <c r="C34" s="44"/>
      <c r="D34" s="44"/>
      <c r="E34" s="45"/>
      <c r="F34" s="16">
        <f>F35-(+F29+F33)</f>
        <v>-1.7799999999988358</v>
      </c>
      <c r="G34" s="16">
        <f>G35-(+G29+G33)</f>
        <v>1.0000000000005116E-2</v>
      </c>
      <c r="H34" s="16"/>
      <c r="I34" s="14"/>
      <c r="J34" s="14"/>
    </row>
    <row r="35" spans="2:10" x14ac:dyDescent="0.2">
      <c r="B35" s="44" t="s">
        <v>113</v>
      </c>
      <c r="C35" s="44"/>
      <c r="D35" s="44"/>
      <c r="E35" s="45"/>
      <c r="F35" s="16">
        <v>146201.78</v>
      </c>
      <c r="G35" s="16">
        <v>100</v>
      </c>
      <c r="H35" s="16"/>
      <c r="I35" s="14"/>
      <c r="J35" s="14"/>
    </row>
    <row r="37" spans="2:10" x14ac:dyDescent="0.2">
      <c r="B37" s="14" t="s">
        <v>805</v>
      </c>
    </row>
    <row r="38" spans="2:10" x14ac:dyDescent="0.2">
      <c r="B38" s="14" t="s">
        <v>574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1"/>
  <sheetViews>
    <sheetView workbookViewId="0">
      <selection activeCell="E50" sqref="E50"/>
    </sheetView>
  </sheetViews>
  <sheetFormatPr defaultRowHeight="12" x14ac:dyDescent="0.2"/>
  <cols>
    <col min="1" max="1" width="9.140625" style="1"/>
    <col min="2" max="2" width="61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23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351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622</v>
      </c>
      <c r="C7" s="23" t="s">
        <v>623</v>
      </c>
      <c r="D7" s="23" t="s">
        <v>354</v>
      </c>
      <c r="E7" s="28">
        <v>150</v>
      </c>
      <c r="F7" s="25">
        <v>1535.62</v>
      </c>
      <c r="G7" s="25">
        <v>3.87</v>
      </c>
      <c r="H7" s="25">
        <v>3.88</v>
      </c>
    </row>
    <row r="8" spans="2:8" x14ac:dyDescent="0.2">
      <c r="B8" s="23" t="s">
        <v>624</v>
      </c>
      <c r="C8" s="23" t="s">
        <v>625</v>
      </c>
      <c r="D8" s="23" t="s">
        <v>354</v>
      </c>
      <c r="E8" s="28">
        <v>150</v>
      </c>
      <c r="F8" s="25">
        <v>1506.23</v>
      </c>
      <c r="G8" s="25">
        <v>3.79</v>
      </c>
      <c r="H8" s="25">
        <v>3.05</v>
      </c>
    </row>
    <row r="9" spans="2:8" x14ac:dyDescent="0.2">
      <c r="B9" s="23" t="s">
        <v>626</v>
      </c>
      <c r="C9" s="23" t="s">
        <v>627</v>
      </c>
      <c r="D9" s="23" t="s">
        <v>354</v>
      </c>
      <c r="E9" s="28">
        <v>100</v>
      </c>
      <c r="F9" s="25">
        <v>1037.02</v>
      </c>
      <c r="G9" s="25">
        <v>2.61</v>
      </c>
      <c r="H9" s="25">
        <v>3.56</v>
      </c>
    </row>
    <row r="10" spans="2:8" x14ac:dyDescent="0.2">
      <c r="B10" s="23" t="s">
        <v>628</v>
      </c>
      <c r="C10" s="23" t="s">
        <v>629</v>
      </c>
      <c r="D10" s="23" t="s">
        <v>354</v>
      </c>
      <c r="E10" s="28">
        <v>100</v>
      </c>
      <c r="F10" s="25">
        <v>1029.8499999999999</v>
      </c>
      <c r="G10" s="25">
        <v>2.59</v>
      </c>
      <c r="H10" s="25">
        <v>4.05</v>
      </c>
    </row>
    <row r="11" spans="2:8" x14ac:dyDescent="0.2">
      <c r="B11" s="23" t="s">
        <v>630</v>
      </c>
      <c r="C11" s="23" t="s">
        <v>631</v>
      </c>
      <c r="D11" s="23" t="s">
        <v>354</v>
      </c>
      <c r="E11" s="28">
        <v>50</v>
      </c>
      <c r="F11" s="25">
        <v>522.84</v>
      </c>
      <c r="G11" s="25">
        <v>1.32</v>
      </c>
      <c r="H11" s="25">
        <v>4.22</v>
      </c>
    </row>
    <row r="12" spans="2:8" x14ac:dyDescent="0.2">
      <c r="B12" s="23" t="s">
        <v>632</v>
      </c>
      <c r="C12" s="23" t="s">
        <v>633</v>
      </c>
      <c r="D12" s="23" t="s">
        <v>354</v>
      </c>
      <c r="E12" s="28">
        <v>50</v>
      </c>
      <c r="F12" s="25">
        <v>514.55999999999995</v>
      </c>
      <c r="G12" s="25">
        <v>1.3</v>
      </c>
      <c r="H12" s="25">
        <v>3.81</v>
      </c>
    </row>
    <row r="13" spans="2:8" x14ac:dyDescent="0.2">
      <c r="B13" s="23" t="s">
        <v>357</v>
      </c>
      <c r="C13" s="23" t="s">
        <v>358</v>
      </c>
      <c r="D13" s="23" t="s">
        <v>354</v>
      </c>
      <c r="E13" s="28">
        <v>50</v>
      </c>
      <c r="F13" s="25">
        <v>514.46</v>
      </c>
      <c r="G13" s="25">
        <v>1.3</v>
      </c>
      <c r="H13" s="25">
        <v>3.77</v>
      </c>
    </row>
    <row r="14" spans="2:8" x14ac:dyDescent="0.2">
      <c r="B14" s="23" t="s">
        <v>512</v>
      </c>
      <c r="C14" s="23" t="s">
        <v>513</v>
      </c>
      <c r="D14" s="23" t="s">
        <v>354</v>
      </c>
      <c r="E14" s="28">
        <v>50</v>
      </c>
      <c r="F14" s="25">
        <v>514.37</v>
      </c>
      <c r="G14" s="25">
        <v>1.3</v>
      </c>
      <c r="H14" s="25">
        <v>3.96</v>
      </c>
    </row>
    <row r="15" spans="2:8" x14ac:dyDescent="0.2">
      <c r="B15" s="23" t="s">
        <v>506</v>
      </c>
      <c r="C15" s="23" t="s">
        <v>507</v>
      </c>
      <c r="D15" s="23" t="s">
        <v>354</v>
      </c>
      <c r="E15" s="28">
        <v>50</v>
      </c>
      <c r="F15" s="25">
        <v>512.92999999999995</v>
      </c>
      <c r="G15" s="25">
        <v>1.29</v>
      </c>
      <c r="H15" s="25">
        <v>3.8</v>
      </c>
    </row>
    <row r="16" spans="2:8" x14ac:dyDescent="0.2">
      <c r="B16" s="23" t="s">
        <v>382</v>
      </c>
      <c r="C16" s="23" t="s">
        <v>383</v>
      </c>
      <c r="D16" s="23" t="s">
        <v>354</v>
      </c>
      <c r="E16" s="28">
        <v>50</v>
      </c>
      <c r="F16" s="25">
        <v>512.77</v>
      </c>
      <c r="G16" s="25">
        <v>1.29</v>
      </c>
      <c r="H16" s="25">
        <v>3.72</v>
      </c>
    </row>
    <row r="17" spans="2:10" x14ac:dyDescent="0.2">
      <c r="B17" s="23" t="s">
        <v>361</v>
      </c>
      <c r="C17" s="23" t="s">
        <v>362</v>
      </c>
      <c r="D17" s="23" t="s">
        <v>354</v>
      </c>
      <c r="E17" s="28">
        <v>50</v>
      </c>
      <c r="F17" s="25">
        <v>501.58</v>
      </c>
      <c r="G17" s="25">
        <v>1.26</v>
      </c>
      <c r="H17" s="25">
        <v>3.07</v>
      </c>
    </row>
    <row r="18" spans="2:10" x14ac:dyDescent="0.2">
      <c r="B18" s="23" t="s">
        <v>355</v>
      </c>
      <c r="C18" s="23" t="s">
        <v>356</v>
      </c>
      <c r="D18" s="23" t="s">
        <v>354</v>
      </c>
      <c r="E18" s="28">
        <v>50</v>
      </c>
      <c r="F18" s="25">
        <v>501.25</v>
      </c>
      <c r="G18" s="25">
        <v>1.26</v>
      </c>
      <c r="H18" s="25">
        <v>3.06</v>
      </c>
    </row>
    <row r="19" spans="2:10" x14ac:dyDescent="0.2">
      <c r="B19" s="23" t="s">
        <v>634</v>
      </c>
      <c r="C19" s="23" t="s">
        <v>635</v>
      </c>
      <c r="D19" s="23" t="s">
        <v>388</v>
      </c>
      <c r="E19" s="28">
        <v>20</v>
      </c>
      <c r="F19" s="25">
        <v>208.16</v>
      </c>
      <c r="G19" s="25">
        <v>0.52</v>
      </c>
      <c r="H19" s="25">
        <v>3.77</v>
      </c>
    </row>
    <row r="20" spans="2:10" x14ac:dyDescent="0.2">
      <c r="B20" s="30" t="s">
        <v>110</v>
      </c>
      <c r="C20" s="30"/>
      <c r="D20" s="30"/>
      <c r="E20" s="31"/>
      <c r="F20" s="32">
        <f>SUM(F6:F19)</f>
        <v>9411.64</v>
      </c>
      <c r="G20" s="32">
        <f>SUM(G6:G19)</f>
        <v>23.700000000000003</v>
      </c>
      <c r="H20" s="48"/>
      <c r="I20" s="14"/>
      <c r="J20" s="14"/>
    </row>
    <row r="21" spans="2:10" x14ac:dyDescent="0.2">
      <c r="B21" s="49" t="s">
        <v>111</v>
      </c>
      <c r="C21" s="49"/>
      <c r="D21" s="49"/>
      <c r="E21" s="50"/>
      <c r="F21" s="51">
        <f>F20</f>
        <v>9411.64</v>
      </c>
      <c r="G21" s="51">
        <f>G20</f>
        <v>23.700000000000003</v>
      </c>
      <c r="H21" s="51"/>
      <c r="I21" s="14"/>
      <c r="J21" s="14"/>
    </row>
    <row r="22" spans="2:10" x14ac:dyDescent="0.2">
      <c r="B22" s="47" t="s">
        <v>451</v>
      </c>
      <c r="C22" s="23"/>
      <c r="D22" s="23"/>
      <c r="E22" s="24"/>
      <c r="F22" s="25"/>
      <c r="G22" s="25"/>
      <c r="H22" s="25"/>
    </row>
    <row r="23" spans="2:10" x14ac:dyDescent="0.2">
      <c r="B23" s="47" t="s">
        <v>530</v>
      </c>
      <c r="C23" s="23"/>
      <c r="D23" s="23"/>
      <c r="E23" s="24"/>
      <c r="F23" s="25"/>
      <c r="G23" s="25"/>
      <c r="H23" s="25"/>
    </row>
    <row r="24" spans="2:10" x14ac:dyDescent="0.2">
      <c r="B24" s="23" t="s">
        <v>531</v>
      </c>
      <c r="C24" s="23" t="s">
        <v>532</v>
      </c>
      <c r="D24" s="23" t="s">
        <v>533</v>
      </c>
      <c r="E24" s="28">
        <v>2500</v>
      </c>
      <c r="F24" s="25">
        <v>2459.5300000000002</v>
      </c>
      <c r="G24" s="25">
        <v>6.19</v>
      </c>
      <c r="H24" s="25">
        <v>3.3</v>
      </c>
    </row>
    <row r="25" spans="2:10" x14ac:dyDescent="0.2">
      <c r="B25" s="23" t="s">
        <v>536</v>
      </c>
      <c r="C25" s="23" t="s">
        <v>537</v>
      </c>
      <c r="D25" s="23" t="s">
        <v>538</v>
      </c>
      <c r="E25" s="28">
        <v>2500</v>
      </c>
      <c r="F25" s="25">
        <v>2421.73</v>
      </c>
      <c r="G25" s="25">
        <v>6.1</v>
      </c>
      <c r="H25" s="25">
        <v>3.63</v>
      </c>
    </row>
    <row r="26" spans="2:10" x14ac:dyDescent="0.2">
      <c r="B26" s="47" t="s">
        <v>110</v>
      </c>
      <c r="C26" s="47"/>
      <c r="D26" s="47"/>
      <c r="E26" s="59"/>
      <c r="F26" s="57">
        <f>SUM(F23:F25)</f>
        <v>4881.26</v>
      </c>
      <c r="G26" s="57">
        <f>SUM(G23:G25)</f>
        <v>12.29</v>
      </c>
      <c r="H26" s="60"/>
      <c r="I26" s="14"/>
      <c r="J26" s="14"/>
    </row>
    <row r="27" spans="2:10" x14ac:dyDescent="0.2">
      <c r="B27" s="47" t="s">
        <v>545</v>
      </c>
      <c r="C27" s="23"/>
      <c r="D27" s="23"/>
      <c r="E27" s="24"/>
      <c r="F27" s="25"/>
      <c r="G27" s="25"/>
      <c r="H27" s="25"/>
    </row>
    <row r="28" spans="2:10" x14ac:dyDescent="0.2">
      <c r="B28" s="23" t="s">
        <v>604</v>
      </c>
      <c r="C28" s="23" t="s">
        <v>605</v>
      </c>
      <c r="D28" s="23" t="s">
        <v>538</v>
      </c>
      <c r="E28" s="28">
        <v>300</v>
      </c>
      <c r="F28" s="25">
        <v>1493.81</v>
      </c>
      <c r="G28" s="25">
        <v>3.76</v>
      </c>
      <c r="H28" s="25">
        <v>2.91</v>
      </c>
    </row>
    <row r="29" spans="2:10" x14ac:dyDescent="0.2">
      <c r="B29" s="47" t="s">
        <v>110</v>
      </c>
      <c r="C29" s="47"/>
      <c r="D29" s="47"/>
      <c r="E29" s="59"/>
      <c r="F29" s="57">
        <f>SUM(F27:F28)</f>
        <v>1493.81</v>
      </c>
      <c r="G29" s="57">
        <f>SUM(G27:G28)</f>
        <v>3.76</v>
      </c>
      <c r="H29" s="60"/>
      <c r="I29" s="14"/>
      <c r="J29" s="14"/>
    </row>
    <row r="30" spans="2:10" x14ac:dyDescent="0.2">
      <c r="B30" s="47" t="s">
        <v>452</v>
      </c>
      <c r="C30" s="23"/>
      <c r="D30" s="23"/>
      <c r="E30" s="24"/>
      <c r="F30" s="25"/>
      <c r="G30" s="25"/>
      <c r="H30" s="25"/>
    </row>
    <row r="31" spans="2:10" x14ac:dyDescent="0.2">
      <c r="B31" s="23" t="s">
        <v>636</v>
      </c>
      <c r="C31" s="23" t="s">
        <v>637</v>
      </c>
      <c r="D31" s="23" t="s">
        <v>455</v>
      </c>
      <c r="E31" s="28">
        <v>5500000</v>
      </c>
      <c r="F31" s="25">
        <v>5487.33</v>
      </c>
      <c r="G31" s="25">
        <v>13.82</v>
      </c>
      <c r="H31" s="25">
        <v>2.81</v>
      </c>
    </row>
    <row r="32" spans="2:10" x14ac:dyDescent="0.2">
      <c r="B32" s="23" t="s">
        <v>614</v>
      </c>
      <c r="C32" s="23" t="s">
        <v>615</v>
      </c>
      <c r="D32" s="23" t="s">
        <v>455</v>
      </c>
      <c r="E32" s="28">
        <v>5000000</v>
      </c>
      <c r="F32" s="25">
        <v>4985.47</v>
      </c>
      <c r="G32" s="25">
        <v>12.56</v>
      </c>
      <c r="H32" s="25">
        <v>2.88</v>
      </c>
    </row>
    <row r="33" spans="2:10" x14ac:dyDescent="0.2">
      <c r="B33" s="23" t="s">
        <v>550</v>
      </c>
      <c r="C33" s="23" t="s">
        <v>551</v>
      </c>
      <c r="D33" s="23" t="s">
        <v>455</v>
      </c>
      <c r="E33" s="28">
        <v>2500000</v>
      </c>
      <c r="F33" s="25">
        <v>2498.2800000000002</v>
      </c>
      <c r="G33" s="25">
        <v>6.29</v>
      </c>
      <c r="H33" s="25">
        <v>2.8</v>
      </c>
    </row>
    <row r="34" spans="2:10" x14ac:dyDescent="0.2">
      <c r="B34" s="23" t="s">
        <v>556</v>
      </c>
      <c r="C34" s="23" t="s">
        <v>557</v>
      </c>
      <c r="D34" s="23" t="s">
        <v>455</v>
      </c>
      <c r="E34" s="28">
        <v>2500000</v>
      </c>
      <c r="F34" s="25">
        <v>2491.29</v>
      </c>
      <c r="G34" s="25">
        <v>6.27</v>
      </c>
      <c r="H34" s="25">
        <v>2.9</v>
      </c>
    </row>
    <row r="35" spans="2:10" x14ac:dyDescent="0.2">
      <c r="B35" s="23" t="s">
        <v>638</v>
      </c>
      <c r="C35" s="23" t="s">
        <v>639</v>
      </c>
      <c r="D35" s="23" t="s">
        <v>455</v>
      </c>
      <c r="E35" s="28">
        <v>2500000</v>
      </c>
      <c r="F35" s="25">
        <v>2484.3000000000002</v>
      </c>
      <c r="G35" s="25">
        <v>6.26</v>
      </c>
      <c r="H35" s="25">
        <v>2.92</v>
      </c>
    </row>
    <row r="36" spans="2:10" x14ac:dyDescent="0.2">
      <c r="B36" s="23" t="s">
        <v>560</v>
      </c>
      <c r="C36" s="23" t="s">
        <v>561</v>
      </c>
      <c r="D36" s="23" t="s">
        <v>455</v>
      </c>
      <c r="E36" s="28">
        <v>2500000</v>
      </c>
      <c r="F36" s="25">
        <v>2467.8200000000002</v>
      </c>
      <c r="G36" s="25">
        <v>6.22</v>
      </c>
      <c r="H36" s="25">
        <v>3.19</v>
      </c>
    </row>
    <row r="37" spans="2:10" x14ac:dyDescent="0.2">
      <c r="B37" s="23" t="s">
        <v>554</v>
      </c>
      <c r="C37" s="23" t="s">
        <v>555</v>
      </c>
      <c r="D37" s="23" t="s">
        <v>455</v>
      </c>
      <c r="E37" s="28">
        <v>2000000</v>
      </c>
      <c r="F37" s="25">
        <v>1958.43</v>
      </c>
      <c r="G37" s="25">
        <v>4.93</v>
      </c>
      <c r="H37" s="25">
        <v>3.32</v>
      </c>
    </row>
    <row r="38" spans="2:10" x14ac:dyDescent="0.2">
      <c r="B38" s="30" t="s">
        <v>110</v>
      </c>
      <c r="C38" s="30"/>
      <c r="D38" s="30"/>
      <c r="E38" s="31"/>
      <c r="F38" s="32">
        <f>SUM(F30:F37)</f>
        <v>22372.92</v>
      </c>
      <c r="G38" s="32">
        <f>SUM(G30:G37)</f>
        <v>56.349999999999994</v>
      </c>
      <c r="H38" s="48"/>
      <c r="I38" s="14"/>
      <c r="J38" s="14"/>
    </row>
    <row r="39" spans="2:10" x14ac:dyDescent="0.2">
      <c r="B39" s="49" t="s">
        <v>111</v>
      </c>
      <c r="C39" s="49"/>
      <c r="D39" s="49"/>
      <c r="E39" s="50"/>
      <c r="F39" s="51">
        <f>F26+F29+F38</f>
        <v>28747.989999999998</v>
      </c>
      <c r="G39" s="51">
        <f>G26+G29+G38</f>
        <v>72.399999999999991</v>
      </c>
      <c r="H39" s="51"/>
      <c r="I39" s="14"/>
      <c r="J39" s="14"/>
    </row>
    <row r="40" spans="2:10" x14ac:dyDescent="0.2">
      <c r="B40" s="47" t="s">
        <v>423</v>
      </c>
      <c r="C40" s="23"/>
      <c r="D40" s="23"/>
      <c r="E40" s="24"/>
      <c r="F40" s="25"/>
      <c r="G40" s="25"/>
      <c r="H40" s="25"/>
    </row>
    <row r="41" spans="2:10" x14ac:dyDescent="0.2">
      <c r="B41" s="52" t="s">
        <v>640</v>
      </c>
      <c r="C41" s="52" t="s">
        <v>641</v>
      </c>
      <c r="D41" s="52" t="s">
        <v>426</v>
      </c>
      <c r="E41" s="53">
        <v>500000</v>
      </c>
      <c r="F41" s="54">
        <v>508.65</v>
      </c>
      <c r="G41" s="54">
        <v>1.28</v>
      </c>
      <c r="H41" s="54">
        <v>3.34</v>
      </c>
    </row>
    <row r="42" spans="2:10" x14ac:dyDescent="0.2">
      <c r="B42" s="55" t="s">
        <v>111</v>
      </c>
      <c r="C42" s="55"/>
      <c r="D42" s="55"/>
      <c r="E42" s="56"/>
      <c r="F42" s="57">
        <f>SUM(F41:F41)</f>
        <v>508.65</v>
      </c>
      <c r="G42" s="57">
        <f>SUM(G41:G41)</f>
        <v>1.28</v>
      </c>
      <c r="H42" s="57"/>
      <c r="I42" s="14"/>
      <c r="J42" s="14"/>
    </row>
    <row r="43" spans="2:10" x14ac:dyDescent="0.2">
      <c r="B43" s="47" t="s">
        <v>112</v>
      </c>
      <c r="C43" s="23"/>
      <c r="D43" s="23"/>
      <c r="E43" s="24"/>
      <c r="F43" s="25"/>
      <c r="G43" s="25"/>
      <c r="H43" s="25"/>
    </row>
    <row r="44" spans="2:10" x14ac:dyDescent="0.2">
      <c r="B44" s="23" t="s">
        <v>112</v>
      </c>
      <c r="C44" s="23"/>
      <c r="D44" s="23"/>
      <c r="E44" s="24"/>
      <c r="F44" s="25">
        <v>698.53</v>
      </c>
      <c r="G44" s="25">
        <v>1.76</v>
      </c>
      <c r="H44" s="25"/>
    </row>
    <row r="45" spans="2:10" x14ac:dyDescent="0.2">
      <c r="B45" s="30" t="s">
        <v>110</v>
      </c>
      <c r="C45" s="30"/>
      <c r="D45" s="30"/>
      <c r="E45" s="31"/>
      <c r="F45" s="32">
        <f>SUM(F43:F44)</f>
        <v>698.53</v>
      </c>
      <c r="G45" s="32">
        <f>SUM(G43:G44)</f>
        <v>1.76</v>
      </c>
      <c r="H45" s="48"/>
      <c r="I45" s="14"/>
      <c r="J45" s="14"/>
    </row>
    <row r="46" spans="2:10" x14ac:dyDescent="0.2">
      <c r="B46" s="34" t="s">
        <v>111</v>
      </c>
      <c r="C46" s="34"/>
      <c r="D46" s="34"/>
      <c r="E46" s="35"/>
      <c r="F46" s="36">
        <f>F45</f>
        <v>698.53</v>
      </c>
      <c r="G46" s="36">
        <f>G45</f>
        <v>1.76</v>
      </c>
      <c r="H46" s="36"/>
      <c r="I46" s="14"/>
      <c r="J46" s="14"/>
    </row>
    <row r="47" spans="2:10" x14ac:dyDescent="0.2">
      <c r="B47" s="44" t="s">
        <v>114</v>
      </c>
      <c r="C47" s="44"/>
      <c r="D47" s="44"/>
      <c r="E47" s="45"/>
      <c r="F47" s="16">
        <f>F48-(+F21+F39+F42+F46)</f>
        <v>697.56000000000495</v>
      </c>
      <c r="G47" s="16">
        <f>G48-(+G21+G39+G42+G46)</f>
        <v>0.85999999999999943</v>
      </c>
      <c r="H47" s="16"/>
      <c r="I47" s="14"/>
      <c r="J47" s="14"/>
    </row>
    <row r="48" spans="2:10" x14ac:dyDescent="0.2">
      <c r="B48" s="44" t="s">
        <v>113</v>
      </c>
      <c r="C48" s="44"/>
      <c r="D48" s="44"/>
      <c r="E48" s="45"/>
      <c r="F48" s="16">
        <v>40064.370000000003</v>
      </c>
      <c r="G48" s="16">
        <v>100</v>
      </c>
      <c r="H48" s="16"/>
      <c r="I48" s="14"/>
      <c r="J48" s="14"/>
    </row>
    <row r="50" spans="2:2" x14ac:dyDescent="0.2">
      <c r="B50" s="14" t="s">
        <v>805</v>
      </c>
    </row>
    <row r="51" spans="2:2" x14ac:dyDescent="0.2">
      <c r="B51" s="14" t="s">
        <v>574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61" style="1" bestFit="1" customWidth="1"/>
    <col min="3" max="3" width="4.14062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9" ht="21" customHeight="1" x14ac:dyDescent="0.2">
      <c r="B1" s="61" t="s">
        <v>24</v>
      </c>
      <c r="C1" s="62"/>
      <c r="D1" s="62"/>
      <c r="E1" s="62"/>
      <c r="F1" s="62"/>
      <c r="G1" s="62"/>
    </row>
    <row r="3" spans="2:9" ht="16.5" thickBot="1" x14ac:dyDescent="0.25">
      <c r="B3" s="2" t="s">
        <v>7</v>
      </c>
      <c r="C3" s="3"/>
      <c r="D3" s="4"/>
      <c r="E3" s="5"/>
      <c r="F3" s="6"/>
      <c r="G3" s="6"/>
    </row>
    <row r="4" spans="2:9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9" x14ac:dyDescent="0.2">
      <c r="B5" s="17" t="s">
        <v>112</v>
      </c>
      <c r="C5" s="18"/>
      <c r="D5" s="18"/>
      <c r="E5" s="19"/>
      <c r="F5" s="20"/>
      <c r="G5" s="20"/>
    </row>
    <row r="6" spans="2:9" x14ac:dyDescent="0.2">
      <c r="B6" s="27" t="s">
        <v>112</v>
      </c>
      <c r="C6" s="23"/>
      <c r="D6" s="23"/>
      <c r="E6" s="24"/>
      <c r="F6" s="25">
        <v>10057.16</v>
      </c>
      <c r="G6" s="25">
        <v>99.41</v>
      </c>
    </row>
    <row r="7" spans="2:9" x14ac:dyDescent="0.2">
      <c r="B7" s="29" t="s">
        <v>110</v>
      </c>
      <c r="C7" s="30"/>
      <c r="D7" s="30"/>
      <c r="E7" s="31"/>
      <c r="F7" s="32">
        <f>SUM(F5:F6)</f>
        <v>10057.16</v>
      </c>
      <c r="G7" s="32">
        <f>SUM(G5:G6)</f>
        <v>99.41</v>
      </c>
      <c r="H7" s="14"/>
      <c r="I7" s="14"/>
    </row>
    <row r="8" spans="2:9" x14ac:dyDescent="0.2">
      <c r="B8" s="34" t="s">
        <v>111</v>
      </c>
      <c r="C8" s="34"/>
      <c r="D8" s="34"/>
      <c r="E8" s="35"/>
      <c r="F8" s="36">
        <f>F7</f>
        <v>10057.16</v>
      </c>
      <c r="G8" s="36">
        <f>G7</f>
        <v>99.41</v>
      </c>
      <c r="H8" s="14"/>
      <c r="I8" s="14"/>
    </row>
    <row r="9" spans="2:9" x14ac:dyDescent="0.2">
      <c r="B9" s="44" t="s">
        <v>114</v>
      </c>
      <c r="C9" s="44"/>
      <c r="D9" s="44"/>
      <c r="E9" s="45"/>
      <c r="F9" s="16">
        <f>F10-(+F8)</f>
        <v>56.350000000000364</v>
      </c>
      <c r="G9" s="16">
        <f>G10-(+G8)</f>
        <v>0.59000000000000341</v>
      </c>
      <c r="H9" s="14"/>
      <c r="I9" s="14"/>
    </row>
    <row r="10" spans="2:9" x14ac:dyDescent="0.2">
      <c r="B10" s="44" t="s">
        <v>113</v>
      </c>
      <c r="C10" s="44"/>
      <c r="D10" s="44"/>
      <c r="E10" s="45"/>
      <c r="F10" s="16">
        <v>10113.51</v>
      </c>
      <c r="G10" s="16">
        <v>100</v>
      </c>
      <c r="H10" s="14"/>
      <c r="I10" s="14"/>
    </row>
    <row r="12" spans="2:9" x14ac:dyDescent="0.2">
      <c r="B1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7"/>
  <sheetViews>
    <sheetView workbookViewId="0">
      <selection activeCell="F87" sqref="F87"/>
    </sheetView>
  </sheetViews>
  <sheetFormatPr defaultRowHeight="12" x14ac:dyDescent="0.2"/>
  <cols>
    <col min="1" max="1" width="9.140625" style="1"/>
    <col min="2" max="2" width="61" style="1" bestFit="1" customWidth="1"/>
    <col min="3" max="3" width="13.855468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25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351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363</v>
      </c>
      <c r="C7" s="23" t="s">
        <v>364</v>
      </c>
      <c r="D7" s="23" t="s">
        <v>354</v>
      </c>
      <c r="E7" s="28">
        <v>350</v>
      </c>
      <c r="F7" s="25">
        <v>3685.29</v>
      </c>
      <c r="G7" s="25">
        <v>3.58</v>
      </c>
      <c r="H7" s="25">
        <v>4.26</v>
      </c>
    </row>
    <row r="8" spans="2:8" x14ac:dyDescent="0.2">
      <c r="B8" s="23" t="s">
        <v>642</v>
      </c>
      <c r="C8" s="23" t="s">
        <v>643</v>
      </c>
      <c r="D8" s="23" t="s">
        <v>367</v>
      </c>
      <c r="E8" s="28">
        <v>350</v>
      </c>
      <c r="F8" s="25">
        <v>3665.4</v>
      </c>
      <c r="G8" s="25">
        <v>3.56</v>
      </c>
      <c r="H8" s="25">
        <v>4.45</v>
      </c>
    </row>
    <row r="9" spans="2:8" x14ac:dyDescent="0.2">
      <c r="B9" s="23" t="s">
        <v>644</v>
      </c>
      <c r="C9" s="23" t="s">
        <v>645</v>
      </c>
      <c r="D9" s="23" t="s">
        <v>354</v>
      </c>
      <c r="E9" s="28">
        <v>250</v>
      </c>
      <c r="F9" s="25">
        <v>2679.15</v>
      </c>
      <c r="G9" s="25">
        <v>2.6</v>
      </c>
      <c r="H9" s="25">
        <v>5.37</v>
      </c>
    </row>
    <row r="10" spans="2:8" x14ac:dyDescent="0.2">
      <c r="B10" s="23" t="s">
        <v>646</v>
      </c>
      <c r="C10" s="23" t="s">
        <v>647</v>
      </c>
      <c r="D10" s="23" t="s">
        <v>354</v>
      </c>
      <c r="E10" s="28">
        <v>250</v>
      </c>
      <c r="F10" s="25">
        <v>2640.17</v>
      </c>
      <c r="G10" s="25">
        <v>2.56</v>
      </c>
      <c r="H10" s="25">
        <v>4.63</v>
      </c>
    </row>
    <row r="11" spans="2:8" x14ac:dyDescent="0.2">
      <c r="B11" s="23" t="s">
        <v>648</v>
      </c>
      <c r="C11" s="23" t="s">
        <v>649</v>
      </c>
      <c r="D11" s="23" t="s">
        <v>354</v>
      </c>
      <c r="E11" s="28">
        <v>250</v>
      </c>
      <c r="F11" s="25">
        <v>2635.38</v>
      </c>
      <c r="G11" s="25">
        <v>2.56</v>
      </c>
      <c r="H11" s="25">
        <v>4.6900000000000004</v>
      </c>
    </row>
    <row r="12" spans="2:8" x14ac:dyDescent="0.2">
      <c r="B12" s="23" t="s">
        <v>526</v>
      </c>
      <c r="C12" s="23" t="s">
        <v>527</v>
      </c>
      <c r="D12" s="23" t="s">
        <v>354</v>
      </c>
      <c r="E12" s="28">
        <v>250</v>
      </c>
      <c r="F12" s="25">
        <v>2625.3</v>
      </c>
      <c r="G12" s="25">
        <v>2.5499999999999998</v>
      </c>
      <c r="H12" s="25">
        <v>4.03</v>
      </c>
    </row>
    <row r="13" spans="2:8" x14ac:dyDescent="0.2">
      <c r="B13" s="23" t="s">
        <v>368</v>
      </c>
      <c r="C13" s="23" t="s">
        <v>369</v>
      </c>
      <c r="D13" s="23" t="s">
        <v>354</v>
      </c>
      <c r="E13" s="28">
        <v>250</v>
      </c>
      <c r="F13" s="25">
        <v>2562.29</v>
      </c>
      <c r="G13" s="25">
        <v>2.4900000000000002</v>
      </c>
      <c r="H13" s="25">
        <v>3.86</v>
      </c>
    </row>
    <row r="14" spans="2:8" x14ac:dyDescent="0.2">
      <c r="B14" s="23" t="s">
        <v>650</v>
      </c>
      <c r="C14" s="23" t="s">
        <v>651</v>
      </c>
      <c r="D14" s="23" t="s">
        <v>354</v>
      </c>
      <c r="E14" s="28">
        <v>250</v>
      </c>
      <c r="F14" s="25">
        <v>2553.3200000000002</v>
      </c>
      <c r="G14" s="25">
        <v>2.48</v>
      </c>
      <c r="H14" s="25">
        <v>4.4800000000000004</v>
      </c>
    </row>
    <row r="15" spans="2:8" x14ac:dyDescent="0.2">
      <c r="B15" s="23" t="s">
        <v>652</v>
      </c>
      <c r="C15" s="23" t="s">
        <v>653</v>
      </c>
      <c r="D15" s="23" t="s">
        <v>354</v>
      </c>
      <c r="E15" s="28">
        <v>200</v>
      </c>
      <c r="F15" s="25">
        <v>2114.94</v>
      </c>
      <c r="G15" s="25">
        <v>2.0499999999999998</v>
      </c>
      <c r="H15" s="25">
        <v>5.64</v>
      </c>
    </row>
    <row r="16" spans="2:8" x14ac:dyDescent="0.2">
      <c r="B16" s="23" t="s">
        <v>399</v>
      </c>
      <c r="C16" s="23" t="s">
        <v>400</v>
      </c>
      <c r="D16" s="23" t="s">
        <v>354</v>
      </c>
      <c r="E16" s="28">
        <v>200</v>
      </c>
      <c r="F16" s="25">
        <v>2099.42</v>
      </c>
      <c r="G16" s="25">
        <v>2.04</v>
      </c>
      <c r="H16" s="25">
        <v>4.47</v>
      </c>
    </row>
    <row r="17" spans="2:8" x14ac:dyDescent="0.2">
      <c r="B17" s="23" t="s">
        <v>397</v>
      </c>
      <c r="C17" s="23" t="s">
        <v>398</v>
      </c>
      <c r="D17" s="23" t="s">
        <v>354</v>
      </c>
      <c r="E17" s="28">
        <v>150</v>
      </c>
      <c r="F17" s="25">
        <v>1617.36</v>
      </c>
      <c r="G17" s="25">
        <v>1.57</v>
      </c>
      <c r="H17" s="25">
        <v>5.49</v>
      </c>
    </row>
    <row r="18" spans="2:8" x14ac:dyDescent="0.2">
      <c r="B18" s="23" t="s">
        <v>378</v>
      </c>
      <c r="C18" s="23" t="s">
        <v>379</v>
      </c>
      <c r="D18" s="23" t="s">
        <v>354</v>
      </c>
      <c r="E18" s="28">
        <v>150</v>
      </c>
      <c r="F18" s="25">
        <v>1608.5</v>
      </c>
      <c r="G18" s="25">
        <v>1.56</v>
      </c>
      <c r="H18" s="25">
        <v>5.49</v>
      </c>
    </row>
    <row r="19" spans="2:8" x14ac:dyDescent="0.2">
      <c r="B19" s="23" t="s">
        <v>654</v>
      </c>
      <c r="C19" s="23" t="s">
        <v>655</v>
      </c>
      <c r="D19" s="23" t="s">
        <v>354</v>
      </c>
      <c r="E19" s="28">
        <v>150</v>
      </c>
      <c r="F19" s="25">
        <v>1585.76</v>
      </c>
      <c r="G19" s="25">
        <v>1.54</v>
      </c>
      <c r="H19" s="25">
        <v>4.17</v>
      </c>
    </row>
    <row r="20" spans="2:8" x14ac:dyDescent="0.2">
      <c r="B20" s="23" t="s">
        <v>380</v>
      </c>
      <c r="C20" s="23" t="s">
        <v>381</v>
      </c>
      <c r="D20" s="23" t="s">
        <v>354</v>
      </c>
      <c r="E20" s="28">
        <v>150</v>
      </c>
      <c r="F20" s="25">
        <v>1583.48</v>
      </c>
      <c r="G20" s="25">
        <v>1.54</v>
      </c>
      <c r="H20" s="25">
        <v>4.47</v>
      </c>
    </row>
    <row r="21" spans="2:8" x14ac:dyDescent="0.2">
      <c r="B21" s="23" t="s">
        <v>500</v>
      </c>
      <c r="C21" s="23" t="s">
        <v>501</v>
      </c>
      <c r="D21" s="23" t="s">
        <v>354</v>
      </c>
      <c r="E21" s="28">
        <v>150</v>
      </c>
      <c r="F21" s="25">
        <v>1580.41</v>
      </c>
      <c r="G21" s="25">
        <v>1.53</v>
      </c>
      <c r="H21" s="25">
        <v>3.84</v>
      </c>
    </row>
    <row r="22" spans="2:8" x14ac:dyDescent="0.2">
      <c r="B22" s="23" t="s">
        <v>656</v>
      </c>
      <c r="C22" s="23" t="s">
        <v>657</v>
      </c>
      <c r="D22" s="23" t="s">
        <v>354</v>
      </c>
      <c r="E22" s="28">
        <v>150</v>
      </c>
      <c r="F22" s="25">
        <v>1576.43</v>
      </c>
      <c r="G22" s="25">
        <v>1.53</v>
      </c>
      <c r="H22" s="25">
        <v>3.97</v>
      </c>
    </row>
    <row r="23" spans="2:8" x14ac:dyDescent="0.2">
      <c r="B23" s="23" t="s">
        <v>658</v>
      </c>
      <c r="C23" s="23" t="s">
        <v>659</v>
      </c>
      <c r="D23" s="23" t="s">
        <v>367</v>
      </c>
      <c r="E23" s="28">
        <v>150</v>
      </c>
      <c r="F23" s="25">
        <v>1573.55</v>
      </c>
      <c r="G23" s="25">
        <v>1.53</v>
      </c>
      <c r="H23" s="25">
        <v>3.96</v>
      </c>
    </row>
    <row r="24" spans="2:8" x14ac:dyDescent="0.2">
      <c r="B24" s="23" t="s">
        <v>660</v>
      </c>
      <c r="C24" s="23" t="s">
        <v>661</v>
      </c>
      <c r="D24" s="23" t="s">
        <v>354</v>
      </c>
      <c r="E24" s="28">
        <v>150</v>
      </c>
      <c r="F24" s="25">
        <v>1568.1</v>
      </c>
      <c r="G24" s="25">
        <v>1.52</v>
      </c>
      <c r="H24" s="25">
        <v>4.75</v>
      </c>
    </row>
    <row r="25" spans="2:8" x14ac:dyDescent="0.2">
      <c r="B25" s="23" t="s">
        <v>662</v>
      </c>
      <c r="C25" s="23" t="s">
        <v>663</v>
      </c>
      <c r="D25" s="23" t="s">
        <v>354</v>
      </c>
      <c r="E25" s="28">
        <v>150</v>
      </c>
      <c r="F25" s="25">
        <v>1523.34</v>
      </c>
      <c r="G25" s="25">
        <v>1.48</v>
      </c>
      <c r="H25" s="25">
        <v>4.76</v>
      </c>
    </row>
    <row r="26" spans="2:8" x14ac:dyDescent="0.2">
      <c r="B26" s="23" t="s">
        <v>370</v>
      </c>
      <c r="C26" s="23" t="s">
        <v>371</v>
      </c>
      <c r="D26" s="23" t="s">
        <v>354</v>
      </c>
      <c r="E26" s="28">
        <v>150</v>
      </c>
      <c r="F26" s="25">
        <v>1511.74</v>
      </c>
      <c r="G26" s="25">
        <v>1.47</v>
      </c>
      <c r="H26" s="25">
        <v>5.26</v>
      </c>
    </row>
    <row r="27" spans="2:8" x14ac:dyDescent="0.2">
      <c r="B27" s="23" t="s">
        <v>664</v>
      </c>
      <c r="C27" s="23" t="s">
        <v>665</v>
      </c>
      <c r="D27" s="23" t="s">
        <v>354</v>
      </c>
      <c r="E27" s="28">
        <v>100</v>
      </c>
      <c r="F27" s="25">
        <v>1057.31</v>
      </c>
      <c r="G27" s="25">
        <v>1.03</v>
      </c>
      <c r="H27" s="25">
        <v>4.47</v>
      </c>
    </row>
    <row r="28" spans="2:8" x14ac:dyDescent="0.2">
      <c r="B28" s="23" t="s">
        <v>518</v>
      </c>
      <c r="C28" s="23" t="s">
        <v>519</v>
      </c>
      <c r="D28" s="23" t="s">
        <v>354</v>
      </c>
      <c r="E28" s="28">
        <v>100</v>
      </c>
      <c r="F28" s="25">
        <v>1056.4000000000001</v>
      </c>
      <c r="G28" s="25">
        <v>1.03</v>
      </c>
      <c r="H28" s="25">
        <v>3.97</v>
      </c>
    </row>
    <row r="29" spans="2:8" x14ac:dyDescent="0.2">
      <c r="B29" s="23" t="s">
        <v>666</v>
      </c>
      <c r="C29" s="23" t="s">
        <v>667</v>
      </c>
      <c r="D29" s="23" t="s">
        <v>354</v>
      </c>
      <c r="E29" s="28">
        <v>100</v>
      </c>
      <c r="F29" s="25">
        <v>1054.94</v>
      </c>
      <c r="G29" s="25">
        <v>1.02</v>
      </c>
      <c r="H29" s="25">
        <v>3.92</v>
      </c>
    </row>
    <row r="30" spans="2:8" x14ac:dyDescent="0.2">
      <c r="B30" s="23" t="s">
        <v>524</v>
      </c>
      <c r="C30" s="23" t="s">
        <v>525</v>
      </c>
      <c r="D30" s="23" t="s">
        <v>354</v>
      </c>
      <c r="E30" s="28">
        <v>100</v>
      </c>
      <c r="F30" s="25">
        <v>1053.7</v>
      </c>
      <c r="G30" s="25">
        <v>1.02</v>
      </c>
      <c r="H30" s="25">
        <v>4.47</v>
      </c>
    </row>
    <row r="31" spans="2:8" x14ac:dyDescent="0.2">
      <c r="B31" s="23" t="s">
        <v>514</v>
      </c>
      <c r="C31" s="23" t="s">
        <v>515</v>
      </c>
      <c r="D31" s="23" t="s">
        <v>367</v>
      </c>
      <c r="E31" s="28">
        <v>100</v>
      </c>
      <c r="F31" s="25">
        <v>1048.26</v>
      </c>
      <c r="G31" s="25">
        <v>1.02</v>
      </c>
      <c r="H31" s="25">
        <v>3.96</v>
      </c>
    </row>
    <row r="32" spans="2:8" x14ac:dyDescent="0.2">
      <c r="B32" s="23" t="s">
        <v>668</v>
      </c>
      <c r="C32" s="23" t="s">
        <v>669</v>
      </c>
      <c r="D32" s="23" t="s">
        <v>354</v>
      </c>
      <c r="E32" s="28">
        <v>100</v>
      </c>
      <c r="F32" s="25">
        <v>1046.8499999999999</v>
      </c>
      <c r="G32" s="25">
        <v>1.02</v>
      </c>
      <c r="H32" s="25">
        <v>4.1500000000000004</v>
      </c>
    </row>
    <row r="33" spans="2:8" x14ac:dyDescent="0.2">
      <c r="B33" s="23" t="s">
        <v>480</v>
      </c>
      <c r="C33" s="23" t="s">
        <v>481</v>
      </c>
      <c r="D33" s="23" t="s">
        <v>354</v>
      </c>
      <c r="E33" s="28">
        <v>100</v>
      </c>
      <c r="F33" s="25">
        <v>1029.0899999999999</v>
      </c>
      <c r="G33" s="25">
        <v>1</v>
      </c>
      <c r="H33" s="25">
        <v>3.58</v>
      </c>
    </row>
    <row r="34" spans="2:8" x14ac:dyDescent="0.2">
      <c r="B34" s="23" t="s">
        <v>670</v>
      </c>
      <c r="C34" s="23" t="s">
        <v>671</v>
      </c>
      <c r="D34" s="23" t="s">
        <v>354</v>
      </c>
      <c r="E34" s="28">
        <v>100</v>
      </c>
      <c r="F34" s="25">
        <v>1028.52</v>
      </c>
      <c r="G34" s="25">
        <v>1</v>
      </c>
      <c r="H34" s="25">
        <v>3.92</v>
      </c>
    </row>
    <row r="35" spans="2:8" x14ac:dyDescent="0.2">
      <c r="B35" s="23" t="s">
        <v>672</v>
      </c>
      <c r="C35" s="23" t="s">
        <v>673</v>
      </c>
      <c r="D35" s="23" t="s">
        <v>354</v>
      </c>
      <c r="E35" s="28">
        <v>100</v>
      </c>
      <c r="F35" s="25">
        <v>1004.28</v>
      </c>
      <c r="G35" s="25">
        <v>0.97</v>
      </c>
      <c r="H35" s="25">
        <v>3.3</v>
      </c>
    </row>
    <row r="36" spans="2:8" x14ac:dyDescent="0.2">
      <c r="B36" s="23" t="s">
        <v>674</v>
      </c>
      <c r="C36" s="23" t="s">
        <v>675</v>
      </c>
      <c r="D36" s="23" t="s">
        <v>354</v>
      </c>
      <c r="E36" s="28">
        <v>70</v>
      </c>
      <c r="F36" s="25">
        <v>725.88</v>
      </c>
      <c r="G36" s="25">
        <v>0.7</v>
      </c>
      <c r="H36" s="25">
        <v>3.52</v>
      </c>
    </row>
    <row r="37" spans="2:8" x14ac:dyDescent="0.2">
      <c r="B37" s="23" t="s">
        <v>359</v>
      </c>
      <c r="C37" s="23" t="s">
        <v>360</v>
      </c>
      <c r="D37" s="23" t="s">
        <v>354</v>
      </c>
      <c r="E37" s="28">
        <v>50</v>
      </c>
      <c r="F37" s="25">
        <v>569.25</v>
      </c>
      <c r="G37" s="25">
        <v>0.55000000000000004</v>
      </c>
      <c r="H37" s="25">
        <v>6.39</v>
      </c>
    </row>
    <row r="38" spans="2:8" x14ac:dyDescent="0.2">
      <c r="B38" s="23" t="s">
        <v>676</v>
      </c>
      <c r="C38" s="23" t="s">
        <v>677</v>
      </c>
      <c r="D38" s="23" t="s">
        <v>354</v>
      </c>
      <c r="E38" s="28">
        <v>50</v>
      </c>
      <c r="F38" s="25">
        <v>564.62</v>
      </c>
      <c r="G38" s="25">
        <v>0.55000000000000004</v>
      </c>
      <c r="H38" s="25">
        <v>5.93</v>
      </c>
    </row>
    <row r="39" spans="2:8" x14ac:dyDescent="0.2">
      <c r="B39" s="23" t="s">
        <v>678</v>
      </c>
      <c r="C39" s="23" t="s">
        <v>679</v>
      </c>
      <c r="D39" s="23" t="s">
        <v>354</v>
      </c>
      <c r="E39" s="28">
        <v>50</v>
      </c>
      <c r="F39" s="25">
        <v>561.92999999999995</v>
      </c>
      <c r="G39" s="25">
        <v>0.55000000000000004</v>
      </c>
      <c r="H39" s="25">
        <v>5.7</v>
      </c>
    </row>
    <row r="40" spans="2:8" x14ac:dyDescent="0.2">
      <c r="B40" s="23" t="s">
        <v>391</v>
      </c>
      <c r="C40" s="23" t="s">
        <v>392</v>
      </c>
      <c r="D40" s="23" t="s">
        <v>354</v>
      </c>
      <c r="E40" s="28">
        <v>50</v>
      </c>
      <c r="F40" s="25">
        <v>560.37</v>
      </c>
      <c r="G40" s="25">
        <v>0.54</v>
      </c>
      <c r="H40" s="25">
        <v>6.43</v>
      </c>
    </row>
    <row r="41" spans="2:8" x14ac:dyDescent="0.2">
      <c r="B41" s="23" t="s">
        <v>411</v>
      </c>
      <c r="C41" s="23" t="s">
        <v>412</v>
      </c>
      <c r="D41" s="23" t="s">
        <v>354</v>
      </c>
      <c r="E41" s="28">
        <v>50</v>
      </c>
      <c r="F41" s="25">
        <v>558.96</v>
      </c>
      <c r="G41" s="25">
        <v>0.54</v>
      </c>
      <c r="H41" s="25">
        <v>6.39</v>
      </c>
    </row>
    <row r="42" spans="2:8" x14ac:dyDescent="0.2">
      <c r="B42" s="23" t="s">
        <v>680</v>
      </c>
      <c r="C42" s="23" t="s">
        <v>681</v>
      </c>
      <c r="D42" s="23" t="s">
        <v>354</v>
      </c>
      <c r="E42" s="28">
        <v>50</v>
      </c>
      <c r="F42" s="25">
        <v>542.13</v>
      </c>
      <c r="G42" s="25">
        <v>0.53</v>
      </c>
      <c r="H42" s="25">
        <v>4.33</v>
      </c>
    </row>
    <row r="43" spans="2:8" x14ac:dyDescent="0.2">
      <c r="B43" s="23" t="s">
        <v>372</v>
      </c>
      <c r="C43" s="23" t="s">
        <v>373</v>
      </c>
      <c r="D43" s="23" t="s">
        <v>354</v>
      </c>
      <c r="E43" s="28">
        <v>50</v>
      </c>
      <c r="F43" s="25">
        <v>541.71</v>
      </c>
      <c r="G43" s="25">
        <v>0.53</v>
      </c>
      <c r="H43" s="25">
        <v>5.37</v>
      </c>
    </row>
    <row r="44" spans="2:8" x14ac:dyDescent="0.2">
      <c r="B44" s="23" t="s">
        <v>682</v>
      </c>
      <c r="C44" s="23" t="s">
        <v>683</v>
      </c>
      <c r="D44" s="23" t="s">
        <v>367</v>
      </c>
      <c r="E44" s="28">
        <v>50</v>
      </c>
      <c r="F44" s="25">
        <v>536.91</v>
      </c>
      <c r="G44" s="25">
        <v>0.52</v>
      </c>
      <c r="H44" s="25">
        <v>6.48</v>
      </c>
    </row>
    <row r="45" spans="2:8" x14ac:dyDescent="0.2">
      <c r="B45" s="23" t="s">
        <v>472</v>
      </c>
      <c r="C45" s="23" t="s">
        <v>473</v>
      </c>
      <c r="D45" s="23" t="s">
        <v>354</v>
      </c>
      <c r="E45" s="28">
        <v>50</v>
      </c>
      <c r="F45" s="25">
        <v>531.66999999999996</v>
      </c>
      <c r="G45" s="25">
        <v>0.52</v>
      </c>
      <c r="H45" s="25">
        <v>6.5</v>
      </c>
    </row>
    <row r="46" spans="2:8" x14ac:dyDescent="0.2">
      <c r="B46" s="23" t="s">
        <v>684</v>
      </c>
      <c r="C46" s="23" t="s">
        <v>685</v>
      </c>
      <c r="D46" s="23" t="s">
        <v>354</v>
      </c>
      <c r="E46" s="28">
        <v>50</v>
      </c>
      <c r="F46" s="25">
        <v>530.53</v>
      </c>
      <c r="G46" s="25">
        <v>0.51</v>
      </c>
      <c r="H46" s="25">
        <v>4.32</v>
      </c>
    </row>
    <row r="47" spans="2:8" x14ac:dyDescent="0.2">
      <c r="B47" s="23" t="s">
        <v>686</v>
      </c>
      <c r="C47" s="23" t="s">
        <v>687</v>
      </c>
      <c r="D47" s="23" t="s">
        <v>367</v>
      </c>
      <c r="E47" s="28">
        <v>50</v>
      </c>
      <c r="F47" s="25">
        <v>522.71</v>
      </c>
      <c r="G47" s="25">
        <v>0.51</v>
      </c>
      <c r="H47" s="25">
        <v>4.74</v>
      </c>
    </row>
    <row r="48" spans="2:8" x14ac:dyDescent="0.2">
      <c r="B48" s="23" t="s">
        <v>688</v>
      </c>
      <c r="C48" s="23" t="s">
        <v>689</v>
      </c>
      <c r="D48" s="23" t="s">
        <v>354</v>
      </c>
      <c r="E48" s="28">
        <v>50</v>
      </c>
      <c r="F48" s="25">
        <v>516.84</v>
      </c>
      <c r="G48" s="25">
        <v>0.5</v>
      </c>
      <c r="H48" s="25">
        <v>3.89</v>
      </c>
    </row>
    <row r="49" spans="2:10" x14ac:dyDescent="0.2">
      <c r="B49" s="23" t="s">
        <v>690</v>
      </c>
      <c r="C49" s="23" t="s">
        <v>691</v>
      </c>
      <c r="D49" s="23" t="s">
        <v>354</v>
      </c>
      <c r="E49" s="28">
        <v>50</v>
      </c>
      <c r="F49" s="25">
        <v>514.51</v>
      </c>
      <c r="G49" s="25">
        <v>0.5</v>
      </c>
      <c r="H49" s="25">
        <v>3.66</v>
      </c>
    </row>
    <row r="50" spans="2:10" x14ac:dyDescent="0.2">
      <c r="B50" s="23" t="s">
        <v>692</v>
      </c>
      <c r="C50" s="23" t="s">
        <v>693</v>
      </c>
      <c r="D50" s="23" t="s">
        <v>354</v>
      </c>
      <c r="E50" s="28">
        <v>50</v>
      </c>
      <c r="F50" s="25">
        <v>510.75</v>
      </c>
      <c r="G50" s="25">
        <v>0.5</v>
      </c>
      <c r="H50" s="25">
        <v>3.47</v>
      </c>
    </row>
    <row r="51" spans="2:10" x14ac:dyDescent="0.2">
      <c r="B51" s="23" t="s">
        <v>355</v>
      </c>
      <c r="C51" s="23" t="s">
        <v>356</v>
      </c>
      <c r="D51" s="23" t="s">
        <v>354</v>
      </c>
      <c r="E51" s="28">
        <v>50</v>
      </c>
      <c r="F51" s="25">
        <v>501.25</v>
      </c>
      <c r="G51" s="25">
        <v>0.49</v>
      </c>
      <c r="H51" s="25">
        <v>3.06</v>
      </c>
    </row>
    <row r="52" spans="2:10" x14ac:dyDescent="0.2">
      <c r="B52" s="23" t="s">
        <v>516</v>
      </c>
      <c r="C52" s="23" t="s">
        <v>517</v>
      </c>
      <c r="D52" s="23" t="s">
        <v>354</v>
      </c>
      <c r="E52" s="28">
        <v>100</v>
      </c>
      <c r="F52" s="25">
        <v>327.93</v>
      </c>
      <c r="G52" s="25">
        <v>0.32</v>
      </c>
      <c r="H52" s="25">
        <v>4.8099999999999996</v>
      </c>
    </row>
    <row r="53" spans="2:10" x14ac:dyDescent="0.2">
      <c r="B53" s="23" t="s">
        <v>622</v>
      </c>
      <c r="C53" s="23" t="s">
        <v>623</v>
      </c>
      <c r="D53" s="23" t="s">
        <v>354</v>
      </c>
      <c r="E53" s="28">
        <v>20</v>
      </c>
      <c r="F53" s="25">
        <v>204.75</v>
      </c>
      <c r="G53" s="25">
        <v>0.2</v>
      </c>
      <c r="H53" s="25">
        <v>3.88</v>
      </c>
    </row>
    <row r="54" spans="2:10" x14ac:dyDescent="0.2">
      <c r="B54" s="23" t="s">
        <v>694</v>
      </c>
      <c r="C54" s="23" t="s">
        <v>695</v>
      </c>
      <c r="D54" s="23" t="s">
        <v>354</v>
      </c>
      <c r="E54" s="28">
        <v>10</v>
      </c>
      <c r="F54" s="25">
        <v>105.5</v>
      </c>
      <c r="G54" s="25">
        <v>0.1</v>
      </c>
      <c r="H54" s="25">
        <v>4.0999999999999996</v>
      </c>
    </row>
    <row r="55" spans="2:10" x14ac:dyDescent="0.2">
      <c r="B55" s="30" t="s">
        <v>110</v>
      </c>
      <c r="C55" s="30"/>
      <c r="D55" s="30"/>
      <c r="E55" s="31"/>
      <c r="F55" s="32">
        <f>SUM(F6:F54)</f>
        <v>61796.879999999983</v>
      </c>
      <c r="G55" s="32">
        <f>SUM(G6:G54)</f>
        <v>60.010000000000019</v>
      </c>
      <c r="H55" s="48"/>
      <c r="I55" s="14"/>
      <c r="J55" s="14"/>
    </row>
    <row r="56" spans="2:10" x14ac:dyDescent="0.2">
      <c r="B56" s="49" t="s">
        <v>111</v>
      </c>
      <c r="C56" s="49"/>
      <c r="D56" s="49"/>
      <c r="E56" s="50"/>
      <c r="F56" s="51">
        <f>F55</f>
        <v>61796.879999999983</v>
      </c>
      <c r="G56" s="51">
        <f>G55</f>
        <v>60.010000000000019</v>
      </c>
      <c r="H56" s="51"/>
      <c r="I56" s="14"/>
      <c r="J56" s="14"/>
    </row>
    <row r="57" spans="2:10" x14ac:dyDescent="0.2">
      <c r="B57" s="47" t="s">
        <v>451</v>
      </c>
      <c r="C57" s="23"/>
      <c r="D57" s="23"/>
      <c r="E57" s="24"/>
      <c r="F57" s="25"/>
      <c r="G57" s="25"/>
      <c r="H57" s="25"/>
    </row>
    <row r="58" spans="2:10" x14ac:dyDescent="0.2">
      <c r="B58" s="47" t="s">
        <v>452</v>
      </c>
      <c r="C58" s="23"/>
      <c r="D58" s="23"/>
      <c r="E58" s="24"/>
      <c r="F58" s="25"/>
      <c r="G58" s="25"/>
      <c r="H58" s="25"/>
    </row>
    <row r="59" spans="2:10" x14ac:dyDescent="0.2">
      <c r="B59" s="23" t="s">
        <v>552</v>
      </c>
      <c r="C59" s="23" t="s">
        <v>553</v>
      </c>
      <c r="D59" s="23" t="s">
        <v>455</v>
      </c>
      <c r="E59" s="28">
        <v>5000000</v>
      </c>
      <c r="F59" s="25">
        <v>4893.03</v>
      </c>
      <c r="G59" s="25">
        <v>4.75</v>
      </c>
      <c r="H59" s="25">
        <v>3.32</v>
      </c>
    </row>
    <row r="60" spans="2:10" x14ac:dyDescent="0.2">
      <c r="B60" s="23" t="s">
        <v>696</v>
      </c>
      <c r="C60" s="23" t="s">
        <v>697</v>
      </c>
      <c r="D60" s="23" t="s">
        <v>455</v>
      </c>
      <c r="E60" s="28">
        <v>5000000</v>
      </c>
      <c r="F60" s="25">
        <v>4870.05</v>
      </c>
      <c r="G60" s="25">
        <v>4.7300000000000004</v>
      </c>
      <c r="H60" s="25">
        <v>3.37</v>
      </c>
    </row>
    <row r="61" spans="2:10" x14ac:dyDescent="0.2">
      <c r="B61" s="23" t="s">
        <v>554</v>
      </c>
      <c r="C61" s="23" t="s">
        <v>555</v>
      </c>
      <c r="D61" s="23" t="s">
        <v>455</v>
      </c>
      <c r="E61" s="28">
        <v>3000000</v>
      </c>
      <c r="F61" s="25">
        <v>2937.65</v>
      </c>
      <c r="G61" s="25">
        <v>2.85</v>
      </c>
      <c r="H61" s="25">
        <v>3.32</v>
      </c>
    </row>
    <row r="62" spans="2:10" x14ac:dyDescent="0.2">
      <c r="B62" s="23" t="s">
        <v>698</v>
      </c>
      <c r="C62" s="23" t="s">
        <v>699</v>
      </c>
      <c r="D62" s="23" t="s">
        <v>455</v>
      </c>
      <c r="E62" s="28">
        <v>1000000</v>
      </c>
      <c r="F62" s="25">
        <v>977.77</v>
      </c>
      <c r="G62" s="25">
        <v>0.95</v>
      </c>
      <c r="H62" s="25">
        <v>3.36</v>
      </c>
    </row>
    <row r="63" spans="2:10" x14ac:dyDescent="0.2">
      <c r="B63" s="30" t="s">
        <v>110</v>
      </c>
      <c r="C63" s="30"/>
      <c r="D63" s="30"/>
      <c r="E63" s="31"/>
      <c r="F63" s="32">
        <f>SUM(F58:F62)</f>
        <v>13678.5</v>
      </c>
      <c r="G63" s="32">
        <f>SUM(G58:G62)</f>
        <v>13.28</v>
      </c>
      <c r="H63" s="48"/>
      <c r="I63" s="14"/>
      <c r="J63" s="14"/>
    </row>
    <row r="64" spans="2:10" x14ac:dyDescent="0.2">
      <c r="B64" s="49" t="s">
        <v>111</v>
      </c>
      <c r="C64" s="49"/>
      <c r="D64" s="49"/>
      <c r="E64" s="50"/>
      <c r="F64" s="51">
        <f>+F63</f>
        <v>13678.5</v>
      </c>
      <c r="G64" s="51">
        <f>+G63</f>
        <v>13.28</v>
      </c>
      <c r="H64" s="51"/>
      <c r="I64" s="14"/>
      <c r="J64" s="14"/>
    </row>
    <row r="65" spans="2:10" x14ac:dyDescent="0.2">
      <c r="B65" s="47" t="s">
        <v>423</v>
      </c>
      <c r="C65" s="23"/>
      <c r="D65" s="23"/>
      <c r="E65" s="24"/>
      <c r="F65" s="25"/>
      <c r="G65" s="25"/>
      <c r="H65" s="25"/>
    </row>
    <row r="66" spans="2:10" x14ac:dyDescent="0.2">
      <c r="B66" s="23" t="s">
        <v>424</v>
      </c>
      <c r="C66" s="23" t="s">
        <v>425</v>
      </c>
      <c r="D66" s="23" t="s">
        <v>426</v>
      </c>
      <c r="E66" s="28">
        <v>10000000</v>
      </c>
      <c r="F66" s="25">
        <v>10488.43</v>
      </c>
      <c r="G66" s="25">
        <v>10.18</v>
      </c>
      <c r="H66" s="25">
        <v>4.8</v>
      </c>
    </row>
    <row r="67" spans="2:10" x14ac:dyDescent="0.2">
      <c r="B67" s="23" t="s">
        <v>431</v>
      </c>
      <c r="C67" s="23" t="s">
        <v>432</v>
      </c>
      <c r="D67" s="23" t="s">
        <v>426</v>
      </c>
      <c r="E67" s="28">
        <v>3500000</v>
      </c>
      <c r="F67" s="25">
        <v>3699.51</v>
      </c>
      <c r="G67" s="25">
        <v>3.59</v>
      </c>
      <c r="H67" s="25">
        <v>3.92</v>
      </c>
    </row>
    <row r="68" spans="2:10" x14ac:dyDescent="0.2">
      <c r="B68" s="23" t="s">
        <v>700</v>
      </c>
      <c r="C68" s="23" t="s">
        <v>701</v>
      </c>
      <c r="D68" s="23" t="s">
        <v>426</v>
      </c>
      <c r="E68" s="28">
        <v>2000000</v>
      </c>
      <c r="F68" s="25">
        <v>2106.1799999999998</v>
      </c>
      <c r="G68" s="25">
        <v>2.04</v>
      </c>
      <c r="H68" s="25">
        <v>3.83</v>
      </c>
    </row>
    <row r="69" spans="2:10" x14ac:dyDescent="0.2">
      <c r="B69" s="23" t="s">
        <v>429</v>
      </c>
      <c r="C69" s="23" t="s">
        <v>430</v>
      </c>
      <c r="D69" s="23" t="s">
        <v>426</v>
      </c>
      <c r="E69" s="28">
        <v>1500000</v>
      </c>
      <c r="F69" s="25">
        <v>1630.5</v>
      </c>
      <c r="G69" s="25">
        <v>1.58</v>
      </c>
      <c r="H69" s="25">
        <v>4.67</v>
      </c>
    </row>
    <row r="70" spans="2:10" x14ac:dyDescent="0.2">
      <c r="B70" s="23" t="s">
        <v>702</v>
      </c>
      <c r="C70" s="23" t="s">
        <v>703</v>
      </c>
      <c r="D70" s="23" t="s">
        <v>426</v>
      </c>
      <c r="E70" s="28">
        <v>1000000</v>
      </c>
      <c r="F70" s="25">
        <v>1092.25</v>
      </c>
      <c r="G70" s="25">
        <v>1.06</v>
      </c>
      <c r="H70" s="25">
        <v>4.3</v>
      </c>
    </row>
    <row r="71" spans="2:10" x14ac:dyDescent="0.2">
      <c r="B71" s="23" t="s">
        <v>704</v>
      </c>
      <c r="C71" s="23" t="s">
        <v>705</v>
      </c>
      <c r="D71" s="23" t="s">
        <v>426</v>
      </c>
      <c r="E71" s="28">
        <v>500000</v>
      </c>
      <c r="F71" s="25">
        <v>537.13</v>
      </c>
      <c r="G71" s="25">
        <v>0.52</v>
      </c>
      <c r="H71" s="25">
        <v>4.0999999999999996</v>
      </c>
    </row>
    <row r="72" spans="2:10" x14ac:dyDescent="0.2">
      <c r="B72" s="23" t="s">
        <v>706</v>
      </c>
      <c r="C72" s="23" t="s">
        <v>707</v>
      </c>
      <c r="D72" s="23" t="s">
        <v>426</v>
      </c>
      <c r="E72" s="28">
        <v>500000</v>
      </c>
      <c r="F72" s="25">
        <v>537.01</v>
      </c>
      <c r="G72" s="25">
        <v>0.52</v>
      </c>
      <c r="H72" s="25">
        <v>4.0999999999999996</v>
      </c>
    </row>
    <row r="73" spans="2:10" x14ac:dyDescent="0.2">
      <c r="B73" s="23" t="s">
        <v>708</v>
      </c>
      <c r="C73" s="23" t="s">
        <v>709</v>
      </c>
      <c r="D73" s="23" t="s">
        <v>426</v>
      </c>
      <c r="E73" s="28">
        <v>500000</v>
      </c>
      <c r="F73" s="25">
        <v>529.69000000000005</v>
      </c>
      <c r="G73" s="25">
        <v>0.51</v>
      </c>
      <c r="H73" s="25">
        <v>4.3</v>
      </c>
    </row>
    <row r="74" spans="2:10" x14ac:dyDescent="0.2">
      <c r="B74" s="23" t="s">
        <v>585</v>
      </c>
      <c r="C74" s="23" t="s">
        <v>586</v>
      </c>
      <c r="D74" s="23" t="s">
        <v>426</v>
      </c>
      <c r="E74" s="28">
        <v>500000</v>
      </c>
      <c r="F74" s="25">
        <v>528.44000000000005</v>
      </c>
      <c r="G74" s="25">
        <v>0.51</v>
      </c>
      <c r="H74" s="25">
        <v>4.05</v>
      </c>
    </row>
    <row r="75" spans="2:10" x14ac:dyDescent="0.2">
      <c r="B75" s="23" t="s">
        <v>710</v>
      </c>
      <c r="C75" s="23" t="s">
        <v>711</v>
      </c>
      <c r="D75" s="23" t="s">
        <v>426</v>
      </c>
      <c r="E75" s="28">
        <v>500000</v>
      </c>
      <c r="F75" s="25">
        <v>526.64</v>
      </c>
      <c r="G75" s="25">
        <v>0.51</v>
      </c>
      <c r="H75" s="25">
        <v>4.05</v>
      </c>
    </row>
    <row r="76" spans="2:10" x14ac:dyDescent="0.2">
      <c r="B76" s="23" t="s">
        <v>712</v>
      </c>
      <c r="C76" s="23" t="s">
        <v>713</v>
      </c>
      <c r="D76" s="23" t="s">
        <v>426</v>
      </c>
      <c r="E76" s="28">
        <v>400000</v>
      </c>
      <c r="F76" s="25">
        <v>428.12</v>
      </c>
      <c r="G76" s="25">
        <v>0.42</v>
      </c>
      <c r="H76" s="25">
        <v>4.05</v>
      </c>
    </row>
    <row r="77" spans="2:10" x14ac:dyDescent="0.2">
      <c r="B77" s="23" t="s">
        <v>714</v>
      </c>
      <c r="C77" s="23" t="s">
        <v>715</v>
      </c>
      <c r="D77" s="23" t="s">
        <v>426</v>
      </c>
      <c r="E77" s="28">
        <v>178000</v>
      </c>
      <c r="F77" s="25">
        <v>180.78</v>
      </c>
      <c r="G77" s="25">
        <v>0.18</v>
      </c>
      <c r="H77" s="25">
        <v>3.42</v>
      </c>
    </row>
    <row r="78" spans="2:10" x14ac:dyDescent="0.2">
      <c r="B78" s="52" t="s">
        <v>716</v>
      </c>
      <c r="C78" s="52" t="s">
        <v>717</v>
      </c>
      <c r="D78" s="52" t="s">
        <v>426</v>
      </c>
      <c r="E78" s="53">
        <v>28300</v>
      </c>
      <c r="F78" s="54">
        <v>31.07</v>
      </c>
      <c r="G78" s="54">
        <v>0.03</v>
      </c>
      <c r="H78" s="54">
        <v>5.97</v>
      </c>
    </row>
    <row r="79" spans="2:10" x14ac:dyDescent="0.2">
      <c r="B79" s="55" t="s">
        <v>111</v>
      </c>
      <c r="C79" s="55"/>
      <c r="D79" s="55"/>
      <c r="E79" s="56"/>
      <c r="F79" s="57">
        <f>SUM(F66:F78)</f>
        <v>22315.749999999996</v>
      </c>
      <c r="G79" s="57">
        <f>SUM(G66:G78)</f>
        <v>21.650000000000006</v>
      </c>
      <c r="H79" s="57"/>
      <c r="I79" s="14"/>
      <c r="J79" s="14"/>
    </row>
    <row r="80" spans="2:10" x14ac:dyDescent="0.2">
      <c r="B80" s="47" t="s">
        <v>112</v>
      </c>
      <c r="C80" s="23"/>
      <c r="D80" s="23"/>
      <c r="E80" s="24"/>
      <c r="F80" s="25"/>
      <c r="G80" s="25"/>
      <c r="H80" s="25"/>
    </row>
    <row r="81" spans="2:10" x14ac:dyDescent="0.2">
      <c r="B81" s="23" t="s">
        <v>112</v>
      </c>
      <c r="C81" s="23"/>
      <c r="D81" s="23"/>
      <c r="E81" s="24"/>
      <c r="F81" s="25">
        <v>3628.66</v>
      </c>
      <c r="G81" s="25">
        <v>3.52</v>
      </c>
      <c r="H81" s="25"/>
    </row>
    <row r="82" spans="2:10" x14ac:dyDescent="0.2">
      <c r="B82" s="30" t="s">
        <v>110</v>
      </c>
      <c r="C82" s="30"/>
      <c r="D82" s="30"/>
      <c r="E82" s="31"/>
      <c r="F82" s="32">
        <f>SUM(F80:F81)</f>
        <v>3628.66</v>
      </c>
      <c r="G82" s="32">
        <f>SUM(G80:G81)</f>
        <v>3.52</v>
      </c>
      <c r="H82" s="48"/>
      <c r="I82" s="14"/>
      <c r="J82" s="14"/>
    </row>
    <row r="83" spans="2:10" x14ac:dyDescent="0.2">
      <c r="B83" s="34" t="s">
        <v>111</v>
      </c>
      <c r="C83" s="34"/>
      <c r="D83" s="34"/>
      <c r="E83" s="35"/>
      <c r="F83" s="36">
        <f>F82</f>
        <v>3628.66</v>
      </c>
      <c r="G83" s="36">
        <f>G82</f>
        <v>3.52</v>
      </c>
      <c r="H83" s="36"/>
      <c r="I83" s="14"/>
      <c r="J83" s="14"/>
    </row>
    <row r="84" spans="2:10" x14ac:dyDescent="0.2">
      <c r="B84" s="44" t="s">
        <v>114</v>
      </c>
      <c r="C84" s="44"/>
      <c r="D84" s="44"/>
      <c r="E84" s="45"/>
      <c r="F84" s="16">
        <f>F85-(+F56+F64+F79+F83)</f>
        <v>2948.8600000000151</v>
      </c>
      <c r="G84" s="16">
        <f>G85-(+G56+G64+G79+G83)</f>
        <v>1.5399999999999778</v>
      </c>
      <c r="H84" s="16"/>
      <c r="I84" s="14"/>
      <c r="J84" s="14"/>
    </row>
    <row r="85" spans="2:10" x14ac:dyDescent="0.2">
      <c r="B85" s="44" t="s">
        <v>113</v>
      </c>
      <c r="C85" s="44"/>
      <c r="D85" s="44"/>
      <c r="E85" s="45"/>
      <c r="F85" s="16">
        <v>104368.65</v>
      </c>
      <c r="G85" s="16">
        <v>100</v>
      </c>
      <c r="H85" s="16"/>
      <c r="I85" s="14"/>
      <c r="J85" s="14"/>
    </row>
    <row r="87" spans="2:10" x14ac:dyDescent="0.2">
      <c r="B87" s="14" t="s">
        <v>805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0"/>
  <sheetViews>
    <sheetView workbookViewId="0">
      <selection activeCell="F60" sqref="F60"/>
    </sheetView>
  </sheetViews>
  <sheetFormatPr defaultRowHeight="12" x14ac:dyDescent="0.2"/>
  <cols>
    <col min="1" max="1" width="9.140625" style="1"/>
    <col min="2" max="2" width="61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26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351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411</v>
      </c>
      <c r="C7" s="23" t="s">
        <v>412</v>
      </c>
      <c r="D7" s="23" t="s">
        <v>354</v>
      </c>
      <c r="E7" s="28">
        <v>150</v>
      </c>
      <c r="F7" s="25">
        <v>1676.88</v>
      </c>
      <c r="G7" s="25">
        <v>4.95</v>
      </c>
      <c r="H7" s="25">
        <v>6.39</v>
      </c>
    </row>
    <row r="8" spans="2:8" x14ac:dyDescent="0.2">
      <c r="B8" s="23" t="s">
        <v>399</v>
      </c>
      <c r="C8" s="23" t="s">
        <v>400</v>
      </c>
      <c r="D8" s="23" t="s">
        <v>354</v>
      </c>
      <c r="E8" s="28">
        <v>150</v>
      </c>
      <c r="F8" s="25">
        <v>1574.56</v>
      </c>
      <c r="G8" s="25">
        <v>4.6500000000000004</v>
      </c>
      <c r="H8" s="25">
        <v>4.47</v>
      </c>
    </row>
    <row r="9" spans="2:8" x14ac:dyDescent="0.2">
      <c r="B9" s="23" t="s">
        <v>370</v>
      </c>
      <c r="C9" s="23" t="s">
        <v>371</v>
      </c>
      <c r="D9" s="23" t="s">
        <v>354</v>
      </c>
      <c r="E9" s="28">
        <v>150</v>
      </c>
      <c r="F9" s="25">
        <v>1511.74</v>
      </c>
      <c r="G9" s="25">
        <v>4.46</v>
      </c>
      <c r="H9" s="25">
        <v>5.26</v>
      </c>
    </row>
    <row r="10" spans="2:8" x14ac:dyDescent="0.2">
      <c r="B10" s="23" t="s">
        <v>359</v>
      </c>
      <c r="C10" s="23" t="s">
        <v>360</v>
      </c>
      <c r="D10" s="23" t="s">
        <v>354</v>
      </c>
      <c r="E10" s="28">
        <v>100</v>
      </c>
      <c r="F10" s="25">
        <v>1138.49</v>
      </c>
      <c r="G10" s="25">
        <v>3.36</v>
      </c>
      <c r="H10" s="25">
        <v>6.39</v>
      </c>
    </row>
    <row r="11" spans="2:8" x14ac:dyDescent="0.2">
      <c r="B11" s="23" t="s">
        <v>718</v>
      </c>
      <c r="C11" s="23" t="s">
        <v>719</v>
      </c>
      <c r="D11" s="23" t="s">
        <v>354</v>
      </c>
      <c r="E11" s="28">
        <v>100</v>
      </c>
      <c r="F11" s="25">
        <v>1063.07</v>
      </c>
      <c r="G11" s="25">
        <v>3.14</v>
      </c>
      <c r="H11" s="25">
        <v>5.49</v>
      </c>
    </row>
    <row r="12" spans="2:8" x14ac:dyDescent="0.2">
      <c r="B12" s="23" t="s">
        <v>660</v>
      </c>
      <c r="C12" s="23" t="s">
        <v>661</v>
      </c>
      <c r="D12" s="23" t="s">
        <v>354</v>
      </c>
      <c r="E12" s="28">
        <v>100</v>
      </c>
      <c r="F12" s="25">
        <v>1045.4000000000001</v>
      </c>
      <c r="G12" s="25">
        <v>3.09</v>
      </c>
      <c r="H12" s="25">
        <v>4.75</v>
      </c>
    </row>
    <row r="13" spans="2:8" x14ac:dyDescent="0.2">
      <c r="B13" s="23" t="s">
        <v>688</v>
      </c>
      <c r="C13" s="23" t="s">
        <v>689</v>
      </c>
      <c r="D13" s="23" t="s">
        <v>354</v>
      </c>
      <c r="E13" s="28">
        <v>100</v>
      </c>
      <c r="F13" s="25">
        <v>1033.68</v>
      </c>
      <c r="G13" s="25">
        <v>3.05</v>
      </c>
      <c r="H13" s="25">
        <v>3.89</v>
      </c>
    </row>
    <row r="14" spans="2:8" x14ac:dyDescent="0.2">
      <c r="B14" s="23" t="s">
        <v>478</v>
      </c>
      <c r="C14" s="23" t="s">
        <v>479</v>
      </c>
      <c r="D14" s="23" t="s">
        <v>388</v>
      </c>
      <c r="E14" s="28">
        <v>100</v>
      </c>
      <c r="F14" s="25">
        <v>1032</v>
      </c>
      <c r="G14" s="25">
        <v>3.05</v>
      </c>
      <c r="H14" s="25">
        <v>6.51</v>
      </c>
    </row>
    <row r="15" spans="2:8" x14ac:dyDescent="0.2">
      <c r="B15" s="23" t="s">
        <v>720</v>
      </c>
      <c r="C15" s="23" t="s">
        <v>721</v>
      </c>
      <c r="D15" s="23" t="s">
        <v>722</v>
      </c>
      <c r="E15" s="28">
        <v>100</v>
      </c>
      <c r="F15" s="25">
        <v>1014.98</v>
      </c>
      <c r="G15" s="25">
        <v>3</v>
      </c>
      <c r="H15" s="25">
        <v>3.94</v>
      </c>
    </row>
    <row r="16" spans="2:8" x14ac:dyDescent="0.2">
      <c r="B16" s="23" t="s">
        <v>579</v>
      </c>
      <c r="C16" s="23" t="s">
        <v>580</v>
      </c>
      <c r="D16" s="23" t="s">
        <v>354</v>
      </c>
      <c r="E16" s="28">
        <v>50</v>
      </c>
      <c r="F16" s="25">
        <v>577.74</v>
      </c>
      <c r="G16" s="25">
        <v>1.71</v>
      </c>
      <c r="H16" s="25">
        <v>6.39</v>
      </c>
    </row>
    <row r="17" spans="2:8" x14ac:dyDescent="0.2">
      <c r="B17" s="23" t="s">
        <v>723</v>
      </c>
      <c r="C17" s="23" t="s">
        <v>724</v>
      </c>
      <c r="D17" s="23" t="s">
        <v>354</v>
      </c>
      <c r="E17" s="28">
        <v>50</v>
      </c>
      <c r="F17" s="25">
        <v>562.05999999999995</v>
      </c>
      <c r="G17" s="25">
        <v>1.66</v>
      </c>
      <c r="H17" s="25">
        <v>4.43</v>
      </c>
    </row>
    <row r="18" spans="2:8" x14ac:dyDescent="0.2">
      <c r="B18" s="23" t="s">
        <v>376</v>
      </c>
      <c r="C18" s="23" t="s">
        <v>377</v>
      </c>
      <c r="D18" s="23" t="s">
        <v>354</v>
      </c>
      <c r="E18" s="28">
        <v>50</v>
      </c>
      <c r="F18" s="25">
        <v>545.39</v>
      </c>
      <c r="G18" s="25">
        <v>1.61</v>
      </c>
      <c r="H18" s="25">
        <v>4.79</v>
      </c>
    </row>
    <row r="19" spans="2:8" x14ac:dyDescent="0.2">
      <c r="B19" s="23" t="s">
        <v>680</v>
      </c>
      <c r="C19" s="23" t="s">
        <v>681</v>
      </c>
      <c r="D19" s="23" t="s">
        <v>354</v>
      </c>
      <c r="E19" s="28">
        <v>50</v>
      </c>
      <c r="F19" s="25">
        <v>542.13</v>
      </c>
      <c r="G19" s="25">
        <v>1.6</v>
      </c>
      <c r="H19" s="25">
        <v>4.33</v>
      </c>
    </row>
    <row r="20" spans="2:8" x14ac:dyDescent="0.2">
      <c r="B20" s="23" t="s">
        <v>372</v>
      </c>
      <c r="C20" s="23" t="s">
        <v>373</v>
      </c>
      <c r="D20" s="23" t="s">
        <v>354</v>
      </c>
      <c r="E20" s="28">
        <v>50</v>
      </c>
      <c r="F20" s="25">
        <v>541.71</v>
      </c>
      <c r="G20" s="25">
        <v>1.6</v>
      </c>
      <c r="H20" s="25">
        <v>5.37</v>
      </c>
    </row>
    <row r="21" spans="2:8" x14ac:dyDescent="0.2">
      <c r="B21" s="23" t="s">
        <v>725</v>
      </c>
      <c r="C21" s="23" t="s">
        <v>726</v>
      </c>
      <c r="D21" s="23" t="s">
        <v>354</v>
      </c>
      <c r="E21" s="28">
        <v>50</v>
      </c>
      <c r="F21" s="25">
        <v>538.76</v>
      </c>
      <c r="G21" s="25">
        <v>1.59</v>
      </c>
      <c r="H21" s="25">
        <v>5.1100000000000003</v>
      </c>
    </row>
    <row r="22" spans="2:8" x14ac:dyDescent="0.2">
      <c r="B22" s="23" t="s">
        <v>378</v>
      </c>
      <c r="C22" s="23" t="s">
        <v>379</v>
      </c>
      <c r="D22" s="23" t="s">
        <v>354</v>
      </c>
      <c r="E22" s="28">
        <v>50</v>
      </c>
      <c r="F22" s="25">
        <v>536.16999999999996</v>
      </c>
      <c r="G22" s="25">
        <v>1.58</v>
      </c>
      <c r="H22" s="25">
        <v>5.49</v>
      </c>
    </row>
    <row r="23" spans="2:8" x14ac:dyDescent="0.2">
      <c r="B23" s="23" t="s">
        <v>727</v>
      </c>
      <c r="C23" s="23" t="s">
        <v>728</v>
      </c>
      <c r="D23" s="23" t="s">
        <v>388</v>
      </c>
      <c r="E23" s="28">
        <v>50</v>
      </c>
      <c r="F23" s="25">
        <v>534.38</v>
      </c>
      <c r="G23" s="25">
        <v>1.58</v>
      </c>
      <c r="H23" s="25">
        <v>6.51</v>
      </c>
    </row>
    <row r="24" spans="2:8" x14ac:dyDescent="0.2">
      <c r="B24" s="23" t="s">
        <v>729</v>
      </c>
      <c r="C24" s="23" t="s">
        <v>730</v>
      </c>
      <c r="D24" s="23" t="s">
        <v>354</v>
      </c>
      <c r="E24" s="28">
        <v>50</v>
      </c>
      <c r="F24" s="25">
        <v>533.38</v>
      </c>
      <c r="G24" s="25">
        <v>1.58</v>
      </c>
      <c r="H24" s="25">
        <v>6.48</v>
      </c>
    </row>
    <row r="25" spans="2:8" x14ac:dyDescent="0.2">
      <c r="B25" s="23" t="s">
        <v>472</v>
      </c>
      <c r="C25" s="23" t="s">
        <v>473</v>
      </c>
      <c r="D25" s="23" t="s">
        <v>354</v>
      </c>
      <c r="E25" s="28">
        <v>50</v>
      </c>
      <c r="F25" s="25">
        <v>531.66999999999996</v>
      </c>
      <c r="G25" s="25">
        <v>1.57</v>
      </c>
      <c r="H25" s="25">
        <v>6.5</v>
      </c>
    </row>
    <row r="26" spans="2:8" x14ac:dyDescent="0.2">
      <c r="B26" s="23" t="s">
        <v>522</v>
      </c>
      <c r="C26" s="23" t="s">
        <v>523</v>
      </c>
      <c r="D26" s="23" t="s">
        <v>354</v>
      </c>
      <c r="E26" s="28">
        <v>50</v>
      </c>
      <c r="F26" s="25">
        <v>528.79</v>
      </c>
      <c r="G26" s="25">
        <v>1.56</v>
      </c>
      <c r="H26" s="25">
        <v>3.79</v>
      </c>
    </row>
    <row r="27" spans="2:8" x14ac:dyDescent="0.2">
      <c r="B27" s="23" t="s">
        <v>652</v>
      </c>
      <c r="C27" s="23" t="s">
        <v>653</v>
      </c>
      <c r="D27" s="23" t="s">
        <v>354</v>
      </c>
      <c r="E27" s="28">
        <v>50</v>
      </c>
      <c r="F27" s="25">
        <v>528.73</v>
      </c>
      <c r="G27" s="25">
        <v>1.56</v>
      </c>
      <c r="H27" s="25">
        <v>5.64</v>
      </c>
    </row>
    <row r="28" spans="2:8" x14ac:dyDescent="0.2">
      <c r="B28" s="23" t="s">
        <v>363</v>
      </c>
      <c r="C28" s="23" t="s">
        <v>364</v>
      </c>
      <c r="D28" s="23" t="s">
        <v>354</v>
      </c>
      <c r="E28" s="28">
        <v>50</v>
      </c>
      <c r="F28" s="25">
        <v>526.47</v>
      </c>
      <c r="G28" s="25">
        <v>1.55</v>
      </c>
      <c r="H28" s="25">
        <v>4.26</v>
      </c>
    </row>
    <row r="29" spans="2:8" x14ac:dyDescent="0.2">
      <c r="B29" s="23" t="s">
        <v>352</v>
      </c>
      <c r="C29" s="23" t="s">
        <v>353</v>
      </c>
      <c r="D29" s="23" t="s">
        <v>354</v>
      </c>
      <c r="E29" s="28">
        <v>50</v>
      </c>
      <c r="F29" s="25">
        <v>526.29</v>
      </c>
      <c r="G29" s="25">
        <v>1.55</v>
      </c>
      <c r="H29" s="25">
        <v>4.43</v>
      </c>
    </row>
    <row r="30" spans="2:8" x14ac:dyDescent="0.2">
      <c r="B30" s="23" t="s">
        <v>731</v>
      </c>
      <c r="C30" s="23" t="s">
        <v>732</v>
      </c>
      <c r="D30" s="23" t="s">
        <v>354</v>
      </c>
      <c r="E30" s="28">
        <v>50</v>
      </c>
      <c r="F30" s="25">
        <v>524.32000000000005</v>
      </c>
      <c r="G30" s="25">
        <v>1.55</v>
      </c>
      <c r="H30" s="25">
        <v>4.43</v>
      </c>
    </row>
    <row r="31" spans="2:8" x14ac:dyDescent="0.2">
      <c r="B31" s="23" t="s">
        <v>733</v>
      </c>
      <c r="C31" s="23" t="s">
        <v>734</v>
      </c>
      <c r="D31" s="23" t="s">
        <v>354</v>
      </c>
      <c r="E31" s="28">
        <v>50</v>
      </c>
      <c r="F31" s="25">
        <v>523.29999999999995</v>
      </c>
      <c r="G31" s="25">
        <v>1.55</v>
      </c>
      <c r="H31" s="25">
        <v>4.32</v>
      </c>
    </row>
    <row r="32" spans="2:8" x14ac:dyDescent="0.2">
      <c r="B32" s="23" t="s">
        <v>735</v>
      </c>
      <c r="C32" s="23" t="s">
        <v>736</v>
      </c>
      <c r="D32" s="23" t="s">
        <v>354</v>
      </c>
      <c r="E32" s="28">
        <v>50</v>
      </c>
      <c r="F32" s="25">
        <v>519.89</v>
      </c>
      <c r="G32" s="25">
        <v>1.54</v>
      </c>
      <c r="H32" s="25">
        <v>6.67</v>
      </c>
    </row>
    <row r="33" spans="2:10" x14ac:dyDescent="0.2">
      <c r="B33" s="23" t="s">
        <v>512</v>
      </c>
      <c r="C33" s="23" t="s">
        <v>513</v>
      </c>
      <c r="D33" s="23" t="s">
        <v>354</v>
      </c>
      <c r="E33" s="28">
        <v>50</v>
      </c>
      <c r="F33" s="25">
        <v>514.37</v>
      </c>
      <c r="G33" s="25">
        <v>1.52</v>
      </c>
      <c r="H33" s="25">
        <v>3.96</v>
      </c>
    </row>
    <row r="34" spans="2:10" x14ac:dyDescent="0.2">
      <c r="B34" s="23" t="s">
        <v>382</v>
      </c>
      <c r="C34" s="23" t="s">
        <v>383</v>
      </c>
      <c r="D34" s="23" t="s">
        <v>354</v>
      </c>
      <c r="E34" s="28">
        <v>50</v>
      </c>
      <c r="F34" s="25">
        <v>512.77</v>
      </c>
      <c r="G34" s="25">
        <v>1.51</v>
      </c>
      <c r="H34" s="25">
        <v>3.72</v>
      </c>
    </row>
    <row r="35" spans="2:10" x14ac:dyDescent="0.2">
      <c r="B35" s="23" t="s">
        <v>737</v>
      </c>
      <c r="C35" s="23" t="s">
        <v>738</v>
      </c>
      <c r="D35" s="23" t="s">
        <v>388</v>
      </c>
      <c r="E35" s="28">
        <v>20</v>
      </c>
      <c r="F35" s="25">
        <v>250.7</v>
      </c>
      <c r="G35" s="25">
        <v>0.74</v>
      </c>
      <c r="H35" s="25">
        <v>5.08</v>
      </c>
    </row>
    <row r="36" spans="2:10" x14ac:dyDescent="0.2">
      <c r="B36" s="30" t="s">
        <v>110</v>
      </c>
      <c r="C36" s="30"/>
      <c r="D36" s="30"/>
      <c r="E36" s="31"/>
      <c r="F36" s="32">
        <f>SUM(F6:F35)</f>
        <v>21489.819999999996</v>
      </c>
      <c r="G36" s="32">
        <f>SUM(G6:G35)</f>
        <v>63.459999999999994</v>
      </c>
      <c r="H36" s="48"/>
      <c r="I36" s="14"/>
      <c r="J36" s="14"/>
    </row>
    <row r="37" spans="2:10" x14ac:dyDescent="0.2">
      <c r="B37" s="49" t="s">
        <v>111</v>
      </c>
      <c r="C37" s="49"/>
      <c r="D37" s="49"/>
      <c r="E37" s="50"/>
      <c r="F37" s="51">
        <f>F36</f>
        <v>21489.819999999996</v>
      </c>
      <c r="G37" s="51">
        <f>G36</f>
        <v>63.459999999999994</v>
      </c>
      <c r="H37" s="51"/>
      <c r="I37" s="14"/>
      <c r="J37" s="14"/>
    </row>
    <row r="38" spans="2:10" x14ac:dyDescent="0.2">
      <c r="B38" s="47" t="s">
        <v>451</v>
      </c>
      <c r="C38" s="23"/>
      <c r="D38" s="23"/>
      <c r="E38" s="24"/>
      <c r="F38" s="25"/>
      <c r="G38" s="25"/>
      <c r="H38" s="25"/>
    </row>
    <row r="39" spans="2:10" x14ac:dyDescent="0.2">
      <c r="B39" s="47" t="s">
        <v>452</v>
      </c>
      <c r="C39" s="23"/>
      <c r="D39" s="23"/>
      <c r="E39" s="24"/>
      <c r="F39" s="25"/>
      <c r="G39" s="25"/>
      <c r="H39" s="25"/>
    </row>
    <row r="40" spans="2:10" x14ac:dyDescent="0.2">
      <c r="B40" s="23" t="s">
        <v>581</v>
      </c>
      <c r="C40" s="23" t="s">
        <v>582</v>
      </c>
      <c r="D40" s="23" t="s">
        <v>455</v>
      </c>
      <c r="E40" s="28">
        <v>1500000</v>
      </c>
      <c r="F40" s="25">
        <v>1460.1</v>
      </c>
      <c r="G40" s="25">
        <v>4.3099999999999996</v>
      </c>
      <c r="H40" s="25">
        <v>3.37</v>
      </c>
    </row>
    <row r="41" spans="2:10" x14ac:dyDescent="0.2">
      <c r="B41" s="30" t="s">
        <v>110</v>
      </c>
      <c r="C41" s="30"/>
      <c r="D41" s="30"/>
      <c r="E41" s="31"/>
      <c r="F41" s="32">
        <f>SUM(F39:F40)</f>
        <v>1460.1</v>
      </c>
      <c r="G41" s="32">
        <f>SUM(G39:G40)</f>
        <v>4.3099999999999996</v>
      </c>
      <c r="H41" s="48"/>
      <c r="I41" s="14"/>
      <c r="J41" s="14"/>
    </row>
    <row r="42" spans="2:10" x14ac:dyDescent="0.2">
      <c r="B42" s="49" t="s">
        <v>111</v>
      </c>
      <c r="C42" s="49"/>
      <c r="D42" s="49"/>
      <c r="E42" s="50"/>
      <c r="F42" s="51">
        <f>+F41</f>
        <v>1460.1</v>
      </c>
      <c r="G42" s="51">
        <f>+G41</f>
        <v>4.3099999999999996</v>
      </c>
      <c r="H42" s="51"/>
      <c r="I42" s="14"/>
      <c r="J42" s="14"/>
    </row>
    <row r="43" spans="2:10" x14ac:dyDescent="0.2">
      <c r="B43" s="47" t="s">
        <v>423</v>
      </c>
      <c r="C43" s="23"/>
      <c r="D43" s="23"/>
      <c r="E43" s="24"/>
      <c r="F43" s="25"/>
      <c r="G43" s="25"/>
      <c r="H43" s="25"/>
    </row>
    <row r="44" spans="2:10" x14ac:dyDescent="0.2">
      <c r="B44" s="23" t="s">
        <v>424</v>
      </c>
      <c r="C44" s="23" t="s">
        <v>425</v>
      </c>
      <c r="D44" s="23" t="s">
        <v>426</v>
      </c>
      <c r="E44" s="28">
        <v>2500000</v>
      </c>
      <c r="F44" s="25">
        <v>2622.11</v>
      </c>
      <c r="G44" s="25">
        <v>7.74</v>
      </c>
      <c r="H44" s="25">
        <v>4.8</v>
      </c>
    </row>
    <row r="45" spans="2:10" x14ac:dyDescent="0.2">
      <c r="B45" s="23" t="s">
        <v>431</v>
      </c>
      <c r="C45" s="23" t="s">
        <v>432</v>
      </c>
      <c r="D45" s="23" t="s">
        <v>426</v>
      </c>
      <c r="E45" s="28">
        <v>2000000</v>
      </c>
      <c r="F45" s="25">
        <v>2114</v>
      </c>
      <c r="G45" s="25">
        <v>6.24</v>
      </c>
      <c r="H45" s="25">
        <v>3.92</v>
      </c>
    </row>
    <row r="46" spans="2:10" x14ac:dyDescent="0.2">
      <c r="B46" s="23" t="s">
        <v>466</v>
      </c>
      <c r="C46" s="23" t="s">
        <v>467</v>
      </c>
      <c r="D46" s="23" t="s">
        <v>426</v>
      </c>
      <c r="E46" s="28">
        <v>1500000</v>
      </c>
      <c r="F46" s="25">
        <v>1503.32</v>
      </c>
      <c r="G46" s="25">
        <v>4.4400000000000004</v>
      </c>
      <c r="H46" s="25">
        <v>5.0999999999999996</v>
      </c>
    </row>
    <row r="47" spans="2:10" x14ac:dyDescent="0.2">
      <c r="B47" s="23" t="s">
        <v>739</v>
      </c>
      <c r="C47" s="23" t="s">
        <v>740</v>
      </c>
      <c r="D47" s="23" t="s">
        <v>426</v>
      </c>
      <c r="E47" s="28">
        <v>500000</v>
      </c>
      <c r="F47" s="25">
        <v>542.15</v>
      </c>
      <c r="G47" s="25">
        <v>1.6</v>
      </c>
      <c r="H47" s="25">
        <v>4.13</v>
      </c>
    </row>
    <row r="48" spans="2:10" x14ac:dyDescent="0.2">
      <c r="B48" s="23" t="s">
        <v>741</v>
      </c>
      <c r="C48" s="23" t="s">
        <v>742</v>
      </c>
      <c r="D48" s="23" t="s">
        <v>426</v>
      </c>
      <c r="E48" s="28">
        <v>500000</v>
      </c>
      <c r="F48" s="25">
        <v>527.24</v>
      </c>
      <c r="G48" s="25">
        <v>1.56</v>
      </c>
      <c r="H48" s="25">
        <v>3.55</v>
      </c>
    </row>
    <row r="49" spans="2:10" x14ac:dyDescent="0.2">
      <c r="B49" s="23" t="s">
        <v>743</v>
      </c>
      <c r="C49" s="23" t="s">
        <v>744</v>
      </c>
      <c r="D49" s="23" t="s">
        <v>426</v>
      </c>
      <c r="E49" s="28">
        <v>500000</v>
      </c>
      <c r="F49" s="25">
        <v>526.48</v>
      </c>
      <c r="G49" s="25">
        <v>1.55</v>
      </c>
      <c r="H49" s="25">
        <v>3.81</v>
      </c>
    </row>
    <row r="50" spans="2:10" x14ac:dyDescent="0.2">
      <c r="B50" s="23" t="s">
        <v>745</v>
      </c>
      <c r="C50" s="23" t="s">
        <v>746</v>
      </c>
      <c r="D50" s="23" t="s">
        <v>426</v>
      </c>
      <c r="E50" s="28">
        <v>500000</v>
      </c>
      <c r="F50" s="25">
        <v>508.88</v>
      </c>
      <c r="G50" s="25">
        <v>1.5</v>
      </c>
      <c r="H50" s="25">
        <v>6.45</v>
      </c>
    </row>
    <row r="51" spans="2:10" x14ac:dyDescent="0.2">
      <c r="B51" s="52" t="s">
        <v>708</v>
      </c>
      <c r="C51" s="52" t="s">
        <v>709</v>
      </c>
      <c r="D51" s="52" t="s">
        <v>426</v>
      </c>
      <c r="E51" s="53">
        <v>48000</v>
      </c>
      <c r="F51" s="54">
        <v>50.85</v>
      </c>
      <c r="G51" s="54">
        <v>0.15</v>
      </c>
      <c r="H51" s="54">
        <v>4.3</v>
      </c>
    </row>
    <row r="52" spans="2:10" x14ac:dyDescent="0.2">
      <c r="B52" s="55" t="s">
        <v>111</v>
      </c>
      <c r="C52" s="55"/>
      <c r="D52" s="55"/>
      <c r="E52" s="56"/>
      <c r="F52" s="57">
        <f>SUM(F44:F51)</f>
        <v>8395.0299999999988</v>
      </c>
      <c r="G52" s="57">
        <f>SUM(G44:G51)</f>
        <v>24.78</v>
      </c>
      <c r="H52" s="57"/>
      <c r="I52" s="14"/>
      <c r="J52" s="14"/>
    </row>
    <row r="53" spans="2:10" x14ac:dyDescent="0.2">
      <c r="B53" s="47" t="s">
        <v>112</v>
      </c>
      <c r="C53" s="23"/>
      <c r="D53" s="23"/>
      <c r="E53" s="24"/>
      <c r="F53" s="25"/>
      <c r="G53" s="25"/>
      <c r="H53" s="25"/>
    </row>
    <row r="54" spans="2:10" x14ac:dyDescent="0.2">
      <c r="B54" s="23" t="s">
        <v>112</v>
      </c>
      <c r="C54" s="23"/>
      <c r="D54" s="23"/>
      <c r="E54" s="24"/>
      <c r="F54" s="25">
        <v>1648.33</v>
      </c>
      <c r="G54" s="25">
        <v>4.87</v>
      </c>
      <c r="H54" s="25"/>
    </row>
    <row r="55" spans="2:10" x14ac:dyDescent="0.2">
      <c r="B55" s="30" t="s">
        <v>110</v>
      </c>
      <c r="C55" s="30"/>
      <c r="D55" s="30"/>
      <c r="E55" s="31"/>
      <c r="F55" s="32">
        <f>SUM(F53:F54)</f>
        <v>1648.33</v>
      </c>
      <c r="G55" s="32">
        <f>SUM(G53:G54)</f>
        <v>4.87</v>
      </c>
      <c r="H55" s="48"/>
      <c r="I55" s="14"/>
      <c r="J55" s="14"/>
    </row>
    <row r="56" spans="2:10" x14ac:dyDescent="0.2">
      <c r="B56" s="34" t="s">
        <v>111</v>
      </c>
      <c r="C56" s="34"/>
      <c r="D56" s="34"/>
      <c r="E56" s="35"/>
      <c r="F56" s="36">
        <f>F55</f>
        <v>1648.33</v>
      </c>
      <c r="G56" s="36">
        <f>G55</f>
        <v>4.87</v>
      </c>
      <c r="H56" s="36"/>
      <c r="I56" s="14"/>
      <c r="J56" s="14"/>
    </row>
    <row r="57" spans="2:10" x14ac:dyDescent="0.2">
      <c r="B57" s="44" t="s">
        <v>114</v>
      </c>
      <c r="C57" s="44"/>
      <c r="D57" s="44"/>
      <c r="E57" s="45"/>
      <c r="F57" s="16">
        <f>F58-(+F37+F42+F52+F56)</f>
        <v>902.77000000001135</v>
      </c>
      <c r="G57" s="16">
        <f>G58-(+G37+G42+G52+G56)</f>
        <v>2.5799999999999983</v>
      </c>
      <c r="H57" s="16"/>
      <c r="I57" s="14"/>
      <c r="J57" s="14"/>
    </row>
    <row r="58" spans="2:10" x14ac:dyDescent="0.2">
      <c r="B58" s="44" t="s">
        <v>113</v>
      </c>
      <c r="C58" s="44"/>
      <c r="D58" s="44"/>
      <c r="E58" s="45"/>
      <c r="F58" s="16">
        <v>33896.050000000003</v>
      </c>
      <c r="G58" s="16">
        <v>100</v>
      </c>
      <c r="H58" s="16"/>
      <c r="I58" s="14"/>
      <c r="J58" s="14"/>
    </row>
    <row r="60" spans="2:10" x14ac:dyDescent="0.2">
      <c r="B60" s="14" t="s">
        <v>805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2"/>
  <sheetViews>
    <sheetView workbookViewId="0">
      <selection activeCell="F36" sqref="F36"/>
    </sheetView>
  </sheetViews>
  <sheetFormatPr defaultRowHeight="12" x14ac:dyDescent="0.2"/>
  <cols>
    <col min="1" max="1" width="9.140625" style="1"/>
    <col min="2" max="2" width="61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27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115</v>
      </c>
      <c r="C7" s="23" t="s">
        <v>116</v>
      </c>
      <c r="D7" s="23" t="s">
        <v>44</v>
      </c>
      <c r="E7" s="28">
        <v>54540</v>
      </c>
      <c r="F7" s="25">
        <v>785.84</v>
      </c>
      <c r="G7" s="25">
        <v>1.3</v>
      </c>
      <c r="H7" s="26"/>
    </row>
    <row r="8" spans="2:8" x14ac:dyDescent="0.2">
      <c r="B8" s="27" t="s">
        <v>36</v>
      </c>
      <c r="C8" s="23" t="s">
        <v>37</v>
      </c>
      <c r="D8" s="23" t="s">
        <v>38</v>
      </c>
      <c r="E8" s="28">
        <v>37280</v>
      </c>
      <c r="F8" s="25">
        <v>719.43</v>
      </c>
      <c r="G8" s="25">
        <v>1.19</v>
      </c>
      <c r="H8" s="26"/>
    </row>
    <row r="9" spans="2:8" x14ac:dyDescent="0.2">
      <c r="B9" s="27" t="s">
        <v>117</v>
      </c>
      <c r="C9" s="23" t="s">
        <v>118</v>
      </c>
      <c r="D9" s="23" t="s">
        <v>119</v>
      </c>
      <c r="E9" s="28">
        <v>57360</v>
      </c>
      <c r="F9" s="25">
        <v>630.96</v>
      </c>
      <c r="G9" s="25">
        <v>1.05</v>
      </c>
      <c r="H9" s="26"/>
    </row>
    <row r="10" spans="2:8" x14ac:dyDescent="0.2">
      <c r="B10" s="27" t="s">
        <v>123</v>
      </c>
      <c r="C10" s="23" t="s">
        <v>124</v>
      </c>
      <c r="D10" s="23" t="s">
        <v>119</v>
      </c>
      <c r="E10" s="28">
        <v>21000</v>
      </c>
      <c r="F10" s="25">
        <v>562.73</v>
      </c>
      <c r="G10" s="25">
        <v>0.93</v>
      </c>
      <c r="H10" s="26"/>
    </row>
    <row r="11" spans="2:8" x14ac:dyDescent="0.2">
      <c r="B11" s="27" t="s">
        <v>42</v>
      </c>
      <c r="C11" s="23" t="s">
        <v>43</v>
      </c>
      <c r="D11" s="23" t="s">
        <v>44</v>
      </c>
      <c r="E11" s="28">
        <v>109000</v>
      </c>
      <c r="F11" s="25">
        <v>515.95000000000005</v>
      </c>
      <c r="G11" s="25">
        <v>0.86</v>
      </c>
      <c r="H11" s="26"/>
    </row>
    <row r="12" spans="2:8" x14ac:dyDescent="0.2">
      <c r="B12" s="27" t="s">
        <v>132</v>
      </c>
      <c r="C12" s="23" t="s">
        <v>133</v>
      </c>
      <c r="D12" s="23" t="s">
        <v>44</v>
      </c>
      <c r="E12" s="28">
        <v>27040</v>
      </c>
      <c r="F12" s="25">
        <v>515.67999999999995</v>
      </c>
      <c r="G12" s="25">
        <v>0.86</v>
      </c>
      <c r="H12" s="26"/>
    </row>
    <row r="13" spans="2:8" x14ac:dyDescent="0.2">
      <c r="B13" s="27" t="s">
        <v>125</v>
      </c>
      <c r="C13" s="23" t="s">
        <v>126</v>
      </c>
      <c r="D13" s="23" t="s">
        <v>122</v>
      </c>
      <c r="E13" s="28">
        <v>18080</v>
      </c>
      <c r="F13" s="25">
        <v>407.93</v>
      </c>
      <c r="G13" s="25">
        <v>0.68</v>
      </c>
      <c r="H13" s="26"/>
    </row>
    <row r="14" spans="2:8" x14ac:dyDescent="0.2">
      <c r="B14" s="27" t="s">
        <v>129</v>
      </c>
      <c r="C14" s="23" t="s">
        <v>130</v>
      </c>
      <c r="D14" s="23" t="s">
        <v>131</v>
      </c>
      <c r="E14" s="28">
        <v>17860</v>
      </c>
      <c r="F14" s="25">
        <v>381.88</v>
      </c>
      <c r="G14" s="25">
        <v>0.63</v>
      </c>
      <c r="H14" s="26"/>
    </row>
    <row r="15" spans="2:8" x14ac:dyDescent="0.2">
      <c r="B15" s="27" t="s">
        <v>167</v>
      </c>
      <c r="C15" s="23" t="s">
        <v>168</v>
      </c>
      <c r="D15" s="23" t="s">
        <v>136</v>
      </c>
      <c r="E15" s="28">
        <v>9000</v>
      </c>
      <c r="F15" s="25">
        <v>255.75</v>
      </c>
      <c r="G15" s="25">
        <v>0.42</v>
      </c>
      <c r="H15" s="26"/>
    </row>
    <row r="16" spans="2:8" x14ac:dyDescent="0.2">
      <c r="B16" s="27" t="s">
        <v>127</v>
      </c>
      <c r="C16" s="23" t="s">
        <v>128</v>
      </c>
      <c r="D16" s="23" t="s">
        <v>44</v>
      </c>
      <c r="E16" s="28">
        <v>41500</v>
      </c>
      <c r="F16" s="25">
        <v>249.66</v>
      </c>
      <c r="G16" s="25">
        <v>0.41</v>
      </c>
      <c r="H16" s="26"/>
    </row>
    <row r="17" spans="2:8" x14ac:dyDescent="0.2">
      <c r="B17" s="27" t="s">
        <v>77</v>
      </c>
      <c r="C17" s="23" t="s">
        <v>78</v>
      </c>
      <c r="D17" s="23" t="s">
        <v>63</v>
      </c>
      <c r="E17" s="28">
        <v>88660</v>
      </c>
      <c r="F17" s="25">
        <v>222.76</v>
      </c>
      <c r="G17" s="25">
        <v>0.37</v>
      </c>
      <c r="H17" s="26"/>
    </row>
    <row r="18" spans="2:8" x14ac:dyDescent="0.2">
      <c r="B18" s="27" t="s">
        <v>55</v>
      </c>
      <c r="C18" s="23" t="s">
        <v>56</v>
      </c>
      <c r="D18" s="23" t="s">
        <v>57</v>
      </c>
      <c r="E18" s="28">
        <v>27500</v>
      </c>
      <c r="F18" s="25">
        <v>221.77</v>
      </c>
      <c r="G18" s="25">
        <v>0.37</v>
      </c>
      <c r="H18" s="26"/>
    </row>
    <row r="19" spans="2:8" x14ac:dyDescent="0.2">
      <c r="B19" s="27" t="s">
        <v>120</v>
      </c>
      <c r="C19" s="23" t="s">
        <v>121</v>
      </c>
      <c r="D19" s="23" t="s">
        <v>122</v>
      </c>
      <c r="E19" s="28">
        <v>4500</v>
      </c>
      <c r="F19" s="25">
        <v>220.9</v>
      </c>
      <c r="G19" s="25">
        <v>0.37</v>
      </c>
      <c r="H19" s="26"/>
    </row>
    <row r="20" spans="2:8" x14ac:dyDescent="0.2">
      <c r="B20" s="27" t="s">
        <v>89</v>
      </c>
      <c r="C20" s="23" t="s">
        <v>90</v>
      </c>
      <c r="D20" s="23" t="s">
        <v>41</v>
      </c>
      <c r="E20" s="28">
        <v>800</v>
      </c>
      <c r="F20" s="25">
        <v>194.45</v>
      </c>
      <c r="G20" s="25">
        <v>0.32</v>
      </c>
      <c r="H20" s="26"/>
    </row>
    <row r="21" spans="2:8" x14ac:dyDescent="0.2">
      <c r="B21" s="27" t="s">
        <v>58</v>
      </c>
      <c r="C21" s="23" t="s">
        <v>59</v>
      </c>
      <c r="D21" s="23" t="s">
        <v>60</v>
      </c>
      <c r="E21" s="28">
        <v>23580</v>
      </c>
      <c r="F21" s="25">
        <v>190.2</v>
      </c>
      <c r="G21" s="25">
        <v>0.32</v>
      </c>
      <c r="H21" s="26"/>
    </row>
    <row r="22" spans="2:8" x14ac:dyDescent="0.2">
      <c r="B22" s="27" t="s">
        <v>292</v>
      </c>
      <c r="C22" s="23" t="s">
        <v>293</v>
      </c>
      <c r="D22" s="23" t="s">
        <v>243</v>
      </c>
      <c r="E22" s="28">
        <v>8067</v>
      </c>
      <c r="F22" s="25">
        <v>181.69</v>
      </c>
      <c r="G22" s="25">
        <v>0.3</v>
      </c>
      <c r="H22" s="26"/>
    </row>
    <row r="23" spans="2:8" x14ac:dyDescent="0.2">
      <c r="B23" s="27" t="s">
        <v>248</v>
      </c>
      <c r="C23" s="23" t="s">
        <v>249</v>
      </c>
      <c r="D23" s="23" t="s">
        <v>131</v>
      </c>
      <c r="E23" s="28">
        <v>32500</v>
      </c>
      <c r="F23" s="25">
        <v>176.13</v>
      </c>
      <c r="G23" s="25">
        <v>0.28999999999999998</v>
      </c>
      <c r="H23" s="26"/>
    </row>
    <row r="24" spans="2:8" x14ac:dyDescent="0.2">
      <c r="B24" s="27" t="s">
        <v>105</v>
      </c>
      <c r="C24" s="23" t="s">
        <v>106</v>
      </c>
      <c r="D24" s="23" t="s">
        <v>107</v>
      </c>
      <c r="E24" s="28">
        <v>36600</v>
      </c>
      <c r="F24" s="25">
        <v>169.55</v>
      </c>
      <c r="G24" s="25">
        <v>0.28000000000000003</v>
      </c>
      <c r="H24" s="26"/>
    </row>
    <row r="25" spans="2:8" x14ac:dyDescent="0.2">
      <c r="B25" s="27" t="s">
        <v>139</v>
      </c>
      <c r="C25" s="23" t="s">
        <v>140</v>
      </c>
      <c r="D25" s="23" t="s">
        <v>141</v>
      </c>
      <c r="E25" s="28">
        <v>20000</v>
      </c>
      <c r="F25" s="25">
        <v>144.4</v>
      </c>
      <c r="G25" s="25">
        <v>0.24</v>
      </c>
      <c r="H25" s="26"/>
    </row>
    <row r="26" spans="2:8" x14ac:dyDescent="0.2">
      <c r="B26" s="27" t="s">
        <v>153</v>
      </c>
      <c r="C26" s="23" t="s">
        <v>154</v>
      </c>
      <c r="D26" s="23" t="s">
        <v>131</v>
      </c>
      <c r="E26" s="28">
        <v>3750</v>
      </c>
      <c r="F26" s="25">
        <v>136.41999999999999</v>
      </c>
      <c r="G26" s="25">
        <v>0.23</v>
      </c>
      <c r="H26" s="26"/>
    </row>
    <row r="27" spans="2:8" x14ac:dyDescent="0.2">
      <c r="B27" s="27" t="s">
        <v>81</v>
      </c>
      <c r="C27" s="23" t="s">
        <v>82</v>
      </c>
      <c r="D27" s="23" t="s">
        <v>63</v>
      </c>
      <c r="E27" s="28">
        <v>26000</v>
      </c>
      <c r="F27" s="25">
        <v>129.06</v>
      </c>
      <c r="G27" s="25">
        <v>0.21</v>
      </c>
      <c r="H27" s="26"/>
    </row>
    <row r="28" spans="2:8" x14ac:dyDescent="0.2">
      <c r="B28" s="27" t="s">
        <v>208</v>
      </c>
      <c r="C28" s="23" t="s">
        <v>209</v>
      </c>
      <c r="D28" s="23" t="s">
        <v>119</v>
      </c>
      <c r="E28" s="28">
        <v>8500</v>
      </c>
      <c r="F28" s="25">
        <v>120.47</v>
      </c>
      <c r="G28" s="25">
        <v>0.2</v>
      </c>
      <c r="H28" s="26"/>
    </row>
    <row r="29" spans="2:8" x14ac:dyDescent="0.2">
      <c r="B29" s="27" t="s">
        <v>96</v>
      </c>
      <c r="C29" s="23" t="s">
        <v>97</v>
      </c>
      <c r="D29" s="23" t="s">
        <v>41</v>
      </c>
      <c r="E29" s="28">
        <v>2300</v>
      </c>
      <c r="F29" s="25">
        <v>110.45</v>
      </c>
      <c r="G29" s="25">
        <v>0.18</v>
      </c>
      <c r="H29" s="26"/>
    </row>
    <row r="30" spans="2:8" x14ac:dyDescent="0.2">
      <c r="B30" s="27" t="s">
        <v>226</v>
      </c>
      <c r="C30" s="23" t="s">
        <v>227</v>
      </c>
      <c r="D30" s="23" t="s">
        <v>136</v>
      </c>
      <c r="E30" s="28">
        <v>2200</v>
      </c>
      <c r="F30" s="25">
        <v>106.24</v>
      </c>
      <c r="G30" s="25">
        <v>0.18</v>
      </c>
      <c r="H30" s="26"/>
    </row>
    <row r="31" spans="2:8" x14ac:dyDescent="0.2">
      <c r="B31" s="27" t="s">
        <v>142</v>
      </c>
      <c r="C31" s="23" t="s">
        <v>143</v>
      </c>
      <c r="D31" s="23" t="s">
        <v>141</v>
      </c>
      <c r="E31" s="28">
        <v>1466</v>
      </c>
      <c r="F31" s="25">
        <v>103.14</v>
      </c>
      <c r="G31" s="25">
        <v>0.17</v>
      </c>
      <c r="H31" s="26"/>
    </row>
    <row r="32" spans="2:8" x14ac:dyDescent="0.2">
      <c r="B32" s="27" t="s">
        <v>177</v>
      </c>
      <c r="C32" s="23" t="s">
        <v>178</v>
      </c>
      <c r="D32" s="23" t="s">
        <v>68</v>
      </c>
      <c r="E32" s="28">
        <v>20000</v>
      </c>
      <c r="F32" s="25">
        <v>101.67</v>
      </c>
      <c r="G32" s="25">
        <v>0.17</v>
      </c>
      <c r="H32" s="26"/>
    </row>
    <row r="33" spans="2:10" x14ac:dyDescent="0.2">
      <c r="B33" s="27" t="s">
        <v>269</v>
      </c>
      <c r="C33" s="23" t="s">
        <v>270</v>
      </c>
      <c r="D33" s="23" t="s">
        <v>131</v>
      </c>
      <c r="E33" s="28">
        <v>18000</v>
      </c>
      <c r="F33" s="25">
        <v>89.96</v>
      </c>
      <c r="G33" s="25">
        <v>0.15</v>
      </c>
      <c r="H33" s="26"/>
    </row>
    <row r="34" spans="2:10" x14ac:dyDescent="0.2">
      <c r="B34" s="27" t="s">
        <v>184</v>
      </c>
      <c r="C34" s="23" t="s">
        <v>185</v>
      </c>
      <c r="D34" s="23" t="s">
        <v>60</v>
      </c>
      <c r="E34" s="28">
        <v>4100</v>
      </c>
      <c r="F34" s="25">
        <v>89.52</v>
      </c>
      <c r="G34" s="25">
        <v>0.15</v>
      </c>
      <c r="H34" s="26"/>
    </row>
    <row r="35" spans="2:10" x14ac:dyDescent="0.2">
      <c r="B35" s="27" t="s">
        <v>137</v>
      </c>
      <c r="C35" s="23" t="s">
        <v>138</v>
      </c>
      <c r="D35" s="23" t="s">
        <v>119</v>
      </c>
      <c r="E35" s="28">
        <v>10000</v>
      </c>
      <c r="F35" s="25">
        <v>82.21</v>
      </c>
      <c r="G35" s="25">
        <v>0.14000000000000001</v>
      </c>
      <c r="H35" s="26"/>
    </row>
    <row r="36" spans="2:10" x14ac:dyDescent="0.2">
      <c r="B36" s="27" t="s">
        <v>228</v>
      </c>
      <c r="C36" s="23" t="s">
        <v>229</v>
      </c>
      <c r="D36" s="23" t="s">
        <v>131</v>
      </c>
      <c r="E36" s="28">
        <v>15000</v>
      </c>
      <c r="F36" s="25">
        <v>80.7</v>
      </c>
      <c r="G36" s="25">
        <v>0.13</v>
      </c>
      <c r="H36" s="26"/>
    </row>
    <row r="37" spans="2:10" x14ac:dyDescent="0.2">
      <c r="B37" s="27" t="s">
        <v>279</v>
      </c>
      <c r="C37" s="23" t="s">
        <v>280</v>
      </c>
      <c r="D37" s="23" t="s">
        <v>131</v>
      </c>
      <c r="E37" s="28">
        <v>36000</v>
      </c>
      <c r="F37" s="25">
        <v>69.709999999999994</v>
      </c>
      <c r="G37" s="25">
        <v>0.12</v>
      </c>
      <c r="H37" s="26"/>
    </row>
    <row r="38" spans="2:10" x14ac:dyDescent="0.2">
      <c r="B38" s="27" t="s">
        <v>347</v>
      </c>
      <c r="C38" s="23" t="s">
        <v>348</v>
      </c>
      <c r="D38" s="23" t="s">
        <v>68</v>
      </c>
      <c r="E38" s="28">
        <v>10000</v>
      </c>
      <c r="F38" s="25">
        <v>56.93</v>
      </c>
      <c r="G38" s="25">
        <v>0.09</v>
      </c>
      <c r="H38" s="26"/>
    </row>
    <row r="39" spans="2:10" x14ac:dyDescent="0.2">
      <c r="B39" s="27" t="s">
        <v>45</v>
      </c>
      <c r="C39" s="23" t="s">
        <v>46</v>
      </c>
      <c r="D39" s="23" t="s">
        <v>47</v>
      </c>
      <c r="E39" s="28">
        <v>150</v>
      </c>
      <c r="F39" s="25">
        <v>47.94</v>
      </c>
      <c r="G39" s="25">
        <v>0.08</v>
      </c>
      <c r="H39" s="26"/>
    </row>
    <row r="40" spans="2:10" x14ac:dyDescent="0.2">
      <c r="B40" s="27" t="s">
        <v>173</v>
      </c>
      <c r="C40" s="23" t="s">
        <v>174</v>
      </c>
      <c r="D40" s="23" t="s">
        <v>159</v>
      </c>
      <c r="E40" s="28">
        <v>342</v>
      </c>
      <c r="F40" s="25">
        <v>21.58</v>
      </c>
      <c r="G40" s="25">
        <v>0.04</v>
      </c>
      <c r="H40" s="26"/>
    </row>
    <row r="41" spans="2:10" x14ac:dyDescent="0.2">
      <c r="B41" s="29" t="s">
        <v>110</v>
      </c>
      <c r="C41" s="30"/>
      <c r="D41" s="30"/>
      <c r="E41" s="31"/>
      <c r="F41" s="32">
        <f>SUM(F7:F40)</f>
        <v>8093.66</v>
      </c>
      <c r="G41" s="32">
        <f>SUM(G7:G40)</f>
        <v>13.429999999999998</v>
      </c>
      <c r="H41" s="33"/>
      <c r="I41" s="14"/>
      <c r="J41" s="14"/>
    </row>
    <row r="42" spans="2:10" x14ac:dyDescent="0.2">
      <c r="B42" s="37" t="s">
        <v>111</v>
      </c>
      <c r="C42" s="37"/>
      <c r="D42" s="37"/>
      <c r="E42" s="38"/>
      <c r="F42" s="39">
        <f>F41</f>
        <v>8093.66</v>
      </c>
      <c r="G42" s="39">
        <f>G41</f>
        <v>13.429999999999998</v>
      </c>
      <c r="H42" s="15"/>
      <c r="I42" s="14"/>
      <c r="J42" s="14"/>
    </row>
    <row r="43" spans="2:10" x14ac:dyDescent="0.2">
      <c r="B43" s="46" t="s">
        <v>351</v>
      </c>
      <c r="C43" s="41"/>
      <c r="D43" s="41"/>
      <c r="E43" s="42"/>
      <c r="F43" s="43"/>
      <c r="G43" s="43"/>
      <c r="H43" s="43"/>
    </row>
    <row r="44" spans="2:10" x14ac:dyDescent="0.2">
      <c r="B44" s="47" t="s">
        <v>32</v>
      </c>
      <c r="C44" s="23"/>
      <c r="D44" s="23"/>
      <c r="E44" s="24"/>
      <c r="F44" s="25"/>
      <c r="G44" s="25"/>
      <c r="H44" s="25"/>
    </row>
    <row r="45" spans="2:10" x14ac:dyDescent="0.2">
      <c r="B45" s="23" t="s">
        <v>747</v>
      </c>
      <c r="C45" s="23" t="s">
        <v>748</v>
      </c>
      <c r="D45" s="23" t="s">
        <v>354</v>
      </c>
      <c r="E45" s="28">
        <v>485</v>
      </c>
      <c r="F45" s="25">
        <v>6134.05</v>
      </c>
      <c r="G45" s="25">
        <v>10.17</v>
      </c>
      <c r="H45" s="25">
        <v>3.32</v>
      </c>
    </row>
    <row r="46" spans="2:10" x14ac:dyDescent="0.2">
      <c r="B46" s="23" t="s">
        <v>749</v>
      </c>
      <c r="C46" s="23" t="s">
        <v>750</v>
      </c>
      <c r="D46" s="23" t="s">
        <v>354</v>
      </c>
      <c r="E46" s="28">
        <v>480</v>
      </c>
      <c r="F46" s="25">
        <v>6030.16</v>
      </c>
      <c r="G46" s="25">
        <v>10</v>
      </c>
      <c r="H46" s="25">
        <v>3.69</v>
      </c>
    </row>
    <row r="47" spans="2:10" x14ac:dyDescent="0.2">
      <c r="B47" s="23" t="s">
        <v>751</v>
      </c>
      <c r="C47" s="23" t="s">
        <v>752</v>
      </c>
      <c r="D47" s="23" t="s">
        <v>354</v>
      </c>
      <c r="E47" s="28">
        <v>500</v>
      </c>
      <c r="F47" s="25">
        <v>5061.8100000000004</v>
      </c>
      <c r="G47" s="25">
        <v>8.39</v>
      </c>
      <c r="H47" s="25">
        <v>3.28</v>
      </c>
    </row>
    <row r="48" spans="2:10" x14ac:dyDescent="0.2">
      <c r="B48" s="23" t="s">
        <v>407</v>
      </c>
      <c r="C48" s="23" t="s">
        <v>408</v>
      </c>
      <c r="D48" s="23" t="s">
        <v>354</v>
      </c>
      <c r="E48" s="28">
        <v>450</v>
      </c>
      <c r="F48" s="25">
        <v>4554.46</v>
      </c>
      <c r="G48" s="25">
        <v>7.55</v>
      </c>
      <c r="H48" s="25">
        <v>3.27</v>
      </c>
    </row>
    <row r="49" spans="2:10" x14ac:dyDescent="0.2">
      <c r="B49" s="23" t="s">
        <v>753</v>
      </c>
      <c r="C49" s="23" t="s">
        <v>754</v>
      </c>
      <c r="D49" s="23" t="s">
        <v>354</v>
      </c>
      <c r="E49" s="28">
        <v>400</v>
      </c>
      <c r="F49" s="25">
        <v>4048.21</v>
      </c>
      <c r="G49" s="25">
        <v>6.71</v>
      </c>
      <c r="H49" s="25">
        <v>3.18</v>
      </c>
    </row>
    <row r="50" spans="2:10" x14ac:dyDescent="0.2">
      <c r="B50" s="23" t="s">
        <v>755</v>
      </c>
      <c r="C50" s="23" t="s">
        <v>756</v>
      </c>
      <c r="D50" s="23" t="s">
        <v>722</v>
      </c>
      <c r="E50" s="28">
        <v>250</v>
      </c>
      <c r="F50" s="25">
        <v>3130.68</v>
      </c>
      <c r="G50" s="25">
        <v>5.19</v>
      </c>
      <c r="H50" s="25">
        <v>3.88</v>
      </c>
    </row>
    <row r="51" spans="2:10" x14ac:dyDescent="0.2">
      <c r="B51" s="23" t="s">
        <v>757</v>
      </c>
      <c r="C51" s="23" t="s">
        <v>758</v>
      </c>
      <c r="D51" s="23" t="s">
        <v>354</v>
      </c>
      <c r="E51" s="28">
        <v>250</v>
      </c>
      <c r="F51" s="25">
        <v>2529.66</v>
      </c>
      <c r="G51" s="25">
        <v>4.1900000000000004</v>
      </c>
      <c r="H51" s="25">
        <v>3.06</v>
      </c>
    </row>
    <row r="52" spans="2:10" x14ac:dyDescent="0.2">
      <c r="B52" s="23" t="s">
        <v>759</v>
      </c>
      <c r="C52" s="23" t="s">
        <v>760</v>
      </c>
      <c r="D52" s="23" t="s">
        <v>354</v>
      </c>
      <c r="E52" s="28">
        <v>250</v>
      </c>
      <c r="F52" s="25">
        <v>2526.77</v>
      </c>
      <c r="G52" s="25">
        <v>4.1900000000000004</v>
      </c>
      <c r="H52" s="25">
        <v>3.23</v>
      </c>
    </row>
    <row r="53" spans="2:10" x14ac:dyDescent="0.2">
      <c r="B53" s="23" t="s">
        <v>761</v>
      </c>
      <c r="C53" s="23" t="s">
        <v>762</v>
      </c>
      <c r="D53" s="23" t="s">
        <v>354</v>
      </c>
      <c r="E53" s="28">
        <v>15</v>
      </c>
      <c r="F53" s="25">
        <v>1520.23</v>
      </c>
      <c r="G53" s="25">
        <v>2.52</v>
      </c>
      <c r="H53" s="25">
        <v>3.26</v>
      </c>
    </row>
    <row r="54" spans="2:10" x14ac:dyDescent="0.2">
      <c r="B54" s="23" t="s">
        <v>763</v>
      </c>
      <c r="C54" s="23" t="s">
        <v>764</v>
      </c>
      <c r="D54" s="23" t="s">
        <v>354</v>
      </c>
      <c r="E54" s="28">
        <v>150</v>
      </c>
      <c r="F54" s="25">
        <v>1511</v>
      </c>
      <c r="G54" s="25">
        <v>2.5099999999999998</v>
      </c>
      <c r="H54" s="25">
        <v>3.1</v>
      </c>
    </row>
    <row r="55" spans="2:10" x14ac:dyDescent="0.2">
      <c r="B55" s="23" t="s">
        <v>765</v>
      </c>
      <c r="C55" s="23" t="s">
        <v>766</v>
      </c>
      <c r="D55" s="23" t="s">
        <v>354</v>
      </c>
      <c r="E55" s="28">
        <v>80</v>
      </c>
      <c r="F55" s="25">
        <v>1005.76</v>
      </c>
      <c r="G55" s="25">
        <v>1.67</v>
      </c>
      <c r="H55" s="25">
        <v>3.28</v>
      </c>
    </row>
    <row r="56" spans="2:10" x14ac:dyDescent="0.2">
      <c r="B56" s="23" t="s">
        <v>767</v>
      </c>
      <c r="C56" s="23" t="s">
        <v>768</v>
      </c>
      <c r="D56" s="23" t="s">
        <v>354</v>
      </c>
      <c r="E56" s="28">
        <v>50</v>
      </c>
      <c r="F56" s="25">
        <v>506.99</v>
      </c>
      <c r="G56" s="25">
        <v>0.84</v>
      </c>
      <c r="H56" s="25">
        <v>3.42</v>
      </c>
    </row>
    <row r="57" spans="2:10" x14ac:dyDescent="0.2">
      <c r="B57" s="30" t="s">
        <v>110</v>
      </c>
      <c r="C57" s="30"/>
      <c r="D57" s="30"/>
      <c r="E57" s="31"/>
      <c r="F57" s="32">
        <f>SUM(F44:F56)</f>
        <v>38559.78</v>
      </c>
      <c r="G57" s="32">
        <f>SUM(G44:G56)</f>
        <v>63.93</v>
      </c>
      <c r="H57" s="48"/>
      <c r="I57" s="14"/>
      <c r="J57" s="14"/>
    </row>
    <row r="58" spans="2:10" x14ac:dyDescent="0.2">
      <c r="B58" s="49" t="s">
        <v>111</v>
      </c>
      <c r="C58" s="49"/>
      <c r="D58" s="49"/>
      <c r="E58" s="50"/>
      <c r="F58" s="51">
        <f>F57</f>
        <v>38559.78</v>
      </c>
      <c r="G58" s="51">
        <f>G57</f>
        <v>63.93</v>
      </c>
      <c r="H58" s="51"/>
      <c r="I58" s="14"/>
      <c r="J58" s="14"/>
    </row>
    <row r="59" spans="2:10" x14ac:dyDescent="0.2">
      <c r="B59" s="47" t="s">
        <v>423</v>
      </c>
      <c r="C59" s="23"/>
      <c r="D59" s="23"/>
      <c r="E59" s="24"/>
      <c r="F59" s="25"/>
      <c r="G59" s="25"/>
      <c r="H59" s="25"/>
    </row>
    <row r="60" spans="2:10" x14ac:dyDescent="0.2">
      <c r="B60" s="23" t="s">
        <v>769</v>
      </c>
      <c r="C60" s="23" t="s">
        <v>770</v>
      </c>
      <c r="D60" s="23" t="s">
        <v>426</v>
      </c>
      <c r="E60" s="28">
        <v>2575000</v>
      </c>
      <c r="F60" s="25">
        <v>2611.61</v>
      </c>
      <c r="G60" s="25">
        <v>4.33</v>
      </c>
      <c r="H60" s="25">
        <v>3.38</v>
      </c>
    </row>
    <row r="61" spans="2:10" x14ac:dyDescent="0.2">
      <c r="B61" s="23" t="s">
        <v>771</v>
      </c>
      <c r="C61" s="23" t="s">
        <v>772</v>
      </c>
      <c r="D61" s="23" t="s">
        <v>426</v>
      </c>
      <c r="E61" s="28">
        <v>2500000</v>
      </c>
      <c r="F61" s="25">
        <v>2540.6799999999998</v>
      </c>
      <c r="G61" s="25">
        <v>4.21</v>
      </c>
      <c r="H61" s="25">
        <v>3.38</v>
      </c>
    </row>
    <row r="62" spans="2:10" x14ac:dyDescent="0.2">
      <c r="B62" s="23" t="s">
        <v>714</v>
      </c>
      <c r="C62" s="23" t="s">
        <v>715</v>
      </c>
      <c r="D62" s="23" t="s">
        <v>426</v>
      </c>
      <c r="E62" s="28">
        <v>1703000</v>
      </c>
      <c r="F62" s="25">
        <v>1729.57</v>
      </c>
      <c r="G62" s="25">
        <v>2.87</v>
      </c>
      <c r="H62" s="25">
        <v>3.42</v>
      </c>
    </row>
    <row r="63" spans="2:10" x14ac:dyDescent="0.2">
      <c r="B63" s="52" t="s">
        <v>773</v>
      </c>
      <c r="C63" s="52" t="s">
        <v>774</v>
      </c>
      <c r="D63" s="52" t="s">
        <v>426</v>
      </c>
      <c r="E63" s="53">
        <v>1500000</v>
      </c>
      <c r="F63" s="54">
        <v>1523.1</v>
      </c>
      <c r="G63" s="54">
        <v>2.5299999999999998</v>
      </c>
      <c r="H63" s="54">
        <v>3.38</v>
      </c>
    </row>
    <row r="64" spans="2:10" x14ac:dyDescent="0.2">
      <c r="B64" s="55" t="s">
        <v>111</v>
      </c>
      <c r="C64" s="55"/>
      <c r="D64" s="55"/>
      <c r="E64" s="56"/>
      <c r="F64" s="57">
        <f>SUM(F60:F63)</f>
        <v>8404.9599999999991</v>
      </c>
      <c r="G64" s="57">
        <f>SUM(G60:G63)</f>
        <v>13.94</v>
      </c>
      <c r="H64" s="57"/>
      <c r="I64" s="14"/>
      <c r="J64" s="14"/>
    </row>
    <row r="65" spans="2:10" x14ac:dyDescent="0.2">
      <c r="B65" s="47" t="s">
        <v>112</v>
      </c>
      <c r="C65" s="23"/>
      <c r="D65" s="23"/>
      <c r="E65" s="24"/>
      <c r="F65" s="25"/>
      <c r="G65" s="25"/>
      <c r="H65" s="25"/>
    </row>
    <row r="66" spans="2:10" x14ac:dyDescent="0.2">
      <c r="B66" s="23" t="s">
        <v>112</v>
      </c>
      <c r="C66" s="23"/>
      <c r="D66" s="23"/>
      <c r="E66" s="24"/>
      <c r="F66" s="25">
        <v>3625.92</v>
      </c>
      <c r="G66" s="25">
        <v>6.01</v>
      </c>
      <c r="H66" s="25"/>
    </row>
    <row r="67" spans="2:10" x14ac:dyDescent="0.2">
      <c r="B67" s="30" t="s">
        <v>110</v>
      </c>
      <c r="C67" s="30"/>
      <c r="D67" s="30"/>
      <c r="E67" s="31"/>
      <c r="F67" s="32">
        <f>SUM(F65:F66)</f>
        <v>3625.92</v>
      </c>
      <c r="G67" s="32">
        <f>SUM(G65:G66)</f>
        <v>6.01</v>
      </c>
      <c r="H67" s="48"/>
      <c r="I67" s="14"/>
      <c r="J67" s="14"/>
    </row>
    <row r="68" spans="2:10" x14ac:dyDescent="0.2">
      <c r="B68" s="34" t="s">
        <v>111</v>
      </c>
      <c r="C68" s="34"/>
      <c r="D68" s="34"/>
      <c r="E68" s="35"/>
      <c r="F68" s="36">
        <f>F67</f>
        <v>3625.92</v>
      </c>
      <c r="G68" s="36">
        <f>G67</f>
        <v>6.01</v>
      </c>
      <c r="H68" s="36"/>
      <c r="I68" s="14"/>
      <c r="J68" s="14"/>
    </row>
    <row r="69" spans="2:10" x14ac:dyDescent="0.2">
      <c r="B69" s="44" t="s">
        <v>114</v>
      </c>
      <c r="C69" s="44"/>
      <c r="D69" s="44"/>
      <c r="E69" s="45"/>
      <c r="F69" s="16">
        <f>F70-(+F42+F58+F64+F68)</f>
        <v>1417.0699999999997</v>
      </c>
      <c r="G69" s="16">
        <f>G70-(+G42+G58+G64+G68)</f>
        <v>2.6899999999999977</v>
      </c>
      <c r="H69" s="16"/>
      <c r="I69" s="14"/>
      <c r="J69" s="14"/>
    </row>
    <row r="70" spans="2:10" x14ac:dyDescent="0.2">
      <c r="B70" s="44" t="s">
        <v>113</v>
      </c>
      <c r="C70" s="44"/>
      <c r="D70" s="44"/>
      <c r="E70" s="45"/>
      <c r="F70" s="16">
        <v>60101.39</v>
      </c>
      <c r="G70" s="16">
        <v>100</v>
      </c>
      <c r="H70" s="16"/>
      <c r="I70" s="14"/>
      <c r="J70" s="14"/>
    </row>
    <row r="72" spans="2:10" x14ac:dyDescent="0.2">
      <c r="B72" s="14" t="s">
        <v>805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3"/>
  <sheetViews>
    <sheetView workbookViewId="0">
      <selection activeCell="C82" sqref="C82"/>
    </sheetView>
  </sheetViews>
  <sheetFormatPr defaultRowHeight="12" x14ac:dyDescent="0.2"/>
  <cols>
    <col min="1" max="1" width="9.140625" style="1"/>
    <col min="2" max="2" width="61" style="1" bestFit="1" customWidth="1"/>
    <col min="3" max="3" width="13.71093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28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117</v>
      </c>
      <c r="C7" s="23" t="s">
        <v>118</v>
      </c>
      <c r="D7" s="23" t="s">
        <v>119</v>
      </c>
      <c r="E7" s="28">
        <v>100000</v>
      </c>
      <c r="F7" s="25">
        <v>1100</v>
      </c>
      <c r="G7" s="25">
        <v>2.42</v>
      </c>
      <c r="H7" s="26"/>
    </row>
    <row r="8" spans="2:8" x14ac:dyDescent="0.2">
      <c r="B8" s="27" t="s">
        <v>115</v>
      </c>
      <c r="C8" s="23" t="s">
        <v>116</v>
      </c>
      <c r="D8" s="23" t="s">
        <v>44</v>
      </c>
      <c r="E8" s="28">
        <v>74220</v>
      </c>
      <c r="F8" s="25">
        <v>1069.4000000000001</v>
      </c>
      <c r="G8" s="25">
        <v>2.35</v>
      </c>
      <c r="H8" s="26"/>
    </row>
    <row r="9" spans="2:8" x14ac:dyDescent="0.2">
      <c r="B9" s="27" t="s">
        <v>36</v>
      </c>
      <c r="C9" s="23" t="s">
        <v>37</v>
      </c>
      <c r="D9" s="23" t="s">
        <v>38</v>
      </c>
      <c r="E9" s="28">
        <v>51030</v>
      </c>
      <c r="F9" s="25">
        <v>984.78</v>
      </c>
      <c r="G9" s="25">
        <v>2.16</v>
      </c>
      <c r="H9" s="26"/>
    </row>
    <row r="10" spans="2:8" x14ac:dyDescent="0.2">
      <c r="B10" s="27" t="s">
        <v>42</v>
      </c>
      <c r="C10" s="23" t="s">
        <v>43</v>
      </c>
      <c r="D10" s="23" t="s">
        <v>44</v>
      </c>
      <c r="E10" s="28">
        <v>167300</v>
      </c>
      <c r="F10" s="25">
        <v>791.91</v>
      </c>
      <c r="G10" s="25">
        <v>1.74</v>
      </c>
      <c r="H10" s="26"/>
    </row>
    <row r="11" spans="2:8" x14ac:dyDescent="0.2">
      <c r="B11" s="27" t="s">
        <v>127</v>
      </c>
      <c r="C11" s="23" t="s">
        <v>128</v>
      </c>
      <c r="D11" s="23" t="s">
        <v>44</v>
      </c>
      <c r="E11" s="28">
        <v>126600</v>
      </c>
      <c r="F11" s="25">
        <v>761.63</v>
      </c>
      <c r="G11" s="25">
        <v>1.67</v>
      </c>
      <c r="H11" s="26"/>
    </row>
    <row r="12" spans="2:8" x14ac:dyDescent="0.2">
      <c r="B12" s="27" t="s">
        <v>132</v>
      </c>
      <c r="C12" s="23" t="s">
        <v>133</v>
      </c>
      <c r="D12" s="23" t="s">
        <v>44</v>
      </c>
      <c r="E12" s="28">
        <v>27200</v>
      </c>
      <c r="F12" s="25">
        <v>518.73</v>
      </c>
      <c r="G12" s="25">
        <v>1.1399999999999999</v>
      </c>
      <c r="H12" s="26"/>
    </row>
    <row r="13" spans="2:8" x14ac:dyDescent="0.2">
      <c r="B13" s="27" t="s">
        <v>226</v>
      </c>
      <c r="C13" s="23" t="s">
        <v>227</v>
      </c>
      <c r="D13" s="23" t="s">
        <v>136</v>
      </c>
      <c r="E13" s="28">
        <v>10000</v>
      </c>
      <c r="F13" s="25">
        <v>482.9</v>
      </c>
      <c r="G13" s="25">
        <v>1.06</v>
      </c>
      <c r="H13" s="26"/>
    </row>
    <row r="14" spans="2:8" x14ac:dyDescent="0.2">
      <c r="B14" s="27" t="s">
        <v>123</v>
      </c>
      <c r="C14" s="23" t="s">
        <v>124</v>
      </c>
      <c r="D14" s="23" t="s">
        <v>119</v>
      </c>
      <c r="E14" s="28">
        <v>17900</v>
      </c>
      <c r="F14" s="25">
        <v>479.66</v>
      </c>
      <c r="G14" s="25">
        <v>1.05</v>
      </c>
      <c r="H14" s="26"/>
    </row>
    <row r="15" spans="2:8" x14ac:dyDescent="0.2">
      <c r="B15" s="27" t="s">
        <v>129</v>
      </c>
      <c r="C15" s="23" t="s">
        <v>130</v>
      </c>
      <c r="D15" s="23" t="s">
        <v>131</v>
      </c>
      <c r="E15" s="28">
        <v>19525</v>
      </c>
      <c r="F15" s="25">
        <v>417.48</v>
      </c>
      <c r="G15" s="25">
        <v>0.92</v>
      </c>
      <c r="H15" s="26"/>
    </row>
    <row r="16" spans="2:8" x14ac:dyDescent="0.2">
      <c r="B16" s="27" t="s">
        <v>105</v>
      </c>
      <c r="C16" s="23" t="s">
        <v>106</v>
      </c>
      <c r="D16" s="23" t="s">
        <v>107</v>
      </c>
      <c r="E16" s="28">
        <v>80000</v>
      </c>
      <c r="F16" s="25">
        <v>370.6</v>
      </c>
      <c r="G16" s="25">
        <v>0.81</v>
      </c>
      <c r="H16" s="26"/>
    </row>
    <row r="17" spans="2:8" x14ac:dyDescent="0.2">
      <c r="B17" s="27" t="s">
        <v>198</v>
      </c>
      <c r="C17" s="23" t="s">
        <v>199</v>
      </c>
      <c r="D17" s="23" t="s">
        <v>122</v>
      </c>
      <c r="E17" s="28">
        <v>25300</v>
      </c>
      <c r="F17" s="25">
        <v>367.2</v>
      </c>
      <c r="G17" s="25">
        <v>0.81</v>
      </c>
      <c r="H17" s="26"/>
    </row>
    <row r="18" spans="2:8" x14ac:dyDescent="0.2">
      <c r="B18" s="27" t="s">
        <v>775</v>
      </c>
      <c r="C18" s="23" t="s">
        <v>776</v>
      </c>
      <c r="D18" s="23" t="s">
        <v>122</v>
      </c>
      <c r="E18" s="28">
        <v>13300</v>
      </c>
      <c r="F18" s="25">
        <v>337.66</v>
      </c>
      <c r="G18" s="25">
        <v>0.74</v>
      </c>
      <c r="H18" s="26"/>
    </row>
    <row r="19" spans="2:8" x14ac:dyDescent="0.2">
      <c r="B19" s="27" t="s">
        <v>120</v>
      </c>
      <c r="C19" s="23" t="s">
        <v>121</v>
      </c>
      <c r="D19" s="23" t="s">
        <v>122</v>
      </c>
      <c r="E19" s="28">
        <v>6325</v>
      </c>
      <c r="F19" s="25">
        <v>310.48</v>
      </c>
      <c r="G19" s="25">
        <v>0.68</v>
      </c>
      <c r="H19" s="26"/>
    </row>
    <row r="20" spans="2:8" x14ac:dyDescent="0.2">
      <c r="B20" s="27" t="s">
        <v>58</v>
      </c>
      <c r="C20" s="23" t="s">
        <v>59</v>
      </c>
      <c r="D20" s="23" t="s">
        <v>60</v>
      </c>
      <c r="E20" s="28">
        <v>36600</v>
      </c>
      <c r="F20" s="25">
        <v>295.22000000000003</v>
      </c>
      <c r="G20" s="25">
        <v>0.65</v>
      </c>
      <c r="H20" s="26"/>
    </row>
    <row r="21" spans="2:8" x14ac:dyDescent="0.2">
      <c r="B21" s="27" t="s">
        <v>171</v>
      </c>
      <c r="C21" s="23" t="s">
        <v>172</v>
      </c>
      <c r="D21" s="23" t="s">
        <v>122</v>
      </c>
      <c r="E21" s="28">
        <v>44150</v>
      </c>
      <c r="F21" s="25">
        <v>285.56</v>
      </c>
      <c r="G21" s="25">
        <v>0.63</v>
      </c>
      <c r="H21" s="26"/>
    </row>
    <row r="22" spans="2:8" x14ac:dyDescent="0.2">
      <c r="B22" s="27" t="s">
        <v>208</v>
      </c>
      <c r="C22" s="23" t="s">
        <v>209</v>
      </c>
      <c r="D22" s="23" t="s">
        <v>119</v>
      </c>
      <c r="E22" s="28">
        <v>20000</v>
      </c>
      <c r="F22" s="25">
        <v>283.45999999999998</v>
      </c>
      <c r="G22" s="25">
        <v>0.62</v>
      </c>
      <c r="H22" s="26"/>
    </row>
    <row r="23" spans="2:8" x14ac:dyDescent="0.2">
      <c r="B23" s="27" t="s">
        <v>125</v>
      </c>
      <c r="C23" s="23" t="s">
        <v>126</v>
      </c>
      <c r="D23" s="23" t="s">
        <v>122</v>
      </c>
      <c r="E23" s="28">
        <v>12020</v>
      </c>
      <c r="F23" s="25">
        <v>271.2</v>
      </c>
      <c r="G23" s="25">
        <v>0.6</v>
      </c>
      <c r="H23" s="26"/>
    </row>
    <row r="24" spans="2:8" x14ac:dyDescent="0.2">
      <c r="B24" s="27" t="s">
        <v>248</v>
      </c>
      <c r="C24" s="23" t="s">
        <v>249</v>
      </c>
      <c r="D24" s="23" t="s">
        <v>131</v>
      </c>
      <c r="E24" s="28">
        <v>50000</v>
      </c>
      <c r="F24" s="25">
        <v>270.98</v>
      </c>
      <c r="G24" s="25">
        <v>0.6</v>
      </c>
      <c r="H24" s="26"/>
    </row>
    <row r="25" spans="2:8" x14ac:dyDescent="0.2">
      <c r="B25" s="27" t="s">
        <v>228</v>
      </c>
      <c r="C25" s="23" t="s">
        <v>229</v>
      </c>
      <c r="D25" s="23" t="s">
        <v>131</v>
      </c>
      <c r="E25" s="28">
        <v>50000</v>
      </c>
      <c r="F25" s="25">
        <v>269</v>
      </c>
      <c r="G25" s="25">
        <v>0.59</v>
      </c>
      <c r="H25" s="26"/>
    </row>
    <row r="26" spans="2:8" x14ac:dyDescent="0.2">
      <c r="B26" s="27" t="s">
        <v>139</v>
      </c>
      <c r="C26" s="23" t="s">
        <v>140</v>
      </c>
      <c r="D26" s="23" t="s">
        <v>141</v>
      </c>
      <c r="E26" s="28">
        <v>33000</v>
      </c>
      <c r="F26" s="25">
        <v>238.26</v>
      </c>
      <c r="G26" s="25">
        <v>0.52</v>
      </c>
      <c r="H26" s="26"/>
    </row>
    <row r="27" spans="2:8" x14ac:dyDescent="0.2">
      <c r="B27" s="27" t="s">
        <v>194</v>
      </c>
      <c r="C27" s="23" t="s">
        <v>195</v>
      </c>
      <c r="D27" s="23" t="s">
        <v>131</v>
      </c>
      <c r="E27" s="28">
        <v>10720</v>
      </c>
      <c r="F27" s="25">
        <v>237.48</v>
      </c>
      <c r="G27" s="25">
        <v>0.52</v>
      </c>
      <c r="H27" s="26"/>
    </row>
    <row r="28" spans="2:8" x14ac:dyDescent="0.2">
      <c r="B28" s="27" t="s">
        <v>33</v>
      </c>
      <c r="C28" s="23" t="s">
        <v>34</v>
      </c>
      <c r="D28" s="23" t="s">
        <v>35</v>
      </c>
      <c r="E28" s="28">
        <v>20460</v>
      </c>
      <c r="F28" s="25">
        <v>229.64</v>
      </c>
      <c r="G28" s="25">
        <v>0.5</v>
      </c>
      <c r="H28" s="26"/>
    </row>
    <row r="29" spans="2:8" x14ac:dyDescent="0.2">
      <c r="B29" s="27" t="s">
        <v>146</v>
      </c>
      <c r="C29" s="23" t="s">
        <v>147</v>
      </c>
      <c r="D29" s="23" t="s">
        <v>148</v>
      </c>
      <c r="E29" s="28">
        <v>10000</v>
      </c>
      <c r="F29" s="25">
        <v>220.84</v>
      </c>
      <c r="G29" s="25">
        <v>0.49</v>
      </c>
      <c r="H29" s="26"/>
    </row>
    <row r="30" spans="2:8" x14ac:dyDescent="0.2">
      <c r="B30" s="27" t="s">
        <v>142</v>
      </c>
      <c r="C30" s="23" t="s">
        <v>143</v>
      </c>
      <c r="D30" s="23" t="s">
        <v>141</v>
      </c>
      <c r="E30" s="28">
        <v>3070</v>
      </c>
      <c r="F30" s="25">
        <v>216</v>
      </c>
      <c r="G30" s="25">
        <v>0.47</v>
      </c>
      <c r="H30" s="26"/>
    </row>
    <row r="31" spans="2:8" x14ac:dyDescent="0.2">
      <c r="B31" s="27" t="s">
        <v>269</v>
      </c>
      <c r="C31" s="23" t="s">
        <v>270</v>
      </c>
      <c r="D31" s="23" t="s">
        <v>131</v>
      </c>
      <c r="E31" s="28">
        <v>40160</v>
      </c>
      <c r="F31" s="25">
        <v>200.72</v>
      </c>
      <c r="G31" s="25">
        <v>0.44</v>
      </c>
      <c r="H31" s="26"/>
    </row>
    <row r="32" spans="2:8" x14ac:dyDescent="0.2">
      <c r="B32" s="27" t="s">
        <v>241</v>
      </c>
      <c r="C32" s="23" t="s">
        <v>242</v>
      </c>
      <c r="D32" s="23" t="s">
        <v>243</v>
      </c>
      <c r="E32" s="28">
        <v>7450</v>
      </c>
      <c r="F32" s="25">
        <v>170.55</v>
      </c>
      <c r="G32" s="25">
        <v>0.37</v>
      </c>
      <c r="H32" s="26"/>
    </row>
    <row r="33" spans="2:10" x14ac:dyDescent="0.2">
      <c r="B33" s="27" t="s">
        <v>89</v>
      </c>
      <c r="C33" s="23" t="s">
        <v>90</v>
      </c>
      <c r="D33" s="23" t="s">
        <v>41</v>
      </c>
      <c r="E33" s="28">
        <v>700</v>
      </c>
      <c r="F33" s="25">
        <v>170.14</v>
      </c>
      <c r="G33" s="25">
        <v>0.37</v>
      </c>
      <c r="H33" s="26"/>
    </row>
    <row r="34" spans="2:10" x14ac:dyDescent="0.2">
      <c r="B34" s="27" t="s">
        <v>96</v>
      </c>
      <c r="C34" s="23" t="s">
        <v>97</v>
      </c>
      <c r="D34" s="23" t="s">
        <v>41</v>
      </c>
      <c r="E34" s="28">
        <v>3200</v>
      </c>
      <c r="F34" s="25">
        <v>153.66</v>
      </c>
      <c r="G34" s="25">
        <v>0.34</v>
      </c>
      <c r="H34" s="26"/>
    </row>
    <row r="35" spans="2:10" x14ac:dyDescent="0.2">
      <c r="B35" s="27" t="s">
        <v>258</v>
      </c>
      <c r="C35" s="23" t="s">
        <v>259</v>
      </c>
      <c r="D35" s="23" t="s">
        <v>260</v>
      </c>
      <c r="E35" s="28">
        <v>11052</v>
      </c>
      <c r="F35" s="25">
        <v>149.58000000000001</v>
      </c>
      <c r="G35" s="25">
        <v>0.33</v>
      </c>
      <c r="H35" s="26"/>
    </row>
    <row r="36" spans="2:10" x14ac:dyDescent="0.2">
      <c r="B36" s="27" t="s">
        <v>777</v>
      </c>
      <c r="C36" s="23" t="s">
        <v>778</v>
      </c>
      <c r="D36" s="23" t="s">
        <v>60</v>
      </c>
      <c r="E36" s="28">
        <v>40740</v>
      </c>
      <c r="F36" s="25">
        <v>147.25</v>
      </c>
      <c r="G36" s="25">
        <v>0.32</v>
      </c>
      <c r="H36" s="26"/>
    </row>
    <row r="37" spans="2:10" x14ac:dyDescent="0.2">
      <c r="B37" s="27" t="s">
        <v>177</v>
      </c>
      <c r="C37" s="23" t="s">
        <v>178</v>
      </c>
      <c r="D37" s="23" t="s">
        <v>68</v>
      </c>
      <c r="E37" s="28">
        <v>27000</v>
      </c>
      <c r="F37" s="25">
        <v>137.25</v>
      </c>
      <c r="G37" s="25">
        <v>0.3</v>
      </c>
      <c r="H37" s="26"/>
    </row>
    <row r="38" spans="2:10" x14ac:dyDescent="0.2">
      <c r="B38" s="27" t="s">
        <v>137</v>
      </c>
      <c r="C38" s="23" t="s">
        <v>138</v>
      </c>
      <c r="D38" s="23" t="s">
        <v>119</v>
      </c>
      <c r="E38" s="28">
        <v>15500</v>
      </c>
      <c r="F38" s="25">
        <v>127.43</v>
      </c>
      <c r="G38" s="25">
        <v>0.28000000000000003</v>
      </c>
      <c r="H38" s="26"/>
    </row>
    <row r="39" spans="2:10" x14ac:dyDescent="0.2">
      <c r="B39" s="27" t="s">
        <v>279</v>
      </c>
      <c r="C39" s="23" t="s">
        <v>280</v>
      </c>
      <c r="D39" s="23" t="s">
        <v>131</v>
      </c>
      <c r="E39" s="28">
        <v>60000</v>
      </c>
      <c r="F39" s="25">
        <v>116.19</v>
      </c>
      <c r="G39" s="25">
        <v>0.26</v>
      </c>
      <c r="H39" s="26"/>
    </row>
    <row r="40" spans="2:10" x14ac:dyDescent="0.2">
      <c r="B40" s="27" t="s">
        <v>153</v>
      </c>
      <c r="C40" s="23" t="s">
        <v>154</v>
      </c>
      <c r="D40" s="23" t="s">
        <v>131</v>
      </c>
      <c r="E40" s="28">
        <v>2700</v>
      </c>
      <c r="F40" s="25">
        <v>98.22</v>
      </c>
      <c r="G40" s="25">
        <v>0.22</v>
      </c>
      <c r="H40" s="26"/>
    </row>
    <row r="41" spans="2:10" x14ac:dyDescent="0.2">
      <c r="B41" s="27" t="s">
        <v>102</v>
      </c>
      <c r="C41" s="23" t="s">
        <v>103</v>
      </c>
      <c r="D41" s="23" t="s">
        <v>104</v>
      </c>
      <c r="E41" s="28">
        <v>40000</v>
      </c>
      <c r="F41" s="25">
        <v>90.54</v>
      </c>
      <c r="G41" s="25">
        <v>0.2</v>
      </c>
      <c r="H41" s="26"/>
    </row>
    <row r="42" spans="2:10" x14ac:dyDescent="0.2">
      <c r="B42" s="27" t="s">
        <v>144</v>
      </c>
      <c r="C42" s="23" t="s">
        <v>145</v>
      </c>
      <c r="D42" s="23" t="s">
        <v>60</v>
      </c>
      <c r="E42" s="28">
        <v>5400</v>
      </c>
      <c r="F42" s="25">
        <v>73.5</v>
      </c>
      <c r="G42" s="25">
        <v>0.16</v>
      </c>
      <c r="H42" s="26"/>
    </row>
    <row r="43" spans="2:10" x14ac:dyDescent="0.2">
      <c r="B43" s="27" t="s">
        <v>184</v>
      </c>
      <c r="C43" s="23" t="s">
        <v>185</v>
      </c>
      <c r="D43" s="23" t="s">
        <v>60</v>
      </c>
      <c r="E43" s="28">
        <v>1744</v>
      </c>
      <c r="F43" s="25">
        <v>38.08</v>
      </c>
      <c r="G43" s="25">
        <v>0.08</v>
      </c>
      <c r="H43" s="26"/>
    </row>
    <row r="44" spans="2:10" x14ac:dyDescent="0.2">
      <c r="B44" s="27" t="s">
        <v>202</v>
      </c>
      <c r="C44" s="23" t="s">
        <v>203</v>
      </c>
      <c r="D44" s="23" t="s">
        <v>122</v>
      </c>
      <c r="E44" s="28">
        <v>3475</v>
      </c>
      <c r="F44" s="25">
        <v>27.78</v>
      </c>
      <c r="G44" s="25">
        <v>0.06</v>
      </c>
      <c r="H44" s="26"/>
    </row>
    <row r="45" spans="2:10" x14ac:dyDescent="0.2">
      <c r="B45" s="29" t="s">
        <v>110</v>
      </c>
      <c r="C45" s="30"/>
      <c r="D45" s="30"/>
      <c r="E45" s="31"/>
      <c r="F45" s="32">
        <f>SUM(F7:F44)</f>
        <v>12510.959999999997</v>
      </c>
      <c r="G45" s="32">
        <f>SUM(G7:G44)</f>
        <v>27.47</v>
      </c>
      <c r="H45" s="33"/>
      <c r="I45" s="14"/>
      <c r="J45" s="14"/>
    </row>
    <row r="46" spans="2:10" x14ac:dyDescent="0.2">
      <c r="B46" s="37" t="s">
        <v>111</v>
      </c>
      <c r="C46" s="37"/>
      <c r="D46" s="37"/>
      <c r="E46" s="38"/>
      <c r="F46" s="39">
        <f>F45</f>
        <v>12510.959999999997</v>
      </c>
      <c r="G46" s="39">
        <f>G45</f>
        <v>27.47</v>
      </c>
      <c r="H46" s="15"/>
      <c r="I46" s="14"/>
      <c r="J46" s="14"/>
    </row>
    <row r="47" spans="2:10" x14ac:dyDescent="0.2">
      <c r="B47" s="46" t="s">
        <v>351</v>
      </c>
      <c r="C47" s="41"/>
      <c r="D47" s="41"/>
      <c r="E47" s="42"/>
      <c r="F47" s="43"/>
      <c r="G47" s="43"/>
      <c r="H47" s="43"/>
    </row>
    <row r="48" spans="2:10" x14ac:dyDescent="0.2">
      <c r="B48" s="47" t="s">
        <v>32</v>
      </c>
      <c r="C48" s="23"/>
      <c r="D48" s="23"/>
      <c r="E48" s="24"/>
      <c r="F48" s="25"/>
      <c r="G48" s="25"/>
      <c r="H48" s="25"/>
    </row>
    <row r="49" spans="2:10" x14ac:dyDescent="0.2">
      <c r="B49" s="23" t="s">
        <v>386</v>
      </c>
      <c r="C49" s="23" t="s">
        <v>387</v>
      </c>
      <c r="D49" s="23" t="s">
        <v>388</v>
      </c>
      <c r="E49" s="28">
        <v>400</v>
      </c>
      <c r="F49" s="25">
        <v>3919.7</v>
      </c>
      <c r="G49" s="25">
        <v>8.61</v>
      </c>
      <c r="H49" s="25">
        <v>3.8</v>
      </c>
    </row>
    <row r="50" spans="2:10" x14ac:dyDescent="0.2">
      <c r="B50" s="23" t="s">
        <v>779</v>
      </c>
      <c r="C50" s="23" t="s">
        <v>780</v>
      </c>
      <c r="D50" s="23" t="s">
        <v>354</v>
      </c>
      <c r="E50" s="28">
        <v>300</v>
      </c>
      <c r="F50" s="25">
        <v>3064.07</v>
      </c>
      <c r="G50" s="25">
        <v>6.73</v>
      </c>
      <c r="H50" s="25">
        <v>3.57</v>
      </c>
    </row>
    <row r="51" spans="2:10" x14ac:dyDescent="0.2">
      <c r="B51" s="23" t="s">
        <v>781</v>
      </c>
      <c r="C51" s="23" t="s">
        <v>782</v>
      </c>
      <c r="D51" s="23" t="s">
        <v>722</v>
      </c>
      <c r="E51" s="28">
        <v>300</v>
      </c>
      <c r="F51" s="25">
        <v>3019.17</v>
      </c>
      <c r="G51" s="25">
        <v>6.63</v>
      </c>
      <c r="H51" s="25">
        <v>3.6</v>
      </c>
    </row>
    <row r="52" spans="2:10" x14ac:dyDescent="0.2">
      <c r="B52" s="23" t="s">
        <v>751</v>
      </c>
      <c r="C52" s="23" t="s">
        <v>752</v>
      </c>
      <c r="D52" s="23" t="s">
        <v>354</v>
      </c>
      <c r="E52" s="28">
        <v>270</v>
      </c>
      <c r="F52" s="25">
        <v>2733.37</v>
      </c>
      <c r="G52" s="25">
        <v>6</v>
      </c>
      <c r="H52" s="25">
        <v>3.28</v>
      </c>
    </row>
    <row r="53" spans="2:10" x14ac:dyDescent="0.2">
      <c r="B53" s="23" t="s">
        <v>403</v>
      </c>
      <c r="C53" s="23" t="s">
        <v>404</v>
      </c>
      <c r="D53" s="23" t="s">
        <v>354</v>
      </c>
      <c r="E53" s="28">
        <v>250</v>
      </c>
      <c r="F53" s="25">
        <v>2565.54</v>
      </c>
      <c r="G53" s="25">
        <v>5.64</v>
      </c>
      <c r="H53" s="25">
        <v>3.6</v>
      </c>
    </row>
    <row r="54" spans="2:10" x14ac:dyDescent="0.2">
      <c r="B54" s="23" t="s">
        <v>384</v>
      </c>
      <c r="C54" s="23" t="s">
        <v>385</v>
      </c>
      <c r="D54" s="23" t="s">
        <v>367</v>
      </c>
      <c r="E54" s="28">
        <v>210</v>
      </c>
      <c r="F54" s="25">
        <v>2131.0700000000002</v>
      </c>
      <c r="G54" s="25">
        <v>4.68</v>
      </c>
      <c r="H54" s="25">
        <v>3.46</v>
      </c>
    </row>
    <row r="55" spans="2:10" x14ac:dyDescent="0.2">
      <c r="B55" s="23" t="s">
        <v>783</v>
      </c>
      <c r="C55" s="23" t="s">
        <v>784</v>
      </c>
      <c r="D55" s="23" t="s">
        <v>354</v>
      </c>
      <c r="E55" s="28">
        <v>200</v>
      </c>
      <c r="F55" s="25">
        <v>2040.02</v>
      </c>
      <c r="G55" s="25">
        <v>4.4800000000000004</v>
      </c>
      <c r="H55" s="25">
        <v>3.44</v>
      </c>
    </row>
    <row r="56" spans="2:10" x14ac:dyDescent="0.2">
      <c r="B56" s="23" t="s">
        <v>785</v>
      </c>
      <c r="C56" s="23" t="s">
        <v>786</v>
      </c>
      <c r="D56" s="23" t="s">
        <v>354</v>
      </c>
      <c r="E56" s="28">
        <v>150</v>
      </c>
      <c r="F56" s="25">
        <v>1532.52</v>
      </c>
      <c r="G56" s="25">
        <v>3.37</v>
      </c>
      <c r="H56" s="25">
        <v>3.74</v>
      </c>
    </row>
    <row r="57" spans="2:10" x14ac:dyDescent="0.2">
      <c r="B57" s="23" t="s">
        <v>787</v>
      </c>
      <c r="C57" s="23" t="s">
        <v>788</v>
      </c>
      <c r="D57" s="23" t="s">
        <v>354</v>
      </c>
      <c r="E57" s="28">
        <v>150</v>
      </c>
      <c r="F57" s="25">
        <v>1507.35</v>
      </c>
      <c r="G57" s="25">
        <v>3.31</v>
      </c>
      <c r="H57" s="25">
        <v>3.27</v>
      </c>
    </row>
    <row r="58" spans="2:10" x14ac:dyDescent="0.2">
      <c r="B58" s="23" t="s">
        <v>789</v>
      </c>
      <c r="C58" s="23" t="s">
        <v>790</v>
      </c>
      <c r="D58" s="23" t="s">
        <v>354</v>
      </c>
      <c r="E58" s="28">
        <v>100</v>
      </c>
      <c r="F58" s="25">
        <v>1030.51</v>
      </c>
      <c r="G58" s="25">
        <v>2.2599999999999998</v>
      </c>
      <c r="H58" s="25">
        <v>3.31</v>
      </c>
    </row>
    <row r="59" spans="2:10" x14ac:dyDescent="0.2">
      <c r="B59" s="23" t="s">
        <v>761</v>
      </c>
      <c r="C59" s="23" t="s">
        <v>762</v>
      </c>
      <c r="D59" s="23" t="s">
        <v>354</v>
      </c>
      <c r="E59" s="28">
        <v>9</v>
      </c>
      <c r="F59" s="25">
        <v>912.14</v>
      </c>
      <c r="G59" s="25">
        <v>2</v>
      </c>
      <c r="H59" s="25">
        <v>3.26</v>
      </c>
    </row>
    <row r="60" spans="2:10" x14ac:dyDescent="0.2">
      <c r="B60" s="23" t="s">
        <v>791</v>
      </c>
      <c r="C60" s="23" t="s">
        <v>792</v>
      </c>
      <c r="D60" s="23" t="s">
        <v>354</v>
      </c>
      <c r="E60" s="28">
        <v>40</v>
      </c>
      <c r="F60" s="25">
        <v>514.76</v>
      </c>
      <c r="G60" s="25">
        <v>1.1299999999999999</v>
      </c>
      <c r="H60" s="25">
        <v>3.45</v>
      </c>
    </row>
    <row r="61" spans="2:10" x14ac:dyDescent="0.2">
      <c r="B61" s="23" t="s">
        <v>692</v>
      </c>
      <c r="C61" s="23" t="s">
        <v>693</v>
      </c>
      <c r="D61" s="23" t="s">
        <v>354</v>
      </c>
      <c r="E61" s="28">
        <v>50</v>
      </c>
      <c r="F61" s="25">
        <v>510.75</v>
      </c>
      <c r="G61" s="25">
        <v>1.1200000000000001</v>
      </c>
      <c r="H61" s="25">
        <v>3.47</v>
      </c>
    </row>
    <row r="62" spans="2:10" x14ac:dyDescent="0.2">
      <c r="B62" s="23" t="s">
        <v>793</v>
      </c>
      <c r="C62" s="23" t="s">
        <v>794</v>
      </c>
      <c r="D62" s="23" t="s">
        <v>354</v>
      </c>
      <c r="E62" s="28">
        <v>50</v>
      </c>
      <c r="F62" s="25">
        <v>508.1</v>
      </c>
      <c r="G62" s="25">
        <v>1.1200000000000001</v>
      </c>
      <c r="H62" s="25">
        <v>3.55</v>
      </c>
    </row>
    <row r="63" spans="2:10" x14ac:dyDescent="0.2">
      <c r="B63" s="23" t="s">
        <v>757</v>
      </c>
      <c r="C63" s="23" t="s">
        <v>758</v>
      </c>
      <c r="D63" s="23" t="s">
        <v>354</v>
      </c>
      <c r="E63" s="28">
        <v>50</v>
      </c>
      <c r="F63" s="25">
        <v>505.93</v>
      </c>
      <c r="G63" s="25">
        <v>1.1100000000000001</v>
      </c>
      <c r="H63" s="25">
        <v>3.06</v>
      </c>
    </row>
    <row r="64" spans="2:10" x14ac:dyDescent="0.2">
      <c r="B64" s="30" t="s">
        <v>110</v>
      </c>
      <c r="C64" s="30"/>
      <c r="D64" s="30"/>
      <c r="E64" s="31"/>
      <c r="F64" s="32">
        <f>SUM(F48:F63)</f>
        <v>26494.999999999996</v>
      </c>
      <c r="G64" s="32">
        <f>SUM(G48:G63)</f>
        <v>58.189999999999991</v>
      </c>
      <c r="H64" s="48"/>
      <c r="I64" s="14"/>
      <c r="J64" s="14"/>
    </row>
    <row r="65" spans="2:10" x14ac:dyDescent="0.2">
      <c r="B65" s="49" t="s">
        <v>111</v>
      </c>
      <c r="C65" s="49"/>
      <c r="D65" s="49"/>
      <c r="E65" s="50"/>
      <c r="F65" s="51">
        <f>F64</f>
        <v>26494.999999999996</v>
      </c>
      <c r="G65" s="51">
        <f>G64</f>
        <v>58.189999999999991</v>
      </c>
      <c r="H65" s="51"/>
      <c r="I65" s="14"/>
      <c r="J65" s="14"/>
    </row>
    <row r="66" spans="2:10" x14ac:dyDescent="0.2">
      <c r="B66" s="47" t="s">
        <v>451</v>
      </c>
      <c r="C66" s="23"/>
      <c r="D66" s="23"/>
      <c r="E66" s="24"/>
      <c r="F66" s="25"/>
      <c r="G66" s="25"/>
      <c r="H66" s="25"/>
    </row>
    <row r="67" spans="2:10" x14ac:dyDescent="0.2">
      <c r="B67" s="47" t="s">
        <v>530</v>
      </c>
      <c r="C67" s="23"/>
      <c r="D67" s="23"/>
      <c r="E67" s="24"/>
      <c r="F67" s="25"/>
      <c r="G67" s="25"/>
      <c r="H67" s="25"/>
    </row>
    <row r="68" spans="2:10" x14ac:dyDescent="0.2">
      <c r="B68" s="23" t="s">
        <v>543</v>
      </c>
      <c r="C68" s="23" t="s">
        <v>544</v>
      </c>
      <c r="D68" s="23" t="s">
        <v>538</v>
      </c>
      <c r="E68" s="28">
        <v>2000</v>
      </c>
      <c r="F68" s="25">
        <v>1988.59</v>
      </c>
      <c r="G68" s="25">
        <v>4.37</v>
      </c>
      <c r="H68" s="25">
        <v>2.87</v>
      </c>
    </row>
    <row r="69" spans="2:10" x14ac:dyDescent="0.2">
      <c r="B69" s="30" t="s">
        <v>110</v>
      </c>
      <c r="C69" s="30"/>
      <c r="D69" s="30"/>
      <c r="E69" s="31"/>
      <c r="F69" s="32">
        <f>SUM(F67:F68)</f>
        <v>1988.59</v>
      </c>
      <c r="G69" s="32">
        <f>SUM(G67:G68)</f>
        <v>4.37</v>
      </c>
      <c r="H69" s="48"/>
      <c r="I69" s="14"/>
      <c r="J69" s="14"/>
    </row>
    <row r="70" spans="2:10" x14ac:dyDescent="0.2">
      <c r="B70" s="49" t="s">
        <v>111</v>
      </c>
      <c r="C70" s="49"/>
      <c r="D70" s="49"/>
      <c r="E70" s="50"/>
      <c r="F70" s="51">
        <f>F69</f>
        <v>1988.59</v>
      </c>
      <c r="G70" s="51">
        <f>G69</f>
        <v>4.37</v>
      </c>
      <c r="H70" s="51"/>
      <c r="I70" s="14"/>
      <c r="J70" s="14"/>
    </row>
    <row r="71" spans="2:10" x14ac:dyDescent="0.2">
      <c r="B71" s="47" t="s">
        <v>423</v>
      </c>
      <c r="C71" s="23"/>
      <c r="D71" s="23"/>
      <c r="E71" s="24"/>
      <c r="F71" s="25"/>
      <c r="G71" s="25"/>
      <c r="H71" s="25"/>
    </row>
    <row r="72" spans="2:10" x14ac:dyDescent="0.2">
      <c r="B72" s="23" t="s">
        <v>795</v>
      </c>
      <c r="C72" s="23" t="s">
        <v>796</v>
      </c>
      <c r="D72" s="23" t="s">
        <v>426</v>
      </c>
      <c r="E72" s="28">
        <v>1000000</v>
      </c>
      <c r="F72" s="25">
        <v>1021.81</v>
      </c>
      <c r="G72" s="25">
        <v>2.2400000000000002</v>
      </c>
      <c r="H72" s="25">
        <v>3.35</v>
      </c>
    </row>
    <row r="73" spans="2:10" x14ac:dyDescent="0.2">
      <c r="B73" s="52" t="s">
        <v>797</v>
      </c>
      <c r="C73" s="52" t="s">
        <v>798</v>
      </c>
      <c r="D73" s="52" t="s">
        <v>426</v>
      </c>
      <c r="E73" s="53">
        <v>33000</v>
      </c>
      <c r="F73" s="54">
        <v>34.11</v>
      </c>
      <c r="G73" s="54">
        <v>7.0000000000000007E-2</v>
      </c>
      <c r="H73" s="54">
        <v>3.4</v>
      </c>
    </row>
    <row r="74" spans="2:10" x14ac:dyDescent="0.2">
      <c r="B74" s="55" t="s">
        <v>111</v>
      </c>
      <c r="C74" s="55"/>
      <c r="D74" s="55"/>
      <c r="E74" s="56"/>
      <c r="F74" s="57">
        <f>SUM(F72:F73)</f>
        <v>1055.9199999999998</v>
      </c>
      <c r="G74" s="57">
        <f>SUM(G72:G73)</f>
        <v>2.31</v>
      </c>
      <c r="H74" s="57"/>
      <c r="I74" s="14"/>
      <c r="J74" s="14"/>
    </row>
    <row r="75" spans="2:10" x14ac:dyDescent="0.2">
      <c r="B75" s="47" t="s">
        <v>112</v>
      </c>
      <c r="C75" s="23"/>
      <c r="D75" s="23"/>
      <c r="E75" s="24"/>
      <c r="F75" s="25"/>
      <c r="G75" s="25"/>
      <c r="H75" s="25"/>
    </row>
    <row r="76" spans="2:10" x14ac:dyDescent="0.2">
      <c r="B76" s="23" t="s">
        <v>112</v>
      </c>
      <c r="C76" s="23"/>
      <c r="D76" s="23"/>
      <c r="E76" s="24"/>
      <c r="F76" s="25">
        <v>1785.59</v>
      </c>
      <c r="G76" s="25">
        <v>3.92</v>
      </c>
      <c r="H76" s="25"/>
    </row>
    <row r="77" spans="2:10" x14ac:dyDescent="0.2">
      <c r="B77" s="30" t="s">
        <v>110</v>
      </c>
      <c r="C77" s="30"/>
      <c r="D77" s="30"/>
      <c r="E77" s="31"/>
      <c r="F77" s="32">
        <f>SUM(F75:F76)</f>
        <v>1785.59</v>
      </c>
      <c r="G77" s="32">
        <f>SUM(G75:G76)</f>
        <v>3.92</v>
      </c>
      <c r="H77" s="48"/>
      <c r="I77" s="14"/>
      <c r="J77" s="14"/>
    </row>
    <row r="78" spans="2:10" x14ac:dyDescent="0.2">
      <c r="B78" s="34" t="s">
        <v>111</v>
      </c>
      <c r="C78" s="34"/>
      <c r="D78" s="34"/>
      <c r="E78" s="35"/>
      <c r="F78" s="36">
        <f>F77</f>
        <v>1785.59</v>
      </c>
      <c r="G78" s="36">
        <f>G77</f>
        <v>3.92</v>
      </c>
      <c r="H78" s="36"/>
      <c r="I78" s="14"/>
      <c r="J78" s="14"/>
    </row>
    <row r="79" spans="2:10" x14ac:dyDescent="0.2">
      <c r="B79" s="44" t="s">
        <v>114</v>
      </c>
      <c r="C79" s="44"/>
      <c r="D79" s="44"/>
      <c r="E79" s="45"/>
      <c r="F79" s="16">
        <f>F80-(+F46+F65+F70+F74+F78)</f>
        <v>1324.9500000000189</v>
      </c>
      <c r="G79" s="16">
        <f>G80-(+G46+G65+G70+G74+G78)</f>
        <v>3.7399999999999949</v>
      </c>
      <c r="H79" s="16"/>
      <c r="I79" s="14"/>
      <c r="J79" s="14"/>
    </row>
    <row r="80" spans="2:10" x14ac:dyDescent="0.2">
      <c r="B80" s="44" t="s">
        <v>113</v>
      </c>
      <c r="C80" s="44"/>
      <c r="D80" s="44"/>
      <c r="E80" s="45"/>
      <c r="F80" s="16">
        <v>45161.01</v>
      </c>
      <c r="G80" s="16">
        <v>100</v>
      </c>
      <c r="H80" s="16"/>
      <c r="I80" s="14"/>
      <c r="J80" s="14"/>
    </row>
    <row r="82" spans="2:2" x14ac:dyDescent="0.2">
      <c r="B82" s="14" t="s">
        <v>805</v>
      </c>
    </row>
    <row r="83" spans="2:2" x14ac:dyDescent="0.2">
      <c r="B83" s="14" t="s">
        <v>574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5"/>
  <sheetViews>
    <sheetView workbookViewId="0">
      <selection activeCell="B9" sqref="B9"/>
    </sheetView>
  </sheetViews>
  <sheetFormatPr defaultRowHeight="12" x14ac:dyDescent="0.2"/>
  <cols>
    <col min="1" max="1" width="9.140625" style="1"/>
    <col min="2" max="2" width="61" style="1" bestFit="1" customWidth="1"/>
    <col min="3" max="3" width="13.8554687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29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351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737</v>
      </c>
      <c r="C7" s="23" t="s">
        <v>738</v>
      </c>
      <c r="D7" s="23" t="s">
        <v>388</v>
      </c>
      <c r="E7" s="28">
        <v>30</v>
      </c>
      <c r="F7" s="25">
        <v>376.06</v>
      </c>
      <c r="G7" s="25">
        <v>10.06</v>
      </c>
      <c r="H7" s="25">
        <v>5.08</v>
      </c>
    </row>
    <row r="8" spans="2:8" x14ac:dyDescent="0.2">
      <c r="B8" s="23" t="s">
        <v>386</v>
      </c>
      <c r="C8" s="23" t="s">
        <v>387</v>
      </c>
      <c r="D8" s="23" t="s">
        <v>388</v>
      </c>
      <c r="E8" s="28">
        <v>38</v>
      </c>
      <c r="F8" s="25">
        <v>372.37</v>
      </c>
      <c r="G8" s="25">
        <v>9.9600000000000009</v>
      </c>
      <c r="H8" s="25">
        <v>3.8</v>
      </c>
    </row>
    <row r="9" spans="2:8" x14ac:dyDescent="0.2">
      <c r="B9" s="23" t="s">
        <v>405</v>
      </c>
      <c r="C9" s="23" t="s">
        <v>406</v>
      </c>
      <c r="D9" s="23" t="s">
        <v>354</v>
      </c>
      <c r="E9" s="28">
        <v>31</v>
      </c>
      <c r="F9" s="25">
        <v>318.82</v>
      </c>
      <c r="G9" s="25">
        <v>8.5299999999999994</v>
      </c>
      <c r="H9" s="25">
        <v>3.73</v>
      </c>
    </row>
    <row r="10" spans="2:8" x14ac:dyDescent="0.2">
      <c r="B10" s="23" t="s">
        <v>634</v>
      </c>
      <c r="C10" s="23" t="s">
        <v>635</v>
      </c>
      <c r="D10" s="23" t="s">
        <v>388</v>
      </c>
      <c r="E10" s="28">
        <v>30</v>
      </c>
      <c r="F10" s="25">
        <v>312.24</v>
      </c>
      <c r="G10" s="25">
        <v>8.35</v>
      </c>
      <c r="H10" s="25">
        <v>3.77</v>
      </c>
    </row>
    <row r="11" spans="2:8" x14ac:dyDescent="0.2">
      <c r="B11" s="23" t="s">
        <v>674</v>
      </c>
      <c r="C11" s="23" t="s">
        <v>675</v>
      </c>
      <c r="D11" s="23" t="s">
        <v>354</v>
      </c>
      <c r="E11" s="28">
        <v>30</v>
      </c>
      <c r="F11" s="25">
        <v>311.08999999999997</v>
      </c>
      <c r="G11" s="25">
        <v>8.32</v>
      </c>
      <c r="H11" s="25">
        <v>3.52</v>
      </c>
    </row>
    <row r="12" spans="2:8" x14ac:dyDescent="0.2">
      <c r="B12" s="23" t="s">
        <v>480</v>
      </c>
      <c r="C12" s="23" t="s">
        <v>481</v>
      </c>
      <c r="D12" s="23" t="s">
        <v>354</v>
      </c>
      <c r="E12" s="28">
        <v>30</v>
      </c>
      <c r="F12" s="25">
        <v>308.73</v>
      </c>
      <c r="G12" s="25">
        <v>8.26</v>
      </c>
      <c r="H12" s="25">
        <v>3.58</v>
      </c>
    </row>
    <row r="13" spans="2:8" x14ac:dyDescent="0.2">
      <c r="B13" s="23" t="s">
        <v>622</v>
      </c>
      <c r="C13" s="23" t="s">
        <v>623</v>
      </c>
      <c r="D13" s="23" t="s">
        <v>354</v>
      </c>
      <c r="E13" s="28">
        <v>30</v>
      </c>
      <c r="F13" s="25">
        <v>307.12</v>
      </c>
      <c r="G13" s="25">
        <v>8.2100000000000009</v>
      </c>
      <c r="H13" s="25">
        <v>3.88</v>
      </c>
    </row>
    <row r="14" spans="2:8" x14ac:dyDescent="0.2">
      <c r="B14" s="23" t="s">
        <v>384</v>
      </c>
      <c r="C14" s="23" t="s">
        <v>385</v>
      </c>
      <c r="D14" s="23" t="s">
        <v>367</v>
      </c>
      <c r="E14" s="28">
        <v>30</v>
      </c>
      <c r="F14" s="25">
        <v>304.44</v>
      </c>
      <c r="G14" s="25">
        <v>8.14</v>
      </c>
      <c r="H14" s="25">
        <v>3.46</v>
      </c>
    </row>
    <row r="15" spans="2:8" x14ac:dyDescent="0.2">
      <c r="B15" s="23" t="s">
        <v>407</v>
      </c>
      <c r="C15" s="23" t="s">
        <v>408</v>
      </c>
      <c r="D15" s="23" t="s">
        <v>354</v>
      </c>
      <c r="E15" s="28">
        <v>30</v>
      </c>
      <c r="F15" s="25">
        <v>303.63</v>
      </c>
      <c r="G15" s="25">
        <v>8.1199999999999992</v>
      </c>
      <c r="H15" s="25">
        <v>3.27</v>
      </c>
    </row>
    <row r="16" spans="2:8" x14ac:dyDescent="0.2">
      <c r="B16" s="23" t="s">
        <v>632</v>
      </c>
      <c r="C16" s="23" t="s">
        <v>633</v>
      </c>
      <c r="D16" s="23" t="s">
        <v>354</v>
      </c>
      <c r="E16" s="28">
        <v>23</v>
      </c>
      <c r="F16" s="25">
        <v>236.7</v>
      </c>
      <c r="G16" s="25">
        <v>6.33</v>
      </c>
      <c r="H16" s="25">
        <v>3.81</v>
      </c>
    </row>
    <row r="17" spans="2:10" x14ac:dyDescent="0.2">
      <c r="B17" s="23" t="s">
        <v>506</v>
      </c>
      <c r="C17" s="23" t="s">
        <v>507</v>
      </c>
      <c r="D17" s="23" t="s">
        <v>354</v>
      </c>
      <c r="E17" s="28">
        <v>7</v>
      </c>
      <c r="F17" s="25">
        <v>71.81</v>
      </c>
      <c r="G17" s="25">
        <v>1.92</v>
      </c>
      <c r="H17" s="25">
        <v>3.8</v>
      </c>
    </row>
    <row r="18" spans="2:10" x14ac:dyDescent="0.2">
      <c r="B18" s="30" t="s">
        <v>110</v>
      </c>
      <c r="C18" s="30"/>
      <c r="D18" s="30"/>
      <c r="E18" s="31"/>
      <c r="F18" s="32">
        <f>SUM(F6:F17)</f>
        <v>3223.0099999999998</v>
      </c>
      <c r="G18" s="32">
        <f>SUM(G6:G17)</f>
        <v>86.200000000000017</v>
      </c>
      <c r="H18" s="48"/>
      <c r="I18" s="14"/>
      <c r="J18" s="14"/>
    </row>
    <row r="19" spans="2:10" x14ac:dyDescent="0.2">
      <c r="B19" s="49" t="s">
        <v>111</v>
      </c>
      <c r="C19" s="49"/>
      <c r="D19" s="49"/>
      <c r="E19" s="50"/>
      <c r="F19" s="51">
        <f>F18</f>
        <v>3223.0099999999998</v>
      </c>
      <c r="G19" s="51">
        <f>G18</f>
        <v>86.200000000000017</v>
      </c>
      <c r="H19" s="51"/>
      <c r="I19" s="14"/>
      <c r="J19" s="14"/>
    </row>
    <row r="20" spans="2:10" x14ac:dyDescent="0.2">
      <c r="B20" s="47" t="s">
        <v>451</v>
      </c>
      <c r="C20" s="23"/>
      <c r="D20" s="23"/>
      <c r="E20" s="24"/>
      <c r="F20" s="25"/>
      <c r="G20" s="25"/>
      <c r="H20" s="25"/>
    </row>
    <row r="21" spans="2:10" x14ac:dyDescent="0.2">
      <c r="B21" s="47" t="s">
        <v>452</v>
      </c>
      <c r="C21" s="23"/>
      <c r="D21" s="23"/>
      <c r="E21" s="24"/>
      <c r="F21" s="25"/>
      <c r="G21" s="25"/>
      <c r="H21" s="25"/>
    </row>
    <row r="22" spans="2:10" x14ac:dyDescent="0.2">
      <c r="B22" s="23" t="s">
        <v>581</v>
      </c>
      <c r="C22" s="23" t="s">
        <v>582</v>
      </c>
      <c r="D22" s="23" t="s">
        <v>455</v>
      </c>
      <c r="E22" s="28">
        <v>250000</v>
      </c>
      <c r="F22" s="25">
        <v>243.35</v>
      </c>
      <c r="G22" s="25">
        <v>6.51</v>
      </c>
      <c r="H22" s="25">
        <v>3.37</v>
      </c>
    </row>
    <row r="23" spans="2:10" x14ac:dyDescent="0.2">
      <c r="B23" s="30" t="s">
        <v>110</v>
      </c>
      <c r="C23" s="30"/>
      <c r="D23" s="30"/>
      <c r="E23" s="31"/>
      <c r="F23" s="32">
        <f>SUM(F21:F22)</f>
        <v>243.35</v>
      </c>
      <c r="G23" s="32">
        <f>SUM(G21:G22)</f>
        <v>6.51</v>
      </c>
      <c r="H23" s="48"/>
      <c r="I23" s="14"/>
      <c r="J23" s="14"/>
    </row>
    <row r="24" spans="2:10" x14ac:dyDescent="0.2">
      <c r="B24" s="49" t="s">
        <v>111</v>
      </c>
      <c r="C24" s="49"/>
      <c r="D24" s="49"/>
      <c r="E24" s="50"/>
      <c r="F24" s="51">
        <f>+F23</f>
        <v>243.35</v>
      </c>
      <c r="G24" s="51">
        <f>+G23</f>
        <v>6.51</v>
      </c>
      <c r="H24" s="51"/>
      <c r="I24" s="14"/>
      <c r="J24" s="14"/>
    </row>
    <row r="25" spans="2:10" x14ac:dyDescent="0.2">
      <c r="B25" s="47" t="s">
        <v>423</v>
      </c>
      <c r="C25" s="23"/>
      <c r="D25" s="23"/>
      <c r="E25" s="24"/>
      <c r="F25" s="25"/>
      <c r="G25" s="25"/>
      <c r="H25" s="25"/>
    </row>
    <row r="26" spans="2:10" x14ac:dyDescent="0.2">
      <c r="B26" s="52" t="s">
        <v>799</v>
      </c>
      <c r="C26" s="52" t="s">
        <v>800</v>
      </c>
      <c r="D26" s="52" t="s">
        <v>426</v>
      </c>
      <c r="E26" s="53">
        <v>33300</v>
      </c>
      <c r="F26" s="54">
        <v>34.590000000000003</v>
      </c>
      <c r="G26" s="54">
        <v>0.93</v>
      </c>
      <c r="H26" s="54">
        <v>3.45</v>
      </c>
    </row>
    <row r="27" spans="2:10" x14ac:dyDescent="0.2">
      <c r="B27" s="55" t="s">
        <v>111</v>
      </c>
      <c r="C27" s="55"/>
      <c r="D27" s="55"/>
      <c r="E27" s="56"/>
      <c r="F27" s="57">
        <f>SUM(F26:F26)</f>
        <v>34.590000000000003</v>
      </c>
      <c r="G27" s="57">
        <f>SUM(G26:G26)</f>
        <v>0.93</v>
      </c>
      <c r="H27" s="57"/>
      <c r="I27" s="14"/>
      <c r="J27" s="14"/>
    </row>
    <row r="28" spans="2:10" x14ac:dyDescent="0.2">
      <c r="B28" s="47" t="s">
        <v>112</v>
      </c>
      <c r="C28" s="23"/>
      <c r="D28" s="23"/>
      <c r="E28" s="24"/>
      <c r="F28" s="25"/>
      <c r="G28" s="25"/>
      <c r="H28" s="25"/>
    </row>
    <row r="29" spans="2:10" x14ac:dyDescent="0.2">
      <c r="B29" s="23" t="s">
        <v>112</v>
      </c>
      <c r="C29" s="23"/>
      <c r="D29" s="23"/>
      <c r="E29" s="24"/>
      <c r="F29" s="25">
        <v>59.84</v>
      </c>
      <c r="G29" s="25">
        <v>1.6</v>
      </c>
      <c r="H29" s="25"/>
    </row>
    <row r="30" spans="2:10" x14ac:dyDescent="0.2">
      <c r="B30" s="30" t="s">
        <v>110</v>
      </c>
      <c r="C30" s="30"/>
      <c r="D30" s="30"/>
      <c r="E30" s="31"/>
      <c r="F30" s="32">
        <f>SUM(F28:F29)</f>
        <v>59.84</v>
      </c>
      <c r="G30" s="32">
        <f>SUM(G28:G29)</f>
        <v>1.6</v>
      </c>
      <c r="H30" s="48"/>
      <c r="I30" s="14"/>
      <c r="J30" s="14"/>
    </row>
    <row r="31" spans="2:10" x14ac:dyDescent="0.2">
      <c r="B31" s="34" t="s">
        <v>111</v>
      </c>
      <c r="C31" s="34"/>
      <c r="D31" s="34"/>
      <c r="E31" s="35"/>
      <c r="F31" s="36">
        <f>F30</f>
        <v>59.84</v>
      </c>
      <c r="G31" s="36">
        <f>G30</f>
        <v>1.6</v>
      </c>
      <c r="H31" s="36"/>
      <c r="I31" s="14"/>
      <c r="J31" s="14"/>
    </row>
    <row r="32" spans="2:10" x14ac:dyDescent="0.2">
      <c r="B32" s="44" t="s">
        <v>114</v>
      </c>
      <c r="C32" s="44"/>
      <c r="D32" s="44"/>
      <c r="E32" s="45"/>
      <c r="F32" s="16">
        <f>F33-(+F19+F24+F27+F31)</f>
        <v>132.40999999999985</v>
      </c>
      <c r="G32" s="16">
        <f>G33-(+G19+G24+G27+G31)</f>
        <v>4.7599999999999767</v>
      </c>
      <c r="H32" s="16"/>
      <c r="I32" s="14"/>
      <c r="J32" s="14"/>
    </row>
    <row r="33" spans="2:10" x14ac:dyDescent="0.2">
      <c r="B33" s="44" t="s">
        <v>113</v>
      </c>
      <c r="C33" s="44"/>
      <c r="D33" s="44"/>
      <c r="E33" s="45"/>
      <c r="F33" s="16">
        <v>3693.2</v>
      </c>
      <c r="G33" s="16">
        <v>100</v>
      </c>
      <c r="H33" s="16"/>
      <c r="I33" s="14"/>
      <c r="J33" s="14"/>
    </row>
    <row r="35" spans="2:10" x14ac:dyDescent="0.2">
      <c r="B35" s="14" t="s">
        <v>805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1"/>
  <sheetViews>
    <sheetView workbookViewId="0">
      <selection activeCell="I10" sqref="I10"/>
    </sheetView>
  </sheetViews>
  <sheetFormatPr defaultRowHeight="12" x14ac:dyDescent="0.2"/>
  <cols>
    <col min="1" max="1" width="9.140625" style="1"/>
    <col min="2" max="2" width="61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30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115</v>
      </c>
      <c r="C7" s="23" t="s">
        <v>116</v>
      </c>
      <c r="D7" s="23" t="s">
        <v>44</v>
      </c>
      <c r="E7" s="28">
        <v>24240</v>
      </c>
      <c r="F7" s="25">
        <v>349.26</v>
      </c>
      <c r="G7" s="25">
        <v>1.73</v>
      </c>
      <c r="H7" s="26"/>
    </row>
    <row r="8" spans="2:8" x14ac:dyDescent="0.2">
      <c r="B8" s="27" t="s">
        <v>117</v>
      </c>
      <c r="C8" s="23" t="s">
        <v>118</v>
      </c>
      <c r="D8" s="23" t="s">
        <v>119</v>
      </c>
      <c r="E8" s="28">
        <v>29000</v>
      </c>
      <c r="F8" s="25">
        <v>319</v>
      </c>
      <c r="G8" s="25">
        <v>1.58</v>
      </c>
      <c r="H8" s="26"/>
    </row>
    <row r="9" spans="2:8" x14ac:dyDescent="0.2">
      <c r="B9" s="27" t="s">
        <v>42</v>
      </c>
      <c r="C9" s="23" t="s">
        <v>43</v>
      </c>
      <c r="D9" s="23" t="s">
        <v>44</v>
      </c>
      <c r="E9" s="28">
        <v>62500</v>
      </c>
      <c r="F9" s="25">
        <v>295.83999999999997</v>
      </c>
      <c r="G9" s="25">
        <v>1.47</v>
      </c>
      <c r="H9" s="26"/>
    </row>
    <row r="10" spans="2:8" x14ac:dyDescent="0.2">
      <c r="B10" s="27" t="s">
        <v>36</v>
      </c>
      <c r="C10" s="23" t="s">
        <v>37</v>
      </c>
      <c r="D10" s="23" t="s">
        <v>38</v>
      </c>
      <c r="E10" s="28">
        <v>13500</v>
      </c>
      <c r="F10" s="25">
        <v>260.52</v>
      </c>
      <c r="G10" s="25">
        <v>1.29</v>
      </c>
      <c r="H10" s="26"/>
    </row>
    <row r="11" spans="2:8" x14ac:dyDescent="0.2">
      <c r="B11" s="27" t="s">
        <v>123</v>
      </c>
      <c r="C11" s="23" t="s">
        <v>124</v>
      </c>
      <c r="D11" s="23" t="s">
        <v>119</v>
      </c>
      <c r="E11" s="28">
        <v>6000</v>
      </c>
      <c r="F11" s="25">
        <v>160.78</v>
      </c>
      <c r="G11" s="25">
        <v>0.8</v>
      </c>
      <c r="H11" s="26"/>
    </row>
    <row r="12" spans="2:8" x14ac:dyDescent="0.2">
      <c r="B12" s="27" t="s">
        <v>129</v>
      </c>
      <c r="C12" s="23" t="s">
        <v>130</v>
      </c>
      <c r="D12" s="23" t="s">
        <v>131</v>
      </c>
      <c r="E12" s="28">
        <v>6330</v>
      </c>
      <c r="F12" s="25">
        <v>135.35</v>
      </c>
      <c r="G12" s="25">
        <v>0.67</v>
      </c>
      <c r="H12" s="26"/>
    </row>
    <row r="13" spans="2:8" x14ac:dyDescent="0.2">
      <c r="B13" s="27" t="s">
        <v>127</v>
      </c>
      <c r="C13" s="23" t="s">
        <v>128</v>
      </c>
      <c r="D13" s="23" t="s">
        <v>44</v>
      </c>
      <c r="E13" s="28">
        <v>22330</v>
      </c>
      <c r="F13" s="25">
        <v>134.34</v>
      </c>
      <c r="G13" s="25">
        <v>0.67</v>
      </c>
      <c r="H13" s="26"/>
    </row>
    <row r="14" spans="2:8" x14ac:dyDescent="0.2">
      <c r="B14" s="27" t="s">
        <v>139</v>
      </c>
      <c r="C14" s="23" t="s">
        <v>140</v>
      </c>
      <c r="D14" s="23" t="s">
        <v>141</v>
      </c>
      <c r="E14" s="28">
        <v>14000</v>
      </c>
      <c r="F14" s="25">
        <v>101.08</v>
      </c>
      <c r="G14" s="25">
        <v>0.5</v>
      </c>
      <c r="H14" s="26"/>
    </row>
    <row r="15" spans="2:8" x14ac:dyDescent="0.2">
      <c r="B15" s="27" t="s">
        <v>125</v>
      </c>
      <c r="C15" s="23" t="s">
        <v>126</v>
      </c>
      <c r="D15" s="23" t="s">
        <v>122</v>
      </c>
      <c r="E15" s="28">
        <v>4400</v>
      </c>
      <c r="F15" s="25">
        <v>99.28</v>
      </c>
      <c r="G15" s="25">
        <v>0.49</v>
      </c>
      <c r="H15" s="26"/>
    </row>
    <row r="16" spans="2:8" x14ac:dyDescent="0.2">
      <c r="B16" s="27" t="s">
        <v>167</v>
      </c>
      <c r="C16" s="23" t="s">
        <v>168</v>
      </c>
      <c r="D16" s="23" t="s">
        <v>136</v>
      </c>
      <c r="E16" s="28">
        <v>3000</v>
      </c>
      <c r="F16" s="25">
        <v>85.25</v>
      </c>
      <c r="G16" s="25">
        <v>0.42</v>
      </c>
      <c r="H16" s="26"/>
    </row>
    <row r="17" spans="2:8" x14ac:dyDescent="0.2">
      <c r="B17" s="27" t="s">
        <v>286</v>
      </c>
      <c r="C17" s="23" t="s">
        <v>287</v>
      </c>
      <c r="D17" s="23" t="s">
        <v>159</v>
      </c>
      <c r="E17" s="28">
        <v>9330</v>
      </c>
      <c r="F17" s="25">
        <v>80.709999999999994</v>
      </c>
      <c r="G17" s="25">
        <v>0.4</v>
      </c>
      <c r="H17" s="26"/>
    </row>
    <row r="18" spans="2:8" x14ac:dyDescent="0.2">
      <c r="B18" s="27" t="s">
        <v>228</v>
      </c>
      <c r="C18" s="23" t="s">
        <v>229</v>
      </c>
      <c r="D18" s="23" t="s">
        <v>131</v>
      </c>
      <c r="E18" s="28">
        <v>15000</v>
      </c>
      <c r="F18" s="25">
        <v>80.7</v>
      </c>
      <c r="G18" s="25">
        <v>0.4</v>
      </c>
      <c r="H18" s="26"/>
    </row>
    <row r="19" spans="2:8" x14ac:dyDescent="0.2">
      <c r="B19" s="27" t="s">
        <v>132</v>
      </c>
      <c r="C19" s="23" t="s">
        <v>133</v>
      </c>
      <c r="D19" s="23" t="s">
        <v>44</v>
      </c>
      <c r="E19" s="28">
        <v>4000</v>
      </c>
      <c r="F19" s="25">
        <v>76.28</v>
      </c>
      <c r="G19" s="25">
        <v>0.38</v>
      </c>
      <c r="H19" s="26"/>
    </row>
    <row r="20" spans="2:8" x14ac:dyDescent="0.2">
      <c r="B20" s="27" t="s">
        <v>58</v>
      </c>
      <c r="C20" s="23" t="s">
        <v>59</v>
      </c>
      <c r="D20" s="23" t="s">
        <v>60</v>
      </c>
      <c r="E20" s="28">
        <v>9400</v>
      </c>
      <c r="F20" s="25">
        <v>75.819999999999993</v>
      </c>
      <c r="G20" s="25">
        <v>0.38</v>
      </c>
      <c r="H20" s="26"/>
    </row>
    <row r="21" spans="2:8" x14ac:dyDescent="0.2">
      <c r="B21" s="27" t="s">
        <v>89</v>
      </c>
      <c r="C21" s="23" t="s">
        <v>90</v>
      </c>
      <c r="D21" s="23" t="s">
        <v>41</v>
      </c>
      <c r="E21" s="28">
        <v>300</v>
      </c>
      <c r="F21" s="25">
        <v>72.92</v>
      </c>
      <c r="G21" s="25">
        <v>0.36</v>
      </c>
      <c r="H21" s="26"/>
    </row>
    <row r="22" spans="2:8" x14ac:dyDescent="0.2">
      <c r="B22" s="27" t="s">
        <v>105</v>
      </c>
      <c r="C22" s="23" t="s">
        <v>106</v>
      </c>
      <c r="D22" s="23" t="s">
        <v>107</v>
      </c>
      <c r="E22" s="28">
        <v>15700</v>
      </c>
      <c r="F22" s="25">
        <v>72.73</v>
      </c>
      <c r="G22" s="25">
        <v>0.36</v>
      </c>
      <c r="H22" s="26"/>
    </row>
    <row r="23" spans="2:8" x14ac:dyDescent="0.2">
      <c r="B23" s="27" t="s">
        <v>198</v>
      </c>
      <c r="C23" s="23" t="s">
        <v>199</v>
      </c>
      <c r="D23" s="23" t="s">
        <v>122</v>
      </c>
      <c r="E23" s="28">
        <v>5000</v>
      </c>
      <c r="F23" s="25">
        <v>72.569999999999993</v>
      </c>
      <c r="G23" s="25">
        <v>0.36</v>
      </c>
      <c r="H23" s="26"/>
    </row>
    <row r="24" spans="2:8" x14ac:dyDescent="0.2">
      <c r="B24" s="27" t="s">
        <v>33</v>
      </c>
      <c r="C24" s="23" t="s">
        <v>34</v>
      </c>
      <c r="D24" s="23" t="s">
        <v>35</v>
      </c>
      <c r="E24" s="28">
        <v>6370</v>
      </c>
      <c r="F24" s="25">
        <v>71.5</v>
      </c>
      <c r="G24" s="25">
        <v>0.35</v>
      </c>
      <c r="H24" s="26"/>
    </row>
    <row r="25" spans="2:8" x14ac:dyDescent="0.2">
      <c r="B25" s="27" t="s">
        <v>142</v>
      </c>
      <c r="C25" s="23" t="s">
        <v>143</v>
      </c>
      <c r="D25" s="23" t="s">
        <v>141</v>
      </c>
      <c r="E25" s="28">
        <v>1000</v>
      </c>
      <c r="F25" s="25">
        <v>70.36</v>
      </c>
      <c r="G25" s="25">
        <v>0.35</v>
      </c>
      <c r="H25" s="26"/>
    </row>
    <row r="26" spans="2:8" x14ac:dyDescent="0.2">
      <c r="B26" s="27" t="s">
        <v>248</v>
      </c>
      <c r="C26" s="23" t="s">
        <v>249</v>
      </c>
      <c r="D26" s="23" t="s">
        <v>131</v>
      </c>
      <c r="E26" s="28">
        <v>12500</v>
      </c>
      <c r="F26" s="25">
        <v>67.739999999999995</v>
      </c>
      <c r="G26" s="25">
        <v>0.34</v>
      </c>
      <c r="H26" s="26"/>
    </row>
    <row r="27" spans="2:8" x14ac:dyDescent="0.2">
      <c r="B27" s="27" t="s">
        <v>120</v>
      </c>
      <c r="C27" s="23" t="s">
        <v>121</v>
      </c>
      <c r="D27" s="23" t="s">
        <v>122</v>
      </c>
      <c r="E27" s="28">
        <v>1250</v>
      </c>
      <c r="F27" s="25">
        <v>61.36</v>
      </c>
      <c r="G27" s="25">
        <v>0.3</v>
      </c>
      <c r="H27" s="26"/>
    </row>
    <row r="28" spans="2:8" x14ac:dyDescent="0.2">
      <c r="B28" s="27" t="s">
        <v>50</v>
      </c>
      <c r="C28" s="23" t="s">
        <v>51</v>
      </c>
      <c r="D28" s="23" t="s">
        <v>52</v>
      </c>
      <c r="E28" s="28">
        <v>20330</v>
      </c>
      <c r="F28" s="25">
        <v>57.96</v>
      </c>
      <c r="G28" s="25">
        <v>0.28999999999999998</v>
      </c>
      <c r="H28" s="26"/>
    </row>
    <row r="29" spans="2:8" x14ac:dyDescent="0.2">
      <c r="B29" s="27" t="s">
        <v>77</v>
      </c>
      <c r="C29" s="23" t="s">
        <v>78</v>
      </c>
      <c r="D29" s="23" t="s">
        <v>63</v>
      </c>
      <c r="E29" s="28">
        <v>22000</v>
      </c>
      <c r="F29" s="25">
        <v>55.28</v>
      </c>
      <c r="G29" s="25">
        <v>0.27</v>
      </c>
      <c r="H29" s="26"/>
    </row>
    <row r="30" spans="2:8" x14ac:dyDescent="0.2">
      <c r="B30" s="27" t="s">
        <v>45</v>
      </c>
      <c r="C30" s="23" t="s">
        <v>46</v>
      </c>
      <c r="D30" s="23" t="s">
        <v>47</v>
      </c>
      <c r="E30" s="28">
        <v>165</v>
      </c>
      <c r="F30" s="25">
        <v>52.73</v>
      </c>
      <c r="G30" s="25">
        <v>0.26</v>
      </c>
      <c r="H30" s="26"/>
    </row>
    <row r="31" spans="2:8" x14ac:dyDescent="0.2">
      <c r="B31" s="27" t="s">
        <v>61</v>
      </c>
      <c r="C31" s="23" t="s">
        <v>62</v>
      </c>
      <c r="D31" s="23" t="s">
        <v>63</v>
      </c>
      <c r="E31" s="28">
        <v>15000</v>
      </c>
      <c r="F31" s="25">
        <v>52.33</v>
      </c>
      <c r="G31" s="25">
        <v>0.26</v>
      </c>
      <c r="H31" s="26"/>
    </row>
    <row r="32" spans="2:8" x14ac:dyDescent="0.2">
      <c r="B32" s="27" t="s">
        <v>81</v>
      </c>
      <c r="C32" s="23" t="s">
        <v>82</v>
      </c>
      <c r="D32" s="23" t="s">
        <v>63</v>
      </c>
      <c r="E32" s="28">
        <v>10000</v>
      </c>
      <c r="F32" s="25">
        <v>49.64</v>
      </c>
      <c r="G32" s="25">
        <v>0.25</v>
      </c>
      <c r="H32" s="26"/>
    </row>
    <row r="33" spans="2:10" x14ac:dyDescent="0.2">
      <c r="B33" s="27" t="s">
        <v>173</v>
      </c>
      <c r="C33" s="23" t="s">
        <v>174</v>
      </c>
      <c r="D33" s="23" t="s">
        <v>159</v>
      </c>
      <c r="E33" s="28">
        <v>750</v>
      </c>
      <c r="F33" s="25">
        <v>47.33</v>
      </c>
      <c r="G33" s="25">
        <v>0.23</v>
      </c>
      <c r="H33" s="26"/>
    </row>
    <row r="34" spans="2:10" x14ac:dyDescent="0.2">
      <c r="B34" s="27" t="s">
        <v>208</v>
      </c>
      <c r="C34" s="23" t="s">
        <v>209</v>
      </c>
      <c r="D34" s="23" t="s">
        <v>119</v>
      </c>
      <c r="E34" s="28">
        <v>3200</v>
      </c>
      <c r="F34" s="25">
        <v>45.35</v>
      </c>
      <c r="G34" s="25">
        <v>0.23</v>
      </c>
      <c r="H34" s="26"/>
    </row>
    <row r="35" spans="2:10" x14ac:dyDescent="0.2">
      <c r="B35" s="27" t="s">
        <v>96</v>
      </c>
      <c r="C35" s="23" t="s">
        <v>97</v>
      </c>
      <c r="D35" s="23" t="s">
        <v>41</v>
      </c>
      <c r="E35" s="28">
        <v>900</v>
      </c>
      <c r="F35" s="25">
        <v>43.22</v>
      </c>
      <c r="G35" s="25">
        <v>0.21</v>
      </c>
      <c r="H35" s="26"/>
    </row>
    <row r="36" spans="2:10" x14ac:dyDescent="0.2">
      <c r="B36" s="27" t="s">
        <v>194</v>
      </c>
      <c r="C36" s="23" t="s">
        <v>195</v>
      </c>
      <c r="D36" s="23" t="s">
        <v>131</v>
      </c>
      <c r="E36" s="28">
        <v>1870</v>
      </c>
      <c r="F36" s="25">
        <v>41.43</v>
      </c>
      <c r="G36" s="25">
        <v>0.21</v>
      </c>
      <c r="H36" s="26"/>
    </row>
    <row r="37" spans="2:10" x14ac:dyDescent="0.2">
      <c r="B37" s="27" t="s">
        <v>177</v>
      </c>
      <c r="C37" s="23" t="s">
        <v>178</v>
      </c>
      <c r="D37" s="23" t="s">
        <v>68</v>
      </c>
      <c r="E37" s="28">
        <v>8000</v>
      </c>
      <c r="F37" s="25">
        <v>40.67</v>
      </c>
      <c r="G37" s="25">
        <v>0.2</v>
      </c>
      <c r="H37" s="26"/>
    </row>
    <row r="38" spans="2:10" x14ac:dyDescent="0.2">
      <c r="B38" s="27" t="s">
        <v>226</v>
      </c>
      <c r="C38" s="23" t="s">
        <v>227</v>
      </c>
      <c r="D38" s="23" t="s">
        <v>136</v>
      </c>
      <c r="E38" s="28">
        <v>800</v>
      </c>
      <c r="F38" s="25">
        <v>38.630000000000003</v>
      </c>
      <c r="G38" s="25">
        <v>0.19</v>
      </c>
      <c r="H38" s="26"/>
    </row>
    <row r="39" spans="2:10" x14ac:dyDescent="0.2">
      <c r="B39" s="27" t="s">
        <v>269</v>
      </c>
      <c r="C39" s="23" t="s">
        <v>270</v>
      </c>
      <c r="D39" s="23" t="s">
        <v>131</v>
      </c>
      <c r="E39" s="28">
        <v>7700</v>
      </c>
      <c r="F39" s="25">
        <v>38.479999999999997</v>
      </c>
      <c r="G39" s="25">
        <v>0.19</v>
      </c>
      <c r="H39" s="26"/>
    </row>
    <row r="40" spans="2:10" x14ac:dyDescent="0.2">
      <c r="B40" s="27" t="s">
        <v>184</v>
      </c>
      <c r="C40" s="23" t="s">
        <v>185</v>
      </c>
      <c r="D40" s="23" t="s">
        <v>60</v>
      </c>
      <c r="E40" s="28">
        <v>1600</v>
      </c>
      <c r="F40" s="25">
        <v>34.93</v>
      </c>
      <c r="G40" s="25">
        <v>0.17</v>
      </c>
      <c r="H40" s="26"/>
    </row>
    <row r="41" spans="2:10" x14ac:dyDescent="0.2">
      <c r="B41" s="27" t="s">
        <v>279</v>
      </c>
      <c r="C41" s="23" t="s">
        <v>280</v>
      </c>
      <c r="D41" s="23" t="s">
        <v>131</v>
      </c>
      <c r="E41" s="28">
        <v>18000</v>
      </c>
      <c r="F41" s="25">
        <v>34.86</v>
      </c>
      <c r="G41" s="25">
        <v>0.17</v>
      </c>
      <c r="H41" s="26"/>
    </row>
    <row r="42" spans="2:10" x14ac:dyDescent="0.2">
      <c r="B42" s="27" t="s">
        <v>292</v>
      </c>
      <c r="C42" s="23" t="s">
        <v>293</v>
      </c>
      <c r="D42" s="23" t="s">
        <v>243</v>
      </c>
      <c r="E42" s="28">
        <v>1500</v>
      </c>
      <c r="F42" s="25">
        <v>33.78</v>
      </c>
      <c r="G42" s="25">
        <v>0.17</v>
      </c>
      <c r="H42" s="26"/>
    </row>
    <row r="43" spans="2:10" x14ac:dyDescent="0.2">
      <c r="B43" s="27" t="s">
        <v>144</v>
      </c>
      <c r="C43" s="23" t="s">
        <v>145</v>
      </c>
      <c r="D43" s="23" t="s">
        <v>60</v>
      </c>
      <c r="E43" s="28">
        <v>1800</v>
      </c>
      <c r="F43" s="25">
        <v>24.5</v>
      </c>
      <c r="G43" s="25">
        <v>0.12</v>
      </c>
      <c r="H43" s="26"/>
    </row>
    <row r="44" spans="2:10" x14ac:dyDescent="0.2">
      <c r="B44" s="27" t="s">
        <v>153</v>
      </c>
      <c r="C44" s="23" t="s">
        <v>154</v>
      </c>
      <c r="D44" s="23" t="s">
        <v>131</v>
      </c>
      <c r="E44" s="28">
        <v>620</v>
      </c>
      <c r="F44" s="25">
        <v>22.56</v>
      </c>
      <c r="G44" s="25">
        <v>0.11</v>
      </c>
      <c r="H44" s="26"/>
    </row>
    <row r="45" spans="2:10" x14ac:dyDescent="0.2">
      <c r="B45" s="27" t="s">
        <v>241</v>
      </c>
      <c r="C45" s="23" t="s">
        <v>242</v>
      </c>
      <c r="D45" s="23" t="s">
        <v>243</v>
      </c>
      <c r="E45" s="28">
        <v>700</v>
      </c>
      <c r="F45" s="25">
        <v>16.02</v>
      </c>
      <c r="G45" s="25">
        <v>0.08</v>
      </c>
      <c r="H45" s="26"/>
    </row>
    <row r="46" spans="2:10" x14ac:dyDescent="0.2">
      <c r="B46" s="27" t="s">
        <v>202</v>
      </c>
      <c r="C46" s="23" t="s">
        <v>203</v>
      </c>
      <c r="D46" s="23" t="s">
        <v>122</v>
      </c>
      <c r="E46" s="28">
        <v>1121</v>
      </c>
      <c r="F46" s="25">
        <v>8.9600000000000009</v>
      </c>
      <c r="G46" s="25">
        <v>0.04</v>
      </c>
      <c r="H46" s="26"/>
    </row>
    <row r="47" spans="2:10" x14ac:dyDescent="0.2">
      <c r="B47" s="29" t="s">
        <v>110</v>
      </c>
      <c r="C47" s="30"/>
      <c r="D47" s="30"/>
      <c r="E47" s="31"/>
      <c r="F47" s="32">
        <f>SUM(F7:F46)</f>
        <v>3482.05</v>
      </c>
      <c r="G47" s="32">
        <f>SUM(G7:G46)</f>
        <v>17.250000000000007</v>
      </c>
      <c r="H47" s="33"/>
      <c r="I47" s="14"/>
      <c r="J47" s="14"/>
    </row>
    <row r="48" spans="2:10" x14ac:dyDescent="0.2">
      <c r="B48" s="37" t="s">
        <v>111</v>
      </c>
      <c r="C48" s="37"/>
      <c r="D48" s="37"/>
      <c r="E48" s="38"/>
      <c r="F48" s="39">
        <f>F47</f>
        <v>3482.05</v>
      </c>
      <c r="G48" s="39">
        <f>G47</f>
        <v>17.250000000000007</v>
      </c>
      <c r="H48" s="15"/>
      <c r="I48" s="14"/>
      <c r="J48" s="14"/>
    </row>
    <row r="49" spans="2:10" x14ac:dyDescent="0.2">
      <c r="B49" s="46" t="s">
        <v>351</v>
      </c>
      <c r="C49" s="41"/>
      <c r="D49" s="41"/>
      <c r="E49" s="42"/>
      <c r="F49" s="43"/>
      <c r="G49" s="43"/>
      <c r="H49" s="43"/>
    </row>
    <row r="50" spans="2:10" x14ac:dyDescent="0.2">
      <c r="B50" s="47" t="s">
        <v>32</v>
      </c>
      <c r="C50" s="23"/>
      <c r="D50" s="23"/>
      <c r="E50" s="24"/>
      <c r="F50" s="25"/>
      <c r="G50" s="25"/>
      <c r="H50" s="25"/>
    </row>
    <row r="51" spans="2:10" x14ac:dyDescent="0.2">
      <c r="B51" s="23" t="s">
        <v>500</v>
      </c>
      <c r="C51" s="23" t="s">
        <v>501</v>
      </c>
      <c r="D51" s="23" t="s">
        <v>354</v>
      </c>
      <c r="E51" s="28">
        <v>150</v>
      </c>
      <c r="F51" s="25">
        <v>1580.41</v>
      </c>
      <c r="G51" s="25">
        <v>7.85</v>
      </c>
      <c r="H51" s="25">
        <v>3.84</v>
      </c>
    </row>
    <row r="52" spans="2:10" x14ac:dyDescent="0.2">
      <c r="B52" s="23" t="s">
        <v>409</v>
      </c>
      <c r="C52" s="23" t="s">
        <v>410</v>
      </c>
      <c r="D52" s="23" t="s">
        <v>354</v>
      </c>
      <c r="E52" s="28">
        <v>150</v>
      </c>
      <c r="F52" s="25">
        <v>1579.05</v>
      </c>
      <c r="G52" s="25">
        <v>7.84</v>
      </c>
      <c r="H52" s="25">
        <v>3.93</v>
      </c>
    </row>
    <row r="53" spans="2:10" x14ac:dyDescent="0.2">
      <c r="B53" s="23" t="s">
        <v>801</v>
      </c>
      <c r="C53" s="23" t="s">
        <v>802</v>
      </c>
      <c r="D53" s="23" t="s">
        <v>354</v>
      </c>
      <c r="E53" s="28">
        <v>150</v>
      </c>
      <c r="F53" s="25">
        <v>1570.61</v>
      </c>
      <c r="G53" s="25">
        <v>7.8</v>
      </c>
      <c r="H53" s="25">
        <v>4.16</v>
      </c>
    </row>
    <row r="54" spans="2:10" x14ac:dyDescent="0.2">
      <c r="B54" s="23" t="s">
        <v>421</v>
      </c>
      <c r="C54" s="23" t="s">
        <v>422</v>
      </c>
      <c r="D54" s="23" t="s">
        <v>354</v>
      </c>
      <c r="E54" s="28">
        <v>140</v>
      </c>
      <c r="F54" s="25">
        <v>1474.98</v>
      </c>
      <c r="G54" s="25">
        <v>7.32</v>
      </c>
      <c r="H54" s="25">
        <v>3.8</v>
      </c>
    </row>
    <row r="55" spans="2:10" x14ac:dyDescent="0.2">
      <c r="B55" s="23" t="s">
        <v>694</v>
      </c>
      <c r="C55" s="23" t="s">
        <v>695</v>
      </c>
      <c r="D55" s="23" t="s">
        <v>354</v>
      </c>
      <c r="E55" s="28">
        <v>100</v>
      </c>
      <c r="F55" s="25">
        <v>1054.97</v>
      </c>
      <c r="G55" s="25">
        <v>5.24</v>
      </c>
      <c r="H55" s="25">
        <v>4.0999999999999996</v>
      </c>
    </row>
    <row r="56" spans="2:10" x14ac:dyDescent="0.2">
      <c r="B56" s="23" t="s">
        <v>688</v>
      </c>
      <c r="C56" s="23" t="s">
        <v>689</v>
      </c>
      <c r="D56" s="23" t="s">
        <v>354</v>
      </c>
      <c r="E56" s="28">
        <v>100</v>
      </c>
      <c r="F56" s="25">
        <v>1033.68</v>
      </c>
      <c r="G56" s="25">
        <v>5.13</v>
      </c>
      <c r="H56" s="25">
        <v>3.89</v>
      </c>
    </row>
    <row r="57" spans="2:10" x14ac:dyDescent="0.2">
      <c r="B57" s="30" t="s">
        <v>110</v>
      </c>
      <c r="C57" s="30"/>
      <c r="D57" s="30"/>
      <c r="E57" s="31"/>
      <c r="F57" s="32">
        <f>SUM(F50:F56)</f>
        <v>8293.6999999999989</v>
      </c>
      <c r="G57" s="32">
        <f>SUM(G50:G56)</f>
        <v>41.18</v>
      </c>
      <c r="H57" s="48"/>
      <c r="I57" s="14"/>
      <c r="J57" s="14"/>
    </row>
    <row r="58" spans="2:10" x14ac:dyDescent="0.2">
      <c r="B58" s="49" t="s">
        <v>111</v>
      </c>
      <c r="C58" s="49"/>
      <c r="D58" s="49"/>
      <c r="E58" s="50"/>
      <c r="F58" s="51">
        <f>F57</f>
        <v>8293.6999999999989</v>
      </c>
      <c r="G58" s="51">
        <f>G57</f>
        <v>41.18</v>
      </c>
      <c r="H58" s="51"/>
      <c r="I58" s="14"/>
      <c r="J58" s="14"/>
    </row>
    <row r="59" spans="2:10" x14ac:dyDescent="0.2">
      <c r="B59" s="47" t="s">
        <v>423</v>
      </c>
      <c r="C59" s="23"/>
      <c r="D59" s="23"/>
      <c r="E59" s="24"/>
      <c r="F59" s="25"/>
      <c r="G59" s="25"/>
      <c r="H59" s="25"/>
    </row>
    <row r="60" spans="2:10" x14ac:dyDescent="0.2">
      <c r="B60" s="23" t="s">
        <v>710</v>
      </c>
      <c r="C60" s="23" t="s">
        <v>711</v>
      </c>
      <c r="D60" s="23" t="s">
        <v>426</v>
      </c>
      <c r="E60" s="28">
        <v>4200000</v>
      </c>
      <c r="F60" s="25">
        <v>4423.8100000000004</v>
      </c>
      <c r="G60" s="25">
        <v>21.96</v>
      </c>
      <c r="H60" s="25">
        <v>4.05</v>
      </c>
    </row>
    <row r="61" spans="2:10" x14ac:dyDescent="0.2">
      <c r="B61" s="23" t="s">
        <v>585</v>
      </c>
      <c r="C61" s="23" t="s">
        <v>586</v>
      </c>
      <c r="D61" s="23" t="s">
        <v>426</v>
      </c>
      <c r="E61" s="28">
        <v>2200000</v>
      </c>
      <c r="F61" s="25">
        <v>2325.13</v>
      </c>
      <c r="G61" s="25">
        <v>11.54</v>
      </c>
      <c r="H61" s="25">
        <v>4.05</v>
      </c>
    </row>
    <row r="62" spans="2:10" x14ac:dyDescent="0.2">
      <c r="B62" s="52" t="s">
        <v>803</v>
      </c>
      <c r="C62" s="52" t="s">
        <v>804</v>
      </c>
      <c r="D62" s="52" t="s">
        <v>426</v>
      </c>
      <c r="E62" s="53">
        <v>220000</v>
      </c>
      <c r="F62" s="54">
        <v>234.16</v>
      </c>
      <c r="G62" s="54">
        <v>1.1599999999999999</v>
      </c>
      <c r="H62" s="54">
        <v>3.81</v>
      </c>
    </row>
    <row r="63" spans="2:10" x14ac:dyDescent="0.2">
      <c r="B63" s="55" t="s">
        <v>111</v>
      </c>
      <c r="C63" s="55"/>
      <c r="D63" s="55"/>
      <c r="E63" s="56"/>
      <c r="F63" s="57">
        <f>SUM(F60:F62)</f>
        <v>6983.1</v>
      </c>
      <c r="G63" s="57">
        <f>SUM(G60:G62)</f>
        <v>34.659999999999997</v>
      </c>
      <c r="H63" s="57"/>
      <c r="I63" s="14"/>
      <c r="J63" s="14"/>
    </row>
    <row r="64" spans="2:10" x14ac:dyDescent="0.2">
      <c r="B64" s="47" t="s">
        <v>112</v>
      </c>
      <c r="C64" s="23"/>
      <c r="D64" s="23"/>
      <c r="E64" s="24"/>
      <c r="F64" s="25"/>
      <c r="G64" s="25"/>
      <c r="H64" s="25"/>
    </row>
    <row r="65" spans="2:10" x14ac:dyDescent="0.2">
      <c r="B65" s="23" t="s">
        <v>112</v>
      </c>
      <c r="C65" s="23"/>
      <c r="D65" s="23"/>
      <c r="E65" s="24"/>
      <c r="F65" s="25">
        <v>691.29</v>
      </c>
      <c r="G65" s="25">
        <v>3.43</v>
      </c>
      <c r="H65" s="25"/>
    </row>
    <row r="66" spans="2:10" x14ac:dyDescent="0.2">
      <c r="B66" s="30" t="s">
        <v>110</v>
      </c>
      <c r="C66" s="30"/>
      <c r="D66" s="30"/>
      <c r="E66" s="31"/>
      <c r="F66" s="32">
        <f>SUM(F64:F65)</f>
        <v>691.29</v>
      </c>
      <c r="G66" s="32">
        <f>SUM(G64:G65)</f>
        <v>3.43</v>
      </c>
      <c r="H66" s="48"/>
      <c r="I66" s="14"/>
      <c r="J66" s="14"/>
    </row>
    <row r="67" spans="2:10" x14ac:dyDescent="0.2">
      <c r="B67" s="34" t="s">
        <v>111</v>
      </c>
      <c r="C67" s="34"/>
      <c r="D67" s="34"/>
      <c r="E67" s="35"/>
      <c r="F67" s="36">
        <f>F66</f>
        <v>691.29</v>
      </c>
      <c r="G67" s="36">
        <f>G66</f>
        <v>3.43</v>
      </c>
      <c r="H67" s="36"/>
      <c r="I67" s="14"/>
      <c r="J67" s="14"/>
    </row>
    <row r="68" spans="2:10" x14ac:dyDescent="0.2">
      <c r="B68" s="44" t="s">
        <v>114</v>
      </c>
      <c r="C68" s="44"/>
      <c r="D68" s="44"/>
      <c r="E68" s="45"/>
      <c r="F68" s="16">
        <f>F69-(+F48+F58+F63+F67)</f>
        <v>690.75</v>
      </c>
      <c r="G68" s="16">
        <f>G69-(+G48+G58+G63+G67)</f>
        <v>3.4799999999999898</v>
      </c>
      <c r="H68" s="16"/>
      <c r="I68" s="14"/>
      <c r="J68" s="14"/>
    </row>
    <row r="69" spans="2:10" x14ac:dyDescent="0.2">
      <c r="B69" s="44" t="s">
        <v>113</v>
      </c>
      <c r="C69" s="44"/>
      <c r="D69" s="44"/>
      <c r="E69" s="45"/>
      <c r="F69" s="16">
        <v>20140.89</v>
      </c>
      <c r="G69" s="16">
        <v>100</v>
      </c>
      <c r="H69" s="16"/>
      <c r="I69" s="14"/>
      <c r="J69" s="14"/>
    </row>
    <row r="71" spans="2:10" x14ac:dyDescent="0.2">
      <c r="B71" s="14" t="s">
        <v>805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CRI</vt:lpstr>
      <vt:lpstr>CREDF</vt:lpstr>
      <vt:lpstr>CRETSF</vt:lpstr>
      <vt:lpstr>CREE</vt:lpstr>
      <vt:lpstr>CRCTF</vt:lpstr>
      <vt:lpstr>CRBCEF</vt:lpstr>
      <vt:lpstr>CRSCF</vt:lpstr>
      <vt:lpstr>CREHF</vt:lpstr>
      <vt:lpstr>CRDBF</vt:lpstr>
      <vt:lpstr>CRGILT</vt:lpstr>
      <vt:lpstr>CRINC</vt:lpstr>
      <vt:lpstr>CRSF</vt:lpstr>
      <vt:lpstr>CRCHF</vt:lpstr>
      <vt:lpstr>CRG1988</vt:lpstr>
      <vt:lpstr>CRL</vt:lpstr>
      <vt:lpstr>CRUSTF</vt:lpstr>
      <vt:lpstr>CROF</vt:lpstr>
      <vt:lpstr>CRSDF</vt:lpstr>
      <vt:lpstr>CRCBF</vt:lpstr>
      <vt:lpstr>CRCPOF9</vt:lpstr>
      <vt:lpstr>CRDAF1</vt:lpstr>
      <vt:lpstr>CRFMP8</vt:lpstr>
      <vt:lpstr>CRCPOF10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2020-12-04T14:34:38Z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CLAPUBLIC</vt:lpwstr>
  </property>
</Properties>
</file>