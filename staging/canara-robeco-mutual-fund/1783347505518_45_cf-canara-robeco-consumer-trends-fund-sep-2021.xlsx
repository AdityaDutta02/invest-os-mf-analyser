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Sept 21\"/>
    </mc:Choice>
  </mc:AlternateContent>
  <bookViews>
    <workbookView xWindow="0" yWindow="0" windowWidth="20490" windowHeight="7650"/>
  </bookViews>
  <sheets>
    <sheet name="C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6" i="1" l="1"/>
  <c r="G57" i="1" s="1"/>
  <c r="F56" i="1"/>
  <c r="F57" i="1" s="1"/>
  <c r="G52" i="1"/>
  <c r="G53" i="1" s="1"/>
  <c r="G58" i="1" s="1"/>
  <c r="F52" i="1"/>
  <c r="F53" i="1" s="1"/>
  <c r="F58" i="1" s="1"/>
</calcChain>
</file>

<file path=xl/sharedStrings.xml><?xml version="1.0" encoding="utf-8"?>
<sst xmlns="http://schemas.openxmlformats.org/spreadsheetml/2006/main" count="157" uniqueCount="124">
  <si>
    <t>CANARA ROBECO CONSUMER TRENDS FUND</t>
  </si>
  <si>
    <t>Monthly Portfolio Statement as on September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</si>
  <si>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</si>
  <si>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</si>
  <si>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</si>
  <si>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</si>
  <si>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</si>
  <si>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</si>
  <si>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Revised Risk-o-meter Level- Aug'21</t>
  </si>
  <si>
    <t>Revised Risk-o-meter Level- Sep'21</t>
  </si>
  <si>
    <t>Benchmark Risk-o-meter Level- Sep'21</t>
  </si>
  <si>
    <t>Equity &amp; Equity related</t>
  </si>
  <si>
    <t>(a) Listed / awaiting listing on Stock Exchanges</t>
  </si>
  <si>
    <t>ICICI Bank Ltd</t>
  </si>
  <si>
    <t>INE090A01021</t>
  </si>
  <si>
    <t>Banks</t>
  </si>
  <si>
    <t>HDFC Bank Ltd</t>
  </si>
  <si>
    <t>INE040A01034</t>
  </si>
  <si>
    <t>Asian Paints Ltd</t>
  </si>
  <si>
    <t>INE021A01026</t>
  </si>
  <si>
    <t>Consumer Non Durables</t>
  </si>
  <si>
    <t>Bajaj Finance Ltd</t>
  </si>
  <si>
    <t>INE296A01024</t>
  </si>
  <si>
    <t>Finance</t>
  </si>
  <si>
    <t>Hindustan Unilever Ltd</t>
  </si>
  <si>
    <t>INE030A01027</t>
  </si>
  <si>
    <t>Titan Co Ltd</t>
  </si>
  <si>
    <t>INE280A01028</t>
  </si>
  <si>
    <t>Consumer Durables</t>
  </si>
  <si>
    <t>Tata Consumer Products Ltd</t>
  </si>
  <si>
    <t>INE192A01025</t>
  </si>
  <si>
    <t>Benchmark: S&amp;P BSE 100 TRI</t>
  </si>
  <si>
    <t>Jubilant Foodworks Ltd</t>
  </si>
  <si>
    <t>INE797F01012</t>
  </si>
  <si>
    <t>Leisure Services</t>
  </si>
  <si>
    <t>Avenue Supermarts Ltd</t>
  </si>
  <si>
    <t>INE192R01011</t>
  </si>
  <si>
    <t>Retailing</t>
  </si>
  <si>
    <t>Havells India Ltd</t>
  </si>
  <si>
    <t>INE176B01034</t>
  </si>
  <si>
    <t>State Bank of India</t>
  </si>
  <si>
    <t>INE062A01020</t>
  </si>
  <si>
    <t>Axis Bank Ltd</t>
  </si>
  <si>
    <t>INE238A01034</t>
  </si>
  <si>
    <t>Bata India Ltd</t>
  </si>
  <si>
    <t>INE176A01028</t>
  </si>
  <si>
    <t>Dixon Technologies (India) Ltd</t>
  </si>
  <si>
    <t>INE935N01020</t>
  </si>
  <si>
    <t>Housing Development Finance Corporation Ltd</t>
  </si>
  <si>
    <t>INE001A01036</t>
  </si>
  <si>
    <t>Maruti Suzuki India Ltd</t>
  </si>
  <si>
    <t>INE585B01010</t>
  </si>
  <si>
    <t>Auto</t>
  </si>
  <si>
    <t>Crompton Greaves Consumer Electricals Ltd</t>
  </si>
  <si>
    <t>INE299U01018</t>
  </si>
  <si>
    <t>SBI Life Insurance Co Ltd</t>
  </si>
  <si>
    <t>INE123W01016</t>
  </si>
  <si>
    <t>Insurance</t>
  </si>
  <si>
    <t>Procter &amp; Gamble Hygiene and Health Care Ltd</t>
  </si>
  <si>
    <t>INE179A01014</t>
  </si>
  <si>
    <t>Polycab India Ltd</t>
  </si>
  <si>
    <t>INE455K01017</t>
  </si>
  <si>
    <t>Industrial Products</t>
  </si>
  <si>
    <t>Page Industries Ltd</t>
  </si>
  <si>
    <t>INE761H01022</t>
  </si>
  <si>
    <t>Textile Products</t>
  </si>
  <si>
    <t>WABCO India Ltd</t>
  </si>
  <si>
    <t>INE342J01019</t>
  </si>
  <si>
    <t>Auto Ancillaries</t>
  </si>
  <si>
    <t>Voltas Ltd</t>
  </si>
  <si>
    <t>INE226A01021</t>
  </si>
  <si>
    <t>Orient Electric Ltd</t>
  </si>
  <si>
    <t>INE142Z01019</t>
  </si>
  <si>
    <t>TVS Motor Co Ltd</t>
  </si>
  <si>
    <t>INE494B01023</t>
  </si>
  <si>
    <t>Godrej Consumer Products Ltd</t>
  </si>
  <si>
    <t>INE102D01028</t>
  </si>
  <si>
    <t>ITC Ltd</t>
  </si>
  <si>
    <t>INE154A01025</t>
  </si>
  <si>
    <t>Minda Industries Ltd</t>
  </si>
  <si>
    <t>INE405E01023</t>
  </si>
  <si>
    <t>PVR Ltd</t>
  </si>
  <si>
    <t>INE191H01014</t>
  </si>
  <si>
    <t>Entertainment</t>
  </si>
  <si>
    <t>Divi's Laboratories Ltd</t>
  </si>
  <si>
    <t>INE361B01024</t>
  </si>
  <si>
    <t>Pharmaceuticals</t>
  </si>
  <si>
    <t>Ashok Leyland Ltd</t>
  </si>
  <si>
    <t>INE208A01029</t>
  </si>
  <si>
    <t>Cholamandalam Investment and Finance Co Ltd</t>
  </si>
  <si>
    <t>INE121A01024</t>
  </si>
  <si>
    <t>UTI Asset Management Co Ltd</t>
  </si>
  <si>
    <t>INE094J01016</t>
  </si>
  <si>
    <t>Capital Markets</t>
  </si>
  <si>
    <t>Kansai Nerolac Paints Ltd</t>
  </si>
  <si>
    <t>INE531A01024</t>
  </si>
  <si>
    <t>V.I.P. Industries Ltd</t>
  </si>
  <si>
    <t>INE054A01027</t>
  </si>
  <si>
    <t>KEI Industries Ltd</t>
  </si>
  <si>
    <t>INE878B01027</t>
  </si>
  <si>
    <t>Zomato Ltd</t>
  </si>
  <si>
    <t>INE758T01015</t>
  </si>
  <si>
    <t>Balkrishna Industries Ltd</t>
  </si>
  <si>
    <t>INE787D01026</t>
  </si>
  <si>
    <t>Gujarat Gas Ltd</t>
  </si>
  <si>
    <t>INE844O01030</t>
  </si>
  <si>
    <t>Gas</t>
  </si>
  <si>
    <t>SBI Cards and Payment Services Ltd</t>
  </si>
  <si>
    <t>INE018E01016</t>
  </si>
  <si>
    <t>Motherson Sumi Systems Ltd</t>
  </si>
  <si>
    <t>INE775A01035</t>
  </si>
  <si>
    <t>Finolex Industries Ltd</t>
  </si>
  <si>
    <t>INE183A01024</t>
  </si>
  <si>
    <t>Max Financial Services Ltd</t>
  </si>
  <si>
    <t>INE180A01020</t>
  </si>
  <si>
    <t>Berger Paints India Ltd</t>
  </si>
  <si>
    <t>INE463A01038</t>
  </si>
  <si>
    <t>Info Edge (India) Ltd</t>
  </si>
  <si>
    <t>INE663F01024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</si>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</sst>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7" xfId="0" applyFont="1" applyFill="1" applyBorder="1"/>
    <xf numFmtId="0" fontId="2" fillId="3" borderId="7" xfId="0" applyNumberFormat="1" applyFont="1" applyFill="1" applyBorder="1"/>
    <xf numFmtId="4" fontId="2" fillId="3" borderId="7" xfId="0" applyNumberFormat="1" applyFont="1" applyFill="1" applyBorder="1"/>
    <xf numFmtId="0" fontId="2" fillId="3" borderId="8" xfId="0" applyFont="1" applyFill="1" applyBorder="1" applyAlignment="1">
      <alignment horizontal="center"/>
    </xf>
    <xf numFmtId="0" fontId="8" fillId="3" borderId="9" xfId="0" applyFont="1" applyFill="1" applyBorder="1"/>
    <xf numFmtId="0" fontId="2" fillId="3" borderId="10" xfId="0" applyFont="1" applyFill="1" applyBorder="1"/>
    <xf numFmtId="0" fontId="2" fillId="3" borderId="10" xfId="0" applyNumberFormat="1" applyFont="1" applyFill="1" applyBorder="1"/>
    <xf numFmtId="4" fontId="2" fillId="3" borderId="10" xfId="0" applyNumberFormat="1" applyFont="1" applyFill="1" applyBorder="1"/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/>
    <xf numFmtId="3" fontId="2" fillId="3" borderId="10" xfId="0" applyNumberFormat="1" applyFont="1" applyFill="1" applyBorder="1"/>
    <xf numFmtId="0" fontId="2" fillId="3" borderId="12" xfId="0" applyFont="1" applyFill="1" applyBorder="1" applyAlignment="1">
      <alignment horizontal="center"/>
    </xf>
    <xf numFmtId="0" fontId="8" fillId="3" borderId="13" xfId="0" applyFont="1" applyFill="1" applyBorder="1"/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0" fontId="8" fillId="3" borderId="0" xfId="0" applyFont="1" applyFill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7" xfId="0" applyFont="1" applyFill="1" applyBorder="1"/>
    <xf numFmtId="0" fontId="2" fillId="3" borderId="18" xfId="0" applyFont="1" applyFill="1" applyBorder="1"/>
    <xf numFmtId="0" fontId="2" fillId="3" borderId="18" xfId="0" applyNumberFormat="1" applyFont="1" applyFill="1" applyBorder="1"/>
    <xf numFmtId="4" fontId="2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2" fillId="3" borderId="0" xfId="0" applyNumberFormat="1" applyFont="1" applyFill="1"/>
    <xf numFmtId="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</xdr:row>
      <xdr:rowOff>47625</xdr:rowOff>
    </xdr:from>
    <xdr:to>
      <xdr:col>8</xdr:col>
      <xdr:colOff>1638300</xdr:colOff>
      <xdr:row>11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72D0F-3CBC-42C1-A6F7-7DFF9EDEC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1057275"/>
          <a:ext cx="1600200" cy="11525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28575</xdr:rowOff>
    </xdr:from>
    <xdr:to>
      <xdr:col>9</xdr:col>
      <xdr:colOff>1609725</xdr:colOff>
      <xdr:row>11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AA4523-E1B3-49E5-9754-74C18FD35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4375" y="1038225"/>
          <a:ext cx="1600200" cy="115252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4</xdr:row>
      <xdr:rowOff>28575</xdr:rowOff>
    </xdr:from>
    <xdr:to>
      <xdr:col>10</xdr:col>
      <xdr:colOff>1609725</xdr:colOff>
      <xdr:row>11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05B467-1D7A-4CE6-B4F8-E2D3F27A3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3625" y="1038225"/>
          <a:ext cx="1600200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1"/>
  <sheetViews>
    <sheetView tabSelected="1" topLeftCell="C1" workbookViewId="0">
      <selection activeCell="B1" sqref="B1:G1"/>
    </sheetView>
  </sheetViews>
  <sheetFormatPr defaultRowHeight="12"/>
  <cols>
    <col min="1" max="1" width="9.140625" style="3"/>
    <col min="2" max="2" width="61.5703125" style="3" bestFit="1" customWidth="1"/>
    <col min="3" max="3" width="13.5703125" style="3" bestFit="1" customWidth="1"/>
    <col min="4" max="4" width="18.28515625" style="3" customWidth="1"/>
    <col min="5" max="5" width="22.28515625" style="46" bestFit="1" customWidth="1"/>
    <col min="6" max="6" width="15.28515625" style="47" bestFit="1" customWidth="1"/>
    <col min="7" max="7" width="7.42578125" style="47" bestFit="1" customWidth="1"/>
    <col min="8" max="8" width="9.140625" style="3"/>
    <col min="9" max="9" width="25.28515625" style="3" customWidth="1"/>
    <col min="10" max="10" width="24.28515625" style="3" customWidth="1"/>
    <col min="11" max="11" width="24.7109375" style="3" customWidth="1"/>
    <col min="12" max="16384" width="9.140625" style="3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4" t="s">
        <v>1</v>
      </c>
      <c r="C3" s="5"/>
      <c r="D3" s="6"/>
      <c r="E3" s="7"/>
      <c r="F3" s="8"/>
      <c r="G3" s="8"/>
    </row>
    <row r="4" spans="2:11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I4" s="14" t="s">
        <v>8</v>
      </c>
      <c r="J4" s="14" t="s">
        <v>9</v>
      </c>
      <c r="K4" s="14" t="s">
        <v>10</v>
      </c>
    </row>
    <row r="5" spans="2:11">
      <c r="B5" s="15" t="s">
        <v>11</v>
      </c>
      <c r="C5" s="16"/>
      <c r="D5" s="16"/>
      <c r="E5" s="17"/>
      <c r="F5" s="18"/>
      <c r="G5" s="18"/>
      <c r="I5" s="19"/>
      <c r="J5" s="19"/>
      <c r="K5" s="19"/>
    </row>
    <row r="6" spans="2:11">
      <c r="B6" s="20" t="s">
        <v>12</v>
      </c>
      <c r="C6" s="21"/>
      <c r="D6" s="21"/>
      <c r="E6" s="22"/>
      <c r="F6" s="23"/>
      <c r="G6" s="23"/>
      <c r="I6" s="24"/>
      <c r="J6" s="24"/>
      <c r="K6" s="24"/>
    </row>
    <row r="7" spans="2:11">
      <c r="B7" s="25" t="s">
        <v>13</v>
      </c>
      <c r="C7" s="21" t="s">
        <v>14</v>
      </c>
      <c r="D7" s="21" t="s">
        <v>15</v>
      </c>
      <c r="E7" s="26">
        <v>707000</v>
      </c>
      <c r="F7" s="23">
        <v>4955.01</v>
      </c>
      <c r="G7" s="23">
        <v>6.83</v>
      </c>
      <c r="I7" s="24"/>
      <c r="J7" s="24"/>
      <c r="K7" s="24"/>
    </row>
    <row r="8" spans="2:11">
      <c r="B8" s="25" t="s">
        <v>16</v>
      </c>
      <c r="C8" s="21" t="s">
        <v>17</v>
      </c>
      <c r="D8" s="21" t="s">
        <v>15</v>
      </c>
      <c r="E8" s="26">
        <v>270800</v>
      </c>
      <c r="F8" s="23">
        <v>4319.12</v>
      </c>
      <c r="G8" s="23">
        <v>5.95</v>
      </c>
      <c r="I8" s="24"/>
      <c r="J8" s="24"/>
      <c r="K8" s="24"/>
    </row>
    <row r="9" spans="2:11">
      <c r="B9" s="25" t="s">
        <v>18</v>
      </c>
      <c r="C9" s="21" t="s">
        <v>19</v>
      </c>
      <c r="D9" s="21" t="s">
        <v>20</v>
      </c>
      <c r="E9" s="26">
        <v>111675</v>
      </c>
      <c r="F9" s="23">
        <v>3623.46</v>
      </c>
      <c r="G9" s="23">
        <v>4.99</v>
      </c>
      <c r="I9" s="24"/>
      <c r="J9" s="24"/>
      <c r="K9" s="24"/>
    </row>
    <row r="10" spans="2:11">
      <c r="B10" s="25" t="s">
        <v>21</v>
      </c>
      <c r="C10" s="21" t="s">
        <v>22</v>
      </c>
      <c r="D10" s="21" t="s">
        <v>23</v>
      </c>
      <c r="E10" s="26">
        <v>43175</v>
      </c>
      <c r="F10" s="23">
        <v>3310.7</v>
      </c>
      <c r="G10" s="23">
        <v>4.5599999999999996</v>
      </c>
      <c r="I10" s="24"/>
      <c r="J10" s="24"/>
      <c r="K10" s="24"/>
    </row>
    <row r="11" spans="2:11">
      <c r="B11" s="25" t="s">
        <v>24</v>
      </c>
      <c r="C11" s="21" t="s">
        <v>25</v>
      </c>
      <c r="D11" s="21" t="s">
        <v>20</v>
      </c>
      <c r="E11" s="26">
        <v>115030</v>
      </c>
      <c r="F11" s="23">
        <v>3107.88</v>
      </c>
      <c r="G11" s="23">
        <v>4.28</v>
      </c>
      <c r="I11" s="24"/>
      <c r="J11" s="24"/>
      <c r="K11" s="24"/>
    </row>
    <row r="12" spans="2:11">
      <c r="B12" s="25" t="s">
        <v>26</v>
      </c>
      <c r="C12" s="21" t="s">
        <v>27</v>
      </c>
      <c r="D12" s="21" t="s">
        <v>28</v>
      </c>
      <c r="E12" s="26">
        <v>135000</v>
      </c>
      <c r="F12" s="23">
        <v>2918.5</v>
      </c>
      <c r="G12" s="23">
        <v>4.0199999999999996</v>
      </c>
      <c r="I12" s="27"/>
      <c r="J12" s="27"/>
      <c r="K12" s="27"/>
    </row>
    <row r="13" spans="2:11">
      <c r="B13" s="25" t="s">
        <v>29</v>
      </c>
      <c r="C13" s="21" t="s">
        <v>30</v>
      </c>
      <c r="D13" s="21" t="s">
        <v>20</v>
      </c>
      <c r="E13" s="26">
        <v>350000</v>
      </c>
      <c r="F13" s="23">
        <v>2847.6</v>
      </c>
      <c r="G13" s="23">
        <v>3.92</v>
      </c>
      <c r="K13" s="3" t="s">
        <v>31</v>
      </c>
    </row>
    <row r="14" spans="2:11">
      <c r="B14" s="25" t="s">
        <v>32</v>
      </c>
      <c r="C14" s="21" t="s">
        <v>33</v>
      </c>
      <c r="D14" s="21" t="s">
        <v>34</v>
      </c>
      <c r="E14" s="26">
        <v>70000</v>
      </c>
      <c r="F14" s="23">
        <v>2828.63</v>
      </c>
      <c r="G14" s="23">
        <v>3.9</v>
      </c>
    </row>
    <row r="15" spans="2:11">
      <c r="B15" s="25" t="s">
        <v>35</v>
      </c>
      <c r="C15" s="21" t="s">
        <v>36</v>
      </c>
      <c r="D15" s="21" t="s">
        <v>37</v>
      </c>
      <c r="E15" s="26">
        <v>50250</v>
      </c>
      <c r="F15" s="23">
        <v>2135.73</v>
      </c>
      <c r="G15" s="23">
        <v>2.94</v>
      </c>
    </row>
    <row r="16" spans="2:11">
      <c r="B16" s="25" t="s">
        <v>38</v>
      </c>
      <c r="C16" s="21" t="s">
        <v>39</v>
      </c>
      <c r="D16" s="21" t="s">
        <v>28</v>
      </c>
      <c r="E16" s="26">
        <v>140000</v>
      </c>
      <c r="F16" s="23">
        <v>1922.34</v>
      </c>
      <c r="G16" s="23">
        <v>2.65</v>
      </c>
    </row>
    <row r="17" spans="2:7">
      <c r="B17" s="25" t="s">
        <v>40</v>
      </c>
      <c r="C17" s="21" t="s">
        <v>41</v>
      </c>
      <c r="D17" s="21" t="s">
        <v>15</v>
      </c>
      <c r="E17" s="26">
        <v>397755</v>
      </c>
      <c r="F17" s="23">
        <v>1801.83</v>
      </c>
      <c r="G17" s="23">
        <v>2.48</v>
      </c>
    </row>
    <row r="18" spans="2:7">
      <c r="B18" s="25" t="s">
        <v>42</v>
      </c>
      <c r="C18" s="21" t="s">
        <v>43</v>
      </c>
      <c r="D18" s="21" t="s">
        <v>15</v>
      </c>
      <c r="E18" s="26">
        <v>231500</v>
      </c>
      <c r="F18" s="23">
        <v>1774.56</v>
      </c>
      <c r="G18" s="23">
        <v>2.4500000000000002</v>
      </c>
    </row>
    <row r="19" spans="2:7">
      <c r="B19" s="25" t="s">
        <v>44</v>
      </c>
      <c r="C19" s="21" t="s">
        <v>45</v>
      </c>
      <c r="D19" s="21" t="s">
        <v>28</v>
      </c>
      <c r="E19" s="26">
        <v>90000</v>
      </c>
      <c r="F19" s="23">
        <v>1600.34</v>
      </c>
      <c r="G19" s="23">
        <v>2.21</v>
      </c>
    </row>
    <row r="20" spans="2:7">
      <c r="B20" s="25" t="s">
        <v>46</v>
      </c>
      <c r="C20" s="21" t="s">
        <v>47</v>
      </c>
      <c r="D20" s="21" t="s">
        <v>28</v>
      </c>
      <c r="E20" s="26">
        <v>34505</v>
      </c>
      <c r="F20" s="23">
        <v>1591.34</v>
      </c>
      <c r="G20" s="23">
        <v>2.19</v>
      </c>
    </row>
    <row r="21" spans="2:7">
      <c r="B21" s="25" t="s">
        <v>48</v>
      </c>
      <c r="C21" s="21" t="s">
        <v>49</v>
      </c>
      <c r="D21" s="21" t="s">
        <v>23</v>
      </c>
      <c r="E21" s="26">
        <v>53500</v>
      </c>
      <c r="F21" s="23">
        <v>1473.55</v>
      </c>
      <c r="G21" s="23">
        <v>2.0299999999999998</v>
      </c>
    </row>
    <row r="22" spans="2:7">
      <c r="B22" s="25" t="s">
        <v>50</v>
      </c>
      <c r="C22" s="21" t="s">
        <v>51</v>
      </c>
      <c r="D22" s="21" t="s">
        <v>52</v>
      </c>
      <c r="E22" s="26">
        <v>20000</v>
      </c>
      <c r="F22" s="23">
        <v>1467.61</v>
      </c>
      <c r="G22" s="23">
        <v>2.02</v>
      </c>
    </row>
    <row r="23" spans="2:7">
      <c r="B23" s="25" t="s">
        <v>53</v>
      </c>
      <c r="C23" s="21" t="s">
        <v>54</v>
      </c>
      <c r="D23" s="21" t="s">
        <v>28</v>
      </c>
      <c r="E23" s="26">
        <v>305791</v>
      </c>
      <c r="F23" s="23">
        <v>1464.43</v>
      </c>
      <c r="G23" s="23">
        <v>2.02</v>
      </c>
    </row>
    <row r="24" spans="2:7">
      <c r="B24" s="25" t="s">
        <v>55</v>
      </c>
      <c r="C24" s="21" t="s">
        <v>56</v>
      </c>
      <c r="D24" s="21" t="s">
        <v>57</v>
      </c>
      <c r="E24" s="26">
        <v>120000</v>
      </c>
      <c r="F24" s="23">
        <v>1458.12</v>
      </c>
      <c r="G24" s="23">
        <v>2.0099999999999998</v>
      </c>
    </row>
    <row r="25" spans="2:7">
      <c r="B25" s="25" t="s">
        <v>58</v>
      </c>
      <c r="C25" s="21" t="s">
        <v>59</v>
      </c>
      <c r="D25" s="21" t="s">
        <v>20</v>
      </c>
      <c r="E25" s="26">
        <v>10200</v>
      </c>
      <c r="F25" s="23">
        <v>1435.53</v>
      </c>
      <c r="G25" s="23">
        <v>1.98</v>
      </c>
    </row>
    <row r="26" spans="2:7">
      <c r="B26" s="25" t="s">
        <v>60</v>
      </c>
      <c r="C26" s="21" t="s">
        <v>61</v>
      </c>
      <c r="D26" s="21" t="s">
        <v>62</v>
      </c>
      <c r="E26" s="26">
        <v>60000</v>
      </c>
      <c r="F26" s="23">
        <v>1433.4</v>
      </c>
      <c r="G26" s="23">
        <v>1.98</v>
      </c>
    </row>
    <row r="27" spans="2:7">
      <c r="B27" s="25" t="s">
        <v>63</v>
      </c>
      <c r="C27" s="21" t="s">
        <v>64</v>
      </c>
      <c r="D27" s="21" t="s">
        <v>65</v>
      </c>
      <c r="E27" s="26">
        <v>4500</v>
      </c>
      <c r="F27" s="23">
        <v>1426.72</v>
      </c>
      <c r="G27" s="23">
        <v>1.97</v>
      </c>
    </row>
    <row r="28" spans="2:7">
      <c r="B28" s="25" t="s">
        <v>66</v>
      </c>
      <c r="C28" s="21" t="s">
        <v>67</v>
      </c>
      <c r="D28" s="21" t="s">
        <v>68</v>
      </c>
      <c r="E28" s="26">
        <v>18524</v>
      </c>
      <c r="F28" s="23">
        <v>1348.85</v>
      </c>
      <c r="G28" s="23">
        <v>1.86</v>
      </c>
    </row>
    <row r="29" spans="2:7">
      <c r="B29" s="25" t="s">
        <v>69</v>
      </c>
      <c r="C29" s="21" t="s">
        <v>70</v>
      </c>
      <c r="D29" s="21" t="s">
        <v>28</v>
      </c>
      <c r="E29" s="26">
        <v>102500</v>
      </c>
      <c r="F29" s="23">
        <v>1248.5</v>
      </c>
      <c r="G29" s="23">
        <v>1.72</v>
      </c>
    </row>
    <row r="30" spans="2:7">
      <c r="B30" s="25" t="s">
        <v>71</v>
      </c>
      <c r="C30" s="21" t="s">
        <v>72</v>
      </c>
      <c r="D30" s="21" t="s">
        <v>28</v>
      </c>
      <c r="E30" s="26">
        <v>373087</v>
      </c>
      <c r="F30" s="23">
        <v>1238.0899999999999</v>
      </c>
      <c r="G30" s="23">
        <v>1.71</v>
      </c>
    </row>
    <row r="31" spans="2:7">
      <c r="B31" s="25" t="s">
        <v>73</v>
      </c>
      <c r="C31" s="21" t="s">
        <v>74</v>
      </c>
      <c r="D31" s="21" t="s">
        <v>52</v>
      </c>
      <c r="E31" s="26">
        <v>225000</v>
      </c>
      <c r="F31" s="23">
        <v>1236.26</v>
      </c>
      <c r="G31" s="23">
        <v>1.7</v>
      </c>
    </row>
    <row r="32" spans="2:7">
      <c r="B32" s="25" t="s">
        <v>75</v>
      </c>
      <c r="C32" s="21" t="s">
        <v>76</v>
      </c>
      <c r="D32" s="21" t="s">
        <v>20</v>
      </c>
      <c r="E32" s="26">
        <v>115000</v>
      </c>
      <c r="F32" s="23">
        <v>1184.3900000000001</v>
      </c>
      <c r="G32" s="23">
        <v>1.63</v>
      </c>
    </row>
    <row r="33" spans="2:7">
      <c r="B33" s="25" t="s">
        <v>77</v>
      </c>
      <c r="C33" s="21" t="s">
        <v>78</v>
      </c>
      <c r="D33" s="21" t="s">
        <v>20</v>
      </c>
      <c r="E33" s="26">
        <v>500000</v>
      </c>
      <c r="F33" s="23">
        <v>1180.75</v>
      </c>
      <c r="G33" s="23">
        <v>1.63</v>
      </c>
    </row>
    <row r="34" spans="2:7">
      <c r="B34" s="25" t="s">
        <v>79</v>
      </c>
      <c r="C34" s="21" t="s">
        <v>80</v>
      </c>
      <c r="D34" s="21" t="s">
        <v>68</v>
      </c>
      <c r="E34" s="26">
        <v>155000</v>
      </c>
      <c r="F34" s="23">
        <v>1144.99</v>
      </c>
      <c r="G34" s="23">
        <v>1.58</v>
      </c>
    </row>
    <row r="35" spans="2:7">
      <c r="B35" s="25" t="s">
        <v>81</v>
      </c>
      <c r="C35" s="21" t="s">
        <v>82</v>
      </c>
      <c r="D35" s="21" t="s">
        <v>83</v>
      </c>
      <c r="E35" s="26">
        <v>65000</v>
      </c>
      <c r="F35" s="23">
        <v>1039.58</v>
      </c>
      <c r="G35" s="23">
        <v>1.43</v>
      </c>
    </row>
    <row r="36" spans="2:7">
      <c r="B36" s="25" t="s">
        <v>84</v>
      </c>
      <c r="C36" s="21" t="s">
        <v>85</v>
      </c>
      <c r="D36" s="21" t="s">
        <v>86</v>
      </c>
      <c r="E36" s="26">
        <v>18125</v>
      </c>
      <c r="F36" s="23">
        <v>869.76</v>
      </c>
      <c r="G36" s="23">
        <v>1.2</v>
      </c>
    </row>
    <row r="37" spans="2:7">
      <c r="B37" s="25" t="s">
        <v>87</v>
      </c>
      <c r="C37" s="21" t="s">
        <v>88</v>
      </c>
      <c r="D37" s="21" t="s">
        <v>52</v>
      </c>
      <c r="E37" s="26">
        <v>650000</v>
      </c>
      <c r="F37" s="23">
        <v>869.7</v>
      </c>
      <c r="G37" s="23">
        <v>1.2</v>
      </c>
    </row>
    <row r="38" spans="2:7">
      <c r="B38" s="25" t="s">
        <v>89</v>
      </c>
      <c r="C38" s="21" t="s">
        <v>90</v>
      </c>
      <c r="D38" s="21" t="s">
        <v>23</v>
      </c>
      <c r="E38" s="26">
        <v>151000</v>
      </c>
      <c r="F38" s="23">
        <v>852.02</v>
      </c>
      <c r="G38" s="23">
        <v>1.17</v>
      </c>
    </row>
    <row r="39" spans="2:7">
      <c r="B39" s="25" t="s">
        <v>91</v>
      </c>
      <c r="C39" s="21" t="s">
        <v>92</v>
      </c>
      <c r="D39" s="21" t="s">
        <v>93</v>
      </c>
      <c r="E39" s="26">
        <v>75000</v>
      </c>
      <c r="F39" s="23">
        <v>800.21</v>
      </c>
      <c r="G39" s="23">
        <v>1.1000000000000001</v>
      </c>
    </row>
    <row r="40" spans="2:7">
      <c r="B40" s="25" t="s">
        <v>94</v>
      </c>
      <c r="C40" s="21" t="s">
        <v>95</v>
      </c>
      <c r="D40" s="21" t="s">
        <v>20</v>
      </c>
      <c r="E40" s="26">
        <v>125000</v>
      </c>
      <c r="F40" s="23">
        <v>791.56</v>
      </c>
      <c r="G40" s="23">
        <v>1.0900000000000001</v>
      </c>
    </row>
    <row r="41" spans="2:7">
      <c r="B41" s="25" t="s">
        <v>96</v>
      </c>
      <c r="C41" s="21" t="s">
        <v>97</v>
      </c>
      <c r="D41" s="21" t="s">
        <v>28</v>
      </c>
      <c r="E41" s="26">
        <v>149999</v>
      </c>
      <c r="F41" s="23">
        <v>759.89</v>
      </c>
      <c r="G41" s="23">
        <v>1.05</v>
      </c>
    </row>
    <row r="42" spans="2:7">
      <c r="B42" s="25" t="s">
        <v>98</v>
      </c>
      <c r="C42" s="21" t="s">
        <v>99</v>
      </c>
      <c r="D42" s="21" t="s">
        <v>62</v>
      </c>
      <c r="E42" s="26">
        <v>80000</v>
      </c>
      <c r="F42" s="23">
        <v>741.68</v>
      </c>
      <c r="G42" s="23">
        <v>1.02</v>
      </c>
    </row>
    <row r="43" spans="2:7">
      <c r="B43" s="25" t="s">
        <v>100</v>
      </c>
      <c r="C43" s="21" t="s">
        <v>101</v>
      </c>
      <c r="D43" s="21" t="s">
        <v>37</v>
      </c>
      <c r="E43" s="26">
        <v>525000</v>
      </c>
      <c r="F43" s="23">
        <v>717.15</v>
      </c>
      <c r="G43" s="23">
        <v>0.99</v>
      </c>
    </row>
    <row r="44" spans="2:7">
      <c r="B44" s="25" t="s">
        <v>102</v>
      </c>
      <c r="C44" s="21" t="s">
        <v>103</v>
      </c>
      <c r="D44" s="21" t="s">
        <v>68</v>
      </c>
      <c r="E44" s="26">
        <v>27500</v>
      </c>
      <c r="F44" s="23">
        <v>696.75</v>
      </c>
      <c r="G44" s="23">
        <v>0.96</v>
      </c>
    </row>
    <row r="45" spans="2:7">
      <c r="B45" s="25" t="s">
        <v>104</v>
      </c>
      <c r="C45" s="21" t="s">
        <v>105</v>
      </c>
      <c r="D45" s="21" t="s">
        <v>106</v>
      </c>
      <c r="E45" s="26">
        <v>107000</v>
      </c>
      <c r="F45" s="23">
        <v>682.07</v>
      </c>
      <c r="G45" s="23">
        <v>0.94</v>
      </c>
    </row>
    <row r="46" spans="2:7">
      <c r="B46" s="25" t="s">
        <v>107</v>
      </c>
      <c r="C46" s="21" t="s">
        <v>108</v>
      </c>
      <c r="D46" s="21" t="s">
        <v>23</v>
      </c>
      <c r="E46" s="26">
        <v>62500</v>
      </c>
      <c r="F46" s="23">
        <v>643.5</v>
      </c>
      <c r="G46" s="23">
        <v>0.89</v>
      </c>
    </row>
    <row r="47" spans="2:7">
      <c r="B47" s="25" t="s">
        <v>109</v>
      </c>
      <c r="C47" s="21" t="s">
        <v>110</v>
      </c>
      <c r="D47" s="21" t="s">
        <v>68</v>
      </c>
      <c r="E47" s="26">
        <v>275000</v>
      </c>
      <c r="F47" s="23">
        <v>621.36</v>
      </c>
      <c r="G47" s="23">
        <v>0.86</v>
      </c>
    </row>
    <row r="48" spans="2:7">
      <c r="B48" s="25" t="s">
        <v>111</v>
      </c>
      <c r="C48" s="21" t="s">
        <v>112</v>
      </c>
      <c r="D48" s="21" t="s">
        <v>62</v>
      </c>
      <c r="E48" s="26">
        <v>250000</v>
      </c>
      <c r="F48" s="23">
        <v>522</v>
      </c>
      <c r="G48" s="23">
        <v>0.72</v>
      </c>
    </row>
    <row r="49" spans="2:9">
      <c r="B49" s="25" t="s">
        <v>113</v>
      </c>
      <c r="C49" s="21" t="s">
        <v>114</v>
      </c>
      <c r="D49" s="21" t="s">
        <v>57</v>
      </c>
      <c r="E49" s="26">
        <v>45000</v>
      </c>
      <c r="F49" s="23">
        <v>456.44</v>
      </c>
      <c r="G49" s="23">
        <v>0.63</v>
      </c>
    </row>
    <row r="50" spans="2:9">
      <c r="B50" s="25" t="s">
        <v>115</v>
      </c>
      <c r="C50" s="21" t="s">
        <v>116</v>
      </c>
      <c r="D50" s="21" t="s">
        <v>20</v>
      </c>
      <c r="E50" s="26">
        <v>46000</v>
      </c>
      <c r="F50" s="23">
        <v>372.14</v>
      </c>
      <c r="G50" s="23">
        <v>0.51</v>
      </c>
    </row>
    <row r="51" spans="2:9">
      <c r="B51" s="25" t="s">
        <v>117</v>
      </c>
      <c r="C51" s="21" t="s">
        <v>118</v>
      </c>
      <c r="D51" s="21" t="s">
        <v>37</v>
      </c>
      <c r="E51" s="26">
        <v>4999</v>
      </c>
      <c r="F51" s="23">
        <v>321.51</v>
      </c>
      <c r="G51" s="23">
        <v>0.44</v>
      </c>
    </row>
    <row r="52" spans="2:9">
      <c r="B52" s="28" t="s">
        <v>119</v>
      </c>
      <c r="C52" s="29"/>
      <c r="D52" s="29"/>
      <c r="E52" s="30"/>
      <c r="F52" s="31">
        <f>SUM(F7:F51)</f>
        <v>69235.55</v>
      </c>
      <c r="G52" s="31">
        <f>SUM(G7:G51)</f>
        <v>95.409999999999968</v>
      </c>
      <c r="H52" s="32"/>
      <c r="I52" s="32"/>
    </row>
    <row r="53" spans="2:9">
      <c r="B53" s="33" t="s">
        <v>120</v>
      </c>
      <c r="C53" s="33"/>
      <c r="D53" s="33"/>
      <c r="E53" s="34"/>
      <c r="F53" s="35">
        <f>F52</f>
        <v>69235.55</v>
      </c>
      <c r="G53" s="35">
        <f>G52</f>
        <v>95.409999999999968</v>
      </c>
      <c r="H53" s="32"/>
      <c r="I53" s="32"/>
    </row>
    <row r="54" spans="2:9">
      <c r="B54" s="36" t="s">
        <v>121</v>
      </c>
      <c r="C54" s="37"/>
      <c r="D54" s="37"/>
      <c r="E54" s="38"/>
      <c r="F54" s="39"/>
      <c r="G54" s="39"/>
    </row>
    <row r="55" spans="2:9">
      <c r="B55" s="25" t="s">
        <v>121</v>
      </c>
      <c r="C55" s="21"/>
      <c r="D55" s="21"/>
      <c r="E55" s="22"/>
      <c r="F55" s="23">
        <v>2713.81</v>
      </c>
      <c r="G55" s="23">
        <v>3.74</v>
      </c>
    </row>
    <row r="56" spans="2:9">
      <c r="B56" s="28" t="s">
        <v>119</v>
      </c>
      <c r="C56" s="29"/>
      <c r="D56" s="29"/>
      <c r="E56" s="30"/>
      <c r="F56" s="31">
        <f>SUM(F54:F55)</f>
        <v>2713.81</v>
      </c>
      <c r="G56" s="31">
        <f>SUM(G54:G55)</f>
        <v>3.74</v>
      </c>
      <c r="H56" s="32"/>
      <c r="I56" s="32"/>
    </row>
    <row r="57" spans="2:9">
      <c r="B57" s="40" t="s">
        <v>120</v>
      </c>
      <c r="C57" s="40"/>
      <c r="D57" s="40"/>
      <c r="E57" s="41"/>
      <c r="F57" s="42">
        <f>F56</f>
        <v>2713.81</v>
      </c>
      <c r="G57" s="42">
        <f>G56</f>
        <v>3.74</v>
      </c>
      <c r="H57" s="32"/>
      <c r="I57" s="32"/>
    </row>
    <row r="58" spans="2:9">
      <c r="B58" s="43" t="s">
        <v>122</v>
      </c>
      <c r="C58" s="43"/>
      <c r="D58" s="43"/>
      <c r="E58" s="44"/>
      <c r="F58" s="45">
        <f>F59-(+F53+F57)</f>
        <v>610.17999999999302</v>
      </c>
      <c r="G58" s="45">
        <f>G59-(+G53+G57)</f>
        <v>0.85000000000003695</v>
      </c>
      <c r="H58" s="32"/>
      <c r="I58" s="32"/>
    </row>
    <row r="59" spans="2:9">
      <c r="B59" s="43" t="s">
        <v>123</v>
      </c>
      <c r="C59" s="43"/>
      <c r="D59" s="43"/>
      <c r="E59" s="44"/>
      <c r="F59" s="45">
        <v>72559.539999999994</v>
      </c>
      <c r="G59" s="45">
        <v>100</v>
      </c>
      <c r="H59" s="32"/>
      <c r="I59" s="32"/>
    </row>
    <row r="61" spans="2:9">
      <c r="B61" s="32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2021-10-08T11:18:01Z</dcterms:created>
  <dcterms:modified xsi:type="dcterms:W3CDTF">2021-10-08T11:18:03Z</dcterms:modified>
</cp:coreProperties>
</file>