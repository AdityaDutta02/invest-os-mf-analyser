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G42" i="1" s="1"/>
  <c r="F36" i="1"/>
  <c r="F37" i="1" s="1"/>
  <c r="F42" i="1" s="1"/>
</calcChain>
</file>

<file path=xl/sharedStrings.xml><?xml version="1.0" encoding="utf-8"?>
<sst xmlns="http://schemas.openxmlformats.org/spreadsheetml/2006/main" count="109" uniqueCount="97">
  <si>
    <t>CANARA ROBECO FOCUSED EQUITY FUND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</si>
  <si>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</si>
  <si>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</si>
  <si>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</si>
  <si>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</si>
  <si>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</si>
  <si>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</si>
  <si>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</si>
  <si>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Oct'21</t>
  </si>
  <si>
    <t>Revised Risk-o-meter Level- Nov'21</t>
  </si>
  <si>
    <t>Benchmark Risk-o-meter Level- Nov'21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</si>
  <si>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</si>
  <si>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</si>
  <si>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</si>
  <si>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</si>
  <si>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</si>
  <si>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</si>
  <si>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</si>
  <si>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</si>
  <si>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</si>
  <si>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</si>
  <si>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Larsen &amp; Toubro Ltd</t>
  </si>
  <si>
    <t>INE018A01030</t>
  </si>
  <si>
    <t>Construction Project</t>
  </si>
  <si>
    <t>Bajaj Finance Ltd</t>
  </si>
  <si>
    <t>INE296A01024</t>
  </si>
  <si>
    <t>Finance</t>
  </si>
  <si>
    <t>Tata Consultancy Services Ltd</t>
  </si>
  <si>
    <t>INE467B01029</t>
  </si>
  <si>
    <t>State Bank of India</t>
  </si>
  <si>
    <t>INE062A01020</t>
  </si>
  <si>
    <t>Benchmark: S&amp;P BSE 500 TRI</t>
  </si>
  <si>
    <t>Ultratech Cement Ltd</t>
  </si>
  <si>
    <t>INE481G01011</t>
  </si>
  <si>
    <t>Cement &amp; Cement Products</t>
  </si>
  <si>
    <t>Avenue Supermarts Ltd</t>
  </si>
  <si>
    <t>INE192R01011</t>
  </si>
  <si>
    <t>Retailing</t>
  </si>
  <si>
    <t>Axis Bank Ltd</t>
  </si>
  <si>
    <t>INE238A01034</t>
  </si>
  <si>
    <t>SBI Life Insurance Co Ltd</t>
  </si>
  <si>
    <t>INE123W01016</t>
  </si>
  <si>
    <t>Insurance</t>
  </si>
  <si>
    <t>WABCO India Ltd</t>
  </si>
  <si>
    <t>INE342J01019</t>
  </si>
  <si>
    <t>Auto Ancillaries</t>
  </si>
  <si>
    <t>Tata Motors Ltd</t>
  </si>
  <si>
    <t>INE155A01022</t>
  </si>
  <si>
    <t>Auto</t>
  </si>
  <si>
    <t>FSN E-Commerce Ventures Ltd</t>
  </si>
  <si>
    <t>INE388Y01029</t>
  </si>
  <si>
    <t>Max Healthcare Institute Ltd</t>
  </si>
  <si>
    <t>INE027H01010</t>
  </si>
  <si>
    <t>Healthcare Services</t>
  </si>
  <si>
    <t>Gujarat Gas Ltd</t>
  </si>
  <si>
    <t>INE844O01030</t>
  </si>
  <si>
    <t>Gas</t>
  </si>
  <si>
    <t>Gland Pharma Ltd</t>
  </si>
  <si>
    <t>INE068V01023</t>
  </si>
  <si>
    <t>Pharmaceuticals</t>
  </si>
  <si>
    <t>Minda Industries Ltd</t>
  </si>
  <si>
    <t>INE405E01023</t>
  </si>
  <si>
    <t>Navin Fluorine International Ltd</t>
  </si>
  <si>
    <t>INE048G01026</t>
  </si>
  <si>
    <t>Chemicals</t>
  </si>
  <si>
    <t>Honeywell Automation India Ltd</t>
  </si>
  <si>
    <t>INE671A01010</t>
  </si>
  <si>
    <t>Industrial Capital Goods</t>
  </si>
  <si>
    <t>Divi's Laboratories Ltd</t>
  </si>
  <si>
    <t>INE361B01024</t>
  </si>
  <si>
    <t>Tata Consumer Products Ltd</t>
  </si>
  <si>
    <t>INE192A01025</t>
  </si>
  <si>
    <t>Consumer Non Durables</t>
  </si>
  <si>
    <t>TCI Express Ltd</t>
  </si>
  <si>
    <t>INE586V01016</t>
  </si>
  <si>
    <t>Transportation</t>
  </si>
  <si>
    <t>Abbott India Ltd</t>
  </si>
  <si>
    <t>INE358A01014</t>
  </si>
  <si>
    <t>Titan Co Ltd</t>
  </si>
  <si>
    <t>INE280A01028</t>
  </si>
  <si>
    <t>Consumer Durables</t>
  </si>
  <si>
    <t>Polycab India Ltd</t>
  </si>
  <si>
    <t>INE455K01017</t>
  </si>
  <si>
    <t>Industrial Products</t>
  </si>
  <si>
    <t>PI Industries Ltd</t>
  </si>
  <si>
    <t>INE603J01030</t>
  </si>
  <si>
    <t>Pesticides</t>
  </si>
  <si>
    <t>Jubilant Foodworks Ltd</t>
  </si>
  <si>
    <t>INE797F01012</t>
  </si>
  <si>
    <t>Leisure Services</t>
  </si>
  <si>
    <t>Cholamandalam Investment and Finance Co Ltd</t>
  </si>
  <si>
    <t>INE121A01024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</si>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</sst>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F4FA7-11CE-4DD1-BF0D-F0A3BBA62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82B88E-4B0A-4F97-9FE7-D3053C40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FDB4F1-6AA0-4771-8C38-62FC412CE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5"/>
  <sheetViews>
    <sheetView tabSelected="1" workbookViewId="0">
      <selection activeCell="I4" sqref="I4:K4"/>
    </sheetView>
  </sheetViews>
  <sheetFormatPr defaultRowHeight="12"/>
  <cols>
    <col min="1" max="1" width="9.140625" style="4"/>
    <col min="2" max="2" width="61" style="4" bestFit="1" customWidth="1"/>
    <col min="3" max="3" width="13.5703125" style="4" bestFit="1" customWidth="1"/>
    <col min="4" max="4" width="23.42578125" style="4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0" style="3" bestFit="1" customWidth="1"/>
    <col min="9" max="9" width="25.28515625" style="3" customWidth="1"/>
    <col min="10" max="10" width="25.7109375" style="3" customWidth="1"/>
    <col min="11" max="11" width="25.5703125" style="3" customWidth="1"/>
    <col min="12" max="16384" width="9.140625" style="4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5" t="s">
        <v>1</v>
      </c>
      <c r="C3" s="6"/>
      <c r="D3" s="7"/>
      <c r="E3" s="8"/>
      <c r="F3" s="9"/>
      <c r="G3" s="9"/>
    </row>
    <row r="4" spans="2:11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I4" s="15" t="s">
        <v>8</v>
      </c>
      <c r="J4" s="15" t="s">
        <v>9</v>
      </c>
      <c r="K4" s="15" t="s">
        <v>10</v>
      </c>
    </row>
    <row r="5" spans="2:11">
      <c r="B5" s="16" t="s">
        <v>11</v>
      </c>
      <c r="C5" s="17"/>
      <c r="D5" s="17"/>
      <c r="E5" s="18"/>
      <c r="F5" s="19"/>
      <c r="G5" s="19"/>
      <c r="I5" s="20"/>
      <c r="J5" s="20"/>
      <c r="K5" s="20"/>
    </row>
    <row r="6" spans="2:11">
      <c r="B6" s="21" t="s">
        <v>12</v>
      </c>
      <c r="C6" s="22"/>
      <c r="D6" s="22"/>
      <c r="E6" s="23"/>
      <c r="F6" s="24"/>
      <c r="G6" s="24"/>
      <c r="I6" s="25"/>
      <c r="J6" s="25"/>
      <c r="K6" s="25"/>
    </row>
    <row r="7" spans="2:11">
      <c r="B7" s="26" t="s">
        <v>13</v>
      </c>
      <c r="C7" s="22" t="s">
        <v>14</v>
      </c>
      <c r="D7" s="22" t="s">
        <v>15</v>
      </c>
      <c r="E7" s="27">
        <v>657000</v>
      </c>
      <c r="F7" s="24">
        <v>11252.11</v>
      </c>
      <c r="G7" s="24">
        <v>8.91</v>
      </c>
      <c r="I7" s="25"/>
      <c r="J7" s="25"/>
      <c r="K7" s="25"/>
    </row>
    <row r="8" spans="2:11">
      <c r="B8" s="26" t="s">
        <v>16</v>
      </c>
      <c r="C8" s="22" t="s">
        <v>17</v>
      </c>
      <c r="D8" s="22" t="s">
        <v>18</v>
      </c>
      <c r="E8" s="27">
        <v>707500</v>
      </c>
      <c r="F8" s="24">
        <v>10566.87</v>
      </c>
      <c r="G8" s="24">
        <v>8.3699999999999992</v>
      </c>
      <c r="I8" s="25"/>
      <c r="J8" s="25"/>
      <c r="K8" s="25"/>
    </row>
    <row r="9" spans="2:11">
      <c r="B9" s="26" t="s">
        <v>19</v>
      </c>
      <c r="C9" s="22" t="s">
        <v>20</v>
      </c>
      <c r="D9" s="22" t="s">
        <v>18</v>
      </c>
      <c r="E9" s="27">
        <v>1310000</v>
      </c>
      <c r="F9" s="24">
        <v>9357.99</v>
      </c>
      <c r="G9" s="24">
        <v>7.41</v>
      </c>
      <c r="I9" s="25"/>
      <c r="J9" s="25"/>
      <c r="K9" s="25"/>
    </row>
    <row r="10" spans="2:11">
      <c r="B10" s="26" t="s">
        <v>21</v>
      </c>
      <c r="C10" s="22" t="s">
        <v>22</v>
      </c>
      <c r="D10" s="22" t="s">
        <v>23</v>
      </c>
      <c r="E10" s="27">
        <v>365000</v>
      </c>
      <c r="F10" s="24">
        <v>6441.34</v>
      </c>
      <c r="G10" s="24">
        <v>5.0999999999999996</v>
      </c>
      <c r="I10" s="25"/>
      <c r="J10" s="25"/>
      <c r="K10" s="25"/>
    </row>
    <row r="11" spans="2:11">
      <c r="B11" s="26" t="s">
        <v>24</v>
      </c>
      <c r="C11" s="22" t="s">
        <v>25</v>
      </c>
      <c r="D11" s="22" t="s">
        <v>26</v>
      </c>
      <c r="E11" s="27">
        <v>91500</v>
      </c>
      <c r="F11" s="24">
        <v>6402.48</v>
      </c>
      <c r="G11" s="24">
        <v>5.07</v>
      </c>
      <c r="I11" s="25"/>
      <c r="J11" s="25"/>
      <c r="K11" s="25"/>
    </row>
    <row r="12" spans="2:11">
      <c r="B12" s="26" t="s">
        <v>27</v>
      </c>
      <c r="C12" s="22" t="s">
        <v>28</v>
      </c>
      <c r="D12" s="22" t="s">
        <v>15</v>
      </c>
      <c r="E12" s="27">
        <v>157000</v>
      </c>
      <c r="F12" s="24">
        <v>5540.77</v>
      </c>
      <c r="G12" s="24">
        <v>4.3899999999999997</v>
      </c>
      <c r="I12" s="28"/>
      <c r="J12" s="28"/>
      <c r="K12" s="28"/>
    </row>
    <row r="13" spans="2:11">
      <c r="B13" s="26" t="s">
        <v>29</v>
      </c>
      <c r="C13" s="22" t="s">
        <v>30</v>
      </c>
      <c r="D13" s="22" t="s">
        <v>18</v>
      </c>
      <c r="E13" s="27">
        <v>1095000</v>
      </c>
      <c r="F13" s="24">
        <v>5043.0200000000004</v>
      </c>
      <c r="G13" s="24">
        <v>3.99</v>
      </c>
      <c r="I13" s="4"/>
      <c r="J13" s="4"/>
      <c r="K13" s="4" t="s">
        <v>31</v>
      </c>
    </row>
    <row r="14" spans="2:11">
      <c r="B14" s="26" t="s">
        <v>32</v>
      </c>
      <c r="C14" s="22" t="s">
        <v>33</v>
      </c>
      <c r="D14" s="22" t="s">
        <v>34</v>
      </c>
      <c r="E14" s="27">
        <v>66000</v>
      </c>
      <c r="F14" s="24">
        <v>4906.28</v>
      </c>
      <c r="G14" s="24">
        <v>3.88</v>
      </c>
    </row>
    <row r="15" spans="2:11">
      <c r="B15" s="26" t="s">
        <v>35</v>
      </c>
      <c r="C15" s="22" t="s">
        <v>36</v>
      </c>
      <c r="D15" s="22" t="s">
        <v>37</v>
      </c>
      <c r="E15" s="27">
        <v>102500</v>
      </c>
      <c r="F15" s="24">
        <v>4828.67</v>
      </c>
      <c r="G15" s="24">
        <v>3.82</v>
      </c>
    </row>
    <row r="16" spans="2:11">
      <c r="B16" s="26" t="s">
        <v>38</v>
      </c>
      <c r="C16" s="22" t="s">
        <v>39</v>
      </c>
      <c r="D16" s="22" t="s">
        <v>18</v>
      </c>
      <c r="E16" s="27">
        <v>735000</v>
      </c>
      <c r="F16" s="24">
        <v>4819.03</v>
      </c>
      <c r="G16" s="24">
        <v>3.82</v>
      </c>
    </row>
    <row r="17" spans="2:7">
      <c r="B17" s="26" t="s">
        <v>40</v>
      </c>
      <c r="C17" s="22" t="s">
        <v>41</v>
      </c>
      <c r="D17" s="22" t="s">
        <v>42</v>
      </c>
      <c r="E17" s="27">
        <v>350000</v>
      </c>
      <c r="F17" s="24">
        <v>4061.93</v>
      </c>
      <c r="G17" s="24">
        <v>3.22</v>
      </c>
    </row>
    <row r="18" spans="2:7">
      <c r="B18" s="26" t="s">
        <v>43</v>
      </c>
      <c r="C18" s="22" t="s">
        <v>44</v>
      </c>
      <c r="D18" s="22" t="s">
        <v>45</v>
      </c>
      <c r="E18" s="27">
        <v>43184</v>
      </c>
      <c r="F18" s="24">
        <v>3487.39</v>
      </c>
      <c r="G18" s="24">
        <v>2.76</v>
      </c>
    </row>
    <row r="19" spans="2:7">
      <c r="B19" s="26" t="s">
        <v>46</v>
      </c>
      <c r="C19" s="22" t="s">
        <v>47</v>
      </c>
      <c r="D19" s="22" t="s">
        <v>48</v>
      </c>
      <c r="E19" s="27">
        <v>750000</v>
      </c>
      <c r="F19" s="24">
        <v>3439.5</v>
      </c>
      <c r="G19" s="24">
        <v>2.72</v>
      </c>
    </row>
    <row r="20" spans="2:7">
      <c r="B20" s="26" t="s">
        <v>49</v>
      </c>
      <c r="C20" s="22" t="s">
        <v>50</v>
      </c>
      <c r="D20" s="22" t="s">
        <v>37</v>
      </c>
      <c r="E20" s="27">
        <v>124569</v>
      </c>
      <c r="F20" s="24">
        <v>3040.04</v>
      </c>
      <c r="G20" s="24">
        <v>2.41</v>
      </c>
    </row>
    <row r="21" spans="2:7">
      <c r="B21" s="26" t="s">
        <v>51</v>
      </c>
      <c r="C21" s="22" t="s">
        <v>52</v>
      </c>
      <c r="D21" s="22" t="s">
        <v>53</v>
      </c>
      <c r="E21" s="27">
        <v>793504</v>
      </c>
      <c r="F21" s="24">
        <v>3016.9</v>
      </c>
      <c r="G21" s="24">
        <v>2.39</v>
      </c>
    </row>
    <row r="22" spans="2:7">
      <c r="B22" s="26" t="s">
        <v>54</v>
      </c>
      <c r="C22" s="22" t="s">
        <v>55</v>
      </c>
      <c r="D22" s="22" t="s">
        <v>56</v>
      </c>
      <c r="E22" s="27">
        <v>450000</v>
      </c>
      <c r="F22" s="24">
        <v>3014.78</v>
      </c>
      <c r="G22" s="24">
        <v>2.39</v>
      </c>
    </row>
    <row r="23" spans="2:7">
      <c r="B23" s="26" t="s">
        <v>57</v>
      </c>
      <c r="C23" s="22" t="s">
        <v>58</v>
      </c>
      <c r="D23" s="22" t="s">
        <v>59</v>
      </c>
      <c r="E23" s="27">
        <v>80500</v>
      </c>
      <c r="F23" s="24">
        <v>2886.21</v>
      </c>
      <c r="G23" s="24">
        <v>2.29</v>
      </c>
    </row>
    <row r="24" spans="2:7">
      <c r="B24" s="26" t="s">
        <v>60</v>
      </c>
      <c r="C24" s="22" t="s">
        <v>61</v>
      </c>
      <c r="D24" s="22" t="s">
        <v>45</v>
      </c>
      <c r="E24" s="27">
        <v>311499</v>
      </c>
      <c r="F24" s="24">
        <v>2823.43</v>
      </c>
      <c r="G24" s="24">
        <v>2.2400000000000002</v>
      </c>
    </row>
    <row r="25" spans="2:7">
      <c r="B25" s="26" t="s">
        <v>62</v>
      </c>
      <c r="C25" s="22" t="s">
        <v>63</v>
      </c>
      <c r="D25" s="22" t="s">
        <v>64</v>
      </c>
      <c r="E25" s="27">
        <v>73600</v>
      </c>
      <c r="F25" s="24">
        <v>2753.38</v>
      </c>
      <c r="G25" s="24">
        <v>2.1800000000000002</v>
      </c>
    </row>
    <row r="26" spans="2:7">
      <c r="B26" s="26" t="s">
        <v>65</v>
      </c>
      <c r="C26" s="22" t="s">
        <v>66</v>
      </c>
      <c r="D26" s="22" t="s">
        <v>67</v>
      </c>
      <c r="E26" s="27">
        <v>7050</v>
      </c>
      <c r="F26" s="24">
        <v>2742.07</v>
      </c>
      <c r="G26" s="24">
        <v>2.17</v>
      </c>
    </row>
    <row r="27" spans="2:7">
      <c r="B27" s="26" t="s">
        <v>68</v>
      </c>
      <c r="C27" s="22" t="s">
        <v>69</v>
      </c>
      <c r="D27" s="22" t="s">
        <v>59</v>
      </c>
      <c r="E27" s="27">
        <v>53000</v>
      </c>
      <c r="F27" s="24">
        <v>2585.7600000000002</v>
      </c>
      <c r="G27" s="24">
        <v>2.0499999999999998</v>
      </c>
    </row>
    <row r="28" spans="2:7">
      <c r="B28" s="26" t="s">
        <v>70</v>
      </c>
      <c r="C28" s="22" t="s">
        <v>71</v>
      </c>
      <c r="D28" s="22" t="s">
        <v>72</v>
      </c>
      <c r="E28" s="27">
        <v>305000</v>
      </c>
      <c r="F28" s="24">
        <v>2374.73</v>
      </c>
      <c r="G28" s="24">
        <v>1.88</v>
      </c>
    </row>
    <row r="29" spans="2:7">
      <c r="B29" s="26" t="s">
        <v>73</v>
      </c>
      <c r="C29" s="22" t="s">
        <v>74</v>
      </c>
      <c r="D29" s="22" t="s">
        <v>75</v>
      </c>
      <c r="E29" s="27">
        <v>110057</v>
      </c>
      <c r="F29" s="24">
        <v>2357.04</v>
      </c>
      <c r="G29" s="24">
        <v>1.87</v>
      </c>
    </row>
    <row r="30" spans="2:7">
      <c r="B30" s="26" t="s">
        <v>76</v>
      </c>
      <c r="C30" s="22" t="s">
        <v>77</v>
      </c>
      <c r="D30" s="22" t="s">
        <v>59</v>
      </c>
      <c r="E30" s="27">
        <v>11500</v>
      </c>
      <c r="F30" s="24">
        <v>2195.0300000000002</v>
      </c>
      <c r="G30" s="24">
        <v>1.74</v>
      </c>
    </row>
    <row r="31" spans="2:7">
      <c r="B31" s="26" t="s">
        <v>78</v>
      </c>
      <c r="C31" s="22" t="s">
        <v>79</v>
      </c>
      <c r="D31" s="22" t="s">
        <v>80</v>
      </c>
      <c r="E31" s="27">
        <v>90000</v>
      </c>
      <c r="F31" s="24">
        <v>2137.9499999999998</v>
      </c>
      <c r="G31" s="24">
        <v>1.69</v>
      </c>
    </row>
    <row r="32" spans="2:7">
      <c r="B32" s="26" t="s">
        <v>81</v>
      </c>
      <c r="C32" s="22" t="s">
        <v>82</v>
      </c>
      <c r="D32" s="22" t="s">
        <v>83</v>
      </c>
      <c r="E32" s="27">
        <v>92500</v>
      </c>
      <c r="F32" s="24">
        <v>2133</v>
      </c>
      <c r="G32" s="24">
        <v>1.69</v>
      </c>
    </row>
    <row r="33" spans="2:7">
      <c r="B33" s="26" t="s">
        <v>84</v>
      </c>
      <c r="C33" s="22" t="s">
        <v>85</v>
      </c>
      <c r="D33" s="22" t="s">
        <v>86</v>
      </c>
      <c r="E33" s="27">
        <v>62000</v>
      </c>
      <c r="F33" s="24">
        <v>1779.09</v>
      </c>
      <c r="G33" s="24">
        <v>1.41</v>
      </c>
    </row>
    <row r="34" spans="2:7">
      <c r="B34" s="26" t="s">
        <v>87</v>
      </c>
      <c r="C34" s="22" t="s">
        <v>88</v>
      </c>
      <c r="D34" s="22" t="s">
        <v>89</v>
      </c>
      <c r="E34" s="27">
        <v>42000</v>
      </c>
      <c r="F34" s="24">
        <v>1533.42</v>
      </c>
      <c r="G34" s="24">
        <v>1.21</v>
      </c>
    </row>
    <row r="35" spans="2:7">
      <c r="B35" s="26" t="s">
        <v>90</v>
      </c>
      <c r="C35" s="22" t="s">
        <v>91</v>
      </c>
      <c r="D35" s="22" t="s">
        <v>26</v>
      </c>
      <c r="E35" s="27">
        <v>170000</v>
      </c>
      <c r="F35" s="24">
        <v>935.85</v>
      </c>
      <c r="G35" s="24">
        <v>0.74</v>
      </c>
    </row>
    <row r="36" spans="2:7">
      <c r="B36" s="29" t="s">
        <v>92</v>
      </c>
      <c r="C36" s="30"/>
      <c r="D36" s="30"/>
      <c r="E36" s="31"/>
      <c r="F36" s="32">
        <f>SUM(F7:F35)</f>
        <v>118456.05999999997</v>
      </c>
      <c r="G36" s="32">
        <f>SUM(G7:G35)</f>
        <v>93.809999999999988</v>
      </c>
    </row>
    <row r="37" spans="2:7">
      <c r="B37" s="33" t="s">
        <v>93</v>
      </c>
      <c r="C37" s="33"/>
      <c r="D37" s="33"/>
      <c r="E37" s="34"/>
      <c r="F37" s="35">
        <f>F36</f>
        <v>118456.05999999997</v>
      </c>
      <c r="G37" s="35">
        <f>G36</f>
        <v>93.809999999999988</v>
      </c>
    </row>
    <row r="38" spans="2:7">
      <c r="B38" s="36" t="s">
        <v>94</v>
      </c>
      <c r="C38" s="37"/>
      <c r="D38" s="37"/>
      <c r="E38" s="38"/>
      <c r="F38" s="39"/>
      <c r="G38" s="39"/>
    </row>
    <row r="39" spans="2:7">
      <c r="B39" s="26" t="s">
        <v>94</v>
      </c>
      <c r="C39" s="26"/>
      <c r="D39" s="22"/>
      <c r="E39" s="23"/>
      <c r="F39" s="24">
        <v>9715.01</v>
      </c>
      <c r="G39" s="24">
        <v>7.69</v>
      </c>
    </row>
    <row r="40" spans="2:7">
      <c r="B40" s="29" t="s">
        <v>92</v>
      </c>
      <c r="C40" s="30"/>
      <c r="D40" s="30"/>
      <c r="E40" s="31"/>
      <c r="F40" s="32">
        <f>SUM(F38:F39)</f>
        <v>9715.01</v>
      </c>
      <c r="G40" s="32">
        <f>SUM(G38:G39)</f>
        <v>7.69</v>
      </c>
    </row>
    <row r="41" spans="2:7">
      <c r="B41" s="40" t="s">
        <v>93</v>
      </c>
      <c r="C41" s="40"/>
      <c r="D41" s="40"/>
      <c r="E41" s="41"/>
      <c r="F41" s="42">
        <f>F40</f>
        <v>9715.01</v>
      </c>
      <c r="G41" s="42">
        <f>G40</f>
        <v>7.69</v>
      </c>
    </row>
    <row r="42" spans="2:7">
      <c r="B42" s="43" t="s">
        <v>95</v>
      </c>
      <c r="C42" s="43"/>
      <c r="D42" s="43"/>
      <c r="E42" s="44"/>
      <c r="F42" s="45">
        <f>F43-(+F37+F41)</f>
        <v>-1871.9299999999639</v>
      </c>
      <c r="G42" s="45">
        <f>G43-(+G37+G41)</f>
        <v>-1.4999999999999858</v>
      </c>
    </row>
    <row r="43" spans="2:7">
      <c r="B43" s="43" t="s">
        <v>96</v>
      </c>
      <c r="C43" s="43"/>
      <c r="D43" s="43"/>
      <c r="E43" s="44"/>
      <c r="F43" s="45">
        <v>126299.14</v>
      </c>
      <c r="G43" s="45">
        <v>100</v>
      </c>
    </row>
    <row r="45" spans="2:7">
      <c r="B45" s="46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2021-12-08T10:26:43Z</dcterms:created>
  <dcterms:modified xsi:type="dcterms:W3CDTF">2021-12-08T10:26:45Z</dcterms:modified>
</cp:coreProperties>
</file>