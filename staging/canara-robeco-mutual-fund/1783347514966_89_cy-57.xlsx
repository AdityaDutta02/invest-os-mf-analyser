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1" i="1"/>
  <c r="F31" i="1"/>
  <c r="G28" i="1"/>
  <c r="F28" i="1"/>
  <c r="G25" i="1"/>
  <c r="G32" i="1" s="1"/>
  <c r="F25" i="1"/>
  <c r="F32" i="1" s="1"/>
  <c r="G19" i="1"/>
  <c r="G20" i="1" s="1"/>
  <c r="G46" i="1" s="1"/>
  <c r="F19" i="1"/>
  <c r="F20" i="1" s="1"/>
  <c r="F46" i="1" s="1"/>
</calcChain>
</file>

<file path=xl/sharedStrings.xml><?xml version="1.0" encoding="utf-8"?>
<sst xmlns="http://schemas.openxmlformats.org/spreadsheetml/2006/main" count="118" uniqueCount="93">
  <si>
    <t>CANARA ROBECO SHORT DURATION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</si>
  <si>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</si>
  <si>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</si>
  <si>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</si>
  <si>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</si>
  <si>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</si>
  <si>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</si>
  <si>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</si>
  <si>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</si>
  <si>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Jul'23</t>
  </si>
  <si>
    <t>Benchmark Risk-o-meter Level- Jul'23</t>
  </si>
  <si>
    <t>Scheme Risk-o-meter Level- Jun'23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</si>
  <si>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</si>
  <si>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</si>
  <si>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</si>
  <si>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</si>
  <si>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</si>
  <si>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</si>
  <si>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</si>
  <si>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</si>
  <si>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</si>
  <si>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</si>
  <si>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</si>
  <si>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</si>
  <si>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</si>
  <si>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</si>
  <si>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</si>
  <si>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</si>
  <si>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</si>
  <si>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</si>
  <si>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</si>
  <si>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7.99% HDFC Bank Ltd (11/07/2024) **</t>
  </si>
  <si>
    <t>INE040A08609</t>
  </si>
  <si>
    <t>7.57% National Bank For Agriculture &amp; Rural Development (19/03/2026) **</t>
  </si>
  <si>
    <t>INE261F08DW2</t>
  </si>
  <si>
    <t>Relatively High (Class III)</t>
  </si>
  <si>
    <t>7.50% Grasim industries Ltd (10/06/2027) **</t>
  </si>
  <si>
    <t>INE047A08190</t>
  </si>
  <si>
    <t>5.84% Bajaj Housing Finance Ltd (21/02/2024) **</t>
  </si>
  <si>
    <t>INE377Y07292</t>
  </si>
  <si>
    <t>Benchmark: CRISIL Short Duration Debt B-II Index</t>
  </si>
  <si>
    <t>5.00% Kotak Mahindra Prime Ltd (20/12/2023) **</t>
  </si>
  <si>
    <t>INE916DA7QS2</t>
  </si>
  <si>
    <t>6.00% Bajaj Finance Ltd (10/09/2024) **</t>
  </si>
  <si>
    <t>INE296A07RK6</t>
  </si>
  <si>
    <t>Note: The risk-o-meter level of  the scheme is revised based on the Notice-cum-Addendum No.18., dated 07/08/2023. However, there is no change in the product labelling of the schemes.</t>
  </si>
  <si>
    <t>7.16% Power Finance Corporation Ltd (24/04/2025) **</t>
  </si>
  <si>
    <t>INE134E08KP3</t>
  </si>
  <si>
    <t>5.42% HDB Financial Services Ltd (17/01/2024) **</t>
  </si>
  <si>
    <t>INE756I07EA1</t>
  </si>
  <si>
    <t>7.42% Power Finance Corporation Ltd (19/11/2024) **</t>
  </si>
  <si>
    <t>INE134E08KH0</t>
  </si>
  <si>
    <t>Sub Total</t>
  </si>
  <si>
    <t>Total</t>
  </si>
  <si>
    <t>Money Market Instruments</t>
  </si>
  <si>
    <t>Certificate of Deposit</t>
  </si>
  <si>
    <t>Kotak Mahindra Bank Ltd (08/09/2023) ** #</t>
  </si>
  <si>
    <t>INE237A163Q9</t>
  </si>
  <si>
    <t>CRISIL A1+</t>
  </si>
  <si>
    <t>Axis Bank Ltd (14/02/2024) ** #</t>
  </si>
  <si>
    <t>INE238AD6348</t>
  </si>
  <si>
    <t>Commercial Paper</t>
  </si>
  <si>
    <t xml:space="preserve">Reliance Jio Infocomm Ltd (29/09/2023) ** </t>
  </si>
  <si>
    <t>INE110L14RD7</t>
  </si>
  <si>
    <t>CARE A1+</t>
  </si>
  <si>
    <t>Treasury Bill</t>
  </si>
  <si>
    <t>364 DAYS TREASURY BILLS 01-FEB-24</t>
  </si>
  <si>
    <t>IN002022Z440</t>
  </si>
  <si>
    <t xml:space="preserve"> Sovereign</t>
  </si>
  <si>
    <t>Government Bonds</t>
  </si>
  <si>
    <t>7.26% GOI 06-FEB-33</t>
  </si>
  <si>
    <t>IN0020220151</t>
  </si>
  <si>
    <t>Sovereign</t>
  </si>
  <si>
    <t>7.38% GOI 20-JUN-27</t>
  </si>
  <si>
    <t>IN0020220037</t>
  </si>
  <si>
    <t>7.06% GOI 2028 (10-APR-2028)</t>
  </si>
  <si>
    <t>IN0020230010</t>
  </si>
  <si>
    <t>5.63% INDIA GOVERNMENT 12-APR-26</t>
  </si>
  <si>
    <t>IN0020210012</t>
  </si>
  <si>
    <t>7.89% MAHARASHTRA SDL 08-JUN-32</t>
  </si>
  <si>
    <t>IN2220220098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</si>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</sst>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43" fontId="3" fillId="3" borderId="0" xfId="1" applyFont="1" applyFill="1"/>
    <xf numFmtId="0" fontId="10" fillId="5" borderId="0" xfId="0" applyFont="1" applyFill="1" applyAlignment="1">
      <alignment horizontal="left" wrapText="1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1" fillId="6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1" y="1129548"/>
          <a:ext cx="2078038" cy="1299327"/>
        </a:xfrm>
        <a:prstGeom prst="rect">
          <a:avLst/>
        </a:prstGeom>
      </xdr:spPr>
    </xdr:pic>
    <xdr:clientData/>
  </xdr:twoCellAnchor>
  <xdr:oneCellAnchor>
    <xdr:from>
      <xdr:col>11</xdr:col>
      <xdr:colOff>47625</xdr:colOff>
      <xdr:row>4</xdr:row>
      <xdr:rowOff>219075</xdr:rowOff>
    </xdr:from>
    <xdr:ext cx="2043114" cy="11525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4125" y="1228725"/>
          <a:ext cx="2043114" cy="1152525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9300" y="119062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abSelected="1" topLeftCell="A36" workbookViewId="0">
      <selection activeCell="J18" sqref="J18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2">
        <v>250</v>
      </c>
      <c r="F7" s="29">
        <v>2526.94</v>
      </c>
      <c r="G7" s="29">
        <v>5.24</v>
      </c>
      <c r="H7" s="29">
        <v>7.44</v>
      </c>
      <c r="J7" s="30"/>
      <c r="K7" s="30"/>
      <c r="L7" s="30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2">
        <v>250</v>
      </c>
      <c r="F8" s="29">
        <v>2520.52</v>
      </c>
      <c r="G8" s="29">
        <v>5.23</v>
      </c>
      <c r="H8" s="29">
        <v>7.23</v>
      </c>
      <c r="J8" s="30"/>
      <c r="K8" s="30"/>
      <c r="L8" s="30"/>
      <c r="N8" s="33"/>
      <c r="O8" s="35"/>
      <c r="P8" s="35"/>
      <c r="Q8" s="35"/>
    </row>
    <row r="9" spans="2:17">
      <c r="B9" s="27" t="s">
        <v>26</v>
      </c>
      <c r="C9" s="27" t="s">
        <v>27</v>
      </c>
      <c r="D9" s="27" t="s">
        <v>28</v>
      </c>
      <c r="E9" s="32">
        <v>250</v>
      </c>
      <c r="F9" s="29">
        <v>2508.0100000000002</v>
      </c>
      <c r="G9" s="29">
        <v>5.2</v>
      </c>
      <c r="H9" s="29">
        <v>7.57</v>
      </c>
      <c r="J9" s="30"/>
      <c r="K9" s="30"/>
      <c r="L9" s="30"/>
      <c r="N9" s="33" t="s">
        <v>29</v>
      </c>
      <c r="O9" s="34"/>
      <c r="P9" s="36" t="s">
        <v>30</v>
      </c>
      <c r="Q9" s="34"/>
    </row>
    <row r="10" spans="2:17">
      <c r="B10" s="27" t="s">
        <v>31</v>
      </c>
      <c r="C10" s="27" t="s">
        <v>32</v>
      </c>
      <c r="D10" s="27" t="s">
        <v>22</v>
      </c>
      <c r="E10" s="32">
        <v>250</v>
      </c>
      <c r="F10" s="29">
        <v>2507.17</v>
      </c>
      <c r="G10" s="29">
        <v>5.2</v>
      </c>
      <c r="H10" s="29">
        <v>7.63</v>
      </c>
      <c r="J10" s="30"/>
      <c r="K10" s="30"/>
      <c r="L10" s="30"/>
      <c r="N10" s="33"/>
      <c r="O10" s="35"/>
      <c r="P10" s="37"/>
      <c r="Q10" s="35"/>
    </row>
    <row r="11" spans="2:17">
      <c r="B11" s="27" t="s">
        <v>33</v>
      </c>
      <c r="C11" s="27" t="s">
        <v>34</v>
      </c>
      <c r="D11" s="27" t="s">
        <v>22</v>
      </c>
      <c r="E11" s="32">
        <v>2500</v>
      </c>
      <c r="F11" s="29">
        <v>2496.66</v>
      </c>
      <c r="G11" s="29">
        <v>5.18</v>
      </c>
      <c r="H11" s="29">
        <v>7.6</v>
      </c>
      <c r="J11" s="30"/>
      <c r="K11" s="30"/>
      <c r="L11" s="30"/>
      <c r="N11" s="33" t="s">
        <v>35</v>
      </c>
      <c r="O11" s="34"/>
      <c r="P11" s="34"/>
      <c r="Q11" s="34"/>
    </row>
    <row r="12" spans="2:17">
      <c r="B12" s="27" t="s">
        <v>36</v>
      </c>
      <c r="C12" s="27" t="s">
        <v>37</v>
      </c>
      <c r="D12" s="27" t="s">
        <v>22</v>
      </c>
      <c r="E12" s="32">
        <v>250</v>
      </c>
      <c r="F12" s="29">
        <v>2493.91</v>
      </c>
      <c r="G12" s="29">
        <v>5.18</v>
      </c>
      <c r="H12" s="29">
        <v>7.57</v>
      </c>
      <c r="J12" s="38"/>
      <c r="K12" s="38"/>
      <c r="L12" s="38"/>
      <c r="N12" s="33"/>
      <c r="O12" s="35"/>
      <c r="P12" s="35"/>
      <c r="Q12" s="35"/>
    </row>
    <row r="13" spans="2:17">
      <c r="B13" s="27" t="s">
        <v>38</v>
      </c>
      <c r="C13" s="27" t="s">
        <v>39</v>
      </c>
      <c r="D13" s="27" t="s">
        <v>22</v>
      </c>
      <c r="E13" s="32">
        <v>250</v>
      </c>
      <c r="F13" s="29">
        <v>2478.0100000000002</v>
      </c>
      <c r="G13" s="29">
        <v>5.14</v>
      </c>
      <c r="H13" s="29">
        <v>7.29</v>
      </c>
      <c r="J13" s="39"/>
      <c r="K13" s="39" t="s">
        <v>40</v>
      </c>
      <c r="L13" s="40"/>
    </row>
    <row r="14" spans="2:17">
      <c r="B14" s="27" t="s">
        <v>41</v>
      </c>
      <c r="C14" s="27" t="s">
        <v>42</v>
      </c>
      <c r="D14" s="27" t="s">
        <v>22</v>
      </c>
      <c r="E14" s="32">
        <v>250</v>
      </c>
      <c r="F14" s="29">
        <v>2475.94</v>
      </c>
      <c r="G14" s="29">
        <v>5.14</v>
      </c>
      <c r="H14" s="29">
        <v>7.34</v>
      </c>
      <c r="J14" s="40"/>
      <c r="K14" s="40"/>
      <c r="L14" s="40"/>
      <c r="M14" s="40"/>
    </row>
    <row r="15" spans="2:17">
      <c r="B15" s="27" t="s">
        <v>43</v>
      </c>
      <c r="C15" s="27" t="s">
        <v>44</v>
      </c>
      <c r="D15" s="27" t="s">
        <v>22</v>
      </c>
      <c r="E15" s="32">
        <v>250</v>
      </c>
      <c r="F15" s="29">
        <v>2454.71</v>
      </c>
      <c r="G15" s="29">
        <v>5.09</v>
      </c>
      <c r="H15" s="29">
        <v>7.74</v>
      </c>
      <c r="J15" s="41" t="s">
        <v>45</v>
      </c>
      <c r="K15" s="41"/>
      <c r="L15" s="41"/>
      <c r="M15" s="40"/>
    </row>
    <row r="16" spans="2:17">
      <c r="B16" s="27" t="s">
        <v>46</v>
      </c>
      <c r="C16" s="27" t="s">
        <v>47</v>
      </c>
      <c r="D16" s="27" t="s">
        <v>22</v>
      </c>
      <c r="E16" s="32">
        <v>200</v>
      </c>
      <c r="F16" s="29">
        <v>1988.32</v>
      </c>
      <c r="G16" s="29">
        <v>4.13</v>
      </c>
      <c r="H16" s="29">
        <v>7.5</v>
      </c>
      <c r="J16" s="41"/>
      <c r="K16" s="41"/>
      <c r="L16" s="41"/>
      <c r="M16" s="40"/>
    </row>
    <row r="17" spans="2:13">
      <c r="B17" s="27" t="s">
        <v>48</v>
      </c>
      <c r="C17" s="27" t="s">
        <v>49</v>
      </c>
      <c r="D17" s="27" t="s">
        <v>22</v>
      </c>
      <c r="E17" s="32">
        <v>150</v>
      </c>
      <c r="F17" s="29">
        <v>1484.66</v>
      </c>
      <c r="G17" s="29">
        <v>3.08</v>
      </c>
      <c r="H17" s="29">
        <v>7.49</v>
      </c>
      <c r="J17" s="41"/>
      <c r="K17" s="41"/>
      <c r="L17" s="41"/>
      <c r="M17" s="40"/>
    </row>
    <row r="18" spans="2:13">
      <c r="B18" s="27" t="s">
        <v>50</v>
      </c>
      <c r="C18" s="27" t="s">
        <v>51</v>
      </c>
      <c r="D18" s="27" t="s">
        <v>22</v>
      </c>
      <c r="E18" s="32">
        <v>100</v>
      </c>
      <c r="F18" s="29">
        <v>999.38</v>
      </c>
      <c r="G18" s="29">
        <v>2.0699999999999998</v>
      </c>
      <c r="H18" s="29">
        <v>7.43</v>
      </c>
      <c r="J18" s="40"/>
      <c r="K18" s="40"/>
      <c r="L18" s="40"/>
      <c r="M18" s="40"/>
    </row>
    <row r="19" spans="2:13">
      <c r="B19" s="42" t="s">
        <v>52</v>
      </c>
      <c r="C19" s="42"/>
      <c r="D19" s="42"/>
      <c r="E19" s="43"/>
      <c r="F19" s="44">
        <f>SUM(F6:F18)</f>
        <v>26934.23</v>
      </c>
      <c r="G19" s="44">
        <f>SUM(G6:G18)</f>
        <v>55.879999999999995</v>
      </c>
      <c r="H19" s="45"/>
      <c r="J19" s="40"/>
      <c r="K19" s="40"/>
      <c r="L19" s="40"/>
      <c r="M19" s="40"/>
    </row>
    <row r="20" spans="2:13">
      <c r="B20" s="46" t="s">
        <v>53</v>
      </c>
      <c r="C20" s="46"/>
      <c r="D20" s="46"/>
      <c r="E20" s="47"/>
      <c r="F20" s="48">
        <f>F19</f>
        <v>26934.23</v>
      </c>
      <c r="G20" s="48">
        <f>G19</f>
        <v>55.879999999999995</v>
      </c>
      <c r="H20" s="48"/>
      <c r="J20" s="40"/>
      <c r="K20" s="40"/>
      <c r="L20" s="40"/>
      <c r="M20" s="40"/>
    </row>
    <row r="21" spans="2:13">
      <c r="B21" s="26" t="s">
        <v>54</v>
      </c>
      <c r="C21" s="27"/>
      <c r="D21" s="27"/>
      <c r="E21" s="28"/>
      <c r="F21" s="29"/>
      <c r="G21" s="29"/>
      <c r="H21" s="29"/>
      <c r="J21" s="40"/>
      <c r="K21" s="40"/>
      <c r="L21" s="40"/>
      <c r="M21" s="40"/>
    </row>
    <row r="22" spans="2:13">
      <c r="B22" s="26" t="s">
        <v>55</v>
      </c>
      <c r="C22" s="27"/>
      <c r="D22" s="27"/>
      <c r="E22" s="28"/>
      <c r="F22" s="29"/>
      <c r="G22" s="29"/>
      <c r="H22" s="29"/>
      <c r="J22" s="40"/>
      <c r="K22" s="40"/>
      <c r="L22" s="40"/>
      <c r="M22" s="40"/>
    </row>
    <row r="23" spans="2:13">
      <c r="B23" s="27" t="s">
        <v>56</v>
      </c>
      <c r="C23" s="27" t="s">
        <v>57</v>
      </c>
      <c r="D23" s="27" t="s">
        <v>58</v>
      </c>
      <c r="E23" s="32">
        <v>500</v>
      </c>
      <c r="F23" s="29">
        <v>2482.42</v>
      </c>
      <c r="G23" s="29">
        <v>5.15</v>
      </c>
      <c r="H23" s="29">
        <v>6.8</v>
      </c>
      <c r="J23" s="40"/>
      <c r="K23" s="40"/>
      <c r="L23" s="40"/>
      <c r="M23" s="40"/>
    </row>
    <row r="24" spans="2:13">
      <c r="B24" s="27" t="s">
        <v>59</v>
      </c>
      <c r="C24" s="27" t="s">
        <v>60</v>
      </c>
      <c r="D24" s="27" t="s">
        <v>58</v>
      </c>
      <c r="E24" s="32">
        <v>500</v>
      </c>
      <c r="F24" s="29">
        <v>2406.52</v>
      </c>
      <c r="G24" s="29">
        <v>4.99</v>
      </c>
      <c r="H24" s="29">
        <v>7.2</v>
      </c>
      <c r="J24" s="40"/>
      <c r="K24" s="40"/>
      <c r="L24" s="40"/>
      <c r="M24" s="40"/>
    </row>
    <row r="25" spans="2:13">
      <c r="B25" s="26" t="s">
        <v>52</v>
      </c>
      <c r="C25" s="26"/>
      <c r="D25" s="26"/>
      <c r="E25" s="49"/>
      <c r="F25" s="50">
        <f>SUM(F22:F24)</f>
        <v>4888.9400000000005</v>
      </c>
      <c r="G25" s="50">
        <f>SUM(G22:G24)</f>
        <v>10.14</v>
      </c>
      <c r="H25" s="51"/>
      <c r="J25" s="40"/>
      <c r="K25" s="40"/>
      <c r="L25" s="40"/>
      <c r="M25" s="40"/>
    </row>
    <row r="26" spans="2:13">
      <c r="B26" s="26" t="s">
        <v>61</v>
      </c>
      <c r="C26" s="27"/>
      <c r="D26" s="27"/>
      <c r="E26" s="28"/>
      <c r="F26" s="29"/>
      <c r="G26" s="29"/>
      <c r="H26" s="29"/>
      <c r="J26" s="40"/>
      <c r="K26" s="40"/>
      <c r="L26" s="40"/>
      <c r="M26" s="40"/>
    </row>
    <row r="27" spans="2:13">
      <c r="B27" s="27" t="s">
        <v>62</v>
      </c>
      <c r="C27" s="27" t="s">
        <v>63</v>
      </c>
      <c r="D27" s="27" t="s">
        <v>64</v>
      </c>
      <c r="E27" s="32">
        <v>500</v>
      </c>
      <c r="F27" s="29">
        <v>2472.56</v>
      </c>
      <c r="G27" s="29">
        <v>5.13</v>
      </c>
      <c r="H27" s="29">
        <v>6.87</v>
      </c>
      <c r="J27" s="40"/>
      <c r="K27" s="40"/>
      <c r="L27" s="40"/>
      <c r="M27" s="40"/>
    </row>
    <row r="28" spans="2:13">
      <c r="B28" s="26" t="s">
        <v>52</v>
      </c>
      <c r="C28" s="26"/>
      <c r="D28" s="26"/>
      <c r="E28" s="49"/>
      <c r="F28" s="50">
        <f>SUM(F26:F27)</f>
        <v>2472.56</v>
      </c>
      <c r="G28" s="50">
        <f>SUM(G26:G27)</f>
        <v>5.13</v>
      </c>
      <c r="H28" s="51"/>
      <c r="J28" s="40"/>
      <c r="K28" s="40"/>
      <c r="L28" s="40"/>
      <c r="M28" s="40"/>
    </row>
    <row r="29" spans="2:13">
      <c r="B29" s="26" t="s">
        <v>65</v>
      </c>
      <c r="C29" s="27"/>
      <c r="D29" s="27"/>
      <c r="E29" s="28"/>
      <c r="F29" s="29"/>
      <c r="G29" s="29"/>
      <c r="H29" s="29"/>
      <c r="J29" s="40"/>
      <c r="K29" s="40"/>
      <c r="L29" s="40"/>
      <c r="M29" s="40"/>
    </row>
    <row r="30" spans="2:13">
      <c r="B30" s="27" t="s">
        <v>66</v>
      </c>
      <c r="C30" s="27" t="s">
        <v>67</v>
      </c>
      <c r="D30" s="27" t="s">
        <v>68</v>
      </c>
      <c r="E30" s="32">
        <v>250000</v>
      </c>
      <c r="F30" s="29">
        <v>241.66</v>
      </c>
      <c r="G30" s="29">
        <v>0.5</v>
      </c>
      <c r="H30" s="29">
        <v>6.85</v>
      </c>
      <c r="J30" s="40"/>
      <c r="K30" s="40"/>
      <c r="L30" s="40"/>
      <c r="M30" s="40"/>
    </row>
    <row r="31" spans="2:13">
      <c r="B31" s="42" t="s">
        <v>52</v>
      </c>
      <c r="C31" s="42"/>
      <c r="D31" s="42"/>
      <c r="E31" s="43"/>
      <c r="F31" s="44">
        <f>SUM(F29:F30)</f>
        <v>241.66</v>
      </c>
      <c r="G31" s="44">
        <f>SUM(G29:G30)</f>
        <v>0.5</v>
      </c>
      <c r="H31" s="45"/>
      <c r="J31" s="40"/>
      <c r="K31" s="40"/>
      <c r="L31" s="40"/>
      <c r="M31" s="40"/>
    </row>
    <row r="32" spans="2:13">
      <c r="B32" s="46" t="s">
        <v>53</v>
      </c>
      <c r="C32" s="46"/>
      <c r="D32" s="46"/>
      <c r="E32" s="47"/>
      <c r="F32" s="48">
        <f>F25+F28+F31</f>
        <v>7603.16</v>
      </c>
      <c r="G32" s="48">
        <f>G25+G28+G31</f>
        <v>15.77</v>
      </c>
      <c r="H32" s="48"/>
      <c r="J32" s="40"/>
      <c r="K32" s="40"/>
      <c r="L32" s="40"/>
      <c r="M32" s="40"/>
    </row>
    <row r="33" spans="2:13">
      <c r="B33" s="26" t="s">
        <v>69</v>
      </c>
      <c r="C33" s="27"/>
      <c r="D33" s="27"/>
      <c r="E33" s="28"/>
      <c r="F33" s="29"/>
      <c r="G33" s="29"/>
      <c r="H33" s="29"/>
      <c r="J33" s="40"/>
      <c r="K33" s="40"/>
      <c r="L33" s="40"/>
      <c r="M33" s="40"/>
    </row>
    <row r="34" spans="2:13">
      <c r="B34" s="27" t="s">
        <v>70</v>
      </c>
      <c r="C34" s="27" t="s">
        <v>71</v>
      </c>
      <c r="D34" s="27" t="s">
        <v>72</v>
      </c>
      <c r="E34" s="32">
        <v>3500000</v>
      </c>
      <c r="F34" s="29">
        <v>3520.85</v>
      </c>
      <c r="G34" s="29">
        <v>7.31</v>
      </c>
      <c r="H34" s="29">
        <v>7.3</v>
      </c>
      <c r="J34" s="40"/>
      <c r="K34" s="40"/>
      <c r="L34" s="40"/>
      <c r="M34" s="40"/>
    </row>
    <row r="35" spans="2:13">
      <c r="B35" s="27" t="s">
        <v>73</v>
      </c>
      <c r="C35" s="27" t="s">
        <v>74</v>
      </c>
      <c r="D35" s="27" t="s">
        <v>72</v>
      </c>
      <c r="E35" s="32">
        <v>2500000</v>
      </c>
      <c r="F35" s="29">
        <v>2518.17</v>
      </c>
      <c r="G35" s="29">
        <v>5.23</v>
      </c>
      <c r="H35" s="29">
        <v>7.29</v>
      </c>
      <c r="J35" s="40"/>
      <c r="K35" s="40"/>
      <c r="L35" s="40"/>
      <c r="M35" s="40"/>
    </row>
    <row r="36" spans="2:13">
      <c r="B36" s="27" t="s">
        <v>75</v>
      </c>
      <c r="C36" s="27" t="s">
        <v>76</v>
      </c>
      <c r="D36" s="27" t="s">
        <v>72</v>
      </c>
      <c r="E36" s="32">
        <v>2500000</v>
      </c>
      <c r="F36" s="29">
        <v>2490.19</v>
      </c>
      <c r="G36" s="29">
        <v>5.17</v>
      </c>
      <c r="H36" s="29">
        <v>7.28</v>
      </c>
      <c r="J36" s="40"/>
      <c r="K36" s="40"/>
      <c r="L36" s="40"/>
      <c r="M36" s="40"/>
    </row>
    <row r="37" spans="2:13">
      <c r="B37" s="27" t="s">
        <v>77</v>
      </c>
      <c r="C37" s="27" t="s">
        <v>78</v>
      </c>
      <c r="D37" s="27" t="s">
        <v>72</v>
      </c>
      <c r="E37" s="32">
        <v>1500000</v>
      </c>
      <c r="F37" s="29">
        <v>1445.85</v>
      </c>
      <c r="G37" s="29">
        <v>3</v>
      </c>
      <c r="H37" s="29">
        <v>7.25</v>
      </c>
      <c r="J37" s="40"/>
      <c r="K37" s="40"/>
      <c r="L37" s="40"/>
      <c r="M37" s="40"/>
    </row>
    <row r="38" spans="2:13">
      <c r="B38" s="27" t="s">
        <v>79</v>
      </c>
      <c r="C38" s="27" t="s">
        <v>80</v>
      </c>
      <c r="D38" s="27" t="s">
        <v>72</v>
      </c>
      <c r="E38" s="32">
        <v>1000000</v>
      </c>
      <c r="F38" s="29">
        <v>1027.49</v>
      </c>
      <c r="G38" s="29">
        <v>2.13</v>
      </c>
      <c r="H38" s="29">
        <v>7.6</v>
      </c>
      <c r="J38" s="40"/>
      <c r="K38" s="40"/>
      <c r="L38" s="40"/>
      <c r="M38" s="40"/>
    </row>
    <row r="39" spans="2:13">
      <c r="B39" s="27" t="s">
        <v>81</v>
      </c>
      <c r="C39" s="27" t="s">
        <v>82</v>
      </c>
      <c r="D39" s="27" t="s">
        <v>72</v>
      </c>
      <c r="E39" s="32">
        <v>500000</v>
      </c>
      <c r="F39" s="29">
        <v>503.15</v>
      </c>
      <c r="G39" s="29">
        <v>1.04</v>
      </c>
      <c r="H39" s="29">
        <v>7.48</v>
      </c>
      <c r="J39" s="40"/>
      <c r="K39" s="40"/>
      <c r="L39" s="40"/>
      <c r="M39" s="40"/>
    </row>
    <row r="40" spans="2:13">
      <c r="B40" s="52" t="s">
        <v>83</v>
      </c>
      <c r="C40" s="52" t="s">
        <v>84</v>
      </c>
      <c r="D40" s="52" t="s">
        <v>72</v>
      </c>
      <c r="E40" s="53">
        <v>28300</v>
      </c>
      <c r="F40" s="54">
        <v>28.76</v>
      </c>
      <c r="G40" s="54">
        <v>0.06</v>
      </c>
      <c r="H40" s="54">
        <v>7.47</v>
      </c>
      <c r="J40" s="40"/>
      <c r="K40" s="40"/>
      <c r="L40" s="40"/>
      <c r="M40" s="40"/>
    </row>
    <row r="41" spans="2:13">
      <c r="B41" s="55" t="s">
        <v>53</v>
      </c>
      <c r="C41" s="55"/>
      <c r="D41" s="55"/>
      <c r="E41" s="56"/>
      <c r="F41" s="50">
        <f>SUM(F34:F40)</f>
        <v>11534.460000000001</v>
      </c>
      <c r="G41" s="50">
        <f>SUM(G34:G40)</f>
        <v>23.939999999999998</v>
      </c>
      <c r="H41" s="50"/>
      <c r="J41" s="40"/>
      <c r="K41" s="40"/>
      <c r="L41" s="40"/>
      <c r="M41" s="40"/>
    </row>
    <row r="42" spans="2:13">
      <c r="B42" s="26" t="s">
        <v>85</v>
      </c>
      <c r="C42" s="27"/>
      <c r="D42" s="27"/>
      <c r="E42" s="28"/>
      <c r="F42" s="29"/>
      <c r="G42" s="29"/>
      <c r="H42" s="29"/>
      <c r="J42" s="40"/>
      <c r="K42" s="40"/>
      <c r="L42" s="40"/>
      <c r="M42" s="40"/>
    </row>
    <row r="43" spans="2:13">
      <c r="B43" s="27" t="s">
        <v>85</v>
      </c>
      <c r="C43" s="27"/>
      <c r="D43" s="27"/>
      <c r="E43" s="28"/>
      <c r="F43" s="29">
        <v>616.23</v>
      </c>
      <c r="G43" s="29">
        <v>1.28</v>
      </c>
      <c r="H43" s="29"/>
      <c r="J43" s="40"/>
      <c r="K43" s="40"/>
      <c r="L43" s="40"/>
      <c r="M43" s="40"/>
    </row>
    <row r="44" spans="2:13">
      <c r="B44" s="42" t="s">
        <v>52</v>
      </c>
      <c r="C44" s="42"/>
      <c r="D44" s="42"/>
      <c r="E44" s="43"/>
      <c r="F44" s="44">
        <f>SUM(F42:F43)</f>
        <v>616.23</v>
      </c>
      <c r="G44" s="44">
        <f>SUM(G42:G43)</f>
        <v>1.28</v>
      </c>
      <c r="H44" s="45"/>
      <c r="J44" s="40"/>
      <c r="K44" s="40"/>
      <c r="L44" s="40"/>
      <c r="M44" s="40"/>
    </row>
    <row r="45" spans="2:13">
      <c r="B45" s="57" t="s">
        <v>53</v>
      </c>
      <c r="C45" s="57"/>
      <c r="D45" s="57"/>
      <c r="E45" s="58"/>
      <c r="F45" s="59">
        <f>F44</f>
        <v>616.23</v>
      </c>
      <c r="G45" s="59">
        <f>G44</f>
        <v>1.28</v>
      </c>
      <c r="H45" s="59"/>
      <c r="J45" s="40"/>
      <c r="K45" s="40"/>
      <c r="L45" s="40"/>
      <c r="M45" s="40"/>
    </row>
    <row r="46" spans="2:13">
      <c r="B46" s="60" t="s">
        <v>86</v>
      </c>
      <c r="C46" s="60"/>
      <c r="D46" s="60"/>
      <c r="E46" s="61"/>
      <c r="F46" s="62">
        <f>F47-(+F20+F32+F41+F45)</f>
        <v>1501.8099999999977</v>
      </c>
      <c r="G46" s="62">
        <f>G47-(+G20+G32+G41+G45)</f>
        <v>3.1300000000000097</v>
      </c>
      <c r="H46" s="62"/>
      <c r="J46" s="40"/>
      <c r="K46" s="40"/>
      <c r="L46" s="40"/>
      <c r="M46" s="40"/>
    </row>
    <row r="47" spans="2:13">
      <c r="B47" s="60" t="s">
        <v>87</v>
      </c>
      <c r="C47" s="60"/>
      <c r="D47" s="60"/>
      <c r="E47" s="61"/>
      <c r="F47" s="62">
        <v>48189.89</v>
      </c>
      <c r="G47" s="62">
        <v>100</v>
      </c>
      <c r="H47" s="62"/>
      <c r="J47" s="40"/>
      <c r="K47" s="40"/>
      <c r="L47" s="40"/>
      <c r="M47" s="40"/>
    </row>
    <row r="48" spans="2:13">
      <c r="J48" s="40"/>
      <c r="K48" s="40"/>
      <c r="L48" s="40"/>
      <c r="M48" s="40"/>
    </row>
    <row r="49" spans="2:13">
      <c r="B49" s="64" t="s">
        <v>88</v>
      </c>
      <c r="J49" s="40"/>
      <c r="K49" s="40"/>
      <c r="L49" s="40"/>
      <c r="M49" s="40"/>
    </row>
    <row r="50" spans="2:13">
      <c r="B50" s="64" t="s">
        <v>89</v>
      </c>
      <c r="J50" s="40"/>
      <c r="K50" s="40"/>
      <c r="L50" s="40"/>
      <c r="M50" s="40"/>
    </row>
    <row r="51" spans="2:13" ht="12.75" thickBot="1">
      <c r="J51" s="40"/>
      <c r="K51" s="40"/>
      <c r="L51" s="40"/>
      <c r="M51" s="40"/>
    </row>
    <row r="52" spans="2:13" ht="13.5" thickTop="1" thickBot="1">
      <c r="B52" s="65" t="s">
        <v>90</v>
      </c>
      <c r="C52" s="66">
        <v>1.8584000000000001</v>
      </c>
      <c r="J52" s="40"/>
      <c r="K52" s="40"/>
      <c r="L52" s="40"/>
    </row>
    <row r="53" spans="2:13" ht="13.5" thickTop="1" thickBot="1">
      <c r="J53" s="40"/>
      <c r="K53" s="40"/>
      <c r="L53" s="40"/>
    </row>
    <row r="54" spans="2:13" ht="13.5" thickTop="1" thickBot="1">
      <c r="B54" s="65" t="s">
        <v>91</v>
      </c>
      <c r="C54" s="67">
        <v>7.3099999999999998E-2</v>
      </c>
      <c r="J54" s="40"/>
      <c r="K54" s="40"/>
      <c r="L54" s="40"/>
    </row>
    <row r="55" spans="2:13" ht="13.5" thickTop="1" thickBot="1">
      <c r="J55" s="40"/>
      <c r="K55" s="40"/>
      <c r="L55" s="40"/>
    </row>
    <row r="56" spans="2:13" ht="13.5" thickTop="1" thickBot="1">
      <c r="B56" s="65" t="s">
        <v>92</v>
      </c>
      <c r="C56" s="66">
        <v>2.0257999999999998</v>
      </c>
      <c r="J56" s="40"/>
      <c r="K56" s="40"/>
      <c r="L56" s="40"/>
    </row>
    <row r="57" spans="2:13" ht="12.75" thickTop="1">
      <c r="J57" s="40"/>
      <c r="K57" s="40"/>
      <c r="L57" s="40"/>
    </row>
    <row r="58" spans="2:13">
      <c r="J58" s="40"/>
      <c r="K58" s="40"/>
      <c r="L58" s="40"/>
    </row>
    <row r="59" spans="2:13">
      <c r="J59" s="40"/>
      <c r="K59" s="40"/>
      <c r="L59" s="40"/>
    </row>
    <row r="60" spans="2:13">
      <c r="J60" s="40"/>
      <c r="K60" s="40"/>
      <c r="L60" s="40"/>
    </row>
    <row r="61" spans="2:13">
      <c r="J61" s="40"/>
      <c r="K61" s="40"/>
      <c r="L61" s="40"/>
    </row>
    <row r="62" spans="2:13">
      <c r="J62" s="40"/>
      <c r="K62" s="40"/>
      <c r="L62" s="40"/>
    </row>
    <row r="63" spans="2:13">
      <c r="J63" s="40"/>
      <c r="K63" s="40"/>
      <c r="L63" s="40"/>
    </row>
  </sheetData>
  <mergeCells count="21">
    <mergeCell ref="N11:N12"/>
    <mergeCell ref="O11:O12"/>
    <mergeCell ref="P11:P12"/>
    <mergeCell ref="Q11:Q12"/>
    <mergeCell ref="J15:L17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11:35:30</KDate>
  <Classification>Public</Classification>
  <Subclassification/>
  <HostName>MUMCMP00935</HostName>
  <Domain_User>CANARAROBECOMF/628</Domain_User>
  <IPAdd>192.9.198.194</IPAdd>
  <FilePath>Book21</FilePath>
  <KID>C025A5607E97638270913300573685</KID>
  <UniqueName/>
  <Suggested/>
  <Justification/>
</Klassify>
</file>

<file path=customXml/itemProps1.xml><?xml version="1.0" encoding="utf-8"?>
<ds:datastoreItem xmlns:ds="http://schemas.openxmlformats.org/officeDocument/2006/customXml" ds:itemID="{E6D121EB-E347-49ED-B434-49B0EB640A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2023-08-08T06:05:24Z</dcterms:created>
  <dcterms:modified xsi:type="dcterms:W3CDTF">2023-08-08T06:05:30Z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C025A5607E97638270913300573685</vt:lpwstr>
  </property>
</Properties>
</file>