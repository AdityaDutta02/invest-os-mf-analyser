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FR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1" l="1"/>
  <c r="G46" i="1" s="1"/>
  <c r="F45" i="1"/>
  <c r="F46" i="1" s="1"/>
  <c r="G42" i="1"/>
  <c r="F42" i="1"/>
  <c r="G37" i="1"/>
  <c r="F37" i="1"/>
  <c r="G34" i="1"/>
  <c r="G38" i="1" s="1"/>
  <c r="F34" i="1"/>
  <c r="F38" i="1" s="1"/>
  <c r="G24" i="1"/>
  <c r="G25" i="1" s="1"/>
  <c r="F24" i="1"/>
  <c r="F25" i="1" s="1"/>
  <c r="F47" i="1" s="1"/>
  <c r="G47" i="1" l="1"/>
</calcChain>
</file>

<file path=xl/sharedStrings.xml><?xml version="1.0" encoding="utf-8"?>
<sst xmlns="http://schemas.openxmlformats.org/spreadsheetml/2006/main" count="124" uniqueCount="99">
  <si>
    <t>CANARA ROBECO SAVINGS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</si>
  <si>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</si>
  <si>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</si>
  <si>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</si>
  <si>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</si>
  <si>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</si>
  <si>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</si>
  <si>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</si>
  <si>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</si>
  <si>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Aug'23</t>
  </si>
  <si>
    <t>Benchmark Risk-o-meter Level- Aug'23</t>
  </si>
  <si>
    <t>Scheme Risk-o-meter Level- Jul'23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</si>
  <si>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</si>
  <si>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</si>
  <si>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</si>
  <si>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</si>
  <si>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</si>
  <si>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</si>
  <si>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</si>
  <si>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</si>
  <si>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7.99% HDFC Bank Ltd (11/07/2024) **</t>
  </si>
  <si>
    <t>INE040A08609</t>
  </si>
  <si>
    <t>CRISIL AAA</t>
  </si>
  <si>
    <t>Relatively Low (Class I)</t>
  </si>
  <si>
    <t>B-I</t>
  </si>
  <si>
    <t>7.96% HDB Financial Services Ltd (17/11/2025) **</t>
  </si>
  <si>
    <t>INE756I07EM6</t>
  </si>
  <si>
    <t>CARE AAA</t>
  </si>
  <si>
    <t>7.8779% KOTAK MAHINDRA PRIME LTD 20-MAY-25 **</t>
  </si>
  <si>
    <t>INE916DA7SC2</t>
  </si>
  <si>
    <t>Moderate 
(Class II)</t>
  </si>
  <si>
    <t>7.42% Power Finance Corporation Ltd (19/11/2024) **</t>
  </si>
  <si>
    <t>INE134E08KH0</t>
  </si>
  <si>
    <t>7.59% Small Industries Development Bank Of India (10/02/2026) **</t>
  </si>
  <si>
    <t>INE556F08KG3</t>
  </si>
  <si>
    <t>Relatively High (Class III)</t>
  </si>
  <si>
    <t>7.70% HDB Financial Services Ltd (11/08/2025) **</t>
  </si>
  <si>
    <t>INE756I07EG8</t>
  </si>
  <si>
    <t>7.25% National Bank For Agriculture &amp; Rural Development (01/08/2025) **</t>
  </si>
  <si>
    <t>INE261F08DQ4</t>
  </si>
  <si>
    <t>Benchmark: CRISIL Low Duration Debt B-I Index</t>
  </si>
  <si>
    <t>7.38% LIC Housing Finance Ltd (18/08/2025) **</t>
  </si>
  <si>
    <t>INE115A07PZ0</t>
  </si>
  <si>
    <t>7.42% Bajaj Housing Finance Ltd (12/08/2025) **</t>
  </si>
  <si>
    <t>INE377Y07334</t>
  </si>
  <si>
    <t>5.72% LIC Housing Finance Ltd (22/02/2024)</t>
  </si>
  <si>
    <t>INE115A07PB1</t>
  </si>
  <si>
    <t>5.96% National Bank For Agriculture &amp; Rural Development (06/02/2025) **</t>
  </si>
  <si>
    <t>INE261F08DM3</t>
  </si>
  <si>
    <t>ICRA AAA</t>
  </si>
  <si>
    <t>5.59% Small Industries Development Bank Of India (21/02/2025) **</t>
  </si>
  <si>
    <t>INE556F08JU6</t>
  </si>
  <si>
    <t>5.23% National Bank For Agriculture &amp; Rural Development (31/01/2025) **</t>
  </si>
  <si>
    <t>INE261F08DI1</t>
  </si>
  <si>
    <t>5.94% REC Ltd (31/01/2026) **</t>
  </si>
  <si>
    <t>INE020B08DK6</t>
  </si>
  <si>
    <t>7.11% Small Industries Development Bank Of India (27/02/2026) **</t>
  </si>
  <si>
    <t>INE556F08KB4</t>
  </si>
  <si>
    <t>7.9237% BAJAJ HOUSING FINANCE LTD 16-MAR-26</t>
  </si>
  <si>
    <t>INE377Y07375</t>
  </si>
  <si>
    <t>8.90% Bajaj Finance Ltd (20/08/2025) **</t>
  </si>
  <si>
    <t>INE296A07HW2</t>
  </si>
  <si>
    <t>Sub Total</t>
  </si>
  <si>
    <t>Total</t>
  </si>
  <si>
    <t>Money Market Instruments</t>
  </si>
  <si>
    <t>Certificate of Deposit</t>
  </si>
  <si>
    <t>Indian Bank (03/10/2023) ** #</t>
  </si>
  <si>
    <t>INE562A16MA4</t>
  </si>
  <si>
    <t>CRISIL A1+</t>
  </si>
  <si>
    <t>Axis Bank Ltd (11/03/2024) ** #</t>
  </si>
  <si>
    <t>INE238AD6496</t>
  </si>
  <si>
    <t>Bank of Baroda (30/11/2023) #</t>
  </si>
  <si>
    <t>INE028A16CZ4</t>
  </si>
  <si>
    <t>IND A1+</t>
  </si>
  <si>
    <t>ICICI Bank Ltd (30/11/2023) ** #</t>
  </si>
  <si>
    <t>INE090A160Z2</t>
  </si>
  <si>
    <t>ICRA A1+</t>
  </si>
  <si>
    <t>Axis Bank Ltd (19/01/2024) ** #</t>
  </si>
  <si>
    <t>INE238AD6306</t>
  </si>
  <si>
    <t>Export-Import Bank Of India (14/03/2024) ** #</t>
  </si>
  <si>
    <t>INE514E16CE0</t>
  </si>
  <si>
    <t>Treasury Bill</t>
  </si>
  <si>
    <t>91 DTB (02-NOV-2023)</t>
  </si>
  <si>
    <t>IN002023X187</t>
  </si>
  <si>
    <t xml:space="preserve"> Sovereign</t>
  </si>
  <si>
    <t>Government Bonds</t>
  </si>
  <si>
    <t>0.00% GOI 19-SEP-26</t>
  </si>
  <si>
    <t>IN000926C047</t>
  </si>
  <si>
    <t>Sovereign</t>
  </si>
  <si>
    <t>GOI FRB 2033 (22-SEP-2033)</t>
  </si>
  <si>
    <t>IN0020200120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</si>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</sst>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4</xdr:row>
      <xdr:rowOff>266699</xdr:rowOff>
    </xdr:from>
    <xdr:ext cx="1846201" cy="1129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0275" y="1276349"/>
          <a:ext cx="1846201" cy="1129875"/>
        </a:xfrm>
        <a:prstGeom prst="rect">
          <a:avLst/>
        </a:prstGeom>
      </xdr:spPr>
    </xdr:pic>
    <xdr:clientData/>
  </xdr:oneCellAnchor>
  <xdr:twoCellAnchor editAs="oneCell">
    <xdr:from>
      <xdr:col>10</xdr:col>
      <xdr:colOff>145599</xdr:colOff>
      <xdr:row>4</xdr:row>
      <xdr:rowOff>228601</xdr:rowOff>
    </xdr:from>
    <xdr:to>
      <xdr:col>10</xdr:col>
      <xdr:colOff>2063537</xdr:colOff>
      <xdr:row>10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6124" y="1238251"/>
          <a:ext cx="1917938" cy="1200149"/>
        </a:xfrm>
        <a:prstGeom prst="rect">
          <a:avLst/>
        </a:prstGeom>
      </xdr:spPr>
    </xdr:pic>
    <xdr:clientData/>
  </xdr:twoCellAnchor>
  <xdr:oneCellAnchor>
    <xdr:from>
      <xdr:col>11</xdr:col>
      <xdr:colOff>123824</xdr:colOff>
      <xdr:row>4</xdr:row>
      <xdr:rowOff>209550</xdr:rowOff>
    </xdr:from>
    <xdr:ext cx="1838326" cy="12001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199" y="1219200"/>
          <a:ext cx="1838326" cy="1200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3"/>
  <sheetViews>
    <sheetView tabSelected="1" topLeftCell="C1" workbookViewId="0">
      <selection activeCell="B1" sqref="B1:H1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9.85546875" style="61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>
      <c r="B7" s="27" t="s">
        <v>20</v>
      </c>
      <c r="C7" s="27" t="s">
        <v>21</v>
      </c>
      <c r="D7" s="27" t="s">
        <v>22</v>
      </c>
      <c r="E7" s="31">
        <v>600</v>
      </c>
      <c r="F7" s="29">
        <v>6007.55</v>
      </c>
      <c r="G7" s="29">
        <v>6.5</v>
      </c>
      <c r="H7" s="29">
        <v>7.75</v>
      </c>
      <c r="J7" s="23"/>
      <c r="K7" s="23"/>
      <c r="L7" s="23"/>
      <c r="M7" s="32"/>
      <c r="N7" s="33" t="s">
        <v>23</v>
      </c>
      <c r="O7" s="34"/>
      <c r="P7" s="35" t="s">
        <v>24</v>
      </c>
      <c r="Q7" s="34"/>
    </row>
    <row r="8" spans="2:17">
      <c r="B8" s="27" t="s">
        <v>25</v>
      </c>
      <c r="C8" s="27" t="s">
        <v>26</v>
      </c>
      <c r="D8" s="27" t="s">
        <v>27</v>
      </c>
      <c r="E8" s="31">
        <v>250</v>
      </c>
      <c r="F8" s="29">
        <v>2501.1799999999998</v>
      </c>
      <c r="G8" s="29">
        <v>2.7</v>
      </c>
      <c r="H8" s="29">
        <v>7.91</v>
      </c>
      <c r="J8" s="23"/>
      <c r="K8" s="23"/>
      <c r="L8" s="23"/>
      <c r="M8" s="32"/>
      <c r="N8" s="33"/>
      <c r="O8" s="36"/>
      <c r="P8" s="37"/>
      <c r="Q8" s="36"/>
    </row>
    <row r="9" spans="2:17">
      <c r="B9" s="27" t="s">
        <v>28</v>
      </c>
      <c r="C9" s="27" t="s">
        <v>29</v>
      </c>
      <c r="D9" s="27" t="s">
        <v>22</v>
      </c>
      <c r="E9" s="31">
        <v>2500</v>
      </c>
      <c r="F9" s="29">
        <v>2498.2199999999998</v>
      </c>
      <c r="G9" s="29">
        <v>2.7</v>
      </c>
      <c r="H9" s="29">
        <v>7.89</v>
      </c>
      <c r="J9" s="23"/>
      <c r="K9" s="23"/>
      <c r="L9" s="23"/>
      <c r="M9" s="32"/>
      <c r="N9" s="33" t="s">
        <v>30</v>
      </c>
      <c r="O9" s="34"/>
      <c r="P9" s="34"/>
      <c r="Q9" s="34"/>
    </row>
    <row r="10" spans="2:17">
      <c r="B10" s="27" t="s">
        <v>31</v>
      </c>
      <c r="C10" s="27" t="s">
        <v>32</v>
      </c>
      <c r="D10" s="27" t="s">
        <v>22</v>
      </c>
      <c r="E10" s="31">
        <v>250</v>
      </c>
      <c r="F10" s="29">
        <v>2497.3200000000002</v>
      </c>
      <c r="G10" s="29">
        <v>2.7</v>
      </c>
      <c r="H10" s="29">
        <v>7.48</v>
      </c>
      <c r="J10" s="23"/>
      <c r="K10" s="23"/>
      <c r="L10" s="23"/>
      <c r="M10" s="32"/>
      <c r="N10" s="33"/>
      <c r="O10" s="36"/>
      <c r="P10" s="36"/>
      <c r="Q10" s="36"/>
    </row>
    <row r="11" spans="2:17">
      <c r="B11" s="27" t="s">
        <v>33</v>
      </c>
      <c r="C11" s="27" t="s">
        <v>34</v>
      </c>
      <c r="D11" s="27" t="s">
        <v>22</v>
      </c>
      <c r="E11" s="31">
        <v>2500</v>
      </c>
      <c r="F11" s="29">
        <v>2495.73</v>
      </c>
      <c r="G11" s="29">
        <v>2.7</v>
      </c>
      <c r="H11" s="29">
        <v>7.65</v>
      </c>
      <c r="J11" s="23"/>
      <c r="K11" s="23"/>
      <c r="L11" s="23"/>
      <c r="M11" s="32"/>
      <c r="N11" s="33" t="s">
        <v>35</v>
      </c>
      <c r="O11" s="34"/>
      <c r="P11" s="34"/>
      <c r="Q11" s="34"/>
    </row>
    <row r="12" spans="2:17">
      <c r="B12" s="27" t="s">
        <v>36</v>
      </c>
      <c r="C12" s="27" t="s">
        <v>37</v>
      </c>
      <c r="D12" s="27" t="s">
        <v>27</v>
      </c>
      <c r="E12" s="31">
        <v>250</v>
      </c>
      <c r="F12" s="29">
        <v>2491.14</v>
      </c>
      <c r="G12" s="29">
        <v>2.69</v>
      </c>
      <c r="H12" s="29">
        <v>7.9</v>
      </c>
      <c r="J12" s="23"/>
      <c r="K12" s="23"/>
      <c r="L12" s="23"/>
      <c r="M12" s="32"/>
      <c r="N12" s="33"/>
      <c r="O12" s="36"/>
      <c r="P12" s="36"/>
      <c r="Q12" s="36"/>
    </row>
    <row r="13" spans="2:17">
      <c r="B13" s="27" t="s">
        <v>38</v>
      </c>
      <c r="C13" s="27" t="s">
        <v>39</v>
      </c>
      <c r="D13" s="27" t="s">
        <v>22</v>
      </c>
      <c r="E13" s="31">
        <v>250</v>
      </c>
      <c r="F13" s="29">
        <v>2484.42</v>
      </c>
      <c r="G13" s="29">
        <v>2.69</v>
      </c>
      <c r="H13" s="29">
        <v>7.6</v>
      </c>
      <c r="J13" s="38"/>
      <c r="K13" s="3" t="s">
        <v>40</v>
      </c>
      <c r="L13" s="32"/>
      <c r="M13" s="32"/>
    </row>
    <row r="14" spans="2:17">
      <c r="B14" s="27" t="s">
        <v>41</v>
      </c>
      <c r="C14" s="27" t="s">
        <v>42</v>
      </c>
      <c r="D14" s="27" t="s">
        <v>22</v>
      </c>
      <c r="E14" s="31">
        <v>250</v>
      </c>
      <c r="F14" s="29">
        <v>2483.2800000000002</v>
      </c>
      <c r="G14" s="29">
        <v>2.69</v>
      </c>
      <c r="H14" s="29">
        <v>7.76</v>
      </c>
      <c r="J14" s="32"/>
      <c r="K14" s="32"/>
      <c r="L14" s="32"/>
      <c r="M14" s="32"/>
    </row>
    <row r="15" spans="2:17">
      <c r="B15" s="27" t="s">
        <v>43</v>
      </c>
      <c r="C15" s="27" t="s">
        <v>44</v>
      </c>
      <c r="D15" s="27" t="s">
        <v>22</v>
      </c>
      <c r="E15" s="31">
        <v>250</v>
      </c>
      <c r="F15" s="29">
        <v>2483.09</v>
      </c>
      <c r="G15" s="29">
        <v>2.69</v>
      </c>
      <c r="H15" s="29">
        <v>7.8</v>
      </c>
      <c r="J15" s="32"/>
      <c r="K15" s="32"/>
      <c r="L15" s="32"/>
      <c r="M15" s="32"/>
    </row>
    <row r="16" spans="2:17">
      <c r="B16" s="27" t="s">
        <v>45</v>
      </c>
      <c r="C16" s="27" t="s">
        <v>46</v>
      </c>
      <c r="D16" s="27" t="s">
        <v>27</v>
      </c>
      <c r="E16" s="31">
        <v>250</v>
      </c>
      <c r="F16" s="29">
        <v>2478.6999999999998</v>
      </c>
      <c r="G16" s="29">
        <v>2.68</v>
      </c>
      <c r="H16" s="29">
        <v>7.35</v>
      </c>
      <c r="J16" s="32"/>
      <c r="K16" s="32"/>
      <c r="L16" s="32"/>
      <c r="M16" s="32"/>
    </row>
    <row r="17" spans="2:13">
      <c r="B17" s="27" t="s">
        <v>47</v>
      </c>
      <c r="C17" s="27" t="s">
        <v>48</v>
      </c>
      <c r="D17" s="27" t="s">
        <v>49</v>
      </c>
      <c r="E17" s="31">
        <v>250</v>
      </c>
      <c r="F17" s="29">
        <v>2447.31</v>
      </c>
      <c r="G17" s="29">
        <v>2.65</v>
      </c>
      <c r="H17" s="29">
        <v>7.53</v>
      </c>
      <c r="J17" s="32"/>
      <c r="K17" s="32"/>
      <c r="L17" s="32"/>
      <c r="M17" s="32"/>
    </row>
    <row r="18" spans="2:13">
      <c r="B18" s="27" t="s">
        <v>50</v>
      </c>
      <c r="C18" s="27" t="s">
        <v>51</v>
      </c>
      <c r="D18" s="27" t="s">
        <v>27</v>
      </c>
      <c r="E18" s="31">
        <v>250</v>
      </c>
      <c r="F18" s="29">
        <v>2432.21</v>
      </c>
      <c r="G18" s="29">
        <v>2.63</v>
      </c>
      <c r="H18" s="29">
        <v>7.57</v>
      </c>
      <c r="J18" s="32"/>
      <c r="K18" s="32"/>
      <c r="L18" s="32"/>
      <c r="M18" s="32"/>
    </row>
    <row r="19" spans="2:13">
      <c r="B19" s="27" t="s">
        <v>52</v>
      </c>
      <c r="C19" s="27" t="s">
        <v>53</v>
      </c>
      <c r="D19" s="27" t="s">
        <v>22</v>
      </c>
      <c r="E19" s="31">
        <v>250</v>
      </c>
      <c r="F19" s="29">
        <v>2424.38</v>
      </c>
      <c r="G19" s="29">
        <v>2.62</v>
      </c>
      <c r="H19" s="29">
        <v>7.53</v>
      </c>
      <c r="J19" s="32"/>
      <c r="K19" s="32"/>
      <c r="L19" s="32"/>
      <c r="M19" s="32"/>
    </row>
    <row r="20" spans="2:13">
      <c r="B20" s="27" t="s">
        <v>54</v>
      </c>
      <c r="C20" s="27" t="s">
        <v>55</v>
      </c>
      <c r="D20" s="27" t="s">
        <v>22</v>
      </c>
      <c r="E20" s="31">
        <v>250</v>
      </c>
      <c r="F20" s="29">
        <v>2410.36</v>
      </c>
      <c r="G20" s="29">
        <v>2.61</v>
      </c>
      <c r="H20" s="29">
        <v>7.6</v>
      </c>
      <c r="J20" s="32"/>
      <c r="K20" s="32"/>
      <c r="L20" s="32"/>
      <c r="M20" s="32"/>
    </row>
    <row r="21" spans="2:13">
      <c r="B21" s="27" t="s">
        <v>56</v>
      </c>
      <c r="C21" s="27" t="s">
        <v>57</v>
      </c>
      <c r="D21" s="27" t="s">
        <v>27</v>
      </c>
      <c r="E21" s="31">
        <v>200</v>
      </c>
      <c r="F21" s="29">
        <v>1977.42</v>
      </c>
      <c r="G21" s="29">
        <v>2.14</v>
      </c>
      <c r="H21" s="29">
        <v>7.65</v>
      </c>
      <c r="J21" s="32"/>
      <c r="K21" s="32"/>
      <c r="L21" s="32"/>
      <c r="M21" s="32"/>
    </row>
    <row r="22" spans="2:13">
      <c r="B22" s="27" t="s">
        <v>58</v>
      </c>
      <c r="C22" s="27" t="s">
        <v>59</v>
      </c>
      <c r="D22" s="27" t="s">
        <v>22</v>
      </c>
      <c r="E22" s="31">
        <v>150</v>
      </c>
      <c r="F22" s="29">
        <v>1504.7</v>
      </c>
      <c r="G22" s="29">
        <v>1.63</v>
      </c>
      <c r="H22" s="29">
        <v>7.75</v>
      </c>
      <c r="J22" s="32"/>
      <c r="K22" s="32"/>
      <c r="L22" s="32"/>
      <c r="M22" s="32"/>
    </row>
    <row r="23" spans="2:13">
      <c r="B23" s="27" t="s">
        <v>60</v>
      </c>
      <c r="C23" s="27" t="s">
        <v>61</v>
      </c>
      <c r="D23" s="27" t="s">
        <v>22</v>
      </c>
      <c r="E23" s="31">
        <v>50</v>
      </c>
      <c r="F23" s="29">
        <v>509.06</v>
      </c>
      <c r="G23" s="29">
        <v>0.55000000000000004</v>
      </c>
      <c r="H23" s="29">
        <v>7.86</v>
      </c>
      <c r="J23" s="32"/>
      <c r="K23" s="32"/>
      <c r="L23" s="32"/>
      <c r="M23" s="32"/>
    </row>
    <row r="24" spans="2:13">
      <c r="B24" s="39" t="s">
        <v>62</v>
      </c>
      <c r="C24" s="39"/>
      <c r="D24" s="39"/>
      <c r="E24" s="40"/>
      <c r="F24" s="41">
        <f>SUM(F6:F23)</f>
        <v>42126.069999999992</v>
      </c>
      <c r="G24" s="41">
        <f>SUM(G6:G23)</f>
        <v>45.57</v>
      </c>
      <c r="H24" s="42"/>
      <c r="I24" s="43"/>
      <c r="J24" s="32"/>
      <c r="K24" s="32"/>
      <c r="L24" s="32"/>
      <c r="M24" s="32"/>
    </row>
    <row r="25" spans="2:13">
      <c r="B25" s="44" t="s">
        <v>63</v>
      </c>
      <c r="C25" s="44"/>
      <c r="D25" s="44"/>
      <c r="E25" s="45"/>
      <c r="F25" s="46">
        <f>F24</f>
        <v>42126.069999999992</v>
      </c>
      <c r="G25" s="46">
        <f>G24</f>
        <v>45.57</v>
      </c>
      <c r="H25" s="46"/>
      <c r="I25" s="43"/>
      <c r="J25" s="32"/>
      <c r="K25" s="32"/>
      <c r="L25" s="32"/>
      <c r="M25" s="32"/>
    </row>
    <row r="26" spans="2:13">
      <c r="B26" s="26" t="s">
        <v>64</v>
      </c>
      <c r="C26" s="27"/>
      <c r="D26" s="27"/>
      <c r="E26" s="28"/>
      <c r="F26" s="29"/>
      <c r="G26" s="29"/>
      <c r="H26" s="29"/>
      <c r="J26" s="32"/>
      <c r="K26" s="32"/>
      <c r="L26" s="32"/>
      <c r="M26" s="32"/>
    </row>
    <row r="27" spans="2:13">
      <c r="B27" s="26" t="s">
        <v>65</v>
      </c>
      <c r="C27" s="27"/>
      <c r="D27" s="27"/>
      <c r="E27" s="28"/>
      <c r="F27" s="29"/>
      <c r="G27" s="29"/>
      <c r="H27" s="29"/>
      <c r="J27" s="32"/>
      <c r="K27" s="32"/>
      <c r="L27" s="32"/>
      <c r="M27" s="32"/>
    </row>
    <row r="28" spans="2:13">
      <c r="B28" s="27" t="s">
        <v>66</v>
      </c>
      <c r="C28" s="27" t="s">
        <v>67</v>
      </c>
      <c r="D28" s="27" t="s">
        <v>68</v>
      </c>
      <c r="E28" s="31">
        <v>1000</v>
      </c>
      <c r="F28" s="29">
        <v>4969.29</v>
      </c>
      <c r="G28" s="29">
        <v>5.37</v>
      </c>
      <c r="H28" s="29">
        <v>7.05</v>
      </c>
      <c r="J28" s="32"/>
      <c r="K28" s="32"/>
      <c r="L28" s="32"/>
      <c r="M28" s="32"/>
    </row>
    <row r="29" spans="2:13">
      <c r="B29" s="27" t="s">
        <v>69</v>
      </c>
      <c r="C29" s="27" t="s">
        <v>70</v>
      </c>
      <c r="D29" s="27" t="s">
        <v>68</v>
      </c>
      <c r="E29" s="31">
        <v>1000</v>
      </c>
      <c r="F29" s="29">
        <v>4816.2</v>
      </c>
      <c r="G29" s="29">
        <v>5.21</v>
      </c>
      <c r="H29" s="29">
        <v>7.25</v>
      </c>
      <c r="J29" s="32"/>
      <c r="K29" s="32"/>
      <c r="L29" s="32"/>
      <c r="M29" s="32"/>
    </row>
    <row r="30" spans="2:13">
      <c r="B30" s="27" t="s">
        <v>71</v>
      </c>
      <c r="C30" s="27" t="s">
        <v>72</v>
      </c>
      <c r="D30" s="27" t="s">
        <v>73</v>
      </c>
      <c r="E30" s="31">
        <v>500</v>
      </c>
      <c r="F30" s="29">
        <v>2457.6999999999998</v>
      </c>
      <c r="G30" s="29">
        <v>2.66</v>
      </c>
      <c r="H30" s="29">
        <v>6.98</v>
      </c>
      <c r="J30" s="32"/>
      <c r="K30" s="32"/>
      <c r="L30" s="32"/>
      <c r="M30" s="32"/>
    </row>
    <row r="31" spans="2:13">
      <c r="B31" s="27" t="s">
        <v>74</v>
      </c>
      <c r="C31" s="27" t="s">
        <v>75</v>
      </c>
      <c r="D31" s="27" t="s">
        <v>76</v>
      </c>
      <c r="E31" s="31">
        <v>500</v>
      </c>
      <c r="F31" s="29">
        <v>2457.67</v>
      </c>
      <c r="G31" s="29">
        <v>2.66</v>
      </c>
      <c r="H31" s="29">
        <v>6.98</v>
      </c>
      <c r="J31" s="32"/>
      <c r="K31" s="32"/>
      <c r="L31" s="32"/>
      <c r="M31" s="32"/>
    </row>
    <row r="32" spans="2:13">
      <c r="B32" s="27" t="s">
        <v>77</v>
      </c>
      <c r="C32" s="27" t="s">
        <v>78</v>
      </c>
      <c r="D32" s="27" t="s">
        <v>68</v>
      </c>
      <c r="E32" s="31">
        <v>500</v>
      </c>
      <c r="F32" s="29">
        <v>2432.63</v>
      </c>
      <c r="G32" s="29">
        <v>2.63</v>
      </c>
      <c r="H32" s="29">
        <v>7.22</v>
      </c>
      <c r="J32" s="32"/>
      <c r="K32" s="32"/>
      <c r="L32" s="32"/>
      <c r="M32" s="32"/>
    </row>
    <row r="33" spans="2:13">
      <c r="B33" s="27" t="s">
        <v>79</v>
      </c>
      <c r="C33" s="27" t="s">
        <v>80</v>
      </c>
      <c r="D33" s="27" t="s">
        <v>68</v>
      </c>
      <c r="E33" s="31">
        <v>100</v>
      </c>
      <c r="F33" s="29">
        <v>481.54</v>
      </c>
      <c r="G33" s="29">
        <v>0.52</v>
      </c>
      <c r="H33" s="29">
        <v>7.18</v>
      </c>
      <c r="J33" s="32"/>
      <c r="K33" s="32"/>
      <c r="L33" s="32"/>
      <c r="M33" s="32"/>
    </row>
    <row r="34" spans="2:13">
      <c r="B34" s="26" t="s">
        <v>62</v>
      </c>
      <c r="C34" s="26"/>
      <c r="D34" s="26"/>
      <c r="E34" s="47"/>
      <c r="F34" s="48">
        <f>SUM(F27:F33)</f>
        <v>17615.03</v>
      </c>
      <c r="G34" s="48">
        <f>SUM(G27:G33)</f>
        <v>19.05</v>
      </c>
      <c r="H34" s="49"/>
      <c r="I34" s="43"/>
      <c r="J34" s="32"/>
      <c r="K34" s="32"/>
      <c r="L34" s="32"/>
      <c r="M34" s="32"/>
    </row>
    <row r="35" spans="2:13">
      <c r="B35" s="26" t="s">
        <v>81</v>
      </c>
      <c r="C35" s="27"/>
      <c r="D35" s="27"/>
      <c r="E35" s="28"/>
      <c r="F35" s="29"/>
      <c r="G35" s="29"/>
      <c r="H35" s="29"/>
      <c r="J35" s="32"/>
      <c r="K35" s="32"/>
      <c r="L35" s="32"/>
      <c r="M35" s="32"/>
    </row>
    <row r="36" spans="2:13">
      <c r="B36" s="27" t="s">
        <v>82</v>
      </c>
      <c r="C36" s="27" t="s">
        <v>83</v>
      </c>
      <c r="D36" s="27" t="s">
        <v>84</v>
      </c>
      <c r="E36" s="31">
        <v>10000000</v>
      </c>
      <c r="F36" s="29">
        <v>9886.89</v>
      </c>
      <c r="G36" s="29">
        <v>10.69</v>
      </c>
      <c r="H36" s="29">
        <v>6.74</v>
      </c>
      <c r="J36" s="32"/>
      <c r="K36" s="32"/>
      <c r="L36" s="32"/>
      <c r="M36" s="32"/>
    </row>
    <row r="37" spans="2:13">
      <c r="B37" s="39" t="s">
        <v>62</v>
      </c>
      <c r="C37" s="39"/>
      <c r="D37" s="39"/>
      <c r="E37" s="40"/>
      <c r="F37" s="41">
        <f>SUM(F35:F36)</f>
        <v>9886.89</v>
      </c>
      <c r="G37" s="41">
        <f>SUM(G35:G36)</f>
        <v>10.69</v>
      </c>
      <c r="H37" s="42"/>
      <c r="I37" s="43"/>
      <c r="J37" s="32"/>
      <c r="K37" s="32"/>
      <c r="L37" s="32"/>
      <c r="M37" s="32"/>
    </row>
    <row r="38" spans="2:13">
      <c r="B38" s="44" t="s">
        <v>63</v>
      </c>
      <c r="C38" s="44"/>
      <c r="D38" s="44"/>
      <c r="E38" s="45"/>
      <c r="F38" s="46">
        <f>F34+F37</f>
        <v>27501.919999999998</v>
      </c>
      <c r="G38" s="46">
        <f>G34+G37</f>
        <v>29.740000000000002</v>
      </c>
      <c r="H38" s="46"/>
      <c r="I38" s="43"/>
      <c r="J38" s="32"/>
      <c r="K38" s="32"/>
      <c r="L38" s="32"/>
      <c r="M38" s="32"/>
    </row>
    <row r="39" spans="2:13">
      <c r="B39" s="26" t="s">
        <v>85</v>
      </c>
      <c r="C39" s="27"/>
      <c r="D39" s="27"/>
      <c r="E39" s="28"/>
      <c r="F39" s="29"/>
      <c r="G39" s="29"/>
      <c r="H39" s="29"/>
      <c r="J39" s="32"/>
      <c r="K39" s="32"/>
      <c r="L39" s="32"/>
      <c r="M39" s="32"/>
    </row>
    <row r="40" spans="2:13">
      <c r="B40" s="27" t="s">
        <v>86</v>
      </c>
      <c r="C40" s="27" t="s">
        <v>87</v>
      </c>
      <c r="D40" s="27" t="s">
        <v>88</v>
      </c>
      <c r="E40" s="31">
        <v>4545000</v>
      </c>
      <c r="F40" s="29">
        <v>3657.4</v>
      </c>
      <c r="G40" s="29">
        <v>3.96</v>
      </c>
      <c r="H40" s="29">
        <v>7.38</v>
      </c>
      <c r="J40" s="32"/>
      <c r="K40" s="32"/>
      <c r="L40" s="32"/>
      <c r="M40" s="32"/>
    </row>
    <row r="41" spans="2:13">
      <c r="B41" s="50" t="s">
        <v>89</v>
      </c>
      <c r="C41" s="50" t="s">
        <v>90</v>
      </c>
      <c r="D41" s="50" t="s">
        <v>88</v>
      </c>
      <c r="E41" s="51">
        <v>3000000</v>
      </c>
      <c r="F41" s="52">
        <v>3044.83</v>
      </c>
      <c r="G41" s="52">
        <v>3.29</v>
      </c>
      <c r="H41" s="52">
        <v>8.2899999999999991</v>
      </c>
      <c r="J41" s="32"/>
      <c r="K41" s="32"/>
      <c r="L41" s="32"/>
      <c r="M41" s="32"/>
    </row>
    <row r="42" spans="2:13">
      <c r="B42" s="53" t="s">
        <v>63</v>
      </c>
      <c r="C42" s="53"/>
      <c r="D42" s="53"/>
      <c r="E42" s="54"/>
      <c r="F42" s="48">
        <f>SUM(F40:F41)</f>
        <v>6702.23</v>
      </c>
      <c r="G42" s="48">
        <f>SUM(G40:G41)</f>
        <v>7.25</v>
      </c>
      <c r="H42" s="48"/>
      <c r="I42" s="43"/>
      <c r="J42" s="32"/>
      <c r="K42" s="32"/>
      <c r="L42" s="32"/>
      <c r="M42" s="32"/>
    </row>
    <row r="43" spans="2:13">
      <c r="B43" s="26" t="s">
        <v>91</v>
      </c>
      <c r="C43" s="27"/>
      <c r="D43" s="27"/>
      <c r="E43" s="28"/>
      <c r="F43" s="29"/>
      <c r="G43" s="29"/>
      <c r="H43" s="29"/>
      <c r="J43" s="32"/>
      <c r="K43" s="32"/>
      <c r="L43" s="32"/>
      <c r="M43" s="32"/>
    </row>
    <row r="44" spans="2:13">
      <c r="B44" s="27" t="s">
        <v>91</v>
      </c>
      <c r="C44" s="27"/>
      <c r="D44" s="27"/>
      <c r="E44" s="28"/>
      <c r="F44" s="29">
        <v>14921.53</v>
      </c>
      <c r="G44" s="29">
        <v>16.14</v>
      </c>
      <c r="H44" s="29"/>
      <c r="J44" s="32"/>
      <c r="K44" s="32"/>
      <c r="L44" s="32"/>
      <c r="M44" s="32"/>
    </row>
    <row r="45" spans="2:13">
      <c r="B45" s="39" t="s">
        <v>62</v>
      </c>
      <c r="C45" s="39"/>
      <c r="D45" s="39"/>
      <c r="E45" s="40"/>
      <c r="F45" s="41">
        <f>SUM(F43:F44)</f>
        <v>14921.53</v>
      </c>
      <c r="G45" s="41">
        <f>SUM(G43:G44)</f>
        <v>16.14</v>
      </c>
      <c r="H45" s="42"/>
      <c r="I45" s="43"/>
      <c r="J45" s="32"/>
      <c r="K45" s="32"/>
      <c r="L45" s="32"/>
      <c r="M45" s="32"/>
    </row>
    <row r="46" spans="2:13">
      <c r="B46" s="55" t="s">
        <v>63</v>
      </c>
      <c r="C46" s="55"/>
      <c r="D46" s="55"/>
      <c r="E46" s="56"/>
      <c r="F46" s="57">
        <f>F45</f>
        <v>14921.53</v>
      </c>
      <c r="G46" s="57">
        <f>G45</f>
        <v>16.14</v>
      </c>
      <c r="H46" s="57"/>
      <c r="I46" s="43"/>
      <c r="J46" s="32"/>
      <c r="K46" s="32"/>
      <c r="L46" s="32"/>
      <c r="M46" s="32"/>
    </row>
    <row r="47" spans="2:13">
      <c r="B47" s="58" t="s">
        <v>92</v>
      </c>
      <c r="C47" s="58"/>
      <c r="D47" s="58"/>
      <c r="E47" s="59"/>
      <c r="F47" s="60">
        <f>F48-(+F25+F38+F42+F46)</f>
        <v>1221.7700000000186</v>
      </c>
      <c r="G47" s="60">
        <f>G48-(+G25+G38+G42+G46)</f>
        <v>1.2999999999999972</v>
      </c>
      <c r="H47" s="60"/>
      <c r="I47" s="43"/>
      <c r="J47" s="32"/>
      <c r="K47" s="32"/>
      <c r="L47" s="32"/>
      <c r="M47" s="32"/>
    </row>
    <row r="48" spans="2:13">
      <c r="B48" s="58" t="s">
        <v>93</v>
      </c>
      <c r="C48" s="58"/>
      <c r="D48" s="58"/>
      <c r="E48" s="59"/>
      <c r="F48" s="60">
        <v>92473.52</v>
      </c>
      <c r="G48" s="60">
        <v>100</v>
      </c>
      <c r="H48" s="60"/>
      <c r="I48" s="43"/>
      <c r="J48" s="32"/>
      <c r="K48" s="32"/>
      <c r="L48" s="32"/>
      <c r="M48" s="32"/>
    </row>
    <row r="49" spans="2:13">
      <c r="J49" s="32"/>
      <c r="K49" s="32"/>
      <c r="L49" s="32"/>
      <c r="M49" s="32"/>
    </row>
    <row r="50" spans="2:13">
      <c r="B50" s="43" t="s">
        <v>94</v>
      </c>
      <c r="J50" s="32"/>
      <c r="K50" s="32"/>
      <c r="L50" s="32"/>
      <c r="M50" s="32"/>
    </row>
    <row r="51" spans="2:13">
      <c r="B51" s="43" t="s">
        <v>95</v>
      </c>
      <c r="J51" s="32"/>
      <c r="K51" s="32"/>
      <c r="L51" s="32"/>
      <c r="M51" s="32"/>
    </row>
    <row r="52" spans="2:13" ht="12.75" thickBot="1">
      <c r="J52" s="32"/>
      <c r="K52" s="32"/>
      <c r="L52" s="32"/>
      <c r="M52" s="32"/>
    </row>
    <row r="53" spans="2:13" ht="13.5" thickTop="1" thickBot="1">
      <c r="B53" s="62" t="s">
        <v>96</v>
      </c>
      <c r="C53" s="63">
        <v>0.8649</v>
      </c>
      <c r="J53" s="32"/>
      <c r="K53" s="32"/>
      <c r="L53" s="32"/>
      <c r="M53" s="32"/>
    </row>
    <row r="54" spans="2:13" ht="13.5" thickTop="1" thickBot="1">
      <c r="J54" s="32"/>
      <c r="K54" s="32"/>
      <c r="L54" s="32"/>
      <c r="M54" s="32"/>
    </row>
    <row r="55" spans="2:13" ht="13.5" thickTop="1" thickBot="1">
      <c r="B55" s="62" t="s">
        <v>97</v>
      </c>
      <c r="C55" s="64">
        <v>7.2900000000000006E-2</v>
      </c>
      <c r="J55" s="32"/>
      <c r="K55" s="32"/>
      <c r="L55" s="32"/>
      <c r="M55" s="32"/>
    </row>
    <row r="56" spans="2:13" ht="13.5" thickTop="1" thickBot="1">
      <c r="J56" s="32"/>
      <c r="K56" s="32"/>
      <c r="L56" s="32"/>
      <c r="M56" s="32"/>
    </row>
    <row r="57" spans="2:13" ht="13.5" thickTop="1" thickBot="1">
      <c r="B57" s="62" t="s">
        <v>98</v>
      </c>
      <c r="C57" s="63">
        <v>0.94510000000000005</v>
      </c>
      <c r="J57" s="32"/>
      <c r="K57" s="32"/>
      <c r="L57" s="32"/>
      <c r="M57" s="32"/>
    </row>
    <row r="58" spans="2:13" ht="12.75" thickTop="1">
      <c r="J58" s="32"/>
      <c r="K58" s="32"/>
      <c r="L58" s="32"/>
      <c r="M58" s="32"/>
    </row>
    <row r="59" spans="2:13">
      <c r="J59" s="32"/>
      <c r="K59" s="32"/>
      <c r="L59" s="32"/>
      <c r="M59" s="32"/>
    </row>
    <row r="60" spans="2:13">
      <c r="J60" s="32"/>
      <c r="K60" s="32"/>
      <c r="L60" s="32"/>
      <c r="M60" s="32"/>
    </row>
    <row r="61" spans="2:13">
      <c r="J61" s="32"/>
      <c r="K61" s="32"/>
      <c r="L61" s="32"/>
      <c r="M61" s="32"/>
    </row>
    <row r="62" spans="2:13">
      <c r="J62" s="32"/>
      <c r="K62" s="32"/>
      <c r="L62" s="32"/>
      <c r="M62" s="32"/>
    </row>
    <row r="63" spans="2:13">
      <c r="J63" s="32"/>
      <c r="K63" s="32"/>
      <c r="L63" s="32"/>
      <c r="M63" s="32"/>
    </row>
    <row r="64" spans="2:13">
      <c r="J64" s="32"/>
      <c r="K64" s="32"/>
      <c r="L64" s="32"/>
      <c r="M64" s="32"/>
    </row>
    <row r="65" spans="10:13">
      <c r="J65" s="32"/>
      <c r="K65" s="32"/>
      <c r="L65" s="32"/>
      <c r="M65" s="32"/>
    </row>
    <row r="66" spans="10:13">
      <c r="J66" s="32"/>
      <c r="K66" s="32"/>
      <c r="L66" s="32"/>
      <c r="M66" s="32"/>
    </row>
    <row r="67" spans="10:13">
      <c r="J67" s="32"/>
      <c r="K67" s="32"/>
      <c r="L67" s="32"/>
      <c r="M67" s="32"/>
    </row>
    <row r="68" spans="10:13">
      <c r="J68" s="32"/>
      <c r="K68" s="32"/>
      <c r="L68" s="32"/>
      <c r="M68" s="32"/>
    </row>
    <row r="69" spans="10:13">
      <c r="J69" s="32"/>
      <c r="K69" s="32"/>
      <c r="L69" s="32"/>
      <c r="M69" s="32"/>
    </row>
    <row r="70" spans="10:13">
      <c r="J70" s="32"/>
      <c r="K70" s="32"/>
      <c r="L70" s="32"/>
      <c r="M70" s="32"/>
    </row>
    <row r="71" spans="10:13">
      <c r="J71" s="32"/>
      <c r="K71" s="32"/>
      <c r="L71" s="32"/>
      <c r="M71" s="32"/>
    </row>
    <row r="72" spans="10:13">
      <c r="J72" s="32"/>
      <c r="K72" s="32"/>
      <c r="L72" s="32"/>
      <c r="M72" s="32"/>
    </row>
    <row r="73" spans="10:13">
      <c r="J73" s="32"/>
      <c r="K73" s="32"/>
      <c r="L73" s="32"/>
      <c r="M73" s="32"/>
    </row>
    <row r="74" spans="10:13">
      <c r="J74" s="32"/>
      <c r="K74" s="32"/>
      <c r="L74" s="32"/>
      <c r="M74" s="32"/>
    </row>
    <row r="75" spans="10:13">
      <c r="J75" s="32"/>
      <c r="K75" s="32"/>
      <c r="L75" s="32"/>
      <c r="M75" s="32"/>
    </row>
    <row r="76" spans="10:13">
      <c r="J76" s="32"/>
      <c r="K76" s="32"/>
      <c r="L76" s="32"/>
      <c r="M76" s="32"/>
    </row>
    <row r="77" spans="10:13">
      <c r="J77" s="32"/>
      <c r="K77" s="32"/>
      <c r="L77" s="32"/>
      <c r="M77" s="32"/>
    </row>
    <row r="78" spans="10:13">
      <c r="J78" s="32"/>
      <c r="K78" s="32"/>
      <c r="L78" s="32"/>
      <c r="M78" s="32"/>
    </row>
    <row r="79" spans="10:13">
      <c r="J79" s="32"/>
      <c r="K79" s="32"/>
      <c r="L79" s="32"/>
      <c r="M79" s="32"/>
    </row>
    <row r="80" spans="10:13">
      <c r="J80" s="32"/>
      <c r="K80" s="32"/>
      <c r="L80" s="32"/>
      <c r="M80" s="32"/>
    </row>
    <row r="81" spans="10:13">
      <c r="J81" s="32"/>
      <c r="K81" s="32"/>
      <c r="L81" s="32"/>
      <c r="M81" s="32"/>
    </row>
    <row r="82" spans="10:13">
      <c r="J82" s="32"/>
      <c r="K82" s="32"/>
      <c r="L82" s="32"/>
      <c r="M82" s="32"/>
    </row>
    <row r="83" spans="10:13">
      <c r="J83" s="32"/>
      <c r="K83" s="32"/>
      <c r="L83" s="32"/>
      <c r="M83" s="32"/>
    </row>
    <row r="84" spans="10:13">
      <c r="J84" s="32"/>
      <c r="K84" s="32"/>
      <c r="L84" s="32"/>
      <c r="M84" s="32"/>
    </row>
    <row r="85" spans="10:13">
      <c r="J85" s="32"/>
      <c r="K85" s="32"/>
      <c r="L85" s="32"/>
      <c r="M85" s="32"/>
    </row>
    <row r="86" spans="10:13">
      <c r="J86" s="32"/>
      <c r="K86" s="32"/>
      <c r="L86" s="32"/>
      <c r="M86" s="32"/>
    </row>
    <row r="87" spans="10:13">
      <c r="J87" s="32"/>
      <c r="K87" s="32"/>
      <c r="L87" s="32"/>
      <c r="M87" s="32"/>
    </row>
    <row r="88" spans="10:13">
      <c r="J88" s="32"/>
      <c r="K88" s="32"/>
      <c r="L88" s="32"/>
      <c r="M88" s="32"/>
    </row>
    <row r="89" spans="10:13">
      <c r="J89" s="32"/>
      <c r="K89" s="32"/>
      <c r="L89" s="32"/>
      <c r="M89" s="32"/>
    </row>
    <row r="90" spans="10:13">
      <c r="J90" s="32"/>
      <c r="K90" s="32"/>
      <c r="L90" s="32"/>
      <c r="M90" s="32"/>
    </row>
    <row r="91" spans="10:13">
      <c r="J91" s="32"/>
      <c r="K91" s="32"/>
      <c r="L91" s="32"/>
      <c r="M91" s="32"/>
    </row>
    <row r="92" spans="10:13">
      <c r="J92" s="32"/>
      <c r="K92" s="32"/>
      <c r="L92" s="32"/>
      <c r="M92" s="32"/>
    </row>
    <row r="93" spans="10:13">
      <c r="J93" s="32"/>
      <c r="K93" s="32"/>
      <c r="L93" s="32"/>
      <c r="M93" s="32"/>
    </row>
    <row r="94" spans="10:13">
      <c r="J94" s="32"/>
      <c r="K94" s="32"/>
      <c r="L94" s="32"/>
      <c r="M94" s="32"/>
    </row>
    <row r="95" spans="10:13">
      <c r="J95" s="32"/>
      <c r="K95" s="32"/>
      <c r="L95" s="32"/>
      <c r="M95" s="32"/>
    </row>
    <row r="96" spans="10:13">
      <c r="J96" s="32"/>
      <c r="K96" s="32"/>
      <c r="L96" s="32"/>
      <c r="M96" s="32"/>
    </row>
    <row r="97" spans="10:13">
      <c r="J97" s="32"/>
      <c r="K97" s="32"/>
      <c r="L97" s="32"/>
      <c r="M97" s="32"/>
    </row>
    <row r="98" spans="10:13">
      <c r="J98" s="32"/>
      <c r="K98" s="32"/>
      <c r="L98" s="32"/>
      <c r="M98" s="32"/>
    </row>
    <row r="99" spans="10:13">
      <c r="J99" s="32"/>
      <c r="K99" s="32"/>
      <c r="L99" s="32"/>
      <c r="M99" s="32"/>
    </row>
    <row r="100" spans="10:13">
      <c r="J100" s="32"/>
      <c r="K100" s="32"/>
      <c r="L100" s="32"/>
      <c r="M100" s="32"/>
    </row>
    <row r="101" spans="10:13">
      <c r="J101" s="32"/>
      <c r="K101" s="32"/>
      <c r="L101" s="32"/>
      <c r="M101" s="32"/>
    </row>
    <row r="102" spans="10:13">
      <c r="J102" s="32"/>
      <c r="K102" s="32"/>
      <c r="L102" s="32"/>
      <c r="M102" s="32"/>
    </row>
    <row r="103" spans="10:13">
      <c r="J103" s="32"/>
      <c r="K103" s="32"/>
      <c r="L103" s="32"/>
      <c r="M103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14:29:14</KDate>
  <Classification>Public</Classification>
  <Subclassification/>
  <HostName>MUMCMP00935</HostName>
  <Domain_User>CANARAROBECOMF/628</Domain_User>
  <IPAdd>192.9.198.194</IPAdd>
  <FilePath>Book16</FilePath>
  <KID>C025A5607E97638296073541566451</KID>
  <UniqueName/>
  <Suggested/>
  <Justification/>
</Klassify>
</file>

<file path=customXml/itemProps1.xml><?xml version="1.0" encoding="utf-8"?>
<ds:datastoreItem xmlns:ds="http://schemas.openxmlformats.org/officeDocument/2006/customXml" ds:itemID="{A7F9D0EB-245F-4F2B-8699-48F9ABE814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2023-09-06T08:59:09Z</dcterms:created>
  <dcterms:modified xsi:type="dcterms:W3CDTF">2023-09-06T08:59:14Z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C025A5607E97638296073541566451</vt:lpwstr>
  </property>
</Properties>
</file>