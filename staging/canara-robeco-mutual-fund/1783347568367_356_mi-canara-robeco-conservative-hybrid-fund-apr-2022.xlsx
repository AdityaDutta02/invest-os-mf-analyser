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188D7556-527A-41E0-941F-89BD2AE5DBFD}" xr6:coauthVersionLast="47" xr6:coauthVersionMax="47" xr10:uidLastSave="{00000000-0000-0000-0000-000000000000}"/>
  <bookViews>
    <workbookView xWindow="-120" yWindow="-120" windowWidth="20730" windowHeight="11160" xr2:uid="{518BB5F6-75D6-4A7A-8FF2-05B56DEFEBB0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3" i="1" l="1"/>
  <c r="G92" i="1"/>
  <c r="F92" i="1"/>
  <c r="F93" i="1" s="1"/>
  <c r="G89" i="1"/>
  <c r="F89" i="1"/>
  <c r="F74" i="1"/>
  <c r="G73" i="1"/>
  <c r="G74" i="1" s="1"/>
  <c r="F73" i="1"/>
  <c r="F68" i="1"/>
  <c r="G67" i="1"/>
  <c r="G68" i="1" s="1"/>
  <c r="F67" i="1"/>
  <c r="F48" i="1"/>
  <c r="F94" i="1" s="1"/>
  <c r="G47" i="1"/>
  <c r="G48" i="1" s="1"/>
  <c r="F47" i="1"/>
  <c r="G94" i="1" l="1"/>
</calcChain>
</file>

<file path=xl/sharedStrings.xml><?xml version="1.0" encoding="utf-8"?>
<sst xmlns="http://schemas.openxmlformats.org/spreadsheetml/2006/main" count="249" uniqueCount="197">
  <si>
    <t>CANARA ROBECO CONSERVATIVE HYBRID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</si>
  <si>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</si>
  <si>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</si>
  <si>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</si>
  <si>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</si>
  <si>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</si>
  <si>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</si>
  <si>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</si>
  <si>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</si>
  <si>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Apr'22</t>
  </si>
  <si>
    <t>Benchmark Risk-o-meter Level- Apr'22</t>
  </si>
  <si>
    <t>Previous Scheme Risk-o-meter Level-Mar'22</t>
  </si>
  <si>
    <t>Equity &amp; Equity related</t>
  </si>
  <si>
    <t>(a) Listed / awaiting listing on Stock Exchanges</t>
  </si>
  <si>
    <t>Reliance Industries Ltd</t>
  </si>
  <si>
    <t>INE002A01018</t>
  </si>
  <si>
    <t>Petroleum Products</t>
  </si>
  <si>
    <t>ICICI Bank Ltd</t>
  </si>
  <si>
    <t>INE090A01021</t>
  </si>
  <si>
    <t>Banks</t>
  </si>
  <si>
    <t>HDFC Bank Ltd</t>
  </si>
  <si>
    <t>INE040A01034</t>
  </si>
  <si>
    <t>Infosys Ltd</t>
  </si>
  <si>
    <t>INE009A01021</t>
  </si>
  <si>
    <t>IT - Software</t>
  </si>
  <si>
    <t>State Bank of India</t>
  </si>
  <si>
    <t>INE062A01020</t>
  </si>
  <si>
    <t>Axis Bank Ltd</t>
  </si>
  <si>
    <t>INE238A01034</t>
  </si>
  <si>
    <t>Bajaj Finance Ltd</t>
  </si>
  <si>
    <t>INE296A01024</t>
  </si>
  <si>
    <t>Finance</t>
  </si>
  <si>
    <t>Benchmark: CRISIL Hybrid 85+15 - Conservative Index</t>
  </si>
  <si>
    <t>Apollo Hospitals Enterprise Ltd</t>
  </si>
  <si>
    <t>INE437A01024</t>
  </si>
  <si>
    <t>Healthcare Services</t>
  </si>
  <si>
    <t>ITC Ltd</t>
  </si>
  <si>
    <t>INE154A01025</t>
  </si>
  <si>
    <t>Diversified Fmcg</t>
  </si>
  <si>
    <t>Note: The risk-o-meter level of  scheme is revised based on the Notice-cum-Addendum No.11., dated 05/05/2022.. However, there is no change in the product labelling of the schemes.</t>
  </si>
  <si>
    <t>NTPC Ltd</t>
  </si>
  <si>
    <t>INE733E01010</t>
  </si>
  <si>
    <t>Power</t>
  </si>
  <si>
    <t>Ultratech Cement Ltd</t>
  </si>
  <si>
    <t>INE481G01011</t>
  </si>
  <si>
    <t>Cement &amp; Cement Products</t>
  </si>
  <si>
    <t>Vinati Organics Ltd</t>
  </si>
  <si>
    <t>INE410B01037</t>
  </si>
  <si>
    <t>Chemicals &amp; Petrochemicals</t>
  </si>
  <si>
    <t>J.B. Chemicals &amp; Pharmaceuticals Ltd</t>
  </si>
  <si>
    <t>INE572A01028</t>
  </si>
  <si>
    <t>Pharmaceuticals &amp; Biotechnology</t>
  </si>
  <si>
    <t>SBI Life Insurance Co Ltd</t>
  </si>
  <si>
    <t>INE123W01016</t>
  </si>
  <si>
    <t>Insurance</t>
  </si>
  <si>
    <t>Varun Beverages Ltd</t>
  </si>
  <si>
    <t>INE200M01013</t>
  </si>
  <si>
    <t>Beverages</t>
  </si>
  <si>
    <t>Maruti Suzuki India Ltd</t>
  </si>
  <si>
    <t>INE585B01010</t>
  </si>
  <si>
    <t>Automobiles</t>
  </si>
  <si>
    <t>Thermax Ltd</t>
  </si>
  <si>
    <t>INE152A01029</t>
  </si>
  <si>
    <t>Electrical Equipment</t>
  </si>
  <si>
    <t>Schaeffler India Ltd</t>
  </si>
  <si>
    <t>INE513A01022</t>
  </si>
  <si>
    <t>Auto Components</t>
  </si>
  <si>
    <t>Mphasis Ltd</t>
  </si>
  <si>
    <t>INE356A01018</t>
  </si>
  <si>
    <t>Suven Pharmaceuticals Ltd</t>
  </si>
  <si>
    <t>INE03QK01018</t>
  </si>
  <si>
    <t>Gland Pharma Ltd</t>
  </si>
  <si>
    <t>INE068V01023</t>
  </si>
  <si>
    <t>Tata Motors Ltd</t>
  </si>
  <si>
    <t>INE155A01022</t>
  </si>
  <si>
    <t>United Spirits Ltd</t>
  </si>
  <si>
    <t>INE854D01024</t>
  </si>
  <si>
    <t>Bharat Forge Ltd</t>
  </si>
  <si>
    <t>INE465A01025</t>
  </si>
  <si>
    <t>Industrial Products</t>
  </si>
  <si>
    <t>Century Textile &amp; Industries Ltd</t>
  </si>
  <si>
    <t>INE055A01016</t>
  </si>
  <si>
    <t>Paper, Forest &amp; Jute Products</t>
  </si>
  <si>
    <t>Sona Blw Precision Forgings Ltd</t>
  </si>
  <si>
    <t>INE073K01018</t>
  </si>
  <si>
    <t>Atul Ltd</t>
  </si>
  <si>
    <t>INE100A01010</t>
  </si>
  <si>
    <t>Minda Industries Ltd</t>
  </si>
  <si>
    <t>INE405E01023</t>
  </si>
  <si>
    <t>Divi's Laboratories Ltd</t>
  </si>
  <si>
    <t>INE361B01024</t>
  </si>
  <si>
    <t>Tata Consultancy Services Ltd</t>
  </si>
  <si>
    <t>INE467B01029</t>
  </si>
  <si>
    <t>Brigade Enterprises Ltd</t>
  </si>
  <si>
    <t>INE791I01019</t>
  </si>
  <si>
    <t>Realty</t>
  </si>
  <si>
    <t>TCI Express Ltd</t>
  </si>
  <si>
    <t>INE586V01016</t>
  </si>
  <si>
    <t>Transport Services</t>
  </si>
  <si>
    <t>Westlife Development Ltd</t>
  </si>
  <si>
    <t>INE274F01020</t>
  </si>
  <si>
    <t>Leisure Services</t>
  </si>
  <si>
    <t>GAIL (India) Ltd</t>
  </si>
  <si>
    <t>INE129A01019</t>
  </si>
  <si>
    <t>Gas</t>
  </si>
  <si>
    <t>Avenue Supermarts Ltd</t>
  </si>
  <si>
    <t>INE192R01011</t>
  </si>
  <si>
    <t>Retailing</t>
  </si>
  <si>
    <t>Hindustan Unilever Ltd</t>
  </si>
  <si>
    <t>INE030A01027</t>
  </si>
  <si>
    <t>Tata Consumer Products Ltd</t>
  </si>
  <si>
    <t>INE192A01025</t>
  </si>
  <si>
    <t>Agricultural Food &amp; Other Products</t>
  </si>
  <si>
    <t>Max Financial Services Ltd</t>
  </si>
  <si>
    <t>INE180A01020</t>
  </si>
  <si>
    <t>CG Power and Industrial Solutions Ltd</t>
  </si>
  <si>
    <t>INE067A01029</t>
  </si>
  <si>
    <t>Bharti Airtel Ltd - Partly Paid</t>
  </si>
  <si>
    <t>IN9397D01014</t>
  </si>
  <si>
    <t>Telecom - Services</t>
  </si>
  <si>
    <t>Sub Total</t>
  </si>
  <si>
    <t>Total</t>
  </si>
  <si>
    <t>Debt Instruments</t>
  </si>
  <si>
    <t>7.5549% HDB FINANCIAL SERVICES 20-JAN-23 **</t>
  </si>
  <si>
    <t>INE756I07CZ2</t>
  </si>
  <si>
    <t>CRISIL AAA</t>
  </si>
  <si>
    <t>7.69% National Bank For Agriculture &amp; Rural Development (29/05/2024) **</t>
  </si>
  <si>
    <t>INE261F08BK1</t>
  </si>
  <si>
    <t>7.50% Housing Development Finance Corporation Ltd (08/01/2025) **</t>
  </si>
  <si>
    <t>INE001A07SE1</t>
  </si>
  <si>
    <t>8.50% National Bank For Agriculture &amp; Rural Development (31/01/2023)</t>
  </si>
  <si>
    <t>INE261F08AT4</t>
  </si>
  <si>
    <t>7.28% Housing Development Finance Corporation Ltd (26/09/2022) **</t>
  </si>
  <si>
    <t>INE001A07RZ8</t>
  </si>
  <si>
    <t>5.05% Indian Oil Corporation Ltd (25/11/2022)</t>
  </si>
  <si>
    <t>INE242A08460</t>
  </si>
  <si>
    <t>4.95% Housing Development Finance Corporation Ltd (09/09/2022) **</t>
  </si>
  <si>
    <t>INE001A07SQ5</t>
  </si>
  <si>
    <t>5.4022% BAJAJ FINANCE LTD 10-APR-23 **</t>
  </si>
  <si>
    <t>INE296A07RQ3</t>
  </si>
  <si>
    <t>5.70% Bajaj Finance Ltd (11/08/2023) **</t>
  </si>
  <si>
    <t>INE296A07RG4</t>
  </si>
  <si>
    <t>5.39% Sundaram Finance Ltd (21/06/2024) **</t>
  </si>
  <si>
    <t>INE660A07QX8</t>
  </si>
  <si>
    <t>ICRA AAA</t>
  </si>
  <si>
    <t>7.33% LIC Housing Finance Ltd (12/02/2025) **</t>
  </si>
  <si>
    <t>INE115A07OS8</t>
  </si>
  <si>
    <t>7.35% Power Finance Corporation Ltd (15/10/2022) **</t>
  </si>
  <si>
    <t>INE134E08KG2</t>
  </si>
  <si>
    <t>7.99% Housing Development Finance Corporation Ltd (11/07/2024) **</t>
  </si>
  <si>
    <t>INE001A07RV7</t>
  </si>
  <si>
    <t>7.40% LIC Housing Finance Ltd (06/09/2024) **</t>
  </si>
  <si>
    <t>INE115A07ML7</t>
  </si>
  <si>
    <t>7.45% REC Ltd (30/11/2022) **</t>
  </si>
  <si>
    <t>INE020B08AP1</t>
  </si>
  <si>
    <t>8.79% LIC Housing Finance Ltd (05/03/2024) **</t>
  </si>
  <si>
    <t>INE115A07NY8</t>
  </si>
  <si>
    <t>Money Market Instruments</t>
  </si>
  <si>
    <t>Certificate of Deposit</t>
  </si>
  <si>
    <t>Axis Bank Ltd (09/12/2022) ** #</t>
  </si>
  <si>
    <t>INE238A166X7</t>
  </si>
  <si>
    <t>CRISIL A1+</t>
  </si>
  <si>
    <t>Axis Bank Ltd (08/03/2023) ** #</t>
  </si>
  <si>
    <t>INE238A162Z1</t>
  </si>
  <si>
    <t>Government Bonds</t>
  </si>
  <si>
    <t>7.32% GOI (28/01/2024)</t>
  </si>
  <si>
    <t>IN0020180488</t>
  </si>
  <si>
    <t>Sovereign</t>
  </si>
  <si>
    <t>7.35% INDIA GOVERNMENT 22-JUN-24</t>
  </si>
  <si>
    <t>IN0020090034</t>
  </si>
  <si>
    <t>4.56% GOI 29-NOV-23</t>
  </si>
  <si>
    <t>IN0020210210</t>
  </si>
  <si>
    <t>7.59% GOI (11/01/2026)</t>
  </si>
  <si>
    <t>IN0020150093</t>
  </si>
  <si>
    <t>4.48% GOI (02/11/2023)</t>
  </si>
  <si>
    <t>IN0020200211</t>
  </si>
  <si>
    <t>6.18% GOI (04/11/2024)</t>
  </si>
  <si>
    <t>IN0020190396</t>
  </si>
  <si>
    <t>6.54% GOI 17-JAN-32</t>
  </si>
  <si>
    <t>IN0020210244</t>
  </si>
  <si>
    <t>5.22% INDIA GOVERNMENT 15-JUN-25</t>
  </si>
  <si>
    <t>IN0020200112</t>
  </si>
  <si>
    <t>6.30% INDIA GOVERNMENT 09-APR-23</t>
  </si>
  <si>
    <t>IN0020030014</t>
  </si>
  <si>
    <t>5.74% GOI (15/11/2026)</t>
  </si>
  <si>
    <t>IN0020210186</t>
  </si>
  <si>
    <t>9.25% MAHARASHTRA SDL 09-OCT-23</t>
  </si>
  <si>
    <t>IN2220130099</t>
  </si>
  <si>
    <t>7.17% GOI (08/01/2028)</t>
  </si>
  <si>
    <t>IN0020170174</t>
  </si>
  <si>
    <t>7.72% GOI (26/10/2055)</t>
  </si>
  <si>
    <t>IN0020150077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</si>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</sst>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0" fontId="3" fillId="3" borderId="9" xfId="0" applyFont="1" applyFill="1" applyBorder="1"/>
    <xf numFmtId="3" fontId="3" fillId="3" borderId="10" xfId="0" applyNumberFormat="1" applyFont="1" applyFill="1" applyBorder="1"/>
    <xf numFmtId="43" fontId="3" fillId="3" borderId="0" xfId="1" applyFont="1" applyFill="1"/>
    <xf numFmtId="0" fontId="10" fillId="4" borderId="0" xfId="0" applyFont="1" applyFill="1" applyAlignment="1">
      <alignment horizontal="left" wrapText="1"/>
    </xf>
    <xf numFmtId="2" fontId="11" fillId="5" borderId="0" xfId="0" applyNumberFormat="1" applyFont="1" applyFill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0" xfId="0" applyNumberFormat="1" applyFont="1" applyFill="1"/>
    <xf numFmtId="0" fontId="9" fillId="3" borderId="17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0" xfId="0" applyFont="1" applyFill="1" applyBorder="1"/>
    <xf numFmtId="4" fontId="9" fillId="3" borderId="13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3" fillId="3" borderId="19" xfId="0" applyFont="1" applyFill="1" applyBorder="1"/>
    <xf numFmtId="3" fontId="3" fillId="3" borderId="19" xfId="0" applyNumberFormat="1" applyFont="1" applyFill="1" applyBorder="1"/>
    <xf numFmtId="4" fontId="3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45906</xdr:colOff>
      <xdr:row>4</xdr:row>
      <xdr:rowOff>78842</xdr:rowOff>
    </xdr:from>
    <xdr:to>
      <xdr:col>10</xdr:col>
      <xdr:colOff>1638300</xdr:colOff>
      <xdr:row>11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2EC1F-06D3-42BA-AB16-5569AD88F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8881" y="1088492"/>
          <a:ext cx="1592394" cy="108320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87291</xdr:rowOff>
    </xdr:from>
    <xdr:ext cx="1606290" cy="1008083"/>
    <xdr:pic>
      <xdr:nvPicPr>
        <xdr:cNvPr id="3" name="Picture 2">
          <a:extLst>
            <a:ext uri="{FF2B5EF4-FFF2-40B4-BE49-F238E27FC236}">
              <a16:creationId xmlns:a16="http://schemas.microsoft.com/office/drawing/2014/main" id="{EC1E70E9-4FEC-4599-8142-C424E94D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6100" y="1096941"/>
          <a:ext cx="1606290" cy="1008083"/>
        </a:xfrm>
        <a:prstGeom prst="rect">
          <a:avLst/>
        </a:prstGeom>
      </xdr:spPr>
    </xdr:pic>
    <xdr:clientData/>
  </xdr:oneCellAnchor>
  <xdr:twoCellAnchor editAs="oneCell">
    <xdr:from>
      <xdr:col>11</xdr:col>
      <xdr:colOff>90626</xdr:colOff>
      <xdr:row>4</xdr:row>
      <xdr:rowOff>95643</xdr:rowOff>
    </xdr:from>
    <xdr:to>
      <xdr:col>11</xdr:col>
      <xdr:colOff>1647825</xdr:colOff>
      <xdr:row>11</xdr:row>
      <xdr:rowOff>75807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5E3CF1-AE56-4FAD-AA28-387E1F14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78101" y="1105293"/>
          <a:ext cx="1557199" cy="104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B4B2-19F3-4484-8981-DDD722D50A4B}">
  <dimension ref="B1:L103"/>
  <sheetViews>
    <sheetView tabSelected="1" topLeftCell="C1" workbookViewId="0">
      <selection activeCell="L5" sqref="L5:L12"/>
    </sheetView>
  </sheetViews>
  <sheetFormatPr defaultRowHeight="12"/>
  <cols>
    <col min="1" max="1" width="9.140625" style="3"/>
    <col min="2" max="2" width="60.2851562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" style="3" bestFit="1" customWidth="1"/>
    <col min="10" max="10" width="26" style="3" customWidth="1"/>
    <col min="11" max="12" width="25.71093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6"/>
      <c r="F3" s="7"/>
      <c r="G3" s="7"/>
    </row>
    <row r="4" spans="2:12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7"/>
      <c r="J5" s="18"/>
      <c r="K5" s="18"/>
      <c r="L5" s="18"/>
    </row>
    <row r="6" spans="2:12">
      <c r="B6" s="19" t="s">
        <v>13</v>
      </c>
      <c r="C6" s="20"/>
      <c r="D6" s="20"/>
      <c r="E6" s="20"/>
      <c r="F6" s="21"/>
      <c r="G6" s="21"/>
      <c r="H6" s="22"/>
      <c r="J6" s="18"/>
      <c r="K6" s="18"/>
      <c r="L6" s="18"/>
    </row>
    <row r="7" spans="2:12">
      <c r="B7" s="23" t="s">
        <v>14</v>
      </c>
      <c r="C7" s="20" t="s">
        <v>15</v>
      </c>
      <c r="D7" s="20" t="s">
        <v>16</v>
      </c>
      <c r="E7" s="24">
        <v>91154</v>
      </c>
      <c r="F7" s="21">
        <v>2543.42</v>
      </c>
      <c r="G7" s="21">
        <v>2.2400000000000002</v>
      </c>
      <c r="H7" s="22"/>
      <c r="I7" s="25"/>
      <c r="J7" s="18"/>
      <c r="K7" s="18"/>
      <c r="L7" s="18"/>
    </row>
    <row r="8" spans="2:12">
      <c r="B8" s="23" t="s">
        <v>17</v>
      </c>
      <c r="C8" s="20" t="s">
        <v>18</v>
      </c>
      <c r="D8" s="20" t="s">
        <v>19</v>
      </c>
      <c r="E8" s="24">
        <v>317914</v>
      </c>
      <c r="F8" s="21">
        <v>2363.0500000000002</v>
      </c>
      <c r="G8" s="21">
        <v>2.08</v>
      </c>
      <c r="H8" s="22"/>
      <c r="I8" s="25"/>
      <c r="J8" s="18"/>
      <c r="K8" s="18"/>
      <c r="L8" s="18"/>
    </row>
    <row r="9" spans="2:12">
      <c r="B9" s="23" t="s">
        <v>20</v>
      </c>
      <c r="C9" s="20" t="s">
        <v>21</v>
      </c>
      <c r="D9" s="20" t="s">
        <v>19</v>
      </c>
      <c r="E9" s="24">
        <v>152032</v>
      </c>
      <c r="F9" s="21">
        <v>2105.04</v>
      </c>
      <c r="G9" s="21">
        <v>1.85</v>
      </c>
      <c r="H9" s="22"/>
      <c r="I9" s="25"/>
      <c r="J9" s="18"/>
      <c r="K9" s="18"/>
      <c r="L9" s="18"/>
    </row>
    <row r="10" spans="2:12">
      <c r="B10" s="23" t="s">
        <v>22</v>
      </c>
      <c r="C10" s="20" t="s">
        <v>23</v>
      </c>
      <c r="D10" s="20" t="s">
        <v>24</v>
      </c>
      <c r="E10" s="24">
        <v>116920</v>
      </c>
      <c r="F10" s="21">
        <v>1832.78</v>
      </c>
      <c r="G10" s="21">
        <v>1.61</v>
      </c>
      <c r="H10" s="22"/>
      <c r="I10" s="25"/>
      <c r="J10" s="18"/>
      <c r="K10" s="18"/>
      <c r="L10" s="18"/>
    </row>
    <row r="11" spans="2:12">
      <c r="B11" s="23" t="s">
        <v>25</v>
      </c>
      <c r="C11" s="20" t="s">
        <v>26</v>
      </c>
      <c r="D11" s="20" t="s">
        <v>19</v>
      </c>
      <c r="E11" s="24">
        <v>275000</v>
      </c>
      <c r="F11" s="21">
        <v>1364.83</v>
      </c>
      <c r="G11" s="21">
        <v>1.2</v>
      </c>
      <c r="H11" s="22"/>
      <c r="I11" s="25"/>
      <c r="J11" s="18"/>
      <c r="K11" s="18"/>
      <c r="L11" s="18"/>
    </row>
    <row r="12" spans="2:12">
      <c r="B12" s="23" t="s">
        <v>27</v>
      </c>
      <c r="C12" s="20" t="s">
        <v>28</v>
      </c>
      <c r="D12" s="20" t="s">
        <v>19</v>
      </c>
      <c r="E12" s="24">
        <v>136062</v>
      </c>
      <c r="F12" s="21">
        <v>991.35</v>
      </c>
      <c r="G12" s="21">
        <v>0.87</v>
      </c>
      <c r="H12" s="22"/>
      <c r="I12" s="25"/>
      <c r="J12" s="18"/>
      <c r="K12" s="18"/>
      <c r="L12" s="18"/>
    </row>
    <row r="13" spans="2:12">
      <c r="B13" s="23" t="s">
        <v>29</v>
      </c>
      <c r="C13" s="20" t="s">
        <v>30</v>
      </c>
      <c r="D13" s="20" t="s">
        <v>31</v>
      </c>
      <c r="E13" s="24">
        <v>14000</v>
      </c>
      <c r="F13" s="21">
        <v>934.05</v>
      </c>
      <c r="G13" s="21">
        <v>0.82</v>
      </c>
      <c r="H13" s="22"/>
      <c r="I13" s="25"/>
      <c r="J13" s="25"/>
      <c r="K13" s="25" t="s">
        <v>32</v>
      </c>
      <c r="L13" s="25"/>
    </row>
    <row r="14" spans="2:12">
      <c r="B14" s="23" t="s">
        <v>33</v>
      </c>
      <c r="C14" s="20" t="s">
        <v>34</v>
      </c>
      <c r="D14" s="20" t="s">
        <v>35</v>
      </c>
      <c r="E14" s="24">
        <v>19500</v>
      </c>
      <c r="F14" s="21">
        <v>868.6</v>
      </c>
      <c r="G14" s="21">
        <v>0.76</v>
      </c>
      <c r="H14" s="22"/>
      <c r="I14" s="25"/>
      <c r="J14" s="25"/>
      <c r="K14" s="25"/>
      <c r="L14" s="25"/>
    </row>
    <row r="15" spans="2:12" ht="15.75" customHeight="1">
      <c r="B15" s="23" t="s">
        <v>36</v>
      </c>
      <c r="C15" s="20" t="s">
        <v>37</v>
      </c>
      <c r="D15" s="20" t="s">
        <v>38</v>
      </c>
      <c r="E15" s="24">
        <v>300000</v>
      </c>
      <c r="F15" s="21">
        <v>778.65</v>
      </c>
      <c r="G15" s="21">
        <v>0.68</v>
      </c>
      <c r="H15" s="22"/>
      <c r="I15" s="25"/>
      <c r="J15" s="26" t="s">
        <v>39</v>
      </c>
      <c r="K15" s="26"/>
      <c r="L15" s="26"/>
    </row>
    <row r="16" spans="2:12">
      <c r="B16" s="23" t="s">
        <v>40</v>
      </c>
      <c r="C16" s="20" t="s">
        <v>41</v>
      </c>
      <c r="D16" s="20" t="s">
        <v>42</v>
      </c>
      <c r="E16" s="24">
        <v>450000</v>
      </c>
      <c r="F16" s="21">
        <v>702.9</v>
      </c>
      <c r="G16" s="21">
        <v>0.62</v>
      </c>
      <c r="H16" s="22"/>
      <c r="I16" s="25"/>
      <c r="J16" s="26"/>
      <c r="K16" s="26"/>
      <c r="L16" s="26"/>
    </row>
    <row r="17" spans="2:12">
      <c r="B17" s="23" t="s">
        <v>43</v>
      </c>
      <c r="C17" s="20" t="s">
        <v>44</v>
      </c>
      <c r="D17" s="20" t="s">
        <v>45</v>
      </c>
      <c r="E17" s="24">
        <v>10000</v>
      </c>
      <c r="F17" s="21">
        <v>663.03</v>
      </c>
      <c r="G17" s="21">
        <v>0.57999999999999996</v>
      </c>
      <c r="H17" s="22"/>
      <c r="I17" s="25"/>
      <c r="J17" s="26"/>
      <c r="K17" s="26"/>
      <c r="L17" s="26"/>
    </row>
    <row r="18" spans="2:12" ht="12.75">
      <c r="B18" s="23" t="s">
        <v>46</v>
      </c>
      <c r="C18" s="20" t="s">
        <v>47</v>
      </c>
      <c r="D18" s="20" t="s">
        <v>48</v>
      </c>
      <c r="E18" s="24">
        <v>30000</v>
      </c>
      <c r="F18" s="21">
        <v>629.6</v>
      </c>
      <c r="G18" s="21">
        <v>0.55000000000000004</v>
      </c>
      <c r="H18" s="22"/>
      <c r="I18" s="25"/>
      <c r="J18" s="25"/>
      <c r="K18" s="25"/>
      <c r="L18" s="27"/>
    </row>
    <row r="19" spans="2:12">
      <c r="B19" s="23" t="s">
        <v>49</v>
      </c>
      <c r="C19" s="20" t="s">
        <v>50</v>
      </c>
      <c r="D19" s="20" t="s">
        <v>51</v>
      </c>
      <c r="E19" s="24">
        <v>33000</v>
      </c>
      <c r="F19" s="21">
        <v>567.24</v>
      </c>
      <c r="G19" s="21">
        <v>0.5</v>
      </c>
      <c r="H19" s="22"/>
      <c r="I19" s="25"/>
      <c r="J19" s="25"/>
      <c r="K19" s="25"/>
      <c r="L19" s="25"/>
    </row>
    <row r="20" spans="2:12">
      <c r="B20" s="23" t="s">
        <v>52</v>
      </c>
      <c r="C20" s="20" t="s">
        <v>53</v>
      </c>
      <c r="D20" s="20" t="s">
        <v>54</v>
      </c>
      <c r="E20" s="24">
        <v>50000</v>
      </c>
      <c r="F20" s="21">
        <v>552.75</v>
      </c>
      <c r="G20" s="21">
        <v>0.49</v>
      </c>
      <c r="H20" s="22"/>
      <c r="I20" s="25"/>
      <c r="J20" s="25"/>
      <c r="K20" s="25"/>
      <c r="L20" s="25"/>
    </row>
    <row r="21" spans="2:12">
      <c r="B21" s="23" t="s">
        <v>55</v>
      </c>
      <c r="C21" s="20" t="s">
        <v>56</v>
      </c>
      <c r="D21" s="20" t="s">
        <v>57</v>
      </c>
      <c r="E21" s="24">
        <v>50000</v>
      </c>
      <c r="F21" s="21">
        <v>541.78</v>
      </c>
      <c r="G21" s="21">
        <v>0.48</v>
      </c>
      <c r="H21" s="22"/>
      <c r="I21" s="25"/>
      <c r="J21" s="25"/>
      <c r="K21" s="25"/>
      <c r="L21" s="25"/>
    </row>
    <row r="22" spans="2:12">
      <c r="B22" s="23" t="s">
        <v>58</v>
      </c>
      <c r="C22" s="20" t="s">
        <v>59</v>
      </c>
      <c r="D22" s="20" t="s">
        <v>60</v>
      </c>
      <c r="E22" s="24">
        <v>7000</v>
      </c>
      <c r="F22" s="21">
        <v>540.25</v>
      </c>
      <c r="G22" s="21">
        <v>0.47</v>
      </c>
      <c r="H22" s="22"/>
      <c r="I22" s="25"/>
      <c r="J22" s="25"/>
      <c r="K22" s="25"/>
      <c r="L22" s="25"/>
    </row>
    <row r="23" spans="2:12">
      <c r="B23" s="23" t="s">
        <v>61</v>
      </c>
      <c r="C23" s="20" t="s">
        <v>62</v>
      </c>
      <c r="D23" s="20" t="s">
        <v>63</v>
      </c>
      <c r="E23" s="24">
        <v>25000</v>
      </c>
      <c r="F23" s="21">
        <v>530</v>
      </c>
      <c r="G23" s="21">
        <v>0.47</v>
      </c>
      <c r="H23" s="22"/>
      <c r="I23" s="25"/>
      <c r="J23" s="25"/>
      <c r="K23" s="25"/>
      <c r="L23" s="25"/>
    </row>
    <row r="24" spans="2:12">
      <c r="B24" s="23" t="s">
        <v>64</v>
      </c>
      <c r="C24" s="20" t="s">
        <v>65</v>
      </c>
      <c r="D24" s="20" t="s">
        <v>66</v>
      </c>
      <c r="E24" s="24">
        <v>22500</v>
      </c>
      <c r="F24" s="21">
        <v>519.21</v>
      </c>
      <c r="G24" s="21">
        <v>0.46</v>
      </c>
      <c r="H24" s="22"/>
      <c r="I24" s="25"/>
      <c r="J24" s="25"/>
      <c r="K24" s="25"/>
      <c r="L24" s="25"/>
    </row>
    <row r="25" spans="2:12">
      <c r="B25" s="23" t="s">
        <v>67</v>
      </c>
      <c r="C25" s="20" t="s">
        <v>68</v>
      </c>
      <c r="D25" s="20" t="s">
        <v>24</v>
      </c>
      <c r="E25" s="24">
        <v>17500</v>
      </c>
      <c r="F25" s="21">
        <v>497.56</v>
      </c>
      <c r="G25" s="21">
        <v>0.44</v>
      </c>
      <c r="H25" s="22"/>
      <c r="I25" s="25"/>
      <c r="J25" s="25"/>
      <c r="K25" s="25"/>
      <c r="L25" s="25"/>
    </row>
    <row r="26" spans="2:12">
      <c r="B26" s="23" t="s">
        <v>69</v>
      </c>
      <c r="C26" s="20" t="s">
        <v>70</v>
      </c>
      <c r="D26" s="20" t="s">
        <v>51</v>
      </c>
      <c r="E26" s="24">
        <v>82000</v>
      </c>
      <c r="F26" s="21">
        <v>494.91</v>
      </c>
      <c r="G26" s="21">
        <v>0.44</v>
      </c>
      <c r="H26" s="22"/>
      <c r="I26" s="25"/>
      <c r="J26" s="25"/>
      <c r="K26" s="25"/>
      <c r="L26" s="25"/>
    </row>
    <row r="27" spans="2:12">
      <c r="B27" s="23" t="s">
        <v>71</v>
      </c>
      <c r="C27" s="20" t="s">
        <v>72</v>
      </c>
      <c r="D27" s="20" t="s">
        <v>51</v>
      </c>
      <c r="E27" s="24">
        <v>15370</v>
      </c>
      <c r="F27" s="21">
        <v>492.12</v>
      </c>
      <c r="G27" s="21">
        <v>0.43</v>
      </c>
      <c r="H27" s="22"/>
      <c r="I27" s="25"/>
      <c r="J27" s="25"/>
      <c r="K27" s="25"/>
      <c r="L27" s="25"/>
    </row>
    <row r="28" spans="2:12">
      <c r="B28" s="23" t="s">
        <v>73</v>
      </c>
      <c r="C28" s="20" t="s">
        <v>74</v>
      </c>
      <c r="D28" s="20" t="s">
        <v>60</v>
      </c>
      <c r="E28" s="24">
        <v>100000</v>
      </c>
      <c r="F28" s="21">
        <v>437.6</v>
      </c>
      <c r="G28" s="21">
        <v>0.38</v>
      </c>
      <c r="H28" s="22"/>
      <c r="I28" s="25"/>
      <c r="J28" s="25"/>
      <c r="K28" s="25"/>
      <c r="L28" s="25"/>
    </row>
    <row r="29" spans="2:12">
      <c r="B29" s="23" t="s">
        <v>75</v>
      </c>
      <c r="C29" s="20" t="s">
        <v>76</v>
      </c>
      <c r="D29" s="20" t="s">
        <v>57</v>
      </c>
      <c r="E29" s="24">
        <v>50000</v>
      </c>
      <c r="F29" s="21">
        <v>431.43</v>
      </c>
      <c r="G29" s="21">
        <v>0.38</v>
      </c>
      <c r="H29" s="22"/>
      <c r="I29" s="25"/>
      <c r="J29" s="25"/>
      <c r="K29" s="25"/>
      <c r="L29" s="25"/>
    </row>
    <row r="30" spans="2:12">
      <c r="B30" s="23" t="s">
        <v>77</v>
      </c>
      <c r="C30" s="20" t="s">
        <v>78</v>
      </c>
      <c r="D30" s="20" t="s">
        <v>79</v>
      </c>
      <c r="E30" s="24">
        <v>60000</v>
      </c>
      <c r="F30" s="21">
        <v>421.05</v>
      </c>
      <c r="G30" s="21">
        <v>0.37</v>
      </c>
      <c r="H30" s="22"/>
      <c r="I30" s="25"/>
      <c r="J30" s="25"/>
      <c r="K30" s="25"/>
      <c r="L30" s="25"/>
    </row>
    <row r="31" spans="2:12">
      <c r="B31" s="23" t="s">
        <v>80</v>
      </c>
      <c r="C31" s="20" t="s">
        <v>81</v>
      </c>
      <c r="D31" s="20" t="s">
        <v>82</v>
      </c>
      <c r="E31" s="24">
        <v>50000</v>
      </c>
      <c r="F31" s="21">
        <v>417.9</v>
      </c>
      <c r="G31" s="21">
        <v>0.37</v>
      </c>
      <c r="H31" s="22"/>
      <c r="I31" s="25"/>
      <c r="J31" s="25"/>
      <c r="K31" s="25"/>
      <c r="L31" s="25"/>
    </row>
    <row r="32" spans="2:12">
      <c r="B32" s="23" t="s">
        <v>83</v>
      </c>
      <c r="C32" s="20" t="s">
        <v>84</v>
      </c>
      <c r="D32" s="20" t="s">
        <v>66</v>
      </c>
      <c r="E32" s="24">
        <v>65588</v>
      </c>
      <c r="F32" s="21">
        <v>416.84</v>
      </c>
      <c r="G32" s="21">
        <v>0.37</v>
      </c>
      <c r="H32" s="22"/>
      <c r="I32" s="25"/>
      <c r="J32" s="25"/>
      <c r="K32" s="25"/>
      <c r="L32" s="25"/>
    </row>
    <row r="33" spans="2:12">
      <c r="B33" s="23" t="s">
        <v>85</v>
      </c>
      <c r="C33" s="20" t="s">
        <v>86</v>
      </c>
      <c r="D33" s="20" t="s">
        <v>48</v>
      </c>
      <c r="E33" s="24">
        <v>4604</v>
      </c>
      <c r="F33" s="21">
        <v>412.19</v>
      </c>
      <c r="G33" s="21">
        <v>0.36</v>
      </c>
      <c r="H33" s="22"/>
      <c r="I33" s="25"/>
      <c r="J33" s="25"/>
      <c r="K33" s="25"/>
      <c r="L33" s="25"/>
    </row>
    <row r="34" spans="2:12">
      <c r="B34" s="23" t="s">
        <v>87</v>
      </c>
      <c r="C34" s="20" t="s">
        <v>88</v>
      </c>
      <c r="D34" s="20" t="s">
        <v>66</v>
      </c>
      <c r="E34" s="24">
        <v>44500</v>
      </c>
      <c r="F34" s="21">
        <v>407.04</v>
      </c>
      <c r="G34" s="21">
        <v>0.36</v>
      </c>
      <c r="H34" s="22"/>
      <c r="I34" s="25"/>
      <c r="J34" s="25"/>
      <c r="K34" s="25"/>
      <c r="L34" s="25"/>
    </row>
    <row r="35" spans="2:12">
      <c r="B35" s="23" t="s">
        <v>89</v>
      </c>
      <c r="C35" s="20" t="s">
        <v>90</v>
      </c>
      <c r="D35" s="20" t="s">
        <v>51</v>
      </c>
      <c r="E35" s="24">
        <v>9000</v>
      </c>
      <c r="F35" s="21">
        <v>405.49</v>
      </c>
      <c r="G35" s="21">
        <v>0.36</v>
      </c>
      <c r="H35" s="22"/>
      <c r="I35" s="25"/>
      <c r="J35" s="25"/>
      <c r="K35" s="25"/>
      <c r="L35" s="25"/>
    </row>
    <row r="36" spans="2:12">
      <c r="B36" s="23" t="s">
        <v>91</v>
      </c>
      <c r="C36" s="20" t="s">
        <v>92</v>
      </c>
      <c r="D36" s="20" t="s">
        <v>24</v>
      </c>
      <c r="E36" s="24">
        <v>11019</v>
      </c>
      <c r="F36" s="21">
        <v>390.81</v>
      </c>
      <c r="G36" s="21">
        <v>0.34</v>
      </c>
      <c r="H36" s="22"/>
      <c r="I36" s="25"/>
      <c r="J36" s="25"/>
      <c r="K36" s="25"/>
      <c r="L36" s="25"/>
    </row>
    <row r="37" spans="2:12">
      <c r="B37" s="23" t="s">
        <v>93</v>
      </c>
      <c r="C37" s="20" t="s">
        <v>94</v>
      </c>
      <c r="D37" s="20" t="s">
        <v>95</v>
      </c>
      <c r="E37" s="24">
        <v>78500</v>
      </c>
      <c r="F37" s="21">
        <v>357.8</v>
      </c>
      <c r="G37" s="21">
        <v>0.31</v>
      </c>
      <c r="H37" s="22"/>
      <c r="I37" s="25"/>
      <c r="J37" s="25"/>
      <c r="K37" s="25"/>
      <c r="L37" s="25"/>
    </row>
    <row r="38" spans="2:12">
      <c r="B38" s="23" t="s">
        <v>96</v>
      </c>
      <c r="C38" s="20" t="s">
        <v>97</v>
      </c>
      <c r="D38" s="20" t="s">
        <v>98</v>
      </c>
      <c r="E38" s="24">
        <v>17966</v>
      </c>
      <c r="F38" s="21">
        <v>335.55</v>
      </c>
      <c r="G38" s="21">
        <v>0.28999999999999998</v>
      </c>
      <c r="H38" s="22"/>
      <c r="I38" s="25"/>
      <c r="J38" s="25"/>
      <c r="K38" s="25"/>
      <c r="L38" s="25"/>
    </row>
    <row r="39" spans="2:12">
      <c r="B39" s="23" t="s">
        <v>99</v>
      </c>
      <c r="C39" s="20" t="s">
        <v>100</v>
      </c>
      <c r="D39" s="20" t="s">
        <v>101</v>
      </c>
      <c r="E39" s="24">
        <v>70000</v>
      </c>
      <c r="F39" s="21">
        <v>333.66</v>
      </c>
      <c r="G39" s="21">
        <v>0.28999999999999998</v>
      </c>
      <c r="H39" s="22"/>
      <c r="I39" s="25"/>
      <c r="J39" s="25"/>
      <c r="K39" s="25"/>
      <c r="L39" s="25"/>
    </row>
    <row r="40" spans="2:12">
      <c r="B40" s="23" t="s">
        <v>102</v>
      </c>
      <c r="C40" s="20" t="s">
        <v>103</v>
      </c>
      <c r="D40" s="20" t="s">
        <v>104</v>
      </c>
      <c r="E40" s="24">
        <v>200000</v>
      </c>
      <c r="F40" s="21">
        <v>318.3</v>
      </c>
      <c r="G40" s="21">
        <v>0.28000000000000003</v>
      </c>
      <c r="H40" s="22"/>
      <c r="I40" s="25"/>
      <c r="J40" s="25"/>
      <c r="K40" s="25"/>
      <c r="L40" s="25"/>
    </row>
    <row r="41" spans="2:12">
      <c r="B41" s="23" t="s">
        <v>105</v>
      </c>
      <c r="C41" s="20" t="s">
        <v>106</v>
      </c>
      <c r="D41" s="20" t="s">
        <v>107</v>
      </c>
      <c r="E41" s="24">
        <v>8000</v>
      </c>
      <c r="F41" s="21">
        <v>315.54000000000002</v>
      </c>
      <c r="G41" s="21">
        <v>0.28000000000000003</v>
      </c>
      <c r="H41" s="22"/>
      <c r="I41" s="25"/>
      <c r="J41" s="25"/>
      <c r="K41" s="25"/>
      <c r="L41" s="25"/>
    </row>
    <row r="42" spans="2:12">
      <c r="B42" s="23" t="s">
        <v>108</v>
      </c>
      <c r="C42" s="20" t="s">
        <v>109</v>
      </c>
      <c r="D42" s="20" t="s">
        <v>38</v>
      </c>
      <c r="E42" s="24">
        <v>9597</v>
      </c>
      <c r="F42" s="21">
        <v>214.48</v>
      </c>
      <c r="G42" s="21">
        <v>0.19</v>
      </c>
      <c r="H42" s="22"/>
      <c r="I42" s="25"/>
      <c r="J42" s="25"/>
      <c r="K42" s="25"/>
      <c r="L42" s="25"/>
    </row>
    <row r="43" spans="2:12">
      <c r="B43" s="23" t="s">
        <v>110</v>
      </c>
      <c r="C43" s="20" t="s">
        <v>111</v>
      </c>
      <c r="D43" s="20" t="s">
        <v>112</v>
      </c>
      <c r="E43" s="24">
        <v>25000</v>
      </c>
      <c r="F43" s="21">
        <v>205.94</v>
      </c>
      <c r="G43" s="21">
        <v>0.18</v>
      </c>
      <c r="H43" s="22"/>
      <c r="I43" s="25"/>
      <c r="J43" s="25"/>
      <c r="K43" s="25"/>
      <c r="L43" s="25"/>
    </row>
    <row r="44" spans="2:12">
      <c r="B44" s="23" t="s">
        <v>113</v>
      </c>
      <c r="C44" s="20" t="s">
        <v>114</v>
      </c>
      <c r="D44" s="20" t="s">
        <v>54</v>
      </c>
      <c r="E44" s="24">
        <v>26525</v>
      </c>
      <c r="F44" s="21">
        <v>200.95</v>
      </c>
      <c r="G44" s="21">
        <v>0.18</v>
      </c>
      <c r="H44" s="22"/>
      <c r="I44" s="25"/>
      <c r="J44" s="25"/>
      <c r="K44" s="25"/>
      <c r="L44" s="25"/>
    </row>
    <row r="45" spans="2:12">
      <c r="B45" s="23" t="s">
        <v>115</v>
      </c>
      <c r="C45" s="20" t="s">
        <v>116</v>
      </c>
      <c r="D45" s="20" t="s">
        <v>63</v>
      </c>
      <c r="E45" s="24">
        <v>99999</v>
      </c>
      <c r="F45" s="21">
        <v>197.9</v>
      </c>
      <c r="G45" s="21">
        <v>0.17</v>
      </c>
      <c r="H45" s="22"/>
      <c r="I45" s="25"/>
      <c r="J45" s="25"/>
      <c r="K45" s="25"/>
      <c r="L45" s="25"/>
    </row>
    <row r="46" spans="2:12">
      <c r="B46" s="23" t="s">
        <v>117</v>
      </c>
      <c r="C46" s="20" t="s">
        <v>118</v>
      </c>
      <c r="D46" s="20" t="s">
        <v>119</v>
      </c>
      <c r="E46" s="24">
        <v>3571</v>
      </c>
      <c r="F46" s="21">
        <v>12.25</v>
      </c>
      <c r="G46" s="21">
        <v>0.01</v>
      </c>
      <c r="H46" s="22"/>
      <c r="I46" s="25"/>
      <c r="J46" s="25"/>
      <c r="K46" s="25"/>
      <c r="L46" s="25"/>
    </row>
    <row r="47" spans="2:12">
      <c r="B47" s="28" t="s">
        <v>120</v>
      </c>
      <c r="C47" s="29"/>
      <c r="D47" s="29"/>
      <c r="E47" s="29"/>
      <c r="F47" s="30">
        <f>SUM(F7:F46)</f>
        <v>26745.84</v>
      </c>
      <c r="G47" s="30">
        <f>SUM(G7:G46)</f>
        <v>23.510000000000005</v>
      </c>
      <c r="H47" s="31"/>
      <c r="I47" s="25"/>
      <c r="J47" s="25"/>
      <c r="K47" s="25"/>
      <c r="L47" s="25"/>
    </row>
    <row r="48" spans="2:12">
      <c r="B48" s="32" t="s">
        <v>121</v>
      </c>
      <c r="C48" s="32"/>
      <c r="D48" s="32"/>
      <c r="E48" s="32"/>
      <c r="F48" s="33">
        <f>F47</f>
        <v>26745.84</v>
      </c>
      <c r="G48" s="33">
        <f>G47</f>
        <v>23.510000000000005</v>
      </c>
      <c r="H48" s="34"/>
      <c r="I48" s="25"/>
      <c r="J48" s="25"/>
      <c r="K48" s="25"/>
      <c r="L48" s="25"/>
    </row>
    <row r="49" spans="2:12">
      <c r="B49" s="35" t="s">
        <v>122</v>
      </c>
      <c r="C49" s="36"/>
      <c r="D49" s="36"/>
      <c r="E49" s="36"/>
      <c r="F49" s="37"/>
      <c r="G49" s="37"/>
      <c r="H49" s="37"/>
      <c r="I49" s="25"/>
      <c r="J49" s="25"/>
      <c r="K49" s="25"/>
      <c r="L49" s="25"/>
    </row>
    <row r="50" spans="2:12">
      <c r="B50" s="38" t="s">
        <v>13</v>
      </c>
      <c r="C50" s="20"/>
      <c r="D50" s="20"/>
      <c r="E50" s="20"/>
      <c r="F50" s="21"/>
      <c r="G50" s="21"/>
      <c r="H50" s="21"/>
      <c r="I50" s="25"/>
      <c r="J50" s="25"/>
      <c r="K50" s="25"/>
      <c r="L50" s="25"/>
    </row>
    <row r="51" spans="2:12">
      <c r="B51" s="20" t="s">
        <v>123</v>
      </c>
      <c r="C51" s="20" t="s">
        <v>124</v>
      </c>
      <c r="D51" s="20" t="s">
        <v>125</v>
      </c>
      <c r="E51" s="24">
        <v>350</v>
      </c>
      <c r="F51" s="21">
        <v>3550.76</v>
      </c>
      <c r="G51" s="21">
        <v>3.12</v>
      </c>
      <c r="H51" s="21">
        <v>5.36</v>
      </c>
      <c r="I51" s="25"/>
      <c r="J51" s="25"/>
      <c r="K51" s="25"/>
      <c r="L51" s="25"/>
    </row>
    <row r="52" spans="2:12">
      <c r="B52" s="20" t="s">
        <v>126</v>
      </c>
      <c r="C52" s="20" t="s">
        <v>127</v>
      </c>
      <c r="D52" s="20" t="s">
        <v>125</v>
      </c>
      <c r="E52" s="24">
        <v>300</v>
      </c>
      <c r="F52" s="21">
        <v>3099.05</v>
      </c>
      <c r="G52" s="21">
        <v>2.72</v>
      </c>
      <c r="H52" s="21">
        <v>5.95</v>
      </c>
      <c r="I52" s="25"/>
      <c r="J52" s="25"/>
      <c r="K52" s="25"/>
      <c r="L52" s="25"/>
    </row>
    <row r="53" spans="2:12">
      <c r="B53" s="20" t="s">
        <v>128</v>
      </c>
      <c r="C53" s="20" t="s">
        <v>129</v>
      </c>
      <c r="D53" s="20" t="s">
        <v>125</v>
      </c>
      <c r="E53" s="24">
        <v>250</v>
      </c>
      <c r="F53" s="21">
        <v>2561.75</v>
      </c>
      <c r="G53" s="21">
        <v>2.25</v>
      </c>
      <c r="H53" s="21">
        <v>6.45</v>
      </c>
      <c r="I53" s="25"/>
      <c r="J53" s="25"/>
      <c r="K53" s="25"/>
      <c r="L53" s="25"/>
    </row>
    <row r="54" spans="2:12">
      <c r="B54" s="20" t="s">
        <v>130</v>
      </c>
      <c r="C54" s="20" t="s">
        <v>131</v>
      </c>
      <c r="D54" s="20" t="s">
        <v>125</v>
      </c>
      <c r="E54" s="24">
        <v>250</v>
      </c>
      <c r="F54" s="21">
        <v>2559.92</v>
      </c>
      <c r="G54" s="21">
        <v>2.25</v>
      </c>
      <c r="H54" s="21">
        <v>5.0999999999999996</v>
      </c>
      <c r="I54" s="25"/>
      <c r="J54" s="25"/>
      <c r="K54" s="25"/>
      <c r="L54" s="25"/>
    </row>
    <row r="55" spans="2:12">
      <c r="B55" s="20" t="s">
        <v>132</v>
      </c>
      <c r="C55" s="20" t="s">
        <v>133</v>
      </c>
      <c r="D55" s="20" t="s">
        <v>125</v>
      </c>
      <c r="E55" s="24">
        <v>250</v>
      </c>
      <c r="F55" s="21">
        <v>2525.21</v>
      </c>
      <c r="G55" s="21">
        <v>2.2200000000000002</v>
      </c>
      <c r="H55" s="21">
        <v>4.57</v>
      </c>
      <c r="I55" s="25"/>
      <c r="J55" s="25"/>
      <c r="K55" s="25"/>
      <c r="L55" s="25"/>
    </row>
    <row r="56" spans="2:12">
      <c r="B56" s="20" t="s">
        <v>134</v>
      </c>
      <c r="C56" s="20" t="s">
        <v>135</v>
      </c>
      <c r="D56" s="20" t="s">
        <v>125</v>
      </c>
      <c r="E56" s="24">
        <v>250</v>
      </c>
      <c r="F56" s="21">
        <v>2504.96</v>
      </c>
      <c r="G56" s="21">
        <v>2.2000000000000002</v>
      </c>
      <c r="H56" s="21">
        <v>4.49</v>
      </c>
      <c r="I56" s="25"/>
      <c r="J56" s="25"/>
      <c r="K56" s="25"/>
      <c r="L56" s="25"/>
    </row>
    <row r="57" spans="2:12">
      <c r="B57" s="20" t="s">
        <v>136</v>
      </c>
      <c r="C57" s="20" t="s">
        <v>137</v>
      </c>
      <c r="D57" s="20" t="s">
        <v>125</v>
      </c>
      <c r="E57" s="24">
        <v>250</v>
      </c>
      <c r="F57" s="21">
        <v>2502.2600000000002</v>
      </c>
      <c r="G57" s="21">
        <v>2.2000000000000002</v>
      </c>
      <c r="H57" s="21">
        <v>4.55</v>
      </c>
      <c r="I57" s="25"/>
      <c r="J57" s="25"/>
      <c r="K57" s="25"/>
      <c r="L57" s="25"/>
    </row>
    <row r="58" spans="2:12">
      <c r="B58" s="20" t="s">
        <v>138</v>
      </c>
      <c r="C58" s="20" t="s">
        <v>139</v>
      </c>
      <c r="D58" s="20" t="s">
        <v>125</v>
      </c>
      <c r="E58" s="24">
        <v>250</v>
      </c>
      <c r="F58" s="21">
        <v>2498.1</v>
      </c>
      <c r="G58" s="21">
        <v>2.2000000000000002</v>
      </c>
      <c r="H58" s="21">
        <v>5.47</v>
      </c>
      <c r="I58" s="25"/>
      <c r="J58" s="25"/>
      <c r="K58" s="25"/>
      <c r="L58" s="25"/>
    </row>
    <row r="59" spans="2:12">
      <c r="B59" s="20" t="s">
        <v>140</v>
      </c>
      <c r="C59" s="20" t="s">
        <v>141</v>
      </c>
      <c r="D59" s="20" t="s">
        <v>125</v>
      </c>
      <c r="E59" s="24">
        <v>250</v>
      </c>
      <c r="F59" s="21">
        <v>2494.73</v>
      </c>
      <c r="G59" s="21">
        <v>2.19</v>
      </c>
      <c r="H59" s="21">
        <v>5.85</v>
      </c>
      <c r="I59" s="25"/>
      <c r="J59" s="25"/>
      <c r="K59" s="25"/>
      <c r="L59" s="25"/>
    </row>
    <row r="60" spans="2:12">
      <c r="B60" s="20" t="s">
        <v>142</v>
      </c>
      <c r="C60" s="20" t="s">
        <v>143</v>
      </c>
      <c r="D60" s="20" t="s">
        <v>144</v>
      </c>
      <c r="E60" s="24">
        <v>250</v>
      </c>
      <c r="F60" s="21">
        <v>2455.2600000000002</v>
      </c>
      <c r="G60" s="21">
        <v>2.16</v>
      </c>
      <c r="H60" s="21">
        <v>6.3</v>
      </c>
      <c r="I60" s="25"/>
      <c r="J60" s="25"/>
      <c r="K60" s="25"/>
      <c r="L60" s="25"/>
    </row>
    <row r="61" spans="2:12">
      <c r="B61" s="20" t="s">
        <v>145</v>
      </c>
      <c r="C61" s="20" t="s">
        <v>146</v>
      </c>
      <c r="D61" s="20" t="s">
        <v>125</v>
      </c>
      <c r="E61" s="24">
        <v>200</v>
      </c>
      <c r="F61" s="21">
        <v>2041.09</v>
      </c>
      <c r="G61" s="21">
        <v>1.79</v>
      </c>
      <c r="H61" s="21">
        <v>6.49</v>
      </c>
      <c r="I61" s="25"/>
      <c r="J61" s="25"/>
      <c r="K61" s="25"/>
      <c r="L61" s="25"/>
    </row>
    <row r="62" spans="2:12">
      <c r="B62" s="20" t="s">
        <v>147</v>
      </c>
      <c r="C62" s="20" t="s">
        <v>148</v>
      </c>
      <c r="D62" s="20" t="s">
        <v>125</v>
      </c>
      <c r="E62" s="24">
        <v>200</v>
      </c>
      <c r="F62" s="21">
        <v>2021.83</v>
      </c>
      <c r="G62" s="21">
        <v>1.78</v>
      </c>
      <c r="H62" s="21">
        <v>4.74</v>
      </c>
      <c r="I62" s="25"/>
      <c r="J62" s="25"/>
      <c r="K62" s="25"/>
      <c r="L62" s="25"/>
    </row>
    <row r="63" spans="2:12">
      <c r="B63" s="20" t="s">
        <v>149</v>
      </c>
      <c r="C63" s="20" t="s">
        <v>150</v>
      </c>
      <c r="D63" s="20" t="s">
        <v>125</v>
      </c>
      <c r="E63" s="24">
        <v>100</v>
      </c>
      <c r="F63" s="21">
        <v>1034.3</v>
      </c>
      <c r="G63" s="21">
        <v>0.91</v>
      </c>
      <c r="H63" s="21">
        <v>6.25</v>
      </c>
      <c r="I63" s="25"/>
      <c r="J63" s="25"/>
      <c r="K63" s="25"/>
      <c r="L63" s="25"/>
    </row>
    <row r="64" spans="2:12">
      <c r="B64" s="20" t="s">
        <v>151</v>
      </c>
      <c r="C64" s="20" t="s">
        <v>152</v>
      </c>
      <c r="D64" s="20" t="s">
        <v>125</v>
      </c>
      <c r="E64" s="24">
        <v>100</v>
      </c>
      <c r="F64" s="21">
        <v>1021.76</v>
      </c>
      <c r="G64" s="21">
        <v>0.9</v>
      </c>
      <c r="H64" s="21">
        <v>6.35</v>
      </c>
      <c r="I64" s="25"/>
      <c r="J64" s="25"/>
      <c r="K64" s="25"/>
      <c r="L64" s="25"/>
    </row>
    <row r="65" spans="2:12">
      <c r="B65" s="20" t="s">
        <v>153</v>
      </c>
      <c r="C65" s="20" t="s">
        <v>154</v>
      </c>
      <c r="D65" s="20" t="s">
        <v>125</v>
      </c>
      <c r="E65" s="24">
        <v>100</v>
      </c>
      <c r="F65" s="21">
        <v>1014.23</v>
      </c>
      <c r="G65" s="21">
        <v>0.89</v>
      </c>
      <c r="H65" s="21">
        <v>4.8099999999999996</v>
      </c>
      <c r="I65" s="25"/>
      <c r="J65" s="25"/>
      <c r="K65" s="25"/>
      <c r="L65" s="25"/>
    </row>
    <row r="66" spans="2:12">
      <c r="B66" s="20" t="s">
        <v>155</v>
      </c>
      <c r="C66" s="20" t="s">
        <v>156</v>
      </c>
      <c r="D66" s="20" t="s">
        <v>125</v>
      </c>
      <c r="E66" s="24">
        <v>50</v>
      </c>
      <c r="F66" s="21">
        <v>522.05999999999995</v>
      </c>
      <c r="G66" s="21">
        <v>0.46</v>
      </c>
      <c r="H66" s="21">
        <v>6.17</v>
      </c>
      <c r="I66" s="25"/>
      <c r="J66" s="25"/>
      <c r="K66" s="25"/>
      <c r="L66" s="25"/>
    </row>
    <row r="67" spans="2:12">
      <c r="B67" s="29" t="s">
        <v>120</v>
      </c>
      <c r="C67" s="29"/>
      <c r="D67" s="29"/>
      <c r="E67" s="29"/>
      <c r="F67" s="30">
        <f>SUM(F50:F66)</f>
        <v>34407.269999999997</v>
      </c>
      <c r="G67" s="30">
        <f>SUM(G50:G66)</f>
        <v>30.240000000000002</v>
      </c>
      <c r="H67" s="39"/>
      <c r="I67" s="25"/>
      <c r="J67" s="25"/>
      <c r="K67" s="25"/>
      <c r="L67" s="25"/>
    </row>
    <row r="68" spans="2:12">
      <c r="B68" s="40" t="s">
        <v>121</v>
      </c>
      <c r="C68" s="40"/>
      <c r="D68" s="40"/>
      <c r="E68" s="40"/>
      <c r="F68" s="41">
        <f>F67</f>
        <v>34407.269999999997</v>
      </c>
      <c r="G68" s="41">
        <f>G67</f>
        <v>30.240000000000002</v>
      </c>
      <c r="H68" s="41"/>
      <c r="I68" s="25"/>
      <c r="J68" s="25"/>
      <c r="K68" s="25"/>
      <c r="L68" s="25"/>
    </row>
    <row r="69" spans="2:12">
      <c r="B69" s="38" t="s">
        <v>157</v>
      </c>
      <c r="C69" s="20"/>
      <c r="D69" s="20"/>
      <c r="E69" s="20"/>
      <c r="F69" s="21"/>
      <c r="G69" s="21"/>
      <c r="H69" s="21"/>
      <c r="I69" s="25"/>
      <c r="J69" s="25"/>
      <c r="K69" s="25"/>
      <c r="L69" s="25"/>
    </row>
    <row r="70" spans="2:12">
      <c r="B70" s="38" t="s">
        <v>158</v>
      </c>
      <c r="C70" s="20"/>
      <c r="D70" s="20"/>
      <c r="E70" s="20"/>
      <c r="F70" s="21"/>
      <c r="G70" s="21"/>
      <c r="H70" s="21"/>
      <c r="I70" s="25"/>
      <c r="J70" s="25"/>
      <c r="K70" s="25"/>
      <c r="L70" s="25"/>
    </row>
    <row r="71" spans="2:12">
      <c r="B71" s="20" t="s">
        <v>159</v>
      </c>
      <c r="C71" s="20" t="s">
        <v>160</v>
      </c>
      <c r="D71" s="20" t="s">
        <v>161</v>
      </c>
      <c r="E71" s="24">
        <v>500</v>
      </c>
      <c r="F71" s="21">
        <v>2430.81</v>
      </c>
      <c r="G71" s="21">
        <v>2.14</v>
      </c>
      <c r="H71" s="21">
        <v>4.68</v>
      </c>
      <c r="I71" s="25"/>
      <c r="J71" s="25"/>
      <c r="K71" s="25"/>
      <c r="L71" s="25"/>
    </row>
    <row r="72" spans="2:12">
      <c r="B72" s="20" t="s">
        <v>162</v>
      </c>
      <c r="C72" s="20" t="s">
        <v>163</v>
      </c>
      <c r="D72" s="20" t="s">
        <v>161</v>
      </c>
      <c r="E72" s="24">
        <v>500</v>
      </c>
      <c r="F72" s="21">
        <v>2395.89</v>
      </c>
      <c r="G72" s="21">
        <v>2.11</v>
      </c>
      <c r="H72" s="21">
        <v>5.0999999999999996</v>
      </c>
      <c r="I72" s="25"/>
      <c r="J72" s="25"/>
      <c r="K72" s="25"/>
      <c r="L72" s="25"/>
    </row>
    <row r="73" spans="2:12">
      <c r="B73" s="29" t="s">
        <v>120</v>
      </c>
      <c r="C73" s="29"/>
      <c r="D73" s="29"/>
      <c r="E73" s="29"/>
      <c r="F73" s="30">
        <f>SUM(F70:F72)</f>
        <v>4826.7</v>
      </c>
      <c r="G73" s="30">
        <f>SUM(G70:G72)</f>
        <v>4.25</v>
      </c>
      <c r="H73" s="39"/>
      <c r="I73" s="25"/>
      <c r="J73" s="25"/>
      <c r="K73" s="25"/>
      <c r="L73" s="25"/>
    </row>
    <row r="74" spans="2:12">
      <c r="B74" s="40" t="s">
        <v>121</v>
      </c>
      <c r="C74" s="40"/>
      <c r="D74" s="40"/>
      <c r="E74" s="40"/>
      <c r="F74" s="41">
        <f>F73</f>
        <v>4826.7</v>
      </c>
      <c r="G74" s="41">
        <f>G73</f>
        <v>4.25</v>
      </c>
      <c r="H74" s="41"/>
      <c r="I74" s="25"/>
      <c r="J74" s="25"/>
      <c r="K74" s="25"/>
      <c r="L74" s="25"/>
    </row>
    <row r="75" spans="2:12">
      <c r="B75" s="38" t="s">
        <v>164</v>
      </c>
      <c r="C75" s="20"/>
      <c r="D75" s="20"/>
      <c r="E75" s="20"/>
      <c r="F75" s="21"/>
      <c r="G75" s="21"/>
      <c r="H75" s="21"/>
      <c r="I75" s="25"/>
      <c r="J75" s="25"/>
      <c r="K75" s="25"/>
      <c r="L75" s="25"/>
    </row>
    <row r="76" spans="2:12">
      <c r="B76" s="20" t="s">
        <v>165</v>
      </c>
      <c r="C76" s="20" t="s">
        <v>166</v>
      </c>
      <c r="D76" s="20" t="s">
        <v>167</v>
      </c>
      <c r="E76" s="24">
        <v>10000000</v>
      </c>
      <c r="F76" s="21">
        <v>10298.23</v>
      </c>
      <c r="G76" s="21">
        <v>9.0500000000000007</v>
      </c>
      <c r="H76" s="21">
        <v>5.5</v>
      </c>
      <c r="I76" s="25"/>
      <c r="J76" s="25"/>
      <c r="K76" s="25"/>
      <c r="L76" s="25"/>
    </row>
    <row r="77" spans="2:12">
      <c r="B77" s="20" t="s">
        <v>168</v>
      </c>
      <c r="C77" s="20" t="s">
        <v>169</v>
      </c>
      <c r="D77" s="20" t="s">
        <v>167</v>
      </c>
      <c r="E77" s="24">
        <v>5500000</v>
      </c>
      <c r="F77" s="21">
        <v>5665.2</v>
      </c>
      <c r="G77" s="21">
        <v>4.9800000000000004</v>
      </c>
      <c r="H77" s="21">
        <v>5.83</v>
      </c>
      <c r="I77" s="25"/>
      <c r="J77" s="25"/>
      <c r="K77" s="25"/>
      <c r="L77" s="25"/>
    </row>
    <row r="78" spans="2:12">
      <c r="B78" s="20" t="s">
        <v>170</v>
      </c>
      <c r="C78" s="20" t="s">
        <v>171</v>
      </c>
      <c r="D78" s="20" t="s">
        <v>167</v>
      </c>
      <c r="E78" s="24">
        <v>4750000</v>
      </c>
      <c r="F78" s="21">
        <v>4688.5200000000004</v>
      </c>
      <c r="G78" s="21">
        <v>4.12</v>
      </c>
      <c r="H78" s="21">
        <v>5.42</v>
      </c>
      <c r="I78" s="25"/>
      <c r="J78" s="25"/>
      <c r="K78" s="25"/>
      <c r="L78" s="25"/>
    </row>
    <row r="79" spans="2:12">
      <c r="B79" s="20" t="s">
        <v>172</v>
      </c>
      <c r="C79" s="20" t="s">
        <v>173</v>
      </c>
      <c r="D79" s="20" t="s">
        <v>167</v>
      </c>
      <c r="E79" s="24">
        <v>3000000</v>
      </c>
      <c r="F79" s="21">
        <v>3104.07</v>
      </c>
      <c r="G79" s="21">
        <v>2.73</v>
      </c>
      <c r="H79" s="21">
        <v>6.51</v>
      </c>
      <c r="I79" s="25"/>
      <c r="J79" s="25"/>
      <c r="K79" s="25"/>
      <c r="L79" s="25"/>
    </row>
    <row r="80" spans="2:12">
      <c r="B80" s="20" t="s">
        <v>174</v>
      </c>
      <c r="C80" s="20" t="s">
        <v>175</v>
      </c>
      <c r="D80" s="20" t="s">
        <v>167</v>
      </c>
      <c r="E80" s="24">
        <v>2500000</v>
      </c>
      <c r="F80" s="21">
        <v>2470.98</v>
      </c>
      <c r="G80" s="21">
        <v>2.17</v>
      </c>
      <c r="H80" s="21">
        <v>5.29</v>
      </c>
      <c r="I80" s="25"/>
      <c r="J80" s="25"/>
      <c r="K80" s="25"/>
      <c r="L80" s="25"/>
    </row>
    <row r="81" spans="2:12">
      <c r="B81" s="20" t="s">
        <v>176</v>
      </c>
      <c r="C81" s="20" t="s">
        <v>177</v>
      </c>
      <c r="D81" s="20" t="s">
        <v>167</v>
      </c>
      <c r="E81" s="24">
        <v>2000000</v>
      </c>
      <c r="F81" s="21">
        <v>2016.97</v>
      </c>
      <c r="G81" s="21">
        <v>1.77</v>
      </c>
      <c r="H81" s="21">
        <v>5.81</v>
      </c>
      <c r="I81" s="25"/>
      <c r="J81" s="25"/>
      <c r="K81" s="25"/>
      <c r="L81" s="25"/>
    </row>
    <row r="82" spans="2:12">
      <c r="B82" s="20" t="s">
        <v>178</v>
      </c>
      <c r="C82" s="20" t="s">
        <v>179</v>
      </c>
      <c r="D82" s="20" t="s">
        <v>167</v>
      </c>
      <c r="E82" s="24">
        <v>2000000</v>
      </c>
      <c r="F82" s="21">
        <v>1917.11</v>
      </c>
      <c r="G82" s="21">
        <v>1.69</v>
      </c>
      <c r="H82" s="21">
        <v>7.14</v>
      </c>
      <c r="I82" s="25"/>
      <c r="J82" s="25"/>
      <c r="K82" s="25"/>
      <c r="L82" s="25"/>
    </row>
    <row r="83" spans="2:12">
      <c r="B83" s="20" t="s">
        <v>180</v>
      </c>
      <c r="C83" s="20" t="s">
        <v>181</v>
      </c>
      <c r="D83" s="20" t="s">
        <v>167</v>
      </c>
      <c r="E83" s="24">
        <v>1500000</v>
      </c>
      <c r="F83" s="21">
        <v>1457.93</v>
      </c>
      <c r="G83" s="21">
        <v>1.28</v>
      </c>
      <c r="H83" s="21">
        <v>6.22</v>
      </c>
      <c r="I83" s="25"/>
      <c r="J83" s="25"/>
      <c r="K83" s="25"/>
      <c r="L83" s="25"/>
    </row>
    <row r="84" spans="2:12">
      <c r="B84" s="20" t="s">
        <v>182</v>
      </c>
      <c r="C84" s="20" t="s">
        <v>183</v>
      </c>
      <c r="D84" s="20" t="s">
        <v>167</v>
      </c>
      <c r="E84" s="24">
        <v>1000000</v>
      </c>
      <c r="F84" s="21">
        <v>1011.48</v>
      </c>
      <c r="G84" s="21">
        <v>0.89</v>
      </c>
      <c r="H84" s="21">
        <v>5.03</v>
      </c>
      <c r="I84" s="25"/>
      <c r="J84" s="25"/>
      <c r="K84" s="25"/>
      <c r="L84" s="25"/>
    </row>
    <row r="85" spans="2:12">
      <c r="B85" s="20" t="s">
        <v>184</v>
      </c>
      <c r="C85" s="20" t="s">
        <v>185</v>
      </c>
      <c r="D85" s="20" t="s">
        <v>167</v>
      </c>
      <c r="E85" s="24">
        <v>1000000</v>
      </c>
      <c r="F85" s="21">
        <v>964.46</v>
      </c>
      <c r="G85" s="21">
        <v>0.85</v>
      </c>
      <c r="H85" s="21">
        <v>6.66</v>
      </c>
      <c r="I85" s="25"/>
      <c r="J85" s="25"/>
      <c r="K85" s="25"/>
      <c r="L85" s="25"/>
    </row>
    <row r="86" spans="2:12">
      <c r="B86" s="20" t="s">
        <v>186</v>
      </c>
      <c r="C86" s="20" t="s">
        <v>187</v>
      </c>
      <c r="D86" s="20" t="s">
        <v>167</v>
      </c>
      <c r="E86" s="24">
        <v>500000</v>
      </c>
      <c r="F86" s="21">
        <v>524.97</v>
      </c>
      <c r="G86" s="21">
        <v>0.46</v>
      </c>
      <c r="H86" s="21">
        <v>5.59</v>
      </c>
      <c r="I86" s="25"/>
      <c r="J86" s="25"/>
      <c r="K86" s="25"/>
      <c r="L86" s="25"/>
    </row>
    <row r="87" spans="2:12">
      <c r="B87" s="20" t="s">
        <v>188</v>
      </c>
      <c r="C87" s="20" t="s">
        <v>189</v>
      </c>
      <c r="D87" s="20" t="s">
        <v>167</v>
      </c>
      <c r="E87" s="24">
        <v>500000</v>
      </c>
      <c r="F87" s="21">
        <v>505.46</v>
      </c>
      <c r="G87" s="21">
        <v>0.44</v>
      </c>
      <c r="H87" s="21">
        <v>6.93</v>
      </c>
      <c r="I87" s="25"/>
      <c r="J87" s="25"/>
      <c r="K87" s="25"/>
      <c r="L87" s="25"/>
    </row>
    <row r="88" spans="2:12">
      <c r="B88" s="42" t="s">
        <v>190</v>
      </c>
      <c r="C88" s="42" t="s">
        <v>191</v>
      </c>
      <c r="D88" s="42" t="s">
        <v>167</v>
      </c>
      <c r="E88" s="43">
        <v>800</v>
      </c>
      <c r="F88" s="44">
        <v>0.83</v>
      </c>
      <c r="G88" s="44">
        <v>0</v>
      </c>
      <c r="H88" s="44">
        <v>7.42</v>
      </c>
      <c r="I88" s="25"/>
      <c r="J88" s="25"/>
      <c r="K88" s="25"/>
      <c r="L88" s="25"/>
    </row>
    <row r="89" spans="2:12">
      <c r="B89" s="45" t="s">
        <v>121</v>
      </c>
      <c r="C89" s="45"/>
      <c r="D89" s="45"/>
      <c r="E89" s="45"/>
      <c r="F89" s="46">
        <f>SUM(F76:F88)</f>
        <v>34626.210000000006</v>
      </c>
      <c r="G89" s="46">
        <f>SUM(G76:G88)</f>
        <v>30.43000000000001</v>
      </c>
      <c r="H89" s="46"/>
      <c r="I89" s="25"/>
      <c r="J89" s="25"/>
      <c r="K89" s="25"/>
      <c r="L89" s="25"/>
    </row>
    <row r="90" spans="2:12">
      <c r="B90" s="38" t="s">
        <v>192</v>
      </c>
      <c r="C90" s="20"/>
      <c r="D90" s="20"/>
      <c r="E90" s="20"/>
      <c r="F90" s="21"/>
      <c r="G90" s="21"/>
      <c r="H90" s="21"/>
      <c r="I90" s="25"/>
      <c r="J90" s="25"/>
      <c r="K90" s="25"/>
      <c r="L90" s="25"/>
    </row>
    <row r="91" spans="2:12">
      <c r="B91" s="20" t="s">
        <v>192</v>
      </c>
      <c r="C91" s="20"/>
      <c r="D91" s="20"/>
      <c r="E91" s="20"/>
      <c r="F91" s="21">
        <v>12981.58</v>
      </c>
      <c r="G91" s="21">
        <v>11.41</v>
      </c>
      <c r="H91" s="21"/>
      <c r="I91" s="25"/>
      <c r="J91" s="25"/>
      <c r="K91" s="25"/>
      <c r="L91" s="25"/>
    </row>
    <row r="92" spans="2:12">
      <c r="B92" s="29" t="s">
        <v>120</v>
      </c>
      <c r="C92" s="29"/>
      <c r="D92" s="29"/>
      <c r="E92" s="29"/>
      <c r="F92" s="30">
        <f>SUM(F90:F91)</f>
        <v>12981.58</v>
      </c>
      <c r="G92" s="30">
        <f>SUM(G90:G91)</f>
        <v>11.41</v>
      </c>
      <c r="H92" s="39"/>
      <c r="I92" s="25"/>
      <c r="J92" s="25"/>
      <c r="K92" s="25"/>
      <c r="L92" s="25"/>
    </row>
    <row r="93" spans="2:12">
      <c r="B93" s="47" t="s">
        <v>121</v>
      </c>
      <c r="C93" s="47"/>
      <c r="D93" s="47"/>
      <c r="E93" s="47"/>
      <c r="F93" s="48">
        <f>F92</f>
        <v>12981.58</v>
      </c>
      <c r="G93" s="48">
        <f>G92</f>
        <v>11.41</v>
      </c>
      <c r="H93" s="48"/>
      <c r="I93" s="25"/>
      <c r="J93" s="25"/>
      <c r="K93" s="25"/>
      <c r="L93" s="25"/>
    </row>
    <row r="94" spans="2:12">
      <c r="B94" s="49" t="s">
        <v>193</v>
      </c>
      <c r="C94" s="49"/>
      <c r="D94" s="49"/>
      <c r="E94" s="49"/>
      <c r="F94" s="50">
        <f>F95-(+F48+F68+F74+F89+F93)</f>
        <v>175.33999999999651</v>
      </c>
      <c r="G94" s="50">
        <f>G95-(+G48+G68+G74+G89+G93)</f>
        <v>0.15999999999998238</v>
      </c>
      <c r="H94" s="50"/>
      <c r="I94" s="25"/>
      <c r="J94" s="25"/>
      <c r="K94" s="25"/>
      <c r="L94" s="25"/>
    </row>
    <row r="95" spans="2:12">
      <c r="B95" s="49" t="s">
        <v>194</v>
      </c>
      <c r="C95" s="49"/>
      <c r="D95" s="49"/>
      <c r="E95" s="49"/>
      <c r="F95" s="50">
        <v>113762.94</v>
      </c>
      <c r="G95" s="50">
        <v>100</v>
      </c>
      <c r="H95" s="50"/>
      <c r="I95" s="25"/>
      <c r="J95" s="25"/>
      <c r="K95" s="25"/>
      <c r="L95" s="25"/>
    </row>
    <row r="96" spans="2:12">
      <c r="I96" s="25"/>
      <c r="J96" s="25"/>
      <c r="K96" s="25"/>
      <c r="L96" s="25"/>
    </row>
    <row r="97" spans="2:12">
      <c r="B97" s="51" t="s">
        <v>195</v>
      </c>
      <c r="I97" s="25"/>
      <c r="J97" s="25"/>
      <c r="K97" s="25"/>
      <c r="L97" s="25"/>
    </row>
    <row r="98" spans="2:12">
      <c r="B98" s="51" t="s">
        <v>196</v>
      </c>
      <c r="I98" s="25"/>
      <c r="J98" s="25"/>
      <c r="K98" s="25"/>
      <c r="L98" s="25"/>
    </row>
    <row r="99" spans="2:12">
      <c r="I99" s="25"/>
      <c r="J99" s="25"/>
      <c r="K99" s="25"/>
      <c r="L99" s="25"/>
    </row>
    <row r="100" spans="2:12">
      <c r="I100" s="25"/>
      <c r="J100" s="25"/>
      <c r="K100" s="25"/>
      <c r="L100" s="25"/>
    </row>
    <row r="101" spans="2:12">
      <c r="I101" s="25"/>
      <c r="J101" s="25"/>
      <c r="K101" s="25"/>
      <c r="L101" s="25"/>
    </row>
    <row r="102" spans="2:12">
      <c r="I102" s="25"/>
      <c r="J102" s="25"/>
      <c r="K102" s="25"/>
      <c r="L102" s="25"/>
    </row>
    <row r="103" spans="2:12">
      <c r="I103" s="25"/>
      <c r="J103" s="25"/>
      <c r="K103" s="25"/>
      <c r="L103" s="25"/>
    </row>
  </sheetData>
  <mergeCells count="5">
    <mergeCell ref="B1:H1"/>
    <mergeCell ref="J5:J12"/>
    <mergeCell ref="K5:K12"/>
    <mergeCell ref="L5:L12"/>
    <mergeCell ref="J15:L17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2022-05-06T06:27:38Z</dcterms:created>
  <dcterms:modified xsi:type="dcterms:W3CDTF">2022-05-06T06:27:39Z</dcterms:modified>
</cp:coreProperties>
</file>