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155"/>
  </bookViews>
  <sheets>
    <sheet name="Riskometer" sheetId="23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FEF" sheetId="8" r:id="rId9"/>
    <sheet name="CREHF" sheetId="9" r:id="rId10"/>
    <sheet name="CRDBF" sheetId="10" r:id="rId11"/>
    <sheet name="CRGILT" sheetId="11" r:id="rId12"/>
    <sheet name="CRINC" sheetId="12" r:id="rId13"/>
    <sheet name="CRSF" sheetId="13" r:id="rId14"/>
    <sheet name="CRCHF" sheetId="14" r:id="rId15"/>
    <sheet name="CRG1988" sheetId="15" r:id="rId16"/>
    <sheet name="CRL" sheetId="16" r:id="rId17"/>
    <sheet name="CRUSTF" sheetId="17" r:id="rId18"/>
    <sheet name="CROF" sheetId="18" r:id="rId19"/>
    <sheet name="CRSDF" sheetId="19" r:id="rId20"/>
    <sheet name="CRCBF" sheetId="20" r:id="rId21"/>
    <sheet name="CRFMP8" sheetId="21" r:id="rId22"/>
    <sheet name="CRCPOF10" sheetId="22" r:id="rId23"/>
  </sheets>
  <calcPr calcId="152511"/>
</workbook>
</file>

<file path=xl/calcChain.xml><?xml version="1.0" encoding="utf-8"?>
<calcChain xmlns="http://schemas.openxmlformats.org/spreadsheetml/2006/main">
  <c r="G62" i="22" l="1"/>
  <c r="F62" i="22"/>
  <c r="G61" i="22"/>
  <c r="F61" i="22"/>
  <c r="G60" i="22"/>
  <c r="F60" i="22"/>
  <c r="G57" i="22"/>
  <c r="F57" i="22"/>
  <c r="G52" i="22"/>
  <c r="F52" i="22"/>
  <c r="G51" i="22"/>
  <c r="F51" i="22"/>
  <c r="G42" i="22"/>
  <c r="F42" i="22"/>
  <c r="G41" i="22"/>
  <c r="F41" i="22"/>
  <c r="G31" i="21"/>
  <c r="F31" i="21"/>
  <c r="G30" i="21"/>
  <c r="F30" i="21"/>
  <c r="G29" i="21"/>
  <c r="F29" i="21"/>
  <c r="G26" i="21"/>
  <c r="F26" i="21"/>
  <c r="G21" i="21"/>
  <c r="F21" i="21"/>
  <c r="G20" i="21"/>
  <c r="F20" i="21"/>
  <c r="G16" i="21"/>
  <c r="F16" i="21"/>
  <c r="G15" i="21"/>
  <c r="F15" i="21"/>
  <c r="G54" i="20"/>
  <c r="F54" i="20"/>
  <c r="G53" i="20"/>
  <c r="F53" i="20"/>
  <c r="G52" i="20"/>
  <c r="F52" i="20"/>
  <c r="G49" i="20"/>
  <c r="F49" i="20"/>
  <c r="G39" i="20"/>
  <c r="F39" i="20"/>
  <c r="G38" i="20"/>
  <c r="F38" i="20"/>
  <c r="G34" i="20"/>
  <c r="F34" i="20"/>
  <c r="G33" i="20"/>
  <c r="F33" i="20"/>
  <c r="G75" i="19"/>
  <c r="F75" i="19"/>
  <c r="G74" i="19"/>
  <c r="F74" i="19"/>
  <c r="G73" i="19"/>
  <c r="F73" i="19"/>
  <c r="G70" i="19"/>
  <c r="F70" i="19"/>
  <c r="G54" i="19"/>
  <c r="F54" i="19"/>
  <c r="G53" i="19"/>
  <c r="F53" i="19"/>
  <c r="G45" i="19"/>
  <c r="F45" i="19"/>
  <c r="G44" i="19"/>
  <c r="F44" i="19"/>
  <c r="G7" i="18"/>
  <c r="G8" i="18" s="1"/>
  <c r="G9" i="18" s="1"/>
  <c r="F7" i="18"/>
  <c r="F8" i="18" s="1"/>
  <c r="F9" i="18" s="1"/>
  <c r="G49" i="17"/>
  <c r="F49" i="17"/>
  <c r="G48" i="17"/>
  <c r="F48" i="17"/>
  <c r="G47" i="17"/>
  <c r="F47" i="17"/>
  <c r="G44" i="17"/>
  <c r="F44" i="17"/>
  <c r="G41" i="17"/>
  <c r="F41" i="17"/>
  <c r="G40" i="17"/>
  <c r="F40" i="17"/>
  <c r="G31" i="17"/>
  <c r="F31" i="17"/>
  <c r="G28" i="17"/>
  <c r="F28" i="17"/>
  <c r="G20" i="17"/>
  <c r="F20" i="17"/>
  <c r="G19" i="17"/>
  <c r="F19" i="17"/>
  <c r="G40" i="16"/>
  <c r="F40" i="16"/>
  <c r="G39" i="16"/>
  <c r="F39" i="16"/>
  <c r="G38" i="16"/>
  <c r="F38" i="16"/>
  <c r="G35" i="16"/>
  <c r="F35" i="16"/>
  <c r="G34" i="16"/>
  <c r="F34" i="16"/>
  <c r="G20" i="16"/>
  <c r="F20" i="16"/>
  <c r="G8" i="16"/>
  <c r="F8" i="16"/>
  <c r="G13" i="15"/>
  <c r="F13" i="15"/>
  <c r="G12" i="15"/>
  <c r="F12" i="15"/>
  <c r="G11" i="15"/>
  <c r="F11" i="15"/>
  <c r="G8" i="15"/>
  <c r="F8" i="15"/>
  <c r="G93" i="14"/>
  <c r="F93" i="14"/>
  <c r="G92" i="14"/>
  <c r="F92" i="14"/>
  <c r="G91" i="14"/>
  <c r="F91" i="14"/>
  <c r="G88" i="14"/>
  <c r="F88" i="14"/>
  <c r="G65" i="14"/>
  <c r="F65" i="14"/>
  <c r="G64" i="14"/>
  <c r="F64" i="14"/>
  <c r="G60" i="14"/>
  <c r="F60" i="14"/>
  <c r="G59" i="14"/>
  <c r="F59" i="14"/>
  <c r="G44" i="14"/>
  <c r="F44" i="14"/>
  <c r="G43" i="14"/>
  <c r="F43" i="14"/>
  <c r="G66" i="13"/>
  <c r="F66" i="13"/>
  <c r="G65" i="13"/>
  <c r="F65" i="13"/>
  <c r="G64" i="13"/>
  <c r="F64" i="13"/>
  <c r="G61" i="13"/>
  <c r="F61" i="13"/>
  <c r="G51" i="13"/>
  <c r="F51" i="13"/>
  <c r="G50" i="13"/>
  <c r="F50" i="13"/>
  <c r="G42" i="13"/>
  <c r="F42" i="13"/>
  <c r="G39" i="13"/>
  <c r="F39" i="13"/>
  <c r="G33" i="13"/>
  <c r="F33" i="13"/>
  <c r="G32" i="13"/>
  <c r="F32" i="13"/>
  <c r="G36" i="12"/>
  <c r="F36" i="12"/>
  <c r="G35" i="12"/>
  <c r="F35" i="12"/>
  <c r="G34" i="12"/>
  <c r="F34" i="12"/>
  <c r="G31" i="12"/>
  <c r="F31" i="12"/>
  <c r="G15" i="12"/>
  <c r="F15" i="12"/>
  <c r="G14" i="12"/>
  <c r="F14" i="12"/>
  <c r="G20" i="11"/>
  <c r="F20" i="11"/>
  <c r="G19" i="11"/>
  <c r="F19" i="11"/>
  <c r="G18" i="11"/>
  <c r="F18" i="11"/>
  <c r="G15" i="11"/>
  <c r="F15" i="11"/>
  <c r="G28" i="10"/>
  <c r="F28" i="10"/>
  <c r="G27" i="10"/>
  <c r="F27" i="10"/>
  <c r="G26" i="10"/>
  <c r="F26" i="10"/>
  <c r="G23" i="10"/>
  <c r="F23" i="10"/>
  <c r="G15" i="10"/>
  <c r="F15" i="10"/>
  <c r="G14" i="10"/>
  <c r="F14" i="10"/>
  <c r="G10" i="10"/>
  <c r="F10" i="10"/>
  <c r="G9" i="10"/>
  <c r="F9" i="10"/>
  <c r="G127" i="9"/>
  <c r="F127" i="9"/>
  <c r="G126" i="9"/>
  <c r="F126" i="9"/>
  <c r="G125" i="9"/>
  <c r="F125" i="9"/>
  <c r="G122" i="9"/>
  <c r="F122" i="9"/>
  <c r="G98" i="9"/>
  <c r="F98" i="9"/>
  <c r="G97" i="9"/>
  <c r="F97" i="9"/>
  <c r="G64" i="9"/>
  <c r="F64" i="9"/>
  <c r="G63" i="9"/>
  <c r="F63" i="9"/>
  <c r="F41" i="8"/>
  <c r="G40" i="8"/>
  <c r="G41" i="8" s="1"/>
  <c r="F40" i="8"/>
  <c r="G36" i="8"/>
  <c r="G37" i="8" s="1"/>
  <c r="G42" i="8" s="1"/>
  <c r="F36" i="8"/>
  <c r="F37" i="8" s="1"/>
  <c r="F42" i="8" s="1"/>
  <c r="G67" i="7"/>
  <c r="F67" i="7"/>
  <c r="G66" i="7"/>
  <c r="F66" i="7"/>
  <c r="G63" i="7"/>
  <c r="G68" i="7" s="1"/>
  <c r="F63" i="7"/>
  <c r="F68" i="7" s="1"/>
  <c r="G62" i="7"/>
  <c r="F62" i="7"/>
  <c r="F65" i="6"/>
  <c r="G64" i="6"/>
  <c r="G65" i="6" s="1"/>
  <c r="F64" i="6"/>
  <c r="F61" i="6"/>
  <c r="G60" i="6"/>
  <c r="G61" i="6" s="1"/>
  <c r="F60" i="6"/>
  <c r="G55" i="6"/>
  <c r="G56" i="6" s="1"/>
  <c r="G66" i="6" s="1"/>
  <c r="F55" i="6"/>
  <c r="F56" i="6" s="1"/>
  <c r="F66" i="6" s="1"/>
  <c r="G54" i="5"/>
  <c r="G55" i="5" s="1"/>
  <c r="F54" i="5"/>
  <c r="F55" i="5" s="1"/>
  <c r="G50" i="5"/>
  <c r="G51" i="5" s="1"/>
  <c r="G56" i="5" s="1"/>
  <c r="F50" i="5"/>
  <c r="F51" i="5" s="1"/>
  <c r="G77" i="4"/>
  <c r="F77" i="4"/>
  <c r="G76" i="4"/>
  <c r="F76" i="4"/>
  <c r="G75" i="4"/>
  <c r="F75" i="4"/>
  <c r="G72" i="4"/>
  <c r="F72" i="4"/>
  <c r="G71" i="4"/>
  <c r="F71" i="4"/>
  <c r="G67" i="4"/>
  <c r="F67" i="4"/>
  <c r="G66" i="4"/>
  <c r="F66" i="4"/>
  <c r="G66" i="3"/>
  <c r="G67" i="3" s="1"/>
  <c r="F66" i="3"/>
  <c r="F67" i="3" s="1"/>
  <c r="G62" i="3"/>
  <c r="G63" i="3" s="1"/>
  <c r="F62" i="3"/>
  <c r="F63" i="3" s="1"/>
  <c r="G78" i="2"/>
  <c r="F78" i="2"/>
  <c r="G77" i="2"/>
  <c r="F77" i="2"/>
  <c r="G76" i="2"/>
  <c r="F76" i="2"/>
  <c r="G73" i="2"/>
  <c r="F73" i="2"/>
  <c r="G72" i="2"/>
  <c r="F72" i="2"/>
  <c r="G68" i="2"/>
  <c r="F68" i="2"/>
  <c r="G67" i="2"/>
  <c r="F67" i="2"/>
  <c r="G44" i="1"/>
  <c r="G43" i="1"/>
  <c r="F43" i="1"/>
  <c r="F44" i="1" s="1"/>
  <c r="G40" i="1"/>
  <c r="G45" i="1" s="1"/>
  <c r="G39" i="1"/>
  <c r="F39" i="1"/>
  <c r="F40" i="1" s="1"/>
  <c r="F56" i="5" l="1"/>
  <c r="F68" i="3"/>
  <c r="G68" i="3"/>
  <c r="F45" i="1"/>
</calcChain>
</file>

<file path=xl/sharedStrings.xml><?xml version="1.0" encoding="utf-8"?>
<sst xmlns="http://schemas.openxmlformats.org/spreadsheetml/2006/main" count="3078" uniqueCount="802">
  <si>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</si>
  <si>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</si>
  <si>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</si>
  <si>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</si>
  <si>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</si>
  <si>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</si>
  <si>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</si>
  <si>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June 30,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</si>
  <si>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</si>
  <si>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</si>
  <si>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</si>
  <si>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</si>
  <si>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</si>
  <si>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</si>
  <si>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</si>
  <si>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FOCUSED EQUITY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</si>
  <si>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</si>
  <si>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</si>
  <si>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</si>
  <si>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</si>
  <si>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</si>
  <si>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</si>
  <si>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</si>
  <si>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</si>
  <si>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</si>
  <si>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</si>
  <si>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</si>
  <si>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</si>
  <si>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</si>
  <si>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</si>
  <si>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</si>
  <si>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</si>
  <si>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</si>
  <si>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</si>
  <si>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</si>
  <si>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ICICI Bank Ltd</t>
  </si>
  <si>
    <t>INE090A01021</t>
  </si>
  <si>
    <t>Banks</t>
  </si>
  <si>
    <t>KNR Constructions Ltd</t>
  </si>
  <si>
    <t>INE634I01029</t>
  </si>
  <si>
    <t>Construction</t>
  </si>
  <si>
    <t>Bharat Electronics Ltd</t>
  </si>
  <si>
    <t>INE263A01024</t>
  </si>
  <si>
    <t>Aerospace &amp; Defense</t>
  </si>
  <si>
    <t>Siemens Ltd</t>
  </si>
  <si>
    <t>INE003A01024</t>
  </si>
  <si>
    <t>Industrial Capital Goods</t>
  </si>
  <si>
    <t>TCI Express Ltd</t>
  </si>
  <si>
    <t>INE586V01016</t>
  </si>
  <si>
    <t>Transportation</t>
  </si>
  <si>
    <t>PNC Infratech Ltd</t>
  </si>
  <si>
    <t>INE195J01029</t>
  </si>
  <si>
    <t>Honeywell Automation India Ltd</t>
  </si>
  <si>
    <t>INE671A01010</t>
  </si>
  <si>
    <t>State Bank of India</t>
  </si>
  <si>
    <t>INE062A01020</t>
  </si>
  <si>
    <t>Ahluwalia Contracts (India) Ltd</t>
  </si>
  <si>
    <t>INE758C01029</t>
  </si>
  <si>
    <t>Sobha Ltd</t>
  </si>
  <si>
    <t>INE671H01015</t>
  </si>
  <si>
    <t>Ultratech Cement Ltd</t>
  </si>
  <si>
    <t>INE481G01011</t>
  </si>
  <si>
    <t>Cement &amp; Cement Products</t>
  </si>
  <si>
    <t>Schaeffler India Ltd</t>
  </si>
  <si>
    <t>INE513A01014</t>
  </si>
  <si>
    <t>Industrial Products</t>
  </si>
  <si>
    <t>ABB India Ltd</t>
  </si>
  <si>
    <t>INE117A01022</t>
  </si>
  <si>
    <t>Gujarat Gas Ltd</t>
  </si>
  <si>
    <t>INE844O01030</t>
  </si>
  <si>
    <t>Gas</t>
  </si>
  <si>
    <t>Dalmia Bharat Ltd</t>
  </si>
  <si>
    <t>INE00R701025</t>
  </si>
  <si>
    <t>Grindwell Norton Ltd</t>
  </si>
  <si>
    <t>INE536A01023</t>
  </si>
  <si>
    <t>Thermax Ltd</t>
  </si>
  <si>
    <t>INE152A01029</t>
  </si>
  <si>
    <t>Container Corporation Of India Ltd</t>
  </si>
  <si>
    <t>INE111A01025</t>
  </si>
  <si>
    <t>Indian Oil Corporation Ltd</t>
  </si>
  <si>
    <t>INE242A01010</t>
  </si>
  <si>
    <t>Petroleum Products</t>
  </si>
  <si>
    <t>Timken India Ltd</t>
  </si>
  <si>
    <t>INE325A01013</t>
  </si>
  <si>
    <t>Tata Steel Ltd</t>
  </si>
  <si>
    <t>INE081A01012</t>
  </si>
  <si>
    <t>Ferrous Metals</t>
  </si>
  <si>
    <t>J.K. Cement Ltd</t>
  </si>
  <si>
    <t>INE823G01014</t>
  </si>
  <si>
    <t>Mahindra Lifespace Developers Ltd</t>
  </si>
  <si>
    <t>INE813A01018</t>
  </si>
  <si>
    <t>GAIL (India) Ltd</t>
  </si>
  <si>
    <t>INE129A01019</t>
  </si>
  <si>
    <t>Ambuja Cements Ltd</t>
  </si>
  <si>
    <t>INE079A01024</t>
  </si>
  <si>
    <t>Hindalco Industries Ltd</t>
  </si>
  <si>
    <t>INE038A01020</t>
  </si>
  <si>
    <t>Non - Ferrous Metals</t>
  </si>
  <si>
    <t>Dixon Technologies (India) Ltd</t>
  </si>
  <si>
    <t>INE935N01020</t>
  </si>
  <si>
    <t>Consumer Durables</t>
  </si>
  <si>
    <t>Cummins India Ltd</t>
  </si>
  <si>
    <t>INE298A01020</t>
  </si>
  <si>
    <t>Power Grid Corporation of India Ltd</t>
  </si>
  <si>
    <t>INE752E01010</t>
  </si>
  <si>
    <t>Power</t>
  </si>
  <si>
    <t>NTPC Ltd</t>
  </si>
  <si>
    <t>INE733E01010</t>
  </si>
  <si>
    <t>The Ramco Cements Ltd</t>
  </si>
  <si>
    <t>INE331A01037</t>
  </si>
  <si>
    <t>Sub Total</t>
  </si>
  <si>
    <t>Total</t>
  </si>
  <si>
    <t>TREPS</t>
  </si>
  <si>
    <t>Grand Total</t>
  </si>
  <si>
    <t>Net Receivables / (Payables)</t>
  </si>
  <si>
    <t>Infosys Ltd</t>
  </si>
  <si>
    <t>INE009A01021</t>
  </si>
  <si>
    <t>Software</t>
  </si>
  <si>
    <t>HDFC Bank Ltd</t>
  </si>
  <si>
    <t>INE040A01034</t>
  </si>
  <si>
    <t>Tata Consultancy Services Ltd</t>
  </si>
  <si>
    <t>INE467B01029</t>
  </si>
  <si>
    <t>Reliance Industries Ltd</t>
  </si>
  <si>
    <t>INE002A01018</t>
  </si>
  <si>
    <t>Axis Bank Ltd</t>
  </si>
  <si>
    <t>INE238A01034</t>
  </si>
  <si>
    <t>Bajaj Finance Ltd</t>
  </si>
  <si>
    <t>INE296A01024</t>
  </si>
  <si>
    <t>Finance</t>
  </si>
  <si>
    <t>Housing Development Finance Corporation Ltd</t>
  </si>
  <si>
    <t>INE001A01036</t>
  </si>
  <si>
    <t>Hindustan Unilever Ltd</t>
  </si>
  <si>
    <t>INE030A01027</t>
  </si>
  <si>
    <t>Consumer Non Durables</t>
  </si>
  <si>
    <t>Max Financial Services Ltd</t>
  </si>
  <si>
    <t>INE180A01020</t>
  </si>
  <si>
    <t>Insurance</t>
  </si>
  <si>
    <t>Avenue Supermarts Ltd</t>
  </si>
  <si>
    <t>INE192R01011</t>
  </si>
  <si>
    <t>Retailing</t>
  </si>
  <si>
    <t>Polycab India Ltd</t>
  </si>
  <si>
    <t>INE455K01017</t>
  </si>
  <si>
    <t>Kotak Mahindra Bank Ltd</t>
  </si>
  <si>
    <t>INE237A01028</t>
  </si>
  <si>
    <t>Divi's Laboratories Ltd</t>
  </si>
  <si>
    <t>INE361B01024</t>
  </si>
  <si>
    <t>Pharmaceuticals</t>
  </si>
  <si>
    <t>Indraprastha Gas Ltd</t>
  </si>
  <si>
    <t>INE203G01027</t>
  </si>
  <si>
    <t>Asian Paints Ltd</t>
  </si>
  <si>
    <t>INE021A01026</t>
  </si>
  <si>
    <t>Mphasis Ltd</t>
  </si>
  <si>
    <t>INE356A01018</t>
  </si>
  <si>
    <t>PI Industries Ltd</t>
  </si>
  <si>
    <t>INE603J01030</t>
  </si>
  <si>
    <t>Pesticides</t>
  </si>
  <si>
    <t>Sona Blw Precision Forgings Ltd</t>
  </si>
  <si>
    <t>INE073K01018</t>
  </si>
  <si>
    <t>Auto Ancillaries</t>
  </si>
  <si>
    <t>Voltas Ltd</t>
  </si>
  <si>
    <t>INE226A01021</t>
  </si>
  <si>
    <t>Max Healthcare Institute Ltd</t>
  </si>
  <si>
    <t>INE027H01010</t>
  </si>
  <si>
    <t>Healthcare Services</t>
  </si>
  <si>
    <t>Tata Consumer Products Ltd</t>
  </si>
  <si>
    <t>INE192A01025</t>
  </si>
  <si>
    <t>Minda Industries Ltd</t>
  </si>
  <si>
    <t>INE405E01023</t>
  </si>
  <si>
    <t>Bharti Airtel Ltd</t>
  </si>
  <si>
    <t>INE397D01024</t>
  </si>
  <si>
    <t>Telecom - Services</t>
  </si>
  <si>
    <t>Atul Ltd</t>
  </si>
  <si>
    <t>INE100A01010</t>
  </si>
  <si>
    <t>Chemicals</t>
  </si>
  <si>
    <t>Maruti Suzuki India Ltd</t>
  </si>
  <si>
    <t>INE585B01010</t>
  </si>
  <si>
    <t>Auto</t>
  </si>
  <si>
    <t>Havells India Ltd</t>
  </si>
  <si>
    <t>INE176B01034</t>
  </si>
  <si>
    <t>TVS Motor Co Ltd</t>
  </si>
  <si>
    <t>INE494B01023</t>
  </si>
  <si>
    <t>Navin Fluorine International Ltd</t>
  </si>
  <si>
    <t>INE048G01026</t>
  </si>
  <si>
    <t>Balkrishna Industries Ltd</t>
  </si>
  <si>
    <t>INE787D01026</t>
  </si>
  <si>
    <t>Titan Co Ltd</t>
  </si>
  <si>
    <t>INE280A01028</t>
  </si>
  <si>
    <t>HDFC Life Insurance Co Ltd</t>
  </si>
  <si>
    <t>INE795G01014</t>
  </si>
  <si>
    <t>Tata Motors Ltd</t>
  </si>
  <si>
    <t>INE155A01022</t>
  </si>
  <si>
    <t>Vinati Organics Ltd</t>
  </si>
  <si>
    <t>INE410B01037</t>
  </si>
  <si>
    <t>Cipla Ltd</t>
  </si>
  <si>
    <t>INE059A01026</t>
  </si>
  <si>
    <t>Jubilant Foodworks Ltd</t>
  </si>
  <si>
    <t>INE797F01012</t>
  </si>
  <si>
    <t>Leisure Services</t>
  </si>
  <si>
    <t>Bharat Forge Ltd</t>
  </si>
  <si>
    <t>INE465A01025</t>
  </si>
  <si>
    <t>Ashok Leyland Ltd</t>
  </si>
  <si>
    <t>INE208A01029</t>
  </si>
  <si>
    <t>Can Fin Homes Ltd</t>
  </si>
  <si>
    <t>INE477A01020</t>
  </si>
  <si>
    <t>Cholamandalam Investment and Finance Co Ltd</t>
  </si>
  <si>
    <t>INE121A01024</t>
  </si>
  <si>
    <t>SBI Cards and Payment Services Ltd</t>
  </si>
  <si>
    <t>INE018E01016</t>
  </si>
  <si>
    <t>Bata India Ltd</t>
  </si>
  <si>
    <t>INE176A01028</t>
  </si>
  <si>
    <t>HCL Technologies Ltd</t>
  </si>
  <si>
    <t>INE860A01027</t>
  </si>
  <si>
    <t>Sun Pharmaceutical Industries Ltd</t>
  </si>
  <si>
    <t>INE044A01036</t>
  </si>
  <si>
    <t>Abbott India Ltd</t>
  </si>
  <si>
    <t>INE358A01014</t>
  </si>
  <si>
    <t>Dr. Lal Path Labs Ltd</t>
  </si>
  <si>
    <t>INE600L01024</t>
  </si>
  <si>
    <t>IPCA Laboratories Ltd</t>
  </si>
  <si>
    <t>INE571A01020</t>
  </si>
  <si>
    <t>Britannia Industries Ltd</t>
  </si>
  <si>
    <t>INE216A01030</t>
  </si>
  <si>
    <t>Whirlpool Of India Ltd</t>
  </si>
  <si>
    <t>INE716A01013</t>
  </si>
  <si>
    <t>Shree Cement Ltd</t>
  </si>
  <si>
    <t>INE070A01015</t>
  </si>
  <si>
    <t>Debt Instruments</t>
  </si>
  <si>
    <t>5.50% Britannia Industries Ltd (03/06/2024) **</t>
  </si>
  <si>
    <t>INE216A08027</t>
  </si>
  <si>
    <t>CRISIL AAA</t>
  </si>
  <si>
    <t>Motherson Sumi Systems Ltd</t>
  </si>
  <si>
    <t>INE775A01035</t>
  </si>
  <si>
    <t>Persistent Systems Ltd</t>
  </si>
  <si>
    <t>INE262H01013</t>
  </si>
  <si>
    <t>Info Edge (India) Ltd</t>
  </si>
  <si>
    <t>INE663F01024</t>
  </si>
  <si>
    <t>Crompton Greaves Consumer Electricals Ltd</t>
  </si>
  <si>
    <t>INE299U01018</t>
  </si>
  <si>
    <t>Gland Pharma Ltd</t>
  </si>
  <si>
    <t>INE068V01023</t>
  </si>
  <si>
    <t>WABCO India Ltd</t>
  </si>
  <si>
    <t>INE342J01019</t>
  </si>
  <si>
    <t>Dr. Reddy's Laboratories Ltd</t>
  </si>
  <si>
    <t>INE089A01023</t>
  </si>
  <si>
    <t>PVR Ltd</t>
  </si>
  <si>
    <t>INE191H01014</t>
  </si>
  <si>
    <t>Entertainment</t>
  </si>
  <si>
    <t>SBI Life Insurance Co Ltd</t>
  </si>
  <si>
    <t>INE123W01016</t>
  </si>
  <si>
    <t>Grasim Industries Ltd</t>
  </si>
  <si>
    <t>INE047A01021</t>
  </si>
  <si>
    <t>Affle India Ltd</t>
  </si>
  <si>
    <t>INE00WC01019</t>
  </si>
  <si>
    <t>Mahindra &amp; Mahindra Ltd</t>
  </si>
  <si>
    <t>INE101A01026</t>
  </si>
  <si>
    <t>Tata Communications Ltd</t>
  </si>
  <si>
    <t>INE151A01013</t>
  </si>
  <si>
    <t>LIC Housing Finance Ltd</t>
  </si>
  <si>
    <t>INE115A01026</t>
  </si>
  <si>
    <t>Aditya Birla Fashion and Retail Ltd</t>
  </si>
  <si>
    <t>INE647O01011</t>
  </si>
  <si>
    <t>Indian Railway Catering And Tourism Corp Ltd</t>
  </si>
  <si>
    <t>INE335Y01012</t>
  </si>
  <si>
    <t>Kansai Nerolac Paints Ltd</t>
  </si>
  <si>
    <t>INE531A01024</t>
  </si>
  <si>
    <t>AIA Engineering Ltd</t>
  </si>
  <si>
    <t>INE212H01026</t>
  </si>
  <si>
    <t>Century Textile &amp; Industries Ltd</t>
  </si>
  <si>
    <t>INE055A01016</t>
  </si>
  <si>
    <t>Paper</t>
  </si>
  <si>
    <t>City Union Bank Ltd</t>
  </si>
  <si>
    <t>INE491A01021</t>
  </si>
  <si>
    <t>Muthoot Finance Ltd</t>
  </si>
  <si>
    <t>INE414G01012</t>
  </si>
  <si>
    <t>Multi Commodity Exchange Of India Ltd</t>
  </si>
  <si>
    <t>INE745G01035</t>
  </si>
  <si>
    <t>Capital Markets</t>
  </si>
  <si>
    <t>IN9647O01027</t>
  </si>
  <si>
    <t>Page Industries Ltd</t>
  </si>
  <si>
    <t>INE761H01022</t>
  </si>
  <si>
    <t>Textile Products</t>
  </si>
  <si>
    <t>Orient Electric Ltd</t>
  </si>
  <si>
    <t>INE142Z01019</t>
  </si>
  <si>
    <t>UTI Asset Management Co Ltd</t>
  </si>
  <si>
    <t>INE094J01016</t>
  </si>
  <si>
    <t>Procter &amp; Gamble Hygiene and Health Care Ltd</t>
  </si>
  <si>
    <t>INE179A01014</t>
  </si>
  <si>
    <t>Berger Paints India Ltd</t>
  </si>
  <si>
    <t>INE463A01038</t>
  </si>
  <si>
    <t>Finolex Industries Ltd</t>
  </si>
  <si>
    <t>INE183A01024</t>
  </si>
  <si>
    <t>Computer Age Management Services Ltd</t>
  </si>
  <si>
    <t>INE596I01012</t>
  </si>
  <si>
    <t>Bajaj Auto Ltd</t>
  </si>
  <si>
    <t>INE917I01010</t>
  </si>
  <si>
    <t>Dabur India Ltd</t>
  </si>
  <si>
    <t>INE016A01026</t>
  </si>
  <si>
    <t>ICICI Lombard General Insurance Co Ltd</t>
  </si>
  <si>
    <t>INE765G01017</t>
  </si>
  <si>
    <t>EPL Ltd</t>
  </si>
  <si>
    <t>INE255A01020</t>
  </si>
  <si>
    <t>National Aluminium Co Ltd</t>
  </si>
  <si>
    <t>INE139A01034</t>
  </si>
  <si>
    <t>K.P.R. Mill Ltd</t>
  </si>
  <si>
    <t>INE930H01023</t>
  </si>
  <si>
    <t>Rallis India Ltd</t>
  </si>
  <si>
    <t>INE613A01020</t>
  </si>
  <si>
    <t>The Great Eastern Shipping Co Ltd</t>
  </si>
  <si>
    <t>INE017A01032</t>
  </si>
  <si>
    <t>Cera Sanitaryware Ltd</t>
  </si>
  <si>
    <t>INE739E01017</t>
  </si>
  <si>
    <t>Orient Refractories Ltd</t>
  </si>
  <si>
    <t>INE743M01012</t>
  </si>
  <si>
    <t>Central Depository Services (India) Ltd</t>
  </si>
  <si>
    <t>INE736A01011</t>
  </si>
  <si>
    <t>Greenply Industries Ltd</t>
  </si>
  <si>
    <t>INE461C01038</t>
  </si>
  <si>
    <t>Creditaccess Grameen Ltd</t>
  </si>
  <si>
    <t>INE741K01010</t>
  </si>
  <si>
    <t>Galaxy Surfactants Ltd</t>
  </si>
  <si>
    <t>INE600K01018</t>
  </si>
  <si>
    <t>Indian Bank</t>
  </si>
  <si>
    <t>INE562A01011</t>
  </si>
  <si>
    <t>VRL Logistics Ltd</t>
  </si>
  <si>
    <t>INE366I01010</t>
  </si>
  <si>
    <t>BSE Ltd</t>
  </si>
  <si>
    <t>INE118H01025</t>
  </si>
  <si>
    <t>Balrampur Chini Mills Ltd</t>
  </si>
  <si>
    <t>INE119A01028</t>
  </si>
  <si>
    <t>EID Parry India Ltd</t>
  </si>
  <si>
    <t>INE126A01031</t>
  </si>
  <si>
    <t>Subros Ltd</t>
  </si>
  <si>
    <t>INE287B01021</t>
  </si>
  <si>
    <t>NOCIL Ltd</t>
  </si>
  <si>
    <t>INE163A01018</t>
  </si>
  <si>
    <t>Mold Tek Packaging Ltd</t>
  </si>
  <si>
    <t>INE893J01029</t>
  </si>
  <si>
    <t>V-Mart Retail Ltd</t>
  </si>
  <si>
    <t>INE665J01013</t>
  </si>
  <si>
    <t>Teamlease Services Ltd</t>
  </si>
  <si>
    <t>INE985S01024</t>
  </si>
  <si>
    <t>Commercial Services</t>
  </si>
  <si>
    <t>DCB Bank Ltd</t>
  </si>
  <si>
    <t>INE503A01015</t>
  </si>
  <si>
    <t>Deepak Nitrite Ltd</t>
  </si>
  <si>
    <t>INE288B01029</t>
  </si>
  <si>
    <t>Fine Organic Industries Ltd</t>
  </si>
  <si>
    <t>INE686Y01026</t>
  </si>
  <si>
    <t>Angel Broking Ltd</t>
  </si>
  <si>
    <t>INE732I01013</t>
  </si>
  <si>
    <t>Blue Dart Express Ltd</t>
  </si>
  <si>
    <t>INE233B01017</t>
  </si>
  <si>
    <t>V.I.P. Industries Ltd</t>
  </si>
  <si>
    <t>INE054A01027</t>
  </si>
  <si>
    <t>KEC International Ltd</t>
  </si>
  <si>
    <t>INE389H01022</t>
  </si>
  <si>
    <t>Shriram City Union Finance Ltd</t>
  </si>
  <si>
    <t>INE722A01011</t>
  </si>
  <si>
    <t>Indian Energy Exchange Ltd</t>
  </si>
  <si>
    <t>INE022Q01020</t>
  </si>
  <si>
    <t>Greenlam Industries Ltd</t>
  </si>
  <si>
    <t>INE544R01013</t>
  </si>
  <si>
    <t>ICRA Ltd</t>
  </si>
  <si>
    <t>INE725G01011</t>
  </si>
  <si>
    <t>Gulf Oil Lubricants India Ltd</t>
  </si>
  <si>
    <t>INE635Q01029</t>
  </si>
  <si>
    <t>4.96% LIC Housing Finance Ltd (14/09/2023) **</t>
  </si>
  <si>
    <t>INE115A07OZ3</t>
  </si>
  <si>
    <t>CARE AAA</t>
  </si>
  <si>
    <t>7.87% Housing Development Finance Corporation Ltd (18/07/2022) **</t>
  </si>
  <si>
    <t>INE001A07RW5</t>
  </si>
  <si>
    <t>7.40% Power Finance Corporation Ltd (30/09/2021) **</t>
  </si>
  <si>
    <t>INE134E08IM4</t>
  </si>
  <si>
    <t>8.30% Reliance Industries Ltd (08/03/2022) **</t>
  </si>
  <si>
    <t>INE002A08575</t>
  </si>
  <si>
    <t>7.00% Reliance Industries Ltd (31/08/2022) **</t>
  </si>
  <si>
    <t>INE002A08476</t>
  </si>
  <si>
    <t>7.21% Housing Development Finance Corporation Ltd (30/12/2022) **</t>
  </si>
  <si>
    <t>INE001A07SD3</t>
  </si>
  <si>
    <t>7.17% Reliance Industries Ltd (08/11/2022) **</t>
  </si>
  <si>
    <t>INE002A08500</t>
  </si>
  <si>
    <t>7.22% LIC Housing Finance Ltd (19/11/2021) **</t>
  </si>
  <si>
    <t>INE115A07OP4</t>
  </si>
  <si>
    <t>6.22% Housing Development Finance Corporation Ltd (10/12/2021) **</t>
  </si>
  <si>
    <t>INE001A07SN2</t>
  </si>
  <si>
    <t>7.15% Housing Development Finance Corporation Ltd (16/09/2021) **</t>
  </si>
  <si>
    <t>INE001A07RY1</t>
  </si>
  <si>
    <t>5.35% LIC Housing Finance Ltd (20/03/2023) **</t>
  </si>
  <si>
    <t>INE115A07PC9</t>
  </si>
  <si>
    <t>7.99% Housing Development Finance Corporation Ltd (11/07/2024)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</si>
  <si>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</si>
  <si>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</si>
  <si>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</si>
  <si>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</si>
  <si>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</si>
  <si>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</t>
  </si>
  <si>
    <t>INE261F08BK1</t>
  </si>
  <si>
    <t>7.45% REC Ltd (30/11/2022) **</t>
  </si>
  <si>
    <t>INE020B08AP1</t>
  </si>
  <si>
    <t>8.18% Power Finance Corporation Ltd (19/03/2022) **</t>
  </si>
  <si>
    <t>INE134E08JW1</t>
  </si>
  <si>
    <t>8.40% Small Industries Development Bank Of India (10/08/2021) **</t>
  </si>
  <si>
    <t>INE556F08JH3</t>
  </si>
  <si>
    <t>7.50% Power Finance Corporation Ltd (16/08/2021) **</t>
  </si>
  <si>
    <t>INE134E08IH4</t>
  </si>
  <si>
    <t>8.22% National Bank For Agriculture &amp; Rural Development (13/12/2028) **</t>
  </si>
  <si>
    <t>INE261F08AV0</t>
  </si>
  <si>
    <t>8.33% LIC Housing Finance Ltd (31/05/2024)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</si>
  <si>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</si>
  <si>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</si>
  <si>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</si>
  <si>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</si>
  <si>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</si>
  <si>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</si>
  <si>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</si>
  <si>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</si>
  <si>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7.47% Power Finance Corporation Ltd (16/09/2021) **</t>
  </si>
  <si>
    <t>INE134E08IJ0</t>
  </si>
  <si>
    <t>8.13% Power Grid Corporation of India Ltd (25/04/2024) **</t>
  </si>
  <si>
    <t>INE752E07NQ6</t>
  </si>
  <si>
    <t>7.85% Power Finance Corporation Ltd (03/04/2028) **</t>
  </si>
  <si>
    <t>INE134E08JP5</t>
  </si>
  <si>
    <t>7.75% LIC Housing Finance Ltd (23/07/2024) **</t>
  </si>
  <si>
    <t>INE115A07OL3</t>
  </si>
  <si>
    <t>8.60% National Bank For Agriculture &amp; Rural Development (31/01/2022) **</t>
  </si>
  <si>
    <t>INE261F08AI7</t>
  </si>
  <si>
    <t>Government Bonds</t>
  </si>
  <si>
    <t>7.37% GOI (16/04/2023)</t>
  </si>
  <si>
    <t>IN0020180025</t>
  </si>
  <si>
    <t>Sovereign</t>
  </si>
  <si>
    <t>7.32% GOI (28/01/2024)</t>
  </si>
  <si>
    <t>IN0020180488</t>
  </si>
  <si>
    <t>4.48% GOI (02/11/2023)</t>
  </si>
  <si>
    <t>IN0020200211</t>
  </si>
  <si>
    <t>6.84% GOI (19/12/2022)</t>
  </si>
  <si>
    <t>IN0020160050</t>
  </si>
  <si>
    <t>8.15% GOI (11/06/2022)</t>
  </si>
  <si>
    <t>IN0020120013</t>
  </si>
  <si>
    <t>8.79% GOI (08/11/2021)</t>
  </si>
  <si>
    <t>IN0020110030</t>
  </si>
  <si>
    <t>5.22% GOI (15/06/2025)</t>
  </si>
  <si>
    <t>IN0020200112</t>
  </si>
  <si>
    <t>6.18% GOI (04/11/2024)</t>
  </si>
  <si>
    <t>IN0020190396</t>
  </si>
  <si>
    <t>8.20% GOI (15/02/2022)</t>
  </si>
  <si>
    <t>IN0020060037</t>
  </si>
  <si>
    <t>5.63% GOI (12/04/2026)</t>
  </si>
  <si>
    <t>IN0020210012</t>
  </si>
  <si>
    <t>7.68% GOI (15/12/2023)</t>
  </si>
  <si>
    <t>IN0020150010</t>
  </si>
  <si>
    <t>5.09% GOI (13/04/2022)</t>
  </si>
  <si>
    <t>IN0020200021</t>
  </si>
  <si>
    <t>8.01% TAMILNADU SDL 11-MAY-26</t>
  </si>
  <si>
    <t>IN3120160038</t>
  </si>
  <si>
    <t>7.16% GOI (20/05/2023)</t>
  </si>
  <si>
    <t>IN0020130012</t>
  </si>
  <si>
    <t>6.97% GOI (06/09/2026)</t>
  </si>
  <si>
    <t>IN0020160035</t>
  </si>
  <si>
    <t>7.35% GOI (22/06/2024)</t>
  </si>
  <si>
    <t>IN0020090034</t>
  </si>
  <si>
    <t>7.17% GOI (08/01/2028)</t>
  </si>
  <si>
    <t>IN0020170174</t>
  </si>
  <si>
    <t>7.37% TAMILNADU SDL 14-SEP-26</t>
  </si>
  <si>
    <t>IN3120160103</t>
  </si>
  <si>
    <t>8.24% GOI (15/02/2027)</t>
  </si>
  <si>
    <t>IN0020060078</t>
  </si>
  <si>
    <t>8.15% GOI (24/11/2026)</t>
  </si>
  <si>
    <t>IN0020140060</t>
  </si>
  <si>
    <t>6.68% GOI (17/09/2031)</t>
  </si>
  <si>
    <t>IN0020170042</t>
  </si>
  <si>
    <t>7.42% Maharashtra SDL 11-May-22</t>
  </si>
  <si>
    <t>IN2220170012</t>
  </si>
  <si>
    <t>8.81% Small Industries Development Bank Of India (25/01/2022) **</t>
  </si>
  <si>
    <t>INE556F08JI1</t>
  </si>
  <si>
    <t>Money Market Instruments</t>
  </si>
  <si>
    <t>Treasury Bill</t>
  </si>
  <si>
    <t>364 DAYS  TREASURY BILLS 08-JUL-21</t>
  </si>
  <si>
    <t>IN002020Z147</t>
  </si>
  <si>
    <t xml:space="preserve"> Sovereign</t>
  </si>
  <si>
    <t>7.27% GOI (08/04/2026)</t>
  </si>
  <si>
    <t>IN0020190016</t>
  </si>
  <si>
    <t>7.57% GOI (17/06/2033)</t>
  </si>
  <si>
    <t>IN0020190065</t>
  </si>
  <si>
    <t>5.15% GOI (09/11/2025)</t>
  </si>
  <si>
    <t>IN0020200278</t>
  </si>
  <si>
    <t>6.17% GOI (15/07/2021)</t>
  </si>
  <si>
    <t>IN0020190099</t>
  </si>
  <si>
    <t>6.22% GOI (16/03/2035)</t>
  </si>
  <si>
    <t>IN0020200245</t>
  </si>
  <si>
    <t>8.13% GOI (22/06/2045)</t>
  </si>
  <si>
    <t>IN0020150044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</si>
  <si>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</si>
  <si>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</si>
  <si>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</si>
  <si>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</si>
  <si>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</si>
  <si>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</si>
  <si>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</t>
  </si>
  <si>
    <t>INE001A07SE1</t>
  </si>
  <si>
    <t>8.39% National Bank For Agriculture &amp; Rural Development (19/07/2021)</t>
  </si>
  <si>
    <t>INE261F08AL1</t>
  </si>
  <si>
    <t>6.64% GOI (16/06/2035)</t>
  </si>
  <si>
    <t>IN0020210020</t>
  </si>
  <si>
    <t>6.67% GOI (17/12/2050)</t>
  </si>
  <si>
    <t>IN0020200252</t>
  </si>
  <si>
    <t>7.39% Maharashtra SDL 09-Nov-26</t>
  </si>
  <si>
    <t>IN2220160104</t>
  </si>
  <si>
    <t>7.39% TAMIL NADU SDL 09-NOV-26</t>
  </si>
  <si>
    <t>IN3120160137</t>
  </si>
  <si>
    <t>8.47% Maharashtra SDL 10-Feb-26</t>
  </si>
  <si>
    <t>IN2220150188</t>
  </si>
  <si>
    <t>7.35% Power Finance Corporation Ltd (15/10/2022) **</t>
  </si>
  <si>
    <t>INE134E08KG2</t>
  </si>
  <si>
    <t>6.60% REC Ltd (21/03/2022) **</t>
  </si>
  <si>
    <t>INE020B08CV5</t>
  </si>
  <si>
    <t>6.32% REC Ltd (31/12/2021) **</t>
  </si>
  <si>
    <t>INE020B08CL6</t>
  </si>
  <si>
    <t>7.66% LIC Housing Finance Ltd (21/10/2021) **</t>
  </si>
  <si>
    <t>INE115A07KR8</t>
  </si>
  <si>
    <t>9.36% Power Finance Corporation Ltd (01/08/2021) **</t>
  </si>
  <si>
    <t>INE134E08DR4</t>
  </si>
  <si>
    <t>4.95% Housing Development Finance Corporation Ltd (09/09/2022) **</t>
  </si>
  <si>
    <t>INE001A07SQ5</t>
  </si>
  <si>
    <t>6.57% LIC Housing Finance Ltd (13/07/2021) **</t>
  </si>
  <si>
    <t>INE115A07OT6</t>
  </si>
  <si>
    <t>8.32% Reliance Industries Ltd (08/07/2021) **</t>
  </si>
  <si>
    <t>INE110L07070</t>
  </si>
  <si>
    <t>6.99% Housing Development Finance Corporation Ltd (25/11/2021) **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</si>
  <si>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</si>
  <si>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</si>
  <si>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</si>
  <si>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</si>
  <si>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</si>
  <si>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</si>
  <si>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</si>
  <si>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</si>
  <si>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</si>
  <si>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</si>
  <si>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</si>
  <si>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7.24% REC Ltd (31/12/2022) **</t>
  </si>
  <si>
    <t>INE020B08CG6</t>
  </si>
  <si>
    <t>8.13% Power Grid Corporation of India Ltd (25/04/2022) **</t>
  </si>
  <si>
    <t>INE752E07NO1</t>
  </si>
  <si>
    <t>6.98% National Bank For Agriculture &amp; Rural Development (19/09/2022) **</t>
  </si>
  <si>
    <t>INE261F08BO3</t>
  </si>
  <si>
    <t>7.24% LIC Housing Finance Ltd (23/08/2021) **</t>
  </si>
  <si>
    <t>INE115A07OK5</t>
  </si>
  <si>
    <t>8.44% REC Ltd (04/12/2021) **</t>
  </si>
  <si>
    <t>INE020B08872</t>
  </si>
  <si>
    <t>Certificate of Deposit</t>
  </si>
  <si>
    <t>Axis Bank Ltd (22/10/2021) ** #</t>
  </si>
  <si>
    <t>INE238A166U3</t>
  </si>
  <si>
    <t>CRISIL A1+</t>
  </si>
  <si>
    <t>Small Industries Development Bank of India (18/03/2022) ** #</t>
  </si>
  <si>
    <t>INE556F16853</t>
  </si>
  <si>
    <t>CARE A1+</t>
  </si>
  <si>
    <t>Small Industries Development Bank of India (02/06/2022) ** #</t>
  </si>
  <si>
    <t>INE556F16879</t>
  </si>
  <si>
    <t>Commercial Paper</t>
  </si>
  <si>
    <t>INE115A14CU5</t>
  </si>
  <si>
    <t>182 DAYS INDIA TREASURY BILLS 16-DEC-21</t>
  </si>
  <si>
    <t>IN002021Y114</t>
  </si>
  <si>
    <t>182 DAYS INDIA TREASURY BILLS 23-DEC-21</t>
  </si>
  <si>
    <t>IN002021Y122</t>
  </si>
  <si>
    <t>364 DAYS INDIA TREASURY BILLS 05-MAY-22</t>
  </si>
  <si>
    <t>IN002021Z053</t>
  </si>
  <si>
    <t>182 DAYS INDIA TREASURY BILLS 15-JUL-21</t>
  </si>
  <si>
    <t>IN002020Y413</t>
  </si>
  <si>
    <t>364 DAYS INDIA TREASURY BILLS 29-JUL-21</t>
  </si>
  <si>
    <t>IN002020Z170</t>
  </si>
  <si>
    <t>364 DAYS INDIA TREASURY BILLS 22-JUL-21</t>
  </si>
  <si>
    <t>IN002020Z162</t>
  </si>
  <si>
    <t>5.54% MADHYA PRADESH SDL 15-OCT-21</t>
  </si>
  <si>
    <t>IN2120200059</t>
  </si>
  <si>
    <t>8.08% GOI (02/08/2022)</t>
  </si>
  <si>
    <t>IN0020070028</t>
  </si>
  <si>
    <t>8.35% GOI (14/05/2022)</t>
  </si>
  <si>
    <t>IN0020020072</t>
  </si>
  <si>
    <t>4.54% MAHARASHTRA SDL 03-JUN-22</t>
  </si>
  <si>
    <t>IN2220200041</t>
  </si>
  <si>
    <t>9.23% GUJARAT SDL 23-NOV-21</t>
  </si>
  <si>
    <t>IN1520110090</t>
  </si>
  <si>
    <t>#  Unlisted Security</t>
  </si>
  <si>
    <t>7.14% REC Ltd (09/12/2021) **</t>
  </si>
  <si>
    <t>INE020B08AB1</t>
  </si>
  <si>
    <t>7.40% LIC Housing Finance Ltd (06/09/2024) **</t>
  </si>
  <si>
    <t>INE115A07ML7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</si>
  <si>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</si>
  <si>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</si>
  <si>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</si>
  <si>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</si>
  <si>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</si>
  <si>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</si>
  <si>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</si>
  <si>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</si>
  <si>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</si>
  <si>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</si>
  <si>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</si>
  <si>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</si>
  <si>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Axis Bank Ltd (05/07/2021) #</t>
  </si>
  <si>
    <t>INE238A160W2</t>
  </si>
  <si>
    <t>INE115A14CY7</t>
  </si>
  <si>
    <t>INE002A14HJ7</t>
  </si>
  <si>
    <t>INE110L14PF6</t>
  </si>
  <si>
    <t>INE242A14UF0</t>
  </si>
  <si>
    <t>ICRA A1+</t>
  </si>
  <si>
    <t>INE261F14HJ8</t>
  </si>
  <si>
    <t>INE481G14CX2</t>
  </si>
  <si>
    <t>INE242A14TZ0</t>
  </si>
  <si>
    <t>IND A1+</t>
  </si>
  <si>
    <t>INE018A14IF9</t>
  </si>
  <si>
    <t>INE261F14HQ3</t>
  </si>
  <si>
    <t>INE134E14AR8</t>
  </si>
  <si>
    <t>91 DAYS INDIA TREASURY BILLS 08-JUL-21</t>
  </si>
  <si>
    <t>IN002021X017</t>
  </si>
  <si>
    <t>364 DAYS INDIA TREASURY BILLS 05-AUG-21</t>
  </si>
  <si>
    <t>IN002020Z188</t>
  </si>
  <si>
    <t>364 DAYS INDIA TREASURY BILLS 01-JUL-21</t>
  </si>
  <si>
    <t>IN002020Z139</t>
  </si>
  <si>
    <t>91 DAYS INDIA TREASURY BILLS 15-JUL-21</t>
  </si>
  <si>
    <t>IN002021X025</t>
  </si>
  <si>
    <t>182 DAYS INDIA TREASURY BILLS 22-JUL-21</t>
  </si>
  <si>
    <t>IN002020Y421</t>
  </si>
  <si>
    <t>182 DAYS INDIA TREASURY BILLS 08-JUL-21</t>
  </si>
  <si>
    <t>IN002020Y405</t>
  </si>
  <si>
    <t>91 DAYS  TREASURY BILLS 22-JUL-21</t>
  </si>
  <si>
    <t>IN002021X033</t>
  </si>
  <si>
    <t>364 DAYS INDIA TREASURY BILLS 12-AUG-21</t>
  </si>
  <si>
    <t>IN002020Z196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</si>
  <si>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</si>
  <si>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</si>
  <si>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</si>
  <si>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</si>
  <si>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</si>
  <si>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</si>
  <si>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</si>
  <si>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</si>
  <si>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</si>
  <si>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</si>
  <si>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</si>
  <si>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</si>
  <si>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</si>
  <si>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</si>
  <si>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Axis Bank Ltd (17/09/2021) ** #</t>
  </si>
  <si>
    <t>INE238A168V7</t>
  </si>
  <si>
    <t>INE018A14IE2</t>
  </si>
  <si>
    <t>182 DAYS INDIA TREASURY BILLS 14-OCT-21</t>
  </si>
  <si>
    <t>IN002021Y023</t>
  </si>
  <si>
    <t>182 DAYS INDIA TREASURY BILLS 19-AUG-21</t>
  </si>
  <si>
    <t>IN002020Y462</t>
  </si>
  <si>
    <t>91 DAYS INDIA TREASURY BILLS 05-AUG-21</t>
  </si>
  <si>
    <t>IN002021X058</t>
  </si>
  <si>
    <t>182 DAYS INDIA TREASURY BILLS 25-NOV-21</t>
  </si>
  <si>
    <t>IN002021Y080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</si>
  <si>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</si>
  <si>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</si>
  <si>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</si>
  <si>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</si>
  <si>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 **</t>
  </si>
  <si>
    <t>INE053F07BZ2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</si>
  <si>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</si>
  <si>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</si>
  <si>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</si>
  <si>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</si>
  <si>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</si>
  <si>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</si>
  <si>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</si>
  <si>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</si>
  <si>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</si>
  <si>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</si>
  <si>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</si>
  <si>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</si>
  <si>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</si>
  <si>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</si>
  <si>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</si>
  <si>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</si>
  <si>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</si>
  <si>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</si>
  <si>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</si>
  <si>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</si>
  <si>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 **</t>
  </si>
  <si>
    <t>INE001A07SP7</t>
  </si>
  <si>
    <t>7.05% National Housing Bank (18/12/2024)</t>
  </si>
  <si>
    <t>INE557F08FG1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</si>
  <si>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</si>
  <si>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</si>
  <si>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</si>
  <si>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</si>
  <si>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(14/09/2021) **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</si>
  <si>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</si>
  <si>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</si>
  <si>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</si>
  <si>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</si>
  <si>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</si>
  <si>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</si>
  <si>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</si>
  <si>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</si>
  <si>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</si>
  <si>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</si>
  <si>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</si>
  <si>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8.58% Housing Development Finance Corporation Ltd (18/03/2022) **</t>
  </si>
  <si>
    <t>INE001A07RS3</t>
  </si>
  <si>
    <t>364 DAYS INDIA TREASURY BILLS 16-SEP-21</t>
  </si>
  <si>
    <t>IN002020Z246</t>
  </si>
  <si>
    <t>91 DAYS  TREASURY BILLS 29-JUL-21</t>
  </si>
  <si>
    <t>IN002021X041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</si>
  <si>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</si>
  <si>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</si>
  <si>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</si>
  <si>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</si>
  <si>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</si>
  <si>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</si>
  <si>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</si>
  <si>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</si>
  <si>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</si>
  <si>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</si>
  <si>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</si>
  <si>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</si>
  <si>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</si>
  <si>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</si>
  <si>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</si>
  <si>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</si>
  <si>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7.24% Indian Railway Finance Corporation Ltd (08/11/2021) **</t>
  </si>
  <si>
    <t>INE053F07934</t>
  </si>
  <si>
    <t>8.73% NTPC Ltd (07/03/2023) **</t>
  </si>
  <si>
    <t>INE733E07JC4</t>
  </si>
  <si>
    <t>6.72% Power Finance Corporation Ltd (09/06/2023) **</t>
  </si>
  <si>
    <t>INE134E08KW9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</si>
  <si>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</si>
  <si>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</si>
  <si>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</si>
  <si>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</si>
  <si>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</si>
  <si>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</si>
  <si>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</si>
  <si>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</si>
  <si>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5.10% Sundaram Finance Ltd (01/12/2023) **</t>
  </si>
  <si>
    <t>INE660A07QQ2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</si>
  <si>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</si>
  <si>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</si>
  <si>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</si>
  <si>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</si>
  <si>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</si>
  <si>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</si>
  <si>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</si>
  <si>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</si>
  <si>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8.65% GUJARAT SDL 21-SEP-21</t>
  </si>
  <si>
    <t>IN1520110074</t>
  </si>
  <si>
    <t>8.62% GUJARAT SDL 07-SEP-21</t>
  </si>
  <si>
    <t>IN1520110066</t>
  </si>
  <si>
    <t>Alkem Laboratories Ltd</t>
  </si>
  <si>
    <t>INE540L01014</t>
  </si>
  <si>
    <t>ITC Ltd</t>
  </si>
  <si>
    <t>INE154A01025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</si>
  <si>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</si>
  <si>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</si>
  <si>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</si>
  <si>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</si>
  <si>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</si>
  <si>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>LIC Housing Finance Ltd (14/12/2021) **</t>
  </si>
  <si>
    <t>LIC Housing Finance Ltd (20/07/2021) **</t>
  </si>
  <si>
    <t>Reliance Industries Ltd (12/08/2021)</t>
  </si>
  <si>
    <t>Reliance Jio Infocomm Ltd (19/07/2021) **</t>
  </si>
  <si>
    <t>Indian Oil Corporation Ltd (30/07/2021)</t>
  </si>
  <si>
    <t>National Bank For Agriculture &amp; Rural Development (02/08/2021)</t>
  </si>
  <si>
    <t>UltraTech Cement Ltd (09/08/2021) **</t>
  </si>
  <si>
    <t>Indian Oil Corporation Ltd (12/07/2021) **</t>
  </si>
  <si>
    <t>Larsen &amp; Toubro Ltd (27/07/2021) **</t>
  </si>
  <si>
    <t>National Bank For Agriculture &amp; Rural Development (30/07/2021)</t>
  </si>
  <si>
    <t>Power Finance Corporation Ltd (30/07/2021)</t>
  </si>
  <si>
    <t>Larsen &amp; Toubro Ltd (09/08/2021) **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</si>
  <si>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</si>
  <si>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</si>
  <si>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</si>
  <si>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</si>
  <si>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Revised Risk-o-meter Level- May'21</t>
  </si>
  <si>
    <t>Revised Risk-o-meter Level- Jun'21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</si>
  <si>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</si>
  <si>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</si>
  <si>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</si>
  <si>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</si>
  <si>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</si>
  <si>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</si>
  <si>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</si>
  <si>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</si>
  <si>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</si>
  <si>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</si>
  <si>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</si>
  <si>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</si>
  <si>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</si>
  <si>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</si>
  <si>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</si>
  <si>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</si>
  <si>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</si>
  <si>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</si>
  <si>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10</t>
  </si>
  <si>
    <t>• Capital protection at maturity and capital appreciation over medium term
• Investment in debt and money market securities (70%-100%) and equity and equity related instruments (0%-30%)</t>
  </si>
  <si>
    <t>• Generate income over the tenure of the scheme
• Generate income by investing in debt and money market instruments</t>
  </si>
  <si>
    <t>• Long term capital appreciation
• Investment in equity and equity related securities across market capitalisation in maximum 30 stocks.</t>
  </si>
  <si>
    <t>--</t>
  </si>
  <si>
    <t>*Investors should consult their financial advisers if in doubt about whether the product is suitable for them.</t>
  </si>
  <si>
    <t>Note: The risk-o-meter level of respective schemes are revised based on the Notice-cum-Addendum No.18., dated 07th July 2021. However, there is no change in the product labelling of the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</si>
</sst>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  <font>
      <b/>
      <i/>
      <sz val="10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1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justify" vertical="center" wrapText="1"/>
    </xf>
    <xf numFmtId="0" fontId="14" fillId="0" borderId="0" xfId="0" applyFont="1"/>
    <xf numFmtId="0" fontId="10" fillId="4" borderId="4" xfId="1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6" fillId="5" borderId="22" xfId="0" applyFont="1" applyFill="1" applyBorder="1" applyAlignment="1">
      <alignment horizontal="left" wrapText="1"/>
    </xf>
    <xf numFmtId="0" fontId="16" fillId="5" borderId="0" xfId="0" applyFont="1" applyFill="1" applyBorder="1" applyAlignment="1">
      <alignment horizontal="left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38100</xdr:rowOff>
    </xdr:from>
    <xdr:to>
      <xdr:col>3</xdr:col>
      <xdr:colOff>1790701</xdr:colOff>
      <xdr:row>4</xdr:row>
      <xdr:rowOff>3487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240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4</xdr:row>
      <xdr:rowOff>1304925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20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38100</xdr:rowOff>
    </xdr:from>
    <xdr:to>
      <xdr:col>3</xdr:col>
      <xdr:colOff>1790700</xdr:colOff>
      <xdr:row>20</xdr:row>
      <xdr:rowOff>1247774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545800"/>
          <a:ext cx="1771650" cy="1209674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16" name="Picture 15">
          <a:extLst>
            <a:ext uri="{FF2B5EF4-FFF2-40B4-BE49-F238E27FC236}">
              <a16:creationId xmlns:a16="http://schemas.microsoft.com/office/drawing/2014/main" xmlns="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17" name="Picture 16">
          <a:extLst>
            <a:ext uri="{FF2B5EF4-FFF2-40B4-BE49-F238E27FC236}">
              <a16:creationId xmlns:a16="http://schemas.microsoft.com/office/drawing/2014/main" xmlns="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18" name="Picture 17">
          <a:extLst>
            <a:ext uri="{FF2B5EF4-FFF2-40B4-BE49-F238E27FC236}">
              <a16:creationId xmlns:a16="http://schemas.microsoft.com/office/drawing/2014/main" xmlns="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19" name="Picture 18">
          <a:extLst>
            <a:ext uri="{FF2B5EF4-FFF2-40B4-BE49-F238E27FC236}">
              <a16:creationId xmlns:a16="http://schemas.microsoft.com/office/drawing/2014/main" xmlns="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0" name="Picture 19">
          <a:extLst>
            <a:ext uri="{FF2B5EF4-FFF2-40B4-BE49-F238E27FC236}">
              <a16:creationId xmlns:a16="http://schemas.microsoft.com/office/drawing/2014/main" xmlns="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22" name="Picture 21">
          <a:extLst>
            <a:ext uri="{FF2B5EF4-FFF2-40B4-BE49-F238E27FC236}">
              <a16:creationId xmlns:a16="http://schemas.microsoft.com/office/drawing/2014/main" xmlns="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23" name="Picture 22">
          <a:extLst>
            <a:ext uri="{FF2B5EF4-FFF2-40B4-BE49-F238E27FC236}">
              <a16:creationId xmlns:a16="http://schemas.microsoft.com/office/drawing/2014/main" xmlns="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24" name="Picture 23">
          <a:extLst>
            <a:ext uri="{FF2B5EF4-FFF2-40B4-BE49-F238E27FC236}">
              <a16:creationId xmlns:a16="http://schemas.microsoft.com/office/drawing/2014/main" xmlns="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26" name="Picture 25">
          <a:extLst>
            <a:ext uri="{FF2B5EF4-FFF2-40B4-BE49-F238E27FC236}">
              <a16:creationId xmlns:a16="http://schemas.microsoft.com/office/drawing/2014/main" xmlns="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20</xdr:row>
      <xdr:rowOff>28575</xdr:rowOff>
    </xdr:from>
    <xdr:ext cx="1771650" cy="1209674"/>
    <xdr:pic>
      <xdr:nvPicPr>
        <xdr:cNvPr id="29" name="Picture 28">
          <a:extLst>
            <a:ext uri="{FF2B5EF4-FFF2-40B4-BE49-F238E27FC236}">
              <a16:creationId xmlns:a16="http://schemas.microsoft.com/office/drawing/2014/main" xmlns="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3536275"/>
          <a:ext cx="1771650" cy="1209674"/>
        </a:xfrm>
        <a:prstGeom prst="rect">
          <a:avLst/>
        </a:prstGeom>
      </xdr:spPr>
    </xdr:pic>
    <xdr:clientData/>
  </xdr:oneCellAnchor>
  <xdr:twoCellAnchor editAs="oneCell">
    <xdr:from>
      <xdr:col>3</xdr:col>
      <xdr:colOff>9525</xdr:colOff>
      <xdr:row>18</xdr:row>
      <xdr:rowOff>38100</xdr:rowOff>
    </xdr:from>
    <xdr:to>
      <xdr:col>3</xdr:col>
      <xdr:colOff>1781175</xdr:colOff>
      <xdr:row>18</xdr:row>
      <xdr:rowOff>1247774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828C758F-7A87-45E0-9C2A-BBCEC01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20859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16</xdr:row>
      <xdr:rowOff>28575</xdr:rowOff>
    </xdr:from>
    <xdr:to>
      <xdr:col>4</xdr:col>
      <xdr:colOff>1819275</xdr:colOff>
      <xdr:row>16</xdr:row>
      <xdr:rowOff>1238249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DC5D74E0-20C2-4FC0-90F1-E8954060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83642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16</xdr:row>
      <xdr:rowOff>19050</xdr:rowOff>
    </xdr:from>
    <xdr:to>
      <xdr:col>3</xdr:col>
      <xdr:colOff>1800225</xdr:colOff>
      <xdr:row>16</xdr:row>
      <xdr:rowOff>1228724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xmlns="" id="{E7679416-257F-40CB-9B6B-AA2D1D00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8354675"/>
          <a:ext cx="1771650" cy="1209674"/>
        </a:xfrm>
        <a:prstGeom prst="rect">
          <a:avLst/>
        </a:prstGeom>
      </xdr:spPr>
    </xdr:pic>
    <xdr:clientData/>
  </xdr:twoCellAnchor>
  <xdr:oneCellAnchor>
    <xdr:from>
      <xdr:col>4</xdr:col>
      <xdr:colOff>57150</xdr:colOff>
      <xdr:row>17</xdr:row>
      <xdr:rowOff>19050</xdr:rowOff>
    </xdr:from>
    <xdr:ext cx="1790700" cy="1200151"/>
    <xdr:pic>
      <xdr:nvPicPr>
        <xdr:cNvPr id="33" name="Picture 32">
          <a:extLst>
            <a:ext uri="{FF2B5EF4-FFF2-40B4-BE49-F238E27FC236}">
              <a16:creationId xmlns:a16="http://schemas.microsoft.com/office/drawing/2014/main" xmlns="" id="{6308DCD0-F3F7-4ECC-A3AB-D4D2362C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9602450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19050</xdr:colOff>
      <xdr:row>17</xdr:row>
      <xdr:rowOff>19050</xdr:rowOff>
    </xdr:from>
    <xdr:to>
      <xdr:col>3</xdr:col>
      <xdr:colOff>1790700</xdr:colOff>
      <xdr:row>17</xdr:row>
      <xdr:rowOff>1228724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8E695C4B-2A93-4B62-B894-279D9452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96024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28575</xdr:rowOff>
    </xdr:from>
    <xdr:to>
      <xdr:col>4</xdr:col>
      <xdr:colOff>1828800</xdr:colOff>
      <xdr:row>15</xdr:row>
      <xdr:rowOff>1238249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9AF62437-6623-449D-B14F-93FCDC5F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7097375"/>
          <a:ext cx="1771650" cy="1209674"/>
        </a:xfrm>
        <a:prstGeom prst="rect">
          <a:avLst/>
        </a:prstGeom>
      </xdr:spPr>
    </xdr:pic>
    <xdr:clientData/>
  </xdr:twoCellAnchor>
  <xdr:oneCellAnchor>
    <xdr:from>
      <xdr:col>4</xdr:col>
      <xdr:colOff>57150</xdr:colOff>
      <xdr:row>14</xdr:row>
      <xdr:rowOff>28575</xdr:rowOff>
    </xdr:from>
    <xdr:ext cx="1790700" cy="1200151"/>
    <xdr:pic>
      <xdr:nvPicPr>
        <xdr:cNvPr id="36" name="Picture 35">
          <a:extLst>
            <a:ext uri="{FF2B5EF4-FFF2-40B4-BE49-F238E27FC236}">
              <a16:creationId xmlns:a16="http://schemas.microsoft.com/office/drawing/2014/main" xmlns="" id="{B840CF41-392C-4513-A361-4E23D1E8D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585912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4</xdr:col>
      <xdr:colOff>114300</xdr:colOff>
      <xdr:row>22</xdr:row>
      <xdr:rowOff>28575</xdr:rowOff>
    </xdr:from>
    <xdr:to>
      <xdr:col>4</xdr:col>
      <xdr:colOff>1885950</xdr:colOff>
      <xdr:row>23</xdr:row>
      <xdr:rowOff>3487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2A4408DA-3260-4BAF-85AD-FD723DB7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6060400"/>
          <a:ext cx="1771650" cy="1241737"/>
        </a:xfrm>
        <a:prstGeom prst="rect">
          <a:avLst/>
        </a:prstGeom>
      </xdr:spPr>
    </xdr:pic>
    <xdr:clientData/>
  </xdr:twoCellAnchor>
  <xdr:oneCellAnchor>
    <xdr:from>
      <xdr:col>3</xdr:col>
      <xdr:colOff>9525</xdr:colOff>
      <xdr:row>14</xdr:row>
      <xdr:rowOff>19050</xdr:rowOff>
    </xdr:from>
    <xdr:ext cx="1790700" cy="1200151"/>
    <xdr:pic>
      <xdr:nvPicPr>
        <xdr:cNvPr id="38" name="Picture 37">
          <a:extLst>
            <a:ext uri="{FF2B5EF4-FFF2-40B4-BE49-F238E27FC236}">
              <a16:creationId xmlns:a16="http://schemas.microsoft.com/office/drawing/2014/main" xmlns="" id="{F2F6C3F9-0EBC-4285-BAE4-D3EAFB862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5849600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28575</xdr:colOff>
      <xdr:row>15</xdr:row>
      <xdr:rowOff>38100</xdr:rowOff>
    </xdr:from>
    <xdr:to>
      <xdr:col>3</xdr:col>
      <xdr:colOff>1800225</xdr:colOff>
      <xdr:row>15</xdr:row>
      <xdr:rowOff>1247774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62EC6DBC-1582-4CCB-B3F5-B4A9E1720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171069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19050</xdr:rowOff>
    </xdr:from>
    <xdr:to>
      <xdr:col>3</xdr:col>
      <xdr:colOff>1790700</xdr:colOff>
      <xdr:row>22</xdr:row>
      <xdr:rowOff>1260787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D247989C-2CD5-4C23-9414-4215CE859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6050875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18</xdr:row>
      <xdr:rowOff>28575</xdr:rowOff>
    </xdr:from>
    <xdr:to>
      <xdr:col>4</xdr:col>
      <xdr:colOff>1866900</xdr:colOff>
      <xdr:row>18</xdr:row>
      <xdr:rowOff>1333501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6289DB26-BC49-4B36-A80C-E0CFDDC8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20850225"/>
          <a:ext cx="1771650" cy="1304926"/>
        </a:xfrm>
        <a:prstGeom prst="rect">
          <a:avLst/>
        </a:prstGeom>
      </xdr:spPr>
    </xdr:pic>
    <xdr:clientData/>
  </xdr:twoCellAnchor>
  <xdr:oneCellAnchor>
    <xdr:from>
      <xdr:col>3</xdr:col>
      <xdr:colOff>19049</xdr:colOff>
      <xdr:row>21</xdr:row>
      <xdr:rowOff>19049</xdr:rowOff>
    </xdr:from>
    <xdr:ext cx="1771651" cy="1228726"/>
    <xdr:pic>
      <xdr:nvPicPr>
        <xdr:cNvPr id="42" name="Picture 41">
          <a:extLst>
            <a:ext uri="{FF2B5EF4-FFF2-40B4-BE49-F238E27FC236}">
              <a16:creationId xmlns:a16="http://schemas.microsoft.com/office/drawing/2014/main" xmlns="" id="{D032CEA7-79B9-49F1-951A-4620DDD4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4784049"/>
          <a:ext cx="1771651" cy="1228726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21</xdr:row>
      <xdr:rowOff>19049</xdr:rowOff>
    </xdr:from>
    <xdr:ext cx="1771651" cy="1228726"/>
    <xdr:pic>
      <xdr:nvPicPr>
        <xdr:cNvPr id="43" name="Picture 42">
          <a:extLst>
            <a:ext uri="{FF2B5EF4-FFF2-40B4-BE49-F238E27FC236}">
              <a16:creationId xmlns:a16="http://schemas.microsoft.com/office/drawing/2014/main" xmlns="" id="{15896EF3-54C7-4216-8847-39C5C6020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4784049"/>
          <a:ext cx="1771651" cy="12287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22" zoomScaleNormal="100" workbookViewId="0">
      <selection activeCell="E28" sqref="E28"/>
    </sheetView>
  </sheetViews>
  <sheetFormatPr defaultRowHeight="12.75" x14ac:dyDescent="0.2"/>
  <cols>
    <col min="1" max="1" width="7.7109375" style="77" customWidth="1"/>
    <col min="2" max="2" width="32.28515625" style="78" customWidth="1"/>
    <col min="3" max="3" width="50" style="64" customWidth="1"/>
    <col min="4" max="4" width="27.140625" style="64" customWidth="1"/>
    <col min="5" max="5" width="28.85546875" style="64" customWidth="1"/>
    <col min="6" max="16384" width="9.140625" style="64"/>
  </cols>
  <sheetData>
    <row r="1" spans="1:5" ht="19.5" x14ac:dyDescent="0.25">
      <c r="A1" s="63" t="s">
        <v>771</v>
      </c>
      <c r="B1" s="63"/>
      <c r="C1" s="63"/>
      <c r="D1" s="63"/>
      <c r="E1" s="63"/>
    </row>
    <row r="2" spans="1:5" ht="30" x14ac:dyDescent="0.2">
      <c r="A2" s="65" t="s">
        <v>772</v>
      </c>
      <c r="B2" s="65" t="s">
        <v>773</v>
      </c>
      <c r="C2" s="66" t="s">
        <v>774</v>
      </c>
      <c r="D2" s="65" t="s">
        <v>775</v>
      </c>
      <c r="E2" s="65" t="s">
        <v>776</v>
      </c>
    </row>
    <row r="3" spans="1:5" ht="99" customHeight="1" x14ac:dyDescent="0.2">
      <c r="A3" s="67">
        <v>1</v>
      </c>
      <c r="B3" s="68" t="s">
        <v>13</v>
      </c>
      <c r="C3" s="68" t="s">
        <v>777</v>
      </c>
      <c r="D3" s="69"/>
      <c r="E3" s="69"/>
    </row>
    <row r="4" spans="1:5" ht="100.5" customHeight="1" x14ac:dyDescent="0.2">
      <c r="A4" s="67">
        <v>2</v>
      </c>
      <c r="B4" s="68" t="s">
        <v>9</v>
      </c>
      <c r="C4" s="68" t="s">
        <v>778</v>
      </c>
      <c r="D4" s="69"/>
      <c r="E4" s="69"/>
    </row>
    <row r="5" spans="1:5" ht="104.25" customHeight="1" x14ac:dyDescent="0.2">
      <c r="A5" s="67">
        <v>3</v>
      </c>
      <c r="B5" s="68" t="s">
        <v>11</v>
      </c>
      <c r="C5" s="68" t="s">
        <v>779</v>
      </c>
      <c r="D5" s="69"/>
      <c r="E5" s="69"/>
    </row>
    <row r="6" spans="1:5" ht="103.5" customHeight="1" x14ac:dyDescent="0.2">
      <c r="A6" s="67">
        <v>4</v>
      </c>
      <c r="B6" s="68" t="s">
        <v>10</v>
      </c>
      <c r="C6" s="68" t="s">
        <v>780</v>
      </c>
      <c r="D6" s="69"/>
      <c r="E6" s="69"/>
    </row>
    <row r="7" spans="1:5" ht="103.5" customHeight="1" x14ac:dyDescent="0.2">
      <c r="A7" s="67">
        <v>5</v>
      </c>
      <c r="B7" s="68" t="s">
        <v>14</v>
      </c>
      <c r="C7" s="68" t="s">
        <v>781</v>
      </c>
      <c r="D7" s="69"/>
      <c r="E7" s="69"/>
    </row>
    <row r="8" spans="1:5" ht="99" customHeight="1" x14ac:dyDescent="0.2">
      <c r="A8" s="67">
        <v>6</v>
      </c>
      <c r="B8" s="68" t="s">
        <v>8</v>
      </c>
      <c r="C8" s="68" t="s">
        <v>782</v>
      </c>
      <c r="D8" s="69"/>
      <c r="E8" s="69"/>
    </row>
    <row r="9" spans="1:5" ht="98.25" customHeight="1" x14ac:dyDescent="0.2">
      <c r="A9" s="67">
        <v>7</v>
      </c>
      <c r="B9" s="68" t="s">
        <v>12</v>
      </c>
      <c r="C9" s="68" t="s">
        <v>783</v>
      </c>
      <c r="D9" s="69"/>
      <c r="E9" s="69"/>
    </row>
    <row r="10" spans="1:5" ht="98.25" customHeight="1" x14ac:dyDescent="0.2">
      <c r="A10" s="67">
        <v>8</v>
      </c>
      <c r="B10" s="68" t="s">
        <v>25</v>
      </c>
      <c r="C10" s="68" t="s">
        <v>784</v>
      </c>
      <c r="D10" s="70"/>
      <c r="E10" s="70"/>
    </row>
    <row r="11" spans="1:5" ht="97.5" customHeight="1" x14ac:dyDescent="0.2">
      <c r="A11" s="67">
        <v>9</v>
      </c>
      <c r="B11" s="68" t="s">
        <v>23</v>
      </c>
      <c r="C11" s="68" t="s">
        <v>785</v>
      </c>
      <c r="D11" s="69"/>
      <c r="E11" s="69"/>
    </row>
    <row r="12" spans="1:5" ht="97.5" customHeight="1" x14ac:dyDescent="0.2">
      <c r="A12" s="67">
        <v>10</v>
      </c>
      <c r="B12" s="68" t="s">
        <v>24</v>
      </c>
      <c r="C12" s="68" t="s">
        <v>786</v>
      </c>
      <c r="D12" s="69"/>
      <c r="E12" s="69"/>
    </row>
    <row r="13" spans="1:5" ht="97.5" customHeight="1" x14ac:dyDescent="0.2">
      <c r="A13" s="67">
        <v>11</v>
      </c>
      <c r="B13" s="68" t="s">
        <v>20</v>
      </c>
      <c r="C13" s="68" t="s">
        <v>787</v>
      </c>
      <c r="D13" s="69"/>
      <c r="E13" s="69"/>
    </row>
    <row r="14" spans="1:5" ht="98.25" customHeight="1" x14ac:dyDescent="0.2">
      <c r="A14" s="67">
        <v>12</v>
      </c>
      <c r="B14" s="68" t="s">
        <v>26</v>
      </c>
      <c r="C14" s="68" t="s">
        <v>788</v>
      </c>
      <c r="D14" s="69"/>
      <c r="E14" s="69"/>
    </row>
    <row r="15" spans="1:5" ht="97.5" customHeight="1" x14ac:dyDescent="0.2">
      <c r="A15" s="67">
        <v>13</v>
      </c>
      <c r="B15" s="68" t="s">
        <v>27</v>
      </c>
      <c r="C15" s="68" t="s">
        <v>789</v>
      </c>
      <c r="D15" s="70"/>
      <c r="E15" s="70"/>
    </row>
    <row r="16" spans="1:5" ht="99.75" customHeight="1" x14ac:dyDescent="0.2">
      <c r="A16" s="67">
        <v>14</v>
      </c>
      <c r="B16" s="68" t="s">
        <v>17</v>
      </c>
      <c r="C16" s="68" t="s">
        <v>790</v>
      </c>
      <c r="D16" s="70"/>
      <c r="E16" s="70"/>
    </row>
    <row r="17" spans="1:5" ht="98.25" customHeight="1" x14ac:dyDescent="0.2">
      <c r="A17" s="67">
        <v>15</v>
      </c>
      <c r="B17" s="68" t="s">
        <v>19</v>
      </c>
      <c r="C17" s="68" t="s">
        <v>791</v>
      </c>
      <c r="D17" s="70"/>
      <c r="E17" s="70"/>
    </row>
    <row r="18" spans="1:5" ht="97.5" customHeight="1" x14ac:dyDescent="0.2">
      <c r="A18" s="67">
        <v>16</v>
      </c>
      <c r="B18" s="71" t="s">
        <v>18</v>
      </c>
      <c r="C18" s="68" t="s">
        <v>792</v>
      </c>
      <c r="D18" s="70"/>
      <c r="E18" s="70"/>
    </row>
    <row r="19" spans="1:5" ht="105.75" customHeight="1" x14ac:dyDescent="0.2">
      <c r="A19" s="67">
        <v>17</v>
      </c>
      <c r="B19" s="71" t="s">
        <v>21</v>
      </c>
      <c r="C19" s="68" t="s">
        <v>793</v>
      </c>
      <c r="D19" s="70"/>
      <c r="E19" s="70"/>
    </row>
    <row r="20" spans="1:5" ht="105.75" customHeight="1" x14ac:dyDescent="0.2">
      <c r="A20" s="67">
        <v>18</v>
      </c>
      <c r="B20" s="68" t="s">
        <v>16</v>
      </c>
      <c r="C20" s="68" t="s">
        <v>794</v>
      </c>
      <c r="D20" s="69"/>
      <c r="E20" s="69"/>
    </row>
    <row r="21" spans="1:5" ht="99" customHeight="1" x14ac:dyDescent="0.2">
      <c r="A21" s="67">
        <v>19</v>
      </c>
      <c r="B21" s="68" t="s">
        <v>795</v>
      </c>
      <c r="C21" s="68" t="s">
        <v>796</v>
      </c>
      <c r="D21" s="69"/>
      <c r="E21" s="69"/>
    </row>
    <row r="22" spans="1:5" s="72" customFormat="1" ht="99.75" customHeight="1" x14ac:dyDescent="0.2">
      <c r="A22" s="67">
        <v>20</v>
      </c>
      <c r="B22" s="68" t="s">
        <v>28</v>
      </c>
      <c r="C22" s="68" t="s">
        <v>797</v>
      </c>
      <c r="D22" s="69"/>
      <c r="E22" s="69"/>
    </row>
    <row r="23" spans="1:5" ht="99.75" customHeight="1" x14ac:dyDescent="0.2">
      <c r="A23" s="67">
        <v>21</v>
      </c>
      <c r="B23" s="68" t="s">
        <v>15</v>
      </c>
      <c r="C23" s="68" t="s">
        <v>798</v>
      </c>
      <c r="D23" s="73" t="s">
        <v>799</v>
      </c>
      <c r="E23" s="69"/>
    </row>
    <row r="24" spans="1:5" ht="25.5" customHeight="1" x14ac:dyDescent="0.2">
      <c r="A24" s="74" t="s">
        <v>800</v>
      </c>
      <c r="B24" s="75"/>
      <c r="C24" s="75"/>
      <c r="D24" s="75"/>
      <c r="E24" s="75"/>
    </row>
    <row r="25" spans="1:5" x14ac:dyDescent="0.2">
      <c r="A25" s="79" t="s">
        <v>801</v>
      </c>
      <c r="B25" s="80"/>
      <c r="C25" s="80"/>
      <c r="D25" s="80"/>
      <c r="E25" s="80"/>
    </row>
    <row r="26" spans="1:5" x14ac:dyDescent="0.2">
      <c r="A26" s="76"/>
      <c r="B26" s="76"/>
      <c r="C26" s="76"/>
      <c r="D26" s="76"/>
      <c r="E26" s="76"/>
    </row>
  </sheetData>
  <mergeCells count="4">
    <mergeCell ref="A1:E1"/>
    <mergeCell ref="A24:E24"/>
    <mergeCell ref="A25:E25"/>
    <mergeCell ref="A26:E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8"/>
  <sheetViews>
    <sheetView workbookViewId="0">
      <selection activeCell="D8" sqref="D8"/>
    </sheetView>
  </sheetViews>
  <sheetFormatPr defaultRowHeight="12" x14ac:dyDescent="0.2"/>
  <cols>
    <col min="1" max="1" width="9.140625" style="1"/>
    <col min="2" max="2" width="55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8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32</v>
      </c>
      <c r="C7" s="23" t="s">
        <v>33</v>
      </c>
      <c r="D7" s="23" t="s">
        <v>34</v>
      </c>
      <c r="E7" s="28">
        <v>87800</v>
      </c>
      <c r="F7" s="25">
        <v>1317.48</v>
      </c>
      <c r="G7" s="25">
        <v>9.26</v>
      </c>
    </row>
    <row r="8" spans="2:7" x14ac:dyDescent="0.2">
      <c r="B8" s="27" t="s">
        <v>35</v>
      </c>
      <c r="C8" s="23" t="s">
        <v>36</v>
      </c>
      <c r="D8" s="23" t="s">
        <v>37</v>
      </c>
      <c r="E8" s="28">
        <v>149500</v>
      </c>
      <c r="F8" s="25">
        <v>943.2</v>
      </c>
      <c r="G8" s="25">
        <v>6.63</v>
      </c>
    </row>
    <row r="9" spans="2:7" x14ac:dyDescent="0.2">
      <c r="B9" s="27" t="s">
        <v>38</v>
      </c>
      <c r="C9" s="23" t="s">
        <v>39</v>
      </c>
      <c r="D9" s="23" t="s">
        <v>40</v>
      </c>
      <c r="E9" s="28">
        <v>367874</v>
      </c>
      <c r="F9" s="25">
        <v>877.56</v>
      </c>
      <c r="G9" s="25">
        <v>6.17</v>
      </c>
    </row>
    <row r="10" spans="2:7" x14ac:dyDescent="0.2">
      <c r="B10" s="27" t="s">
        <v>41</v>
      </c>
      <c r="C10" s="23" t="s">
        <v>42</v>
      </c>
      <c r="D10" s="23" t="s">
        <v>43</v>
      </c>
      <c r="E10" s="28">
        <v>406000</v>
      </c>
      <c r="F10" s="25">
        <v>722.68</v>
      </c>
      <c r="G10" s="25">
        <v>5.08</v>
      </c>
    </row>
    <row r="11" spans="2:7" x14ac:dyDescent="0.2">
      <c r="B11" s="27" t="s">
        <v>44</v>
      </c>
      <c r="C11" s="23" t="s">
        <v>45</v>
      </c>
      <c r="D11" s="23" t="s">
        <v>46</v>
      </c>
      <c r="E11" s="28">
        <v>35750</v>
      </c>
      <c r="F11" s="25">
        <v>722.53</v>
      </c>
      <c r="G11" s="25">
        <v>5.08</v>
      </c>
    </row>
    <row r="12" spans="2:7" x14ac:dyDescent="0.2">
      <c r="B12" s="27" t="s">
        <v>47</v>
      </c>
      <c r="C12" s="23" t="s">
        <v>48</v>
      </c>
      <c r="D12" s="23" t="s">
        <v>49</v>
      </c>
      <c r="E12" s="28">
        <v>44243</v>
      </c>
      <c r="F12" s="25">
        <v>636.67999999999995</v>
      </c>
      <c r="G12" s="25">
        <v>4.47</v>
      </c>
    </row>
    <row r="13" spans="2:7" x14ac:dyDescent="0.2">
      <c r="B13" s="27" t="s">
        <v>50</v>
      </c>
      <c r="C13" s="23" t="s">
        <v>51</v>
      </c>
      <c r="D13" s="23" t="s">
        <v>40</v>
      </c>
      <c r="E13" s="28">
        <v>220000</v>
      </c>
      <c r="F13" s="25">
        <v>634.59</v>
      </c>
      <c r="G13" s="25">
        <v>4.46</v>
      </c>
    </row>
    <row r="14" spans="2:7" x14ac:dyDescent="0.2">
      <c r="B14" s="27" t="s">
        <v>52</v>
      </c>
      <c r="C14" s="23" t="s">
        <v>53</v>
      </c>
      <c r="D14" s="23" t="s">
        <v>46</v>
      </c>
      <c r="E14" s="28">
        <v>1395</v>
      </c>
      <c r="F14" s="25">
        <v>583.54999999999995</v>
      </c>
      <c r="G14" s="25">
        <v>4.0999999999999996</v>
      </c>
    </row>
    <row r="15" spans="2:7" x14ac:dyDescent="0.2">
      <c r="B15" s="27" t="s">
        <v>54</v>
      </c>
      <c r="C15" s="23" t="s">
        <v>55</v>
      </c>
      <c r="D15" s="23" t="s">
        <v>37</v>
      </c>
      <c r="E15" s="28">
        <v>137000</v>
      </c>
      <c r="F15" s="25">
        <v>574.29999999999995</v>
      </c>
      <c r="G15" s="25">
        <v>4.03</v>
      </c>
    </row>
    <row r="16" spans="2:7" x14ac:dyDescent="0.2">
      <c r="B16" s="27" t="s">
        <v>56</v>
      </c>
      <c r="C16" s="23" t="s">
        <v>57</v>
      </c>
      <c r="D16" s="23" t="s">
        <v>40</v>
      </c>
      <c r="E16" s="28">
        <v>121772</v>
      </c>
      <c r="F16" s="25">
        <v>501.03</v>
      </c>
      <c r="G16" s="25">
        <v>3.52</v>
      </c>
    </row>
    <row r="17" spans="2:7" x14ac:dyDescent="0.2">
      <c r="B17" s="27" t="s">
        <v>58</v>
      </c>
      <c r="C17" s="23" t="s">
        <v>59</v>
      </c>
      <c r="D17" s="23" t="s">
        <v>40</v>
      </c>
      <c r="E17" s="28">
        <v>106000</v>
      </c>
      <c r="F17" s="25">
        <v>499.31</v>
      </c>
      <c r="G17" s="25">
        <v>3.51</v>
      </c>
    </row>
    <row r="18" spans="2:7" x14ac:dyDescent="0.2">
      <c r="B18" s="27" t="s">
        <v>60</v>
      </c>
      <c r="C18" s="23" t="s">
        <v>61</v>
      </c>
      <c r="D18" s="23" t="s">
        <v>62</v>
      </c>
      <c r="E18" s="28">
        <v>6750</v>
      </c>
      <c r="F18" s="25">
        <v>457.38</v>
      </c>
      <c r="G18" s="25">
        <v>3.21</v>
      </c>
    </row>
    <row r="19" spans="2:7" x14ac:dyDescent="0.2">
      <c r="B19" s="27" t="s">
        <v>63</v>
      </c>
      <c r="C19" s="23" t="s">
        <v>64</v>
      </c>
      <c r="D19" s="23" t="s">
        <v>65</v>
      </c>
      <c r="E19" s="28">
        <v>7700</v>
      </c>
      <c r="F19" s="25">
        <v>433.85</v>
      </c>
      <c r="G19" s="25">
        <v>3.05</v>
      </c>
    </row>
    <row r="20" spans="2:7" x14ac:dyDescent="0.2">
      <c r="B20" s="27" t="s">
        <v>66</v>
      </c>
      <c r="C20" s="23" t="s">
        <v>67</v>
      </c>
      <c r="D20" s="23" t="s">
        <v>46</v>
      </c>
      <c r="E20" s="28">
        <v>22750</v>
      </c>
      <c r="F20" s="25">
        <v>411.37</v>
      </c>
      <c r="G20" s="25">
        <v>2.89</v>
      </c>
    </row>
    <row r="21" spans="2:7" x14ac:dyDescent="0.2">
      <c r="B21" s="27" t="s">
        <v>68</v>
      </c>
      <c r="C21" s="23" t="s">
        <v>69</v>
      </c>
      <c r="D21" s="23" t="s">
        <v>70</v>
      </c>
      <c r="E21" s="28">
        <v>54342</v>
      </c>
      <c r="F21" s="25">
        <v>359.06</v>
      </c>
      <c r="G21" s="25">
        <v>2.52</v>
      </c>
    </row>
    <row r="22" spans="2:7" x14ac:dyDescent="0.2">
      <c r="B22" s="27" t="s">
        <v>71</v>
      </c>
      <c r="C22" s="23" t="s">
        <v>72</v>
      </c>
      <c r="D22" s="23" t="s">
        <v>62</v>
      </c>
      <c r="E22" s="28">
        <v>18500</v>
      </c>
      <c r="F22" s="25">
        <v>349.86</v>
      </c>
      <c r="G22" s="25">
        <v>2.46</v>
      </c>
    </row>
    <row r="23" spans="2:7" x14ac:dyDescent="0.2">
      <c r="B23" s="27" t="s">
        <v>73</v>
      </c>
      <c r="C23" s="23" t="s">
        <v>74</v>
      </c>
      <c r="D23" s="23" t="s">
        <v>65</v>
      </c>
      <c r="E23" s="28">
        <v>27500</v>
      </c>
      <c r="F23" s="25">
        <v>341.54</v>
      </c>
      <c r="G23" s="25">
        <v>2.4</v>
      </c>
    </row>
    <row r="24" spans="2:7" x14ac:dyDescent="0.2">
      <c r="B24" s="27" t="s">
        <v>75</v>
      </c>
      <c r="C24" s="23" t="s">
        <v>76</v>
      </c>
      <c r="D24" s="23" t="s">
        <v>46</v>
      </c>
      <c r="E24" s="28">
        <v>22544</v>
      </c>
      <c r="F24" s="25">
        <v>334.64</v>
      </c>
      <c r="G24" s="25">
        <v>2.35</v>
      </c>
    </row>
    <row r="25" spans="2:7" x14ac:dyDescent="0.2">
      <c r="B25" s="27" t="s">
        <v>77</v>
      </c>
      <c r="C25" s="23" t="s">
        <v>78</v>
      </c>
      <c r="D25" s="23" t="s">
        <v>49</v>
      </c>
      <c r="E25" s="28">
        <v>44500</v>
      </c>
      <c r="F25" s="25">
        <v>310.77</v>
      </c>
      <c r="G25" s="25">
        <v>2.1800000000000002</v>
      </c>
    </row>
    <row r="26" spans="2:7" x14ac:dyDescent="0.2">
      <c r="B26" s="27" t="s">
        <v>79</v>
      </c>
      <c r="C26" s="23" t="s">
        <v>80</v>
      </c>
      <c r="D26" s="23" t="s">
        <v>81</v>
      </c>
      <c r="E26" s="28">
        <v>285000</v>
      </c>
      <c r="F26" s="25">
        <v>307.52</v>
      </c>
      <c r="G26" s="25">
        <v>2.16</v>
      </c>
    </row>
    <row r="27" spans="2:7" x14ac:dyDescent="0.2">
      <c r="B27" s="27" t="s">
        <v>82</v>
      </c>
      <c r="C27" s="23" t="s">
        <v>83</v>
      </c>
      <c r="D27" s="23" t="s">
        <v>65</v>
      </c>
      <c r="E27" s="28">
        <v>20500</v>
      </c>
      <c r="F27" s="25">
        <v>301.22000000000003</v>
      </c>
      <c r="G27" s="25">
        <v>2.12</v>
      </c>
    </row>
    <row r="28" spans="2:7" x14ac:dyDescent="0.2">
      <c r="B28" s="27" t="s">
        <v>84</v>
      </c>
      <c r="C28" s="23" t="s">
        <v>85</v>
      </c>
      <c r="D28" s="23" t="s">
        <v>86</v>
      </c>
      <c r="E28" s="28">
        <v>25750</v>
      </c>
      <c r="F28" s="25">
        <v>300.39999999999998</v>
      </c>
      <c r="G28" s="25">
        <v>2.11</v>
      </c>
    </row>
    <row r="29" spans="2:7" x14ac:dyDescent="0.2">
      <c r="B29" s="27" t="s">
        <v>87</v>
      </c>
      <c r="C29" s="23" t="s">
        <v>88</v>
      </c>
      <c r="D29" s="23" t="s">
        <v>62</v>
      </c>
      <c r="E29" s="28">
        <v>9500</v>
      </c>
      <c r="F29" s="25">
        <v>270.89</v>
      </c>
      <c r="G29" s="25">
        <v>1.9</v>
      </c>
    </row>
    <row r="30" spans="2:7" x14ac:dyDescent="0.2">
      <c r="B30" s="27" t="s">
        <v>89</v>
      </c>
      <c r="C30" s="23" t="s">
        <v>90</v>
      </c>
      <c r="D30" s="23" t="s">
        <v>40</v>
      </c>
      <c r="E30" s="28">
        <v>44000</v>
      </c>
      <c r="F30" s="25">
        <v>266.07</v>
      </c>
      <c r="G30" s="25">
        <v>1.87</v>
      </c>
    </row>
    <row r="31" spans="2:7" x14ac:dyDescent="0.2">
      <c r="B31" s="27" t="s">
        <v>91</v>
      </c>
      <c r="C31" s="23" t="s">
        <v>92</v>
      </c>
      <c r="D31" s="23" t="s">
        <v>70</v>
      </c>
      <c r="E31" s="28">
        <v>175000</v>
      </c>
      <c r="F31" s="25">
        <v>261.89</v>
      </c>
      <c r="G31" s="25">
        <v>1.84</v>
      </c>
    </row>
    <row r="32" spans="2:7" x14ac:dyDescent="0.2">
      <c r="B32" s="27" t="s">
        <v>93</v>
      </c>
      <c r="C32" s="23" t="s">
        <v>94</v>
      </c>
      <c r="D32" s="23" t="s">
        <v>62</v>
      </c>
      <c r="E32" s="28">
        <v>72500</v>
      </c>
      <c r="F32" s="25">
        <v>246.97</v>
      </c>
      <c r="G32" s="25">
        <v>1.74</v>
      </c>
    </row>
    <row r="33" spans="2:9" x14ac:dyDescent="0.2">
      <c r="B33" s="27" t="s">
        <v>95</v>
      </c>
      <c r="C33" s="23" t="s">
        <v>96</v>
      </c>
      <c r="D33" s="23" t="s">
        <v>97</v>
      </c>
      <c r="E33" s="28">
        <v>59800</v>
      </c>
      <c r="F33" s="25">
        <v>222.49</v>
      </c>
      <c r="G33" s="25">
        <v>1.56</v>
      </c>
    </row>
    <row r="34" spans="2:9" x14ac:dyDescent="0.2">
      <c r="B34" s="27" t="s">
        <v>98</v>
      </c>
      <c r="C34" s="23" t="s">
        <v>99</v>
      </c>
      <c r="D34" s="23" t="s">
        <v>100</v>
      </c>
      <c r="E34" s="28">
        <v>4750</v>
      </c>
      <c r="F34" s="25">
        <v>210</v>
      </c>
      <c r="G34" s="25">
        <v>1.48</v>
      </c>
    </row>
    <row r="35" spans="2:9" x14ac:dyDescent="0.2">
      <c r="B35" s="27" t="s">
        <v>101</v>
      </c>
      <c r="C35" s="23" t="s">
        <v>102</v>
      </c>
      <c r="D35" s="23" t="s">
        <v>65</v>
      </c>
      <c r="E35" s="28">
        <v>22500</v>
      </c>
      <c r="F35" s="25">
        <v>202.39</v>
      </c>
      <c r="G35" s="25">
        <v>1.42</v>
      </c>
    </row>
    <row r="36" spans="2:9" x14ac:dyDescent="0.2">
      <c r="B36" s="27" t="s">
        <v>103</v>
      </c>
      <c r="C36" s="23" t="s">
        <v>104</v>
      </c>
      <c r="D36" s="23" t="s">
        <v>105</v>
      </c>
      <c r="E36" s="28">
        <v>74558</v>
      </c>
      <c r="F36" s="25">
        <v>173.27</v>
      </c>
      <c r="G36" s="25">
        <v>1.22</v>
      </c>
    </row>
    <row r="37" spans="2:9" x14ac:dyDescent="0.2">
      <c r="B37" s="27" t="s">
        <v>106</v>
      </c>
      <c r="C37" s="23" t="s">
        <v>107</v>
      </c>
      <c r="D37" s="23" t="s">
        <v>105</v>
      </c>
      <c r="E37" s="28">
        <v>127600</v>
      </c>
      <c r="F37" s="25">
        <v>148.53</v>
      </c>
      <c r="G37" s="25">
        <v>1.04</v>
      </c>
    </row>
    <row r="38" spans="2:9" x14ac:dyDescent="0.2">
      <c r="B38" s="27" t="s">
        <v>108</v>
      </c>
      <c r="C38" s="23" t="s">
        <v>109</v>
      </c>
      <c r="D38" s="23" t="s">
        <v>62</v>
      </c>
      <c r="E38" s="28">
        <v>14000</v>
      </c>
      <c r="F38" s="25">
        <v>143.61000000000001</v>
      </c>
      <c r="G38" s="25">
        <v>1.01</v>
      </c>
    </row>
    <row r="39" spans="2:9" x14ac:dyDescent="0.2">
      <c r="B39" s="29" t="s">
        <v>110</v>
      </c>
      <c r="C39" s="30"/>
      <c r="D39" s="30"/>
      <c r="E39" s="31"/>
      <c r="F39" s="32">
        <f>SUM(F7:F38)</f>
        <v>14066.630000000001</v>
      </c>
      <c r="G39" s="32">
        <f>SUM(G7:G38)</f>
        <v>98.840000000000018</v>
      </c>
      <c r="H39" s="14"/>
      <c r="I39" s="14"/>
    </row>
    <row r="40" spans="2:9" x14ac:dyDescent="0.2">
      <c r="B40" s="37" t="s">
        <v>111</v>
      </c>
      <c r="C40" s="37"/>
      <c r="D40" s="37"/>
      <c r="E40" s="38"/>
      <c r="F40" s="39">
        <f>F39</f>
        <v>14066.630000000001</v>
      </c>
      <c r="G40" s="39">
        <f>G39</f>
        <v>98.840000000000018</v>
      </c>
      <c r="H40" s="14"/>
      <c r="I40" s="14"/>
    </row>
    <row r="41" spans="2:9" x14ac:dyDescent="0.2">
      <c r="B41" s="40" t="s">
        <v>112</v>
      </c>
      <c r="C41" s="41"/>
      <c r="D41" s="41"/>
      <c r="E41" s="42"/>
      <c r="F41" s="43"/>
      <c r="G41" s="43"/>
    </row>
    <row r="42" spans="2:9" x14ac:dyDescent="0.2">
      <c r="B42" s="27" t="s">
        <v>112</v>
      </c>
      <c r="C42" s="23"/>
      <c r="D42" s="23"/>
      <c r="E42" s="24"/>
      <c r="F42" s="25">
        <v>235.53</v>
      </c>
      <c r="G42" s="25">
        <v>1.65</v>
      </c>
    </row>
    <row r="43" spans="2:9" x14ac:dyDescent="0.2">
      <c r="B43" s="29" t="s">
        <v>110</v>
      </c>
      <c r="C43" s="30"/>
      <c r="D43" s="30"/>
      <c r="E43" s="31"/>
      <c r="F43" s="32">
        <f>SUM(F41:F42)</f>
        <v>235.53</v>
      </c>
      <c r="G43" s="32">
        <f>SUM(G41:G42)</f>
        <v>1.65</v>
      </c>
      <c r="H43" s="14"/>
      <c r="I43" s="14"/>
    </row>
    <row r="44" spans="2:9" x14ac:dyDescent="0.2">
      <c r="B44" s="34" t="s">
        <v>111</v>
      </c>
      <c r="C44" s="34"/>
      <c r="D44" s="34"/>
      <c r="E44" s="35"/>
      <c r="F44" s="36">
        <f>F43</f>
        <v>235.53</v>
      </c>
      <c r="G44" s="36">
        <f>G43</f>
        <v>1.65</v>
      </c>
      <c r="H44" s="14"/>
      <c r="I44" s="14"/>
    </row>
    <row r="45" spans="2:9" x14ac:dyDescent="0.2">
      <c r="B45" s="44" t="s">
        <v>114</v>
      </c>
      <c r="C45" s="44"/>
      <c r="D45" s="44"/>
      <c r="E45" s="45"/>
      <c r="F45" s="16">
        <f>F46-(+F40+F44)</f>
        <v>-68.410000000001673</v>
      </c>
      <c r="G45" s="16">
        <f>G46-(+G40+G44)</f>
        <v>-0.49000000000002331</v>
      </c>
      <c r="H45" s="14"/>
      <c r="I45" s="14"/>
    </row>
    <row r="46" spans="2:9" x14ac:dyDescent="0.2">
      <c r="B46" s="44" t="s">
        <v>113</v>
      </c>
      <c r="C46" s="44"/>
      <c r="D46" s="44"/>
      <c r="E46" s="45"/>
      <c r="F46" s="16">
        <v>14233.75</v>
      </c>
      <c r="G46" s="16">
        <v>100</v>
      </c>
      <c r="H46" s="14"/>
      <c r="I46" s="14"/>
    </row>
    <row r="48" spans="2:9" x14ac:dyDescent="0.2">
      <c r="B4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1"/>
  <sheetViews>
    <sheetView workbookViewId="0">
      <selection activeCell="C11" sqref="C11"/>
    </sheetView>
  </sheetViews>
  <sheetFormatPr defaultRowHeight="12" x14ac:dyDescent="0.2"/>
  <cols>
    <col min="1" max="1" width="9.140625" style="1"/>
    <col min="2" max="2" width="5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117</v>
      </c>
      <c r="E7" s="28">
        <v>2002188</v>
      </c>
      <c r="F7" s="25">
        <v>31650.59</v>
      </c>
      <c r="G7" s="25">
        <v>6.58</v>
      </c>
      <c r="H7" s="26"/>
    </row>
    <row r="8" spans="2:8" x14ac:dyDescent="0.2">
      <c r="B8" s="27" t="s">
        <v>118</v>
      </c>
      <c r="C8" s="23" t="s">
        <v>119</v>
      </c>
      <c r="D8" s="23" t="s">
        <v>37</v>
      </c>
      <c r="E8" s="28">
        <v>2057340</v>
      </c>
      <c r="F8" s="25">
        <v>30816.9</v>
      </c>
      <c r="G8" s="25">
        <v>6.4</v>
      </c>
      <c r="H8" s="26"/>
    </row>
    <row r="9" spans="2:8" x14ac:dyDescent="0.2">
      <c r="B9" s="27" t="s">
        <v>35</v>
      </c>
      <c r="C9" s="23" t="s">
        <v>36</v>
      </c>
      <c r="D9" s="23" t="s">
        <v>37</v>
      </c>
      <c r="E9" s="28">
        <v>4690550</v>
      </c>
      <c r="F9" s="25">
        <v>29592.68</v>
      </c>
      <c r="G9" s="25">
        <v>6.15</v>
      </c>
      <c r="H9" s="26"/>
    </row>
    <row r="10" spans="2:8" x14ac:dyDescent="0.2">
      <c r="B10" s="27" t="s">
        <v>120</v>
      </c>
      <c r="C10" s="23" t="s">
        <v>121</v>
      </c>
      <c r="D10" s="23" t="s">
        <v>117</v>
      </c>
      <c r="E10" s="28">
        <v>574428</v>
      </c>
      <c r="F10" s="25">
        <v>19218.919999999998</v>
      </c>
      <c r="G10" s="25">
        <v>3.99</v>
      </c>
      <c r="H10" s="26"/>
    </row>
    <row r="11" spans="2:8" x14ac:dyDescent="0.2">
      <c r="B11" s="27" t="s">
        <v>122</v>
      </c>
      <c r="C11" s="23" t="s">
        <v>123</v>
      </c>
      <c r="D11" s="23" t="s">
        <v>81</v>
      </c>
      <c r="E11" s="28">
        <v>822400</v>
      </c>
      <c r="F11" s="25">
        <v>17357.990000000002</v>
      </c>
      <c r="G11" s="25">
        <v>3.61</v>
      </c>
      <c r="H11" s="26"/>
    </row>
    <row r="12" spans="2:8" x14ac:dyDescent="0.2">
      <c r="B12" s="27" t="s">
        <v>124</v>
      </c>
      <c r="C12" s="23" t="s">
        <v>125</v>
      </c>
      <c r="D12" s="23" t="s">
        <v>37</v>
      </c>
      <c r="E12" s="28">
        <v>2133600</v>
      </c>
      <c r="F12" s="25">
        <v>15965.73</v>
      </c>
      <c r="G12" s="25">
        <v>3.32</v>
      </c>
      <c r="H12" s="26"/>
    </row>
    <row r="13" spans="2:8" x14ac:dyDescent="0.2">
      <c r="B13" s="27" t="s">
        <v>54</v>
      </c>
      <c r="C13" s="23" t="s">
        <v>55</v>
      </c>
      <c r="D13" s="23" t="s">
        <v>37</v>
      </c>
      <c r="E13" s="28">
        <v>3600000</v>
      </c>
      <c r="F13" s="25">
        <v>15091.2</v>
      </c>
      <c r="G13" s="25">
        <v>3.14</v>
      </c>
      <c r="H13" s="26"/>
    </row>
    <row r="14" spans="2:8" x14ac:dyDescent="0.2">
      <c r="B14" s="27" t="s">
        <v>126</v>
      </c>
      <c r="C14" s="23" t="s">
        <v>127</v>
      </c>
      <c r="D14" s="23" t="s">
        <v>128</v>
      </c>
      <c r="E14" s="28">
        <v>246535</v>
      </c>
      <c r="F14" s="25">
        <v>14831.18</v>
      </c>
      <c r="G14" s="25">
        <v>3.08</v>
      </c>
      <c r="H14" s="26"/>
    </row>
    <row r="15" spans="2:8" x14ac:dyDescent="0.2">
      <c r="B15" s="27" t="s">
        <v>32</v>
      </c>
      <c r="C15" s="23" t="s">
        <v>33</v>
      </c>
      <c r="D15" s="23" t="s">
        <v>34</v>
      </c>
      <c r="E15" s="28">
        <v>930657</v>
      </c>
      <c r="F15" s="25">
        <v>13964.97</v>
      </c>
      <c r="G15" s="25">
        <v>2.9</v>
      </c>
      <c r="H15" s="26"/>
    </row>
    <row r="16" spans="2:8" x14ac:dyDescent="0.2">
      <c r="B16" s="27" t="s">
        <v>129</v>
      </c>
      <c r="C16" s="23" t="s">
        <v>130</v>
      </c>
      <c r="D16" s="23" t="s">
        <v>128</v>
      </c>
      <c r="E16" s="28">
        <v>505900</v>
      </c>
      <c r="F16" s="25">
        <v>12522.29</v>
      </c>
      <c r="G16" s="25">
        <v>2.6</v>
      </c>
      <c r="H16" s="26"/>
    </row>
    <row r="17" spans="2:8" x14ac:dyDescent="0.2">
      <c r="B17" s="27" t="s">
        <v>131</v>
      </c>
      <c r="C17" s="23" t="s">
        <v>132</v>
      </c>
      <c r="D17" s="23" t="s">
        <v>133</v>
      </c>
      <c r="E17" s="28">
        <v>445400</v>
      </c>
      <c r="F17" s="25">
        <v>11007.17</v>
      </c>
      <c r="G17" s="25">
        <v>2.29</v>
      </c>
      <c r="H17" s="26"/>
    </row>
    <row r="18" spans="2:8" x14ac:dyDescent="0.2">
      <c r="B18" s="27" t="s">
        <v>134</v>
      </c>
      <c r="C18" s="23" t="s">
        <v>135</v>
      </c>
      <c r="D18" s="23" t="s">
        <v>136</v>
      </c>
      <c r="E18" s="28">
        <v>720000</v>
      </c>
      <c r="F18" s="25">
        <v>7634.88</v>
      </c>
      <c r="G18" s="25">
        <v>1.59</v>
      </c>
      <c r="H18" s="26"/>
    </row>
    <row r="19" spans="2:8" x14ac:dyDescent="0.2">
      <c r="B19" s="27" t="s">
        <v>60</v>
      </c>
      <c r="C19" s="23" t="s">
        <v>61</v>
      </c>
      <c r="D19" s="23" t="s">
        <v>62</v>
      </c>
      <c r="E19" s="28">
        <v>111971</v>
      </c>
      <c r="F19" s="25">
        <v>7587.15</v>
      </c>
      <c r="G19" s="25">
        <v>1.58</v>
      </c>
      <c r="H19" s="26"/>
    </row>
    <row r="20" spans="2:8" x14ac:dyDescent="0.2">
      <c r="B20" s="27" t="s">
        <v>137</v>
      </c>
      <c r="C20" s="23" t="s">
        <v>138</v>
      </c>
      <c r="D20" s="23" t="s">
        <v>139</v>
      </c>
      <c r="E20" s="28">
        <v>223500</v>
      </c>
      <c r="F20" s="25">
        <v>7474.06</v>
      </c>
      <c r="G20" s="25">
        <v>1.55</v>
      </c>
      <c r="H20" s="26"/>
    </row>
    <row r="21" spans="2:8" x14ac:dyDescent="0.2">
      <c r="B21" s="27" t="s">
        <v>140</v>
      </c>
      <c r="C21" s="23" t="s">
        <v>141</v>
      </c>
      <c r="D21" s="23" t="s">
        <v>65</v>
      </c>
      <c r="E21" s="28">
        <v>375000</v>
      </c>
      <c r="F21" s="25">
        <v>7406.44</v>
      </c>
      <c r="G21" s="25">
        <v>1.54</v>
      </c>
      <c r="H21" s="26"/>
    </row>
    <row r="22" spans="2:8" x14ac:dyDescent="0.2">
      <c r="B22" s="27" t="s">
        <v>142</v>
      </c>
      <c r="C22" s="23" t="s">
        <v>143</v>
      </c>
      <c r="D22" s="23" t="s">
        <v>37</v>
      </c>
      <c r="E22" s="28">
        <v>406651</v>
      </c>
      <c r="F22" s="25">
        <v>6936.86</v>
      </c>
      <c r="G22" s="25">
        <v>1.44</v>
      </c>
      <c r="H22" s="26"/>
    </row>
    <row r="23" spans="2:8" x14ac:dyDescent="0.2">
      <c r="B23" s="27" t="s">
        <v>144</v>
      </c>
      <c r="C23" s="23" t="s">
        <v>145</v>
      </c>
      <c r="D23" s="23" t="s">
        <v>146</v>
      </c>
      <c r="E23" s="28">
        <v>154032</v>
      </c>
      <c r="F23" s="25">
        <v>6790.12</v>
      </c>
      <c r="G23" s="25">
        <v>1.41</v>
      </c>
      <c r="H23" s="26"/>
    </row>
    <row r="24" spans="2:8" x14ac:dyDescent="0.2">
      <c r="B24" s="27" t="s">
        <v>147</v>
      </c>
      <c r="C24" s="23" t="s">
        <v>148</v>
      </c>
      <c r="D24" s="23" t="s">
        <v>70</v>
      </c>
      <c r="E24" s="28">
        <v>1158000</v>
      </c>
      <c r="F24" s="25">
        <v>6458.75</v>
      </c>
      <c r="G24" s="25">
        <v>1.34</v>
      </c>
      <c r="H24" s="26"/>
    </row>
    <row r="25" spans="2:8" x14ac:dyDescent="0.2">
      <c r="B25" s="27" t="s">
        <v>47</v>
      </c>
      <c r="C25" s="23" t="s">
        <v>48</v>
      </c>
      <c r="D25" s="23" t="s">
        <v>49</v>
      </c>
      <c r="E25" s="28">
        <v>448140</v>
      </c>
      <c r="F25" s="25">
        <v>6448.96</v>
      </c>
      <c r="G25" s="25">
        <v>1.34</v>
      </c>
      <c r="H25" s="26"/>
    </row>
    <row r="26" spans="2:8" x14ac:dyDescent="0.2">
      <c r="B26" s="27" t="s">
        <v>149</v>
      </c>
      <c r="C26" s="23" t="s">
        <v>150</v>
      </c>
      <c r="D26" s="23" t="s">
        <v>133</v>
      </c>
      <c r="E26" s="28">
        <v>214500</v>
      </c>
      <c r="F26" s="25">
        <v>6419.34</v>
      </c>
      <c r="G26" s="25">
        <v>1.33</v>
      </c>
      <c r="H26" s="26"/>
    </row>
    <row r="27" spans="2:8" x14ac:dyDescent="0.2">
      <c r="B27" s="27" t="s">
        <v>151</v>
      </c>
      <c r="C27" s="23" t="s">
        <v>152</v>
      </c>
      <c r="D27" s="23" t="s">
        <v>117</v>
      </c>
      <c r="E27" s="28">
        <v>300000</v>
      </c>
      <c r="F27" s="25">
        <v>6402.6</v>
      </c>
      <c r="G27" s="25">
        <v>1.33</v>
      </c>
      <c r="H27" s="26"/>
    </row>
    <row r="28" spans="2:8" x14ac:dyDescent="0.2">
      <c r="B28" s="27" t="s">
        <v>153</v>
      </c>
      <c r="C28" s="23" t="s">
        <v>154</v>
      </c>
      <c r="D28" s="23" t="s">
        <v>155</v>
      </c>
      <c r="E28" s="28">
        <v>218375</v>
      </c>
      <c r="F28" s="25">
        <v>6355.59</v>
      </c>
      <c r="G28" s="25">
        <v>1.32</v>
      </c>
      <c r="H28" s="26"/>
    </row>
    <row r="29" spans="2:8" x14ac:dyDescent="0.2">
      <c r="B29" s="27" t="s">
        <v>156</v>
      </c>
      <c r="C29" s="23" t="s">
        <v>157</v>
      </c>
      <c r="D29" s="23" t="s">
        <v>158</v>
      </c>
      <c r="E29" s="28">
        <v>1813991</v>
      </c>
      <c r="F29" s="25">
        <v>6209.29</v>
      </c>
      <c r="G29" s="25">
        <v>1.29</v>
      </c>
      <c r="H29" s="26"/>
    </row>
    <row r="30" spans="2:8" x14ac:dyDescent="0.2">
      <c r="B30" s="27" t="s">
        <v>159</v>
      </c>
      <c r="C30" s="23" t="s">
        <v>160</v>
      </c>
      <c r="D30" s="23" t="s">
        <v>100</v>
      </c>
      <c r="E30" s="28">
        <v>595429</v>
      </c>
      <c r="F30" s="25">
        <v>6087.96</v>
      </c>
      <c r="G30" s="25">
        <v>1.26</v>
      </c>
      <c r="H30" s="26"/>
    </row>
    <row r="31" spans="2:8" x14ac:dyDescent="0.2">
      <c r="B31" s="27" t="s">
        <v>161</v>
      </c>
      <c r="C31" s="23" t="s">
        <v>162</v>
      </c>
      <c r="D31" s="23" t="s">
        <v>163</v>
      </c>
      <c r="E31" s="28">
        <v>2350000</v>
      </c>
      <c r="F31" s="25">
        <v>5980.75</v>
      </c>
      <c r="G31" s="25">
        <v>1.24</v>
      </c>
      <c r="H31" s="26"/>
    </row>
    <row r="32" spans="2:8" x14ac:dyDescent="0.2">
      <c r="B32" s="27" t="s">
        <v>68</v>
      </c>
      <c r="C32" s="23" t="s">
        <v>69</v>
      </c>
      <c r="D32" s="23" t="s">
        <v>70</v>
      </c>
      <c r="E32" s="28">
        <v>901413</v>
      </c>
      <c r="F32" s="25">
        <v>5956.09</v>
      </c>
      <c r="G32" s="25">
        <v>1.24</v>
      </c>
      <c r="H32" s="26"/>
    </row>
    <row r="33" spans="2:8" x14ac:dyDescent="0.2">
      <c r="B33" s="27" t="s">
        <v>164</v>
      </c>
      <c r="C33" s="23" t="s">
        <v>165</v>
      </c>
      <c r="D33" s="23" t="s">
        <v>133</v>
      </c>
      <c r="E33" s="28">
        <v>765000</v>
      </c>
      <c r="F33" s="25">
        <v>5771.16</v>
      </c>
      <c r="G33" s="25">
        <v>1.2</v>
      </c>
      <c r="H33" s="26"/>
    </row>
    <row r="34" spans="2:8" x14ac:dyDescent="0.2">
      <c r="B34" s="27" t="s">
        <v>166</v>
      </c>
      <c r="C34" s="23" t="s">
        <v>167</v>
      </c>
      <c r="D34" s="23" t="s">
        <v>158</v>
      </c>
      <c r="E34" s="28">
        <v>890690</v>
      </c>
      <c r="F34" s="25">
        <v>5703.98</v>
      </c>
      <c r="G34" s="25">
        <v>1.19</v>
      </c>
      <c r="H34" s="26"/>
    </row>
    <row r="35" spans="2:8" x14ac:dyDescent="0.2">
      <c r="B35" s="27" t="s">
        <v>168</v>
      </c>
      <c r="C35" s="23" t="s">
        <v>169</v>
      </c>
      <c r="D35" s="23" t="s">
        <v>170</v>
      </c>
      <c r="E35" s="28">
        <v>1072334</v>
      </c>
      <c r="F35" s="25">
        <v>5636.72</v>
      </c>
      <c r="G35" s="25">
        <v>1.17</v>
      </c>
      <c r="H35" s="26"/>
    </row>
    <row r="36" spans="2:8" x14ac:dyDescent="0.2">
      <c r="B36" s="27" t="s">
        <v>171</v>
      </c>
      <c r="C36" s="23" t="s">
        <v>172</v>
      </c>
      <c r="D36" s="23" t="s">
        <v>173</v>
      </c>
      <c r="E36" s="28">
        <v>62752</v>
      </c>
      <c r="F36" s="25">
        <v>5633.81</v>
      </c>
      <c r="G36" s="25">
        <v>1.17</v>
      </c>
      <c r="H36" s="26"/>
    </row>
    <row r="37" spans="2:8" x14ac:dyDescent="0.2">
      <c r="B37" s="27" t="s">
        <v>174</v>
      </c>
      <c r="C37" s="23" t="s">
        <v>175</v>
      </c>
      <c r="D37" s="23" t="s">
        <v>176</v>
      </c>
      <c r="E37" s="28">
        <v>73826</v>
      </c>
      <c r="F37" s="25">
        <v>5548.69</v>
      </c>
      <c r="G37" s="25">
        <v>1.1499999999999999</v>
      </c>
      <c r="H37" s="26"/>
    </row>
    <row r="38" spans="2:8" x14ac:dyDescent="0.2">
      <c r="B38" s="27" t="s">
        <v>177</v>
      </c>
      <c r="C38" s="23" t="s">
        <v>178</v>
      </c>
      <c r="D38" s="23" t="s">
        <v>100</v>
      </c>
      <c r="E38" s="28">
        <v>540000</v>
      </c>
      <c r="F38" s="25">
        <v>5293.08</v>
      </c>
      <c r="G38" s="25">
        <v>1.1000000000000001</v>
      </c>
      <c r="H38" s="26"/>
    </row>
    <row r="39" spans="2:8" x14ac:dyDescent="0.2">
      <c r="B39" s="27" t="s">
        <v>179</v>
      </c>
      <c r="C39" s="23" t="s">
        <v>180</v>
      </c>
      <c r="D39" s="23" t="s">
        <v>176</v>
      </c>
      <c r="E39" s="28">
        <v>850000</v>
      </c>
      <c r="F39" s="25">
        <v>5274.25</v>
      </c>
      <c r="G39" s="25">
        <v>1.1000000000000001</v>
      </c>
      <c r="H39" s="26"/>
    </row>
    <row r="40" spans="2:8" x14ac:dyDescent="0.2">
      <c r="B40" s="27" t="s">
        <v>181</v>
      </c>
      <c r="C40" s="23" t="s">
        <v>182</v>
      </c>
      <c r="D40" s="23" t="s">
        <v>173</v>
      </c>
      <c r="E40" s="28">
        <v>136780</v>
      </c>
      <c r="F40" s="25">
        <v>5128.22</v>
      </c>
      <c r="G40" s="25">
        <v>1.07</v>
      </c>
      <c r="H40" s="26"/>
    </row>
    <row r="41" spans="2:8" x14ac:dyDescent="0.2">
      <c r="B41" s="27" t="s">
        <v>183</v>
      </c>
      <c r="C41" s="23" t="s">
        <v>184</v>
      </c>
      <c r="D41" s="23" t="s">
        <v>158</v>
      </c>
      <c r="E41" s="28">
        <v>227500</v>
      </c>
      <c r="F41" s="25">
        <v>5094.18</v>
      </c>
      <c r="G41" s="25">
        <v>1.06</v>
      </c>
      <c r="H41" s="26"/>
    </row>
    <row r="42" spans="2:8" x14ac:dyDescent="0.2">
      <c r="B42" s="27" t="s">
        <v>185</v>
      </c>
      <c r="C42" s="23" t="s">
        <v>186</v>
      </c>
      <c r="D42" s="23" t="s">
        <v>100</v>
      </c>
      <c r="E42" s="28">
        <v>288800</v>
      </c>
      <c r="F42" s="25">
        <v>5003.46</v>
      </c>
      <c r="G42" s="25">
        <v>1.04</v>
      </c>
      <c r="H42" s="26"/>
    </row>
    <row r="43" spans="2:8" x14ac:dyDescent="0.2">
      <c r="B43" s="27" t="s">
        <v>187</v>
      </c>
      <c r="C43" s="23" t="s">
        <v>188</v>
      </c>
      <c r="D43" s="23" t="s">
        <v>136</v>
      </c>
      <c r="E43" s="28">
        <v>720000</v>
      </c>
      <c r="F43" s="25">
        <v>4941.3599999999997</v>
      </c>
      <c r="G43" s="25">
        <v>1.03</v>
      </c>
      <c r="H43" s="26"/>
    </row>
    <row r="44" spans="2:8" x14ac:dyDescent="0.2">
      <c r="B44" s="27" t="s">
        <v>189</v>
      </c>
      <c r="C44" s="23" t="s">
        <v>190</v>
      </c>
      <c r="D44" s="23" t="s">
        <v>176</v>
      </c>
      <c r="E44" s="28">
        <v>1450000</v>
      </c>
      <c r="F44" s="25">
        <v>4924.2</v>
      </c>
      <c r="G44" s="25">
        <v>1.02</v>
      </c>
      <c r="H44" s="26"/>
    </row>
    <row r="45" spans="2:8" x14ac:dyDescent="0.2">
      <c r="B45" s="27" t="s">
        <v>191</v>
      </c>
      <c r="C45" s="23" t="s">
        <v>192</v>
      </c>
      <c r="D45" s="23" t="s">
        <v>173</v>
      </c>
      <c r="E45" s="28">
        <v>268909</v>
      </c>
      <c r="F45" s="25">
        <v>4921.03</v>
      </c>
      <c r="G45" s="25">
        <v>1.02</v>
      </c>
      <c r="H45" s="26"/>
    </row>
    <row r="46" spans="2:8" x14ac:dyDescent="0.2">
      <c r="B46" s="27" t="s">
        <v>193</v>
      </c>
      <c r="C46" s="23" t="s">
        <v>194</v>
      </c>
      <c r="D46" s="23" t="s">
        <v>146</v>
      </c>
      <c r="E46" s="28">
        <v>500000</v>
      </c>
      <c r="F46" s="25">
        <v>4859.5</v>
      </c>
      <c r="G46" s="25">
        <v>1.01</v>
      </c>
      <c r="H46" s="26"/>
    </row>
    <row r="47" spans="2:8" x14ac:dyDescent="0.2">
      <c r="B47" s="27" t="s">
        <v>195</v>
      </c>
      <c r="C47" s="23" t="s">
        <v>196</v>
      </c>
      <c r="D47" s="23" t="s">
        <v>197</v>
      </c>
      <c r="E47" s="28">
        <v>157700</v>
      </c>
      <c r="F47" s="25">
        <v>4857.4799999999996</v>
      </c>
      <c r="G47" s="25">
        <v>1.01</v>
      </c>
      <c r="H47" s="26"/>
    </row>
    <row r="48" spans="2:8" x14ac:dyDescent="0.2">
      <c r="B48" s="27" t="s">
        <v>66</v>
      </c>
      <c r="C48" s="23" t="s">
        <v>67</v>
      </c>
      <c r="D48" s="23" t="s">
        <v>46</v>
      </c>
      <c r="E48" s="28">
        <v>268500</v>
      </c>
      <c r="F48" s="25">
        <v>4855.0200000000004</v>
      </c>
      <c r="G48" s="25">
        <v>1.01</v>
      </c>
      <c r="H48" s="26"/>
    </row>
    <row r="49" spans="2:8" x14ac:dyDescent="0.2">
      <c r="B49" s="27" t="s">
        <v>198</v>
      </c>
      <c r="C49" s="23" t="s">
        <v>199</v>
      </c>
      <c r="D49" s="23" t="s">
        <v>65</v>
      </c>
      <c r="E49" s="28">
        <v>636750</v>
      </c>
      <c r="F49" s="25">
        <v>4851.3999999999996</v>
      </c>
      <c r="G49" s="25">
        <v>1.01</v>
      </c>
      <c r="H49" s="26"/>
    </row>
    <row r="50" spans="2:8" x14ac:dyDescent="0.2">
      <c r="B50" s="27" t="s">
        <v>200</v>
      </c>
      <c r="C50" s="23" t="s">
        <v>201</v>
      </c>
      <c r="D50" s="23" t="s">
        <v>176</v>
      </c>
      <c r="E50" s="28">
        <v>3950000</v>
      </c>
      <c r="F50" s="25">
        <v>4842.7</v>
      </c>
      <c r="G50" s="25">
        <v>1.01</v>
      </c>
      <c r="H50" s="26"/>
    </row>
    <row r="51" spans="2:8" x14ac:dyDescent="0.2">
      <c r="B51" s="27" t="s">
        <v>87</v>
      </c>
      <c r="C51" s="23" t="s">
        <v>88</v>
      </c>
      <c r="D51" s="23" t="s">
        <v>62</v>
      </c>
      <c r="E51" s="28">
        <v>167000</v>
      </c>
      <c r="F51" s="25">
        <v>4762.01</v>
      </c>
      <c r="G51" s="25">
        <v>0.99</v>
      </c>
      <c r="H51" s="26"/>
    </row>
    <row r="52" spans="2:8" x14ac:dyDescent="0.2">
      <c r="B52" s="27" t="s">
        <v>202</v>
      </c>
      <c r="C52" s="23" t="s">
        <v>203</v>
      </c>
      <c r="D52" s="23" t="s">
        <v>128</v>
      </c>
      <c r="E52" s="28">
        <v>892113</v>
      </c>
      <c r="F52" s="25">
        <v>4670.66</v>
      </c>
      <c r="G52" s="25">
        <v>0.97</v>
      </c>
      <c r="H52" s="26"/>
    </row>
    <row r="53" spans="2:8" x14ac:dyDescent="0.2">
      <c r="B53" s="27" t="s">
        <v>95</v>
      </c>
      <c r="C53" s="23" t="s">
        <v>96</v>
      </c>
      <c r="D53" s="23" t="s">
        <v>97</v>
      </c>
      <c r="E53" s="28">
        <v>1250000</v>
      </c>
      <c r="F53" s="25">
        <v>4650.63</v>
      </c>
      <c r="G53" s="25">
        <v>0.97</v>
      </c>
      <c r="H53" s="26"/>
    </row>
    <row r="54" spans="2:8" x14ac:dyDescent="0.2">
      <c r="B54" s="27" t="s">
        <v>204</v>
      </c>
      <c r="C54" s="23" t="s">
        <v>205</v>
      </c>
      <c r="D54" s="23" t="s">
        <v>128</v>
      </c>
      <c r="E54" s="28">
        <v>900000</v>
      </c>
      <c r="F54" s="25">
        <v>4619.25</v>
      </c>
      <c r="G54" s="25">
        <v>0.96</v>
      </c>
      <c r="H54" s="26"/>
    </row>
    <row r="55" spans="2:8" x14ac:dyDescent="0.2">
      <c r="B55" s="27" t="s">
        <v>84</v>
      </c>
      <c r="C55" s="23" t="s">
        <v>85</v>
      </c>
      <c r="D55" s="23" t="s">
        <v>86</v>
      </c>
      <c r="E55" s="28">
        <v>370000</v>
      </c>
      <c r="F55" s="25">
        <v>4316.42</v>
      </c>
      <c r="G55" s="25">
        <v>0.9</v>
      </c>
      <c r="H55" s="26"/>
    </row>
    <row r="56" spans="2:8" x14ac:dyDescent="0.2">
      <c r="B56" s="27" t="s">
        <v>206</v>
      </c>
      <c r="C56" s="23" t="s">
        <v>207</v>
      </c>
      <c r="D56" s="23" t="s">
        <v>128</v>
      </c>
      <c r="E56" s="28">
        <v>413000</v>
      </c>
      <c r="F56" s="25">
        <v>4007.75</v>
      </c>
      <c r="G56" s="25">
        <v>0.83</v>
      </c>
      <c r="H56" s="26"/>
    </row>
    <row r="57" spans="2:8" x14ac:dyDescent="0.2">
      <c r="B57" s="27" t="s">
        <v>208</v>
      </c>
      <c r="C57" s="23" t="s">
        <v>209</v>
      </c>
      <c r="D57" s="23" t="s">
        <v>100</v>
      </c>
      <c r="E57" s="28">
        <v>240000</v>
      </c>
      <c r="F57" s="25">
        <v>3832.2</v>
      </c>
      <c r="G57" s="25">
        <v>0.8</v>
      </c>
      <c r="H57" s="26"/>
    </row>
    <row r="58" spans="2:8" x14ac:dyDescent="0.2">
      <c r="B58" s="27" t="s">
        <v>210</v>
      </c>
      <c r="C58" s="23" t="s">
        <v>211</v>
      </c>
      <c r="D58" s="23" t="s">
        <v>117</v>
      </c>
      <c r="E58" s="28">
        <v>380000</v>
      </c>
      <c r="F58" s="25">
        <v>3737.3</v>
      </c>
      <c r="G58" s="25">
        <v>0.78</v>
      </c>
      <c r="H58" s="26"/>
    </row>
    <row r="59" spans="2:8" x14ac:dyDescent="0.2">
      <c r="B59" s="27" t="s">
        <v>52</v>
      </c>
      <c r="C59" s="23" t="s">
        <v>53</v>
      </c>
      <c r="D59" s="23" t="s">
        <v>46</v>
      </c>
      <c r="E59" s="28">
        <v>8560</v>
      </c>
      <c r="F59" s="25">
        <v>3580.76</v>
      </c>
      <c r="G59" s="25">
        <v>0.74</v>
      </c>
      <c r="H59" s="26"/>
    </row>
    <row r="60" spans="2:8" x14ac:dyDescent="0.2">
      <c r="B60" s="27" t="s">
        <v>212</v>
      </c>
      <c r="C60" s="23" t="s">
        <v>213</v>
      </c>
      <c r="D60" s="23" t="s">
        <v>146</v>
      </c>
      <c r="E60" s="28">
        <v>525000</v>
      </c>
      <c r="F60" s="25">
        <v>3546.11</v>
      </c>
      <c r="G60" s="25">
        <v>0.74</v>
      </c>
      <c r="H60" s="26"/>
    </row>
    <row r="61" spans="2:8" x14ac:dyDescent="0.2">
      <c r="B61" s="27" t="s">
        <v>214</v>
      </c>
      <c r="C61" s="23" t="s">
        <v>215</v>
      </c>
      <c r="D61" s="23" t="s">
        <v>146</v>
      </c>
      <c r="E61" s="28">
        <v>19860</v>
      </c>
      <c r="F61" s="25">
        <v>3338.25</v>
      </c>
      <c r="G61" s="25">
        <v>0.69</v>
      </c>
      <c r="H61" s="26"/>
    </row>
    <row r="62" spans="2:8" x14ac:dyDescent="0.2">
      <c r="B62" s="27" t="s">
        <v>216</v>
      </c>
      <c r="C62" s="23" t="s">
        <v>217</v>
      </c>
      <c r="D62" s="23" t="s">
        <v>163</v>
      </c>
      <c r="E62" s="28">
        <v>80394</v>
      </c>
      <c r="F62" s="25">
        <v>2630.85</v>
      </c>
      <c r="G62" s="25">
        <v>0.55000000000000004</v>
      </c>
      <c r="H62" s="26"/>
    </row>
    <row r="63" spans="2:8" x14ac:dyDescent="0.2">
      <c r="B63" s="27" t="s">
        <v>218</v>
      </c>
      <c r="C63" s="23" t="s">
        <v>219</v>
      </c>
      <c r="D63" s="23" t="s">
        <v>146</v>
      </c>
      <c r="E63" s="28">
        <v>120659</v>
      </c>
      <c r="F63" s="25">
        <v>2445.0300000000002</v>
      </c>
      <c r="G63" s="25">
        <v>0.51</v>
      </c>
      <c r="H63" s="26"/>
    </row>
    <row r="64" spans="2:8" x14ac:dyDescent="0.2">
      <c r="B64" s="27" t="s">
        <v>220</v>
      </c>
      <c r="C64" s="23" t="s">
        <v>221</v>
      </c>
      <c r="D64" s="23" t="s">
        <v>133</v>
      </c>
      <c r="E64" s="28">
        <v>58490</v>
      </c>
      <c r="F64" s="25">
        <v>2134.6799999999998</v>
      </c>
      <c r="G64" s="25">
        <v>0.44</v>
      </c>
      <c r="H64" s="26"/>
    </row>
    <row r="65" spans="2:10" x14ac:dyDescent="0.2">
      <c r="B65" s="27" t="s">
        <v>222</v>
      </c>
      <c r="C65" s="23" t="s">
        <v>223</v>
      </c>
      <c r="D65" s="23" t="s">
        <v>100</v>
      </c>
      <c r="E65" s="28">
        <v>66282</v>
      </c>
      <c r="F65" s="25">
        <v>1481.73</v>
      </c>
      <c r="G65" s="25">
        <v>0.31</v>
      </c>
      <c r="H65" s="26"/>
    </row>
    <row r="66" spans="2:10" x14ac:dyDescent="0.2">
      <c r="B66" s="27" t="s">
        <v>224</v>
      </c>
      <c r="C66" s="23" t="s">
        <v>225</v>
      </c>
      <c r="D66" s="23" t="s">
        <v>62</v>
      </c>
      <c r="E66" s="28">
        <v>2342</v>
      </c>
      <c r="F66" s="25">
        <v>644.16</v>
      </c>
      <c r="G66" s="25">
        <v>0.13</v>
      </c>
      <c r="H66" s="26"/>
    </row>
    <row r="67" spans="2:10" x14ac:dyDescent="0.2">
      <c r="B67" s="29" t="s">
        <v>110</v>
      </c>
      <c r="C67" s="30"/>
      <c r="D67" s="30"/>
      <c r="E67" s="31"/>
      <c r="F67" s="32">
        <f>SUM(F7:F66)</f>
        <v>459706.49</v>
      </c>
      <c r="G67" s="32">
        <f>SUM(G7:G66)</f>
        <v>95.539999999999992</v>
      </c>
      <c r="H67" s="33"/>
      <c r="I67" s="14"/>
      <c r="J67" s="14"/>
    </row>
    <row r="68" spans="2:10" x14ac:dyDescent="0.2">
      <c r="B68" s="37" t="s">
        <v>111</v>
      </c>
      <c r="C68" s="37"/>
      <c r="D68" s="37"/>
      <c r="E68" s="38"/>
      <c r="F68" s="39">
        <f>F67</f>
        <v>459706.49</v>
      </c>
      <c r="G68" s="39">
        <f>G67</f>
        <v>95.539999999999992</v>
      </c>
      <c r="H68" s="15"/>
      <c r="I68" s="14"/>
      <c r="J68" s="14"/>
    </row>
    <row r="69" spans="2:10" x14ac:dyDescent="0.2">
      <c r="B69" s="46" t="s">
        <v>226</v>
      </c>
      <c r="C69" s="41"/>
      <c r="D69" s="41"/>
      <c r="E69" s="42"/>
      <c r="F69" s="43"/>
      <c r="G69" s="43"/>
      <c r="H69" s="43"/>
    </row>
    <row r="70" spans="2:10" x14ac:dyDescent="0.2">
      <c r="B70" s="47" t="s">
        <v>31</v>
      </c>
      <c r="C70" s="23"/>
      <c r="D70" s="23"/>
      <c r="E70" s="24"/>
      <c r="F70" s="25"/>
      <c r="G70" s="25"/>
      <c r="H70" s="25"/>
    </row>
    <row r="71" spans="2:10" x14ac:dyDescent="0.2">
      <c r="B71" s="23" t="s">
        <v>227</v>
      </c>
      <c r="C71" s="23" t="s">
        <v>228</v>
      </c>
      <c r="D71" s="23" t="s">
        <v>229</v>
      </c>
      <c r="E71" s="28">
        <v>58490</v>
      </c>
      <c r="F71" s="25">
        <v>16.87</v>
      </c>
      <c r="G71" s="25">
        <v>0</v>
      </c>
      <c r="H71" s="25">
        <v>5.7</v>
      </c>
    </row>
    <row r="72" spans="2:10" x14ac:dyDescent="0.2">
      <c r="B72" s="30" t="s">
        <v>110</v>
      </c>
      <c r="C72" s="30"/>
      <c r="D72" s="30"/>
      <c r="E72" s="31"/>
      <c r="F72" s="32">
        <f>SUM(F70:F71)</f>
        <v>16.87</v>
      </c>
      <c r="G72" s="32">
        <f>SUM(G70:G71)</f>
        <v>0</v>
      </c>
      <c r="H72" s="48"/>
      <c r="I72" s="14"/>
      <c r="J72" s="14"/>
    </row>
    <row r="73" spans="2:10" x14ac:dyDescent="0.2">
      <c r="B73" s="49" t="s">
        <v>111</v>
      </c>
      <c r="C73" s="49"/>
      <c r="D73" s="49"/>
      <c r="E73" s="50"/>
      <c r="F73" s="51">
        <f>F72</f>
        <v>16.87</v>
      </c>
      <c r="G73" s="51">
        <f>G72</f>
        <v>0</v>
      </c>
      <c r="H73" s="51"/>
      <c r="I73" s="14"/>
      <c r="J73" s="14"/>
    </row>
    <row r="74" spans="2:10" x14ac:dyDescent="0.2">
      <c r="B74" s="47" t="s">
        <v>112</v>
      </c>
      <c r="C74" s="23"/>
      <c r="D74" s="23"/>
      <c r="E74" s="24"/>
      <c r="F74" s="25"/>
      <c r="G74" s="25"/>
      <c r="H74" s="25"/>
    </row>
    <row r="75" spans="2:10" x14ac:dyDescent="0.2">
      <c r="B75" s="23" t="s">
        <v>112</v>
      </c>
      <c r="C75" s="23"/>
      <c r="D75" s="23"/>
      <c r="E75" s="24"/>
      <c r="F75" s="25">
        <v>26590.33</v>
      </c>
      <c r="G75" s="25">
        <v>5.52</v>
      </c>
      <c r="H75" s="25"/>
    </row>
    <row r="76" spans="2:10" x14ac:dyDescent="0.2">
      <c r="B76" s="30" t="s">
        <v>110</v>
      </c>
      <c r="C76" s="30"/>
      <c r="D76" s="30"/>
      <c r="E76" s="31"/>
      <c r="F76" s="32">
        <f>SUM(F74:F75)</f>
        <v>26590.33</v>
      </c>
      <c r="G76" s="32">
        <f>SUM(G74:G75)</f>
        <v>5.52</v>
      </c>
      <c r="H76" s="48"/>
      <c r="I76" s="14"/>
      <c r="J76" s="14"/>
    </row>
    <row r="77" spans="2:10" x14ac:dyDescent="0.2">
      <c r="B77" s="34" t="s">
        <v>111</v>
      </c>
      <c r="C77" s="34"/>
      <c r="D77" s="34"/>
      <c r="E77" s="35"/>
      <c r="F77" s="36">
        <f>F76</f>
        <v>26590.33</v>
      </c>
      <c r="G77" s="36">
        <f>G76</f>
        <v>5.52</v>
      </c>
      <c r="H77" s="36"/>
      <c r="I77" s="14"/>
      <c r="J77" s="14"/>
    </row>
    <row r="78" spans="2:10" x14ac:dyDescent="0.2">
      <c r="B78" s="44" t="s">
        <v>114</v>
      </c>
      <c r="C78" s="44"/>
      <c r="D78" s="44"/>
      <c r="E78" s="45"/>
      <c r="F78" s="16">
        <f>F79-(+F68+F73+F77)</f>
        <v>-4982.8099999999977</v>
      </c>
      <c r="G78" s="16">
        <f>G79-(+G68+G73+G77)</f>
        <v>-1.0599999999999881</v>
      </c>
      <c r="H78" s="16"/>
      <c r="I78" s="14"/>
      <c r="J78" s="14"/>
    </row>
    <row r="79" spans="2:10" x14ac:dyDescent="0.2">
      <c r="B79" s="44" t="s">
        <v>113</v>
      </c>
      <c r="C79" s="44"/>
      <c r="D79" s="44"/>
      <c r="E79" s="45"/>
      <c r="F79" s="16">
        <v>481330.88</v>
      </c>
      <c r="G79" s="16">
        <v>100</v>
      </c>
      <c r="H79" s="16"/>
      <c r="I79" s="14"/>
      <c r="J79" s="14"/>
    </row>
    <row r="81" spans="2:2" x14ac:dyDescent="0.2">
      <c r="B81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1"/>
  <sheetViews>
    <sheetView workbookViewId="0">
      <selection activeCell="D8" sqref="D8"/>
    </sheetView>
  </sheetViews>
  <sheetFormatPr defaultRowHeight="12" x14ac:dyDescent="0.2"/>
  <cols>
    <col min="1" max="1" width="9.140625" style="1"/>
    <col min="2" max="2" width="55" style="1" bestFit="1" customWidth="1"/>
    <col min="3" max="3" width="13.8554687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10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117</v>
      </c>
      <c r="E7" s="28">
        <v>1406310</v>
      </c>
      <c r="F7" s="25">
        <v>22230.95</v>
      </c>
      <c r="G7" s="25">
        <v>9.49</v>
      </c>
    </row>
    <row r="8" spans="2:7" x14ac:dyDescent="0.2">
      <c r="B8" s="27" t="s">
        <v>118</v>
      </c>
      <c r="C8" s="23" t="s">
        <v>119</v>
      </c>
      <c r="D8" s="23" t="s">
        <v>37</v>
      </c>
      <c r="E8" s="28">
        <v>1242184</v>
      </c>
      <c r="F8" s="25">
        <v>18606.669999999998</v>
      </c>
      <c r="G8" s="25">
        <v>7.94</v>
      </c>
    </row>
    <row r="9" spans="2:7" x14ac:dyDescent="0.2">
      <c r="B9" s="27" t="s">
        <v>35</v>
      </c>
      <c r="C9" s="23" t="s">
        <v>36</v>
      </c>
      <c r="D9" s="23" t="s">
        <v>37</v>
      </c>
      <c r="E9" s="28">
        <v>2506000</v>
      </c>
      <c r="F9" s="25">
        <v>15810.35</v>
      </c>
      <c r="G9" s="25">
        <v>6.75</v>
      </c>
    </row>
    <row r="10" spans="2:7" x14ac:dyDescent="0.2">
      <c r="B10" s="27" t="s">
        <v>32</v>
      </c>
      <c r="C10" s="23" t="s">
        <v>33</v>
      </c>
      <c r="D10" s="23" t="s">
        <v>34</v>
      </c>
      <c r="E10" s="28">
        <v>680000</v>
      </c>
      <c r="F10" s="25">
        <v>10203.74</v>
      </c>
      <c r="G10" s="25">
        <v>4.3499999999999996</v>
      </c>
    </row>
    <row r="11" spans="2:7" x14ac:dyDescent="0.2">
      <c r="B11" s="27" t="s">
        <v>120</v>
      </c>
      <c r="C11" s="23" t="s">
        <v>121</v>
      </c>
      <c r="D11" s="23" t="s">
        <v>117</v>
      </c>
      <c r="E11" s="28">
        <v>288815</v>
      </c>
      <c r="F11" s="25">
        <v>9663.0300000000007</v>
      </c>
      <c r="G11" s="25">
        <v>4.12</v>
      </c>
    </row>
    <row r="12" spans="2:7" x14ac:dyDescent="0.2">
      <c r="B12" s="27" t="s">
        <v>126</v>
      </c>
      <c r="C12" s="23" t="s">
        <v>127</v>
      </c>
      <c r="D12" s="23" t="s">
        <v>128</v>
      </c>
      <c r="E12" s="28">
        <v>132450</v>
      </c>
      <c r="F12" s="25">
        <v>7967.99</v>
      </c>
      <c r="G12" s="25">
        <v>3.4</v>
      </c>
    </row>
    <row r="13" spans="2:7" x14ac:dyDescent="0.2">
      <c r="B13" s="27" t="s">
        <v>129</v>
      </c>
      <c r="C13" s="23" t="s">
        <v>130</v>
      </c>
      <c r="D13" s="23" t="s">
        <v>128</v>
      </c>
      <c r="E13" s="28">
        <v>297500</v>
      </c>
      <c r="F13" s="25">
        <v>7363.87</v>
      </c>
      <c r="G13" s="25">
        <v>3.14</v>
      </c>
    </row>
    <row r="14" spans="2:7" x14ac:dyDescent="0.2">
      <c r="B14" s="27" t="s">
        <v>124</v>
      </c>
      <c r="C14" s="23" t="s">
        <v>125</v>
      </c>
      <c r="D14" s="23" t="s">
        <v>37</v>
      </c>
      <c r="E14" s="28">
        <v>928000</v>
      </c>
      <c r="F14" s="25">
        <v>6944.22</v>
      </c>
      <c r="G14" s="25">
        <v>2.96</v>
      </c>
    </row>
    <row r="15" spans="2:7" x14ac:dyDescent="0.2">
      <c r="B15" s="27" t="s">
        <v>54</v>
      </c>
      <c r="C15" s="23" t="s">
        <v>55</v>
      </c>
      <c r="D15" s="23" t="s">
        <v>37</v>
      </c>
      <c r="E15" s="28">
        <v>1500000</v>
      </c>
      <c r="F15" s="25">
        <v>6288</v>
      </c>
      <c r="G15" s="25">
        <v>2.68</v>
      </c>
    </row>
    <row r="16" spans="2:7" x14ac:dyDescent="0.2">
      <c r="B16" s="27" t="s">
        <v>230</v>
      </c>
      <c r="C16" s="23" t="s">
        <v>231</v>
      </c>
      <c r="D16" s="23" t="s">
        <v>158</v>
      </c>
      <c r="E16" s="28">
        <v>1843334</v>
      </c>
      <c r="F16" s="25">
        <v>4462.71</v>
      </c>
      <c r="G16" s="25">
        <v>1.9</v>
      </c>
    </row>
    <row r="17" spans="2:7" x14ac:dyDescent="0.2">
      <c r="B17" s="27" t="s">
        <v>122</v>
      </c>
      <c r="C17" s="23" t="s">
        <v>123</v>
      </c>
      <c r="D17" s="23" t="s">
        <v>81</v>
      </c>
      <c r="E17" s="28">
        <v>210500</v>
      </c>
      <c r="F17" s="25">
        <v>4442.92</v>
      </c>
      <c r="G17" s="25">
        <v>1.9</v>
      </c>
    </row>
    <row r="18" spans="2:7" x14ac:dyDescent="0.2">
      <c r="B18" s="27" t="s">
        <v>144</v>
      </c>
      <c r="C18" s="23" t="s">
        <v>145</v>
      </c>
      <c r="D18" s="23" t="s">
        <v>146</v>
      </c>
      <c r="E18" s="28">
        <v>94000</v>
      </c>
      <c r="F18" s="25">
        <v>4143.76</v>
      </c>
      <c r="G18" s="25">
        <v>1.77</v>
      </c>
    </row>
    <row r="19" spans="2:7" x14ac:dyDescent="0.2">
      <c r="B19" s="27" t="s">
        <v>195</v>
      </c>
      <c r="C19" s="23" t="s">
        <v>196</v>
      </c>
      <c r="D19" s="23" t="s">
        <v>197</v>
      </c>
      <c r="E19" s="28">
        <v>131200</v>
      </c>
      <c r="F19" s="25">
        <v>4041.22</v>
      </c>
      <c r="G19" s="25">
        <v>1.72</v>
      </c>
    </row>
    <row r="20" spans="2:7" x14ac:dyDescent="0.2">
      <c r="B20" s="27" t="s">
        <v>166</v>
      </c>
      <c r="C20" s="23" t="s">
        <v>167</v>
      </c>
      <c r="D20" s="23" t="s">
        <v>158</v>
      </c>
      <c r="E20" s="28">
        <v>612358</v>
      </c>
      <c r="F20" s="25">
        <v>3921.54</v>
      </c>
      <c r="G20" s="25">
        <v>1.67</v>
      </c>
    </row>
    <row r="21" spans="2:7" x14ac:dyDescent="0.2">
      <c r="B21" s="27" t="s">
        <v>71</v>
      </c>
      <c r="C21" s="23" t="s">
        <v>72</v>
      </c>
      <c r="D21" s="23" t="s">
        <v>62</v>
      </c>
      <c r="E21" s="28">
        <v>205000</v>
      </c>
      <c r="F21" s="25">
        <v>3876.86</v>
      </c>
      <c r="G21" s="25">
        <v>1.65</v>
      </c>
    </row>
    <row r="22" spans="2:7" x14ac:dyDescent="0.2">
      <c r="B22" s="27" t="s">
        <v>232</v>
      </c>
      <c r="C22" s="23" t="s">
        <v>233</v>
      </c>
      <c r="D22" s="23" t="s">
        <v>117</v>
      </c>
      <c r="E22" s="28">
        <v>128000</v>
      </c>
      <c r="F22" s="25">
        <v>3761.73</v>
      </c>
      <c r="G22" s="25">
        <v>1.61</v>
      </c>
    </row>
    <row r="23" spans="2:7" x14ac:dyDescent="0.2">
      <c r="B23" s="27" t="s">
        <v>164</v>
      </c>
      <c r="C23" s="23" t="s">
        <v>165</v>
      </c>
      <c r="D23" s="23" t="s">
        <v>133</v>
      </c>
      <c r="E23" s="28">
        <v>493000</v>
      </c>
      <c r="F23" s="25">
        <v>3719.19</v>
      </c>
      <c r="G23" s="25">
        <v>1.59</v>
      </c>
    </row>
    <row r="24" spans="2:7" x14ac:dyDescent="0.2">
      <c r="B24" s="27" t="s">
        <v>153</v>
      </c>
      <c r="C24" s="23" t="s">
        <v>154</v>
      </c>
      <c r="D24" s="23" t="s">
        <v>155</v>
      </c>
      <c r="E24" s="28">
        <v>125500</v>
      </c>
      <c r="F24" s="25">
        <v>3652.55</v>
      </c>
      <c r="G24" s="25">
        <v>1.56</v>
      </c>
    </row>
    <row r="25" spans="2:7" x14ac:dyDescent="0.2">
      <c r="B25" s="27" t="s">
        <v>52</v>
      </c>
      <c r="C25" s="23" t="s">
        <v>53</v>
      </c>
      <c r="D25" s="23" t="s">
        <v>46</v>
      </c>
      <c r="E25" s="28">
        <v>8266</v>
      </c>
      <c r="F25" s="25">
        <v>3457.78</v>
      </c>
      <c r="G25" s="25">
        <v>1.48</v>
      </c>
    </row>
    <row r="26" spans="2:7" x14ac:dyDescent="0.2">
      <c r="B26" s="27" t="s">
        <v>142</v>
      </c>
      <c r="C26" s="23" t="s">
        <v>143</v>
      </c>
      <c r="D26" s="23" t="s">
        <v>37</v>
      </c>
      <c r="E26" s="28">
        <v>202500</v>
      </c>
      <c r="F26" s="25">
        <v>3454.35</v>
      </c>
      <c r="G26" s="25">
        <v>1.47</v>
      </c>
    </row>
    <row r="27" spans="2:7" x14ac:dyDescent="0.2">
      <c r="B27" s="27" t="s">
        <v>131</v>
      </c>
      <c r="C27" s="23" t="s">
        <v>132</v>
      </c>
      <c r="D27" s="23" t="s">
        <v>133</v>
      </c>
      <c r="E27" s="28">
        <v>139690</v>
      </c>
      <c r="F27" s="25">
        <v>3452.16</v>
      </c>
      <c r="G27" s="25">
        <v>1.47</v>
      </c>
    </row>
    <row r="28" spans="2:7" x14ac:dyDescent="0.2">
      <c r="B28" s="27" t="s">
        <v>149</v>
      </c>
      <c r="C28" s="23" t="s">
        <v>150</v>
      </c>
      <c r="D28" s="23" t="s">
        <v>133</v>
      </c>
      <c r="E28" s="28">
        <v>110700</v>
      </c>
      <c r="F28" s="25">
        <v>3312.92</v>
      </c>
      <c r="G28" s="25">
        <v>1.41</v>
      </c>
    </row>
    <row r="29" spans="2:7" x14ac:dyDescent="0.2">
      <c r="B29" s="27" t="s">
        <v>177</v>
      </c>
      <c r="C29" s="23" t="s">
        <v>178</v>
      </c>
      <c r="D29" s="23" t="s">
        <v>100</v>
      </c>
      <c r="E29" s="28">
        <v>325000</v>
      </c>
      <c r="F29" s="25">
        <v>3185.65</v>
      </c>
      <c r="G29" s="25">
        <v>1.36</v>
      </c>
    </row>
    <row r="30" spans="2:7" x14ac:dyDescent="0.2">
      <c r="B30" s="27" t="s">
        <v>66</v>
      </c>
      <c r="C30" s="23" t="s">
        <v>67</v>
      </c>
      <c r="D30" s="23" t="s">
        <v>46</v>
      </c>
      <c r="E30" s="28">
        <v>167500</v>
      </c>
      <c r="F30" s="25">
        <v>3028.74</v>
      </c>
      <c r="G30" s="25">
        <v>1.29</v>
      </c>
    </row>
    <row r="31" spans="2:7" x14ac:dyDescent="0.2">
      <c r="B31" s="27" t="s">
        <v>206</v>
      </c>
      <c r="C31" s="23" t="s">
        <v>207</v>
      </c>
      <c r="D31" s="23" t="s">
        <v>128</v>
      </c>
      <c r="E31" s="28">
        <v>311000</v>
      </c>
      <c r="F31" s="25">
        <v>3017.94</v>
      </c>
      <c r="G31" s="25">
        <v>1.29</v>
      </c>
    </row>
    <row r="32" spans="2:7" x14ac:dyDescent="0.2">
      <c r="B32" s="27" t="s">
        <v>204</v>
      </c>
      <c r="C32" s="23" t="s">
        <v>205</v>
      </c>
      <c r="D32" s="23" t="s">
        <v>128</v>
      </c>
      <c r="E32" s="28">
        <v>570000</v>
      </c>
      <c r="F32" s="25">
        <v>2925.53</v>
      </c>
      <c r="G32" s="25">
        <v>1.25</v>
      </c>
    </row>
    <row r="33" spans="2:7" x14ac:dyDescent="0.2">
      <c r="B33" s="27" t="s">
        <v>234</v>
      </c>
      <c r="C33" s="23" t="s">
        <v>235</v>
      </c>
      <c r="D33" s="23" t="s">
        <v>139</v>
      </c>
      <c r="E33" s="28">
        <v>56500</v>
      </c>
      <c r="F33" s="25">
        <v>2777.4</v>
      </c>
      <c r="G33" s="25">
        <v>1.19</v>
      </c>
    </row>
    <row r="34" spans="2:7" x14ac:dyDescent="0.2">
      <c r="B34" s="27" t="s">
        <v>193</v>
      </c>
      <c r="C34" s="23" t="s">
        <v>194</v>
      </c>
      <c r="D34" s="23" t="s">
        <v>146</v>
      </c>
      <c r="E34" s="28">
        <v>285000</v>
      </c>
      <c r="F34" s="25">
        <v>2769.92</v>
      </c>
      <c r="G34" s="25">
        <v>1.18</v>
      </c>
    </row>
    <row r="35" spans="2:7" x14ac:dyDescent="0.2">
      <c r="B35" s="27" t="s">
        <v>137</v>
      </c>
      <c r="C35" s="23" t="s">
        <v>138</v>
      </c>
      <c r="D35" s="23" t="s">
        <v>139</v>
      </c>
      <c r="E35" s="28">
        <v>81500</v>
      </c>
      <c r="F35" s="25">
        <v>2725.44</v>
      </c>
      <c r="G35" s="25">
        <v>1.1599999999999999</v>
      </c>
    </row>
    <row r="36" spans="2:7" x14ac:dyDescent="0.2">
      <c r="B36" s="27" t="s">
        <v>236</v>
      </c>
      <c r="C36" s="23" t="s">
        <v>237</v>
      </c>
      <c r="D36" s="23" t="s">
        <v>100</v>
      </c>
      <c r="E36" s="28">
        <v>614272</v>
      </c>
      <c r="F36" s="25">
        <v>2669.63</v>
      </c>
      <c r="G36" s="25">
        <v>1.1399999999999999</v>
      </c>
    </row>
    <row r="37" spans="2:7" x14ac:dyDescent="0.2">
      <c r="B37" s="27" t="s">
        <v>140</v>
      </c>
      <c r="C37" s="23" t="s">
        <v>141</v>
      </c>
      <c r="D37" s="23" t="s">
        <v>65</v>
      </c>
      <c r="E37" s="28">
        <v>135000</v>
      </c>
      <c r="F37" s="25">
        <v>2666.32</v>
      </c>
      <c r="G37" s="25">
        <v>1.1399999999999999</v>
      </c>
    </row>
    <row r="38" spans="2:7" x14ac:dyDescent="0.2">
      <c r="B38" s="27" t="s">
        <v>200</v>
      </c>
      <c r="C38" s="23" t="s">
        <v>201</v>
      </c>
      <c r="D38" s="23" t="s">
        <v>176</v>
      </c>
      <c r="E38" s="28">
        <v>2155000</v>
      </c>
      <c r="F38" s="25">
        <v>2642.03</v>
      </c>
      <c r="G38" s="25">
        <v>1.1299999999999999</v>
      </c>
    </row>
    <row r="39" spans="2:7" x14ac:dyDescent="0.2">
      <c r="B39" s="27" t="s">
        <v>185</v>
      </c>
      <c r="C39" s="23" t="s">
        <v>186</v>
      </c>
      <c r="D39" s="23" t="s">
        <v>100</v>
      </c>
      <c r="E39" s="28">
        <v>150000</v>
      </c>
      <c r="F39" s="25">
        <v>2598.75</v>
      </c>
      <c r="G39" s="25">
        <v>1.1100000000000001</v>
      </c>
    </row>
    <row r="40" spans="2:7" x14ac:dyDescent="0.2">
      <c r="B40" s="27" t="s">
        <v>238</v>
      </c>
      <c r="C40" s="23" t="s">
        <v>239</v>
      </c>
      <c r="D40" s="23" t="s">
        <v>146</v>
      </c>
      <c r="E40" s="28">
        <v>75000</v>
      </c>
      <c r="F40" s="25">
        <v>2568.23</v>
      </c>
      <c r="G40" s="25">
        <v>1.1000000000000001</v>
      </c>
    </row>
    <row r="41" spans="2:7" x14ac:dyDescent="0.2">
      <c r="B41" s="27" t="s">
        <v>240</v>
      </c>
      <c r="C41" s="23" t="s">
        <v>241</v>
      </c>
      <c r="D41" s="23" t="s">
        <v>158</v>
      </c>
      <c r="E41" s="28">
        <v>37000</v>
      </c>
      <c r="F41" s="25">
        <v>2552.41</v>
      </c>
      <c r="G41" s="25">
        <v>1.0900000000000001</v>
      </c>
    </row>
    <row r="42" spans="2:7" x14ac:dyDescent="0.2">
      <c r="B42" s="27" t="s">
        <v>151</v>
      </c>
      <c r="C42" s="23" t="s">
        <v>152</v>
      </c>
      <c r="D42" s="23" t="s">
        <v>117</v>
      </c>
      <c r="E42" s="28">
        <v>116000</v>
      </c>
      <c r="F42" s="25">
        <v>2475.67</v>
      </c>
      <c r="G42" s="25">
        <v>1.06</v>
      </c>
    </row>
    <row r="43" spans="2:7" x14ac:dyDescent="0.2">
      <c r="B43" s="27" t="s">
        <v>47</v>
      </c>
      <c r="C43" s="23" t="s">
        <v>48</v>
      </c>
      <c r="D43" s="23" t="s">
        <v>49</v>
      </c>
      <c r="E43" s="28">
        <v>171575</v>
      </c>
      <c r="F43" s="25">
        <v>2469.0500000000002</v>
      </c>
      <c r="G43" s="25">
        <v>1.05</v>
      </c>
    </row>
    <row r="44" spans="2:7" x14ac:dyDescent="0.2">
      <c r="B44" s="27" t="s">
        <v>68</v>
      </c>
      <c r="C44" s="23" t="s">
        <v>69</v>
      </c>
      <c r="D44" s="23" t="s">
        <v>70</v>
      </c>
      <c r="E44" s="28">
        <v>365000</v>
      </c>
      <c r="F44" s="25">
        <v>2411.7399999999998</v>
      </c>
      <c r="G44" s="25">
        <v>1.03</v>
      </c>
    </row>
    <row r="45" spans="2:7" x14ac:dyDescent="0.2">
      <c r="B45" s="27" t="s">
        <v>44</v>
      </c>
      <c r="C45" s="23" t="s">
        <v>45</v>
      </c>
      <c r="D45" s="23" t="s">
        <v>46</v>
      </c>
      <c r="E45" s="28">
        <v>117500</v>
      </c>
      <c r="F45" s="25">
        <v>2374.73</v>
      </c>
      <c r="G45" s="25">
        <v>1.01</v>
      </c>
    </row>
    <row r="46" spans="2:7" x14ac:dyDescent="0.2">
      <c r="B46" s="27" t="s">
        <v>84</v>
      </c>
      <c r="C46" s="23" t="s">
        <v>85</v>
      </c>
      <c r="D46" s="23" t="s">
        <v>86</v>
      </c>
      <c r="E46" s="28">
        <v>196500</v>
      </c>
      <c r="F46" s="25">
        <v>2292.37</v>
      </c>
      <c r="G46" s="25">
        <v>0.98</v>
      </c>
    </row>
    <row r="47" spans="2:7" x14ac:dyDescent="0.2">
      <c r="B47" s="27" t="s">
        <v>242</v>
      </c>
      <c r="C47" s="23" t="s">
        <v>243</v>
      </c>
      <c r="D47" s="23" t="s">
        <v>146</v>
      </c>
      <c r="E47" s="28">
        <v>42000</v>
      </c>
      <c r="F47" s="25">
        <v>2277.6799999999998</v>
      </c>
      <c r="G47" s="25">
        <v>0.97</v>
      </c>
    </row>
    <row r="48" spans="2:7" x14ac:dyDescent="0.2">
      <c r="B48" s="27" t="s">
        <v>159</v>
      </c>
      <c r="C48" s="23" t="s">
        <v>160</v>
      </c>
      <c r="D48" s="23" t="s">
        <v>100</v>
      </c>
      <c r="E48" s="28">
        <v>220000</v>
      </c>
      <c r="F48" s="25">
        <v>2249.39</v>
      </c>
      <c r="G48" s="25">
        <v>0.96</v>
      </c>
    </row>
    <row r="49" spans="2:9" x14ac:dyDescent="0.2">
      <c r="B49" s="27" t="s">
        <v>95</v>
      </c>
      <c r="C49" s="23" t="s">
        <v>96</v>
      </c>
      <c r="D49" s="23" t="s">
        <v>97</v>
      </c>
      <c r="E49" s="28">
        <v>593000</v>
      </c>
      <c r="F49" s="25">
        <v>2206.2600000000002</v>
      </c>
      <c r="G49" s="25">
        <v>0.94</v>
      </c>
    </row>
    <row r="50" spans="2:9" x14ac:dyDescent="0.2">
      <c r="B50" s="27" t="s">
        <v>60</v>
      </c>
      <c r="C50" s="23" t="s">
        <v>61</v>
      </c>
      <c r="D50" s="23" t="s">
        <v>62</v>
      </c>
      <c r="E50" s="28">
        <v>31000</v>
      </c>
      <c r="F50" s="25">
        <v>2100.56</v>
      </c>
      <c r="G50" s="25">
        <v>0.9</v>
      </c>
    </row>
    <row r="51" spans="2:9" x14ac:dyDescent="0.2">
      <c r="B51" s="27" t="s">
        <v>161</v>
      </c>
      <c r="C51" s="23" t="s">
        <v>162</v>
      </c>
      <c r="D51" s="23" t="s">
        <v>163</v>
      </c>
      <c r="E51" s="28">
        <v>750000</v>
      </c>
      <c r="F51" s="25">
        <v>1908.75</v>
      </c>
      <c r="G51" s="25">
        <v>0.81</v>
      </c>
    </row>
    <row r="52" spans="2:9" x14ac:dyDescent="0.2">
      <c r="B52" s="27" t="s">
        <v>87</v>
      </c>
      <c r="C52" s="23" t="s">
        <v>88</v>
      </c>
      <c r="D52" s="23" t="s">
        <v>62</v>
      </c>
      <c r="E52" s="28">
        <v>63000</v>
      </c>
      <c r="F52" s="25">
        <v>1796.45</v>
      </c>
      <c r="G52" s="25">
        <v>0.77</v>
      </c>
    </row>
    <row r="53" spans="2:9" x14ac:dyDescent="0.2">
      <c r="B53" s="27" t="s">
        <v>98</v>
      </c>
      <c r="C53" s="23" t="s">
        <v>99</v>
      </c>
      <c r="D53" s="23" t="s">
        <v>100</v>
      </c>
      <c r="E53" s="28">
        <v>39820</v>
      </c>
      <c r="F53" s="25">
        <v>1760.46</v>
      </c>
      <c r="G53" s="25">
        <v>0.75</v>
      </c>
    </row>
    <row r="54" spans="2:9" x14ac:dyDescent="0.2">
      <c r="B54" s="27" t="s">
        <v>183</v>
      </c>
      <c r="C54" s="23" t="s">
        <v>184</v>
      </c>
      <c r="D54" s="23" t="s">
        <v>158</v>
      </c>
      <c r="E54" s="28">
        <v>76500</v>
      </c>
      <c r="F54" s="25">
        <v>1712.99</v>
      </c>
      <c r="G54" s="25">
        <v>0.73</v>
      </c>
    </row>
    <row r="55" spans="2:9" x14ac:dyDescent="0.2">
      <c r="B55" s="27" t="s">
        <v>244</v>
      </c>
      <c r="C55" s="23" t="s">
        <v>245</v>
      </c>
      <c r="D55" s="23" t="s">
        <v>246</v>
      </c>
      <c r="E55" s="28">
        <v>120000</v>
      </c>
      <c r="F55" s="25">
        <v>1601.58</v>
      </c>
      <c r="G55" s="25">
        <v>0.68</v>
      </c>
    </row>
    <row r="56" spans="2:9" x14ac:dyDescent="0.2">
      <c r="B56" s="27" t="s">
        <v>247</v>
      </c>
      <c r="C56" s="23" t="s">
        <v>248</v>
      </c>
      <c r="D56" s="23" t="s">
        <v>136</v>
      </c>
      <c r="E56" s="28">
        <v>150000</v>
      </c>
      <c r="F56" s="25">
        <v>1512.23</v>
      </c>
      <c r="G56" s="25">
        <v>0.65</v>
      </c>
    </row>
    <row r="57" spans="2:9" x14ac:dyDescent="0.2">
      <c r="B57" s="27" t="s">
        <v>249</v>
      </c>
      <c r="C57" s="23" t="s">
        <v>250</v>
      </c>
      <c r="D57" s="23" t="s">
        <v>62</v>
      </c>
      <c r="E57" s="28">
        <v>85000</v>
      </c>
      <c r="F57" s="25">
        <v>1273.94</v>
      </c>
      <c r="G57" s="25">
        <v>0.54</v>
      </c>
    </row>
    <row r="58" spans="2:9" x14ac:dyDescent="0.2">
      <c r="B58" s="27" t="s">
        <v>179</v>
      </c>
      <c r="C58" s="23" t="s">
        <v>180</v>
      </c>
      <c r="D58" s="23" t="s">
        <v>176</v>
      </c>
      <c r="E58" s="28">
        <v>200000</v>
      </c>
      <c r="F58" s="25">
        <v>1241</v>
      </c>
      <c r="G58" s="25">
        <v>0.53</v>
      </c>
    </row>
    <row r="59" spans="2:9" x14ac:dyDescent="0.2">
      <c r="B59" s="27" t="s">
        <v>181</v>
      </c>
      <c r="C59" s="23" t="s">
        <v>182</v>
      </c>
      <c r="D59" s="23" t="s">
        <v>173</v>
      </c>
      <c r="E59" s="28">
        <v>32849</v>
      </c>
      <c r="F59" s="25">
        <v>1231.5899999999999</v>
      </c>
      <c r="G59" s="25">
        <v>0.53</v>
      </c>
    </row>
    <row r="60" spans="2:9" x14ac:dyDescent="0.2">
      <c r="B60" s="27" t="s">
        <v>251</v>
      </c>
      <c r="C60" s="23" t="s">
        <v>252</v>
      </c>
      <c r="D60" s="23" t="s">
        <v>117</v>
      </c>
      <c r="E60" s="28">
        <v>25500</v>
      </c>
      <c r="F60" s="25">
        <v>1097.3499999999999</v>
      </c>
      <c r="G60" s="25">
        <v>0.47</v>
      </c>
    </row>
    <row r="61" spans="2:9" x14ac:dyDescent="0.2">
      <c r="B61" s="27" t="s">
        <v>253</v>
      </c>
      <c r="C61" s="23" t="s">
        <v>254</v>
      </c>
      <c r="D61" s="23" t="s">
        <v>176</v>
      </c>
      <c r="E61" s="28">
        <v>137000</v>
      </c>
      <c r="F61" s="25">
        <v>1065.45</v>
      </c>
      <c r="G61" s="25">
        <v>0.45</v>
      </c>
    </row>
    <row r="62" spans="2:9" x14ac:dyDescent="0.2">
      <c r="B62" s="29" t="s">
        <v>110</v>
      </c>
      <c r="C62" s="30"/>
      <c r="D62" s="30"/>
      <c r="E62" s="31"/>
      <c r="F62" s="32">
        <f>SUM(F7:F61)</f>
        <v>227965.74000000005</v>
      </c>
      <c r="G62" s="32">
        <f>SUM(G7:G61)</f>
        <v>97.270000000000039</v>
      </c>
      <c r="H62" s="14"/>
      <c r="I62" s="14"/>
    </row>
    <row r="63" spans="2:9" x14ac:dyDescent="0.2">
      <c r="B63" s="37" t="s">
        <v>111</v>
      </c>
      <c r="C63" s="37"/>
      <c r="D63" s="37"/>
      <c r="E63" s="38"/>
      <c r="F63" s="39">
        <f>F62</f>
        <v>227965.74000000005</v>
      </c>
      <c r="G63" s="39">
        <f>G62</f>
        <v>97.270000000000039</v>
      </c>
      <c r="H63" s="14"/>
      <c r="I63" s="14"/>
    </row>
    <row r="64" spans="2:9" x14ac:dyDescent="0.2">
      <c r="B64" s="40" t="s">
        <v>112</v>
      </c>
      <c r="C64" s="41"/>
      <c r="D64" s="41"/>
      <c r="E64" s="42"/>
      <c r="F64" s="43"/>
      <c r="G64" s="43"/>
    </row>
    <row r="65" spans="2:9" x14ac:dyDescent="0.2">
      <c r="B65" s="27" t="s">
        <v>112</v>
      </c>
      <c r="C65" s="23"/>
      <c r="D65" s="23"/>
      <c r="E65" s="24"/>
      <c r="F65" s="25">
        <v>5959.96</v>
      </c>
      <c r="G65" s="25">
        <v>2.54</v>
      </c>
    </row>
    <row r="66" spans="2:9" x14ac:dyDescent="0.2">
      <c r="B66" s="29" t="s">
        <v>110</v>
      </c>
      <c r="C66" s="30"/>
      <c r="D66" s="30"/>
      <c r="E66" s="31"/>
      <c r="F66" s="32">
        <f>SUM(F64:F65)</f>
        <v>5959.96</v>
      </c>
      <c r="G66" s="32">
        <f>SUM(G64:G65)</f>
        <v>2.54</v>
      </c>
      <c r="H66" s="14"/>
      <c r="I66" s="14"/>
    </row>
    <row r="67" spans="2:9" x14ac:dyDescent="0.2">
      <c r="B67" s="34" t="s">
        <v>111</v>
      </c>
      <c r="C67" s="34"/>
      <c r="D67" s="34"/>
      <c r="E67" s="35"/>
      <c r="F67" s="36">
        <f>F66</f>
        <v>5959.96</v>
      </c>
      <c r="G67" s="36">
        <f>G66</f>
        <v>2.54</v>
      </c>
      <c r="H67" s="14"/>
      <c r="I67" s="14"/>
    </row>
    <row r="68" spans="2:9" x14ac:dyDescent="0.2">
      <c r="B68" s="44" t="s">
        <v>114</v>
      </c>
      <c r="C68" s="44"/>
      <c r="D68" s="44"/>
      <c r="E68" s="45"/>
      <c r="F68" s="16">
        <f>F69-(+F63+F67)</f>
        <v>397.15999999994528</v>
      </c>
      <c r="G68" s="16">
        <f>G69-(+G63+G67)</f>
        <v>0.18999999999995509</v>
      </c>
      <c r="H68" s="14"/>
      <c r="I68" s="14"/>
    </row>
    <row r="69" spans="2:9" x14ac:dyDescent="0.2">
      <c r="B69" s="44" t="s">
        <v>113</v>
      </c>
      <c r="C69" s="44"/>
      <c r="D69" s="44"/>
      <c r="E69" s="45"/>
      <c r="F69" s="16">
        <v>234322.86</v>
      </c>
      <c r="G69" s="16">
        <v>100</v>
      </c>
      <c r="H69" s="14"/>
      <c r="I69" s="14"/>
    </row>
    <row r="71" spans="2:9" x14ac:dyDescent="0.2">
      <c r="B7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>
      <selection activeCell="D7" sqref="D7"/>
    </sheetView>
  </sheetViews>
  <sheetFormatPr defaultRowHeight="12" x14ac:dyDescent="0.2"/>
  <cols>
    <col min="1" max="1" width="9.140625" style="1"/>
    <col min="2" max="2" width="5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11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118</v>
      </c>
      <c r="C7" s="23" t="s">
        <v>119</v>
      </c>
      <c r="D7" s="23" t="s">
        <v>37</v>
      </c>
      <c r="E7" s="28">
        <v>3266000</v>
      </c>
      <c r="F7" s="25">
        <v>48921.41</v>
      </c>
      <c r="G7" s="25">
        <v>5.08</v>
      </c>
      <c r="H7" s="26"/>
    </row>
    <row r="8" spans="2:8" x14ac:dyDescent="0.2">
      <c r="B8" s="27" t="s">
        <v>115</v>
      </c>
      <c r="C8" s="23" t="s">
        <v>116</v>
      </c>
      <c r="D8" s="23" t="s">
        <v>117</v>
      </c>
      <c r="E8" s="28">
        <v>2860000</v>
      </c>
      <c r="F8" s="25">
        <v>45210.879999999997</v>
      </c>
      <c r="G8" s="25">
        <v>4.6900000000000004</v>
      </c>
      <c r="H8" s="26"/>
    </row>
    <row r="9" spans="2:8" x14ac:dyDescent="0.2">
      <c r="B9" s="27" t="s">
        <v>35</v>
      </c>
      <c r="C9" s="23" t="s">
        <v>36</v>
      </c>
      <c r="D9" s="23" t="s">
        <v>37</v>
      </c>
      <c r="E9" s="28">
        <v>6898000</v>
      </c>
      <c r="F9" s="25">
        <v>43519.48</v>
      </c>
      <c r="G9" s="25">
        <v>4.5199999999999996</v>
      </c>
      <c r="H9" s="26"/>
    </row>
    <row r="10" spans="2:8" x14ac:dyDescent="0.2">
      <c r="B10" s="27" t="s">
        <v>124</v>
      </c>
      <c r="C10" s="23" t="s">
        <v>125</v>
      </c>
      <c r="D10" s="23" t="s">
        <v>37</v>
      </c>
      <c r="E10" s="28">
        <v>4713090</v>
      </c>
      <c r="F10" s="25">
        <v>35268.050000000003</v>
      </c>
      <c r="G10" s="25">
        <v>3.66</v>
      </c>
      <c r="H10" s="26"/>
    </row>
    <row r="11" spans="2:8" x14ac:dyDescent="0.2">
      <c r="B11" s="27" t="s">
        <v>126</v>
      </c>
      <c r="C11" s="23" t="s">
        <v>127</v>
      </c>
      <c r="D11" s="23" t="s">
        <v>128</v>
      </c>
      <c r="E11" s="28">
        <v>548000</v>
      </c>
      <c r="F11" s="25">
        <v>32966.86</v>
      </c>
      <c r="G11" s="25">
        <v>3.42</v>
      </c>
      <c r="H11" s="26"/>
    </row>
    <row r="12" spans="2:8" x14ac:dyDescent="0.2">
      <c r="B12" s="27" t="s">
        <v>54</v>
      </c>
      <c r="C12" s="23" t="s">
        <v>55</v>
      </c>
      <c r="D12" s="23" t="s">
        <v>37</v>
      </c>
      <c r="E12" s="28">
        <v>6700000</v>
      </c>
      <c r="F12" s="25">
        <v>28086.400000000001</v>
      </c>
      <c r="G12" s="25">
        <v>2.92</v>
      </c>
      <c r="H12" s="26"/>
    </row>
    <row r="13" spans="2:8" x14ac:dyDescent="0.2">
      <c r="B13" s="27" t="s">
        <v>122</v>
      </c>
      <c r="C13" s="23" t="s">
        <v>123</v>
      </c>
      <c r="D13" s="23" t="s">
        <v>81</v>
      </c>
      <c r="E13" s="28">
        <v>1283000</v>
      </c>
      <c r="F13" s="25">
        <v>27079.64</v>
      </c>
      <c r="G13" s="25">
        <v>2.81</v>
      </c>
      <c r="H13" s="26"/>
    </row>
    <row r="14" spans="2:8" x14ac:dyDescent="0.2">
      <c r="B14" s="27" t="s">
        <v>166</v>
      </c>
      <c r="C14" s="23" t="s">
        <v>167</v>
      </c>
      <c r="D14" s="23" t="s">
        <v>158</v>
      </c>
      <c r="E14" s="28">
        <v>3952476</v>
      </c>
      <c r="F14" s="25">
        <v>25311.66</v>
      </c>
      <c r="G14" s="25">
        <v>2.63</v>
      </c>
      <c r="H14" s="26"/>
    </row>
    <row r="15" spans="2:8" x14ac:dyDescent="0.2">
      <c r="B15" s="27" t="s">
        <v>68</v>
      </c>
      <c r="C15" s="23" t="s">
        <v>69</v>
      </c>
      <c r="D15" s="23" t="s">
        <v>70</v>
      </c>
      <c r="E15" s="28">
        <v>3184300</v>
      </c>
      <c r="F15" s="25">
        <v>21040.26</v>
      </c>
      <c r="G15" s="25">
        <v>2.1800000000000002</v>
      </c>
      <c r="H15" s="26"/>
    </row>
    <row r="16" spans="2:8" x14ac:dyDescent="0.2">
      <c r="B16" s="27" t="s">
        <v>159</v>
      </c>
      <c r="C16" s="23" t="s">
        <v>160</v>
      </c>
      <c r="D16" s="23" t="s">
        <v>100</v>
      </c>
      <c r="E16" s="28">
        <v>2021175</v>
      </c>
      <c r="F16" s="25">
        <v>20665.5</v>
      </c>
      <c r="G16" s="25">
        <v>2.15</v>
      </c>
      <c r="H16" s="26"/>
    </row>
    <row r="17" spans="2:8" x14ac:dyDescent="0.2">
      <c r="B17" s="27" t="s">
        <v>171</v>
      </c>
      <c r="C17" s="23" t="s">
        <v>172</v>
      </c>
      <c r="D17" s="23" t="s">
        <v>173</v>
      </c>
      <c r="E17" s="28">
        <v>228427</v>
      </c>
      <c r="F17" s="25">
        <v>20507.95</v>
      </c>
      <c r="G17" s="25">
        <v>2.13</v>
      </c>
      <c r="H17" s="26"/>
    </row>
    <row r="18" spans="2:8" x14ac:dyDescent="0.2">
      <c r="B18" s="27" t="s">
        <v>137</v>
      </c>
      <c r="C18" s="23" t="s">
        <v>138</v>
      </c>
      <c r="D18" s="23" t="s">
        <v>139</v>
      </c>
      <c r="E18" s="28">
        <v>593005</v>
      </c>
      <c r="F18" s="25">
        <v>19830.68</v>
      </c>
      <c r="G18" s="25">
        <v>2.06</v>
      </c>
      <c r="H18" s="26"/>
    </row>
    <row r="19" spans="2:8" x14ac:dyDescent="0.2">
      <c r="B19" s="27" t="s">
        <v>134</v>
      </c>
      <c r="C19" s="23" t="s">
        <v>135</v>
      </c>
      <c r="D19" s="23" t="s">
        <v>136</v>
      </c>
      <c r="E19" s="28">
        <v>1852802</v>
      </c>
      <c r="F19" s="25">
        <v>19647.11</v>
      </c>
      <c r="G19" s="25">
        <v>2.04</v>
      </c>
      <c r="H19" s="26"/>
    </row>
    <row r="20" spans="2:8" x14ac:dyDescent="0.2">
      <c r="B20" s="27" t="s">
        <v>120</v>
      </c>
      <c r="C20" s="23" t="s">
        <v>121</v>
      </c>
      <c r="D20" s="23" t="s">
        <v>117</v>
      </c>
      <c r="E20" s="28">
        <v>585264</v>
      </c>
      <c r="F20" s="25">
        <v>19581.47</v>
      </c>
      <c r="G20" s="25">
        <v>2.0299999999999998</v>
      </c>
      <c r="H20" s="26"/>
    </row>
    <row r="21" spans="2:8" x14ac:dyDescent="0.2">
      <c r="B21" s="27" t="s">
        <v>140</v>
      </c>
      <c r="C21" s="23" t="s">
        <v>141</v>
      </c>
      <c r="D21" s="23" t="s">
        <v>65</v>
      </c>
      <c r="E21" s="28">
        <v>990180</v>
      </c>
      <c r="F21" s="25">
        <v>19556.55</v>
      </c>
      <c r="G21" s="25">
        <v>2.0299999999999998</v>
      </c>
      <c r="H21" s="26"/>
    </row>
    <row r="22" spans="2:8" x14ac:dyDescent="0.2">
      <c r="B22" s="27" t="s">
        <v>189</v>
      </c>
      <c r="C22" s="23" t="s">
        <v>190</v>
      </c>
      <c r="D22" s="23" t="s">
        <v>176</v>
      </c>
      <c r="E22" s="28">
        <v>5700000</v>
      </c>
      <c r="F22" s="25">
        <v>19357.2</v>
      </c>
      <c r="G22" s="25">
        <v>2.0099999999999998</v>
      </c>
      <c r="H22" s="26"/>
    </row>
    <row r="23" spans="2:8" x14ac:dyDescent="0.2">
      <c r="B23" s="27" t="s">
        <v>238</v>
      </c>
      <c r="C23" s="23" t="s">
        <v>239</v>
      </c>
      <c r="D23" s="23" t="s">
        <v>146</v>
      </c>
      <c r="E23" s="28">
        <v>550709</v>
      </c>
      <c r="F23" s="25">
        <v>18857.93</v>
      </c>
      <c r="G23" s="25">
        <v>1.96</v>
      </c>
      <c r="H23" s="26"/>
    </row>
    <row r="24" spans="2:8" x14ac:dyDescent="0.2">
      <c r="B24" s="27" t="s">
        <v>32</v>
      </c>
      <c r="C24" s="23" t="s">
        <v>33</v>
      </c>
      <c r="D24" s="23" t="s">
        <v>34</v>
      </c>
      <c r="E24" s="28">
        <v>1225000</v>
      </c>
      <c r="F24" s="25">
        <v>18381.740000000002</v>
      </c>
      <c r="G24" s="25">
        <v>1.91</v>
      </c>
      <c r="H24" s="26"/>
    </row>
    <row r="25" spans="2:8" x14ac:dyDescent="0.2">
      <c r="B25" s="27" t="s">
        <v>204</v>
      </c>
      <c r="C25" s="23" t="s">
        <v>205</v>
      </c>
      <c r="D25" s="23" t="s">
        <v>128</v>
      </c>
      <c r="E25" s="28">
        <v>3199707</v>
      </c>
      <c r="F25" s="25">
        <v>16422.5</v>
      </c>
      <c r="G25" s="25">
        <v>1.7</v>
      </c>
      <c r="H25" s="26"/>
    </row>
    <row r="26" spans="2:8" x14ac:dyDescent="0.2">
      <c r="B26" s="27" t="s">
        <v>181</v>
      </c>
      <c r="C26" s="23" t="s">
        <v>182</v>
      </c>
      <c r="D26" s="23" t="s">
        <v>173</v>
      </c>
      <c r="E26" s="28">
        <v>437964</v>
      </c>
      <c r="F26" s="25">
        <v>16420.37</v>
      </c>
      <c r="G26" s="25">
        <v>1.7</v>
      </c>
      <c r="H26" s="26"/>
    </row>
    <row r="27" spans="2:8" x14ac:dyDescent="0.2">
      <c r="B27" s="27" t="s">
        <v>161</v>
      </c>
      <c r="C27" s="23" t="s">
        <v>162</v>
      </c>
      <c r="D27" s="23" t="s">
        <v>163</v>
      </c>
      <c r="E27" s="28">
        <v>6373324</v>
      </c>
      <c r="F27" s="25">
        <v>16220.11</v>
      </c>
      <c r="G27" s="25">
        <v>1.68</v>
      </c>
      <c r="H27" s="26"/>
    </row>
    <row r="28" spans="2:8" x14ac:dyDescent="0.2">
      <c r="B28" s="27" t="s">
        <v>147</v>
      </c>
      <c r="C28" s="23" t="s">
        <v>148</v>
      </c>
      <c r="D28" s="23" t="s">
        <v>70</v>
      </c>
      <c r="E28" s="28">
        <v>2870534</v>
      </c>
      <c r="F28" s="25">
        <v>16010.4</v>
      </c>
      <c r="G28" s="25">
        <v>1.66</v>
      </c>
      <c r="H28" s="26"/>
    </row>
    <row r="29" spans="2:8" x14ac:dyDescent="0.2">
      <c r="B29" s="27" t="s">
        <v>255</v>
      </c>
      <c r="C29" s="23" t="s">
        <v>256</v>
      </c>
      <c r="D29" s="23" t="s">
        <v>170</v>
      </c>
      <c r="E29" s="28">
        <v>1200000</v>
      </c>
      <c r="F29" s="25">
        <v>15445.2</v>
      </c>
      <c r="G29" s="25">
        <v>1.6</v>
      </c>
      <c r="H29" s="26"/>
    </row>
    <row r="30" spans="2:8" x14ac:dyDescent="0.2">
      <c r="B30" s="27" t="s">
        <v>153</v>
      </c>
      <c r="C30" s="23" t="s">
        <v>154</v>
      </c>
      <c r="D30" s="23" t="s">
        <v>155</v>
      </c>
      <c r="E30" s="28">
        <v>518084</v>
      </c>
      <c r="F30" s="25">
        <v>15078.32</v>
      </c>
      <c r="G30" s="25">
        <v>1.57</v>
      </c>
      <c r="H30" s="26"/>
    </row>
    <row r="31" spans="2:8" x14ac:dyDescent="0.2">
      <c r="B31" s="27" t="s">
        <v>257</v>
      </c>
      <c r="C31" s="23" t="s">
        <v>258</v>
      </c>
      <c r="D31" s="23" t="s">
        <v>128</v>
      </c>
      <c r="E31" s="28">
        <v>3000000</v>
      </c>
      <c r="F31" s="25">
        <v>14100</v>
      </c>
      <c r="G31" s="25">
        <v>1.46</v>
      </c>
      <c r="H31" s="26"/>
    </row>
    <row r="32" spans="2:8" x14ac:dyDescent="0.2">
      <c r="B32" s="27" t="s">
        <v>164</v>
      </c>
      <c r="C32" s="23" t="s">
        <v>165</v>
      </c>
      <c r="D32" s="23" t="s">
        <v>133</v>
      </c>
      <c r="E32" s="28">
        <v>1855000</v>
      </c>
      <c r="F32" s="25">
        <v>13994.12</v>
      </c>
      <c r="G32" s="25">
        <v>1.45</v>
      </c>
      <c r="H32" s="26"/>
    </row>
    <row r="33" spans="2:8" x14ac:dyDescent="0.2">
      <c r="B33" s="27" t="s">
        <v>183</v>
      </c>
      <c r="C33" s="23" t="s">
        <v>184</v>
      </c>
      <c r="D33" s="23" t="s">
        <v>158</v>
      </c>
      <c r="E33" s="28">
        <v>611072</v>
      </c>
      <c r="F33" s="25">
        <v>13683.12</v>
      </c>
      <c r="G33" s="25">
        <v>1.42</v>
      </c>
      <c r="H33" s="26"/>
    </row>
    <row r="34" spans="2:8" x14ac:dyDescent="0.2">
      <c r="B34" s="27" t="s">
        <v>195</v>
      </c>
      <c r="C34" s="23" t="s">
        <v>196</v>
      </c>
      <c r="D34" s="23" t="s">
        <v>197</v>
      </c>
      <c r="E34" s="28">
        <v>438954</v>
      </c>
      <c r="F34" s="25">
        <v>13520.66</v>
      </c>
      <c r="G34" s="25">
        <v>1.4</v>
      </c>
      <c r="H34" s="26"/>
    </row>
    <row r="35" spans="2:8" x14ac:dyDescent="0.2">
      <c r="B35" s="27" t="s">
        <v>151</v>
      </c>
      <c r="C35" s="23" t="s">
        <v>152</v>
      </c>
      <c r="D35" s="23" t="s">
        <v>117</v>
      </c>
      <c r="E35" s="28">
        <v>627587</v>
      </c>
      <c r="F35" s="25">
        <v>13393.96</v>
      </c>
      <c r="G35" s="25">
        <v>1.39</v>
      </c>
      <c r="H35" s="26"/>
    </row>
    <row r="36" spans="2:8" x14ac:dyDescent="0.2">
      <c r="B36" s="27" t="s">
        <v>259</v>
      </c>
      <c r="C36" s="23" t="s">
        <v>260</v>
      </c>
      <c r="D36" s="23" t="s">
        <v>139</v>
      </c>
      <c r="E36" s="28">
        <v>6156869</v>
      </c>
      <c r="F36" s="25">
        <v>13283.44</v>
      </c>
      <c r="G36" s="25">
        <v>1.38</v>
      </c>
      <c r="H36" s="26"/>
    </row>
    <row r="37" spans="2:8" x14ac:dyDescent="0.2">
      <c r="B37" s="27" t="s">
        <v>41</v>
      </c>
      <c r="C37" s="23" t="s">
        <v>42</v>
      </c>
      <c r="D37" s="23" t="s">
        <v>43</v>
      </c>
      <c r="E37" s="28">
        <v>7300000</v>
      </c>
      <c r="F37" s="25">
        <v>12994</v>
      </c>
      <c r="G37" s="25">
        <v>1.35</v>
      </c>
      <c r="H37" s="26"/>
    </row>
    <row r="38" spans="2:8" x14ac:dyDescent="0.2">
      <c r="B38" s="27" t="s">
        <v>179</v>
      </c>
      <c r="C38" s="23" t="s">
        <v>180</v>
      </c>
      <c r="D38" s="23" t="s">
        <v>176</v>
      </c>
      <c r="E38" s="28">
        <v>2050000</v>
      </c>
      <c r="F38" s="25">
        <v>12720.25</v>
      </c>
      <c r="G38" s="25">
        <v>1.32</v>
      </c>
      <c r="H38" s="26"/>
    </row>
    <row r="39" spans="2:8" x14ac:dyDescent="0.2">
      <c r="B39" s="27" t="s">
        <v>261</v>
      </c>
      <c r="C39" s="23" t="s">
        <v>262</v>
      </c>
      <c r="D39" s="23" t="s">
        <v>49</v>
      </c>
      <c r="E39" s="28">
        <v>618028</v>
      </c>
      <c r="F39" s="25">
        <v>12569.76</v>
      </c>
      <c r="G39" s="25">
        <v>1.3</v>
      </c>
      <c r="H39" s="26"/>
    </row>
    <row r="40" spans="2:8" x14ac:dyDescent="0.2">
      <c r="B40" s="27" t="s">
        <v>108</v>
      </c>
      <c r="C40" s="23" t="s">
        <v>109</v>
      </c>
      <c r="D40" s="23" t="s">
        <v>62</v>
      </c>
      <c r="E40" s="28">
        <v>1224043</v>
      </c>
      <c r="F40" s="25">
        <v>12555.62</v>
      </c>
      <c r="G40" s="25">
        <v>1.3</v>
      </c>
      <c r="H40" s="26"/>
    </row>
    <row r="41" spans="2:8" x14ac:dyDescent="0.2">
      <c r="B41" s="27" t="s">
        <v>218</v>
      </c>
      <c r="C41" s="23" t="s">
        <v>219</v>
      </c>
      <c r="D41" s="23" t="s">
        <v>146</v>
      </c>
      <c r="E41" s="28">
        <v>611438</v>
      </c>
      <c r="F41" s="25">
        <v>12390.18</v>
      </c>
      <c r="G41" s="25">
        <v>1.29</v>
      </c>
      <c r="H41" s="26"/>
    </row>
    <row r="42" spans="2:8" x14ac:dyDescent="0.2">
      <c r="B42" s="27" t="s">
        <v>144</v>
      </c>
      <c r="C42" s="23" t="s">
        <v>145</v>
      </c>
      <c r="D42" s="23" t="s">
        <v>146</v>
      </c>
      <c r="E42" s="28">
        <v>280378</v>
      </c>
      <c r="F42" s="25">
        <v>12359.76</v>
      </c>
      <c r="G42" s="25">
        <v>1.28</v>
      </c>
      <c r="H42" s="26"/>
    </row>
    <row r="43" spans="2:8" x14ac:dyDescent="0.2">
      <c r="B43" s="27" t="s">
        <v>60</v>
      </c>
      <c r="C43" s="23" t="s">
        <v>61</v>
      </c>
      <c r="D43" s="23" t="s">
        <v>62</v>
      </c>
      <c r="E43" s="28">
        <v>180000</v>
      </c>
      <c r="F43" s="25">
        <v>12196.8</v>
      </c>
      <c r="G43" s="25">
        <v>1.27</v>
      </c>
      <c r="H43" s="26"/>
    </row>
    <row r="44" spans="2:8" x14ac:dyDescent="0.2">
      <c r="B44" s="27" t="s">
        <v>156</v>
      </c>
      <c r="C44" s="23" t="s">
        <v>157</v>
      </c>
      <c r="D44" s="23" t="s">
        <v>158</v>
      </c>
      <c r="E44" s="28">
        <v>3499998</v>
      </c>
      <c r="F44" s="25">
        <v>11980.49</v>
      </c>
      <c r="G44" s="25">
        <v>1.24</v>
      </c>
      <c r="H44" s="26"/>
    </row>
    <row r="45" spans="2:8" x14ac:dyDescent="0.2">
      <c r="B45" s="27" t="s">
        <v>222</v>
      </c>
      <c r="C45" s="23" t="s">
        <v>223</v>
      </c>
      <c r="D45" s="23" t="s">
        <v>100</v>
      </c>
      <c r="E45" s="28">
        <v>532336</v>
      </c>
      <c r="F45" s="25">
        <v>11900.37</v>
      </c>
      <c r="G45" s="25">
        <v>1.24</v>
      </c>
      <c r="H45" s="26"/>
    </row>
    <row r="46" spans="2:8" x14ac:dyDescent="0.2">
      <c r="B46" s="27" t="s">
        <v>191</v>
      </c>
      <c r="C46" s="23" t="s">
        <v>192</v>
      </c>
      <c r="D46" s="23" t="s">
        <v>173</v>
      </c>
      <c r="E46" s="28">
        <v>601646</v>
      </c>
      <c r="F46" s="25">
        <v>11010.12</v>
      </c>
      <c r="G46" s="25">
        <v>1.1399999999999999</v>
      </c>
      <c r="H46" s="26"/>
    </row>
    <row r="47" spans="2:8" x14ac:dyDescent="0.2">
      <c r="B47" s="27" t="s">
        <v>263</v>
      </c>
      <c r="C47" s="23" t="s">
        <v>264</v>
      </c>
      <c r="D47" s="23" t="s">
        <v>133</v>
      </c>
      <c r="E47" s="28">
        <v>1908216</v>
      </c>
      <c r="F47" s="25">
        <v>10976.06</v>
      </c>
      <c r="G47" s="25">
        <v>1.1399999999999999</v>
      </c>
      <c r="H47" s="26"/>
    </row>
    <row r="48" spans="2:8" x14ac:dyDescent="0.2">
      <c r="B48" s="27" t="s">
        <v>84</v>
      </c>
      <c r="C48" s="23" t="s">
        <v>85</v>
      </c>
      <c r="D48" s="23" t="s">
        <v>86</v>
      </c>
      <c r="E48" s="28">
        <v>850000</v>
      </c>
      <c r="F48" s="25">
        <v>9916.1</v>
      </c>
      <c r="G48" s="25">
        <v>1.03</v>
      </c>
      <c r="H48" s="26"/>
    </row>
    <row r="49" spans="2:8" x14ac:dyDescent="0.2">
      <c r="B49" s="27" t="s">
        <v>131</v>
      </c>
      <c r="C49" s="23" t="s">
        <v>132</v>
      </c>
      <c r="D49" s="23" t="s">
        <v>133</v>
      </c>
      <c r="E49" s="28">
        <v>400000</v>
      </c>
      <c r="F49" s="25">
        <v>9885.2000000000007</v>
      </c>
      <c r="G49" s="25">
        <v>1.03</v>
      </c>
      <c r="H49" s="26"/>
    </row>
    <row r="50" spans="2:8" x14ac:dyDescent="0.2">
      <c r="B50" s="27" t="s">
        <v>214</v>
      </c>
      <c r="C50" s="23" t="s">
        <v>215</v>
      </c>
      <c r="D50" s="23" t="s">
        <v>146</v>
      </c>
      <c r="E50" s="28">
        <v>58776</v>
      </c>
      <c r="F50" s="25">
        <v>9879.6</v>
      </c>
      <c r="G50" s="25">
        <v>1.03</v>
      </c>
      <c r="H50" s="26"/>
    </row>
    <row r="51" spans="2:8" x14ac:dyDescent="0.2">
      <c r="B51" s="27" t="s">
        <v>206</v>
      </c>
      <c r="C51" s="23" t="s">
        <v>207</v>
      </c>
      <c r="D51" s="23" t="s">
        <v>128</v>
      </c>
      <c r="E51" s="28">
        <v>998508</v>
      </c>
      <c r="F51" s="25">
        <v>9689.52</v>
      </c>
      <c r="G51" s="25">
        <v>1.01</v>
      </c>
      <c r="H51" s="26"/>
    </row>
    <row r="52" spans="2:8" x14ac:dyDescent="0.2">
      <c r="B52" s="27" t="s">
        <v>265</v>
      </c>
      <c r="C52" s="23" t="s">
        <v>266</v>
      </c>
      <c r="D52" s="23" t="s">
        <v>65</v>
      </c>
      <c r="E52" s="28">
        <v>436085</v>
      </c>
      <c r="F52" s="25">
        <v>9332.8700000000008</v>
      </c>
      <c r="G52" s="25">
        <v>0.97</v>
      </c>
      <c r="H52" s="26"/>
    </row>
    <row r="53" spans="2:8" x14ac:dyDescent="0.2">
      <c r="B53" s="27" t="s">
        <v>185</v>
      </c>
      <c r="C53" s="23" t="s">
        <v>186</v>
      </c>
      <c r="D53" s="23" t="s">
        <v>100</v>
      </c>
      <c r="E53" s="28">
        <v>538000</v>
      </c>
      <c r="F53" s="25">
        <v>9320.85</v>
      </c>
      <c r="G53" s="25">
        <v>0.97</v>
      </c>
      <c r="H53" s="26"/>
    </row>
    <row r="54" spans="2:8" x14ac:dyDescent="0.2">
      <c r="B54" s="27" t="s">
        <v>198</v>
      </c>
      <c r="C54" s="23" t="s">
        <v>199</v>
      </c>
      <c r="D54" s="23" t="s">
        <v>65</v>
      </c>
      <c r="E54" s="28">
        <v>1206703</v>
      </c>
      <c r="F54" s="25">
        <v>9193.8700000000008</v>
      </c>
      <c r="G54" s="25">
        <v>0.95</v>
      </c>
      <c r="H54" s="26"/>
    </row>
    <row r="55" spans="2:8" x14ac:dyDescent="0.2">
      <c r="B55" s="27" t="s">
        <v>267</v>
      </c>
      <c r="C55" s="23" t="s">
        <v>268</v>
      </c>
      <c r="D55" s="23" t="s">
        <v>269</v>
      </c>
      <c r="E55" s="28">
        <v>1446805</v>
      </c>
      <c r="F55" s="25">
        <v>8900.74</v>
      </c>
      <c r="G55" s="25">
        <v>0.92</v>
      </c>
      <c r="H55" s="26"/>
    </row>
    <row r="56" spans="2:8" x14ac:dyDescent="0.2">
      <c r="B56" s="27" t="s">
        <v>216</v>
      </c>
      <c r="C56" s="23" t="s">
        <v>217</v>
      </c>
      <c r="D56" s="23" t="s">
        <v>163</v>
      </c>
      <c r="E56" s="28">
        <v>264653</v>
      </c>
      <c r="F56" s="25">
        <v>8660.64</v>
      </c>
      <c r="G56" s="25">
        <v>0.9</v>
      </c>
      <c r="H56" s="26"/>
    </row>
    <row r="57" spans="2:8" x14ac:dyDescent="0.2">
      <c r="B57" s="27" t="s">
        <v>270</v>
      </c>
      <c r="C57" s="23" t="s">
        <v>271</v>
      </c>
      <c r="D57" s="23" t="s">
        <v>37</v>
      </c>
      <c r="E57" s="28">
        <v>4897674</v>
      </c>
      <c r="F57" s="25">
        <v>8159.52</v>
      </c>
      <c r="G57" s="25">
        <v>0.85</v>
      </c>
      <c r="H57" s="26"/>
    </row>
    <row r="58" spans="2:8" x14ac:dyDescent="0.2">
      <c r="B58" s="27" t="s">
        <v>212</v>
      </c>
      <c r="C58" s="23" t="s">
        <v>213</v>
      </c>
      <c r="D58" s="23" t="s">
        <v>146</v>
      </c>
      <c r="E58" s="28">
        <v>1200000</v>
      </c>
      <c r="F58" s="25">
        <v>8105.4</v>
      </c>
      <c r="G58" s="25">
        <v>0.84</v>
      </c>
      <c r="H58" s="26"/>
    </row>
    <row r="59" spans="2:8" x14ac:dyDescent="0.2">
      <c r="B59" s="27" t="s">
        <v>142</v>
      </c>
      <c r="C59" s="23" t="s">
        <v>143</v>
      </c>
      <c r="D59" s="23" t="s">
        <v>37</v>
      </c>
      <c r="E59" s="28">
        <v>474657</v>
      </c>
      <c r="F59" s="25">
        <v>8096.94</v>
      </c>
      <c r="G59" s="25">
        <v>0.84</v>
      </c>
      <c r="H59" s="26"/>
    </row>
    <row r="60" spans="2:8" x14ac:dyDescent="0.2">
      <c r="B60" s="27" t="s">
        <v>272</v>
      </c>
      <c r="C60" s="23" t="s">
        <v>273</v>
      </c>
      <c r="D60" s="23" t="s">
        <v>128</v>
      </c>
      <c r="E60" s="28">
        <v>500000</v>
      </c>
      <c r="F60" s="25">
        <v>7408.25</v>
      </c>
      <c r="G60" s="25">
        <v>0.77</v>
      </c>
      <c r="H60" s="26"/>
    </row>
    <row r="61" spans="2:8" x14ac:dyDescent="0.2">
      <c r="B61" s="27" t="s">
        <v>47</v>
      </c>
      <c r="C61" s="23" t="s">
        <v>48</v>
      </c>
      <c r="D61" s="23" t="s">
        <v>49</v>
      </c>
      <c r="E61" s="28">
        <v>502642</v>
      </c>
      <c r="F61" s="25">
        <v>7233.27</v>
      </c>
      <c r="G61" s="25">
        <v>0.75</v>
      </c>
      <c r="H61" s="26"/>
    </row>
    <row r="62" spans="2:8" x14ac:dyDescent="0.2">
      <c r="B62" s="27" t="s">
        <v>220</v>
      </c>
      <c r="C62" s="23" t="s">
        <v>221</v>
      </c>
      <c r="D62" s="23" t="s">
        <v>133</v>
      </c>
      <c r="E62" s="28">
        <v>193012</v>
      </c>
      <c r="F62" s="25">
        <v>7044.26</v>
      </c>
      <c r="G62" s="25">
        <v>0.73</v>
      </c>
      <c r="H62" s="26"/>
    </row>
    <row r="63" spans="2:8" x14ac:dyDescent="0.2">
      <c r="B63" s="27" t="s">
        <v>274</v>
      </c>
      <c r="C63" s="23" t="s">
        <v>275</v>
      </c>
      <c r="D63" s="23" t="s">
        <v>276</v>
      </c>
      <c r="E63" s="28">
        <v>369500</v>
      </c>
      <c r="F63" s="25">
        <v>5622.13</v>
      </c>
      <c r="G63" s="25">
        <v>0.57999999999999996</v>
      </c>
      <c r="H63" s="26"/>
    </row>
    <row r="64" spans="2:8" x14ac:dyDescent="0.2">
      <c r="B64" s="27" t="s">
        <v>52</v>
      </c>
      <c r="C64" s="23" t="s">
        <v>53</v>
      </c>
      <c r="D64" s="23" t="s">
        <v>46</v>
      </c>
      <c r="E64" s="28">
        <v>12070</v>
      </c>
      <c r="F64" s="25">
        <v>5049.04</v>
      </c>
      <c r="G64" s="25">
        <v>0.52</v>
      </c>
      <c r="H64" s="26"/>
    </row>
    <row r="65" spans="2:10" x14ac:dyDescent="0.2">
      <c r="B65" s="27" t="s">
        <v>259</v>
      </c>
      <c r="C65" s="23" t="s">
        <v>277</v>
      </c>
      <c r="D65" s="23" t="s">
        <v>139</v>
      </c>
      <c r="E65" s="28">
        <v>767000</v>
      </c>
      <c r="F65" s="25">
        <v>1443.88</v>
      </c>
      <c r="G65" s="25">
        <v>0.15</v>
      </c>
      <c r="H65" s="26"/>
    </row>
    <row r="66" spans="2:10" x14ac:dyDescent="0.2">
      <c r="B66" s="29" t="s">
        <v>110</v>
      </c>
      <c r="C66" s="30"/>
      <c r="D66" s="30"/>
      <c r="E66" s="31"/>
      <c r="F66" s="32">
        <f>SUM(F7:F65)</f>
        <v>937958.46</v>
      </c>
      <c r="G66" s="32">
        <f>SUM(G7:G65)</f>
        <v>97.35</v>
      </c>
      <c r="H66" s="33"/>
      <c r="I66" s="14"/>
      <c r="J66" s="14"/>
    </row>
    <row r="67" spans="2:10" x14ac:dyDescent="0.2">
      <c r="B67" s="37" t="s">
        <v>111</v>
      </c>
      <c r="C67" s="37"/>
      <c r="D67" s="37"/>
      <c r="E67" s="38"/>
      <c r="F67" s="39">
        <f>F66</f>
        <v>937958.46</v>
      </c>
      <c r="G67" s="39">
        <f>G66</f>
        <v>97.35</v>
      </c>
      <c r="H67" s="15"/>
      <c r="I67" s="14"/>
      <c r="J67" s="14"/>
    </row>
    <row r="68" spans="2:10" x14ac:dyDescent="0.2">
      <c r="B68" s="46" t="s">
        <v>226</v>
      </c>
      <c r="C68" s="41"/>
      <c r="D68" s="41"/>
      <c r="E68" s="42"/>
      <c r="F68" s="43"/>
      <c r="G68" s="43"/>
      <c r="H68" s="43"/>
    </row>
    <row r="69" spans="2:10" x14ac:dyDescent="0.2">
      <c r="B69" s="47" t="s">
        <v>31</v>
      </c>
      <c r="C69" s="23"/>
      <c r="D69" s="23"/>
      <c r="E69" s="24"/>
      <c r="F69" s="25"/>
      <c r="G69" s="25"/>
      <c r="H69" s="25"/>
    </row>
    <row r="70" spans="2:10" x14ac:dyDescent="0.2">
      <c r="B70" s="23" t="s">
        <v>227</v>
      </c>
      <c r="C70" s="23" t="s">
        <v>228</v>
      </c>
      <c r="D70" s="23" t="s">
        <v>229</v>
      </c>
      <c r="E70" s="28">
        <v>193012</v>
      </c>
      <c r="F70" s="25">
        <v>55.68</v>
      </c>
      <c r="G70" s="25">
        <v>0.01</v>
      </c>
      <c r="H70" s="25">
        <v>5.7</v>
      </c>
    </row>
    <row r="71" spans="2:10" x14ac:dyDescent="0.2">
      <c r="B71" s="30" t="s">
        <v>110</v>
      </c>
      <c r="C71" s="30"/>
      <c r="D71" s="30"/>
      <c r="E71" s="31"/>
      <c r="F71" s="32">
        <f>SUM(F69:F70)</f>
        <v>55.68</v>
      </c>
      <c r="G71" s="32">
        <f>SUM(G69:G70)</f>
        <v>0.01</v>
      </c>
      <c r="H71" s="48"/>
      <c r="I71" s="14"/>
      <c r="J71" s="14"/>
    </row>
    <row r="72" spans="2:10" x14ac:dyDescent="0.2">
      <c r="B72" s="49" t="s">
        <v>111</v>
      </c>
      <c r="C72" s="49"/>
      <c r="D72" s="49"/>
      <c r="E72" s="50"/>
      <c r="F72" s="51">
        <f>F71</f>
        <v>55.68</v>
      </c>
      <c r="G72" s="51">
        <f>G71</f>
        <v>0.01</v>
      </c>
      <c r="H72" s="51"/>
      <c r="I72" s="14"/>
      <c r="J72" s="14"/>
    </row>
    <row r="73" spans="2:10" x14ac:dyDescent="0.2">
      <c r="B73" s="47" t="s">
        <v>112</v>
      </c>
      <c r="C73" s="23"/>
      <c r="D73" s="23"/>
      <c r="E73" s="24"/>
      <c r="F73" s="25"/>
      <c r="G73" s="25"/>
      <c r="H73" s="25"/>
    </row>
    <row r="74" spans="2:10" x14ac:dyDescent="0.2">
      <c r="B74" s="23" t="s">
        <v>112</v>
      </c>
      <c r="C74" s="23"/>
      <c r="D74" s="23"/>
      <c r="E74" s="24"/>
      <c r="F74" s="25">
        <v>25578.23</v>
      </c>
      <c r="G74" s="25">
        <v>2.66</v>
      </c>
      <c r="H74" s="25"/>
    </row>
    <row r="75" spans="2:10" x14ac:dyDescent="0.2">
      <c r="B75" s="30" t="s">
        <v>110</v>
      </c>
      <c r="C75" s="30"/>
      <c r="D75" s="30"/>
      <c r="E75" s="31"/>
      <c r="F75" s="32">
        <f>SUM(F73:F74)</f>
        <v>25578.23</v>
      </c>
      <c r="G75" s="32">
        <f>SUM(G73:G74)</f>
        <v>2.66</v>
      </c>
      <c r="H75" s="48"/>
      <c r="I75" s="14"/>
      <c r="J75" s="14"/>
    </row>
    <row r="76" spans="2:10" x14ac:dyDescent="0.2">
      <c r="B76" s="34" t="s">
        <v>111</v>
      </c>
      <c r="C76" s="34"/>
      <c r="D76" s="34"/>
      <c r="E76" s="35"/>
      <c r="F76" s="36">
        <f>F75</f>
        <v>25578.23</v>
      </c>
      <c r="G76" s="36">
        <f>G75</f>
        <v>2.66</v>
      </c>
      <c r="H76" s="36"/>
      <c r="I76" s="14"/>
      <c r="J76" s="14"/>
    </row>
    <row r="77" spans="2:10" x14ac:dyDescent="0.2">
      <c r="B77" s="44" t="s">
        <v>114</v>
      </c>
      <c r="C77" s="44"/>
      <c r="D77" s="44"/>
      <c r="E77" s="45"/>
      <c r="F77" s="16">
        <f>F78-(+F67+F72+F76)</f>
        <v>-326.67000000004191</v>
      </c>
      <c r="G77" s="16">
        <f>G78-(+G67+G72+G76)</f>
        <v>-1.9999999999996021E-2</v>
      </c>
      <c r="H77" s="16"/>
      <c r="I77" s="14"/>
      <c r="J77" s="14"/>
    </row>
    <row r="78" spans="2:10" x14ac:dyDescent="0.2">
      <c r="B78" s="44" t="s">
        <v>113</v>
      </c>
      <c r="C78" s="44"/>
      <c r="D78" s="44"/>
      <c r="E78" s="45"/>
      <c r="F78" s="16">
        <v>963265.7</v>
      </c>
      <c r="G78" s="16">
        <v>100</v>
      </c>
      <c r="H78" s="16"/>
      <c r="I78" s="14"/>
      <c r="J78" s="14"/>
    </row>
    <row r="80" spans="2:10" x14ac:dyDescent="0.2">
      <c r="B80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"/>
  <sheetViews>
    <sheetView workbookViewId="0">
      <selection activeCell="E12" sqref="E12"/>
    </sheetView>
  </sheetViews>
  <sheetFormatPr defaultRowHeight="12" x14ac:dyDescent="0.2"/>
  <cols>
    <col min="1" max="1" width="9.140625" style="1"/>
    <col min="2" max="2" width="55" style="1" bestFit="1" customWidth="1"/>
    <col min="3" max="3" width="13.8554687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12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35</v>
      </c>
      <c r="C7" s="23" t="s">
        <v>36</v>
      </c>
      <c r="D7" s="23" t="s">
        <v>37</v>
      </c>
      <c r="E7" s="28">
        <v>707000</v>
      </c>
      <c r="F7" s="25">
        <v>4460.46</v>
      </c>
      <c r="G7" s="25">
        <v>7.08</v>
      </c>
    </row>
    <row r="8" spans="2:7" x14ac:dyDescent="0.2">
      <c r="B8" s="27" t="s">
        <v>118</v>
      </c>
      <c r="C8" s="23" t="s">
        <v>119</v>
      </c>
      <c r="D8" s="23" t="s">
        <v>37</v>
      </c>
      <c r="E8" s="28">
        <v>270800</v>
      </c>
      <c r="F8" s="25">
        <v>4056.31</v>
      </c>
      <c r="G8" s="25">
        <v>6.44</v>
      </c>
    </row>
    <row r="9" spans="2:7" x14ac:dyDescent="0.2">
      <c r="B9" s="27" t="s">
        <v>149</v>
      </c>
      <c r="C9" s="23" t="s">
        <v>150</v>
      </c>
      <c r="D9" s="23" t="s">
        <v>133</v>
      </c>
      <c r="E9" s="28">
        <v>111675</v>
      </c>
      <c r="F9" s="25">
        <v>3342.1</v>
      </c>
      <c r="G9" s="25">
        <v>5.3</v>
      </c>
    </row>
    <row r="10" spans="2:7" x14ac:dyDescent="0.2">
      <c r="B10" s="27" t="s">
        <v>126</v>
      </c>
      <c r="C10" s="23" t="s">
        <v>127</v>
      </c>
      <c r="D10" s="23" t="s">
        <v>128</v>
      </c>
      <c r="E10" s="28">
        <v>53175</v>
      </c>
      <c r="F10" s="25">
        <v>3198.93</v>
      </c>
      <c r="G10" s="25">
        <v>5.08</v>
      </c>
    </row>
    <row r="11" spans="2:7" x14ac:dyDescent="0.2">
      <c r="B11" s="27" t="s">
        <v>164</v>
      </c>
      <c r="C11" s="23" t="s">
        <v>165</v>
      </c>
      <c r="D11" s="23" t="s">
        <v>133</v>
      </c>
      <c r="E11" s="28">
        <v>350000</v>
      </c>
      <c r="F11" s="25">
        <v>2640.4</v>
      </c>
      <c r="G11" s="25">
        <v>4.1900000000000004</v>
      </c>
    </row>
    <row r="12" spans="2:7" x14ac:dyDescent="0.2">
      <c r="B12" s="27" t="s">
        <v>195</v>
      </c>
      <c r="C12" s="23" t="s">
        <v>196</v>
      </c>
      <c r="D12" s="23" t="s">
        <v>197</v>
      </c>
      <c r="E12" s="28">
        <v>80000</v>
      </c>
      <c r="F12" s="25">
        <v>2464.16</v>
      </c>
      <c r="G12" s="25">
        <v>3.91</v>
      </c>
    </row>
    <row r="13" spans="2:7" x14ac:dyDescent="0.2">
      <c r="B13" s="27" t="s">
        <v>185</v>
      </c>
      <c r="C13" s="23" t="s">
        <v>186</v>
      </c>
      <c r="D13" s="23" t="s">
        <v>100</v>
      </c>
      <c r="E13" s="28">
        <v>135000</v>
      </c>
      <c r="F13" s="25">
        <v>2338.88</v>
      </c>
      <c r="G13" s="25">
        <v>3.71</v>
      </c>
    </row>
    <row r="14" spans="2:7" x14ac:dyDescent="0.2">
      <c r="B14" s="27" t="s">
        <v>131</v>
      </c>
      <c r="C14" s="23" t="s">
        <v>132</v>
      </c>
      <c r="D14" s="23" t="s">
        <v>133</v>
      </c>
      <c r="E14" s="28">
        <v>90030</v>
      </c>
      <c r="F14" s="25">
        <v>2224.91</v>
      </c>
      <c r="G14" s="25">
        <v>3.53</v>
      </c>
    </row>
    <row r="15" spans="2:7" x14ac:dyDescent="0.2">
      <c r="B15" s="27" t="s">
        <v>177</v>
      </c>
      <c r="C15" s="23" t="s">
        <v>178</v>
      </c>
      <c r="D15" s="23" t="s">
        <v>100</v>
      </c>
      <c r="E15" s="28">
        <v>180000</v>
      </c>
      <c r="F15" s="25">
        <v>1764.36</v>
      </c>
      <c r="G15" s="25">
        <v>2.8</v>
      </c>
    </row>
    <row r="16" spans="2:7" x14ac:dyDescent="0.2">
      <c r="B16" s="27" t="s">
        <v>124</v>
      </c>
      <c r="C16" s="23" t="s">
        <v>125</v>
      </c>
      <c r="D16" s="23" t="s">
        <v>37</v>
      </c>
      <c r="E16" s="28">
        <v>231500</v>
      </c>
      <c r="F16" s="25">
        <v>1732.31</v>
      </c>
      <c r="G16" s="25">
        <v>2.75</v>
      </c>
    </row>
    <row r="17" spans="2:7" x14ac:dyDescent="0.2">
      <c r="B17" s="27" t="s">
        <v>137</v>
      </c>
      <c r="C17" s="23" t="s">
        <v>138</v>
      </c>
      <c r="D17" s="23" t="s">
        <v>139</v>
      </c>
      <c r="E17" s="28">
        <v>50250</v>
      </c>
      <c r="F17" s="25">
        <v>1680.41</v>
      </c>
      <c r="G17" s="25">
        <v>2.67</v>
      </c>
    </row>
    <row r="18" spans="2:7" x14ac:dyDescent="0.2">
      <c r="B18" s="27" t="s">
        <v>98</v>
      </c>
      <c r="C18" s="23" t="s">
        <v>99</v>
      </c>
      <c r="D18" s="23" t="s">
        <v>100</v>
      </c>
      <c r="E18" s="28">
        <v>34505</v>
      </c>
      <c r="F18" s="25">
        <v>1525.48</v>
      </c>
      <c r="G18" s="25">
        <v>2.42</v>
      </c>
    </row>
    <row r="19" spans="2:7" x14ac:dyDescent="0.2">
      <c r="B19" s="27" t="s">
        <v>140</v>
      </c>
      <c r="C19" s="23" t="s">
        <v>141</v>
      </c>
      <c r="D19" s="23" t="s">
        <v>65</v>
      </c>
      <c r="E19" s="28">
        <v>75000</v>
      </c>
      <c r="F19" s="25">
        <v>1481.29</v>
      </c>
      <c r="G19" s="25">
        <v>2.35</v>
      </c>
    </row>
    <row r="20" spans="2:7" x14ac:dyDescent="0.2">
      <c r="B20" s="27" t="s">
        <v>179</v>
      </c>
      <c r="C20" s="23" t="s">
        <v>180</v>
      </c>
      <c r="D20" s="23" t="s">
        <v>176</v>
      </c>
      <c r="E20" s="28">
        <v>225000</v>
      </c>
      <c r="F20" s="25">
        <v>1396.13</v>
      </c>
      <c r="G20" s="25">
        <v>2.2200000000000002</v>
      </c>
    </row>
    <row r="21" spans="2:7" x14ac:dyDescent="0.2">
      <c r="B21" s="27" t="s">
        <v>230</v>
      </c>
      <c r="C21" s="23" t="s">
        <v>231</v>
      </c>
      <c r="D21" s="23" t="s">
        <v>158</v>
      </c>
      <c r="E21" s="28">
        <v>575000</v>
      </c>
      <c r="F21" s="25">
        <v>1392.08</v>
      </c>
      <c r="G21" s="25">
        <v>2.21</v>
      </c>
    </row>
    <row r="22" spans="2:7" x14ac:dyDescent="0.2">
      <c r="B22" s="27" t="s">
        <v>234</v>
      </c>
      <c r="C22" s="23" t="s">
        <v>235</v>
      </c>
      <c r="D22" s="23" t="s">
        <v>139</v>
      </c>
      <c r="E22" s="28">
        <v>27499</v>
      </c>
      <c r="F22" s="25">
        <v>1351.78</v>
      </c>
      <c r="G22" s="25">
        <v>2.15</v>
      </c>
    </row>
    <row r="23" spans="2:7" x14ac:dyDescent="0.2">
      <c r="B23" s="27" t="s">
        <v>236</v>
      </c>
      <c r="C23" s="23" t="s">
        <v>237</v>
      </c>
      <c r="D23" s="23" t="s">
        <v>100</v>
      </c>
      <c r="E23" s="28">
        <v>305791</v>
      </c>
      <c r="F23" s="25">
        <v>1328.97</v>
      </c>
      <c r="G23" s="25">
        <v>2.11</v>
      </c>
    </row>
    <row r="24" spans="2:7" x14ac:dyDescent="0.2">
      <c r="B24" s="27" t="s">
        <v>129</v>
      </c>
      <c r="C24" s="23" t="s">
        <v>130</v>
      </c>
      <c r="D24" s="23" t="s">
        <v>128</v>
      </c>
      <c r="E24" s="28">
        <v>53500</v>
      </c>
      <c r="F24" s="25">
        <v>1324.26</v>
      </c>
      <c r="G24" s="25">
        <v>2.1</v>
      </c>
    </row>
    <row r="25" spans="2:7" x14ac:dyDescent="0.2">
      <c r="B25" s="27" t="s">
        <v>240</v>
      </c>
      <c r="C25" s="23" t="s">
        <v>241</v>
      </c>
      <c r="D25" s="23" t="s">
        <v>158</v>
      </c>
      <c r="E25" s="28">
        <v>18524</v>
      </c>
      <c r="F25" s="25">
        <v>1277.8599999999999</v>
      </c>
      <c r="G25" s="25">
        <v>2.0299999999999998</v>
      </c>
    </row>
    <row r="26" spans="2:7" x14ac:dyDescent="0.2">
      <c r="B26" s="27" t="s">
        <v>54</v>
      </c>
      <c r="C26" s="23" t="s">
        <v>55</v>
      </c>
      <c r="D26" s="23" t="s">
        <v>37</v>
      </c>
      <c r="E26" s="28">
        <v>297755</v>
      </c>
      <c r="F26" s="25">
        <v>1248.19</v>
      </c>
      <c r="G26" s="25">
        <v>1.98</v>
      </c>
    </row>
    <row r="27" spans="2:7" x14ac:dyDescent="0.2">
      <c r="B27" s="27" t="s">
        <v>247</v>
      </c>
      <c r="C27" s="23" t="s">
        <v>248</v>
      </c>
      <c r="D27" s="23" t="s">
        <v>136</v>
      </c>
      <c r="E27" s="28">
        <v>120000</v>
      </c>
      <c r="F27" s="25">
        <v>1209.78</v>
      </c>
      <c r="G27" s="25">
        <v>1.92</v>
      </c>
    </row>
    <row r="28" spans="2:7" x14ac:dyDescent="0.2">
      <c r="B28" s="27" t="s">
        <v>278</v>
      </c>
      <c r="C28" s="23" t="s">
        <v>279</v>
      </c>
      <c r="D28" s="23" t="s">
        <v>280</v>
      </c>
      <c r="E28" s="28">
        <v>4000</v>
      </c>
      <c r="F28" s="25">
        <v>1180.8800000000001</v>
      </c>
      <c r="G28" s="25">
        <v>1.87</v>
      </c>
    </row>
    <row r="29" spans="2:7" x14ac:dyDescent="0.2">
      <c r="B29" s="27" t="s">
        <v>281</v>
      </c>
      <c r="C29" s="23" t="s">
        <v>282</v>
      </c>
      <c r="D29" s="23" t="s">
        <v>100</v>
      </c>
      <c r="E29" s="28">
        <v>373087</v>
      </c>
      <c r="F29" s="25">
        <v>1169.81</v>
      </c>
      <c r="G29" s="25">
        <v>1.86</v>
      </c>
    </row>
    <row r="30" spans="2:7" x14ac:dyDescent="0.2">
      <c r="B30" s="27" t="s">
        <v>283</v>
      </c>
      <c r="C30" s="23" t="s">
        <v>284</v>
      </c>
      <c r="D30" s="23" t="s">
        <v>276</v>
      </c>
      <c r="E30" s="28">
        <v>135000</v>
      </c>
      <c r="F30" s="25">
        <v>1152.43</v>
      </c>
      <c r="G30" s="25">
        <v>1.83</v>
      </c>
    </row>
    <row r="31" spans="2:7" x14ac:dyDescent="0.2">
      <c r="B31" s="27" t="s">
        <v>285</v>
      </c>
      <c r="C31" s="23" t="s">
        <v>286</v>
      </c>
      <c r="D31" s="23" t="s">
        <v>133</v>
      </c>
      <c r="E31" s="28">
        <v>8200</v>
      </c>
      <c r="F31" s="25">
        <v>1091.18</v>
      </c>
      <c r="G31" s="25">
        <v>1.73</v>
      </c>
    </row>
    <row r="32" spans="2:7" x14ac:dyDescent="0.2">
      <c r="B32" s="27" t="s">
        <v>159</v>
      </c>
      <c r="C32" s="23" t="s">
        <v>160</v>
      </c>
      <c r="D32" s="23" t="s">
        <v>100</v>
      </c>
      <c r="E32" s="28">
        <v>102500</v>
      </c>
      <c r="F32" s="25">
        <v>1048.01</v>
      </c>
      <c r="G32" s="25">
        <v>1.66</v>
      </c>
    </row>
    <row r="33" spans="2:7" x14ac:dyDescent="0.2">
      <c r="B33" s="27" t="s">
        <v>206</v>
      </c>
      <c r="C33" s="23" t="s">
        <v>207</v>
      </c>
      <c r="D33" s="23" t="s">
        <v>128</v>
      </c>
      <c r="E33" s="28">
        <v>102500</v>
      </c>
      <c r="F33" s="25">
        <v>994.66</v>
      </c>
      <c r="G33" s="25">
        <v>1.58</v>
      </c>
    </row>
    <row r="34" spans="2:7" x14ac:dyDescent="0.2">
      <c r="B34" s="27" t="s">
        <v>166</v>
      </c>
      <c r="C34" s="23" t="s">
        <v>167</v>
      </c>
      <c r="D34" s="23" t="s">
        <v>158</v>
      </c>
      <c r="E34" s="28">
        <v>155000</v>
      </c>
      <c r="F34" s="25">
        <v>992.62</v>
      </c>
      <c r="G34" s="25">
        <v>1.58</v>
      </c>
    </row>
    <row r="35" spans="2:7" x14ac:dyDescent="0.2">
      <c r="B35" s="27" t="s">
        <v>204</v>
      </c>
      <c r="C35" s="23" t="s">
        <v>205</v>
      </c>
      <c r="D35" s="23" t="s">
        <v>128</v>
      </c>
      <c r="E35" s="28">
        <v>181000</v>
      </c>
      <c r="F35" s="25">
        <v>928.98</v>
      </c>
      <c r="G35" s="25">
        <v>1.47</v>
      </c>
    </row>
    <row r="36" spans="2:7" x14ac:dyDescent="0.2">
      <c r="B36" s="27" t="s">
        <v>144</v>
      </c>
      <c r="C36" s="23" t="s">
        <v>145</v>
      </c>
      <c r="D36" s="23" t="s">
        <v>146</v>
      </c>
      <c r="E36" s="28">
        <v>18125</v>
      </c>
      <c r="F36" s="25">
        <v>799</v>
      </c>
      <c r="G36" s="25">
        <v>1.27</v>
      </c>
    </row>
    <row r="37" spans="2:7" x14ac:dyDescent="0.2">
      <c r="B37" s="27" t="s">
        <v>200</v>
      </c>
      <c r="C37" s="23" t="s">
        <v>201</v>
      </c>
      <c r="D37" s="23" t="s">
        <v>176</v>
      </c>
      <c r="E37" s="28">
        <v>650000</v>
      </c>
      <c r="F37" s="25">
        <v>796.9</v>
      </c>
      <c r="G37" s="25">
        <v>1.26</v>
      </c>
    </row>
    <row r="38" spans="2:7" x14ac:dyDescent="0.2">
      <c r="B38" s="27" t="s">
        <v>287</v>
      </c>
      <c r="C38" s="23" t="s">
        <v>288</v>
      </c>
      <c r="D38" s="23" t="s">
        <v>133</v>
      </c>
      <c r="E38" s="28">
        <v>91000</v>
      </c>
      <c r="F38" s="25">
        <v>732.64</v>
      </c>
      <c r="G38" s="25">
        <v>1.1599999999999999</v>
      </c>
    </row>
    <row r="39" spans="2:7" x14ac:dyDescent="0.2">
      <c r="B39" s="27" t="s">
        <v>251</v>
      </c>
      <c r="C39" s="23" t="s">
        <v>252</v>
      </c>
      <c r="D39" s="23" t="s">
        <v>117</v>
      </c>
      <c r="E39" s="28">
        <v>16597</v>
      </c>
      <c r="F39" s="25">
        <v>714.23</v>
      </c>
      <c r="G39" s="25">
        <v>1.1299999999999999</v>
      </c>
    </row>
    <row r="40" spans="2:7" x14ac:dyDescent="0.2">
      <c r="B40" s="27" t="s">
        <v>68</v>
      </c>
      <c r="C40" s="23" t="s">
        <v>69</v>
      </c>
      <c r="D40" s="23" t="s">
        <v>70</v>
      </c>
      <c r="E40" s="28">
        <v>107000</v>
      </c>
      <c r="F40" s="25">
        <v>707</v>
      </c>
      <c r="G40" s="25">
        <v>1.1200000000000001</v>
      </c>
    </row>
    <row r="41" spans="2:7" x14ac:dyDescent="0.2">
      <c r="B41" s="27" t="s">
        <v>289</v>
      </c>
      <c r="C41" s="23" t="s">
        <v>290</v>
      </c>
      <c r="D41" s="23" t="s">
        <v>65</v>
      </c>
      <c r="E41" s="28">
        <v>350000</v>
      </c>
      <c r="F41" s="25">
        <v>643.83000000000004</v>
      </c>
      <c r="G41" s="25">
        <v>1.02</v>
      </c>
    </row>
    <row r="42" spans="2:7" x14ac:dyDescent="0.2">
      <c r="B42" s="27" t="s">
        <v>291</v>
      </c>
      <c r="C42" s="23" t="s">
        <v>292</v>
      </c>
      <c r="D42" s="23" t="s">
        <v>276</v>
      </c>
      <c r="E42" s="28">
        <v>22500</v>
      </c>
      <c r="F42" s="25">
        <v>628.29</v>
      </c>
      <c r="G42" s="25">
        <v>1</v>
      </c>
    </row>
    <row r="43" spans="2:7" x14ac:dyDescent="0.2">
      <c r="B43" s="27" t="s">
        <v>183</v>
      </c>
      <c r="C43" s="23" t="s">
        <v>184</v>
      </c>
      <c r="D43" s="23" t="s">
        <v>158</v>
      </c>
      <c r="E43" s="28">
        <v>27500</v>
      </c>
      <c r="F43" s="25">
        <v>615.78</v>
      </c>
      <c r="G43" s="25">
        <v>0.98</v>
      </c>
    </row>
    <row r="44" spans="2:7" x14ac:dyDescent="0.2">
      <c r="B44" s="27" t="s">
        <v>153</v>
      </c>
      <c r="C44" s="23" t="s">
        <v>154</v>
      </c>
      <c r="D44" s="23" t="s">
        <v>155</v>
      </c>
      <c r="E44" s="28">
        <v>19582</v>
      </c>
      <c r="F44" s="25">
        <v>569.91</v>
      </c>
      <c r="G44" s="25">
        <v>0.9</v>
      </c>
    </row>
    <row r="45" spans="2:7" x14ac:dyDescent="0.2">
      <c r="B45" s="27" t="s">
        <v>293</v>
      </c>
      <c r="C45" s="23" t="s">
        <v>294</v>
      </c>
      <c r="D45" s="23" t="s">
        <v>176</v>
      </c>
      <c r="E45" s="28">
        <v>12500</v>
      </c>
      <c r="F45" s="25">
        <v>516.73</v>
      </c>
      <c r="G45" s="25">
        <v>0.82</v>
      </c>
    </row>
    <row r="46" spans="2:7" x14ac:dyDescent="0.2">
      <c r="B46" s="27" t="s">
        <v>142</v>
      </c>
      <c r="C46" s="23" t="s">
        <v>143</v>
      </c>
      <c r="D46" s="23" t="s">
        <v>37</v>
      </c>
      <c r="E46" s="28">
        <v>30000</v>
      </c>
      <c r="F46" s="25">
        <v>511.76</v>
      </c>
      <c r="G46" s="25">
        <v>0.81</v>
      </c>
    </row>
    <row r="47" spans="2:7" x14ac:dyDescent="0.2">
      <c r="B47" s="27" t="s">
        <v>244</v>
      </c>
      <c r="C47" s="23" t="s">
        <v>245</v>
      </c>
      <c r="D47" s="23" t="s">
        <v>246</v>
      </c>
      <c r="E47" s="28">
        <v>33000</v>
      </c>
      <c r="F47" s="25">
        <v>440.43</v>
      </c>
      <c r="G47" s="25">
        <v>0.7</v>
      </c>
    </row>
    <row r="48" spans="2:7" x14ac:dyDescent="0.2">
      <c r="B48" s="27" t="s">
        <v>263</v>
      </c>
      <c r="C48" s="23" t="s">
        <v>264</v>
      </c>
      <c r="D48" s="23" t="s">
        <v>133</v>
      </c>
      <c r="E48" s="28">
        <v>75000</v>
      </c>
      <c r="F48" s="25">
        <v>431.4</v>
      </c>
      <c r="G48" s="25">
        <v>0.68</v>
      </c>
    </row>
    <row r="49" spans="2:9" x14ac:dyDescent="0.2">
      <c r="B49" s="27" t="s">
        <v>295</v>
      </c>
      <c r="C49" s="23" t="s">
        <v>296</v>
      </c>
      <c r="D49" s="23" t="s">
        <v>133</v>
      </c>
      <c r="E49" s="28">
        <v>62500</v>
      </c>
      <c r="F49" s="25">
        <v>355.47</v>
      </c>
      <c r="G49" s="25">
        <v>0.56000000000000005</v>
      </c>
    </row>
    <row r="50" spans="2:9" x14ac:dyDescent="0.2">
      <c r="B50" s="29" t="s">
        <v>110</v>
      </c>
      <c r="C50" s="30"/>
      <c r="D50" s="30"/>
      <c r="E50" s="31"/>
      <c r="F50" s="32">
        <f>SUM(F7:F49)</f>
        <v>60460.990000000027</v>
      </c>
      <c r="G50" s="32">
        <f>SUM(G7:G49)</f>
        <v>95.940000000000012</v>
      </c>
      <c r="H50" s="14"/>
      <c r="I50" s="14"/>
    </row>
    <row r="51" spans="2:9" x14ac:dyDescent="0.2">
      <c r="B51" s="37" t="s">
        <v>111</v>
      </c>
      <c r="C51" s="37"/>
      <c r="D51" s="37"/>
      <c r="E51" s="38"/>
      <c r="F51" s="39">
        <f>F50</f>
        <v>60460.990000000027</v>
      </c>
      <c r="G51" s="39">
        <f>G50</f>
        <v>95.940000000000012</v>
      </c>
      <c r="H51" s="14"/>
      <c r="I51" s="14"/>
    </row>
    <row r="52" spans="2:9" x14ac:dyDescent="0.2">
      <c r="B52" s="40" t="s">
        <v>112</v>
      </c>
      <c r="C52" s="41"/>
      <c r="D52" s="41"/>
      <c r="E52" s="42"/>
      <c r="F52" s="43"/>
      <c r="G52" s="43"/>
    </row>
    <row r="53" spans="2:9" x14ac:dyDescent="0.2">
      <c r="B53" s="27" t="s">
        <v>112</v>
      </c>
      <c r="C53" s="23"/>
      <c r="D53" s="23"/>
      <c r="E53" s="24"/>
      <c r="F53" s="25">
        <v>1867.41</v>
      </c>
      <c r="G53" s="25">
        <v>2.96</v>
      </c>
    </row>
    <row r="54" spans="2:9" x14ac:dyDescent="0.2">
      <c r="B54" s="29" t="s">
        <v>110</v>
      </c>
      <c r="C54" s="30"/>
      <c r="D54" s="30"/>
      <c r="E54" s="31"/>
      <c r="F54" s="32">
        <f>SUM(F52:F53)</f>
        <v>1867.41</v>
      </c>
      <c r="G54" s="32">
        <f>SUM(G52:G53)</f>
        <v>2.96</v>
      </c>
      <c r="H54" s="14"/>
      <c r="I54" s="14"/>
    </row>
    <row r="55" spans="2:9" x14ac:dyDescent="0.2">
      <c r="B55" s="34" t="s">
        <v>111</v>
      </c>
      <c r="C55" s="34"/>
      <c r="D55" s="34"/>
      <c r="E55" s="35"/>
      <c r="F55" s="36">
        <f>F54</f>
        <v>1867.41</v>
      </c>
      <c r="G55" s="36">
        <f>G54</f>
        <v>2.96</v>
      </c>
      <c r="H55" s="14"/>
      <c r="I55" s="14"/>
    </row>
    <row r="56" spans="2:9" x14ac:dyDescent="0.2">
      <c r="B56" s="44" t="s">
        <v>114</v>
      </c>
      <c r="C56" s="44"/>
      <c r="D56" s="44"/>
      <c r="E56" s="45"/>
      <c r="F56" s="16">
        <f>F57-(+F51+F55)</f>
        <v>678.17999999997119</v>
      </c>
      <c r="G56" s="16">
        <f>G57-(+G51+G55)</f>
        <v>1.0999999999999943</v>
      </c>
      <c r="H56" s="14"/>
      <c r="I56" s="14"/>
    </row>
    <row r="57" spans="2:9" x14ac:dyDescent="0.2">
      <c r="B57" s="44" t="s">
        <v>113</v>
      </c>
      <c r="C57" s="44"/>
      <c r="D57" s="44"/>
      <c r="E57" s="45"/>
      <c r="F57" s="16">
        <v>63006.58</v>
      </c>
      <c r="G57" s="16">
        <v>100</v>
      </c>
      <c r="H57" s="14"/>
      <c r="I57" s="14"/>
    </row>
    <row r="59" spans="2:9" x14ac:dyDescent="0.2">
      <c r="B5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9"/>
  <sheetViews>
    <sheetView workbookViewId="0">
      <selection activeCell="D16" sqref="D16"/>
    </sheetView>
  </sheetViews>
  <sheetFormatPr defaultRowHeight="12" x14ac:dyDescent="0.2"/>
  <cols>
    <col min="1" max="1" width="9.140625" style="1"/>
    <col min="2" max="2" width="55" style="1" bestFit="1" customWidth="1"/>
    <col min="3" max="3" width="13.285156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13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37</v>
      </c>
      <c r="E7" s="28">
        <v>1749700</v>
      </c>
      <c r="F7" s="25">
        <v>26208.76</v>
      </c>
      <c r="G7" s="25">
        <v>7.92</v>
      </c>
    </row>
    <row r="8" spans="2:7" x14ac:dyDescent="0.2">
      <c r="B8" s="27" t="s">
        <v>115</v>
      </c>
      <c r="C8" s="23" t="s">
        <v>116</v>
      </c>
      <c r="D8" s="23" t="s">
        <v>117</v>
      </c>
      <c r="E8" s="28">
        <v>1609142</v>
      </c>
      <c r="F8" s="25">
        <v>25437.32</v>
      </c>
      <c r="G8" s="25">
        <v>7.69</v>
      </c>
    </row>
    <row r="9" spans="2:7" x14ac:dyDescent="0.2">
      <c r="B9" s="27" t="s">
        <v>35</v>
      </c>
      <c r="C9" s="23" t="s">
        <v>36</v>
      </c>
      <c r="D9" s="23" t="s">
        <v>37</v>
      </c>
      <c r="E9" s="28">
        <v>3515600</v>
      </c>
      <c r="F9" s="25">
        <v>22179.919999999998</v>
      </c>
      <c r="G9" s="25">
        <v>6.7</v>
      </c>
    </row>
    <row r="10" spans="2:7" x14ac:dyDescent="0.2">
      <c r="B10" s="27" t="s">
        <v>122</v>
      </c>
      <c r="C10" s="23" t="s">
        <v>123</v>
      </c>
      <c r="D10" s="23" t="s">
        <v>81</v>
      </c>
      <c r="E10" s="28">
        <v>908250</v>
      </c>
      <c r="F10" s="25">
        <v>19169.98</v>
      </c>
      <c r="G10" s="25">
        <v>5.79</v>
      </c>
    </row>
    <row r="11" spans="2:7" x14ac:dyDescent="0.2">
      <c r="B11" s="27" t="s">
        <v>120</v>
      </c>
      <c r="C11" s="23" t="s">
        <v>121</v>
      </c>
      <c r="D11" s="23" t="s">
        <v>117</v>
      </c>
      <c r="E11" s="28">
        <v>493461</v>
      </c>
      <c r="F11" s="25">
        <v>16509.97</v>
      </c>
      <c r="G11" s="25">
        <v>4.99</v>
      </c>
    </row>
    <row r="12" spans="2:7" x14ac:dyDescent="0.2">
      <c r="B12" s="27" t="s">
        <v>129</v>
      </c>
      <c r="C12" s="23" t="s">
        <v>130</v>
      </c>
      <c r="D12" s="23" t="s">
        <v>128</v>
      </c>
      <c r="E12" s="28">
        <v>520450</v>
      </c>
      <c r="F12" s="25">
        <v>12882.44</v>
      </c>
      <c r="G12" s="25">
        <v>3.89</v>
      </c>
    </row>
    <row r="13" spans="2:7" x14ac:dyDescent="0.2">
      <c r="B13" s="27" t="s">
        <v>32</v>
      </c>
      <c r="C13" s="23" t="s">
        <v>33</v>
      </c>
      <c r="D13" s="23" t="s">
        <v>34</v>
      </c>
      <c r="E13" s="28">
        <v>760685</v>
      </c>
      <c r="F13" s="25">
        <v>11414.46</v>
      </c>
      <c r="G13" s="25">
        <v>3.45</v>
      </c>
    </row>
    <row r="14" spans="2:7" x14ac:dyDescent="0.2">
      <c r="B14" s="27" t="s">
        <v>54</v>
      </c>
      <c r="C14" s="23" t="s">
        <v>55</v>
      </c>
      <c r="D14" s="23" t="s">
        <v>37</v>
      </c>
      <c r="E14" s="28">
        <v>2705000</v>
      </c>
      <c r="F14" s="25">
        <v>11339.36</v>
      </c>
      <c r="G14" s="25">
        <v>3.43</v>
      </c>
    </row>
    <row r="15" spans="2:7" x14ac:dyDescent="0.2">
      <c r="B15" s="27" t="s">
        <v>126</v>
      </c>
      <c r="C15" s="23" t="s">
        <v>127</v>
      </c>
      <c r="D15" s="23" t="s">
        <v>128</v>
      </c>
      <c r="E15" s="28">
        <v>173934</v>
      </c>
      <c r="F15" s="25">
        <v>10463.61</v>
      </c>
      <c r="G15" s="25">
        <v>3.16</v>
      </c>
    </row>
    <row r="16" spans="2:7" x14ac:dyDescent="0.2">
      <c r="B16" s="27" t="s">
        <v>124</v>
      </c>
      <c r="C16" s="23" t="s">
        <v>125</v>
      </c>
      <c r="D16" s="23" t="s">
        <v>37</v>
      </c>
      <c r="E16" s="28">
        <v>1394200</v>
      </c>
      <c r="F16" s="25">
        <v>10432.799999999999</v>
      </c>
      <c r="G16" s="25">
        <v>3.15</v>
      </c>
    </row>
    <row r="17" spans="2:7" x14ac:dyDescent="0.2">
      <c r="B17" s="27" t="s">
        <v>131</v>
      </c>
      <c r="C17" s="23" t="s">
        <v>132</v>
      </c>
      <c r="D17" s="23" t="s">
        <v>133</v>
      </c>
      <c r="E17" s="28">
        <v>342800</v>
      </c>
      <c r="F17" s="25">
        <v>8471.6200000000008</v>
      </c>
      <c r="G17" s="25">
        <v>2.56</v>
      </c>
    </row>
    <row r="18" spans="2:7" x14ac:dyDescent="0.2">
      <c r="B18" s="27" t="s">
        <v>142</v>
      </c>
      <c r="C18" s="23" t="s">
        <v>143</v>
      </c>
      <c r="D18" s="23" t="s">
        <v>37</v>
      </c>
      <c r="E18" s="28">
        <v>453750</v>
      </c>
      <c r="F18" s="25">
        <v>7740.29</v>
      </c>
      <c r="G18" s="25">
        <v>2.34</v>
      </c>
    </row>
    <row r="19" spans="2:7" x14ac:dyDescent="0.2">
      <c r="B19" s="27" t="s">
        <v>168</v>
      </c>
      <c r="C19" s="23" t="s">
        <v>169</v>
      </c>
      <c r="D19" s="23" t="s">
        <v>170</v>
      </c>
      <c r="E19" s="28">
        <v>1383316</v>
      </c>
      <c r="F19" s="25">
        <v>7271.4</v>
      </c>
      <c r="G19" s="25">
        <v>2.2000000000000002</v>
      </c>
    </row>
    <row r="20" spans="2:7" x14ac:dyDescent="0.2">
      <c r="B20" s="27" t="s">
        <v>60</v>
      </c>
      <c r="C20" s="23" t="s">
        <v>61</v>
      </c>
      <c r="D20" s="23" t="s">
        <v>62</v>
      </c>
      <c r="E20" s="28">
        <v>85152</v>
      </c>
      <c r="F20" s="25">
        <v>5769.9</v>
      </c>
      <c r="G20" s="25">
        <v>1.74</v>
      </c>
    </row>
    <row r="21" spans="2:7" x14ac:dyDescent="0.2">
      <c r="B21" s="27" t="s">
        <v>189</v>
      </c>
      <c r="C21" s="23" t="s">
        <v>190</v>
      </c>
      <c r="D21" s="23" t="s">
        <v>176</v>
      </c>
      <c r="E21" s="28">
        <v>1525000</v>
      </c>
      <c r="F21" s="25">
        <v>5178.8999999999996</v>
      </c>
      <c r="G21" s="25">
        <v>1.57</v>
      </c>
    </row>
    <row r="22" spans="2:7" x14ac:dyDescent="0.2">
      <c r="B22" s="27" t="s">
        <v>137</v>
      </c>
      <c r="C22" s="23" t="s">
        <v>138</v>
      </c>
      <c r="D22" s="23" t="s">
        <v>139</v>
      </c>
      <c r="E22" s="28">
        <v>150300</v>
      </c>
      <c r="F22" s="25">
        <v>5026.18</v>
      </c>
      <c r="G22" s="25">
        <v>1.52</v>
      </c>
    </row>
    <row r="23" spans="2:7" x14ac:dyDescent="0.2">
      <c r="B23" s="27" t="s">
        <v>164</v>
      </c>
      <c r="C23" s="23" t="s">
        <v>165</v>
      </c>
      <c r="D23" s="23" t="s">
        <v>133</v>
      </c>
      <c r="E23" s="28">
        <v>636324</v>
      </c>
      <c r="F23" s="25">
        <v>4800.43</v>
      </c>
      <c r="G23" s="25">
        <v>1.45</v>
      </c>
    </row>
    <row r="24" spans="2:7" x14ac:dyDescent="0.2">
      <c r="B24" s="27" t="s">
        <v>230</v>
      </c>
      <c r="C24" s="23" t="s">
        <v>231</v>
      </c>
      <c r="D24" s="23" t="s">
        <v>158</v>
      </c>
      <c r="E24" s="28">
        <v>1925000</v>
      </c>
      <c r="F24" s="25">
        <v>4660.43</v>
      </c>
      <c r="G24" s="25">
        <v>1.41</v>
      </c>
    </row>
    <row r="25" spans="2:7" x14ac:dyDescent="0.2">
      <c r="B25" s="27" t="s">
        <v>174</v>
      </c>
      <c r="C25" s="23" t="s">
        <v>175</v>
      </c>
      <c r="D25" s="23" t="s">
        <v>176</v>
      </c>
      <c r="E25" s="28">
        <v>57900</v>
      </c>
      <c r="F25" s="25">
        <v>4351.71</v>
      </c>
      <c r="G25" s="25">
        <v>1.32</v>
      </c>
    </row>
    <row r="26" spans="2:7" x14ac:dyDescent="0.2">
      <c r="B26" s="27" t="s">
        <v>151</v>
      </c>
      <c r="C26" s="23" t="s">
        <v>152</v>
      </c>
      <c r="D26" s="23" t="s">
        <v>117</v>
      </c>
      <c r="E26" s="28">
        <v>200000</v>
      </c>
      <c r="F26" s="25">
        <v>4268.3999999999996</v>
      </c>
      <c r="G26" s="25">
        <v>1.29</v>
      </c>
    </row>
    <row r="27" spans="2:7" x14ac:dyDescent="0.2">
      <c r="B27" s="27" t="s">
        <v>153</v>
      </c>
      <c r="C27" s="23" t="s">
        <v>154</v>
      </c>
      <c r="D27" s="23" t="s">
        <v>155</v>
      </c>
      <c r="E27" s="28">
        <v>142055</v>
      </c>
      <c r="F27" s="25">
        <v>4134.37</v>
      </c>
      <c r="G27" s="25">
        <v>1.25</v>
      </c>
    </row>
    <row r="28" spans="2:7" x14ac:dyDescent="0.2">
      <c r="B28" s="27" t="s">
        <v>242</v>
      </c>
      <c r="C28" s="23" t="s">
        <v>243</v>
      </c>
      <c r="D28" s="23" t="s">
        <v>146</v>
      </c>
      <c r="E28" s="28">
        <v>75900</v>
      </c>
      <c r="F28" s="25">
        <v>4116.09</v>
      </c>
      <c r="G28" s="25">
        <v>1.24</v>
      </c>
    </row>
    <row r="29" spans="2:7" x14ac:dyDescent="0.2">
      <c r="B29" s="27" t="s">
        <v>236</v>
      </c>
      <c r="C29" s="23" t="s">
        <v>237</v>
      </c>
      <c r="D29" s="23" t="s">
        <v>100</v>
      </c>
      <c r="E29" s="28">
        <v>945000</v>
      </c>
      <c r="F29" s="25">
        <v>4106.97</v>
      </c>
      <c r="G29" s="25">
        <v>1.24</v>
      </c>
    </row>
    <row r="30" spans="2:7" x14ac:dyDescent="0.2">
      <c r="B30" s="27" t="s">
        <v>134</v>
      </c>
      <c r="C30" s="23" t="s">
        <v>135</v>
      </c>
      <c r="D30" s="23" t="s">
        <v>136</v>
      </c>
      <c r="E30" s="28">
        <v>380000</v>
      </c>
      <c r="F30" s="25">
        <v>4029.52</v>
      </c>
      <c r="G30" s="25">
        <v>1.22</v>
      </c>
    </row>
    <row r="31" spans="2:7" x14ac:dyDescent="0.2">
      <c r="B31" s="27" t="s">
        <v>147</v>
      </c>
      <c r="C31" s="23" t="s">
        <v>148</v>
      </c>
      <c r="D31" s="23" t="s">
        <v>70</v>
      </c>
      <c r="E31" s="28">
        <v>720000</v>
      </c>
      <c r="F31" s="25">
        <v>4015.8</v>
      </c>
      <c r="G31" s="25">
        <v>1.21</v>
      </c>
    </row>
    <row r="32" spans="2:7" x14ac:dyDescent="0.2">
      <c r="B32" s="27" t="s">
        <v>144</v>
      </c>
      <c r="C32" s="23" t="s">
        <v>145</v>
      </c>
      <c r="D32" s="23" t="s">
        <v>146</v>
      </c>
      <c r="E32" s="28">
        <v>88981</v>
      </c>
      <c r="F32" s="25">
        <v>3922.5</v>
      </c>
      <c r="G32" s="25">
        <v>1.19</v>
      </c>
    </row>
    <row r="33" spans="2:7" x14ac:dyDescent="0.2">
      <c r="B33" s="27" t="s">
        <v>149</v>
      </c>
      <c r="C33" s="23" t="s">
        <v>150</v>
      </c>
      <c r="D33" s="23" t="s">
        <v>133</v>
      </c>
      <c r="E33" s="28">
        <v>129600</v>
      </c>
      <c r="F33" s="25">
        <v>3878.54</v>
      </c>
      <c r="G33" s="25">
        <v>1.17</v>
      </c>
    </row>
    <row r="34" spans="2:7" x14ac:dyDescent="0.2">
      <c r="B34" s="27" t="s">
        <v>195</v>
      </c>
      <c r="C34" s="23" t="s">
        <v>196</v>
      </c>
      <c r="D34" s="23" t="s">
        <v>197</v>
      </c>
      <c r="E34" s="28">
        <v>124500</v>
      </c>
      <c r="F34" s="25">
        <v>3834.85</v>
      </c>
      <c r="G34" s="25">
        <v>1.1599999999999999</v>
      </c>
    </row>
    <row r="35" spans="2:7" x14ac:dyDescent="0.2">
      <c r="B35" s="27" t="s">
        <v>68</v>
      </c>
      <c r="C35" s="23" t="s">
        <v>69</v>
      </c>
      <c r="D35" s="23" t="s">
        <v>70</v>
      </c>
      <c r="E35" s="28">
        <v>540994</v>
      </c>
      <c r="F35" s="25">
        <v>3574.62</v>
      </c>
      <c r="G35" s="25">
        <v>1.08</v>
      </c>
    </row>
    <row r="36" spans="2:7" x14ac:dyDescent="0.2">
      <c r="B36" s="27" t="s">
        <v>193</v>
      </c>
      <c r="C36" s="23" t="s">
        <v>194</v>
      </c>
      <c r="D36" s="23" t="s">
        <v>146</v>
      </c>
      <c r="E36" s="28">
        <v>357000</v>
      </c>
      <c r="F36" s="25">
        <v>3469.68</v>
      </c>
      <c r="G36" s="25">
        <v>1.05</v>
      </c>
    </row>
    <row r="37" spans="2:7" x14ac:dyDescent="0.2">
      <c r="B37" s="27" t="s">
        <v>187</v>
      </c>
      <c r="C37" s="23" t="s">
        <v>188</v>
      </c>
      <c r="D37" s="23" t="s">
        <v>136</v>
      </c>
      <c r="E37" s="28">
        <v>505000</v>
      </c>
      <c r="F37" s="25">
        <v>3465.82</v>
      </c>
      <c r="G37" s="25">
        <v>1.05</v>
      </c>
    </row>
    <row r="38" spans="2:7" x14ac:dyDescent="0.2">
      <c r="B38" s="27" t="s">
        <v>210</v>
      </c>
      <c r="C38" s="23" t="s">
        <v>211</v>
      </c>
      <c r="D38" s="23" t="s">
        <v>117</v>
      </c>
      <c r="E38" s="28">
        <v>352000</v>
      </c>
      <c r="F38" s="25">
        <v>3461.92</v>
      </c>
      <c r="G38" s="25">
        <v>1.05</v>
      </c>
    </row>
    <row r="39" spans="2:7" x14ac:dyDescent="0.2">
      <c r="B39" s="27" t="s">
        <v>93</v>
      </c>
      <c r="C39" s="23" t="s">
        <v>94</v>
      </c>
      <c r="D39" s="23" t="s">
        <v>62</v>
      </c>
      <c r="E39" s="28">
        <v>1000000</v>
      </c>
      <c r="F39" s="25">
        <v>3406.5</v>
      </c>
      <c r="G39" s="25">
        <v>1.03</v>
      </c>
    </row>
    <row r="40" spans="2:7" x14ac:dyDescent="0.2">
      <c r="B40" s="27" t="s">
        <v>159</v>
      </c>
      <c r="C40" s="23" t="s">
        <v>160</v>
      </c>
      <c r="D40" s="23" t="s">
        <v>100</v>
      </c>
      <c r="E40" s="28">
        <v>326200</v>
      </c>
      <c r="F40" s="25">
        <v>3335.23</v>
      </c>
      <c r="G40" s="25">
        <v>1.01</v>
      </c>
    </row>
    <row r="41" spans="2:7" x14ac:dyDescent="0.2">
      <c r="B41" s="27" t="s">
        <v>272</v>
      </c>
      <c r="C41" s="23" t="s">
        <v>273</v>
      </c>
      <c r="D41" s="23" t="s">
        <v>128</v>
      </c>
      <c r="E41" s="28">
        <v>220000</v>
      </c>
      <c r="F41" s="25">
        <v>3259.63</v>
      </c>
      <c r="G41" s="25">
        <v>0.99</v>
      </c>
    </row>
    <row r="42" spans="2:7" x14ac:dyDescent="0.2">
      <c r="B42" s="27" t="s">
        <v>95</v>
      </c>
      <c r="C42" s="23" t="s">
        <v>96</v>
      </c>
      <c r="D42" s="23" t="s">
        <v>97</v>
      </c>
      <c r="E42" s="28">
        <v>870000</v>
      </c>
      <c r="F42" s="25">
        <v>3236.84</v>
      </c>
      <c r="G42" s="25">
        <v>0.98</v>
      </c>
    </row>
    <row r="43" spans="2:7" x14ac:dyDescent="0.2">
      <c r="B43" s="27" t="s">
        <v>212</v>
      </c>
      <c r="C43" s="23" t="s">
        <v>213</v>
      </c>
      <c r="D43" s="23" t="s">
        <v>146</v>
      </c>
      <c r="E43" s="28">
        <v>469500</v>
      </c>
      <c r="F43" s="25">
        <v>3171.24</v>
      </c>
      <c r="G43" s="25">
        <v>0.96</v>
      </c>
    </row>
    <row r="44" spans="2:7" x14ac:dyDescent="0.2">
      <c r="B44" s="27" t="s">
        <v>249</v>
      </c>
      <c r="C44" s="23" t="s">
        <v>250</v>
      </c>
      <c r="D44" s="23" t="s">
        <v>62</v>
      </c>
      <c r="E44" s="28">
        <v>205000</v>
      </c>
      <c r="F44" s="25">
        <v>3072.44</v>
      </c>
      <c r="G44" s="25">
        <v>0.93</v>
      </c>
    </row>
    <row r="45" spans="2:7" x14ac:dyDescent="0.2">
      <c r="B45" s="27" t="s">
        <v>185</v>
      </c>
      <c r="C45" s="23" t="s">
        <v>186</v>
      </c>
      <c r="D45" s="23" t="s">
        <v>100</v>
      </c>
      <c r="E45" s="28">
        <v>172200</v>
      </c>
      <c r="F45" s="25">
        <v>2983.37</v>
      </c>
      <c r="G45" s="25">
        <v>0.9</v>
      </c>
    </row>
    <row r="46" spans="2:7" x14ac:dyDescent="0.2">
      <c r="B46" s="27" t="s">
        <v>101</v>
      </c>
      <c r="C46" s="23" t="s">
        <v>102</v>
      </c>
      <c r="D46" s="23" t="s">
        <v>65</v>
      </c>
      <c r="E46" s="28">
        <v>315000</v>
      </c>
      <c r="F46" s="25">
        <v>2833.43</v>
      </c>
      <c r="G46" s="25">
        <v>0.86</v>
      </c>
    </row>
    <row r="47" spans="2:7" x14ac:dyDescent="0.2">
      <c r="B47" s="27" t="s">
        <v>84</v>
      </c>
      <c r="C47" s="23" t="s">
        <v>85</v>
      </c>
      <c r="D47" s="23" t="s">
        <v>86</v>
      </c>
      <c r="E47" s="28">
        <v>235000</v>
      </c>
      <c r="F47" s="25">
        <v>2741.51</v>
      </c>
      <c r="G47" s="25">
        <v>0.83</v>
      </c>
    </row>
    <row r="48" spans="2:7" x14ac:dyDescent="0.2">
      <c r="B48" s="27" t="s">
        <v>293</v>
      </c>
      <c r="C48" s="23" t="s">
        <v>294</v>
      </c>
      <c r="D48" s="23" t="s">
        <v>176</v>
      </c>
      <c r="E48" s="28">
        <v>59000</v>
      </c>
      <c r="F48" s="25">
        <v>2438.9699999999998</v>
      </c>
      <c r="G48" s="25">
        <v>0.74</v>
      </c>
    </row>
    <row r="49" spans="2:9" x14ac:dyDescent="0.2">
      <c r="B49" s="27" t="s">
        <v>220</v>
      </c>
      <c r="C49" s="23" t="s">
        <v>221</v>
      </c>
      <c r="D49" s="23" t="s">
        <v>133</v>
      </c>
      <c r="E49" s="28">
        <v>64094</v>
      </c>
      <c r="F49" s="25">
        <v>2339.21</v>
      </c>
      <c r="G49" s="25">
        <v>0.71</v>
      </c>
    </row>
    <row r="50" spans="2:9" x14ac:dyDescent="0.2">
      <c r="B50" s="27" t="s">
        <v>297</v>
      </c>
      <c r="C50" s="23" t="s">
        <v>298</v>
      </c>
      <c r="D50" s="23" t="s">
        <v>136</v>
      </c>
      <c r="E50" s="28">
        <v>129786</v>
      </c>
      <c r="F50" s="25">
        <v>2033.75</v>
      </c>
      <c r="G50" s="25">
        <v>0.61</v>
      </c>
    </row>
    <row r="51" spans="2:9" x14ac:dyDescent="0.2">
      <c r="B51" s="27" t="s">
        <v>214</v>
      </c>
      <c r="C51" s="23" t="s">
        <v>215</v>
      </c>
      <c r="D51" s="23" t="s">
        <v>146</v>
      </c>
      <c r="E51" s="28">
        <v>11535</v>
      </c>
      <c r="F51" s="25">
        <v>1938.91</v>
      </c>
      <c r="G51" s="25">
        <v>0.59</v>
      </c>
    </row>
    <row r="52" spans="2:9" x14ac:dyDescent="0.2">
      <c r="B52" s="27" t="s">
        <v>206</v>
      </c>
      <c r="C52" s="23" t="s">
        <v>207</v>
      </c>
      <c r="D52" s="23" t="s">
        <v>128</v>
      </c>
      <c r="E52" s="28">
        <v>145000</v>
      </c>
      <c r="F52" s="25">
        <v>1407.08</v>
      </c>
      <c r="G52" s="25">
        <v>0.43</v>
      </c>
    </row>
    <row r="53" spans="2:9" x14ac:dyDescent="0.2">
      <c r="B53" s="27" t="s">
        <v>263</v>
      </c>
      <c r="C53" s="23" t="s">
        <v>264</v>
      </c>
      <c r="D53" s="23" t="s">
        <v>133</v>
      </c>
      <c r="E53" s="28">
        <v>240000</v>
      </c>
      <c r="F53" s="25">
        <v>1380.48</v>
      </c>
      <c r="G53" s="25">
        <v>0.42</v>
      </c>
    </row>
    <row r="54" spans="2:9" x14ac:dyDescent="0.2">
      <c r="B54" s="27" t="s">
        <v>222</v>
      </c>
      <c r="C54" s="23" t="s">
        <v>223</v>
      </c>
      <c r="D54" s="23" t="s">
        <v>100</v>
      </c>
      <c r="E54" s="28">
        <v>56377</v>
      </c>
      <c r="F54" s="25">
        <v>1260.31</v>
      </c>
      <c r="G54" s="25">
        <v>0.38</v>
      </c>
    </row>
    <row r="55" spans="2:9" x14ac:dyDescent="0.2">
      <c r="B55" s="29" t="s">
        <v>110</v>
      </c>
      <c r="C55" s="30"/>
      <c r="D55" s="30"/>
      <c r="E55" s="31"/>
      <c r="F55" s="32">
        <f>SUM(F7:F54)</f>
        <v>310427.4599999999</v>
      </c>
      <c r="G55" s="32">
        <f>SUM(G7:G54)</f>
        <v>93.84999999999998</v>
      </c>
      <c r="H55" s="14"/>
      <c r="I55" s="14"/>
    </row>
    <row r="56" spans="2:9" x14ac:dyDescent="0.2">
      <c r="B56" s="37" t="s">
        <v>111</v>
      </c>
      <c r="C56" s="37"/>
      <c r="D56" s="37"/>
      <c r="E56" s="38"/>
      <c r="F56" s="39">
        <f>F55</f>
        <v>310427.4599999999</v>
      </c>
      <c r="G56" s="39">
        <f>G55</f>
        <v>93.84999999999998</v>
      </c>
      <c r="H56" s="14"/>
      <c r="I56" s="14"/>
    </row>
    <row r="57" spans="2:9" x14ac:dyDescent="0.2">
      <c r="B57" s="46" t="s">
        <v>226</v>
      </c>
      <c r="C57" s="41"/>
      <c r="D57" s="41"/>
      <c r="E57" s="42"/>
      <c r="F57" s="43"/>
      <c r="G57" s="43"/>
    </row>
    <row r="58" spans="2:9" x14ac:dyDescent="0.2">
      <c r="B58" s="47" t="s">
        <v>31</v>
      </c>
      <c r="C58" s="23"/>
      <c r="D58" s="23"/>
      <c r="E58" s="24"/>
      <c r="F58" s="25"/>
      <c r="G58" s="25"/>
    </row>
    <row r="59" spans="2:9" x14ac:dyDescent="0.2">
      <c r="B59" s="23" t="s">
        <v>227</v>
      </c>
      <c r="C59" s="23" t="s">
        <v>228</v>
      </c>
      <c r="D59" s="23" t="s">
        <v>229</v>
      </c>
      <c r="E59" s="28">
        <v>64094</v>
      </c>
      <c r="F59" s="25">
        <v>18.489999999999998</v>
      </c>
      <c r="G59" s="25">
        <v>0.01</v>
      </c>
    </row>
    <row r="60" spans="2:9" x14ac:dyDescent="0.2">
      <c r="B60" s="30" t="s">
        <v>110</v>
      </c>
      <c r="C60" s="30"/>
      <c r="D60" s="30"/>
      <c r="E60" s="31"/>
      <c r="F60" s="32">
        <f>SUM(F58:F59)</f>
        <v>18.489999999999998</v>
      </c>
      <c r="G60" s="32">
        <f>SUM(G58:G59)</f>
        <v>0.01</v>
      </c>
      <c r="H60" s="14"/>
      <c r="I60" s="14"/>
    </row>
    <row r="61" spans="2:9" x14ac:dyDescent="0.2">
      <c r="B61" s="49" t="s">
        <v>111</v>
      </c>
      <c r="C61" s="49"/>
      <c r="D61" s="49"/>
      <c r="E61" s="50"/>
      <c r="F61" s="51">
        <f>F60</f>
        <v>18.489999999999998</v>
      </c>
      <c r="G61" s="51">
        <f>G60</f>
        <v>0.01</v>
      </c>
      <c r="H61" s="14"/>
      <c r="I61" s="14"/>
    </row>
    <row r="62" spans="2:9" x14ac:dyDescent="0.2">
      <c r="B62" s="47" t="s">
        <v>112</v>
      </c>
      <c r="C62" s="23"/>
      <c r="D62" s="23"/>
      <c r="E62" s="24"/>
      <c r="F62" s="25"/>
      <c r="G62" s="25"/>
    </row>
    <row r="63" spans="2:9" x14ac:dyDescent="0.2">
      <c r="B63" s="23" t="s">
        <v>112</v>
      </c>
      <c r="C63" s="23"/>
      <c r="D63" s="23"/>
      <c r="E63" s="24"/>
      <c r="F63" s="25">
        <v>24212.21</v>
      </c>
      <c r="G63" s="25">
        <v>7.32</v>
      </c>
    </row>
    <row r="64" spans="2:9" x14ac:dyDescent="0.2">
      <c r="B64" s="30" t="s">
        <v>110</v>
      </c>
      <c r="C64" s="30"/>
      <c r="D64" s="30"/>
      <c r="E64" s="31"/>
      <c r="F64" s="32">
        <f>SUM(F62:F63)</f>
        <v>24212.21</v>
      </c>
      <c r="G64" s="32">
        <f>SUM(G62:G63)</f>
        <v>7.32</v>
      </c>
      <c r="H64" s="14"/>
      <c r="I64" s="14"/>
    </row>
    <row r="65" spans="2:9" x14ac:dyDescent="0.2">
      <c r="B65" s="34" t="s">
        <v>111</v>
      </c>
      <c r="C65" s="34"/>
      <c r="D65" s="34"/>
      <c r="E65" s="35"/>
      <c r="F65" s="36">
        <f>F64</f>
        <v>24212.21</v>
      </c>
      <c r="G65" s="36">
        <f>G64</f>
        <v>7.32</v>
      </c>
      <c r="H65" s="14"/>
      <c r="I65" s="14"/>
    </row>
    <row r="66" spans="2:9" x14ac:dyDescent="0.2">
      <c r="B66" s="44" t="s">
        <v>114</v>
      </c>
      <c r="C66" s="44"/>
      <c r="D66" s="44"/>
      <c r="E66" s="45"/>
      <c r="F66" s="16">
        <f>F67-(+F56+F61+F65)</f>
        <v>-3848.6699999999255</v>
      </c>
      <c r="G66" s="16">
        <f>G67-(+G56+G61+G65)</f>
        <v>-1.1799999999999784</v>
      </c>
      <c r="H66" s="14"/>
      <c r="I66" s="14"/>
    </row>
    <row r="67" spans="2:9" x14ac:dyDescent="0.2">
      <c r="B67" s="44" t="s">
        <v>113</v>
      </c>
      <c r="C67" s="44"/>
      <c r="D67" s="44"/>
      <c r="E67" s="45"/>
      <c r="F67" s="16">
        <v>330809.49</v>
      </c>
      <c r="G67" s="16">
        <v>100</v>
      </c>
      <c r="H67" s="14"/>
      <c r="I67" s="14"/>
    </row>
    <row r="69" spans="2:9" x14ac:dyDescent="0.2">
      <c r="B69" s="14" t="s">
        <v>758</v>
      </c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1"/>
  <sheetViews>
    <sheetView workbookViewId="0">
      <selection activeCell="D13" sqref="D13"/>
    </sheetView>
  </sheetViews>
  <sheetFormatPr defaultRowHeight="12" x14ac:dyDescent="0.2"/>
  <cols>
    <col min="1" max="1" width="9.140625" style="1"/>
    <col min="2" max="2" width="5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14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63</v>
      </c>
      <c r="C7" s="23" t="s">
        <v>64</v>
      </c>
      <c r="D7" s="23" t="s">
        <v>65</v>
      </c>
      <c r="E7" s="28">
        <v>64710</v>
      </c>
      <c r="F7" s="25">
        <v>3646.02</v>
      </c>
      <c r="G7" s="25">
        <v>2.94</v>
      </c>
    </row>
    <row r="8" spans="2:7" x14ac:dyDescent="0.2">
      <c r="B8" s="27" t="s">
        <v>73</v>
      </c>
      <c r="C8" s="23" t="s">
        <v>74</v>
      </c>
      <c r="D8" s="23" t="s">
        <v>65</v>
      </c>
      <c r="E8" s="28">
        <v>292736</v>
      </c>
      <c r="F8" s="25">
        <v>3635.63</v>
      </c>
      <c r="G8" s="25">
        <v>2.93</v>
      </c>
    </row>
    <row r="9" spans="2:7" x14ac:dyDescent="0.2">
      <c r="B9" s="27" t="s">
        <v>299</v>
      </c>
      <c r="C9" s="23" t="s">
        <v>300</v>
      </c>
      <c r="D9" s="23" t="s">
        <v>65</v>
      </c>
      <c r="E9" s="28">
        <v>1279685</v>
      </c>
      <c r="F9" s="25">
        <v>3583.12</v>
      </c>
      <c r="G9" s="25">
        <v>2.89</v>
      </c>
    </row>
    <row r="10" spans="2:7" x14ac:dyDescent="0.2">
      <c r="B10" s="27" t="s">
        <v>38</v>
      </c>
      <c r="C10" s="23" t="s">
        <v>39</v>
      </c>
      <c r="D10" s="23" t="s">
        <v>40</v>
      </c>
      <c r="E10" s="28">
        <v>1434762</v>
      </c>
      <c r="F10" s="25">
        <v>3422.62</v>
      </c>
      <c r="G10" s="25">
        <v>2.76</v>
      </c>
    </row>
    <row r="11" spans="2:7" x14ac:dyDescent="0.2">
      <c r="B11" s="27" t="s">
        <v>291</v>
      </c>
      <c r="C11" s="23" t="s">
        <v>292</v>
      </c>
      <c r="D11" s="23" t="s">
        <v>276</v>
      </c>
      <c r="E11" s="28">
        <v>119496</v>
      </c>
      <c r="F11" s="25">
        <v>3336.81</v>
      </c>
      <c r="G11" s="25">
        <v>2.69</v>
      </c>
    </row>
    <row r="12" spans="2:7" x14ac:dyDescent="0.2">
      <c r="B12" s="27" t="s">
        <v>232</v>
      </c>
      <c r="C12" s="23" t="s">
        <v>233</v>
      </c>
      <c r="D12" s="23" t="s">
        <v>117</v>
      </c>
      <c r="E12" s="28">
        <v>111530</v>
      </c>
      <c r="F12" s="25">
        <v>3277.7</v>
      </c>
      <c r="G12" s="25">
        <v>2.64</v>
      </c>
    </row>
    <row r="13" spans="2:7" x14ac:dyDescent="0.2">
      <c r="B13" s="27" t="s">
        <v>301</v>
      </c>
      <c r="C13" s="23" t="s">
        <v>302</v>
      </c>
      <c r="D13" s="23" t="s">
        <v>97</v>
      </c>
      <c r="E13" s="28">
        <v>4110000</v>
      </c>
      <c r="F13" s="25">
        <v>3220.19</v>
      </c>
      <c r="G13" s="25">
        <v>2.59</v>
      </c>
    </row>
    <row r="14" spans="2:7" x14ac:dyDescent="0.2">
      <c r="B14" s="27" t="s">
        <v>198</v>
      </c>
      <c r="C14" s="23" t="s">
        <v>199</v>
      </c>
      <c r="D14" s="23" t="s">
        <v>65</v>
      </c>
      <c r="E14" s="28">
        <v>422500</v>
      </c>
      <c r="F14" s="25">
        <v>3219.03</v>
      </c>
      <c r="G14" s="25">
        <v>2.59</v>
      </c>
    </row>
    <row r="15" spans="2:7" x14ac:dyDescent="0.2">
      <c r="B15" s="27" t="s">
        <v>50</v>
      </c>
      <c r="C15" s="23" t="s">
        <v>51</v>
      </c>
      <c r="D15" s="23" t="s">
        <v>40</v>
      </c>
      <c r="E15" s="28">
        <v>1104191</v>
      </c>
      <c r="F15" s="25">
        <v>3185.04</v>
      </c>
      <c r="G15" s="25">
        <v>2.57</v>
      </c>
    </row>
    <row r="16" spans="2:7" x14ac:dyDescent="0.2">
      <c r="B16" s="27" t="s">
        <v>303</v>
      </c>
      <c r="C16" s="23" t="s">
        <v>304</v>
      </c>
      <c r="D16" s="23" t="s">
        <v>280</v>
      </c>
      <c r="E16" s="28">
        <v>204729</v>
      </c>
      <c r="F16" s="25">
        <v>3116.49</v>
      </c>
      <c r="G16" s="25">
        <v>2.5099999999999998</v>
      </c>
    </row>
    <row r="17" spans="2:7" x14ac:dyDescent="0.2">
      <c r="B17" s="27" t="s">
        <v>283</v>
      </c>
      <c r="C17" s="23" t="s">
        <v>284</v>
      </c>
      <c r="D17" s="23" t="s">
        <v>276</v>
      </c>
      <c r="E17" s="28">
        <v>340873</v>
      </c>
      <c r="F17" s="25">
        <v>2909.86</v>
      </c>
      <c r="G17" s="25">
        <v>2.34</v>
      </c>
    </row>
    <row r="18" spans="2:7" x14ac:dyDescent="0.2">
      <c r="B18" s="27" t="s">
        <v>202</v>
      </c>
      <c r="C18" s="23" t="s">
        <v>203</v>
      </c>
      <c r="D18" s="23" t="s">
        <v>128</v>
      </c>
      <c r="E18" s="28">
        <v>551000</v>
      </c>
      <c r="F18" s="25">
        <v>2884.76</v>
      </c>
      <c r="G18" s="25">
        <v>2.3199999999999998</v>
      </c>
    </row>
    <row r="19" spans="2:7" x14ac:dyDescent="0.2">
      <c r="B19" s="27" t="s">
        <v>305</v>
      </c>
      <c r="C19" s="23" t="s">
        <v>306</v>
      </c>
      <c r="D19" s="23" t="s">
        <v>155</v>
      </c>
      <c r="E19" s="28">
        <v>864559</v>
      </c>
      <c r="F19" s="25">
        <v>2808.95</v>
      </c>
      <c r="G19" s="25">
        <v>2.2599999999999998</v>
      </c>
    </row>
    <row r="20" spans="2:7" x14ac:dyDescent="0.2">
      <c r="B20" s="27" t="s">
        <v>307</v>
      </c>
      <c r="C20" s="23" t="s">
        <v>308</v>
      </c>
      <c r="D20" s="23" t="s">
        <v>49</v>
      </c>
      <c r="E20" s="28">
        <v>714500</v>
      </c>
      <c r="F20" s="25">
        <v>2778.33</v>
      </c>
      <c r="G20" s="25">
        <v>2.2400000000000002</v>
      </c>
    </row>
    <row r="21" spans="2:7" x14ac:dyDescent="0.2">
      <c r="B21" s="27" t="s">
        <v>309</v>
      </c>
      <c r="C21" s="23" t="s">
        <v>310</v>
      </c>
      <c r="D21" s="23" t="s">
        <v>100</v>
      </c>
      <c r="E21" s="28">
        <v>60522</v>
      </c>
      <c r="F21" s="25">
        <v>2714.23</v>
      </c>
      <c r="G21" s="25">
        <v>2.19</v>
      </c>
    </row>
    <row r="22" spans="2:7" x14ac:dyDescent="0.2">
      <c r="B22" s="27" t="s">
        <v>311</v>
      </c>
      <c r="C22" s="23" t="s">
        <v>312</v>
      </c>
      <c r="D22" s="23" t="s">
        <v>65</v>
      </c>
      <c r="E22" s="28">
        <v>833505</v>
      </c>
      <c r="F22" s="25">
        <v>2663.88</v>
      </c>
      <c r="G22" s="25">
        <v>2.15</v>
      </c>
    </row>
    <row r="23" spans="2:7" x14ac:dyDescent="0.2">
      <c r="B23" s="27" t="s">
        <v>313</v>
      </c>
      <c r="C23" s="23" t="s">
        <v>314</v>
      </c>
      <c r="D23" s="23" t="s">
        <v>276</v>
      </c>
      <c r="E23" s="28">
        <v>263016</v>
      </c>
      <c r="F23" s="25">
        <v>2573.7399999999998</v>
      </c>
      <c r="G23" s="25">
        <v>2.0699999999999998</v>
      </c>
    </row>
    <row r="24" spans="2:7" x14ac:dyDescent="0.2">
      <c r="B24" s="27" t="s">
        <v>315</v>
      </c>
      <c r="C24" s="23" t="s">
        <v>316</v>
      </c>
      <c r="D24" s="23" t="s">
        <v>100</v>
      </c>
      <c r="E24" s="28">
        <v>1272584</v>
      </c>
      <c r="F24" s="25">
        <v>2540.71</v>
      </c>
      <c r="G24" s="25">
        <v>2.0499999999999998</v>
      </c>
    </row>
    <row r="25" spans="2:7" x14ac:dyDescent="0.2">
      <c r="B25" s="27" t="s">
        <v>317</v>
      </c>
      <c r="C25" s="23" t="s">
        <v>318</v>
      </c>
      <c r="D25" s="23" t="s">
        <v>128</v>
      </c>
      <c r="E25" s="28">
        <v>305411</v>
      </c>
      <c r="F25" s="25">
        <v>2290.58</v>
      </c>
      <c r="G25" s="25">
        <v>1.84</v>
      </c>
    </row>
    <row r="26" spans="2:7" x14ac:dyDescent="0.2">
      <c r="B26" s="27" t="s">
        <v>52</v>
      </c>
      <c r="C26" s="23" t="s">
        <v>53</v>
      </c>
      <c r="D26" s="23" t="s">
        <v>46</v>
      </c>
      <c r="E26" s="28">
        <v>5425</v>
      </c>
      <c r="F26" s="25">
        <v>2269.35</v>
      </c>
      <c r="G26" s="25">
        <v>1.83</v>
      </c>
    </row>
    <row r="27" spans="2:7" x14ac:dyDescent="0.2">
      <c r="B27" s="27" t="s">
        <v>236</v>
      </c>
      <c r="C27" s="23" t="s">
        <v>237</v>
      </c>
      <c r="D27" s="23" t="s">
        <v>100</v>
      </c>
      <c r="E27" s="28">
        <v>520745</v>
      </c>
      <c r="F27" s="25">
        <v>2263.16</v>
      </c>
      <c r="G27" s="25">
        <v>1.82</v>
      </c>
    </row>
    <row r="28" spans="2:7" x14ac:dyDescent="0.2">
      <c r="B28" s="27" t="s">
        <v>319</v>
      </c>
      <c r="C28" s="23" t="s">
        <v>320</v>
      </c>
      <c r="D28" s="23" t="s">
        <v>173</v>
      </c>
      <c r="E28" s="28">
        <v>74351</v>
      </c>
      <c r="F28" s="25">
        <v>2247.59</v>
      </c>
      <c r="G28" s="25">
        <v>1.81</v>
      </c>
    </row>
    <row r="29" spans="2:7" x14ac:dyDescent="0.2">
      <c r="B29" s="27" t="s">
        <v>98</v>
      </c>
      <c r="C29" s="23" t="s">
        <v>99</v>
      </c>
      <c r="D29" s="23" t="s">
        <v>100</v>
      </c>
      <c r="E29" s="28">
        <v>50720</v>
      </c>
      <c r="F29" s="25">
        <v>2242.36</v>
      </c>
      <c r="G29" s="25">
        <v>1.81</v>
      </c>
    </row>
    <row r="30" spans="2:7" x14ac:dyDescent="0.2">
      <c r="B30" s="27" t="s">
        <v>257</v>
      </c>
      <c r="C30" s="23" t="s">
        <v>258</v>
      </c>
      <c r="D30" s="23" t="s">
        <v>128</v>
      </c>
      <c r="E30" s="28">
        <v>471000</v>
      </c>
      <c r="F30" s="25">
        <v>2213.6999999999998</v>
      </c>
      <c r="G30" s="25">
        <v>1.78</v>
      </c>
    </row>
    <row r="31" spans="2:7" x14ac:dyDescent="0.2">
      <c r="B31" s="27" t="s">
        <v>267</v>
      </c>
      <c r="C31" s="23" t="s">
        <v>268</v>
      </c>
      <c r="D31" s="23" t="s">
        <v>269</v>
      </c>
      <c r="E31" s="28">
        <v>355000</v>
      </c>
      <c r="F31" s="25">
        <v>2183.96</v>
      </c>
      <c r="G31" s="25">
        <v>1.76</v>
      </c>
    </row>
    <row r="32" spans="2:7" x14ac:dyDescent="0.2">
      <c r="B32" s="27" t="s">
        <v>321</v>
      </c>
      <c r="C32" s="23" t="s">
        <v>322</v>
      </c>
      <c r="D32" s="23" t="s">
        <v>37</v>
      </c>
      <c r="E32" s="28">
        <v>1500000</v>
      </c>
      <c r="F32" s="25">
        <v>2170.5</v>
      </c>
      <c r="G32" s="25">
        <v>1.75</v>
      </c>
    </row>
    <row r="33" spans="2:7" x14ac:dyDescent="0.2">
      <c r="B33" s="27" t="s">
        <v>323</v>
      </c>
      <c r="C33" s="23" t="s">
        <v>324</v>
      </c>
      <c r="D33" s="23" t="s">
        <v>49</v>
      </c>
      <c r="E33" s="28">
        <v>759224</v>
      </c>
      <c r="F33" s="25">
        <v>2143.29</v>
      </c>
      <c r="G33" s="25">
        <v>1.73</v>
      </c>
    </row>
    <row r="34" spans="2:7" x14ac:dyDescent="0.2">
      <c r="B34" s="27" t="s">
        <v>325</v>
      </c>
      <c r="C34" s="23" t="s">
        <v>326</v>
      </c>
      <c r="D34" s="23" t="s">
        <v>276</v>
      </c>
      <c r="E34" s="28">
        <v>233142</v>
      </c>
      <c r="F34" s="25">
        <v>2099.44</v>
      </c>
      <c r="G34" s="25">
        <v>1.69</v>
      </c>
    </row>
    <row r="35" spans="2:7" x14ac:dyDescent="0.2">
      <c r="B35" s="27" t="s">
        <v>327</v>
      </c>
      <c r="C35" s="23" t="s">
        <v>328</v>
      </c>
      <c r="D35" s="23" t="s">
        <v>133</v>
      </c>
      <c r="E35" s="28">
        <v>590000</v>
      </c>
      <c r="F35" s="25">
        <v>2098.63</v>
      </c>
      <c r="G35" s="25">
        <v>1.69</v>
      </c>
    </row>
    <row r="36" spans="2:7" x14ac:dyDescent="0.2">
      <c r="B36" s="27" t="s">
        <v>82</v>
      </c>
      <c r="C36" s="23" t="s">
        <v>83</v>
      </c>
      <c r="D36" s="23" t="s">
        <v>65</v>
      </c>
      <c r="E36" s="28">
        <v>140771</v>
      </c>
      <c r="F36" s="25">
        <v>2068.42</v>
      </c>
      <c r="G36" s="25">
        <v>1.67</v>
      </c>
    </row>
    <row r="37" spans="2:7" x14ac:dyDescent="0.2">
      <c r="B37" s="27" t="s">
        <v>47</v>
      </c>
      <c r="C37" s="23" t="s">
        <v>48</v>
      </c>
      <c r="D37" s="23" t="s">
        <v>49</v>
      </c>
      <c r="E37" s="28">
        <v>143353</v>
      </c>
      <c r="F37" s="25">
        <v>2062.92</v>
      </c>
      <c r="G37" s="25">
        <v>1.66</v>
      </c>
    </row>
    <row r="38" spans="2:7" x14ac:dyDescent="0.2">
      <c r="B38" s="27" t="s">
        <v>329</v>
      </c>
      <c r="C38" s="23" t="s">
        <v>330</v>
      </c>
      <c r="D38" s="23" t="s">
        <v>133</v>
      </c>
      <c r="E38" s="28">
        <v>478000</v>
      </c>
      <c r="F38" s="25">
        <v>2038.43</v>
      </c>
      <c r="G38" s="25">
        <v>1.64</v>
      </c>
    </row>
    <row r="39" spans="2:7" x14ac:dyDescent="0.2">
      <c r="B39" s="27" t="s">
        <v>331</v>
      </c>
      <c r="C39" s="23" t="s">
        <v>332</v>
      </c>
      <c r="D39" s="23" t="s">
        <v>158</v>
      </c>
      <c r="E39" s="28">
        <v>648968</v>
      </c>
      <c r="F39" s="25">
        <v>2004.66</v>
      </c>
      <c r="G39" s="25">
        <v>1.61</v>
      </c>
    </row>
    <row r="40" spans="2:7" x14ac:dyDescent="0.2">
      <c r="B40" s="27" t="s">
        <v>89</v>
      </c>
      <c r="C40" s="23" t="s">
        <v>90</v>
      </c>
      <c r="D40" s="23" t="s">
        <v>40</v>
      </c>
      <c r="E40" s="28">
        <v>328150</v>
      </c>
      <c r="F40" s="25">
        <v>1984.32</v>
      </c>
      <c r="G40" s="25">
        <v>1.6</v>
      </c>
    </row>
    <row r="41" spans="2:7" x14ac:dyDescent="0.2">
      <c r="B41" s="27" t="s">
        <v>333</v>
      </c>
      <c r="C41" s="23" t="s">
        <v>334</v>
      </c>
      <c r="D41" s="23" t="s">
        <v>173</v>
      </c>
      <c r="E41" s="28">
        <v>879870</v>
      </c>
      <c r="F41" s="25">
        <v>1905.36</v>
      </c>
      <c r="G41" s="25">
        <v>1.53</v>
      </c>
    </row>
    <row r="42" spans="2:7" x14ac:dyDescent="0.2">
      <c r="B42" s="27" t="s">
        <v>335</v>
      </c>
      <c r="C42" s="23" t="s">
        <v>336</v>
      </c>
      <c r="D42" s="23" t="s">
        <v>65</v>
      </c>
      <c r="E42" s="28">
        <v>395621</v>
      </c>
      <c r="F42" s="25">
        <v>1893.24</v>
      </c>
      <c r="G42" s="25">
        <v>1.52</v>
      </c>
    </row>
    <row r="43" spans="2:7" x14ac:dyDescent="0.2">
      <c r="B43" s="27" t="s">
        <v>337</v>
      </c>
      <c r="C43" s="23" t="s">
        <v>338</v>
      </c>
      <c r="D43" s="23" t="s">
        <v>139</v>
      </c>
      <c r="E43" s="28">
        <v>66922</v>
      </c>
      <c r="F43" s="25">
        <v>1874.05</v>
      </c>
      <c r="G43" s="25">
        <v>1.51</v>
      </c>
    </row>
    <row r="44" spans="2:7" x14ac:dyDescent="0.2">
      <c r="B44" s="27" t="s">
        <v>339</v>
      </c>
      <c r="C44" s="23" t="s">
        <v>340</v>
      </c>
      <c r="D44" s="23" t="s">
        <v>341</v>
      </c>
      <c r="E44" s="28">
        <v>51700</v>
      </c>
      <c r="F44" s="25">
        <v>1870.17</v>
      </c>
      <c r="G44" s="25">
        <v>1.51</v>
      </c>
    </row>
    <row r="45" spans="2:7" x14ac:dyDescent="0.2">
      <c r="B45" s="27" t="s">
        <v>342</v>
      </c>
      <c r="C45" s="23" t="s">
        <v>343</v>
      </c>
      <c r="D45" s="23" t="s">
        <v>37</v>
      </c>
      <c r="E45" s="28">
        <v>1786283</v>
      </c>
      <c r="F45" s="25">
        <v>1848.8</v>
      </c>
      <c r="G45" s="25">
        <v>1.49</v>
      </c>
    </row>
    <row r="46" spans="2:7" x14ac:dyDescent="0.2">
      <c r="B46" s="27" t="s">
        <v>58</v>
      </c>
      <c r="C46" s="23" t="s">
        <v>59</v>
      </c>
      <c r="D46" s="23" t="s">
        <v>40</v>
      </c>
      <c r="E46" s="28">
        <v>362124</v>
      </c>
      <c r="F46" s="25">
        <v>1705.79</v>
      </c>
      <c r="G46" s="25">
        <v>1.37</v>
      </c>
    </row>
    <row r="47" spans="2:7" x14ac:dyDescent="0.2">
      <c r="B47" s="27" t="s">
        <v>56</v>
      </c>
      <c r="C47" s="23" t="s">
        <v>57</v>
      </c>
      <c r="D47" s="23" t="s">
        <v>40</v>
      </c>
      <c r="E47" s="28">
        <v>393000</v>
      </c>
      <c r="F47" s="25">
        <v>1617</v>
      </c>
      <c r="G47" s="25">
        <v>1.3</v>
      </c>
    </row>
    <row r="48" spans="2:7" x14ac:dyDescent="0.2">
      <c r="B48" s="27" t="s">
        <v>344</v>
      </c>
      <c r="C48" s="23" t="s">
        <v>345</v>
      </c>
      <c r="D48" s="23" t="s">
        <v>173</v>
      </c>
      <c r="E48" s="28">
        <v>87175</v>
      </c>
      <c r="F48" s="25">
        <v>1576.6</v>
      </c>
      <c r="G48" s="25">
        <v>1.27</v>
      </c>
    </row>
    <row r="49" spans="2:9" x14ac:dyDescent="0.2">
      <c r="B49" s="27" t="s">
        <v>346</v>
      </c>
      <c r="C49" s="23" t="s">
        <v>347</v>
      </c>
      <c r="D49" s="23" t="s">
        <v>173</v>
      </c>
      <c r="E49" s="28">
        <v>53712</v>
      </c>
      <c r="F49" s="25">
        <v>1554.69</v>
      </c>
      <c r="G49" s="25">
        <v>1.25</v>
      </c>
    </row>
    <row r="50" spans="2:9" x14ac:dyDescent="0.2">
      <c r="B50" s="27" t="s">
        <v>348</v>
      </c>
      <c r="C50" s="23" t="s">
        <v>349</v>
      </c>
      <c r="D50" s="23" t="s">
        <v>276</v>
      </c>
      <c r="E50" s="28">
        <v>179897</v>
      </c>
      <c r="F50" s="25">
        <v>1543.7</v>
      </c>
      <c r="G50" s="25">
        <v>1.24</v>
      </c>
    </row>
    <row r="51" spans="2:9" x14ac:dyDescent="0.2">
      <c r="B51" s="27" t="s">
        <v>350</v>
      </c>
      <c r="C51" s="23" t="s">
        <v>351</v>
      </c>
      <c r="D51" s="23" t="s">
        <v>49</v>
      </c>
      <c r="E51" s="28">
        <v>26296</v>
      </c>
      <c r="F51" s="25">
        <v>1524.42</v>
      </c>
      <c r="G51" s="25">
        <v>1.23</v>
      </c>
    </row>
    <row r="52" spans="2:9" x14ac:dyDescent="0.2">
      <c r="B52" s="27" t="s">
        <v>259</v>
      </c>
      <c r="C52" s="23" t="s">
        <v>260</v>
      </c>
      <c r="D52" s="23" t="s">
        <v>139</v>
      </c>
      <c r="E52" s="28">
        <v>705000</v>
      </c>
      <c r="F52" s="25">
        <v>1521.04</v>
      </c>
      <c r="G52" s="25">
        <v>1.23</v>
      </c>
    </row>
    <row r="53" spans="2:9" x14ac:dyDescent="0.2">
      <c r="B53" s="27" t="s">
        <v>352</v>
      </c>
      <c r="C53" s="23" t="s">
        <v>353</v>
      </c>
      <c r="D53" s="23" t="s">
        <v>100</v>
      </c>
      <c r="E53" s="28">
        <v>370000</v>
      </c>
      <c r="F53" s="25">
        <v>1482.04</v>
      </c>
      <c r="G53" s="25">
        <v>1.19</v>
      </c>
    </row>
    <row r="54" spans="2:9" x14ac:dyDescent="0.2">
      <c r="B54" s="27" t="s">
        <v>166</v>
      </c>
      <c r="C54" s="23" t="s">
        <v>167</v>
      </c>
      <c r="D54" s="23" t="s">
        <v>158</v>
      </c>
      <c r="E54" s="28">
        <v>225000</v>
      </c>
      <c r="F54" s="25">
        <v>1440.9</v>
      </c>
      <c r="G54" s="25">
        <v>1.1599999999999999</v>
      </c>
    </row>
    <row r="55" spans="2:9" x14ac:dyDescent="0.2">
      <c r="B55" s="27" t="s">
        <v>354</v>
      </c>
      <c r="C55" s="23" t="s">
        <v>355</v>
      </c>
      <c r="D55" s="23" t="s">
        <v>105</v>
      </c>
      <c r="E55" s="28">
        <v>312630</v>
      </c>
      <c r="F55" s="25">
        <v>1415.59</v>
      </c>
      <c r="G55" s="25">
        <v>1.1399999999999999</v>
      </c>
    </row>
    <row r="56" spans="2:9" x14ac:dyDescent="0.2">
      <c r="B56" s="27" t="s">
        <v>356</v>
      </c>
      <c r="C56" s="23" t="s">
        <v>357</v>
      </c>
      <c r="D56" s="23" t="s">
        <v>128</v>
      </c>
      <c r="E56" s="28">
        <v>78780</v>
      </c>
      <c r="F56" s="25">
        <v>1349.54</v>
      </c>
      <c r="G56" s="25">
        <v>1.0900000000000001</v>
      </c>
    </row>
    <row r="57" spans="2:9" x14ac:dyDescent="0.2">
      <c r="B57" s="27" t="s">
        <v>358</v>
      </c>
      <c r="C57" s="23" t="s">
        <v>359</v>
      </c>
      <c r="D57" s="23" t="s">
        <v>276</v>
      </c>
      <c r="E57" s="28">
        <v>353000</v>
      </c>
      <c r="F57" s="25">
        <v>1324.28</v>
      </c>
      <c r="G57" s="25">
        <v>1.07</v>
      </c>
    </row>
    <row r="58" spans="2:9" x14ac:dyDescent="0.2">
      <c r="B58" s="27" t="s">
        <v>360</v>
      </c>
      <c r="C58" s="23" t="s">
        <v>361</v>
      </c>
      <c r="D58" s="23" t="s">
        <v>100</v>
      </c>
      <c r="E58" s="28">
        <v>106297</v>
      </c>
      <c r="F58" s="25">
        <v>1299.27</v>
      </c>
      <c r="G58" s="25">
        <v>1.05</v>
      </c>
    </row>
    <row r="59" spans="2:9" x14ac:dyDescent="0.2">
      <c r="B59" s="27" t="s">
        <v>75</v>
      </c>
      <c r="C59" s="23" t="s">
        <v>76</v>
      </c>
      <c r="D59" s="23" t="s">
        <v>46</v>
      </c>
      <c r="E59" s="28">
        <v>73669</v>
      </c>
      <c r="F59" s="25">
        <v>1093.54</v>
      </c>
      <c r="G59" s="25">
        <v>0.88</v>
      </c>
    </row>
    <row r="60" spans="2:9" x14ac:dyDescent="0.2">
      <c r="B60" s="27" t="s">
        <v>362</v>
      </c>
      <c r="C60" s="23" t="s">
        <v>363</v>
      </c>
      <c r="D60" s="23" t="s">
        <v>276</v>
      </c>
      <c r="E60" s="28">
        <v>33152</v>
      </c>
      <c r="F60" s="25">
        <v>1080.22</v>
      </c>
      <c r="G60" s="25">
        <v>0.87</v>
      </c>
    </row>
    <row r="61" spans="2:9" x14ac:dyDescent="0.2">
      <c r="B61" s="27" t="s">
        <v>364</v>
      </c>
      <c r="C61" s="23" t="s">
        <v>365</v>
      </c>
      <c r="D61" s="23" t="s">
        <v>81</v>
      </c>
      <c r="E61" s="28">
        <v>75494</v>
      </c>
      <c r="F61" s="25">
        <v>518.34</v>
      </c>
      <c r="G61" s="25">
        <v>0.42</v>
      </c>
    </row>
    <row r="62" spans="2:9" x14ac:dyDescent="0.2">
      <c r="B62" s="29" t="s">
        <v>110</v>
      </c>
      <c r="C62" s="30"/>
      <c r="D62" s="30"/>
      <c r="E62" s="31"/>
      <c r="F62" s="32">
        <f>SUM(F7:F61)</f>
        <v>121336.99999999997</v>
      </c>
      <c r="G62" s="32">
        <f>SUM(G7:G61)</f>
        <v>97.739999999999981</v>
      </c>
      <c r="H62" s="14"/>
      <c r="I62" s="14"/>
    </row>
    <row r="63" spans="2:9" x14ac:dyDescent="0.2">
      <c r="B63" s="37" t="s">
        <v>111</v>
      </c>
      <c r="C63" s="37"/>
      <c r="D63" s="37"/>
      <c r="E63" s="38"/>
      <c r="F63" s="39">
        <f>F62</f>
        <v>121336.99999999997</v>
      </c>
      <c r="G63" s="39">
        <f>G62</f>
        <v>97.739999999999981</v>
      </c>
      <c r="H63" s="14"/>
      <c r="I63" s="14"/>
    </row>
    <row r="64" spans="2:9" x14ac:dyDescent="0.2">
      <c r="B64" s="40" t="s">
        <v>112</v>
      </c>
      <c r="C64" s="41"/>
      <c r="D64" s="41"/>
      <c r="E64" s="42"/>
      <c r="F64" s="43"/>
      <c r="G64" s="43"/>
    </row>
    <row r="65" spans="2:9" x14ac:dyDescent="0.2">
      <c r="B65" s="27" t="s">
        <v>112</v>
      </c>
      <c r="C65" s="23"/>
      <c r="D65" s="23"/>
      <c r="E65" s="24"/>
      <c r="F65" s="25">
        <v>3247.07</v>
      </c>
      <c r="G65" s="25">
        <v>2.62</v>
      </c>
    </row>
    <row r="66" spans="2:9" x14ac:dyDescent="0.2">
      <c r="B66" s="29" t="s">
        <v>110</v>
      </c>
      <c r="C66" s="30"/>
      <c r="D66" s="30"/>
      <c r="E66" s="31"/>
      <c r="F66" s="32">
        <f>SUM(F64:F65)</f>
        <v>3247.07</v>
      </c>
      <c r="G66" s="32">
        <f>SUM(G64:G65)</f>
        <v>2.62</v>
      </c>
      <c r="H66" s="14"/>
      <c r="I66" s="14"/>
    </row>
    <row r="67" spans="2:9" x14ac:dyDescent="0.2">
      <c r="B67" s="34" t="s">
        <v>111</v>
      </c>
      <c r="C67" s="34"/>
      <c r="D67" s="34"/>
      <c r="E67" s="35"/>
      <c r="F67" s="36">
        <f>F66</f>
        <v>3247.07</v>
      </c>
      <c r="G67" s="36">
        <f>G66</f>
        <v>2.62</v>
      </c>
      <c r="H67" s="14"/>
      <c r="I67" s="14"/>
    </row>
    <row r="68" spans="2:9" x14ac:dyDescent="0.2">
      <c r="B68" s="44" t="s">
        <v>114</v>
      </c>
      <c r="C68" s="44"/>
      <c r="D68" s="44"/>
      <c r="E68" s="45"/>
      <c r="F68" s="16">
        <f>F69-(+F63+F67)</f>
        <v>-431.75999999998021</v>
      </c>
      <c r="G68" s="16">
        <f>G69-(+G63+G67)</f>
        <v>-0.35999999999998522</v>
      </c>
      <c r="H68" s="14"/>
      <c r="I68" s="14"/>
    </row>
    <row r="69" spans="2:9" x14ac:dyDescent="0.2">
      <c r="B69" s="44" t="s">
        <v>113</v>
      </c>
      <c r="C69" s="44"/>
      <c r="D69" s="44"/>
      <c r="E69" s="45"/>
      <c r="F69" s="16">
        <v>124152.31</v>
      </c>
      <c r="G69" s="16">
        <v>100</v>
      </c>
      <c r="H69" s="14"/>
      <c r="I69" s="14"/>
    </row>
    <row r="71" spans="2:9" x14ac:dyDescent="0.2">
      <c r="B7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5"/>
  <sheetViews>
    <sheetView workbookViewId="0">
      <selection activeCell="B1" sqref="B1:G1"/>
    </sheetView>
  </sheetViews>
  <sheetFormatPr defaultRowHeight="12" x14ac:dyDescent="0.2"/>
  <cols>
    <col min="1" max="1" width="9.140625" style="1"/>
    <col min="2" max="2" width="55" style="1" bestFit="1" customWidth="1"/>
    <col min="3" max="3" width="13.57031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15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30</v>
      </c>
      <c r="C5" s="18"/>
      <c r="D5" s="18"/>
      <c r="E5" s="19"/>
      <c r="F5" s="20"/>
      <c r="G5" s="20"/>
    </row>
    <row r="6" spans="2:7" x14ac:dyDescent="0.2">
      <c r="B6" s="22" t="s">
        <v>31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37</v>
      </c>
      <c r="E7" s="28">
        <v>480000</v>
      </c>
      <c r="F7" s="25">
        <v>7189.92</v>
      </c>
      <c r="G7" s="25">
        <v>8.26</v>
      </c>
    </row>
    <row r="8" spans="2:7" x14ac:dyDescent="0.2">
      <c r="B8" s="27" t="s">
        <v>115</v>
      </c>
      <c r="C8" s="23" t="s">
        <v>116</v>
      </c>
      <c r="D8" s="23" t="s">
        <v>117</v>
      </c>
      <c r="E8" s="28">
        <v>402000</v>
      </c>
      <c r="F8" s="25">
        <v>6354.82</v>
      </c>
      <c r="G8" s="25">
        <v>7.3</v>
      </c>
    </row>
    <row r="9" spans="2:7" x14ac:dyDescent="0.2">
      <c r="B9" s="27" t="s">
        <v>35</v>
      </c>
      <c r="C9" s="23" t="s">
        <v>36</v>
      </c>
      <c r="D9" s="23" t="s">
        <v>37</v>
      </c>
      <c r="E9" s="28">
        <v>965000</v>
      </c>
      <c r="F9" s="25">
        <v>6088.19</v>
      </c>
      <c r="G9" s="25">
        <v>7</v>
      </c>
    </row>
    <row r="10" spans="2:7" x14ac:dyDescent="0.2">
      <c r="B10" s="27" t="s">
        <v>120</v>
      </c>
      <c r="C10" s="23" t="s">
        <v>121</v>
      </c>
      <c r="D10" s="23" t="s">
        <v>117</v>
      </c>
      <c r="E10" s="28">
        <v>117000</v>
      </c>
      <c r="F10" s="25">
        <v>3914.53</v>
      </c>
      <c r="G10" s="25">
        <v>4.5</v>
      </c>
    </row>
    <row r="11" spans="2:7" x14ac:dyDescent="0.2">
      <c r="B11" s="27" t="s">
        <v>124</v>
      </c>
      <c r="C11" s="23" t="s">
        <v>125</v>
      </c>
      <c r="D11" s="23" t="s">
        <v>37</v>
      </c>
      <c r="E11" s="28">
        <v>495000</v>
      </c>
      <c r="F11" s="25">
        <v>3704.09</v>
      </c>
      <c r="G11" s="25">
        <v>4.26</v>
      </c>
    </row>
    <row r="12" spans="2:7" x14ac:dyDescent="0.2">
      <c r="B12" s="27" t="s">
        <v>54</v>
      </c>
      <c r="C12" s="23" t="s">
        <v>55</v>
      </c>
      <c r="D12" s="23" t="s">
        <v>37</v>
      </c>
      <c r="E12" s="28">
        <v>855000</v>
      </c>
      <c r="F12" s="25">
        <v>3584.16</v>
      </c>
      <c r="G12" s="25">
        <v>4.12</v>
      </c>
    </row>
    <row r="13" spans="2:7" x14ac:dyDescent="0.2">
      <c r="B13" s="27" t="s">
        <v>137</v>
      </c>
      <c r="C13" s="23" t="s">
        <v>138</v>
      </c>
      <c r="D13" s="23" t="s">
        <v>139</v>
      </c>
      <c r="E13" s="28">
        <v>106500</v>
      </c>
      <c r="F13" s="25">
        <v>3561.47</v>
      </c>
      <c r="G13" s="25">
        <v>4.09</v>
      </c>
    </row>
    <row r="14" spans="2:7" x14ac:dyDescent="0.2">
      <c r="B14" s="27" t="s">
        <v>126</v>
      </c>
      <c r="C14" s="23" t="s">
        <v>127</v>
      </c>
      <c r="D14" s="23" t="s">
        <v>128</v>
      </c>
      <c r="E14" s="28">
        <v>57500</v>
      </c>
      <c r="F14" s="25">
        <v>3459.11</v>
      </c>
      <c r="G14" s="25">
        <v>3.98</v>
      </c>
    </row>
    <row r="15" spans="2:7" x14ac:dyDescent="0.2">
      <c r="B15" s="27" t="s">
        <v>32</v>
      </c>
      <c r="C15" s="23" t="s">
        <v>33</v>
      </c>
      <c r="D15" s="23" t="s">
        <v>34</v>
      </c>
      <c r="E15" s="28">
        <v>230000</v>
      </c>
      <c r="F15" s="25">
        <v>3451.27</v>
      </c>
      <c r="G15" s="25">
        <v>3.97</v>
      </c>
    </row>
    <row r="16" spans="2:7" x14ac:dyDescent="0.2">
      <c r="B16" s="27" t="s">
        <v>60</v>
      </c>
      <c r="C16" s="23" t="s">
        <v>61</v>
      </c>
      <c r="D16" s="23" t="s">
        <v>62</v>
      </c>
      <c r="E16" s="28">
        <v>40000</v>
      </c>
      <c r="F16" s="25">
        <v>2710.4</v>
      </c>
      <c r="G16" s="25">
        <v>3.12</v>
      </c>
    </row>
    <row r="17" spans="2:7" x14ac:dyDescent="0.2">
      <c r="B17" s="27" t="s">
        <v>164</v>
      </c>
      <c r="C17" s="23" t="s">
        <v>165</v>
      </c>
      <c r="D17" s="23" t="s">
        <v>133</v>
      </c>
      <c r="E17" s="28">
        <v>355000</v>
      </c>
      <c r="F17" s="25">
        <v>2678.12</v>
      </c>
      <c r="G17" s="25">
        <v>3.08</v>
      </c>
    </row>
    <row r="18" spans="2:7" x14ac:dyDescent="0.2">
      <c r="B18" s="27" t="s">
        <v>189</v>
      </c>
      <c r="C18" s="23" t="s">
        <v>190</v>
      </c>
      <c r="D18" s="23" t="s">
        <v>176</v>
      </c>
      <c r="E18" s="28">
        <v>750000</v>
      </c>
      <c r="F18" s="25">
        <v>2547</v>
      </c>
      <c r="G18" s="25">
        <v>2.93</v>
      </c>
    </row>
    <row r="19" spans="2:7" x14ac:dyDescent="0.2">
      <c r="B19" s="27" t="s">
        <v>140</v>
      </c>
      <c r="C19" s="23" t="s">
        <v>141</v>
      </c>
      <c r="D19" s="23" t="s">
        <v>65</v>
      </c>
      <c r="E19" s="28">
        <v>127500</v>
      </c>
      <c r="F19" s="25">
        <v>2518.19</v>
      </c>
      <c r="G19" s="25">
        <v>2.89</v>
      </c>
    </row>
    <row r="20" spans="2:7" x14ac:dyDescent="0.2">
      <c r="B20" s="27" t="s">
        <v>247</v>
      </c>
      <c r="C20" s="23" t="s">
        <v>248</v>
      </c>
      <c r="D20" s="23" t="s">
        <v>136</v>
      </c>
      <c r="E20" s="28">
        <v>245000</v>
      </c>
      <c r="F20" s="25">
        <v>2469.9699999999998</v>
      </c>
      <c r="G20" s="25">
        <v>2.84</v>
      </c>
    </row>
    <row r="21" spans="2:7" x14ac:dyDescent="0.2">
      <c r="B21" s="27" t="s">
        <v>305</v>
      </c>
      <c r="C21" s="23" t="s">
        <v>306</v>
      </c>
      <c r="D21" s="23" t="s">
        <v>155</v>
      </c>
      <c r="E21" s="28">
        <v>735000</v>
      </c>
      <c r="F21" s="25">
        <v>2388.02</v>
      </c>
      <c r="G21" s="25">
        <v>2.74</v>
      </c>
    </row>
    <row r="22" spans="2:7" x14ac:dyDescent="0.2">
      <c r="B22" s="27" t="s">
        <v>195</v>
      </c>
      <c r="C22" s="23" t="s">
        <v>196</v>
      </c>
      <c r="D22" s="23" t="s">
        <v>197</v>
      </c>
      <c r="E22" s="28">
        <v>62000</v>
      </c>
      <c r="F22" s="25">
        <v>1909.72</v>
      </c>
      <c r="G22" s="25">
        <v>2.2000000000000002</v>
      </c>
    </row>
    <row r="23" spans="2:7" x14ac:dyDescent="0.2">
      <c r="B23" s="27" t="s">
        <v>238</v>
      </c>
      <c r="C23" s="23" t="s">
        <v>239</v>
      </c>
      <c r="D23" s="23" t="s">
        <v>146</v>
      </c>
      <c r="E23" s="28">
        <v>55000</v>
      </c>
      <c r="F23" s="25">
        <v>1883.37</v>
      </c>
      <c r="G23" s="25">
        <v>2.16</v>
      </c>
    </row>
    <row r="24" spans="2:7" x14ac:dyDescent="0.2">
      <c r="B24" s="27" t="s">
        <v>68</v>
      </c>
      <c r="C24" s="23" t="s">
        <v>69</v>
      </c>
      <c r="D24" s="23" t="s">
        <v>70</v>
      </c>
      <c r="E24" s="28">
        <v>285000</v>
      </c>
      <c r="F24" s="25">
        <v>1883.14</v>
      </c>
      <c r="G24" s="25">
        <v>2.16</v>
      </c>
    </row>
    <row r="25" spans="2:7" x14ac:dyDescent="0.2">
      <c r="B25" s="27" t="s">
        <v>144</v>
      </c>
      <c r="C25" s="23" t="s">
        <v>145</v>
      </c>
      <c r="D25" s="23" t="s">
        <v>146</v>
      </c>
      <c r="E25" s="28">
        <v>40500</v>
      </c>
      <c r="F25" s="25">
        <v>1785.34</v>
      </c>
      <c r="G25" s="25">
        <v>2.0499999999999998</v>
      </c>
    </row>
    <row r="26" spans="2:7" x14ac:dyDescent="0.2">
      <c r="B26" s="27" t="s">
        <v>181</v>
      </c>
      <c r="C26" s="23" t="s">
        <v>182</v>
      </c>
      <c r="D26" s="23" t="s">
        <v>173</v>
      </c>
      <c r="E26" s="28">
        <v>47600</v>
      </c>
      <c r="F26" s="25">
        <v>1784.64</v>
      </c>
      <c r="G26" s="25">
        <v>2.0499999999999998</v>
      </c>
    </row>
    <row r="27" spans="2:7" x14ac:dyDescent="0.2">
      <c r="B27" s="27" t="s">
        <v>166</v>
      </c>
      <c r="C27" s="23" t="s">
        <v>167</v>
      </c>
      <c r="D27" s="23" t="s">
        <v>158</v>
      </c>
      <c r="E27" s="28">
        <v>276499</v>
      </c>
      <c r="F27" s="25">
        <v>1770.7</v>
      </c>
      <c r="G27" s="25">
        <v>2.04</v>
      </c>
    </row>
    <row r="28" spans="2:7" x14ac:dyDescent="0.2">
      <c r="B28" s="27" t="s">
        <v>161</v>
      </c>
      <c r="C28" s="23" t="s">
        <v>162</v>
      </c>
      <c r="D28" s="23" t="s">
        <v>163</v>
      </c>
      <c r="E28" s="28">
        <v>660000</v>
      </c>
      <c r="F28" s="25">
        <v>1679.7</v>
      </c>
      <c r="G28" s="25">
        <v>1.93</v>
      </c>
    </row>
    <row r="29" spans="2:7" x14ac:dyDescent="0.2">
      <c r="B29" s="27" t="s">
        <v>204</v>
      </c>
      <c r="C29" s="23" t="s">
        <v>205</v>
      </c>
      <c r="D29" s="23" t="s">
        <v>128</v>
      </c>
      <c r="E29" s="28">
        <v>325000</v>
      </c>
      <c r="F29" s="25">
        <v>1668.06</v>
      </c>
      <c r="G29" s="25">
        <v>1.92</v>
      </c>
    </row>
    <row r="30" spans="2:7" x14ac:dyDescent="0.2">
      <c r="B30" s="27" t="s">
        <v>185</v>
      </c>
      <c r="C30" s="23" t="s">
        <v>186</v>
      </c>
      <c r="D30" s="23" t="s">
        <v>100</v>
      </c>
      <c r="E30" s="28">
        <v>95000</v>
      </c>
      <c r="F30" s="25">
        <v>1645.88</v>
      </c>
      <c r="G30" s="25">
        <v>1.89</v>
      </c>
    </row>
    <row r="31" spans="2:7" x14ac:dyDescent="0.2">
      <c r="B31" s="27" t="s">
        <v>153</v>
      </c>
      <c r="C31" s="23" t="s">
        <v>154</v>
      </c>
      <c r="D31" s="23" t="s">
        <v>155</v>
      </c>
      <c r="E31" s="28">
        <v>55000</v>
      </c>
      <c r="F31" s="25">
        <v>1600.72</v>
      </c>
      <c r="G31" s="25">
        <v>1.84</v>
      </c>
    </row>
    <row r="32" spans="2:7" x14ac:dyDescent="0.2">
      <c r="B32" s="27" t="s">
        <v>177</v>
      </c>
      <c r="C32" s="23" t="s">
        <v>178</v>
      </c>
      <c r="D32" s="23" t="s">
        <v>100</v>
      </c>
      <c r="E32" s="28">
        <v>155000</v>
      </c>
      <c r="F32" s="25">
        <v>1519.31</v>
      </c>
      <c r="G32" s="25">
        <v>1.75</v>
      </c>
    </row>
    <row r="33" spans="2:9" x14ac:dyDescent="0.2">
      <c r="B33" s="27" t="s">
        <v>52</v>
      </c>
      <c r="C33" s="23" t="s">
        <v>53</v>
      </c>
      <c r="D33" s="23" t="s">
        <v>46</v>
      </c>
      <c r="E33" s="28">
        <v>3450</v>
      </c>
      <c r="F33" s="25">
        <v>1443.18</v>
      </c>
      <c r="G33" s="25">
        <v>1.66</v>
      </c>
    </row>
    <row r="34" spans="2:9" x14ac:dyDescent="0.2">
      <c r="B34" s="27" t="s">
        <v>240</v>
      </c>
      <c r="C34" s="23" t="s">
        <v>241</v>
      </c>
      <c r="D34" s="23" t="s">
        <v>158</v>
      </c>
      <c r="E34" s="28">
        <v>16684</v>
      </c>
      <c r="F34" s="25">
        <v>1150.93</v>
      </c>
      <c r="G34" s="25">
        <v>1.32</v>
      </c>
    </row>
    <row r="35" spans="2:9" x14ac:dyDescent="0.2">
      <c r="B35" s="27" t="s">
        <v>47</v>
      </c>
      <c r="C35" s="23" t="s">
        <v>48</v>
      </c>
      <c r="D35" s="23" t="s">
        <v>49</v>
      </c>
      <c r="E35" s="28">
        <v>76499</v>
      </c>
      <c r="F35" s="25">
        <v>1100.8599999999999</v>
      </c>
      <c r="G35" s="25">
        <v>1.27</v>
      </c>
    </row>
    <row r="36" spans="2:9" x14ac:dyDescent="0.2">
      <c r="B36" s="29" t="s">
        <v>110</v>
      </c>
      <c r="C36" s="30"/>
      <c r="D36" s="30"/>
      <c r="E36" s="31"/>
      <c r="F36" s="32">
        <f>SUM(F7:F35)</f>
        <v>79444.809999999983</v>
      </c>
      <c r="G36" s="32">
        <f>SUM(G7:G35)</f>
        <v>91.319999999999979</v>
      </c>
      <c r="H36" s="14"/>
      <c r="I36" s="14"/>
    </row>
    <row r="37" spans="2:9" x14ac:dyDescent="0.2">
      <c r="B37" s="37" t="s">
        <v>111</v>
      </c>
      <c r="C37" s="37"/>
      <c r="D37" s="37"/>
      <c r="E37" s="38"/>
      <c r="F37" s="39">
        <f>F36</f>
        <v>79444.809999999983</v>
      </c>
      <c r="G37" s="39">
        <f>G36</f>
        <v>91.319999999999979</v>
      </c>
      <c r="H37" s="14"/>
      <c r="I37" s="14"/>
    </row>
    <row r="38" spans="2:9" x14ac:dyDescent="0.2">
      <c r="B38" s="40" t="s">
        <v>112</v>
      </c>
      <c r="C38" s="41"/>
      <c r="D38" s="41"/>
      <c r="E38" s="42"/>
      <c r="F38" s="43"/>
      <c r="G38" s="43"/>
    </row>
    <row r="39" spans="2:9" x14ac:dyDescent="0.2">
      <c r="B39" s="27" t="s">
        <v>112</v>
      </c>
      <c r="C39" s="23"/>
      <c r="D39" s="23"/>
      <c r="E39" s="24"/>
      <c r="F39" s="25">
        <v>7650.53</v>
      </c>
      <c r="G39" s="25">
        <v>8.7899999999999991</v>
      </c>
    </row>
    <row r="40" spans="2:9" x14ac:dyDescent="0.2">
      <c r="B40" s="29" t="s">
        <v>110</v>
      </c>
      <c r="C40" s="30"/>
      <c r="D40" s="30"/>
      <c r="E40" s="31"/>
      <c r="F40" s="32">
        <f>SUM(F38:F39)</f>
        <v>7650.53</v>
      </c>
      <c r="G40" s="32">
        <f>SUM(G38:G39)</f>
        <v>8.7899999999999991</v>
      </c>
      <c r="H40" s="14"/>
      <c r="I40" s="14"/>
    </row>
    <row r="41" spans="2:9" x14ac:dyDescent="0.2">
      <c r="B41" s="34" t="s">
        <v>111</v>
      </c>
      <c r="C41" s="34"/>
      <c r="D41" s="34"/>
      <c r="E41" s="35"/>
      <c r="F41" s="36">
        <f>F40</f>
        <v>7650.53</v>
      </c>
      <c r="G41" s="36">
        <f>G40</f>
        <v>8.7899999999999991</v>
      </c>
      <c r="H41" s="14"/>
      <c r="I41" s="14"/>
    </row>
    <row r="42" spans="2:9" x14ac:dyDescent="0.2">
      <c r="B42" s="44" t="s">
        <v>114</v>
      </c>
      <c r="C42" s="44"/>
      <c r="D42" s="44"/>
      <c r="E42" s="45"/>
      <c r="F42" s="16">
        <f>F43-(+F37+F41)</f>
        <v>-93.639999999984866</v>
      </c>
      <c r="G42" s="16">
        <f>G43-(+G37+G41)</f>
        <v>-0.10999999999998522</v>
      </c>
      <c r="H42" s="14"/>
      <c r="I42" s="14"/>
    </row>
    <row r="43" spans="2:9" x14ac:dyDescent="0.2">
      <c r="B43" s="44" t="s">
        <v>113</v>
      </c>
      <c r="C43" s="44"/>
      <c r="D43" s="44"/>
      <c r="E43" s="45"/>
      <c r="F43" s="16">
        <v>87001.7</v>
      </c>
      <c r="G43" s="16">
        <v>100</v>
      </c>
      <c r="H43" s="14"/>
      <c r="I43" s="14"/>
    </row>
    <row r="45" spans="2:9" x14ac:dyDescent="0.2">
      <c r="B4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0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3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16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117</v>
      </c>
      <c r="E7" s="28">
        <v>2065472</v>
      </c>
      <c r="F7" s="25">
        <v>32650.98</v>
      </c>
      <c r="G7" s="25">
        <v>5.79</v>
      </c>
      <c r="H7" s="26"/>
    </row>
    <row r="8" spans="2:8" x14ac:dyDescent="0.2">
      <c r="B8" s="27" t="s">
        <v>118</v>
      </c>
      <c r="C8" s="23" t="s">
        <v>119</v>
      </c>
      <c r="D8" s="23" t="s">
        <v>37</v>
      </c>
      <c r="E8" s="28">
        <v>2094950</v>
      </c>
      <c r="F8" s="25">
        <v>31380.26</v>
      </c>
      <c r="G8" s="25">
        <v>5.57</v>
      </c>
      <c r="H8" s="26"/>
    </row>
    <row r="9" spans="2:8" x14ac:dyDescent="0.2">
      <c r="B9" s="27" t="s">
        <v>35</v>
      </c>
      <c r="C9" s="23" t="s">
        <v>36</v>
      </c>
      <c r="D9" s="23" t="s">
        <v>37</v>
      </c>
      <c r="E9" s="28">
        <v>4732600</v>
      </c>
      <c r="F9" s="25">
        <v>29857.97</v>
      </c>
      <c r="G9" s="25">
        <v>5.3</v>
      </c>
      <c r="H9" s="26"/>
    </row>
    <row r="10" spans="2:8" x14ac:dyDescent="0.2">
      <c r="B10" s="27" t="s">
        <v>122</v>
      </c>
      <c r="C10" s="23" t="s">
        <v>123</v>
      </c>
      <c r="D10" s="23" t="s">
        <v>81</v>
      </c>
      <c r="E10" s="28">
        <v>823900</v>
      </c>
      <c r="F10" s="25">
        <v>17389.650000000001</v>
      </c>
      <c r="G10" s="25">
        <v>3.09</v>
      </c>
      <c r="H10" s="26"/>
    </row>
    <row r="11" spans="2:8" x14ac:dyDescent="0.2">
      <c r="B11" s="27" t="s">
        <v>120</v>
      </c>
      <c r="C11" s="23" t="s">
        <v>121</v>
      </c>
      <c r="D11" s="23" t="s">
        <v>117</v>
      </c>
      <c r="E11" s="28">
        <v>502165</v>
      </c>
      <c r="F11" s="25">
        <v>16801.189999999999</v>
      </c>
      <c r="G11" s="25">
        <v>2.98</v>
      </c>
      <c r="H11" s="26"/>
    </row>
    <row r="12" spans="2:8" x14ac:dyDescent="0.2">
      <c r="B12" s="27" t="s">
        <v>126</v>
      </c>
      <c r="C12" s="23" t="s">
        <v>127</v>
      </c>
      <c r="D12" s="23" t="s">
        <v>128</v>
      </c>
      <c r="E12" s="28">
        <v>253908</v>
      </c>
      <c r="F12" s="25">
        <v>15274.72</v>
      </c>
      <c r="G12" s="25">
        <v>2.71</v>
      </c>
      <c r="H12" s="26"/>
    </row>
    <row r="13" spans="2:8" x14ac:dyDescent="0.2">
      <c r="B13" s="27" t="s">
        <v>124</v>
      </c>
      <c r="C13" s="23" t="s">
        <v>125</v>
      </c>
      <c r="D13" s="23" t="s">
        <v>37</v>
      </c>
      <c r="E13" s="28">
        <v>1998100</v>
      </c>
      <c r="F13" s="25">
        <v>14951.78</v>
      </c>
      <c r="G13" s="25">
        <v>2.65</v>
      </c>
      <c r="H13" s="26"/>
    </row>
    <row r="14" spans="2:8" x14ac:dyDescent="0.2">
      <c r="B14" s="27" t="s">
        <v>32</v>
      </c>
      <c r="C14" s="23" t="s">
        <v>33</v>
      </c>
      <c r="D14" s="23" t="s">
        <v>34</v>
      </c>
      <c r="E14" s="28">
        <v>906418</v>
      </c>
      <c r="F14" s="25">
        <v>13601.26</v>
      </c>
      <c r="G14" s="25">
        <v>2.41</v>
      </c>
      <c r="H14" s="26"/>
    </row>
    <row r="15" spans="2:8" x14ac:dyDescent="0.2">
      <c r="B15" s="27" t="s">
        <v>54</v>
      </c>
      <c r="C15" s="23" t="s">
        <v>55</v>
      </c>
      <c r="D15" s="23" t="s">
        <v>37</v>
      </c>
      <c r="E15" s="28">
        <v>3200000</v>
      </c>
      <c r="F15" s="25">
        <v>13414.4</v>
      </c>
      <c r="G15" s="25">
        <v>2.38</v>
      </c>
      <c r="H15" s="26"/>
    </row>
    <row r="16" spans="2:8" x14ac:dyDescent="0.2">
      <c r="B16" s="27" t="s">
        <v>129</v>
      </c>
      <c r="C16" s="23" t="s">
        <v>130</v>
      </c>
      <c r="D16" s="23" t="s">
        <v>128</v>
      </c>
      <c r="E16" s="28">
        <v>538000</v>
      </c>
      <c r="F16" s="25">
        <v>13316.85</v>
      </c>
      <c r="G16" s="25">
        <v>2.36</v>
      </c>
      <c r="H16" s="26"/>
    </row>
    <row r="17" spans="2:8" x14ac:dyDescent="0.2">
      <c r="B17" s="27" t="s">
        <v>131</v>
      </c>
      <c r="C17" s="23" t="s">
        <v>132</v>
      </c>
      <c r="D17" s="23" t="s">
        <v>133</v>
      </c>
      <c r="E17" s="28">
        <v>341800</v>
      </c>
      <c r="F17" s="25">
        <v>8446.9</v>
      </c>
      <c r="G17" s="25">
        <v>1.5</v>
      </c>
      <c r="H17" s="26"/>
    </row>
    <row r="18" spans="2:8" x14ac:dyDescent="0.2">
      <c r="B18" s="27" t="s">
        <v>140</v>
      </c>
      <c r="C18" s="23" t="s">
        <v>141</v>
      </c>
      <c r="D18" s="23" t="s">
        <v>65</v>
      </c>
      <c r="E18" s="28">
        <v>372305</v>
      </c>
      <c r="F18" s="25">
        <v>7353.21</v>
      </c>
      <c r="G18" s="25">
        <v>1.3</v>
      </c>
      <c r="H18" s="26"/>
    </row>
    <row r="19" spans="2:8" x14ac:dyDescent="0.2">
      <c r="B19" s="27" t="s">
        <v>238</v>
      </c>
      <c r="C19" s="23" t="s">
        <v>239</v>
      </c>
      <c r="D19" s="23" t="s">
        <v>146</v>
      </c>
      <c r="E19" s="28">
        <v>214610</v>
      </c>
      <c r="F19" s="25">
        <v>7348.89</v>
      </c>
      <c r="G19" s="25">
        <v>1.3</v>
      </c>
      <c r="H19" s="26"/>
    </row>
    <row r="20" spans="2:8" x14ac:dyDescent="0.2">
      <c r="B20" s="27" t="s">
        <v>159</v>
      </c>
      <c r="C20" s="23" t="s">
        <v>160</v>
      </c>
      <c r="D20" s="23" t="s">
        <v>100</v>
      </c>
      <c r="E20" s="28">
        <v>672573</v>
      </c>
      <c r="F20" s="25">
        <v>6876.72</v>
      </c>
      <c r="G20" s="25">
        <v>1.22</v>
      </c>
      <c r="H20" s="26"/>
    </row>
    <row r="21" spans="2:8" x14ac:dyDescent="0.2">
      <c r="B21" s="27" t="s">
        <v>142</v>
      </c>
      <c r="C21" s="23" t="s">
        <v>143</v>
      </c>
      <c r="D21" s="23" t="s">
        <v>37</v>
      </c>
      <c r="E21" s="28">
        <v>387829</v>
      </c>
      <c r="F21" s="25">
        <v>6615.78</v>
      </c>
      <c r="G21" s="25">
        <v>1.17</v>
      </c>
      <c r="H21" s="26"/>
    </row>
    <row r="22" spans="2:8" x14ac:dyDescent="0.2">
      <c r="B22" s="27" t="s">
        <v>171</v>
      </c>
      <c r="C22" s="23" t="s">
        <v>172</v>
      </c>
      <c r="D22" s="23" t="s">
        <v>173</v>
      </c>
      <c r="E22" s="28">
        <v>71109</v>
      </c>
      <c r="F22" s="25">
        <v>6384.09</v>
      </c>
      <c r="G22" s="25">
        <v>1.1299999999999999</v>
      </c>
      <c r="H22" s="26"/>
    </row>
    <row r="23" spans="2:8" x14ac:dyDescent="0.2">
      <c r="B23" s="27" t="s">
        <v>137</v>
      </c>
      <c r="C23" s="23" t="s">
        <v>138</v>
      </c>
      <c r="D23" s="23" t="s">
        <v>139</v>
      </c>
      <c r="E23" s="28">
        <v>190840</v>
      </c>
      <c r="F23" s="25">
        <v>6381.88</v>
      </c>
      <c r="G23" s="25">
        <v>1.1299999999999999</v>
      </c>
      <c r="H23" s="26"/>
    </row>
    <row r="24" spans="2:8" x14ac:dyDescent="0.2">
      <c r="B24" s="27" t="s">
        <v>174</v>
      </c>
      <c r="C24" s="23" t="s">
        <v>175</v>
      </c>
      <c r="D24" s="23" t="s">
        <v>176</v>
      </c>
      <c r="E24" s="28">
        <v>78848</v>
      </c>
      <c r="F24" s="25">
        <v>5926.14</v>
      </c>
      <c r="G24" s="25">
        <v>1.05</v>
      </c>
      <c r="H24" s="26"/>
    </row>
    <row r="25" spans="2:8" x14ac:dyDescent="0.2">
      <c r="B25" s="27" t="s">
        <v>161</v>
      </c>
      <c r="C25" s="23" t="s">
        <v>162</v>
      </c>
      <c r="D25" s="23" t="s">
        <v>163</v>
      </c>
      <c r="E25" s="28">
        <v>2300000</v>
      </c>
      <c r="F25" s="25">
        <v>5853.5</v>
      </c>
      <c r="G25" s="25">
        <v>1.04</v>
      </c>
      <c r="H25" s="26"/>
    </row>
    <row r="26" spans="2:8" x14ac:dyDescent="0.2">
      <c r="B26" s="27" t="s">
        <v>134</v>
      </c>
      <c r="C26" s="23" t="s">
        <v>135</v>
      </c>
      <c r="D26" s="23" t="s">
        <v>136</v>
      </c>
      <c r="E26" s="28">
        <v>550000</v>
      </c>
      <c r="F26" s="25">
        <v>5832.2</v>
      </c>
      <c r="G26" s="25">
        <v>1.03</v>
      </c>
      <c r="H26" s="26"/>
    </row>
    <row r="27" spans="2:8" x14ac:dyDescent="0.2">
      <c r="B27" s="27" t="s">
        <v>68</v>
      </c>
      <c r="C27" s="23" t="s">
        <v>69</v>
      </c>
      <c r="D27" s="23" t="s">
        <v>70</v>
      </c>
      <c r="E27" s="28">
        <v>854914</v>
      </c>
      <c r="F27" s="25">
        <v>5648.84</v>
      </c>
      <c r="G27" s="25">
        <v>1</v>
      </c>
      <c r="H27" s="26"/>
    </row>
    <row r="28" spans="2:8" x14ac:dyDescent="0.2">
      <c r="B28" s="27" t="s">
        <v>153</v>
      </c>
      <c r="C28" s="23" t="s">
        <v>154</v>
      </c>
      <c r="D28" s="23" t="s">
        <v>155</v>
      </c>
      <c r="E28" s="28">
        <v>190564</v>
      </c>
      <c r="F28" s="25">
        <v>5546.17</v>
      </c>
      <c r="G28" s="25">
        <v>0.98</v>
      </c>
      <c r="H28" s="26"/>
    </row>
    <row r="29" spans="2:8" x14ac:dyDescent="0.2">
      <c r="B29" s="27" t="s">
        <v>147</v>
      </c>
      <c r="C29" s="23" t="s">
        <v>148</v>
      </c>
      <c r="D29" s="23" t="s">
        <v>70</v>
      </c>
      <c r="E29" s="28">
        <v>965000</v>
      </c>
      <c r="F29" s="25">
        <v>5382.29</v>
      </c>
      <c r="G29" s="25">
        <v>0.95</v>
      </c>
      <c r="H29" s="26"/>
    </row>
    <row r="30" spans="2:8" x14ac:dyDescent="0.2">
      <c r="B30" s="27" t="s">
        <v>166</v>
      </c>
      <c r="C30" s="23" t="s">
        <v>167</v>
      </c>
      <c r="D30" s="23" t="s">
        <v>158</v>
      </c>
      <c r="E30" s="28">
        <v>840281</v>
      </c>
      <c r="F30" s="25">
        <v>5381.16</v>
      </c>
      <c r="G30" s="25">
        <v>0.95</v>
      </c>
      <c r="H30" s="26"/>
    </row>
    <row r="31" spans="2:8" x14ac:dyDescent="0.2">
      <c r="B31" s="27" t="s">
        <v>168</v>
      </c>
      <c r="C31" s="23" t="s">
        <v>169</v>
      </c>
      <c r="D31" s="23" t="s">
        <v>170</v>
      </c>
      <c r="E31" s="28">
        <v>1021515</v>
      </c>
      <c r="F31" s="25">
        <v>5369.59</v>
      </c>
      <c r="G31" s="25">
        <v>0.95</v>
      </c>
      <c r="H31" s="26"/>
    </row>
    <row r="32" spans="2:8" x14ac:dyDescent="0.2">
      <c r="B32" s="27" t="s">
        <v>164</v>
      </c>
      <c r="C32" s="23" t="s">
        <v>165</v>
      </c>
      <c r="D32" s="23" t="s">
        <v>133</v>
      </c>
      <c r="E32" s="28">
        <v>705000</v>
      </c>
      <c r="F32" s="25">
        <v>5318.52</v>
      </c>
      <c r="G32" s="25">
        <v>0.94</v>
      </c>
      <c r="H32" s="26"/>
    </row>
    <row r="33" spans="2:8" x14ac:dyDescent="0.2">
      <c r="B33" s="27" t="s">
        <v>144</v>
      </c>
      <c r="C33" s="23" t="s">
        <v>145</v>
      </c>
      <c r="D33" s="23" t="s">
        <v>146</v>
      </c>
      <c r="E33" s="28">
        <v>119608</v>
      </c>
      <c r="F33" s="25">
        <v>5272.62</v>
      </c>
      <c r="G33" s="25">
        <v>0.94</v>
      </c>
      <c r="H33" s="26"/>
    </row>
    <row r="34" spans="2:8" x14ac:dyDescent="0.2">
      <c r="B34" s="27" t="s">
        <v>185</v>
      </c>
      <c r="C34" s="23" t="s">
        <v>186</v>
      </c>
      <c r="D34" s="23" t="s">
        <v>100</v>
      </c>
      <c r="E34" s="28">
        <v>301700</v>
      </c>
      <c r="F34" s="25">
        <v>5226.95</v>
      </c>
      <c r="G34" s="25">
        <v>0.93</v>
      </c>
      <c r="H34" s="26"/>
    </row>
    <row r="35" spans="2:8" x14ac:dyDescent="0.2">
      <c r="B35" s="27" t="s">
        <v>60</v>
      </c>
      <c r="C35" s="23" t="s">
        <v>61</v>
      </c>
      <c r="D35" s="23" t="s">
        <v>62</v>
      </c>
      <c r="E35" s="28">
        <v>75621</v>
      </c>
      <c r="F35" s="25">
        <v>5124.08</v>
      </c>
      <c r="G35" s="25">
        <v>0.91</v>
      </c>
      <c r="H35" s="26"/>
    </row>
    <row r="36" spans="2:8" x14ac:dyDescent="0.2">
      <c r="B36" s="27" t="s">
        <v>181</v>
      </c>
      <c r="C36" s="23" t="s">
        <v>182</v>
      </c>
      <c r="D36" s="23" t="s">
        <v>173</v>
      </c>
      <c r="E36" s="28">
        <v>131968</v>
      </c>
      <c r="F36" s="25">
        <v>4947.8100000000004</v>
      </c>
      <c r="G36" s="25">
        <v>0.88</v>
      </c>
      <c r="H36" s="26"/>
    </row>
    <row r="37" spans="2:8" x14ac:dyDescent="0.2">
      <c r="B37" s="27" t="s">
        <v>71</v>
      </c>
      <c r="C37" s="23" t="s">
        <v>72</v>
      </c>
      <c r="D37" s="23" t="s">
        <v>62</v>
      </c>
      <c r="E37" s="28">
        <v>254768</v>
      </c>
      <c r="F37" s="25">
        <v>4818.05</v>
      </c>
      <c r="G37" s="25">
        <v>0.85</v>
      </c>
      <c r="H37" s="26"/>
    </row>
    <row r="38" spans="2:8" x14ac:dyDescent="0.2">
      <c r="B38" s="27" t="s">
        <v>149</v>
      </c>
      <c r="C38" s="23" t="s">
        <v>150</v>
      </c>
      <c r="D38" s="23" t="s">
        <v>133</v>
      </c>
      <c r="E38" s="28">
        <v>160100</v>
      </c>
      <c r="F38" s="25">
        <v>4791.3100000000004</v>
      </c>
      <c r="G38" s="25">
        <v>0.85</v>
      </c>
      <c r="H38" s="26"/>
    </row>
    <row r="39" spans="2:8" x14ac:dyDescent="0.2">
      <c r="B39" s="27" t="s">
        <v>247</v>
      </c>
      <c r="C39" s="23" t="s">
        <v>248</v>
      </c>
      <c r="D39" s="23" t="s">
        <v>136</v>
      </c>
      <c r="E39" s="28">
        <v>455000</v>
      </c>
      <c r="F39" s="25">
        <v>4587.08</v>
      </c>
      <c r="G39" s="25">
        <v>0.81</v>
      </c>
      <c r="H39" s="26"/>
    </row>
    <row r="40" spans="2:8" x14ac:dyDescent="0.2">
      <c r="B40" s="27" t="s">
        <v>183</v>
      </c>
      <c r="C40" s="23" t="s">
        <v>184</v>
      </c>
      <c r="D40" s="23" t="s">
        <v>158</v>
      </c>
      <c r="E40" s="28">
        <v>202946</v>
      </c>
      <c r="F40" s="25">
        <v>4544.37</v>
      </c>
      <c r="G40" s="25">
        <v>0.81</v>
      </c>
      <c r="H40" s="26"/>
    </row>
    <row r="41" spans="2:8" x14ac:dyDescent="0.2">
      <c r="B41" s="27" t="s">
        <v>195</v>
      </c>
      <c r="C41" s="23" t="s">
        <v>196</v>
      </c>
      <c r="D41" s="23" t="s">
        <v>197</v>
      </c>
      <c r="E41" s="28">
        <v>146117</v>
      </c>
      <c r="F41" s="25">
        <v>4500.7</v>
      </c>
      <c r="G41" s="25">
        <v>0.8</v>
      </c>
      <c r="H41" s="26"/>
    </row>
    <row r="42" spans="2:8" x14ac:dyDescent="0.2">
      <c r="B42" s="27" t="s">
        <v>193</v>
      </c>
      <c r="C42" s="23" t="s">
        <v>194</v>
      </c>
      <c r="D42" s="23" t="s">
        <v>146</v>
      </c>
      <c r="E42" s="28">
        <v>455000</v>
      </c>
      <c r="F42" s="25">
        <v>4422.1499999999996</v>
      </c>
      <c r="G42" s="25">
        <v>0.78</v>
      </c>
      <c r="H42" s="26"/>
    </row>
    <row r="43" spans="2:8" x14ac:dyDescent="0.2">
      <c r="B43" s="27" t="s">
        <v>236</v>
      </c>
      <c r="C43" s="23" t="s">
        <v>237</v>
      </c>
      <c r="D43" s="23" t="s">
        <v>100</v>
      </c>
      <c r="E43" s="28">
        <v>997707</v>
      </c>
      <c r="F43" s="25">
        <v>4336.03</v>
      </c>
      <c r="G43" s="25">
        <v>0.77</v>
      </c>
      <c r="H43" s="26"/>
    </row>
    <row r="44" spans="2:8" x14ac:dyDescent="0.2">
      <c r="B44" s="27" t="s">
        <v>198</v>
      </c>
      <c r="C44" s="23" t="s">
        <v>199</v>
      </c>
      <c r="D44" s="23" t="s">
        <v>65</v>
      </c>
      <c r="E44" s="28">
        <v>555000</v>
      </c>
      <c r="F44" s="25">
        <v>4228.55</v>
      </c>
      <c r="G44" s="25">
        <v>0.75</v>
      </c>
      <c r="H44" s="26"/>
    </row>
    <row r="45" spans="2:8" x14ac:dyDescent="0.2">
      <c r="B45" s="27" t="s">
        <v>293</v>
      </c>
      <c r="C45" s="23" t="s">
        <v>294</v>
      </c>
      <c r="D45" s="23" t="s">
        <v>176</v>
      </c>
      <c r="E45" s="28">
        <v>100000</v>
      </c>
      <c r="F45" s="25">
        <v>4133.8500000000004</v>
      </c>
      <c r="G45" s="25">
        <v>0.73</v>
      </c>
      <c r="H45" s="26"/>
    </row>
    <row r="46" spans="2:8" x14ac:dyDescent="0.2">
      <c r="B46" s="27" t="s">
        <v>204</v>
      </c>
      <c r="C46" s="23" t="s">
        <v>205</v>
      </c>
      <c r="D46" s="23" t="s">
        <v>128</v>
      </c>
      <c r="E46" s="28">
        <v>800000</v>
      </c>
      <c r="F46" s="25">
        <v>4106</v>
      </c>
      <c r="G46" s="25">
        <v>0.73</v>
      </c>
      <c r="H46" s="26"/>
    </row>
    <row r="47" spans="2:8" x14ac:dyDescent="0.2">
      <c r="B47" s="27" t="s">
        <v>95</v>
      </c>
      <c r="C47" s="23" t="s">
        <v>96</v>
      </c>
      <c r="D47" s="23" t="s">
        <v>97</v>
      </c>
      <c r="E47" s="28">
        <v>1100000</v>
      </c>
      <c r="F47" s="25">
        <v>4092.55</v>
      </c>
      <c r="G47" s="25">
        <v>0.73</v>
      </c>
      <c r="H47" s="26"/>
    </row>
    <row r="48" spans="2:8" x14ac:dyDescent="0.2">
      <c r="B48" s="27" t="s">
        <v>210</v>
      </c>
      <c r="C48" s="23" t="s">
        <v>211</v>
      </c>
      <c r="D48" s="23" t="s">
        <v>117</v>
      </c>
      <c r="E48" s="28">
        <v>415000</v>
      </c>
      <c r="F48" s="25">
        <v>4081.53</v>
      </c>
      <c r="G48" s="25">
        <v>0.72</v>
      </c>
      <c r="H48" s="26"/>
    </row>
    <row r="49" spans="2:10" x14ac:dyDescent="0.2">
      <c r="B49" s="27" t="s">
        <v>259</v>
      </c>
      <c r="C49" s="23" t="s">
        <v>260</v>
      </c>
      <c r="D49" s="23" t="s">
        <v>139</v>
      </c>
      <c r="E49" s="28">
        <v>1885947</v>
      </c>
      <c r="F49" s="25">
        <v>4068.93</v>
      </c>
      <c r="G49" s="25">
        <v>0.72</v>
      </c>
      <c r="H49" s="26"/>
    </row>
    <row r="50" spans="2:10" x14ac:dyDescent="0.2">
      <c r="B50" s="27" t="s">
        <v>200</v>
      </c>
      <c r="C50" s="23" t="s">
        <v>201</v>
      </c>
      <c r="D50" s="23" t="s">
        <v>176</v>
      </c>
      <c r="E50" s="28">
        <v>3200000</v>
      </c>
      <c r="F50" s="25">
        <v>3923.2</v>
      </c>
      <c r="G50" s="25">
        <v>0.7</v>
      </c>
      <c r="H50" s="26"/>
    </row>
    <row r="51" spans="2:10" x14ac:dyDescent="0.2">
      <c r="B51" s="27" t="s">
        <v>108</v>
      </c>
      <c r="C51" s="23" t="s">
        <v>109</v>
      </c>
      <c r="D51" s="23" t="s">
        <v>62</v>
      </c>
      <c r="E51" s="28">
        <v>375000</v>
      </c>
      <c r="F51" s="25">
        <v>3846.56</v>
      </c>
      <c r="G51" s="25">
        <v>0.68</v>
      </c>
      <c r="H51" s="26"/>
    </row>
    <row r="52" spans="2:10" x14ac:dyDescent="0.2">
      <c r="B52" s="27" t="s">
        <v>214</v>
      </c>
      <c r="C52" s="23" t="s">
        <v>215</v>
      </c>
      <c r="D52" s="23" t="s">
        <v>146</v>
      </c>
      <c r="E52" s="28">
        <v>22696</v>
      </c>
      <c r="F52" s="25">
        <v>3814.95</v>
      </c>
      <c r="G52" s="25">
        <v>0.68</v>
      </c>
      <c r="H52" s="26"/>
    </row>
    <row r="53" spans="2:10" x14ac:dyDescent="0.2">
      <c r="B53" s="27" t="s">
        <v>240</v>
      </c>
      <c r="C53" s="23" t="s">
        <v>241</v>
      </c>
      <c r="D53" s="23" t="s">
        <v>158</v>
      </c>
      <c r="E53" s="28">
        <v>54907</v>
      </c>
      <c r="F53" s="25">
        <v>3787.7</v>
      </c>
      <c r="G53" s="25">
        <v>0.67</v>
      </c>
      <c r="H53" s="26"/>
    </row>
    <row r="54" spans="2:10" x14ac:dyDescent="0.2">
      <c r="B54" s="27" t="s">
        <v>84</v>
      </c>
      <c r="C54" s="23" t="s">
        <v>85</v>
      </c>
      <c r="D54" s="23" t="s">
        <v>86</v>
      </c>
      <c r="E54" s="28">
        <v>280000</v>
      </c>
      <c r="F54" s="25">
        <v>3266.48</v>
      </c>
      <c r="G54" s="25">
        <v>0.57999999999999996</v>
      </c>
      <c r="H54" s="26"/>
    </row>
    <row r="55" spans="2:10" x14ac:dyDescent="0.2">
      <c r="B55" s="27" t="s">
        <v>212</v>
      </c>
      <c r="C55" s="23" t="s">
        <v>213</v>
      </c>
      <c r="D55" s="23" t="s">
        <v>146</v>
      </c>
      <c r="E55" s="28">
        <v>450000</v>
      </c>
      <c r="F55" s="25">
        <v>3039.53</v>
      </c>
      <c r="G55" s="25">
        <v>0.54</v>
      </c>
      <c r="H55" s="26"/>
    </row>
    <row r="56" spans="2:10" x14ac:dyDescent="0.2">
      <c r="B56" s="27" t="s">
        <v>52</v>
      </c>
      <c r="C56" s="23" t="s">
        <v>53</v>
      </c>
      <c r="D56" s="23" t="s">
        <v>46</v>
      </c>
      <c r="E56" s="28">
        <v>6896</v>
      </c>
      <c r="F56" s="25">
        <v>2884.69</v>
      </c>
      <c r="G56" s="25">
        <v>0.51</v>
      </c>
      <c r="H56" s="26"/>
    </row>
    <row r="57" spans="2:10" x14ac:dyDescent="0.2">
      <c r="B57" s="27" t="s">
        <v>222</v>
      </c>
      <c r="C57" s="23" t="s">
        <v>223</v>
      </c>
      <c r="D57" s="23" t="s">
        <v>100</v>
      </c>
      <c r="E57" s="28">
        <v>120256</v>
      </c>
      <c r="F57" s="25">
        <v>2688.32</v>
      </c>
      <c r="G57" s="25">
        <v>0.48</v>
      </c>
      <c r="H57" s="26"/>
    </row>
    <row r="58" spans="2:10" x14ac:dyDescent="0.2">
      <c r="B58" s="27" t="s">
        <v>216</v>
      </c>
      <c r="C58" s="23" t="s">
        <v>217</v>
      </c>
      <c r="D58" s="23" t="s">
        <v>163</v>
      </c>
      <c r="E58" s="28">
        <v>80721</v>
      </c>
      <c r="F58" s="25">
        <v>2641.55</v>
      </c>
      <c r="G58" s="25">
        <v>0.47</v>
      </c>
      <c r="H58" s="26"/>
    </row>
    <row r="59" spans="2:10" x14ac:dyDescent="0.2">
      <c r="B59" s="27" t="s">
        <v>218</v>
      </c>
      <c r="C59" s="23" t="s">
        <v>219</v>
      </c>
      <c r="D59" s="23" t="s">
        <v>146</v>
      </c>
      <c r="E59" s="28">
        <v>120637</v>
      </c>
      <c r="F59" s="25">
        <v>2444.59</v>
      </c>
      <c r="G59" s="25">
        <v>0.43</v>
      </c>
      <c r="H59" s="26"/>
    </row>
    <row r="60" spans="2:10" x14ac:dyDescent="0.2">
      <c r="B60" s="27" t="s">
        <v>220</v>
      </c>
      <c r="C60" s="23" t="s">
        <v>221</v>
      </c>
      <c r="D60" s="23" t="s">
        <v>133</v>
      </c>
      <c r="E60" s="28">
        <v>62266</v>
      </c>
      <c r="F60" s="25">
        <v>2272.4899999999998</v>
      </c>
      <c r="G60" s="25">
        <v>0.4</v>
      </c>
      <c r="H60" s="26"/>
    </row>
    <row r="61" spans="2:10" x14ac:dyDescent="0.2">
      <c r="B61" s="27" t="s">
        <v>274</v>
      </c>
      <c r="C61" s="23" t="s">
        <v>275</v>
      </c>
      <c r="D61" s="23" t="s">
        <v>276</v>
      </c>
      <c r="E61" s="28">
        <v>121500</v>
      </c>
      <c r="F61" s="25">
        <v>1848.68</v>
      </c>
      <c r="G61" s="25">
        <v>0.33</v>
      </c>
      <c r="H61" s="26"/>
    </row>
    <row r="62" spans="2:10" x14ac:dyDescent="0.2">
      <c r="B62" s="27" t="s">
        <v>224</v>
      </c>
      <c r="C62" s="23" t="s">
        <v>225</v>
      </c>
      <c r="D62" s="23" t="s">
        <v>62</v>
      </c>
      <c r="E62" s="28">
        <v>3920</v>
      </c>
      <c r="F62" s="25">
        <v>1078.18</v>
      </c>
      <c r="G62" s="25">
        <v>0.19</v>
      </c>
      <c r="H62" s="26"/>
    </row>
    <row r="63" spans="2:10" x14ac:dyDescent="0.2">
      <c r="B63" s="29" t="s">
        <v>110</v>
      </c>
      <c r="C63" s="30"/>
      <c r="D63" s="30"/>
      <c r="E63" s="31"/>
      <c r="F63" s="32">
        <f>SUM(F7:F62)</f>
        <v>413124.4200000001</v>
      </c>
      <c r="G63" s="32">
        <f>SUM(G7:G62)</f>
        <v>73.250000000000043</v>
      </c>
      <c r="H63" s="33"/>
      <c r="I63" s="14"/>
      <c r="J63" s="14"/>
    </row>
    <row r="64" spans="2:10" x14ac:dyDescent="0.2">
      <c r="B64" s="37" t="s">
        <v>111</v>
      </c>
      <c r="C64" s="37"/>
      <c r="D64" s="37"/>
      <c r="E64" s="38"/>
      <c r="F64" s="39">
        <f>F63</f>
        <v>413124.4200000001</v>
      </c>
      <c r="G64" s="39">
        <f>G63</f>
        <v>73.250000000000043</v>
      </c>
      <c r="H64" s="15"/>
      <c r="I64" s="14"/>
      <c r="J64" s="14"/>
    </row>
    <row r="65" spans="2:8" x14ac:dyDescent="0.2">
      <c r="B65" s="46" t="s">
        <v>226</v>
      </c>
      <c r="C65" s="41"/>
      <c r="D65" s="41"/>
      <c r="E65" s="42"/>
      <c r="F65" s="43"/>
      <c r="G65" s="43"/>
      <c r="H65" s="43"/>
    </row>
    <row r="66" spans="2:8" x14ac:dyDescent="0.2">
      <c r="B66" s="47" t="s">
        <v>31</v>
      </c>
      <c r="C66" s="23"/>
      <c r="D66" s="23"/>
      <c r="E66" s="24"/>
      <c r="F66" s="25"/>
      <c r="G66" s="25"/>
      <c r="H66" s="25"/>
    </row>
    <row r="67" spans="2:8" x14ac:dyDescent="0.2">
      <c r="B67" s="23" t="s">
        <v>366</v>
      </c>
      <c r="C67" s="23" t="s">
        <v>367</v>
      </c>
      <c r="D67" s="23" t="s">
        <v>368</v>
      </c>
      <c r="E67" s="28">
        <v>500</v>
      </c>
      <c r="F67" s="25">
        <v>4981.92</v>
      </c>
      <c r="G67" s="25">
        <v>0.88</v>
      </c>
      <c r="H67" s="25">
        <v>5.14</v>
      </c>
    </row>
    <row r="68" spans="2:8" x14ac:dyDescent="0.2">
      <c r="B68" s="23" t="s">
        <v>369</v>
      </c>
      <c r="C68" s="23" t="s">
        <v>370</v>
      </c>
      <c r="D68" s="23" t="s">
        <v>229</v>
      </c>
      <c r="E68" s="28">
        <v>450</v>
      </c>
      <c r="F68" s="25">
        <v>4644.8599999999997</v>
      </c>
      <c r="G68" s="25">
        <v>0.82</v>
      </c>
      <c r="H68" s="25">
        <v>4.6399999999999997</v>
      </c>
    </row>
    <row r="69" spans="2:8" x14ac:dyDescent="0.2">
      <c r="B69" s="23" t="s">
        <v>371</v>
      </c>
      <c r="C69" s="23" t="s">
        <v>372</v>
      </c>
      <c r="D69" s="23" t="s">
        <v>229</v>
      </c>
      <c r="E69" s="28">
        <v>350</v>
      </c>
      <c r="F69" s="25">
        <v>3531.92</v>
      </c>
      <c r="G69" s="25">
        <v>0.63</v>
      </c>
      <c r="H69" s="25">
        <v>3.55</v>
      </c>
    </row>
    <row r="70" spans="2:8" x14ac:dyDescent="0.2">
      <c r="B70" s="23" t="s">
        <v>373</v>
      </c>
      <c r="C70" s="23" t="s">
        <v>374</v>
      </c>
      <c r="D70" s="23" t="s">
        <v>229</v>
      </c>
      <c r="E70" s="28">
        <v>310</v>
      </c>
      <c r="F70" s="25">
        <v>3185.94</v>
      </c>
      <c r="G70" s="25">
        <v>0.56999999999999995</v>
      </c>
      <c r="H70" s="25">
        <v>4.05</v>
      </c>
    </row>
    <row r="71" spans="2:8" x14ac:dyDescent="0.2">
      <c r="B71" s="23" t="s">
        <v>375</v>
      </c>
      <c r="C71" s="23" t="s">
        <v>376</v>
      </c>
      <c r="D71" s="23" t="s">
        <v>229</v>
      </c>
      <c r="E71" s="28">
        <v>300</v>
      </c>
      <c r="F71" s="25">
        <v>3084.53</v>
      </c>
      <c r="G71" s="25">
        <v>0.55000000000000004</v>
      </c>
      <c r="H71" s="25">
        <v>4.45</v>
      </c>
    </row>
    <row r="72" spans="2:8" x14ac:dyDescent="0.2">
      <c r="B72" s="23" t="s">
        <v>377</v>
      </c>
      <c r="C72" s="23" t="s">
        <v>378</v>
      </c>
      <c r="D72" s="23" t="s">
        <v>229</v>
      </c>
      <c r="E72" s="28">
        <v>250</v>
      </c>
      <c r="F72" s="25">
        <v>2584.48</v>
      </c>
      <c r="G72" s="25">
        <v>0.46</v>
      </c>
      <c r="H72" s="25">
        <v>4.79</v>
      </c>
    </row>
    <row r="73" spans="2:8" x14ac:dyDescent="0.2">
      <c r="B73" s="23" t="s">
        <v>379</v>
      </c>
      <c r="C73" s="23" t="s">
        <v>380</v>
      </c>
      <c r="D73" s="23" t="s">
        <v>229</v>
      </c>
      <c r="E73" s="28">
        <v>250</v>
      </c>
      <c r="F73" s="25">
        <v>2582.5500000000002</v>
      </c>
      <c r="G73" s="25">
        <v>0.46</v>
      </c>
      <c r="H73" s="25">
        <v>4.58</v>
      </c>
    </row>
    <row r="74" spans="2:8" x14ac:dyDescent="0.2">
      <c r="B74" s="23" t="s">
        <v>381</v>
      </c>
      <c r="C74" s="23" t="s">
        <v>382</v>
      </c>
      <c r="D74" s="23" t="s">
        <v>368</v>
      </c>
      <c r="E74" s="28">
        <v>250</v>
      </c>
      <c r="F74" s="25">
        <v>2530.1</v>
      </c>
      <c r="G74" s="25">
        <v>0.45</v>
      </c>
      <c r="H74" s="25">
        <v>3.91</v>
      </c>
    </row>
    <row r="75" spans="2:8" x14ac:dyDescent="0.2">
      <c r="B75" s="23" t="s">
        <v>383</v>
      </c>
      <c r="C75" s="23" t="s">
        <v>384</v>
      </c>
      <c r="D75" s="23" t="s">
        <v>229</v>
      </c>
      <c r="E75" s="28">
        <v>250</v>
      </c>
      <c r="F75" s="25">
        <v>2524.29</v>
      </c>
      <c r="G75" s="25">
        <v>0.45</v>
      </c>
      <c r="H75" s="25">
        <v>3.87</v>
      </c>
    </row>
    <row r="76" spans="2:8" x14ac:dyDescent="0.2">
      <c r="B76" s="23" t="s">
        <v>385</v>
      </c>
      <c r="C76" s="23" t="s">
        <v>386</v>
      </c>
      <c r="D76" s="23" t="s">
        <v>229</v>
      </c>
      <c r="E76" s="28">
        <v>250</v>
      </c>
      <c r="F76" s="25">
        <v>2517.94</v>
      </c>
      <c r="G76" s="25">
        <v>0.45</v>
      </c>
      <c r="H76" s="25">
        <v>3.57</v>
      </c>
    </row>
    <row r="77" spans="2:8" x14ac:dyDescent="0.2">
      <c r="B77" s="23" t="s">
        <v>387</v>
      </c>
      <c r="C77" s="23" t="s">
        <v>388</v>
      </c>
      <c r="D77" s="23" t="s">
        <v>368</v>
      </c>
      <c r="E77" s="28">
        <v>250</v>
      </c>
      <c r="F77" s="25">
        <v>2513.41</v>
      </c>
      <c r="G77" s="25">
        <v>0.45</v>
      </c>
      <c r="H77" s="25">
        <v>5</v>
      </c>
    </row>
    <row r="78" spans="2:8" x14ac:dyDescent="0.2">
      <c r="B78" s="23" t="s">
        <v>389</v>
      </c>
      <c r="C78" s="23" t="s">
        <v>390</v>
      </c>
      <c r="D78" s="23" t="s">
        <v>229</v>
      </c>
      <c r="E78" s="28">
        <v>200</v>
      </c>
      <c r="F78" s="25">
        <v>2128.4499999999998</v>
      </c>
      <c r="G78" s="25">
        <v>0.38</v>
      </c>
      <c r="H78" s="25">
        <v>5.62</v>
      </c>
    </row>
    <row r="79" spans="2:8" x14ac:dyDescent="0.2">
      <c r="B79" s="23" t="s">
        <v>391</v>
      </c>
      <c r="C79" s="23" t="s">
        <v>392</v>
      </c>
      <c r="D79" s="23" t="s">
        <v>229</v>
      </c>
      <c r="E79" s="28">
        <v>200</v>
      </c>
      <c r="F79" s="25">
        <v>2058.34</v>
      </c>
      <c r="G79" s="25">
        <v>0.37</v>
      </c>
      <c r="H79" s="25">
        <v>4.74</v>
      </c>
    </row>
    <row r="80" spans="2:8" x14ac:dyDescent="0.2">
      <c r="B80" s="23" t="s">
        <v>393</v>
      </c>
      <c r="C80" s="23" t="s">
        <v>394</v>
      </c>
      <c r="D80" s="23" t="s">
        <v>229</v>
      </c>
      <c r="E80" s="28">
        <v>150</v>
      </c>
      <c r="F80" s="25">
        <v>1636.79</v>
      </c>
      <c r="G80" s="25">
        <v>0.28999999999999998</v>
      </c>
      <c r="H80" s="25">
        <v>6.81</v>
      </c>
    </row>
    <row r="81" spans="2:8" x14ac:dyDescent="0.2">
      <c r="B81" s="23" t="s">
        <v>395</v>
      </c>
      <c r="C81" s="23" t="s">
        <v>396</v>
      </c>
      <c r="D81" s="23" t="s">
        <v>229</v>
      </c>
      <c r="E81" s="28">
        <v>150</v>
      </c>
      <c r="F81" s="25">
        <v>1590.42</v>
      </c>
      <c r="G81" s="25">
        <v>0.28000000000000003</v>
      </c>
      <c r="H81" s="25">
        <v>5.39</v>
      </c>
    </row>
    <row r="82" spans="2:8" x14ac:dyDescent="0.2">
      <c r="B82" s="23" t="s">
        <v>397</v>
      </c>
      <c r="C82" s="23" t="s">
        <v>398</v>
      </c>
      <c r="D82" s="23" t="s">
        <v>229</v>
      </c>
      <c r="E82" s="28">
        <v>150</v>
      </c>
      <c r="F82" s="25">
        <v>1555.26</v>
      </c>
      <c r="G82" s="25">
        <v>0.28000000000000003</v>
      </c>
      <c r="H82" s="25">
        <v>4.67</v>
      </c>
    </row>
    <row r="83" spans="2:8" x14ac:dyDescent="0.2">
      <c r="B83" s="23" t="s">
        <v>399</v>
      </c>
      <c r="C83" s="23" t="s">
        <v>400</v>
      </c>
      <c r="D83" s="23" t="s">
        <v>229</v>
      </c>
      <c r="E83" s="28">
        <v>150</v>
      </c>
      <c r="F83" s="25">
        <v>1541.85</v>
      </c>
      <c r="G83" s="25">
        <v>0.27</v>
      </c>
      <c r="H83" s="25">
        <v>4.09</v>
      </c>
    </row>
    <row r="84" spans="2:8" x14ac:dyDescent="0.2">
      <c r="B84" s="23" t="s">
        <v>401</v>
      </c>
      <c r="C84" s="23" t="s">
        <v>402</v>
      </c>
      <c r="D84" s="23" t="s">
        <v>368</v>
      </c>
      <c r="E84" s="28">
        <v>150</v>
      </c>
      <c r="F84" s="25">
        <v>1507.74</v>
      </c>
      <c r="G84" s="25">
        <v>0.27</v>
      </c>
      <c r="H84" s="25">
        <v>3.53</v>
      </c>
    </row>
    <row r="85" spans="2:8" x14ac:dyDescent="0.2">
      <c r="B85" s="23" t="s">
        <v>403</v>
      </c>
      <c r="C85" s="23" t="s">
        <v>404</v>
      </c>
      <c r="D85" s="23" t="s">
        <v>229</v>
      </c>
      <c r="E85" s="28">
        <v>150</v>
      </c>
      <c r="F85" s="25">
        <v>1507.18</v>
      </c>
      <c r="G85" s="25">
        <v>0.27</v>
      </c>
      <c r="H85" s="25">
        <v>3.54</v>
      </c>
    </row>
    <row r="86" spans="2:8" x14ac:dyDescent="0.2">
      <c r="B86" s="23" t="s">
        <v>405</v>
      </c>
      <c r="C86" s="23" t="s">
        <v>406</v>
      </c>
      <c r="D86" s="23" t="s">
        <v>229</v>
      </c>
      <c r="E86" s="28">
        <v>112</v>
      </c>
      <c r="F86" s="25">
        <v>1217.45</v>
      </c>
      <c r="G86" s="25">
        <v>0.22</v>
      </c>
      <c r="H86" s="25">
        <v>6.83</v>
      </c>
    </row>
    <row r="87" spans="2:8" x14ac:dyDescent="0.2">
      <c r="B87" s="23" t="s">
        <v>407</v>
      </c>
      <c r="C87" s="23" t="s">
        <v>408</v>
      </c>
      <c r="D87" s="23" t="s">
        <v>229</v>
      </c>
      <c r="E87" s="28">
        <v>100</v>
      </c>
      <c r="F87" s="25">
        <v>1067.57</v>
      </c>
      <c r="G87" s="25">
        <v>0.19</v>
      </c>
      <c r="H87" s="25">
        <v>5.74</v>
      </c>
    </row>
    <row r="88" spans="2:8" x14ac:dyDescent="0.2">
      <c r="B88" s="23" t="s">
        <v>409</v>
      </c>
      <c r="C88" s="23" t="s">
        <v>410</v>
      </c>
      <c r="D88" s="23" t="s">
        <v>229</v>
      </c>
      <c r="E88" s="28">
        <v>100</v>
      </c>
      <c r="F88" s="25">
        <v>1056.55</v>
      </c>
      <c r="G88" s="25">
        <v>0.19</v>
      </c>
      <c r="H88" s="25">
        <v>5.84</v>
      </c>
    </row>
    <row r="89" spans="2:8" x14ac:dyDescent="0.2">
      <c r="B89" s="23" t="s">
        <v>411</v>
      </c>
      <c r="C89" s="23" t="s">
        <v>412</v>
      </c>
      <c r="D89" s="23" t="s">
        <v>229</v>
      </c>
      <c r="E89" s="28">
        <v>100</v>
      </c>
      <c r="F89" s="25">
        <v>1032.82</v>
      </c>
      <c r="G89" s="25">
        <v>0.18</v>
      </c>
      <c r="H89" s="25">
        <v>4.67</v>
      </c>
    </row>
    <row r="90" spans="2:8" x14ac:dyDescent="0.2">
      <c r="B90" s="23" t="s">
        <v>413</v>
      </c>
      <c r="C90" s="23" t="s">
        <v>414</v>
      </c>
      <c r="D90" s="23" t="s">
        <v>415</v>
      </c>
      <c r="E90" s="28">
        <v>100</v>
      </c>
      <c r="F90" s="25">
        <v>1024.8399999999999</v>
      </c>
      <c r="G90" s="25">
        <v>0.18</v>
      </c>
      <c r="H90" s="25">
        <v>4.66</v>
      </c>
    </row>
    <row r="91" spans="2:8" x14ac:dyDescent="0.2">
      <c r="B91" s="23" t="s">
        <v>416</v>
      </c>
      <c r="C91" s="23" t="s">
        <v>417</v>
      </c>
      <c r="D91" s="23" t="s">
        <v>229</v>
      </c>
      <c r="E91" s="28">
        <v>69</v>
      </c>
      <c r="F91" s="25">
        <v>695.46</v>
      </c>
      <c r="G91" s="25">
        <v>0.12</v>
      </c>
      <c r="H91" s="25">
        <v>3.53</v>
      </c>
    </row>
    <row r="92" spans="2:8" x14ac:dyDescent="0.2">
      <c r="B92" s="23" t="s">
        <v>418</v>
      </c>
      <c r="C92" s="23" t="s">
        <v>419</v>
      </c>
      <c r="D92" s="23" t="s">
        <v>229</v>
      </c>
      <c r="E92" s="28">
        <v>50</v>
      </c>
      <c r="F92" s="25">
        <v>535.45000000000005</v>
      </c>
      <c r="G92" s="25">
        <v>0.1</v>
      </c>
      <c r="H92" s="25">
        <v>5.34</v>
      </c>
    </row>
    <row r="93" spans="2:8" x14ac:dyDescent="0.2">
      <c r="B93" s="23" t="s">
        <v>420</v>
      </c>
      <c r="C93" s="23" t="s">
        <v>421</v>
      </c>
      <c r="D93" s="23" t="s">
        <v>229</v>
      </c>
      <c r="E93" s="28">
        <v>50</v>
      </c>
      <c r="F93" s="25">
        <v>527.29999999999995</v>
      </c>
      <c r="G93" s="25">
        <v>0.09</v>
      </c>
      <c r="H93" s="25">
        <v>6.94</v>
      </c>
    </row>
    <row r="94" spans="2:8" x14ac:dyDescent="0.2">
      <c r="B94" s="23" t="s">
        <v>422</v>
      </c>
      <c r="C94" s="23" t="s">
        <v>423</v>
      </c>
      <c r="D94" s="23" t="s">
        <v>229</v>
      </c>
      <c r="E94" s="28">
        <v>50</v>
      </c>
      <c r="F94" s="25">
        <v>527.15</v>
      </c>
      <c r="G94" s="25">
        <v>0.09</v>
      </c>
      <c r="H94" s="25">
        <v>5.76</v>
      </c>
    </row>
    <row r="95" spans="2:8" x14ac:dyDescent="0.2">
      <c r="B95" s="23" t="s">
        <v>424</v>
      </c>
      <c r="C95" s="23" t="s">
        <v>425</v>
      </c>
      <c r="D95" s="23" t="s">
        <v>229</v>
      </c>
      <c r="E95" s="28">
        <v>10</v>
      </c>
      <c r="F95" s="25">
        <v>102.58</v>
      </c>
      <c r="G95" s="25">
        <v>0.02</v>
      </c>
      <c r="H95" s="25">
        <v>3.98</v>
      </c>
    </row>
    <row r="96" spans="2:8" x14ac:dyDescent="0.2">
      <c r="B96" s="23" t="s">
        <v>227</v>
      </c>
      <c r="C96" s="23" t="s">
        <v>228</v>
      </c>
      <c r="D96" s="23" t="s">
        <v>229</v>
      </c>
      <c r="E96" s="28">
        <v>62266</v>
      </c>
      <c r="F96" s="25">
        <v>17.96</v>
      </c>
      <c r="G96" s="25">
        <v>0</v>
      </c>
      <c r="H96" s="25">
        <v>5.7</v>
      </c>
    </row>
    <row r="97" spans="2:10" x14ac:dyDescent="0.2">
      <c r="B97" s="30" t="s">
        <v>110</v>
      </c>
      <c r="C97" s="30"/>
      <c r="D97" s="30"/>
      <c r="E97" s="31"/>
      <c r="F97" s="32">
        <f>SUM(F66:F96)</f>
        <v>56013.099999999991</v>
      </c>
      <c r="G97" s="32">
        <f>SUM(G66:G96)</f>
        <v>9.9599999999999973</v>
      </c>
      <c r="H97" s="48"/>
      <c r="I97" s="14"/>
      <c r="J97" s="14"/>
    </row>
    <row r="98" spans="2:10" x14ac:dyDescent="0.2">
      <c r="B98" s="49" t="s">
        <v>111</v>
      </c>
      <c r="C98" s="49"/>
      <c r="D98" s="49"/>
      <c r="E98" s="50"/>
      <c r="F98" s="51">
        <f>F97</f>
        <v>56013.099999999991</v>
      </c>
      <c r="G98" s="51">
        <f>G97</f>
        <v>9.9599999999999973</v>
      </c>
      <c r="H98" s="51"/>
      <c r="I98" s="14"/>
      <c r="J98" s="14"/>
    </row>
    <row r="99" spans="2:10" x14ac:dyDescent="0.2">
      <c r="B99" s="47" t="s">
        <v>426</v>
      </c>
      <c r="C99" s="23"/>
      <c r="D99" s="23"/>
      <c r="E99" s="24"/>
      <c r="F99" s="25"/>
      <c r="G99" s="25"/>
      <c r="H99" s="25"/>
    </row>
    <row r="100" spans="2:10" x14ac:dyDescent="0.2">
      <c r="B100" s="23" t="s">
        <v>427</v>
      </c>
      <c r="C100" s="23" t="s">
        <v>428</v>
      </c>
      <c r="D100" s="23" t="s">
        <v>429</v>
      </c>
      <c r="E100" s="28">
        <v>10000000</v>
      </c>
      <c r="F100" s="25">
        <v>10470.77</v>
      </c>
      <c r="G100" s="25">
        <v>1.86</v>
      </c>
      <c r="H100" s="25">
        <v>4.5999999999999996</v>
      </c>
    </row>
    <row r="101" spans="2:10" x14ac:dyDescent="0.2">
      <c r="B101" s="23" t="s">
        <v>430</v>
      </c>
      <c r="C101" s="23" t="s">
        <v>431</v>
      </c>
      <c r="D101" s="23" t="s">
        <v>429</v>
      </c>
      <c r="E101" s="28">
        <v>8700000</v>
      </c>
      <c r="F101" s="25">
        <v>9200.69</v>
      </c>
      <c r="G101" s="25">
        <v>1.63</v>
      </c>
      <c r="H101" s="25">
        <v>4.91</v>
      </c>
    </row>
    <row r="102" spans="2:10" x14ac:dyDescent="0.2">
      <c r="B102" s="23" t="s">
        <v>432</v>
      </c>
      <c r="C102" s="23" t="s">
        <v>433</v>
      </c>
      <c r="D102" s="23" t="s">
        <v>429</v>
      </c>
      <c r="E102" s="28">
        <v>8650000</v>
      </c>
      <c r="F102" s="25">
        <v>8650</v>
      </c>
      <c r="G102" s="25">
        <v>1.53</v>
      </c>
      <c r="H102" s="25">
        <v>4.4800000000000004</v>
      </c>
    </row>
    <row r="103" spans="2:10" x14ac:dyDescent="0.2">
      <c r="B103" s="23" t="s">
        <v>434</v>
      </c>
      <c r="C103" s="23" t="s">
        <v>435</v>
      </c>
      <c r="D103" s="23" t="s">
        <v>429</v>
      </c>
      <c r="E103" s="28">
        <v>6250000</v>
      </c>
      <c r="F103" s="25">
        <v>6483.59</v>
      </c>
      <c r="G103" s="25">
        <v>1.1499999999999999</v>
      </c>
      <c r="H103" s="25">
        <v>4.1900000000000004</v>
      </c>
    </row>
    <row r="104" spans="2:10" x14ac:dyDescent="0.2">
      <c r="B104" s="23" t="s">
        <v>436</v>
      </c>
      <c r="C104" s="23" t="s">
        <v>437</v>
      </c>
      <c r="D104" s="23" t="s">
        <v>429</v>
      </c>
      <c r="E104" s="28">
        <v>5000000</v>
      </c>
      <c r="F104" s="25">
        <v>5187.88</v>
      </c>
      <c r="G104" s="25">
        <v>0.92</v>
      </c>
      <c r="H104" s="25">
        <v>4.07</v>
      </c>
    </row>
    <row r="105" spans="2:10" x14ac:dyDescent="0.2">
      <c r="B105" s="23" t="s">
        <v>438</v>
      </c>
      <c r="C105" s="23" t="s">
        <v>439</v>
      </c>
      <c r="D105" s="23" t="s">
        <v>429</v>
      </c>
      <c r="E105" s="28">
        <v>5000000</v>
      </c>
      <c r="F105" s="25">
        <v>5088.5</v>
      </c>
      <c r="G105" s="25">
        <v>0.9</v>
      </c>
      <c r="H105" s="25">
        <v>3.71</v>
      </c>
    </row>
    <row r="106" spans="2:10" x14ac:dyDescent="0.2">
      <c r="B106" s="23" t="s">
        <v>440</v>
      </c>
      <c r="C106" s="23" t="s">
        <v>441</v>
      </c>
      <c r="D106" s="23" t="s">
        <v>429</v>
      </c>
      <c r="E106" s="28">
        <v>5000000</v>
      </c>
      <c r="F106" s="25">
        <v>4933.46</v>
      </c>
      <c r="G106" s="25">
        <v>0.88</v>
      </c>
      <c r="H106" s="25">
        <v>5.6</v>
      </c>
    </row>
    <row r="107" spans="2:10" x14ac:dyDescent="0.2">
      <c r="B107" s="23" t="s">
        <v>442</v>
      </c>
      <c r="C107" s="23" t="s">
        <v>443</v>
      </c>
      <c r="D107" s="23" t="s">
        <v>429</v>
      </c>
      <c r="E107" s="28">
        <v>3000000</v>
      </c>
      <c r="F107" s="25">
        <v>3085.28</v>
      </c>
      <c r="G107" s="25">
        <v>0.55000000000000004</v>
      </c>
      <c r="H107" s="25">
        <v>5.24</v>
      </c>
    </row>
    <row r="108" spans="2:10" x14ac:dyDescent="0.2">
      <c r="B108" s="23" t="s">
        <v>444</v>
      </c>
      <c r="C108" s="23" t="s">
        <v>445</v>
      </c>
      <c r="D108" s="23" t="s">
        <v>429</v>
      </c>
      <c r="E108" s="28">
        <v>3000000</v>
      </c>
      <c r="F108" s="25">
        <v>3080.4</v>
      </c>
      <c r="G108" s="25">
        <v>0.55000000000000004</v>
      </c>
      <c r="H108" s="25">
        <v>3.82</v>
      </c>
    </row>
    <row r="109" spans="2:10" x14ac:dyDescent="0.2">
      <c r="B109" s="23" t="s">
        <v>446</v>
      </c>
      <c r="C109" s="23" t="s">
        <v>447</v>
      </c>
      <c r="D109" s="23" t="s">
        <v>429</v>
      </c>
      <c r="E109" s="28">
        <v>2900000</v>
      </c>
      <c r="F109" s="25">
        <v>2889.29</v>
      </c>
      <c r="G109" s="25">
        <v>0.51</v>
      </c>
      <c r="H109" s="25">
        <v>5.72</v>
      </c>
    </row>
    <row r="110" spans="2:10" x14ac:dyDescent="0.2">
      <c r="B110" s="23" t="s">
        <v>448</v>
      </c>
      <c r="C110" s="23" t="s">
        <v>449</v>
      </c>
      <c r="D110" s="23" t="s">
        <v>429</v>
      </c>
      <c r="E110" s="28">
        <v>2500000</v>
      </c>
      <c r="F110" s="25">
        <v>2657.69</v>
      </c>
      <c r="G110" s="25">
        <v>0.47</v>
      </c>
      <c r="H110" s="25">
        <v>4.92</v>
      </c>
    </row>
    <row r="111" spans="2:10" x14ac:dyDescent="0.2">
      <c r="B111" s="23" t="s">
        <v>450</v>
      </c>
      <c r="C111" s="23" t="s">
        <v>451</v>
      </c>
      <c r="D111" s="23" t="s">
        <v>429</v>
      </c>
      <c r="E111" s="28">
        <v>2500000</v>
      </c>
      <c r="F111" s="25">
        <v>2522.75</v>
      </c>
      <c r="G111" s="25">
        <v>0.45</v>
      </c>
      <c r="H111" s="25">
        <v>3.9</v>
      </c>
    </row>
    <row r="112" spans="2:10" x14ac:dyDescent="0.2">
      <c r="B112" s="23" t="s">
        <v>452</v>
      </c>
      <c r="C112" s="23" t="s">
        <v>453</v>
      </c>
      <c r="D112" s="23" t="s">
        <v>429</v>
      </c>
      <c r="E112" s="28">
        <v>1500000</v>
      </c>
      <c r="F112" s="25">
        <v>1613.62</v>
      </c>
      <c r="G112" s="25">
        <v>0.28999999999999998</v>
      </c>
      <c r="H112" s="25">
        <v>6.18</v>
      </c>
    </row>
    <row r="113" spans="2:10" x14ac:dyDescent="0.2">
      <c r="B113" s="23" t="s">
        <v>454</v>
      </c>
      <c r="C113" s="23" t="s">
        <v>455</v>
      </c>
      <c r="D113" s="23" t="s">
        <v>429</v>
      </c>
      <c r="E113" s="28">
        <v>1500000</v>
      </c>
      <c r="F113" s="25">
        <v>1568.48</v>
      </c>
      <c r="G113" s="25">
        <v>0.28000000000000003</v>
      </c>
      <c r="H113" s="25">
        <v>4.5999999999999996</v>
      </c>
    </row>
    <row r="114" spans="2:10" x14ac:dyDescent="0.2">
      <c r="B114" s="23" t="s">
        <v>456</v>
      </c>
      <c r="C114" s="23" t="s">
        <v>457</v>
      </c>
      <c r="D114" s="23" t="s">
        <v>429</v>
      </c>
      <c r="E114" s="28">
        <v>1500000</v>
      </c>
      <c r="F114" s="25">
        <v>1563</v>
      </c>
      <c r="G114" s="25">
        <v>0.28000000000000003</v>
      </c>
      <c r="H114" s="25">
        <v>6.01</v>
      </c>
    </row>
    <row r="115" spans="2:10" x14ac:dyDescent="0.2">
      <c r="B115" s="23" t="s">
        <v>458</v>
      </c>
      <c r="C115" s="23" t="s">
        <v>459</v>
      </c>
      <c r="D115" s="23" t="s">
        <v>429</v>
      </c>
      <c r="E115" s="28">
        <v>1000000</v>
      </c>
      <c r="F115" s="25">
        <v>1063.07</v>
      </c>
      <c r="G115" s="25">
        <v>0.19</v>
      </c>
      <c r="H115" s="25">
        <v>5.04</v>
      </c>
    </row>
    <row r="116" spans="2:10" x14ac:dyDescent="0.2">
      <c r="B116" s="23" t="s">
        <v>460</v>
      </c>
      <c r="C116" s="23" t="s">
        <v>461</v>
      </c>
      <c r="D116" s="23" t="s">
        <v>429</v>
      </c>
      <c r="E116" s="28">
        <v>1000000</v>
      </c>
      <c r="F116" s="25">
        <v>1047.68</v>
      </c>
      <c r="G116" s="25">
        <v>0.19</v>
      </c>
      <c r="H116" s="25">
        <v>6.27</v>
      </c>
    </row>
    <row r="117" spans="2:10" x14ac:dyDescent="0.2">
      <c r="B117" s="23" t="s">
        <v>462</v>
      </c>
      <c r="C117" s="23" t="s">
        <v>463</v>
      </c>
      <c r="D117" s="23" t="s">
        <v>429</v>
      </c>
      <c r="E117" s="28">
        <v>600000</v>
      </c>
      <c r="F117" s="25">
        <v>630.62</v>
      </c>
      <c r="G117" s="25">
        <v>0.11</v>
      </c>
      <c r="H117" s="25">
        <v>6.2</v>
      </c>
    </row>
    <row r="118" spans="2:10" x14ac:dyDescent="0.2">
      <c r="B118" s="23" t="s">
        <v>464</v>
      </c>
      <c r="C118" s="23" t="s">
        <v>465</v>
      </c>
      <c r="D118" s="23" t="s">
        <v>429</v>
      </c>
      <c r="E118" s="28">
        <v>500000</v>
      </c>
      <c r="F118" s="25">
        <v>549.36</v>
      </c>
      <c r="G118" s="25">
        <v>0.1</v>
      </c>
      <c r="H118" s="25">
        <v>6.14</v>
      </c>
    </row>
    <row r="119" spans="2:10" x14ac:dyDescent="0.2">
      <c r="B119" s="23" t="s">
        <v>466</v>
      </c>
      <c r="C119" s="23" t="s">
        <v>467</v>
      </c>
      <c r="D119" s="23" t="s">
        <v>429</v>
      </c>
      <c r="E119" s="28">
        <v>500000</v>
      </c>
      <c r="F119" s="25">
        <v>546.57000000000005</v>
      </c>
      <c r="G119" s="25">
        <v>0.1</v>
      </c>
      <c r="H119" s="25">
        <v>6.1</v>
      </c>
    </row>
    <row r="120" spans="2:10" x14ac:dyDescent="0.2">
      <c r="B120" s="23" t="s">
        <v>468</v>
      </c>
      <c r="C120" s="23" t="s">
        <v>469</v>
      </c>
      <c r="D120" s="23" t="s">
        <v>429</v>
      </c>
      <c r="E120" s="28">
        <v>500000</v>
      </c>
      <c r="F120" s="25">
        <v>506.25</v>
      </c>
      <c r="G120" s="25">
        <v>0.09</v>
      </c>
      <c r="H120" s="25">
        <v>6.51</v>
      </c>
    </row>
    <row r="121" spans="2:10" x14ac:dyDescent="0.2">
      <c r="B121" s="52" t="s">
        <v>470</v>
      </c>
      <c r="C121" s="52" t="s">
        <v>471</v>
      </c>
      <c r="D121" s="52" t="s">
        <v>429</v>
      </c>
      <c r="E121" s="53">
        <v>191700</v>
      </c>
      <c r="F121" s="54">
        <v>196.97</v>
      </c>
      <c r="G121" s="54">
        <v>0.03</v>
      </c>
      <c r="H121" s="54">
        <v>4.1399999999999997</v>
      </c>
    </row>
    <row r="122" spans="2:10" x14ac:dyDescent="0.2">
      <c r="B122" s="55" t="s">
        <v>111</v>
      </c>
      <c r="C122" s="55"/>
      <c r="D122" s="55"/>
      <c r="E122" s="56"/>
      <c r="F122" s="57">
        <f>SUM(F100:F121)</f>
        <v>73535.92</v>
      </c>
      <c r="G122" s="57">
        <f>SUM(G100:G121)</f>
        <v>13.059999999999997</v>
      </c>
      <c r="H122" s="57"/>
      <c r="I122" s="14"/>
      <c r="J122" s="14"/>
    </row>
    <row r="123" spans="2:10" x14ac:dyDescent="0.2">
      <c r="B123" s="47" t="s">
        <v>112</v>
      </c>
      <c r="C123" s="23"/>
      <c r="D123" s="23"/>
      <c r="E123" s="24"/>
      <c r="F123" s="25"/>
      <c r="G123" s="25"/>
      <c r="H123" s="25"/>
    </row>
    <row r="124" spans="2:10" x14ac:dyDescent="0.2">
      <c r="B124" s="23" t="s">
        <v>112</v>
      </c>
      <c r="C124" s="23"/>
      <c r="D124" s="23"/>
      <c r="E124" s="24"/>
      <c r="F124" s="25">
        <v>21002.11</v>
      </c>
      <c r="G124" s="25">
        <v>3.73</v>
      </c>
      <c r="H124" s="25"/>
    </row>
    <row r="125" spans="2:10" x14ac:dyDescent="0.2">
      <c r="B125" s="30" t="s">
        <v>110</v>
      </c>
      <c r="C125" s="30"/>
      <c r="D125" s="30"/>
      <c r="E125" s="31"/>
      <c r="F125" s="32">
        <f>SUM(F123:F124)</f>
        <v>21002.11</v>
      </c>
      <c r="G125" s="32">
        <f>SUM(G123:G124)</f>
        <v>3.73</v>
      </c>
      <c r="H125" s="48"/>
      <c r="I125" s="14"/>
      <c r="J125" s="14"/>
    </row>
    <row r="126" spans="2:10" x14ac:dyDescent="0.2">
      <c r="B126" s="34" t="s">
        <v>111</v>
      </c>
      <c r="C126" s="34"/>
      <c r="D126" s="34"/>
      <c r="E126" s="35"/>
      <c r="F126" s="36">
        <f>F125</f>
        <v>21002.11</v>
      </c>
      <c r="G126" s="36">
        <f>G125</f>
        <v>3.73</v>
      </c>
      <c r="H126" s="36"/>
      <c r="I126" s="14"/>
      <c r="J126" s="14"/>
    </row>
    <row r="127" spans="2:10" x14ac:dyDescent="0.2">
      <c r="B127" s="44" t="s">
        <v>114</v>
      </c>
      <c r="C127" s="44"/>
      <c r="D127" s="44"/>
      <c r="E127" s="45"/>
      <c r="F127" s="16">
        <f>F128-(+F64+F98+F122+F126)</f>
        <v>-76.290000000037253</v>
      </c>
      <c r="G127" s="16">
        <f>G128-(+G64+G98+G122+G126)</f>
        <v>0</v>
      </c>
      <c r="H127" s="16"/>
      <c r="I127" s="14"/>
      <c r="J127" s="14"/>
    </row>
    <row r="128" spans="2:10" x14ac:dyDescent="0.2">
      <c r="B128" s="44" t="s">
        <v>113</v>
      </c>
      <c r="C128" s="44"/>
      <c r="D128" s="44"/>
      <c r="E128" s="45"/>
      <c r="F128" s="16">
        <v>563599.26</v>
      </c>
      <c r="G128" s="16">
        <v>100</v>
      </c>
      <c r="H128" s="16"/>
      <c r="I128" s="14"/>
      <c r="J128" s="14"/>
    </row>
    <row r="130" spans="2:2" x14ac:dyDescent="0.2">
      <c r="B130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workbookViewId="0">
      <selection activeCell="B32" sqref="B32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17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226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377</v>
      </c>
      <c r="C7" s="23" t="s">
        <v>378</v>
      </c>
      <c r="D7" s="23" t="s">
        <v>229</v>
      </c>
      <c r="E7" s="28">
        <v>50</v>
      </c>
      <c r="F7" s="25">
        <v>516.9</v>
      </c>
      <c r="G7" s="25">
        <v>4.43</v>
      </c>
      <c r="H7" s="25">
        <v>4.79</v>
      </c>
    </row>
    <row r="8" spans="2:10" x14ac:dyDescent="0.2">
      <c r="B8" s="23" t="s">
        <v>472</v>
      </c>
      <c r="C8" s="23" t="s">
        <v>473</v>
      </c>
      <c r="D8" s="23" t="s">
        <v>368</v>
      </c>
      <c r="E8" s="28">
        <v>50</v>
      </c>
      <c r="F8" s="25">
        <v>513.27</v>
      </c>
      <c r="G8" s="25">
        <v>4.4000000000000004</v>
      </c>
      <c r="H8" s="25">
        <v>3.92</v>
      </c>
    </row>
    <row r="9" spans="2:10" x14ac:dyDescent="0.2">
      <c r="B9" s="30" t="s">
        <v>110</v>
      </c>
      <c r="C9" s="30"/>
      <c r="D9" s="30"/>
      <c r="E9" s="31"/>
      <c r="F9" s="32">
        <f>SUM(F6:F8)</f>
        <v>1030.17</v>
      </c>
      <c r="G9" s="32">
        <f>SUM(G6:G8)</f>
        <v>8.83</v>
      </c>
      <c r="H9" s="48"/>
      <c r="I9" s="14"/>
      <c r="J9" s="14"/>
    </row>
    <row r="10" spans="2:10" x14ac:dyDescent="0.2">
      <c r="B10" s="49" t="s">
        <v>111</v>
      </c>
      <c r="C10" s="49"/>
      <c r="D10" s="49"/>
      <c r="E10" s="50"/>
      <c r="F10" s="51">
        <f>F9</f>
        <v>1030.17</v>
      </c>
      <c r="G10" s="51">
        <f>G9</f>
        <v>8.83</v>
      </c>
      <c r="H10" s="51"/>
      <c r="I10" s="14"/>
      <c r="J10" s="14"/>
    </row>
    <row r="11" spans="2:10" x14ac:dyDescent="0.2">
      <c r="B11" s="47" t="s">
        <v>474</v>
      </c>
      <c r="C11" s="23"/>
      <c r="D11" s="23"/>
      <c r="E11" s="24"/>
      <c r="F11" s="25"/>
      <c r="G11" s="25"/>
      <c r="H11" s="25"/>
    </row>
    <row r="12" spans="2:10" x14ac:dyDescent="0.2">
      <c r="B12" s="47" t="s">
        <v>475</v>
      </c>
      <c r="C12" s="23"/>
      <c r="D12" s="23"/>
      <c r="E12" s="24"/>
      <c r="F12" s="25"/>
      <c r="G12" s="25"/>
      <c r="H12" s="25"/>
    </row>
    <row r="13" spans="2:10" x14ac:dyDescent="0.2">
      <c r="B13" s="23" t="s">
        <v>476</v>
      </c>
      <c r="C13" s="23" t="s">
        <v>477</v>
      </c>
      <c r="D13" s="23" t="s">
        <v>478</v>
      </c>
      <c r="E13" s="28">
        <v>3000000</v>
      </c>
      <c r="F13" s="25">
        <v>2998.1</v>
      </c>
      <c r="G13" s="25">
        <v>25.68</v>
      </c>
      <c r="H13" s="25">
        <v>3.31</v>
      </c>
    </row>
    <row r="14" spans="2:10" x14ac:dyDescent="0.2">
      <c r="B14" s="30" t="s">
        <v>110</v>
      </c>
      <c r="C14" s="30"/>
      <c r="D14" s="30"/>
      <c r="E14" s="31"/>
      <c r="F14" s="32">
        <f>SUM(F12:F13)</f>
        <v>2998.1</v>
      </c>
      <c r="G14" s="32">
        <f>SUM(G12:G13)</f>
        <v>25.68</v>
      </c>
      <c r="H14" s="48"/>
      <c r="I14" s="14"/>
      <c r="J14" s="14"/>
    </row>
    <row r="15" spans="2:10" x14ac:dyDescent="0.2">
      <c r="B15" s="49" t="s">
        <v>111</v>
      </c>
      <c r="C15" s="49"/>
      <c r="D15" s="49"/>
      <c r="E15" s="50"/>
      <c r="F15" s="51">
        <f>+F14</f>
        <v>2998.1</v>
      </c>
      <c r="G15" s="51">
        <f>+G14</f>
        <v>25.68</v>
      </c>
      <c r="H15" s="51"/>
      <c r="I15" s="14"/>
      <c r="J15" s="14"/>
    </row>
    <row r="16" spans="2:10" x14ac:dyDescent="0.2">
      <c r="B16" s="47" t="s">
        <v>426</v>
      </c>
      <c r="C16" s="23"/>
      <c r="D16" s="23"/>
      <c r="E16" s="24"/>
      <c r="F16" s="25"/>
      <c r="G16" s="25"/>
      <c r="H16" s="25"/>
    </row>
    <row r="17" spans="2:10" x14ac:dyDescent="0.2">
      <c r="B17" s="23" t="s">
        <v>460</v>
      </c>
      <c r="C17" s="23" t="s">
        <v>461</v>
      </c>
      <c r="D17" s="23" t="s">
        <v>429</v>
      </c>
      <c r="E17" s="28">
        <v>1100000</v>
      </c>
      <c r="F17" s="25">
        <v>1152.45</v>
      </c>
      <c r="G17" s="25">
        <v>9.8699999999999992</v>
      </c>
      <c r="H17" s="25">
        <v>6.27</v>
      </c>
    </row>
    <row r="18" spans="2:10" x14ac:dyDescent="0.2">
      <c r="B18" s="23" t="s">
        <v>479</v>
      </c>
      <c r="C18" s="23" t="s">
        <v>480</v>
      </c>
      <c r="D18" s="23" t="s">
        <v>429</v>
      </c>
      <c r="E18" s="28">
        <v>1000000</v>
      </c>
      <c r="F18" s="25">
        <v>1055</v>
      </c>
      <c r="G18" s="25">
        <v>9.0399999999999991</v>
      </c>
      <c r="H18" s="25">
        <v>5.93</v>
      </c>
    </row>
    <row r="19" spans="2:10" x14ac:dyDescent="0.2">
      <c r="B19" s="23" t="s">
        <v>481</v>
      </c>
      <c r="C19" s="23" t="s">
        <v>482</v>
      </c>
      <c r="D19" s="23" t="s">
        <v>429</v>
      </c>
      <c r="E19" s="28">
        <v>600000</v>
      </c>
      <c r="F19" s="25">
        <v>643.79999999999995</v>
      </c>
      <c r="G19" s="25">
        <v>5.51</v>
      </c>
      <c r="H19" s="25">
        <v>6.67</v>
      </c>
    </row>
    <row r="20" spans="2:10" x14ac:dyDescent="0.2">
      <c r="B20" s="23" t="s">
        <v>462</v>
      </c>
      <c r="C20" s="23" t="s">
        <v>463</v>
      </c>
      <c r="D20" s="23" t="s">
        <v>429</v>
      </c>
      <c r="E20" s="28">
        <v>600000</v>
      </c>
      <c r="F20" s="25">
        <v>630.62</v>
      </c>
      <c r="G20" s="25">
        <v>5.4</v>
      </c>
      <c r="H20" s="25">
        <v>6.2</v>
      </c>
    </row>
    <row r="21" spans="2:10" x14ac:dyDescent="0.2">
      <c r="B21" s="23" t="s">
        <v>468</v>
      </c>
      <c r="C21" s="23" t="s">
        <v>469</v>
      </c>
      <c r="D21" s="23" t="s">
        <v>429</v>
      </c>
      <c r="E21" s="28">
        <v>523200</v>
      </c>
      <c r="F21" s="25">
        <v>529.74</v>
      </c>
      <c r="G21" s="25">
        <v>4.54</v>
      </c>
      <c r="H21" s="25">
        <v>6.51</v>
      </c>
    </row>
    <row r="22" spans="2:10" x14ac:dyDescent="0.2">
      <c r="B22" s="52" t="s">
        <v>483</v>
      </c>
      <c r="C22" s="52" t="s">
        <v>484</v>
      </c>
      <c r="D22" s="52" t="s">
        <v>429</v>
      </c>
      <c r="E22" s="53">
        <v>500000</v>
      </c>
      <c r="F22" s="54">
        <v>490.59</v>
      </c>
      <c r="G22" s="54">
        <v>4.2</v>
      </c>
      <c r="H22" s="54">
        <v>5.64</v>
      </c>
    </row>
    <row r="23" spans="2:10" x14ac:dyDescent="0.2">
      <c r="B23" s="55" t="s">
        <v>111</v>
      </c>
      <c r="C23" s="55"/>
      <c r="D23" s="55"/>
      <c r="E23" s="56"/>
      <c r="F23" s="57">
        <f>SUM(F17:F22)</f>
        <v>4502.2</v>
      </c>
      <c r="G23" s="57">
        <f>SUM(G17:G22)</f>
        <v>38.559999999999995</v>
      </c>
      <c r="H23" s="57"/>
      <c r="I23" s="14"/>
      <c r="J23" s="14"/>
    </row>
    <row r="24" spans="2:10" x14ac:dyDescent="0.2">
      <c r="B24" s="47" t="s">
        <v>112</v>
      </c>
      <c r="C24" s="23"/>
      <c r="D24" s="23"/>
      <c r="E24" s="24"/>
      <c r="F24" s="25"/>
      <c r="G24" s="25"/>
      <c r="H24" s="25"/>
    </row>
    <row r="25" spans="2:10" x14ac:dyDescent="0.2">
      <c r="B25" s="23" t="s">
        <v>112</v>
      </c>
      <c r="C25" s="23"/>
      <c r="D25" s="23"/>
      <c r="E25" s="24"/>
      <c r="F25" s="25">
        <v>3028.14</v>
      </c>
      <c r="G25" s="25">
        <v>25.93</v>
      </c>
      <c r="H25" s="25"/>
    </row>
    <row r="26" spans="2:10" x14ac:dyDescent="0.2">
      <c r="B26" s="30" t="s">
        <v>110</v>
      </c>
      <c r="C26" s="30"/>
      <c r="D26" s="30"/>
      <c r="E26" s="31"/>
      <c r="F26" s="32">
        <f>SUM(F24:F25)</f>
        <v>3028.14</v>
      </c>
      <c r="G26" s="32">
        <f>SUM(G24:G25)</f>
        <v>25.93</v>
      </c>
      <c r="H26" s="48"/>
      <c r="I26" s="14"/>
      <c r="J26" s="14"/>
    </row>
    <row r="27" spans="2:10" x14ac:dyDescent="0.2">
      <c r="B27" s="34" t="s">
        <v>111</v>
      </c>
      <c r="C27" s="34"/>
      <c r="D27" s="34"/>
      <c r="E27" s="35"/>
      <c r="F27" s="36">
        <f>F26</f>
        <v>3028.14</v>
      </c>
      <c r="G27" s="36">
        <f>G26</f>
        <v>25.93</v>
      </c>
      <c r="H27" s="36"/>
      <c r="I27" s="14"/>
      <c r="J27" s="14"/>
    </row>
    <row r="28" spans="2:10" x14ac:dyDescent="0.2">
      <c r="B28" s="44" t="s">
        <v>114</v>
      </c>
      <c r="C28" s="44"/>
      <c r="D28" s="44"/>
      <c r="E28" s="45"/>
      <c r="F28" s="16">
        <f>F29-(+F10+F15+F23+F27)</f>
        <v>117.94000000000051</v>
      </c>
      <c r="G28" s="16">
        <f>G29-(+G10+G15+G23+G27)</f>
        <v>1</v>
      </c>
      <c r="H28" s="16"/>
      <c r="I28" s="14"/>
      <c r="J28" s="14"/>
    </row>
    <row r="29" spans="2:10" x14ac:dyDescent="0.2">
      <c r="B29" s="44" t="s">
        <v>113</v>
      </c>
      <c r="C29" s="44"/>
      <c r="D29" s="44"/>
      <c r="E29" s="45"/>
      <c r="F29" s="16">
        <v>11676.55</v>
      </c>
      <c r="G29" s="16">
        <v>100</v>
      </c>
      <c r="H29" s="16"/>
      <c r="I29" s="14"/>
      <c r="J29" s="14"/>
    </row>
    <row r="31" spans="2:10" x14ac:dyDescent="0.2">
      <c r="B31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B23" sqref="B23"/>
    </sheetView>
  </sheetViews>
  <sheetFormatPr defaultRowHeight="12" x14ac:dyDescent="0.2"/>
  <cols>
    <col min="1" max="1" width="9.140625" style="1"/>
    <col min="2" max="2" width="5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18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426</v>
      </c>
      <c r="C5" s="18"/>
      <c r="D5" s="18"/>
      <c r="E5" s="19"/>
      <c r="F5" s="20"/>
      <c r="G5" s="20"/>
      <c r="H5" s="20"/>
    </row>
    <row r="6" spans="2:10" x14ac:dyDescent="0.2">
      <c r="B6" s="23" t="s">
        <v>485</v>
      </c>
      <c r="C6" s="23" t="s">
        <v>486</v>
      </c>
      <c r="D6" s="23" t="s">
        <v>429</v>
      </c>
      <c r="E6" s="28">
        <v>3500000</v>
      </c>
      <c r="F6" s="25">
        <v>3503.7</v>
      </c>
      <c r="G6" s="25">
        <v>37.590000000000003</v>
      </c>
      <c r="H6" s="25">
        <v>3.51</v>
      </c>
    </row>
    <row r="7" spans="2:10" x14ac:dyDescent="0.2">
      <c r="B7" s="23" t="s">
        <v>460</v>
      </c>
      <c r="C7" s="23" t="s">
        <v>461</v>
      </c>
      <c r="D7" s="23" t="s">
        <v>429</v>
      </c>
      <c r="E7" s="28">
        <v>1073300</v>
      </c>
      <c r="F7" s="25">
        <v>1124.47</v>
      </c>
      <c r="G7" s="25">
        <v>12.06</v>
      </c>
      <c r="H7" s="25">
        <v>6.27</v>
      </c>
    </row>
    <row r="8" spans="2:10" x14ac:dyDescent="0.2">
      <c r="B8" s="23" t="s">
        <v>479</v>
      </c>
      <c r="C8" s="23" t="s">
        <v>480</v>
      </c>
      <c r="D8" s="23" t="s">
        <v>429</v>
      </c>
      <c r="E8" s="28">
        <v>1000000</v>
      </c>
      <c r="F8" s="25">
        <v>1055</v>
      </c>
      <c r="G8" s="25">
        <v>11.32</v>
      </c>
      <c r="H8" s="25">
        <v>5.93</v>
      </c>
    </row>
    <row r="9" spans="2:10" x14ac:dyDescent="0.2">
      <c r="B9" s="23" t="s">
        <v>462</v>
      </c>
      <c r="C9" s="23" t="s">
        <v>463</v>
      </c>
      <c r="D9" s="23" t="s">
        <v>429</v>
      </c>
      <c r="E9" s="28">
        <v>600000</v>
      </c>
      <c r="F9" s="25">
        <v>630.62</v>
      </c>
      <c r="G9" s="25">
        <v>6.77</v>
      </c>
      <c r="H9" s="25">
        <v>6.2</v>
      </c>
    </row>
    <row r="10" spans="2:10" x14ac:dyDescent="0.2">
      <c r="B10" s="23" t="s">
        <v>456</v>
      </c>
      <c r="C10" s="23" t="s">
        <v>457</v>
      </c>
      <c r="D10" s="23" t="s">
        <v>429</v>
      </c>
      <c r="E10" s="28">
        <v>500000</v>
      </c>
      <c r="F10" s="25">
        <v>521</v>
      </c>
      <c r="G10" s="25">
        <v>5.59</v>
      </c>
      <c r="H10" s="25">
        <v>6.01</v>
      </c>
    </row>
    <row r="11" spans="2:10" x14ac:dyDescent="0.2">
      <c r="B11" s="23" t="s">
        <v>438</v>
      </c>
      <c r="C11" s="23" t="s">
        <v>439</v>
      </c>
      <c r="D11" s="23" t="s">
        <v>429</v>
      </c>
      <c r="E11" s="28">
        <v>500000</v>
      </c>
      <c r="F11" s="25">
        <v>508.85</v>
      </c>
      <c r="G11" s="25">
        <v>5.46</v>
      </c>
      <c r="H11" s="25">
        <v>3.71</v>
      </c>
    </row>
    <row r="12" spans="2:10" x14ac:dyDescent="0.2">
      <c r="B12" s="23" t="s">
        <v>481</v>
      </c>
      <c r="C12" s="23" t="s">
        <v>482</v>
      </c>
      <c r="D12" s="23" t="s">
        <v>429</v>
      </c>
      <c r="E12" s="28">
        <v>400000</v>
      </c>
      <c r="F12" s="25">
        <v>429.2</v>
      </c>
      <c r="G12" s="25">
        <v>4.5999999999999996</v>
      </c>
      <c r="H12" s="25">
        <v>6.67</v>
      </c>
    </row>
    <row r="13" spans="2:10" x14ac:dyDescent="0.2">
      <c r="B13" s="23" t="s">
        <v>487</v>
      </c>
      <c r="C13" s="23" t="s">
        <v>488</v>
      </c>
      <c r="D13" s="23" t="s">
        <v>429</v>
      </c>
      <c r="E13" s="28">
        <v>420100</v>
      </c>
      <c r="F13" s="25">
        <v>400.31</v>
      </c>
      <c r="G13" s="25">
        <v>4.29</v>
      </c>
      <c r="H13" s="25">
        <v>6.75</v>
      </c>
    </row>
    <row r="14" spans="2:10" x14ac:dyDescent="0.2">
      <c r="B14" s="52" t="s">
        <v>489</v>
      </c>
      <c r="C14" s="52" t="s">
        <v>490</v>
      </c>
      <c r="D14" s="52" t="s">
        <v>429</v>
      </c>
      <c r="E14" s="53">
        <v>10000</v>
      </c>
      <c r="F14" s="54">
        <v>11.26</v>
      </c>
      <c r="G14" s="54">
        <v>0.12</v>
      </c>
      <c r="H14" s="54">
        <v>7.04</v>
      </c>
    </row>
    <row r="15" spans="2:10" x14ac:dyDescent="0.2">
      <c r="B15" s="55" t="s">
        <v>111</v>
      </c>
      <c r="C15" s="55"/>
      <c r="D15" s="55"/>
      <c r="E15" s="56"/>
      <c r="F15" s="57">
        <f>SUM(F6:F14)</f>
        <v>8184.4100000000008</v>
      </c>
      <c r="G15" s="57">
        <f>SUM(G6:G14)</f>
        <v>87.800000000000011</v>
      </c>
      <c r="H15" s="57"/>
      <c r="I15" s="14"/>
      <c r="J15" s="14"/>
    </row>
    <row r="16" spans="2:10" x14ac:dyDescent="0.2">
      <c r="B16" s="47" t="s">
        <v>112</v>
      </c>
      <c r="C16" s="23"/>
      <c r="D16" s="23"/>
      <c r="E16" s="24"/>
      <c r="F16" s="25"/>
      <c r="G16" s="25"/>
      <c r="H16" s="25"/>
    </row>
    <row r="17" spans="2:10" x14ac:dyDescent="0.2">
      <c r="B17" s="23" t="s">
        <v>112</v>
      </c>
      <c r="C17" s="23"/>
      <c r="D17" s="23"/>
      <c r="E17" s="24"/>
      <c r="F17" s="25">
        <v>935.53</v>
      </c>
      <c r="G17" s="25">
        <v>10.039999999999999</v>
      </c>
      <c r="H17" s="25"/>
    </row>
    <row r="18" spans="2:10" x14ac:dyDescent="0.2">
      <c r="B18" s="30" t="s">
        <v>110</v>
      </c>
      <c r="C18" s="30"/>
      <c r="D18" s="30"/>
      <c r="E18" s="31"/>
      <c r="F18" s="32">
        <f>SUM(F16:F17)</f>
        <v>935.53</v>
      </c>
      <c r="G18" s="32">
        <f>SUM(G16:G17)</f>
        <v>10.039999999999999</v>
      </c>
      <c r="H18" s="48"/>
      <c r="I18" s="14"/>
      <c r="J18" s="14"/>
    </row>
    <row r="19" spans="2:10" x14ac:dyDescent="0.2">
      <c r="B19" s="34" t="s">
        <v>111</v>
      </c>
      <c r="C19" s="34"/>
      <c r="D19" s="34"/>
      <c r="E19" s="35"/>
      <c r="F19" s="36">
        <f>F18</f>
        <v>935.53</v>
      </c>
      <c r="G19" s="36">
        <f>G18</f>
        <v>10.039999999999999</v>
      </c>
      <c r="H19" s="36"/>
      <c r="I19" s="14"/>
      <c r="J19" s="14"/>
    </row>
    <row r="20" spans="2:10" x14ac:dyDescent="0.2">
      <c r="B20" s="44" t="s">
        <v>114</v>
      </c>
      <c r="C20" s="44"/>
      <c r="D20" s="44"/>
      <c r="E20" s="45"/>
      <c r="F20" s="16">
        <f>F21-(+F15+F19)</f>
        <v>201.52999999999884</v>
      </c>
      <c r="G20" s="16">
        <f>G21-(+G15+G19)</f>
        <v>2.1599999999999966</v>
      </c>
      <c r="H20" s="16"/>
      <c r="I20" s="14"/>
      <c r="J20" s="14"/>
    </row>
    <row r="21" spans="2:10" x14ac:dyDescent="0.2">
      <c r="B21" s="44" t="s">
        <v>113</v>
      </c>
      <c r="C21" s="44"/>
      <c r="D21" s="44"/>
      <c r="E21" s="45"/>
      <c r="F21" s="16">
        <v>9321.4699999999993</v>
      </c>
      <c r="G21" s="16">
        <v>100</v>
      </c>
      <c r="H21" s="16"/>
      <c r="I21" s="14"/>
      <c r="J21" s="14"/>
    </row>
    <row r="23" spans="2:10" x14ac:dyDescent="0.2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workbookViewId="0">
      <selection activeCell="D7" sqref="D7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19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226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491</v>
      </c>
      <c r="C7" s="23" t="s">
        <v>492</v>
      </c>
      <c r="D7" s="23" t="s">
        <v>229</v>
      </c>
      <c r="E7" s="28">
        <v>50</v>
      </c>
      <c r="F7" s="25">
        <v>545.62</v>
      </c>
      <c r="G7" s="25">
        <v>3.74</v>
      </c>
      <c r="H7" s="25">
        <v>5.98</v>
      </c>
    </row>
    <row r="8" spans="2:10" x14ac:dyDescent="0.2">
      <c r="B8" s="23" t="s">
        <v>493</v>
      </c>
      <c r="C8" s="23" t="s">
        <v>494</v>
      </c>
      <c r="D8" s="23" t="s">
        <v>229</v>
      </c>
      <c r="E8" s="28">
        <v>50</v>
      </c>
      <c r="F8" s="25">
        <v>538.39</v>
      </c>
      <c r="G8" s="25">
        <v>3.69</v>
      </c>
      <c r="H8" s="25">
        <v>5.6</v>
      </c>
    </row>
    <row r="9" spans="2:10" x14ac:dyDescent="0.2">
      <c r="B9" s="23" t="s">
        <v>389</v>
      </c>
      <c r="C9" s="23" t="s">
        <v>390</v>
      </c>
      <c r="D9" s="23" t="s">
        <v>229</v>
      </c>
      <c r="E9" s="28">
        <v>50</v>
      </c>
      <c r="F9" s="25">
        <v>532.11</v>
      </c>
      <c r="G9" s="25">
        <v>3.64</v>
      </c>
      <c r="H9" s="25">
        <v>5.62</v>
      </c>
    </row>
    <row r="10" spans="2:10" x14ac:dyDescent="0.2">
      <c r="B10" s="23" t="s">
        <v>495</v>
      </c>
      <c r="C10" s="23" t="s">
        <v>496</v>
      </c>
      <c r="D10" s="23" t="s">
        <v>229</v>
      </c>
      <c r="E10" s="28">
        <v>50</v>
      </c>
      <c r="F10" s="25">
        <v>528.76</v>
      </c>
      <c r="G10" s="25">
        <v>3.62</v>
      </c>
      <c r="H10" s="25">
        <v>4.7300000000000004</v>
      </c>
    </row>
    <row r="11" spans="2:10" x14ac:dyDescent="0.2">
      <c r="B11" s="23" t="s">
        <v>497</v>
      </c>
      <c r="C11" s="23" t="s">
        <v>498</v>
      </c>
      <c r="D11" s="23" t="s">
        <v>229</v>
      </c>
      <c r="E11" s="28">
        <v>50</v>
      </c>
      <c r="F11" s="25">
        <v>524.53</v>
      </c>
      <c r="G11" s="25">
        <v>3.59</v>
      </c>
      <c r="H11" s="25">
        <v>5.9</v>
      </c>
    </row>
    <row r="12" spans="2:10" x14ac:dyDescent="0.2">
      <c r="B12" s="23" t="s">
        <v>379</v>
      </c>
      <c r="C12" s="23" t="s">
        <v>380</v>
      </c>
      <c r="D12" s="23" t="s">
        <v>229</v>
      </c>
      <c r="E12" s="28">
        <v>50</v>
      </c>
      <c r="F12" s="25">
        <v>516.51</v>
      </c>
      <c r="G12" s="25">
        <v>3.54</v>
      </c>
      <c r="H12" s="25">
        <v>4.58</v>
      </c>
    </row>
    <row r="13" spans="2:10" x14ac:dyDescent="0.2">
      <c r="B13" s="23" t="s">
        <v>499</v>
      </c>
      <c r="C13" s="23" t="s">
        <v>500</v>
      </c>
      <c r="D13" s="23" t="s">
        <v>229</v>
      </c>
      <c r="E13" s="28">
        <v>20</v>
      </c>
      <c r="F13" s="25">
        <v>200.47</v>
      </c>
      <c r="G13" s="25">
        <v>1.37</v>
      </c>
      <c r="H13" s="25">
        <v>3.63</v>
      </c>
    </row>
    <row r="14" spans="2:10" x14ac:dyDescent="0.2">
      <c r="B14" s="30" t="s">
        <v>110</v>
      </c>
      <c r="C14" s="30"/>
      <c r="D14" s="30"/>
      <c r="E14" s="31"/>
      <c r="F14" s="32">
        <f>SUM(F6:F13)</f>
        <v>3386.39</v>
      </c>
      <c r="G14" s="32">
        <f>SUM(G6:G13)</f>
        <v>23.19</v>
      </c>
      <c r="H14" s="48"/>
      <c r="I14" s="14"/>
      <c r="J14" s="14"/>
    </row>
    <row r="15" spans="2:10" x14ac:dyDescent="0.2">
      <c r="B15" s="49" t="s">
        <v>111</v>
      </c>
      <c r="C15" s="49"/>
      <c r="D15" s="49"/>
      <c r="E15" s="50"/>
      <c r="F15" s="51">
        <f>F14</f>
        <v>3386.39</v>
      </c>
      <c r="G15" s="51">
        <f>G14</f>
        <v>23.19</v>
      </c>
      <c r="H15" s="51"/>
      <c r="I15" s="14"/>
      <c r="J15" s="14"/>
    </row>
    <row r="16" spans="2:10" x14ac:dyDescent="0.2">
      <c r="B16" s="47" t="s">
        <v>426</v>
      </c>
      <c r="C16" s="23"/>
      <c r="D16" s="23"/>
      <c r="E16" s="24"/>
      <c r="F16" s="25"/>
      <c r="G16" s="25"/>
      <c r="H16" s="25"/>
    </row>
    <row r="17" spans="2:10" x14ac:dyDescent="0.2">
      <c r="B17" s="23" t="s">
        <v>430</v>
      </c>
      <c r="C17" s="23" t="s">
        <v>431</v>
      </c>
      <c r="D17" s="23" t="s">
        <v>429</v>
      </c>
      <c r="E17" s="28">
        <v>1000000</v>
      </c>
      <c r="F17" s="25">
        <v>1057.55</v>
      </c>
      <c r="G17" s="25">
        <v>7.24</v>
      </c>
      <c r="H17" s="25">
        <v>4.91</v>
      </c>
    </row>
    <row r="18" spans="2:10" x14ac:dyDescent="0.2">
      <c r="B18" s="23" t="s">
        <v>460</v>
      </c>
      <c r="C18" s="23" t="s">
        <v>461</v>
      </c>
      <c r="D18" s="23" t="s">
        <v>429</v>
      </c>
      <c r="E18" s="28">
        <v>1000000</v>
      </c>
      <c r="F18" s="25">
        <v>1047.68</v>
      </c>
      <c r="G18" s="25">
        <v>7.17</v>
      </c>
      <c r="H18" s="25">
        <v>6.27</v>
      </c>
    </row>
    <row r="19" spans="2:10" x14ac:dyDescent="0.2">
      <c r="B19" s="23" t="s">
        <v>454</v>
      </c>
      <c r="C19" s="23" t="s">
        <v>455</v>
      </c>
      <c r="D19" s="23" t="s">
        <v>429</v>
      </c>
      <c r="E19" s="28">
        <v>1000000</v>
      </c>
      <c r="F19" s="25">
        <v>1045.6500000000001</v>
      </c>
      <c r="G19" s="25">
        <v>7.16</v>
      </c>
      <c r="H19" s="25">
        <v>4.5999999999999996</v>
      </c>
    </row>
    <row r="20" spans="2:10" x14ac:dyDescent="0.2">
      <c r="B20" s="23" t="s">
        <v>442</v>
      </c>
      <c r="C20" s="23" t="s">
        <v>443</v>
      </c>
      <c r="D20" s="23" t="s">
        <v>429</v>
      </c>
      <c r="E20" s="28">
        <v>1000000</v>
      </c>
      <c r="F20" s="25">
        <v>1028.43</v>
      </c>
      <c r="G20" s="25">
        <v>7.04</v>
      </c>
      <c r="H20" s="25">
        <v>5.24</v>
      </c>
    </row>
    <row r="21" spans="2:10" x14ac:dyDescent="0.2">
      <c r="B21" s="23" t="s">
        <v>501</v>
      </c>
      <c r="C21" s="23" t="s">
        <v>502</v>
      </c>
      <c r="D21" s="23" t="s">
        <v>429</v>
      </c>
      <c r="E21" s="28">
        <v>1000000</v>
      </c>
      <c r="F21" s="25">
        <v>993.07</v>
      </c>
      <c r="G21" s="25">
        <v>6.8</v>
      </c>
      <c r="H21" s="25">
        <v>6.72</v>
      </c>
    </row>
    <row r="22" spans="2:10" x14ac:dyDescent="0.2">
      <c r="B22" s="23" t="s">
        <v>440</v>
      </c>
      <c r="C22" s="23" t="s">
        <v>441</v>
      </c>
      <c r="D22" s="23" t="s">
        <v>429</v>
      </c>
      <c r="E22" s="28">
        <v>1000000</v>
      </c>
      <c r="F22" s="25">
        <v>986.69</v>
      </c>
      <c r="G22" s="25">
        <v>6.75</v>
      </c>
      <c r="H22" s="25">
        <v>5.6</v>
      </c>
    </row>
    <row r="23" spans="2:10" x14ac:dyDescent="0.2">
      <c r="B23" s="23" t="s">
        <v>468</v>
      </c>
      <c r="C23" s="23" t="s">
        <v>469</v>
      </c>
      <c r="D23" s="23" t="s">
        <v>429</v>
      </c>
      <c r="E23" s="28">
        <v>750000</v>
      </c>
      <c r="F23" s="25">
        <v>759.37</v>
      </c>
      <c r="G23" s="25">
        <v>5.2</v>
      </c>
      <c r="H23" s="25">
        <v>6.51</v>
      </c>
    </row>
    <row r="24" spans="2:10" x14ac:dyDescent="0.2">
      <c r="B24" s="23" t="s">
        <v>503</v>
      </c>
      <c r="C24" s="23" t="s">
        <v>504</v>
      </c>
      <c r="D24" s="23" t="s">
        <v>429</v>
      </c>
      <c r="E24" s="28">
        <v>750000</v>
      </c>
      <c r="F24" s="25">
        <v>710.63</v>
      </c>
      <c r="G24" s="25">
        <v>4.8600000000000003</v>
      </c>
      <c r="H24" s="25">
        <v>7.1</v>
      </c>
    </row>
    <row r="25" spans="2:10" x14ac:dyDescent="0.2">
      <c r="B25" s="23" t="s">
        <v>446</v>
      </c>
      <c r="C25" s="23" t="s">
        <v>447</v>
      </c>
      <c r="D25" s="23" t="s">
        <v>429</v>
      </c>
      <c r="E25" s="28">
        <v>700000</v>
      </c>
      <c r="F25" s="25">
        <v>697.42</v>
      </c>
      <c r="G25" s="25">
        <v>4.7699999999999996</v>
      </c>
      <c r="H25" s="25">
        <v>5.72</v>
      </c>
    </row>
    <row r="26" spans="2:10" x14ac:dyDescent="0.2">
      <c r="B26" s="23" t="s">
        <v>505</v>
      </c>
      <c r="C26" s="23" t="s">
        <v>506</v>
      </c>
      <c r="D26" s="23" t="s">
        <v>429</v>
      </c>
      <c r="E26" s="28">
        <v>500000</v>
      </c>
      <c r="F26" s="25">
        <v>526.59</v>
      </c>
      <c r="G26" s="25">
        <v>3.6</v>
      </c>
      <c r="H26" s="25">
        <v>6.21</v>
      </c>
    </row>
    <row r="27" spans="2:10" x14ac:dyDescent="0.2">
      <c r="B27" s="23" t="s">
        <v>507</v>
      </c>
      <c r="C27" s="23" t="s">
        <v>508</v>
      </c>
      <c r="D27" s="23" t="s">
        <v>429</v>
      </c>
      <c r="E27" s="28">
        <v>500000</v>
      </c>
      <c r="F27" s="25">
        <v>526.49</v>
      </c>
      <c r="G27" s="25">
        <v>3.6</v>
      </c>
      <c r="H27" s="25">
        <v>6.21</v>
      </c>
    </row>
    <row r="28" spans="2:10" x14ac:dyDescent="0.2">
      <c r="B28" s="23" t="s">
        <v>456</v>
      </c>
      <c r="C28" s="23" t="s">
        <v>457</v>
      </c>
      <c r="D28" s="23" t="s">
        <v>429</v>
      </c>
      <c r="E28" s="28">
        <v>500000</v>
      </c>
      <c r="F28" s="25">
        <v>521</v>
      </c>
      <c r="G28" s="25">
        <v>3.57</v>
      </c>
      <c r="H28" s="25">
        <v>6.01</v>
      </c>
    </row>
    <row r="29" spans="2:10" x14ac:dyDescent="0.2">
      <c r="B29" s="23" t="s">
        <v>462</v>
      </c>
      <c r="C29" s="23" t="s">
        <v>463</v>
      </c>
      <c r="D29" s="23" t="s">
        <v>429</v>
      </c>
      <c r="E29" s="28">
        <v>300000</v>
      </c>
      <c r="F29" s="25">
        <v>315.31</v>
      </c>
      <c r="G29" s="25">
        <v>2.16</v>
      </c>
      <c r="H29" s="25">
        <v>6.2</v>
      </c>
    </row>
    <row r="30" spans="2:10" x14ac:dyDescent="0.2">
      <c r="B30" s="52" t="s">
        <v>509</v>
      </c>
      <c r="C30" s="52" t="s">
        <v>510</v>
      </c>
      <c r="D30" s="52" t="s">
        <v>429</v>
      </c>
      <c r="E30" s="53">
        <v>28000</v>
      </c>
      <c r="F30" s="54">
        <v>30.6</v>
      </c>
      <c r="G30" s="54">
        <v>0.21</v>
      </c>
      <c r="H30" s="54">
        <v>6.13</v>
      </c>
    </row>
    <row r="31" spans="2:10" x14ac:dyDescent="0.2">
      <c r="B31" s="55" t="s">
        <v>111</v>
      </c>
      <c r="C31" s="55"/>
      <c r="D31" s="55"/>
      <c r="E31" s="56"/>
      <c r="F31" s="57">
        <f>SUM(F17:F30)</f>
        <v>10246.48</v>
      </c>
      <c r="G31" s="57">
        <f>SUM(G17:G30)</f>
        <v>70.129999999999981</v>
      </c>
      <c r="H31" s="57"/>
      <c r="I31" s="14"/>
      <c r="J31" s="14"/>
    </row>
    <row r="32" spans="2:10" x14ac:dyDescent="0.2">
      <c r="B32" s="47" t="s">
        <v>112</v>
      </c>
      <c r="C32" s="23"/>
      <c r="D32" s="23"/>
      <c r="E32" s="24"/>
      <c r="F32" s="25"/>
      <c r="G32" s="25"/>
      <c r="H32" s="25"/>
    </row>
    <row r="33" spans="2:10" x14ac:dyDescent="0.2">
      <c r="B33" s="23" t="s">
        <v>112</v>
      </c>
      <c r="C33" s="23"/>
      <c r="D33" s="23"/>
      <c r="E33" s="24"/>
      <c r="F33" s="25">
        <v>686.53</v>
      </c>
      <c r="G33" s="25">
        <v>4.7</v>
      </c>
      <c r="H33" s="25"/>
    </row>
    <row r="34" spans="2:10" x14ac:dyDescent="0.2">
      <c r="B34" s="30" t="s">
        <v>110</v>
      </c>
      <c r="C34" s="30"/>
      <c r="D34" s="30"/>
      <c r="E34" s="31"/>
      <c r="F34" s="32">
        <f>SUM(F32:F33)</f>
        <v>686.53</v>
      </c>
      <c r="G34" s="32">
        <f>SUM(G32:G33)</f>
        <v>4.7</v>
      </c>
      <c r="H34" s="48"/>
      <c r="I34" s="14"/>
      <c r="J34" s="14"/>
    </row>
    <row r="35" spans="2:10" x14ac:dyDescent="0.2">
      <c r="B35" s="34" t="s">
        <v>111</v>
      </c>
      <c r="C35" s="34"/>
      <c r="D35" s="34"/>
      <c r="E35" s="35"/>
      <c r="F35" s="36">
        <f>F34</f>
        <v>686.53</v>
      </c>
      <c r="G35" s="36">
        <f>G34</f>
        <v>4.7</v>
      </c>
      <c r="H35" s="36"/>
      <c r="I35" s="14"/>
      <c r="J35" s="14"/>
    </row>
    <row r="36" spans="2:10" x14ac:dyDescent="0.2">
      <c r="B36" s="44" t="s">
        <v>114</v>
      </c>
      <c r="C36" s="44"/>
      <c r="D36" s="44"/>
      <c r="E36" s="45"/>
      <c r="F36" s="16">
        <f>F37-(+F15+F31+F35)</f>
        <v>288.55000000000109</v>
      </c>
      <c r="G36" s="16">
        <f>G37-(+G15+G31+G35)</f>
        <v>1.9800000000000182</v>
      </c>
      <c r="H36" s="16"/>
      <c r="I36" s="14"/>
      <c r="J36" s="14"/>
    </row>
    <row r="37" spans="2:10" x14ac:dyDescent="0.2">
      <c r="B37" s="44" t="s">
        <v>113</v>
      </c>
      <c r="C37" s="44"/>
      <c r="D37" s="44"/>
      <c r="E37" s="45"/>
      <c r="F37" s="16">
        <v>14607.95</v>
      </c>
      <c r="G37" s="16">
        <v>100</v>
      </c>
      <c r="H37" s="16"/>
      <c r="I37" s="14"/>
      <c r="J37" s="14"/>
    </row>
    <row r="39" spans="2:10" x14ac:dyDescent="0.2">
      <c r="B39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0"/>
  <sheetViews>
    <sheetView workbookViewId="0">
      <selection activeCell="B41" sqref="B4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20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226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397</v>
      </c>
      <c r="C7" s="23" t="s">
        <v>398</v>
      </c>
      <c r="D7" s="23" t="s">
        <v>229</v>
      </c>
      <c r="E7" s="28">
        <v>300</v>
      </c>
      <c r="F7" s="25">
        <v>3110.52</v>
      </c>
      <c r="G7" s="25">
        <v>2.13</v>
      </c>
      <c r="H7" s="25">
        <v>4.67</v>
      </c>
    </row>
    <row r="8" spans="2:8" x14ac:dyDescent="0.2">
      <c r="B8" s="23" t="s">
        <v>511</v>
      </c>
      <c r="C8" s="23" t="s">
        <v>512</v>
      </c>
      <c r="D8" s="23" t="s">
        <v>229</v>
      </c>
      <c r="E8" s="28">
        <v>300</v>
      </c>
      <c r="F8" s="25">
        <v>3099.53</v>
      </c>
      <c r="G8" s="25">
        <v>2.12</v>
      </c>
      <c r="H8" s="25">
        <v>4.62</v>
      </c>
    </row>
    <row r="9" spans="2:8" x14ac:dyDescent="0.2">
      <c r="B9" s="23" t="s">
        <v>399</v>
      </c>
      <c r="C9" s="23" t="s">
        <v>400</v>
      </c>
      <c r="D9" s="23" t="s">
        <v>229</v>
      </c>
      <c r="E9" s="28">
        <v>250</v>
      </c>
      <c r="F9" s="25">
        <v>2569.75</v>
      </c>
      <c r="G9" s="25">
        <v>1.76</v>
      </c>
      <c r="H9" s="25">
        <v>4.09</v>
      </c>
    </row>
    <row r="10" spans="2:8" x14ac:dyDescent="0.2">
      <c r="B10" s="23" t="s">
        <v>513</v>
      </c>
      <c r="C10" s="23" t="s">
        <v>514</v>
      </c>
      <c r="D10" s="23" t="s">
        <v>229</v>
      </c>
      <c r="E10" s="28">
        <v>250</v>
      </c>
      <c r="F10" s="25">
        <v>2542.96</v>
      </c>
      <c r="G10" s="25">
        <v>1.74</v>
      </c>
      <c r="H10" s="25">
        <v>4.08</v>
      </c>
    </row>
    <row r="11" spans="2:8" x14ac:dyDescent="0.2">
      <c r="B11" s="23" t="s">
        <v>515</v>
      </c>
      <c r="C11" s="23" t="s">
        <v>516</v>
      </c>
      <c r="D11" s="23" t="s">
        <v>229</v>
      </c>
      <c r="E11" s="28">
        <v>250</v>
      </c>
      <c r="F11" s="25">
        <v>2529.2399999999998</v>
      </c>
      <c r="G11" s="25">
        <v>1.73</v>
      </c>
      <c r="H11" s="25">
        <v>3.87</v>
      </c>
    </row>
    <row r="12" spans="2:8" x14ac:dyDescent="0.2">
      <c r="B12" s="23" t="s">
        <v>517</v>
      </c>
      <c r="C12" s="23" t="s">
        <v>518</v>
      </c>
      <c r="D12" s="23" t="s">
        <v>368</v>
      </c>
      <c r="E12" s="28">
        <v>250</v>
      </c>
      <c r="F12" s="25">
        <v>2527.58</v>
      </c>
      <c r="G12" s="25">
        <v>1.73</v>
      </c>
      <c r="H12" s="25">
        <v>3.85</v>
      </c>
    </row>
    <row r="13" spans="2:8" x14ac:dyDescent="0.2">
      <c r="B13" s="23" t="s">
        <v>383</v>
      </c>
      <c r="C13" s="23" t="s">
        <v>384</v>
      </c>
      <c r="D13" s="23" t="s">
        <v>229</v>
      </c>
      <c r="E13" s="28">
        <v>250</v>
      </c>
      <c r="F13" s="25">
        <v>2524.29</v>
      </c>
      <c r="G13" s="25">
        <v>1.73</v>
      </c>
      <c r="H13" s="25">
        <v>3.87</v>
      </c>
    </row>
    <row r="14" spans="2:8" x14ac:dyDescent="0.2">
      <c r="B14" s="23" t="s">
        <v>519</v>
      </c>
      <c r="C14" s="23" t="s">
        <v>520</v>
      </c>
      <c r="D14" s="23" t="s">
        <v>229</v>
      </c>
      <c r="E14" s="28">
        <v>250</v>
      </c>
      <c r="F14" s="25">
        <v>2511.87</v>
      </c>
      <c r="G14" s="25">
        <v>1.72</v>
      </c>
      <c r="H14" s="25">
        <v>3.62</v>
      </c>
    </row>
    <row r="15" spans="2:8" x14ac:dyDescent="0.2">
      <c r="B15" s="23" t="s">
        <v>521</v>
      </c>
      <c r="C15" s="23" t="s">
        <v>522</v>
      </c>
      <c r="D15" s="23" t="s">
        <v>229</v>
      </c>
      <c r="E15" s="28">
        <v>250</v>
      </c>
      <c r="F15" s="25">
        <v>2508.35</v>
      </c>
      <c r="G15" s="25">
        <v>1.72</v>
      </c>
      <c r="H15" s="25">
        <v>4.6399999999999997</v>
      </c>
    </row>
    <row r="16" spans="2:8" x14ac:dyDescent="0.2">
      <c r="B16" s="23" t="s">
        <v>523</v>
      </c>
      <c r="C16" s="23" t="s">
        <v>524</v>
      </c>
      <c r="D16" s="23" t="s">
        <v>368</v>
      </c>
      <c r="E16" s="28">
        <v>250</v>
      </c>
      <c r="F16" s="25">
        <v>2502.34</v>
      </c>
      <c r="G16" s="25">
        <v>1.72</v>
      </c>
      <c r="H16" s="25">
        <v>3.71</v>
      </c>
    </row>
    <row r="17" spans="2:10" x14ac:dyDescent="0.2">
      <c r="B17" s="23" t="s">
        <v>525</v>
      </c>
      <c r="C17" s="23" t="s">
        <v>526</v>
      </c>
      <c r="D17" s="23" t="s">
        <v>229</v>
      </c>
      <c r="E17" s="28">
        <v>250</v>
      </c>
      <c r="F17" s="25">
        <v>2502.1799999999998</v>
      </c>
      <c r="G17" s="25">
        <v>1.72</v>
      </c>
      <c r="H17" s="25">
        <v>4.01</v>
      </c>
    </row>
    <row r="18" spans="2:10" x14ac:dyDescent="0.2">
      <c r="B18" s="23" t="s">
        <v>379</v>
      </c>
      <c r="C18" s="23" t="s">
        <v>380</v>
      </c>
      <c r="D18" s="23" t="s">
        <v>229</v>
      </c>
      <c r="E18" s="28">
        <v>200</v>
      </c>
      <c r="F18" s="25">
        <v>2066.04</v>
      </c>
      <c r="G18" s="25">
        <v>1.42</v>
      </c>
      <c r="H18" s="25">
        <v>4.58</v>
      </c>
    </row>
    <row r="19" spans="2:10" x14ac:dyDescent="0.2">
      <c r="B19" s="23" t="s">
        <v>527</v>
      </c>
      <c r="C19" s="23" t="s">
        <v>528</v>
      </c>
      <c r="D19" s="23" t="s">
        <v>229</v>
      </c>
      <c r="E19" s="28">
        <v>200</v>
      </c>
      <c r="F19" s="25">
        <v>2023.55</v>
      </c>
      <c r="G19" s="25">
        <v>1.39</v>
      </c>
      <c r="H19" s="25">
        <v>3.88</v>
      </c>
    </row>
    <row r="20" spans="2:10" x14ac:dyDescent="0.2">
      <c r="B20" s="23" t="s">
        <v>499</v>
      </c>
      <c r="C20" s="23" t="s">
        <v>500</v>
      </c>
      <c r="D20" s="23" t="s">
        <v>229</v>
      </c>
      <c r="E20" s="28">
        <v>200</v>
      </c>
      <c r="F20" s="25">
        <v>2004.65</v>
      </c>
      <c r="G20" s="25">
        <v>1.37</v>
      </c>
      <c r="H20" s="25">
        <v>3.63</v>
      </c>
    </row>
    <row r="21" spans="2:10" x14ac:dyDescent="0.2">
      <c r="B21" s="23" t="s">
        <v>369</v>
      </c>
      <c r="C21" s="23" t="s">
        <v>370</v>
      </c>
      <c r="D21" s="23" t="s">
        <v>229</v>
      </c>
      <c r="E21" s="28">
        <v>150</v>
      </c>
      <c r="F21" s="25">
        <v>1548.29</v>
      </c>
      <c r="G21" s="25">
        <v>1.06</v>
      </c>
      <c r="H21" s="25">
        <v>4.6399999999999997</v>
      </c>
    </row>
    <row r="22" spans="2:10" x14ac:dyDescent="0.2">
      <c r="B22" s="23" t="s">
        <v>529</v>
      </c>
      <c r="C22" s="23" t="s">
        <v>530</v>
      </c>
      <c r="D22" s="23" t="s">
        <v>368</v>
      </c>
      <c r="E22" s="28">
        <v>150</v>
      </c>
      <c r="F22" s="25">
        <v>1543.07</v>
      </c>
      <c r="G22" s="25">
        <v>1.06</v>
      </c>
      <c r="H22" s="25">
        <v>4.26</v>
      </c>
    </row>
    <row r="23" spans="2:10" x14ac:dyDescent="0.2">
      <c r="B23" s="23" t="s">
        <v>531</v>
      </c>
      <c r="C23" s="23" t="s">
        <v>532</v>
      </c>
      <c r="D23" s="23" t="s">
        <v>415</v>
      </c>
      <c r="E23" s="28">
        <v>150</v>
      </c>
      <c r="F23" s="25">
        <v>1486.99</v>
      </c>
      <c r="G23" s="25">
        <v>1.02</v>
      </c>
      <c r="H23" s="25">
        <v>4.95</v>
      </c>
    </row>
    <row r="24" spans="2:10" x14ac:dyDescent="0.2">
      <c r="B24" s="23" t="s">
        <v>533</v>
      </c>
      <c r="C24" s="23" t="s">
        <v>534</v>
      </c>
      <c r="D24" s="23" t="s">
        <v>229</v>
      </c>
      <c r="E24" s="28">
        <v>400</v>
      </c>
      <c r="F24" s="25">
        <v>1272.92</v>
      </c>
      <c r="G24" s="25">
        <v>0.87</v>
      </c>
      <c r="H24" s="25">
        <v>5.43</v>
      </c>
    </row>
    <row r="25" spans="2:10" x14ac:dyDescent="0.2">
      <c r="B25" s="23" t="s">
        <v>535</v>
      </c>
      <c r="C25" s="23" t="s">
        <v>536</v>
      </c>
      <c r="D25" s="23" t="s">
        <v>229</v>
      </c>
      <c r="E25" s="28">
        <v>100</v>
      </c>
      <c r="F25" s="25">
        <v>1032.6500000000001</v>
      </c>
      <c r="G25" s="25">
        <v>0.71</v>
      </c>
      <c r="H25" s="25">
        <v>4.1900000000000004</v>
      </c>
    </row>
    <row r="26" spans="2:10" x14ac:dyDescent="0.2">
      <c r="B26" s="23" t="s">
        <v>537</v>
      </c>
      <c r="C26" s="23" t="s">
        <v>538</v>
      </c>
      <c r="D26" s="23" t="s">
        <v>229</v>
      </c>
      <c r="E26" s="28">
        <v>100</v>
      </c>
      <c r="F26" s="25">
        <v>1031.77</v>
      </c>
      <c r="G26" s="25">
        <v>0.71</v>
      </c>
      <c r="H26" s="25">
        <v>4.9400000000000004</v>
      </c>
    </row>
    <row r="27" spans="2:10" x14ac:dyDescent="0.2">
      <c r="B27" s="23" t="s">
        <v>539</v>
      </c>
      <c r="C27" s="23" t="s">
        <v>540</v>
      </c>
      <c r="D27" s="23" t="s">
        <v>229</v>
      </c>
      <c r="E27" s="28">
        <v>50</v>
      </c>
      <c r="F27" s="25">
        <v>518.01</v>
      </c>
      <c r="G27" s="25">
        <v>0.36</v>
      </c>
      <c r="H27" s="25">
        <v>4.67</v>
      </c>
    </row>
    <row r="28" spans="2:10" x14ac:dyDescent="0.2">
      <c r="B28" s="23" t="s">
        <v>541</v>
      </c>
      <c r="C28" s="23" t="s">
        <v>542</v>
      </c>
      <c r="D28" s="23" t="s">
        <v>229</v>
      </c>
      <c r="E28" s="28">
        <v>50</v>
      </c>
      <c r="F28" s="25">
        <v>515.67999999999995</v>
      </c>
      <c r="G28" s="25">
        <v>0.35</v>
      </c>
      <c r="H28" s="25">
        <v>4.1100000000000003</v>
      </c>
    </row>
    <row r="29" spans="2:10" x14ac:dyDescent="0.2">
      <c r="B29" s="23" t="s">
        <v>543</v>
      </c>
      <c r="C29" s="23" t="s">
        <v>544</v>
      </c>
      <c r="D29" s="23" t="s">
        <v>229</v>
      </c>
      <c r="E29" s="28">
        <v>50</v>
      </c>
      <c r="F29" s="25">
        <v>515.02</v>
      </c>
      <c r="G29" s="25">
        <v>0.35</v>
      </c>
      <c r="H29" s="25">
        <v>4.38</v>
      </c>
    </row>
    <row r="30" spans="2:10" x14ac:dyDescent="0.2">
      <c r="B30" s="23" t="s">
        <v>545</v>
      </c>
      <c r="C30" s="23" t="s">
        <v>546</v>
      </c>
      <c r="D30" s="23" t="s">
        <v>229</v>
      </c>
      <c r="E30" s="28">
        <v>50</v>
      </c>
      <c r="F30" s="25">
        <v>502.53</v>
      </c>
      <c r="G30" s="25">
        <v>0.34</v>
      </c>
      <c r="H30" s="25">
        <v>3.58</v>
      </c>
    </row>
    <row r="31" spans="2:10" x14ac:dyDescent="0.2">
      <c r="B31" s="23" t="s">
        <v>547</v>
      </c>
      <c r="C31" s="23" t="s">
        <v>548</v>
      </c>
      <c r="D31" s="23" t="s">
        <v>229</v>
      </c>
      <c r="E31" s="28">
        <v>20</v>
      </c>
      <c r="F31" s="25">
        <v>203.82</v>
      </c>
      <c r="G31" s="25">
        <v>0.14000000000000001</v>
      </c>
      <c r="H31" s="25">
        <v>3.89</v>
      </c>
    </row>
    <row r="32" spans="2:10" x14ac:dyDescent="0.2">
      <c r="B32" s="30" t="s">
        <v>110</v>
      </c>
      <c r="C32" s="30"/>
      <c r="D32" s="30"/>
      <c r="E32" s="31"/>
      <c r="F32" s="32">
        <f>SUM(F6:F31)</f>
        <v>45193.599999999991</v>
      </c>
      <c r="G32" s="32">
        <f>SUM(G6:G31)</f>
        <v>30.970000000000006</v>
      </c>
      <c r="H32" s="48"/>
      <c r="I32" s="14"/>
      <c r="J32" s="14"/>
    </row>
    <row r="33" spans="2:10" x14ac:dyDescent="0.2">
      <c r="B33" s="49" t="s">
        <v>111</v>
      </c>
      <c r="C33" s="49"/>
      <c r="D33" s="49"/>
      <c r="E33" s="50"/>
      <c r="F33" s="51">
        <f>F32</f>
        <v>45193.599999999991</v>
      </c>
      <c r="G33" s="51">
        <f>G32</f>
        <v>30.970000000000006</v>
      </c>
      <c r="H33" s="51"/>
      <c r="I33" s="14"/>
      <c r="J33" s="14"/>
    </row>
    <row r="34" spans="2:10" x14ac:dyDescent="0.2">
      <c r="B34" s="47" t="s">
        <v>474</v>
      </c>
      <c r="C34" s="23"/>
      <c r="D34" s="23"/>
      <c r="E34" s="24"/>
      <c r="F34" s="25"/>
      <c r="G34" s="25"/>
      <c r="H34" s="25"/>
    </row>
    <row r="35" spans="2:10" x14ac:dyDescent="0.2">
      <c r="B35" s="47" t="s">
        <v>549</v>
      </c>
      <c r="C35" s="23"/>
      <c r="D35" s="23"/>
      <c r="E35" s="24"/>
      <c r="F35" s="25"/>
      <c r="G35" s="25"/>
      <c r="H35" s="25"/>
    </row>
    <row r="36" spans="2:10" x14ac:dyDescent="0.2">
      <c r="B36" s="23" t="s">
        <v>550</v>
      </c>
      <c r="C36" s="23" t="s">
        <v>551</v>
      </c>
      <c r="D36" s="23" t="s">
        <v>552</v>
      </c>
      <c r="E36" s="28">
        <v>7500</v>
      </c>
      <c r="F36" s="25">
        <v>7416.2</v>
      </c>
      <c r="G36" s="25">
        <v>5.08</v>
      </c>
      <c r="H36" s="25">
        <v>3.65</v>
      </c>
    </row>
    <row r="37" spans="2:10" x14ac:dyDescent="0.2">
      <c r="B37" s="23" t="s">
        <v>553</v>
      </c>
      <c r="C37" s="23" t="s">
        <v>554</v>
      </c>
      <c r="D37" s="23" t="s">
        <v>555</v>
      </c>
      <c r="E37" s="28">
        <v>5000</v>
      </c>
      <c r="F37" s="25">
        <v>4865.8599999999997</v>
      </c>
      <c r="G37" s="25">
        <v>3.34</v>
      </c>
      <c r="H37" s="25">
        <v>3.87</v>
      </c>
    </row>
    <row r="38" spans="2:10" x14ac:dyDescent="0.2">
      <c r="B38" s="23" t="s">
        <v>556</v>
      </c>
      <c r="C38" s="23" t="s">
        <v>557</v>
      </c>
      <c r="D38" s="23" t="s">
        <v>555</v>
      </c>
      <c r="E38" s="28">
        <v>2500</v>
      </c>
      <c r="F38" s="25">
        <v>2409.5100000000002</v>
      </c>
      <c r="G38" s="25">
        <v>1.65</v>
      </c>
      <c r="H38" s="25">
        <v>4.08</v>
      </c>
    </row>
    <row r="39" spans="2:10" x14ac:dyDescent="0.2">
      <c r="B39" s="47" t="s">
        <v>110</v>
      </c>
      <c r="C39" s="47"/>
      <c r="D39" s="47"/>
      <c r="E39" s="59"/>
      <c r="F39" s="57">
        <f>SUM(F35:F38)</f>
        <v>14691.57</v>
      </c>
      <c r="G39" s="57">
        <f>SUM(G35:G38)</f>
        <v>10.07</v>
      </c>
      <c r="H39" s="60"/>
      <c r="I39" s="14"/>
      <c r="J39" s="14"/>
    </row>
    <row r="40" spans="2:10" x14ac:dyDescent="0.2">
      <c r="B40" s="47" t="s">
        <v>558</v>
      </c>
      <c r="C40" s="23"/>
      <c r="D40" s="23"/>
      <c r="E40" s="24"/>
      <c r="F40" s="25"/>
      <c r="G40" s="25"/>
      <c r="H40" s="25"/>
    </row>
    <row r="41" spans="2:10" x14ac:dyDescent="0.2">
      <c r="B41" s="23" t="s">
        <v>759</v>
      </c>
      <c r="C41" s="23" t="s">
        <v>559</v>
      </c>
      <c r="D41" s="23" t="s">
        <v>552</v>
      </c>
      <c r="E41" s="28">
        <v>1000</v>
      </c>
      <c r="F41" s="25">
        <v>4914.07</v>
      </c>
      <c r="G41" s="25">
        <v>3.37</v>
      </c>
      <c r="H41" s="25">
        <v>3.84</v>
      </c>
    </row>
    <row r="42" spans="2:10" x14ac:dyDescent="0.2">
      <c r="B42" s="47" t="s">
        <v>110</v>
      </c>
      <c r="C42" s="47"/>
      <c r="D42" s="47"/>
      <c r="E42" s="59"/>
      <c r="F42" s="57">
        <f>SUM(F40:F41)</f>
        <v>4914.07</v>
      </c>
      <c r="G42" s="57">
        <f>SUM(G40:G41)</f>
        <v>3.37</v>
      </c>
      <c r="H42" s="60"/>
      <c r="I42" s="14"/>
      <c r="J42" s="14"/>
    </row>
    <row r="43" spans="2:10" x14ac:dyDescent="0.2">
      <c r="B43" s="47" t="s">
        <v>475</v>
      </c>
      <c r="C43" s="23"/>
      <c r="D43" s="23"/>
      <c r="E43" s="24"/>
      <c r="F43" s="25"/>
      <c r="G43" s="25"/>
      <c r="H43" s="25"/>
    </row>
    <row r="44" spans="2:10" x14ac:dyDescent="0.2">
      <c r="B44" s="23" t="s">
        <v>560</v>
      </c>
      <c r="C44" s="23" t="s">
        <v>561</v>
      </c>
      <c r="D44" s="23" t="s">
        <v>478</v>
      </c>
      <c r="E44" s="28">
        <v>10000000</v>
      </c>
      <c r="F44" s="25">
        <v>9832.82</v>
      </c>
      <c r="G44" s="25">
        <v>6.74</v>
      </c>
      <c r="H44" s="25">
        <v>3.69</v>
      </c>
    </row>
    <row r="45" spans="2:10" x14ac:dyDescent="0.2">
      <c r="B45" s="23" t="s">
        <v>562</v>
      </c>
      <c r="C45" s="23" t="s">
        <v>563</v>
      </c>
      <c r="D45" s="23" t="s">
        <v>478</v>
      </c>
      <c r="E45" s="28">
        <v>10000000</v>
      </c>
      <c r="F45" s="25">
        <v>9826.5</v>
      </c>
      <c r="G45" s="25">
        <v>6.74</v>
      </c>
      <c r="H45" s="25">
        <v>3.68</v>
      </c>
    </row>
    <row r="46" spans="2:10" x14ac:dyDescent="0.2">
      <c r="B46" s="23" t="s">
        <v>564</v>
      </c>
      <c r="C46" s="23" t="s">
        <v>565</v>
      </c>
      <c r="D46" s="23" t="s">
        <v>478</v>
      </c>
      <c r="E46" s="28">
        <v>10000000</v>
      </c>
      <c r="F46" s="25">
        <v>9687.33</v>
      </c>
      <c r="G46" s="25">
        <v>6.64</v>
      </c>
      <c r="H46" s="25">
        <v>3.82</v>
      </c>
    </row>
    <row r="47" spans="2:10" x14ac:dyDescent="0.2">
      <c r="B47" s="23" t="s">
        <v>566</v>
      </c>
      <c r="C47" s="23" t="s">
        <v>567</v>
      </c>
      <c r="D47" s="23" t="s">
        <v>478</v>
      </c>
      <c r="E47" s="28">
        <v>7500000</v>
      </c>
      <c r="F47" s="25">
        <v>7490.51</v>
      </c>
      <c r="G47" s="25">
        <v>5.14</v>
      </c>
      <c r="H47" s="25">
        <v>3.3</v>
      </c>
    </row>
    <row r="48" spans="2:10" x14ac:dyDescent="0.2">
      <c r="B48" s="23" t="s">
        <v>568</v>
      </c>
      <c r="C48" s="23" t="s">
        <v>569</v>
      </c>
      <c r="D48" s="23" t="s">
        <v>478</v>
      </c>
      <c r="E48" s="28">
        <v>5000000</v>
      </c>
      <c r="F48" s="25">
        <v>4987.38</v>
      </c>
      <c r="G48" s="25">
        <v>3.42</v>
      </c>
      <c r="H48" s="25">
        <v>3.3</v>
      </c>
    </row>
    <row r="49" spans="2:10" x14ac:dyDescent="0.2">
      <c r="B49" s="23" t="s">
        <v>570</v>
      </c>
      <c r="C49" s="23" t="s">
        <v>571</v>
      </c>
      <c r="D49" s="23" t="s">
        <v>478</v>
      </c>
      <c r="E49" s="28">
        <v>4000000</v>
      </c>
      <c r="F49" s="25">
        <v>3992.41</v>
      </c>
      <c r="G49" s="25">
        <v>2.74</v>
      </c>
      <c r="H49" s="25">
        <v>3.31</v>
      </c>
    </row>
    <row r="50" spans="2:10" x14ac:dyDescent="0.2">
      <c r="B50" s="30" t="s">
        <v>110</v>
      </c>
      <c r="C50" s="30"/>
      <c r="D50" s="30"/>
      <c r="E50" s="31"/>
      <c r="F50" s="32">
        <f>SUM(F43:F49)</f>
        <v>45816.95</v>
      </c>
      <c r="G50" s="32">
        <f>SUM(G43:G49)</f>
        <v>31.42</v>
      </c>
      <c r="H50" s="48"/>
      <c r="I50" s="14"/>
      <c r="J50" s="14"/>
    </row>
    <row r="51" spans="2:10" x14ac:dyDescent="0.2">
      <c r="B51" s="49" t="s">
        <v>111</v>
      </c>
      <c r="C51" s="49"/>
      <c r="D51" s="49"/>
      <c r="E51" s="50"/>
      <c r="F51" s="51">
        <f>F39+F42+F50</f>
        <v>65422.59</v>
      </c>
      <c r="G51" s="51">
        <f>G39+G42+G50</f>
        <v>44.86</v>
      </c>
      <c r="H51" s="51"/>
      <c r="I51" s="14"/>
      <c r="J51" s="14"/>
    </row>
    <row r="52" spans="2:10" x14ac:dyDescent="0.2">
      <c r="B52" s="47" t="s">
        <v>426</v>
      </c>
      <c r="C52" s="23"/>
      <c r="D52" s="23"/>
      <c r="E52" s="24"/>
      <c r="F52" s="25"/>
      <c r="G52" s="25"/>
      <c r="H52" s="25"/>
    </row>
    <row r="53" spans="2:10" x14ac:dyDescent="0.2">
      <c r="B53" s="23" t="s">
        <v>572</v>
      </c>
      <c r="C53" s="23" t="s">
        <v>573</v>
      </c>
      <c r="D53" s="23" t="s">
        <v>429</v>
      </c>
      <c r="E53" s="28">
        <v>6500000</v>
      </c>
      <c r="F53" s="25">
        <v>6533.06</v>
      </c>
      <c r="G53" s="25">
        <v>4.4800000000000004</v>
      </c>
      <c r="H53" s="25">
        <v>3.74</v>
      </c>
    </row>
    <row r="54" spans="2:10" x14ac:dyDescent="0.2">
      <c r="B54" s="23" t="s">
        <v>434</v>
      </c>
      <c r="C54" s="23" t="s">
        <v>435</v>
      </c>
      <c r="D54" s="23" t="s">
        <v>429</v>
      </c>
      <c r="E54" s="28">
        <v>6000000</v>
      </c>
      <c r="F54" s="25">
        <v>6224.25</v>
      </c>
      <c r="G54" s="25">
        <v>4.2699999999999996</v>
      </c>
      <c r="H54" s="25">
        <v>4.1900000000000004</v>
      </c>
    </row>
    <row r="55" spans="2:10" x14ac:dyDescent="0.2">
      <c r="B55" s="23" t="s">
        <v>574</v>
      </c>
      <c r="C55" s="23" t="s">
        <v>575</v>
      </c>
      <c r="D55" s="23" t="s">
        <v>429</v>
      </c>
      <c r="E55" s="28">
        <v>5000000</v>
      </c>
      <c r="F55" s="25">
        <v>5210.25</v>
      </c>
      <c r="G55" s="25">
        <v>3.57</v>
      </c>
      <c r="H55" s="25">
        <v>4.09</v>
      </c>
    </row>
    <row r="56" spans="2:10" x14ac:dyDescent="0.2">
      <c r="B56" s="23" t="s">
        <v>576</v>
      </c>
      <c r="C56" s="23" t="s">
        <v>577</v>
      </c>
      <c r="D56" s="23" t="s">
        <v>429</v>
      </c>
      <c r="E56" s="28">
        <v>2500000</v>
      </c>
      <c r="F56" s="25">
        <v>2591.4</v>
      </c>
      <c r="G56" s="25">
        <v>1.78</v>
      </c>
      <c r="H56" s="25">
        <v>4.03</v>
      </c>
    </row>
    <row r="57" spans="2:10" x14ac:dyDescent="0.2">
      <c r="B57" s="23" t="s">
        <v>438</v>
      </c>
      <c r="C57" s="23" t="s">
        <v>439</v>
      </c>
      <c r="D57" s="23" t="s">
        <v>429</v>
      </c>
      <c r="E57" s="28">
        <v>2500000</v>
      </c>
      <c r="F57" s="25">
        <v>2544.25</v>
      </c>
      <c r="G57" s="25">
        <v>1.74</v>
      </c>
      <c r="H57" s="25">
        <v>3.71</v>
      </c>
    </row>
    <row r="58" spans="2:10" x14ac:dyDescent="0.2">
      <c r="B58" s="23" t="s">
        <v>578</v>
      </c>
      <c r="C58" s="23" t="s">
        <v>579</v>
      </c>
      <c r="D58" s="23" t="s">
        <v>429</v>
      </c>
      <c r="E58" s="28">
        <v>2500000</v>
      </c>
      <c r="F58" s="25">
        <v>2510.79</v>
      </c>
      <c r="G58" s="25">
        <v>1.72</v>
      </c>
      <c r="H58" s="25">
        <v>4.0599999999999996</v>
      </c>
    </row>
    <row r="59" spans="2:10" x14ac:dyDescent="0.2">
      <c r="B59" s="23" t="s">
        <v>485</v>
      </c>
      <c r="C59" s="23" t="s">
        <v>486</v>
      </c>
      <c r="D59" s="23" t="s">
        <v>429</v>
      </c>
      <c r="E59" s="28">
        <v>2500000</v>
      </c>
      <c r="F59" s="25">
        <v>2502.65</v>
      </c>
      <c r="G59" s="25">
        <v>1.72</v>
      </c>
      <c r="H59" s="25">
        <v>3.51</v>
      </c>
    </row>
    <row r="60" spans="2:10" x14ac:dyDescent="0.2">
      <c r="B60" s="52" t="s">
        <v>580</v>
      </c>
      <c r="C60" s="52" t="s">
        <v>581</v>
      </c>
      <c r="D60" s="52" t="s">
        <v>429</v>
      </c>
      <c r="E60" s="53">
        <v>700000</v>
      </c>
      <c r="F60" s="54">
        <v>714.83</v>
      </c>
      <c r="G60" s="54">
        <v>0.49</v>
      </c>
      <c r="H60" s="54">
        <v>3.77</v>
      </c>
    </row>
    <row r="61" spans="2:10" x14ac:dyDescent="0.2">
      <c r="B61" s="55" t="s">
        <v>111</v>
      </c>
      <c r="C61" s="55"/>
      <c r="D61" s="55"/>
      <c r="E61" s="56"/>
      <c r="F61" s="57">
        <f>SUM(F53:F60)</f>
        <v>28831.480000000007</v>
      </c>
      <c r="G61" s="57">
        <f>SUM(G53:G60)</f>
        <v>19.769999999999996</v>
      </c>
      <c r="H61" s="57"/>
      <c r="I61" s="14"/>
      <c r="J61" s="14"/>
    </row>
    <row r="62" spans="2:10" x14ac:dyDescent="0.2">
      <c r="B62" s="47" t="s">
        <v>112</v>
      </c>
      <c r="C62" s="23"/>
      <c r="D62" s="23"/>
      <c r="E62" s="24"/>
      <c r="F62" s="25"/>
      <c r="G62" s="25"/>
      <c r="H62" s="25"/>
    </row>
    <row r="63" spans="2:10" x14ac:dyDescent="0.2">
      <c r="B63" s="23" t="s">
        <v>112</v>
      </c>
      <c r="C63" s="23"/>
      <c r="D63" s="23"/>
      <c r="E63" s="24"/>
      <c r="F63" s="25">
        <v>4586.2</v>
      </c>
      <c r="G63" s="25">
        <v>3.14</v>
      </c>
      <c r="H63" s="25"/>
    </row>
    <row r="64" spans="2:10" x14ac:dyDescent="0.2">
      <c r="B64" s="30" t="s">
        <v>110</v>
      </c>
      <c r="C64" s="30"/>
      <c r="D64" s="30"/>
      <c r="E64" s="31"/>
      <c r="F64" s="32">
        <f>SUM(F62:F63)</f>
        <v>4586.2</v>
      </c>
      <c r="G64" s="32">
        <f>SUM(G62:G63)</f>
        <v>3.14</v>
      </c>
      <c r="H64" s="48"/>
      <c r="I64" s="14"/>
      <c r="J64" s="14"/>
    </row>
    <row r="65" spans="2:10" x14ac:dyDescent="0.2">
      <c r="B65" s="34" t="s">
        <v>111</v>
      </c>
      <c r="C65" s="34"/>
      <c r="D65" s="34"/>
      <c r="E65" s="35"/>
      <c r="F65" s="36">
        <f>F64</f>
        <v>4586.2</v>
      </c>
      <c r="G65" s="36">
        <f>G64</f>
        <v>3.14</v>
      </c>
      <c r="H65" s="36"/>
      <c r="I65" s="14"/>
      <c r="J65" s="14"/>
    </row>
    <row r="66" spans="2:10" x14ac:dyDescent="0.2">
      <c r="B66" s="44" t="s">
        <v>114</v>
      </c>
      <c r="C66" s="44"/>
      <c r="D66" s="44"/>
      <c r="E66" s="45"/>
      <c r="F66" s="16">
        <f>F67-(+F33+F51+F61+F65)</f>
        <v>1827.1100000000151</v>
      </c>
      <c r="G66" s="16">
        <f>G67-(+G33+G51+G61+G65)</f>
        <v>1.2599999999999909</v>
      </c>
      <c r="H66" s="16"/>
      <c r="I66" s="14"/>
      <c r="J66" s="14"/>
    </row>
    <row r="67" spans="2:10" x14ac:dyDescent="0.2">
      <c r="B67" s="44" t="s">
        <v>113</v>
      </c>
      <c r="C67" s="44"/>
      <c r="D67" s="44"/>
      <c r="E67" s="45"/>
      <c r="F67" s="16">
        <v>145860.98000000001</v>
      </c>
      <c r="G67" s="16">
        <v>100</v>
      </c>
      <c r="H67" s="16"/>
      <c r="I67" s="14"/>
      <c r="J67" s="14"/>
    </row>
    <row r="69" spans="2:10" x14ac:dyDescent="0.2">
      <c r="B69" s="14" t="s">
        <v>758</v>
      </c>
    </row>
    <row r="70" spans="2:10" x14ac:dyDescent="0.2">
      <c r="B70" s="14" t="s">
        <v>582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6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21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118</v>
      </c>
      <c r="C7" s="23" t="s">
        <v>119</v>
      </c>
      <c r="D7" s="23" t="s">
        <v>37</v>
      </c>
      <c r="E7" s="28">
        <v>65032</v>
      </c>
      <c r="F7" s="25">
        <v>974.11</v>
      </c>
      <c r="G7" s="25">
        <v>1.49</v>
      </c>
      <c r="H7" s="26"/>
    </row>
    <row r="8" spans="2:8" x14ac:dyDescent="0.2">
      <c r="B8" s="27" t="s">
        <v>115</v>
      </c>
      <c r="C8" s="23" t="s">
        <v>116</v>
      </c>
      <c r="D8" s="23" t="s">
        <v>117</v>
      </c>
      <c r="E8" s="28">
        <v>46920</v>
      </c>
      <c r="F8" s="25">
        <v>741.71</v>
      </c>
      <c r="G8" s="25">
        <v>1.1299999999999999</v>
      </c>
      <c r="H8" s="26"/>
    </row>
    <row r="9" spans="2:8" x14ac:dyDescent="0.2">
      <c r="B9" s="27" t="s">
        <v>35</v>
      </c>
      <c r="C9" s="23" t="s">
        <v>36</v>
      </c>
      <c r="D9" s="23" t="s">
        <v>37</v>
      </c>
      <c r="E9" s="28">
        <v>112914</v>
      </c>
      <c r="F9" s="25">
        <v>712.37</v>
      </c>
      <c r="G9" s="25">
        <v>1.0900000000000001</v>
      </c>
      <c r="H9" s="26"/>
    </row>
    <row r="10" spans="2:8" x14ac:dyDescent="0.2">
      <c r="B10" s="27" t="s">
        <v>124</v>
      </c>
      <c r="C10" s="23" t="s">
        <v>125</v>
      </c>
      <c r="D10" s="23" t="s">
        <v>37</v>
      </c>
      <c r="E10" s="28">
        <v>91062</v>
      </c>
      <c r="F10" s="25">
        <v>681.42</v>
      </c>
      <c r="G10" s="25">
        <v>1.04</v>
      </c>
      <c r="H10" s="26"/>
    </row>
    <row r="11" spans="2:8" x14ac:dyDescent="0.2">
      <c r="B11" s="27" t="s">
        <v>126</v>
      </c>
      <c r="C11" s="23" t="s">
        <v>127</v>
      </c>
      <c r="D11" s="23" t="s">
        <v>128</v>
      </c>
      <c r="E11" s="28">
        <v>11000</v>
      </c>
      <c r="F11" s="25">
        <v>661.74</v>
      </c>
      <c r="G11" s="25">
        <v>1.01</v>
      </c>
      <c r="H11" s="26"/>
    </row>
    <row r="12" spans="2:8" x14ac:dyDescent="0.2">
      <c r="B12" s="27" t="s">
        <v>147</v>
      </c>
      <c r="C12" s="23" t="s">
        <v>148</v>
      </c>
      <c r="D12" s="23" t="s">
        <v>70</v>
      </c>
      <c r="E12" s="28">
        <v>115000</v>
      </c>
      <c r="F12" s="25">
        <v>641.41</v>
      </c>
      <c r="G12" s="25">
        <v>0.98</v>
      </c>
      <c r="H12" s="26"/>
    </row>
    <row r="13" spans="2:8" x14ac:dyDescent="0.2">
      <c r="B13" s="27" t="s">
        <v>179</v>
      </c>
      <c r="C13" s="23" t="s">
        <v>180</v>
      </c>
      <c r="D13" s="23" t="s">
        <v>176</v>
      </c>
      <c r="E13" s="28">
        <v>100000</v>
      </c>
      <c r="F13" s="25">
        <v>620.5</v>
      </c>
      <c r="G13" s="25">
        <v>0.95</v>
      </c>
      <c r="H13" s="26"/>
    </row>
    <row r="14" spans="2:8" x14ac:dyDescent="0.2">
      <c r="B14" s="27" t="s">
        <v>122</v>
      </c>
      <c r="C14" s="23" t="s">
        <v>123</v>
      </c>
      <c r="D14" s="23" t="s">
        <v>81</v>
      </c>
      <c r="E14" s="28">
        <v>26154</v>
      </c>
      <c r="F14" s="25">
        <v>552.02</v>
      </c>
      <c r="G14" s="25">
        <v>0.84</v>
      </c>
      <c r="H14" s="26"/>
    </row>
    <row r="15" spans="2:8" x14ac:dyDescent="0.2">
      <c r="B15" s="27" t="s">
        <v>156</v>
      </c>
      <c r="C15" s="23" t="s">
        <v>157</v>
      </c>
      <c r="D15" s="23" t="s">
        <v>158</v>
      </c>
      <c r="E15" s="28">
        <v>155588</v>
      </c>
      <c r="F15" s="25">
        <v>532.58000000000004</v>
      </c>
      <c r="G15" s="25">
        <v>0.81</v>
      </c>
      <c r="H15" s="26"/>
    </row>
    <row r="16" spans="2:8" x14ac:dyDescent="0.2">
      <c r="B16" s="27" t="s">
        <v>166</v>
      </c>
      <c r="C16" s="23" t="s">
        <v>167</v>
      </c>
      <c r="D16" s="23" t="s">
        <v>158</v>
      </c>
      <c r="E16" s="28">
        <v>79500</v>
      </c>
      <c r="F16" s="25">
        <v>509.12</v>
      </c>
      <c r="G16" s="25">
        <v>0.78</v>
      </c>
      <c r="H16" s="26"/>
    </row>
    <row r="17" spans="2:8" x14ac:dyDescent="0.2">
      <c r="B17" s="27" t="s">
        <v>161</v>
      </c>
      <c r="C17" s="23" t="s">
        <v>162</v>
      </c>
      <c r="D17" s="23" t="s">
        <v>163</v>
      </c>
      <c r="E17" s="28">
        <v>200000</v>
      </c>
      <c r="F17" s="25">
        <v>509</v>
      </c>
      <c r="G17" s="25">
        <v>0.78</v>
      </c>
      <c r="H17" s="26"/>
    </row>
    <row r="18" spans="2:8" x14ac:dyDescent="0.2">
      <c r="B18" s="27" t="s">
        <v>137</v>
      </c>
      <c r="C18" s="23" t="s">
        <v>138</v>
      </c>
      <c r="D18" s="23" t="s">
        <v>139</v>
      </c>
      <c r="E18" s="28">
        <v>15000</v>
      </c>
      <c r="F18" s="25">
        <v>501.62</v>
      </c>
      <c r="G18" s="25">
        <v>0.77</v>
      </c>
      <c r="H18" s="26"/>
    </row>
    <row r="19" spans="2:8" x14ac:dyDescent="0.2">
      <c r="B19" s="27" t="s">
        <v>234</v>
      </c>
      <c r="C19" s="23" t="s">
        <v>235</v>
      </c>
      <c r="D19" s="23" t="s">
        <v>139</v>
      </c>
      <c r="E19" s="28">
        <v>10000</v>
      </c>
      <c r="F19" s="25">
        <v>491.58</v>
      </c>
      <c r="G19" s="25">
        <v>0.75</v>
      </c>
      <c r="H19" s="26"/>
    </row>
    <row r="20" spans="2:8" x14ac:dyDescent="0.2">
      <c r="B20" s="27" t="s">
        <v>120</v>
      </c>
      <c r="C20" s="23" t="s">
        <v>121</v>
      </c>
      <c r="D20" s="23" t="s">
        <v>117</v>
      </c>
      <c r="E20" s="28">
        <v>14130</v>
      </c>
      <c r="F20" s="25">
        <v>472.75</v>
      </c>
      <c r="G20" s="25">
        <v>0.72</v>
      </c>
      <c r="H20" s="26"/>
    </row>
    <row r="21" spans="2:8" x14ac:dyDescent="0.2">
      <c r="B21" s="27" t="s">
        <v>267</v>
      </c>
      <c r="C21" s="23" t="s">
        <v>268</v>
      </c>
      <c r="D21" s="23" t="s">
        <v>269</v>
      </c>
      <c r="E21" s="28">
        <v>75000</v>
      </c>
      <c r="F21" s="25">
        <v>461.4</v>
      </c>
      <c r="G21" s="25">
        <v>0.7</v>
      </c>
      <c r="H21" s="26"/>
    </row>
    <row r="22" spans="2:8" x14ac:dyDescent="0.2">
      <c r="B22" s="27" t="s">
        <v>272</v>
      </c>
      <c r="C22" s="23" t="s">
        <v>273</v>
      </c>
      <c r="D22" s="23" t="s">
        <v>128</v>
      </c>
      <c r="E22" s="28">
        <v>30000</v>
      </c>
      <c r="F22" s="25">
        <v>444.5</v>
      </c>
      <c r="G22" s="25">
        <v>0.68</v>
      </c>
      <c r="H22" s="26"/>
    </row>
    <row r="23" spans="2:8" x14ac:dyDescent="0.2">
      <c r="B23" s="27" t="s">
        <v>238</v>
      </c>
      <c r="C23" s="23" t="s">
        <v>239</v>
      </c>
      <c r="D23" s="23" t="s">
        <v>146</v>
      </c>
      <c r="E23" s="28">
        <v>12870</v>
      </c>
      <c r="F23" s="25">
        <v>440.71</v>
      </c>
      <c r="G23" s="25">
        <v>0.67</v>
      </c>
      <c r="H23" s="26"/>
    </row>
    <row r="24" spans="2:8" x14ac:dyDescent="0.2">
      <c r="B24" s="27" t="s">
        <v>321</v>
      </c>
      <c r="C24" s="23" t="s">
        <v>322</v>
      </c>
      <c r="D24" s="23" t="s">
        <v>37</v>
      </c>
      <c r="E24" s="28">
        <v>300000</v>
      </c>
      <c r="F24" s="25">
        <v>434.1</v>
      </c>
      <c r="G24" s="25">
        <v>0.66</v>
      </c>
      <c r="H24" s="26"/>
    </row>
    <row r="25" spans="2:8" x14ac:dyDescent="0.2">
      <c r="B25" s="27" t="s">
        <v>144</v>
      </c>
      <c r="C25" s="23" t="s">
        <v>145</v>
      </c>
      <c r="D25" s="23" t="s">
        <v>146</v>
      </c>
      <c r="E25" s="28">
        <v>9000</v>
      </c>
      <c r="F25" s="25">
        <v>396.74</v>
      </c>
      <c r="G25" s="25">
        <v>0.61</v>
      </c>
      <c r="H25" s="26"/>
    </row>
    <row r="26" spans="2:8" x14ac:dyDescent="0.2">
      <c r="B26" s="27" t="s">
        <v>204</v>
      </c>
      <c r="C26" s="23" t="s">
        <v>205</v>
      </c>
      <c r="D26" s="23" t="s">
        <v>128</v>
      </c>
      <c r="E26" s="28">
        <v>75000</v>
      </c>
      <c r="F26" s="25">
        <v>384.94</v>
      </c>
      <c r="G26" s="25">
        <v>0.59</v>
      </c>
      <c r="H26" s="26"/>
    </row>
    <row r="27" spans="2:8" x14ac:dyDescent="0.2">
      <c r="B27" s="27" t="s">
        <v>134</v>
      </c>
      <c r="C27" s="23" t="s">
        <v>135</v>
      </c>
      <c r="D27" s="23" t="s">
        <v>136</v>
      </c>
      <c r="E27" s="28">
        <v>30000</v>
      </c>
      <c r="F27" s="25">
        <v>318.12</v>
      </c>
      <c r="G27" s="25">
        <v>0.49</v>
      </c>
      <c r="H27" s="26"/>
    </row>
    <row r="28" spans="2:8" x14ac:dyDescent="0.2">
      <c r="B28" s="27" t="s">
        <v>261</v>
      </c>
      <c r="C28" s="23" t="s">
        <v>262</v>
      </c>
      <c r="D28" s="23" t="s">
        <v>49</v>
      </c>
      <c r="E28" s="28">
        <v>15000</v>
      </c>
      <c r="F28" s="25">
        <v>305.08</v>
      </c>
      <c r="G28" s="25">
        <v>0.47</v>
      </c>
      <c r="H28" s="26"/>
    </row>
    <row r="29" spans="2:8" x14ac:dyDescent="0.2">
      <c r="B29" s="27" t="s">
        <v>164</v>
      </c>
      <c r="C29" s="23" t="s">
        <v>165</v>
      </c>
      <c r="D29" s="23" t="s">
        <v>133</v>
      </c>
      <c r="E29" s="28">
        <v>40000</v>
      </c>
      <c r="F29" s="25">
        <v>301.76</v>
      </c>
      <c r="G29" s="25">
        <v>0.46</v>
      </c>
      <c r="H29" s="26"/>
    </row>
    <row r="30" spans="2:8" x14ac:dyDescent="0.2">
      <c r="B30" s="27" t="s">
        <v>142</v>
      </c>
      <c r="C30" s="23" t="s">
        <v>143</v>
      </c>
      <c r="D30" s="23" t="s">
        <v>37</v>
      </c>
      <c r="E30" s="28">
        <v>17450</v>
      </c>
      <c r="F30" s="25">
        <v>297.67</v>
      </c>
      <c r="G30" s="25">
        <v>0.45</v>
      </c>
      <c r="H30" s="26"/>
    </row>
    <row r="31" spans="2:8" x14ac:dyDescent="0.2">
      <c r="B31" s="27" t="s">
        <v>206</v>
      </c>
      <c r="C31" s="23" t="s">
        <v>207</v>
      </c>
      <c r="D31" s="23" t="s">
        <v>128</v>
      </c>
      <c r="E31" s="28">
        <v>29736</v>
      </c>
      <c r="F31" s="25">
        <v>288.56</v>
      </c>
      <c r="G31" s="25">
        <v>0.44</v>
      </c>
      <c r="H31" s="26"/>
    </row>
    <row r="32" spans="2:8" x14ac:dyDescent="0.2">
      <c r="B32" s="27" t="s">
        <v>191</v>
      </c>
      <c r="C32" s="23" t="s">
        <v>192</v>
      </c>
      <c r="D32" s="23" t="s">
        <v>173</v>
      </c>
      <c r="E32" s="28">
        <v>15000</v>
      </c>
      <c r="F32" s="25">
        <v>274.5</v>
      </c>
      <c r="G32" s="25">
        <v>0.42</v>
      </c>
      <c r="H32" s="26"/>
    </row>
    <row r="33" spans="2:10" x14ac:dyDescent="0.2">
      <c r="B33" s="27" t="s">
        <v>183</v>
      </c>
      <c r="C33" s="23" t="s">
        <v>184</v>
      </c>
      <c r="D33" s="23" t="s">
        <v>158</v>
      </c>
      <c r="E33" s="28">
        <v>11400</v>
      </c>
      <c r="F33" s="25">
        <v>255.27</v>
      </c>
      <c r="G33" s="25">
        <v>0.39</v>
      </c>
      <c r="H33" s="26"/>
    </row>
    <row r="34" spans="2:10" x14ac:dyDescent="0.2">
      <c r="B34" s="27" t="s">
        <v>220</v>
      </c>
      <c r="C34" s="23" t="s">
        <v>221</v>
      </c>
      <c r="D34" s="23" t="s">
        <v>133</v>
      </c>
      <c r="E34" s="28">
        <v>6500</v>
      </c>
      <c r="F34" s="25">
        <v>237.23</v>
      </c>
      <c r="G34" s="25">
        <v>0.36</v>
      </c>
      <c r="H34" s="26"/>
    </row>
    <row r="35" spans="2:10" x14ac:dyDescent="0.2">
      <c r="B35" s="27" t="s">
        <v>131</v>
      </c>
      <c r="C35" s="23" t="s">
        <v>132</v>
      </c>
      <c r="D35" s="23" t="s">
        <v>133</v>
      </c>
      <c r="E35" s="28">
        <v>9597</v>
      </c>
      <c r="F35" s="25">
        <v>237.17</v>
      </c>
      <c r="G35" s="25">
        <v>0.36</v>
      </c>
      <c r="H35" s="26"/>
    </row>
    <row r="36" spans="2:10" x14ac:dyDescent="0.2">
      <c r="B36" s="27" t="s">
        <v>47</v>
      </c>
      <c r="C36" s="23" t="s">
        <v>48</v>
      </c>
      <c r="D36" s="23" t="s">
        <v>49</v>
      </c>
      <c r="E36" s="28">
        <v>15966</v>
      </c>
      <c r="F36" s="25">
        <v>229.76</v>
      </c>
      <c r="G36" s="25">
        <v>0.35</v>
      </c>
      <c r="H36" s="26"/>
    </row>
    <row r="37" spans="2:10" x14ac:dyDescent="0.2">
      <c r="B37" s="27" t="s">
        <v>222</v>
      </c>
      <c r="C37" s="23" t="s">
        <v>223</v>
      </c>
      <c r="D37" s="23" t="s">
        <v>100</v>
      </c>
      <c r="E37" s="28">
        <v>10000</v>
      </c>
      <c r="F37" s="25">
        <v>223.55</v>
      </c>
      <c r="G37" s="25">
        <v>0.34</v>
      </c>
      <c r="H37" s="26"/>
    </row>
    <row r="38" spans="2:10" x14ac:dyDescent="0.2">
      <c r="B38" s="27" t="s">
        <v>218</v>
      </c>
      <c r="C38" s="23" t="s">
        <v>219</v>
      </c>
      <c r="D38" s="23" t="s">
        <v>146</v>
      </c>
      <c r="E38" s="28">
        <v>10000</v>
      </c>
      <c r="F38" s="25">
        <v>202.64</v>
      </c>
      <c r="G38" s="25">
        <v>0.31</v>
      </c>
      <c r="H38" s="26"/>
    </row>
    <row r="39" spans="2:10" x14ac:dyDescent="0.2">
      <c r="B39" s="27" t="s">
        <v>140</v>
      </c>
      <c r="C39" s="23" t="s">
        <v>141</v>
      </c>
      <c r="D39" s="23" t="s">
        <v>65</v>
      </c>
      <c r="E39" s="28">
        <v>9000</v>
      </c>
      <c r="F39" s="25">
        <v>177.75</v>
      </c>
      <c r="G39" s="25">
        <v>0.27</v>
      </c>
      <c r="H39" s="26"/>
    </row>
    <row r="40" spans="2:10" x14ac:dyDescent="0.2">
      <c r="B40" s="27" t="s">
        <v>171</v>
      </c>
      <c r="C40" s="23" t="s">
        <v>172</v>
      </c>
      <c r="D40" s="23" t="s">
        <v>173</v>
      </c>
      <c r="E40" s="28">
        <v>1715</v>
      </c>
      <c r="F40" s="25">
        <v>153.97</v>
      </c>
      <c r="G40" s="25">
        <v>0.24</v>
      </c>
      <c r="H40" s="26"/>
    </row>
    <row r="41" spans="2:10" x14ac:dyDescent="0.2">
      <c r="B41" s="27" t="s">
        <v>185</v>
      </c>
      <c r="C41" s="23" t="s">
        <v>186</v>
      </c>
      <c r="D41" s="23" t="s">
        <v>100</v>
      </c>
      <c r="E41" s="28">
        <v>8700</v>
      </c>
      <c r="F41" s="25">
        <v>150.72999999999999</v>
      </c>
      <c r="G41" s="25">
        <v>0.23</v>
      </c>
      <c r="H41" s="26"/>
    </row>
    <row r="42" spans="2:10" x14ac:dyDescent="0.2">
      <c r="B42" s="27" t="s">
        <v>195</v>
      </c>
      <c r="C42" s="23" t="s">
        <v>196</v>
      </c>
      <c r="D42" s="23" t="s">
        <v>197</v>
      </c>
      <c r="E42" s="28">
        <v>4500</v>
      </c>
      <c r="F42" s="25">
        <v>138.61000000000001</v>
      </c>
      <c r="G42" s="25">
        <v>0.21</v>
      </c>
      <c r="H42" s="26"/>
    </row>
    <row r="43" spans="2:10" x14ac:dyDescent="0.2">
      <c r="B43" s="29" t="s">
        <v>110</v>
      </c>
      <c r="C43" s="30"/>
      <c r="D43" s="30"/>
      <c r="E43" s="31"/>
      <c r="F43" s="32">
        <f>SUM(F7:F42)</f>
        <v>14956.689999999999</v>
      </c>
      <c r="G43" s="32">
        <f>SUM(G7:G42)</f>
        <v>22.84</v>
      </c>
      <c r="H43" s="33"/>
      <c r="I43" s="14"/>
      <c r="J43" s="14"/>
    </row>
    <row r="44" spans="2:10" x14ac:dyDescent="0.2">
      <c r="B44" s="37" t="s">
        <v>111</v>
      </c>
      <c r="C44" s="37"/>
      <c r="D44" s="37"/>
      <c r="E44" s="38"/>
      <c r="F44" s="39">
        <f>F43</f>
        <v>14956.689999999999</v>
      </c>
      <c r="G44" s="39">
        <f>G43</f>
        <v>22.84</v>
      </c>
      <c r="H44" s="15"/>
      <c r="I44" s="14"/>
      <c r="J44" s="14"/>
    </row>
    <row r="45" spans="2:10" x14ac:dyDescent="0.2">
      <c r="B45" s="46" t="s">
        <v>226</v>
      </c>
      <c r="C45" s="41"/>
      <c r="D45" s="41"/>
      <c r="E45" s="42"/>
      <c r="F45" s="43"/>
      <c r="G45" s="43"/>
      <c r="H45" s="43"/>
    </row>
    <row r="46" spans="2:10" x14ac:dyDescent="0.2">
      <c r="B46" s="47" t="s">
        <v>31</v>
      </c>
      <c r="C46" s="23"/>
      <c r="D46" s="23"/>
      <c r="E46" s="24"/>
      <c r="F46" s="25"/>
      <c r="G46" s="25"/>
      <c r="H46" s="25"/>
    </row>
    <row r="47" spans="2:10" x14ac:dyDescent="0.2">
      <c r="B47" s="23" t="s">
        <v>375</v>
      </c>
      <c r="C47" s="23" t="s">
        <v>376</v>
      </c>
      <c r="D47" s="23" t="s">
        <v>229</v>
      </c>
      <c r="E47" s="28">
        <v>350</v>
      </c>
      <c r="F47" s="25">
        <v>3598.62</v>
      </c>
      <c r="G47" s="25">
        <v>5.5</v>
      </c>
      <c r="H47" s="25">
        <v>4.45</v>
      </c>
    </row>
    <row r="48" spans="2:10" x14ac:dyDescent="0.2">
      <c r="B48" s="23" t="s">
        <v>583</v>
      </c>
      <c r="C48" s="23" t="s">
        <v>584</v>
      </c>
      <c r="D48" s="23" t="s">
        <v>229</v>
      </c>
      <c r="E48" s="28">
        <v>150</v>
      </c>
      <c r="F48" s="25">
        <v>1520.45</v>
      </c>
      <c r="G48" s="25">
        <v>2.3199999999999998</v>
      </c>
      <c r="H48" s="25">
        <v>3.88</v>
      </c>
    </row>
    <row r="49" spans="2:10" x14ac:dyDescent="0.2">
      <c r="B49" s="23" t="s">
        <v>389</v>
      </c>
      <c r="C49" s="23" t="s">
        <v>390</v>
      </c>
      <c r="D49" s="23" t="s">
        <v>229</v>
      </c>
      <c r="E49" s="28">
        <v>100</v>
      </c>
      <c r="F49" s="25">
        <v>1064.22</v>
      </c>
      <c r="G49" s="25">
        <v>1.63</v>
      </c>
      <c r="H49" s="25">
        <v>5.62</v>
      </c>
    </row>
    <row r="50" spans="2:10" x14ac:dyDescent="0.2">
      <c r="B50" s="23" t="s">
        <v>497</v>
      </c>
      <c r="C50" s="23" t="s">
        <v>498</v>
      </c>
      <c r="D50" s="23" t="s">
        <v>229</v>
      </c>
      <c r="E50" s="28">
        <v>100</v>
      </c>
      <c r="F50" s="25">
        <v>1049.06</v>
      </c>
      <c r="G50" s="25">
        <v>1.6</v>
      </c>
      <c r="H50" s="25">
        <v>5.9</v>
      </c>
    </row>
    <row r="51" spans="2:10" x14ac:dyDescent="0.2">
      <c r="B51" s="23" t="s">
        <v>585</v>
      </c>
      <c r="C51" s="23" t="s">
        <v>586</v>
      </c>
      <c r="D51" s="23" t="s">
        <v>229</v>
      </c>
      <c r="E51" s="28">
        <v>100</v>
      </c>
      <c r="F51" s="25">
        <v>1046.18</v>
      </c>
      <c r="G51" s="25">
        <v>1.6</v>
      </c>
      <c r="H51" s="25">
        <v>5.76</v>
      </c>
    </row>
    <row r="52" spans="2:10" x14ac:dyDescent="0.2">
      <c r="B52" s="23" t="s">
        <v>397</v>
      </c>
      <c r="C52" s="23" t="s">
        <v>398</v>
      </c>
      <c r="D52" s="23" t="s">
        <v>229</v>
      </c>
      <c r="E52" s="28">
        <v>100</v>
      </c>
      <c r="F52" s="25">
        <v>1036.8399999999999</v>
      </c>
      <c r="G52" s="25">
        <v>1.58</v>
      </c>
      <c r="H52" s="25">
        <v>4.67</v>
      </c>
    </row>
    <row r="53" spans="2:10" x14ac:dyDescent="0.2">
      <c r="B53" s="23" t="s">
        <v>399</v>
      </c>
      <c r="C53" s="23" t="s">
        <v>400</v>
      </c>
      <c r="D53" s="23" t="s">
        <v>229</v>
      </c>
      <c r="E53" s="28">
        <v>100</v>
      </c>
      <c r="F53" s="25">
        <v>1027.9000000000001</v>
      </c>
      <c r="G53" s="25">
        <v>1.57</v>
      </c>
      <c r="H53" s="25">
        <v>4.09</v>
      </c>
    </row>
    <row r="54" spans="2:10" x14ac:dyDescent="0.2">
      <c r="B54" s="23" t="s">
        <v>403</v>
      </c>
      <c r="C54" s="23" t="s">
        <v>404</v>
      </c>
      <c r="D54" s="23" t="s">
        <v>229</v>
      </c>
      <c r="E54" s="28">
        <v>100</v>
      </c>
      <c r="F54" s="25">
        <v>1004.79</v>
      </c>
      <c r="G54" s="25">
        <v>1.53</v>
      </c>
      <c r="H54" s="25">
        <v>3.54</v>
      </c>
    </row>
    <row r="55" spans="2:10" x14ac:dyDescent="0.2">
      <c r="B55" s="23" t="s">
        <v>493</v>
      </c>
      <c r="C55" s="23" t="s">
        <v>494</v>
      </c>
      <c r="D55" s="23" t="s">
        <v>229</v>
      </c>
      <c r="E55" s="28">
        <v>50</v>
      </c>
      <c r="F55" s="25">
        <v>538.39</v>
      </c>
      <c r="G55" s="25">
        <v>0.82</v>
      </c>
      <c r="H55" s="25">
        <v>5.6</v>
      </c>
    </row>
    <row r="56" spans="2:10" x14ac:dyDescent="0.2">
      <c r="B56" s="23" t="s">
        <v>395</v>
      </c>
      <c r="C56" s="23" t="s">
        <v>396</v>
      </c>
      <c r="D56" s="23" t="s">
        <v>229</v>
      </c>
      <c r="E56" s="28">
        <v>50</v>
      </c>
      <c r="F56" s="25">
        <v>530.14</v>
      </c>
      <c r="G56" s="25">
        <v>0.81</v>
      </c>
      <c r="H56" s="25">
        <v>5.39</v>
      </c>
    </row>
    <row r="57" spans="2:10" x14ac:dyDescent="0.2">
      <c r="B57" s="23" t="s">
        <v>371</v>
      </c>
      <c r="C57" s="23" t="s">
        <v>372</v>
      </c>
      <c r="D57" s="23" t="s">
        <v>229</v>
      </c>
      <c r="E57" s="28">
        <v>50</v>
      </c>
      <c r="F57" s="25">
        <v>504.56</v>
      </c>
      <c r="G57" s="25">
        <v>0.77</v>
      </c>
      <c r="H57" s="25">
        <v>3.55</v>
      </c>
    </row>
    <row r="58" spans="2:10" x14ac:dyDescent="0.2">
      <c r="B58" s="23" t="s">
        <v>227</v>
      </c>
      <c r="C58" s="23" t="s">
        <v>228</v>
      </c>
      <c r="D58" s="23" t="s">
        <v>229</v>
      </c>
      <c r="E58" s="28">
        <v>6500</v>
      </c>
      <c r="F58" s="25">
        <v>1.88</v>
      </c>
      <c r="G58" s="25">
        <v>0</v>
      </c>
      <c r="H58" s="25">
        <v>5.7</v>
      </c>
    </row>
    <row r="59" spans="2:10" x14ac:dyDescent="0.2">
      <c r="B59" s="30" t="s">
        <v>110</v>
      </c>
      <c r="C59" s="30"/>
      <c r="D59" s="30"/>
      <c r="E59" s="31"/>
      <c r="F59" s="32">
        <f>SUM(F46:F58)</f>
        <v>12923.029999999999</v>
      </c>
      <c r="G59" s="32">
        <f>SUM(G46:G58)</f>
        <v>19.729999999999997</v>
      </c>
      <c r="H59" s="48"/>
      <c r="I59" s="14"/>
      <c r="J59" s="14"/>
    </row>
    <row r="60" spans="2:10" x14ac:dyDescent="0.2">
      <c r="B60" s="49" t="s">
        <v>111</v>
      </c>
      <c r="C60" s="49"/>
      <c r="D60" s="49"/>
      <c r="E60" s="50"/>
      <c r="F60" s="51">
        <f>F59</f>
        <v>12923.029999999999</v>
      </c>
      <c r="G60" s="51">
        <f>G59</f>
        <v>19.729999999999997</v>
      </c>
      <c r="H60" s="51"/>
      <c r="I60" s="14"/>
      <c r="J60" s="14"/>
    </row>
    <row r="61" spans="2:10" x14ac:dyDescent="0.2">
      <c r="B61" s="47" t="s">
        <v>474</v>
      </c>
      <c r="C61" s="23"/>
      <c r="D61" s="23"/>
      <c r="E61" s="24"/>
      <c r="F61" s="25"/>
      <c r="G61" s="25"/>
      <c r="H61" s="25"/>
    </row>
    <row r="62" spans="2:10" x14ac:dyDescent="0.2">
      <c r="B62" s="47" t="s">
        <v>475</v>
      </c>
      <c r="C62" s="23"/>
      <c r="D62" s="23"/>
      <c r="E62" s="24"/>
      <c r="F62" s="25"/>
      <c r="G62" s="25"/>
      <c r="H62" s="25"/>
    </row>
    <row r="63" spans="2:10" x14ac:dyDescent="0.2">
      <c r="B63" s="23" t="s">
        <v>587</v>
      </c>
      <c r="C63" s="23" t="s">
        <v>588</v>
      </c>
      <c r="D63" s="23" t="s">
        <v>478</v>
      </c>
      <c r="E63" s="28">
        <v>3250000</v>
      </c>
      <c r="F63" s="25">
        <v>3224.91</v>
      </c>
      <c r="G63" s="25">
        <v>4.93</v>
      </c>
      <c r="H63" s="25">
        <v>3.38</v>
      </c>
    </row>
    <row r="64" spans="2:10" x14ac:dyDescent="0.2">
      <c r="B64" s="30" t="s">
        <v>110</v>
      </c>
      <c r="C64" s="30"/>
      <c r="D64" s="30"/>
      <c r="E64" s="31"/>
      <c r="F64" s="32">
        <f>SUM(F62:F63)</f>
        <v>3224.91</v>
      </c>
      <c r="G64" s="32">
        <f>SUM(G62:G63)</f>
        <v>4.93</v>
      </c>
      <c r="H64" s="48"/>
      <c r="I64" s="14"/>
      <c r="J64" s="14"/>
    </row>
    <row r="65" spans="2:10" x14ac:dyDescent="0.2">
      <c r="B65" s="49" t="s">
        <v>111</v>
      </c>
      <c r="C65" s="49"/>
      <c r="D65" s="49"/>
      <c r="E65" s="50"/>
      <c r="F65" s="51">
        <f>+F64</f>
        <v>3224.91</v>
      </c>
      <c r="G65" s="51">
        <f>+G64</f>
        <v>4.93</v>
      </c>
      <c r="H65" s="51"/>
      <c r="I65" s="14"/>
      <c r="J65" s="14"/>
    </row>
    <row r="66" spans="2:10" x14ac:dyDescent="0.2">
      <c r="B66" s="47" t="s">
        <v>426</v>
      </c>
      <c r="C66" s="23"/>
      <c r="D66" s="23"/>
      <c r="E66" s="24"/>
      <c r="F66" s="25"/>
      <c r="G66" s="25"/>
      <c r="H66" s="25"/>
    </row>
    <row r="67" spans="2:10" x14ac:dyDescent="0.2">
      <c r="B67" s="23" t="s">
        <v>432</v>
      </c>
      <c r="C67" s="23" t="s">
        <v>433</v>
      </c>
      <c r="D67" s="23" t="s">
        <v>429</v>
      </c>
      <c r="E67" s="28">
        <v>4100000</v>
      </c>
      <c r="F67" s="25">
        <v>4100</v>
      </c>
      <c r="G67" s="25">
        <v>6.26</v>
      </c>
      <c r="H67" s="25">
        <v>4.4800000000000004</v>
      </c>
    </row>
    <row r="68" spans="2:10" x14ac:dyDescent="0.2">
      <c r="B68" s="23" t="s">
        <v>430</v>
      </c>
      <c r="C68" s="23" t="s">
        <v>431</v>
      </c>
      <c r="D68" s="23" t="s">
        <v>429</v>
      </c>
      <c r="E68" s="28">
        <v>2800000</v>
      </c>
      <c r="F68" s="25">
        <v>2961.14</v>
      </c>
      <c r="G68" s="25">
        <v>4.5199999999999996</v>
      </c>
      <c r="H68" s="25">
        <v>4.91</v>
      </c>
    </row>
    <row r="69" spans="2:10" x14ac:dyDescent="0.2">
      <c r="B69" s="23" t="s">
        <v>454</v>
      </c>
      <c r="C69" s="23" t="s">
        <v>455</v>
      </c>
      <c r="D69" s="23" t="s">
        <v>429</v>
      </c>
      <c r="E69" s="28">
        <v>2500000</v>
      </c>
      <c r="F69" s="25">
        <v>2614.13</v>
      </c>
      <c r="G69" s="25">
        <v>3.99</v>
      </c>
      <c r="H69" s="25">
        <v>4.5999999999999996</v>
      </c>
    </row>
    <row r="70" spans="2:10" x14ac:dyDescent="0.2">
      <c r="B70" s="23" t="s">
        <v>434</v>
      </c>
      <c r="C70" s="23" t="s">
        <v>435</v>
      </c>
      <c r="D70" s="23" t="s">
        <v>429</v>
      </c>
      <c r="E70" s="28">
        <v>2500000</v>
      </c>
      <c r="F70" s="25">
        <v>2593.44</v>
      </c>
      <c r="G70" s="25">
        <v>3.96</v>
      </c>
      <c r="H70" s="25">
        <v>4.1900000000000004</v>
      </c>
    </row>
    <row r="71" spans="2:10" x14ac:dyDescent="0.2">
      <c r="B71" s="23" t="s">
        <v>440</v>
      </c>
      <c r="C71" s="23" t="s">
        <v>441</v>
      </c>
      <c r="D71" s="23" t="s">
        <v>429</v>
      </c>
      <c r="E71" s="28">
        <v>2500000</v>
      </c>
      <c r="F71" s="25">
        <v>2466.73</v>
      </c>
      <c r="G71" s="25">
        <v>3.77</v>
      </c>
      <c r="H71" s="25">
        <v>5.6</v>
      </c>
    </row>
    <row r="72" spans="2:10" x14ac:dyDescent="0.2">
      <c r="B72" s="23" t="s">
        <v>442</v>
      </c>
      <c r="C72" s="23" t="s">
        <v>443</v>
      </c>
      <c r="D72" s="23" t="s">
        <v>429</v>
      </c>
      <c r="E72" s="28">
        <v>2000000</v>
      </c>
      <c r="F72" s="25">
        <v>2056.85</v>
      </c>
      <c r="G72" s="25">
        <v>3.14</v>
      </c>
      <c r="H72" s="25">
        <v>5.24</v>
      </c>
    </row>
    <row r="73" spans="2:10" x14ac:dyDescent="0.2">
      <c r="B73" s="23" t="s">
        <v>444</v>
      </c>
      <c r="C73" s="23" t="s">
        <v>445</v>
      </c>
      <c r="D73" s="23" t="s">
        <v>429</v>
      </c>
      <c r="E73" s="28">
        <v>1500000</v>
      </c>
      <c r="F73" s="25">
        <v>1540.2</v>
      </c>
      <c r="G73" s="25">
        <v>2.35</v>
      </c>
      <c r="H73" s="25">
        <v>3.82</v>
      </c>
    </row>
    <row r="74" spans="2:10" x14ac:dyDescent="0.2">
      <c r="B74" s="23" t="s">
        <v>438</v>
      </c>
      <c r="C74" s="23" t="s">
        <v>439</v>
      </c>
      <c r="D74" s="23" t="s">
        <v>429</v>
      </c>
      <c r="E74" s="28">
        <v>1500000</v>
      </c>
      <c r="F74" s="25">
        <v>1526.55</v>
      </c>
      <c r="G74" s="25">
        <v>2.33</v>
      </c>
      <c r="H74" s="25">
        <v>3.71</v>
      </c>
    </row>
    <row r="75" spans="2:10" x14ac:dyDescent="0.2">
      <c r="B75" s="23" t="s">
        <v>446</v>
      </c>
      <c r="C75" s="23" t="s">
        <v>447</v>
      </c>
      <c r="D75" s="23" t="s">
        <v>429</v>
      </c>
      <c r="E75" s="28">
        <v>1400000</v>
      </c>
      <c r="F75" s="25">
        <v>1394.83</v>
      </c>
      <c r="G75" s="25">
        <v>2.13</v>
      </c>
      <c r="H75" s="25">
        <v>5.72</v>
      </c>
    </row>
    <row r="76" spans="2:10" x14ac:dyDescent="0.2">
      <c r="B76" s="23" t="s">
        <v>452</v>
      </c>
      <c r="C76" s="23" t="s">
        <v>453</v>
      </c>
      <c r="D76" s="23" t="s">
        <v>429</v>
      </c>
      <c r="E76" s="28">
        <v>1000000</v>
      </c>
      <c r="F76" s="25">
        <v>1075.75</v>
      </c>
      <c r="G76" s="25">
        <v>1.64</v>
      </c>
      <c r="H76" s="25">
        <v>6.18</v>
      </c>
    </row>
    <row r="77" spans="2:10" x14ac:dyDescent="0.2">
      <c r="B77" s="23" t="s">
        <v>460</v>
      </c>
      <c r="C77" s="23" t="s">
        <v>461</v>
      </c>
      <c r="D77" s="23" t="s">
        <v>429</v>
      </c>
      <c r="E77" s="28">
        <v>1000000</v>
      </c>
      <c r="F77" s="25">
        <v>1047.68</v>
      </c>
      <c r="G77" s="25">
        <v>1.6</v>
      </c>
      <c r="H77" s="25">
        <v>6.27</v>
      </c>
    </row>
    <row r="78" spans="2:10" x14ac:dyDescent="0.2">
      <c r="B78" s="23" t="s">
        <v>427</v>
      </c>
      <c r="C78" s="23" t="s">
        <v>428</v>
      </c>
      <c r="D78" s="23" t="s">
        <v>429</v>
      </c>
      <c r="E78" s="28">
        <v>1000000</v>
      </c>
      <c r="F78" s="25">
        <v>1047.08</v>
      </c>
      <c r="G78" s="25">
        <v>1.6</v>
      </c>
      <c r="H78" s="25">
        <v>4.5999999999999996</v>
      </c>
    </row>
    <row r="79" spans="2:10" x14ac:dyDescent="0.2">
      <c r="B79" s="23" t="s">
        <v>456</v>
      </c>
      <c r="C79" s="23" t="s">
        <v>457</v>
      </c>
      <c r="D79" s="23" t="s">
        <v>429</v>
      </c>
      <c r="E79" s="28">
        <v>1000000</v>
      </c>
      <c r="F79" s="25">
        <v>1042</v>
      </c>
      <c r="G79" s="25">
        <v>1.59</v>
      </c>
      <c r="H79" s="25">
        <v>6.01</v>
      </c>
    </row>
    <row r="80" spans="2:10" x14ac:dyDescent="0.2">
      <c r="B80" s="23" t="s">
        <v>589</v>
      </c>
      <c r="C80" s="23" t="s">
        <v>590</v>
      </c>
      <c r="D80" s="23" t="s">
        <v>429</v>
      </c>
      <c r="E80" s="28">
        <v>800000</v>
      </c>
      <c r="F80" s="25">
        <v>825.1</v>
      </c>
      <c r="G80" s="25">
        <v>1.26</v>
      </c>
      <c r="H80" s="25">
        <v>4.1900000000000004</v>
      </c>
    </row>
    <row r="81" spans="2:10" x14ac:dyDescent="0.2">
      <c r="B81" s="23" t="s">
        <v>468</v>
      </c>
      <c r="C81" s="23" t="s">
        <v>469</v>
      </c>
      <c r="D81" s="23" t="s">
        <v>429</v>
      </c>
      <c r="E81" s="28">
        <v>750000</v>
      </c>
      <c r="F81" s="25">
        <v>759.37</v>
      </c>
      <c r="G81" s="25">
        <v>1.1599999999999999</v>
      </c>
      <c r="H81" s="25">
        <v>6.51</v>
      </c>
    </row>
    <row r="82" spans="2:10" x14ac:dyDescent="0.2">
      <c r="B82" s="23" t="s">
        <v>462</v>
      </c>
      <c r="C82" s="23" t="s">
        <v>463</v>
      </c>
      <c r="D82" s="23" t="s">
        <v>429</v>
      </c>
      <c r="E82" s="28">
        <v>600000</v>
      </c>
      <c r="F82" s="25">
        <v>630.62</v>
      </c>
      <c r="G82" s="25">
        <v>0.96</v>
      </c>
      <c r="H82" s="25">
        <v>6.2</v>
      </c>
    </row>
    <row r="83" spans="2:10" x14ac:dyDescent="0.2">
      <c r="B83" s="23" t="s">
        <v>591</v>
      </c>
      <c r="C83" s="23" t="s">
        <v>592</v>
      </c>
      <c r="D83" s="23" t="s">
        <v>429</v>
      </c>
      <c r="E83" s="28">
        <v>500000</v>
      </c>
      <c r="F83" s="25">
        <v>544.79</v>
      </c>
      <c r="G83" s="25">
        <v>0.83</v>
      </c>
      <c r="H83" s="25">
        <v>5.03</v>
      </c>
    </row>
    <row r="84" spans="2:10" x14ac:dyDescent="0.2">
      <c r="B84" s="23" t="s">
        <v>458</v>
      </c>
      <c r="C84" s="23" t="s">
        <v>459</v>
      </c>
      <c r="D84" s="23" t="s">
        <v>429</v>
      </c>
      <c r="E84" s="28">
        <v>500000</v>
      </c>
      <c r="F84" s="25">
        <v>531.54</v>
      </c>
      <c r="G84" s="25">
        <v>0.81</v>
      </c>
      <c r="H84" s="25">
        <v>5.04</v>
      </c>
    </row>
    <row r="85" spans="2:10" x14ac:dyDescent="0.2">
      <c r="B85" s="23" t="s">
        <v>501</v>
      </c>
      <c r="C85" s="23" t="s">
        <v>502</v>
      </c>
      <c r="D85" s="23" t="s">
        <v>429</v>
      </c>
      <c r="E85" s="28">
        <v>500000</v>
      </c>
      <c r="F85" s="25">
        <v>496.53</v>
      </c>
      <c r="G85" s="25">
        <v>0.76</v>
      </c>
      <c r="H85" s="25">
        <v>6.72</v>
      </c>
    </row>
    <row r="86" spans="2:10" x14ac:dyDescent="0.2">
      <c r="B86" s="23" t="s">
        <v>503</v>
      </c>
      <c r="C86" s="23" t="s">
        <v>504</v>
      </c>
      <c r="D86" s="23" t="s">
        <v>429</v>
      </c>
      <c r="E86" s="28">
        <v>250000</v>
      </c>
      <c r="F86" s="25">
        <v>236.88</v>
      </c>
      <c r="G86" s="25">
        <v>0.36</v>
      </c>
      <c r="H86" s="25">
        <v>7.1</v>
      </c>
    </row>
    <row r="87" spans="2:10" x14ac:dyDescent="0.2">
      <c r="B87" s="52" t="s">
        <v>593</v>
      </c>
      <c r="C87" s="52" t="s">
        <v>594</v>
      </c>
      <c r="D87" s="52" t="s">
        <v>429</v>
      </c>
      <c r="E87" s="53">
        <v>800</v>
      </c>
      <c r="F87" s="54">
        <v>0.87</v>
      </c>
      <c r="G87" s="54">
        <v>0</v>
      </c>
      <c r="H87" s="54">
        <v>7.07</v>
      </c>
    </row>
    <row r="88" spans="2:10" x14ac:dyDescent="0.2">
      <c r="B88" s="55" t="s">
        <v>111</v>
      </c>
      <c r="C88" s="55"/>
      <c r="D88" s="55"/>
      <c r="E88" s="56"/>
      <c r="F88" s="57">
        <f>SUM(F67:F87)</f>
        <v>29492.080000000002</v>
      </c>
      <c r="G88" s="57">
        <f>SUM(G67:G87)</f>
        <v>45.02</v>
      </c>
      <c r="H88" s="57"/>
      <c r="I88" s="14"/>
      <c r="J88" s="14"/>
    </row>
    <row r="89" spans="2:10" x14ac:dyDescent="0.2">
      <c r="B89" s="47" t="s">
        <v>112</v>
      </c>
      <c r="C89" s="23"/>
      <c r="D89" s="23"/>
      <c r="E89" s="24"/>
      <c r="F89" s="25"/>
      <c r="G89" s="25"/>
      <c r="H89" s="25"/>
    </row>
    <row r="90" spans="2:10" x14ac:dyDescent="0.2">
      <c r="B90" s="23" t="s">
        <v>112</v>
      </c>
      <c r="C90" s="23"/>
      <c r="D90" s="23"/>
      <c r="E90" s="24"/>
      <c r="F90" s="25">
        <v>4182.32</v>
      </c>
      <c r="G90" s="25">
        <v>6.39</v>
      </c>
      <c r="H90" s="25"/>
    </row>
    <row r="91" spans="2:10" x14ac:dyDescent="0.2">
      <c r="B91" s="30" t="s">
        <v>110</v>
      </c>
      <c r="C91" s="30"/>
      <c r="D91" s="30"/>
      <c r="E91" s="31"/>
      <c r="F91" s="32">
        <f>SUM(F89:F90)</f>
        <v>4182.32</v>
      </c>
      <c r="G91" s="32">
        <f>SUM(G89:G90)</f>
        <v>6.39</v>
      </c>
      <c r="H91" s="48"/>
      <c r="I91" s="14"/>
      <c r="J91" s="14"/>
    </row>
    <row r="92" spans="2:10" x14ac:dyDescent="0.2">
      <c r="B92" s="34" t="s">
        <v>111</v>
      </c>
      <c r="C92" s="34"/>
      <c r="D92" s="34"/>
      <c r="E92" s="35"/>
      <c r="F92" s="36">
        <f>F91</f>
        <v>4182.32</v>
      </c>
      <c r="G92" s="36">
        <f>G91</f>
        <v>6.39</v>
      </c>
      <c r="H92" s="36"/>
      <c r="I92" s="14"/>
      <c r="J92" s="14"/>
    </row>
    <row r="93" spans="2:10" x14ac:dyDescent="0.2">
      <c r="B93" s="44" t="s">
        <v>114</v>
      </c>
      <c r="C93" s="44"/>
      <c r="D93" s="44"/>
      <c r="E93" s="45"/>
      <c r="F93" s="16">
        <f>F94-(+F44+F60+F65+F88+F92)</f>
        <v>682.05000000000291</v>
      </c>
      <c r="G93" s="16">
        <f>G94-(+G44+G60+G65+G88+G92)</f>
        <v>1.0900000000000034</v>
      </c>
      <c r="H93" s="16"/>
      <c r="I93" s="14"/>
      <c r="J93" s="14"/>
    </row>
    <row r="94" spans="2:10" x14ac:dyDescent="0.2">
      <c r="B94" s="44" t="s">
        <v>113</v>
      </c>
      <c r="C94" s="44"/>
      <c r="D94" s="44"/>
      <c r="E94" s="45"/>
      <c r="F94" s="16">
        <v>65461.08</v>
      </c>
      <c r="G94" s="16">
        <v>100</v>
      </c>
      <c r="H94" s="16"/>
      <c r="I94" s="14"/>
      <c r="J94" s="14"/>
    </row>
    <row r="96" spans="2:10" x14ac:dyDescent="0.2">
      <c r="B96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B16" sqref="B16"/>
    </sheetView>
  </sheetViews>
  <sheetFormatPr defaultRowHeight="12" x14ac:dyDescent="0.2"/>
  <cols>
    <col min="1" max="1" width="9.140625" style="1"/>
    <col min="2" max="2" width="5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22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426</v>
      </c>
      <c r="C5" s="18"/>
      <c r="D5" s="18"/>
      <c r="E5" s="19"/>
      <c r="F5" s="20"/>
      <c r="G5" s="20"/>
      <c r="H5" s="20"/>
    </row>
    <row r="6" spans="2:10" x14ac:dyDescent="0.2">
      <c r="B6" s="23" t="s">
        <v>595</v>
      </c>
      <c r="C6" s="23" t="s">
        <v>596</v>
      </c>
      <c r="D6" s="23" t="s">
        <v>429</v>
      </c>
      <c r="E6" s="28">
        <v>1500000</v>
      </c>
      <c r="F6" s="25">
        <v>1548.29</v>
      </c>
      <c r="G6" s="25">
        <v>48.81</v>
      </c>
      <c r="H6" s="25">
        <v>6.13</v>
      </c>
    </row>
    <row r="7" spans="2:10" x14ac:dyDescent="0.2">
      <c r="B7" s="52" t="s">
        <v>597</v>
      </c>
      <c r="C7" s="52" t="s">
        <v>598</v>
      </c>
      <c r="D7" s="52" t="s">
        <v>429</v>
      </c>
      <c r="E7" s="53">
        <v>1000000</v>
      </c>
      <c r="F7" s="54">
        <v>1066.6400000000001</v>
      </c>
      <c r="G7" s="54">
        <v>33.619999999999997</v>
      </c>
      <c r="H7" s="54">
        <v>5.89</v>
      </c>
    </row>
    <row r="8" spans="2:10" x14ac:dyDescent="0.2">
      <c r="B8" s="55" t="s">
        <v>111</v>
      </c>
      <c r="C8" s="55"/>
      <c r="D8" s="55"/>
      <c r="E8" s="56"/>
      <c r="F8" s="57">
        <f>SUM(F6:F7)</f>
        <v>2614.9300000000003</v>
      </c>
      <c r="G8" s="57">
        <f>SUM(G6:G7)</f>
        <v>82.43</v>
      </c>
      <c r="H8" s="57"/>
      <c r="I8" s="14"/>
      <c r="J8" s="14"/>
    </row>
    <row r="9" spans="2:10" x14ac:dyDescent="0.2">
      <c r="B9" s="47" t="s">
        <v>112</v>
      </c>
      <c r="C9" s="23"/>
      <c r="D9" s="23"/>
      <c r="E9" s="24"/>
      <c r="F9" s="25"/>
      <c r="G9" s="25"/>
      <c r="H9" s="25"/>
    </row>
    <row r="10" spans="2:10" x14ac:dyDescent="0.2">
      <c r="B10" s="23" t="s">
        <v>112</v>
      </c>
      <c r="C10" s="23"/>
      <c r="D10" s="23"/>
      <c r="E10" s="24"/>
      <c r="F10" s="25">
        <v>502.35</v>
      </c>
      <c r="G10" s="25">
        <v>15.83</v>
      </c>
      <c r="H10" s="25"/>
    </row>
    <row r="11" spans="2:10" x14ac:dyDescent="0.2">
      <c r="B11" s="30" t="s">
        <v>110</v>
      </c>
      <c r="C11" s="30"/>
      <c r="D11" s="30"/>
      <c r="E11" s="31"/>
      <c r="F11" s="32">
        <f>SUM(F9:F10)</f>
        <v>502.35</v>
      </c>
      <c r="G11" s="32">
        <f>SUM(G9:G10)</f>
        <v>15.83</v>
      </c>
      <c r="H11" s="48"/>
      <c r="I11" s="14"/>
      <c r="J11" s="14"/>
    </row>
    <row r="12" spans="2:10" x14ac:dyDescent="0.2">
      <c r="B12" s="34" t="s">
        <v>111</v>
      </c>
      <c r="C12" s="34"/>
      <c r="D12" s="34"/>
      <c r="E12" s="35"/>
      <c r="F12" s="36">
        <f>F11</f>
        <v>502.35</v>
      </c>
      <c r="G12" s="36">
        <f>G11</f>
        <v>15.83</v>
      </c>
      <c r="H12" s="36"/>
      <c r="I12" s="14"/>
      <c r="J12" s="14"/>
    </row>
    <row r="13" spans="2:10" x14ac:dyDescent="0.2">
      <c r="B13" s="44" t="s">
        <v>114</v>
      </c>
      <c r="C13" s="44"/>
      <c r="D13" s="44"/>
      <c r="E13" s="45"/>
      <c r="F13" s="16">
        <f>F14-(+F8+F12)</f>
        <v>55.049999999999727</v>
      </c>
      <c r="G13" s="16">
        <f>G14-(+G8+G12)</f>
        <v>1.7399999999999949</v>
      </c>
      <c r="H13" s="16"/>
      <c r="I13" s="14"/>
      <c r="J13" s="14"/>
    </row>
    <row r="14" spans="2:10" x14ac:dyDescent="0.2">
      <c r="B14" s="44" t="s">
        <v>113</v>
      </c>
      <c r="C14" s="44"/>
      <c r="D14" s="44"/>
      <c r="E14" s="45"/>
      <c r="F14" s="16">
        <v>3172.33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Views>
    <sheetView workbookViewId="0">
      <selection activeCell="B3" sqref="B3"/>
    </sheetView>
  </sheetViews>
  <sheetFormatPr defaultRowHeight="12" x14ac:dyDescent="0.2"/>
  <cols>
    <col min="1" max="1" width="9.140625" style="1"/>
    <col min="2" max="2" width="55" style="1" bestFit="1" customWidth="1"/>
    <col min="3" max="3" width="13.5703125" style="1" bestFit="1" customWidth="1"/>
    <col min="4" max="4" width="14.140625" style="1" bestFit="1" customWidth="1"/>
    <col min="5" max="5" width="10.2851562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23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474</v>
      </c>
      <c r="C5" s="18"/>
      <c r="D5" s="18"/>
      <c r="E5" s="19"/>
      <c r="F5" s="20"/>
      <c r="G5" s="20"/>
      <c r="H5" s="20"/>
    </row>
    <row r="6" spans="2:10" x14ac:dyDescent="0.2">
      <c r="B6" s="47" t="s">
        <v>549</v>
      </c>
      <c r="C6" s="23"/>
      <c r="D6" s="23"/>
      <c r="E6" s="24"/>
      <c r="F6" s="25"/>
      <c r="G6" s="25"/>
      <c r="H6" s="25"/>
    </row>
    <row r="7" spans="2:10" x14ac:dyDescent="0.2">
      <c r="B7" s="23" t="s">
        <v>599</v>
      </c>
      <c r="C7" s="23" t="s">
        <v>600</v>
      </c>
      <c r="D7" s="23" t="s">
        <v>552</v>
      </c>
      <c r="E7" s="28">
        <v>12500</v>
      </c>
      <c r="F7" s="25">
        <v>12495.41</v>
      </c>
      <c r="G7" s="25">
        <v>5.21</v>
      </c>
      <c r="H7" s="25">
        <v>3.35</v>
      </c>
    </row>
    <row r="8" spans="2:10" x14ac:dyDescent="0.2">
      <c r="B8" s="47" t="s">
        <v>110</v>
      </c>
      <c r="C8" s="47"/>
      <c r="D8" s="47"/>
      <c r="E8" s="59"/>
      <c r="F8" s="57">
        <f>SUM(F6:F7)</f>
        <v>12495.41</v>
      </c>
      <c r="G8" s="57">
        <f>SUM(G6:G7)</f>
        <v>5.21</v>
      </c>
      <c r="H8" s="60"/>
      <c r="I8" s="14"/>
      <c r="J8" s="14"/>
    </row>
    <row r="9" spans="2:10" x14ac:dyDescent="0.2">
      <c r="B9" s="47" t="s">
        <v>558</v>
      </c>
      <c r="C9" s="23"/>
      <c r="D9" s="23"/>
      <c r="E9" s="24"/>
      <c r="F9" s="25"/>
      <c r="G9" s="25"/>
      <c r="H9" s="25"/>
    </row>
    <row r="10" spans="2:10" x14ac:dyDescent="0.2">
      <c r="B10" s="23" t="s">
        <v>760</v>
      </c>
      <c r="C10" s="23" t="s">
        <v>601</v>
      </c>
      <c r="D10" s="23" t="s">
        <v>552</v>
      </c>
      <c r="E10" s="28">
        <v>3000</v>
      </c>
      <c r="F10" s="25">
        <v>14972.88</v>
      </c>
      <c r="G10" s="25">
        <v>6.24</v>
      </c>
      <c r="H10" s="25">
        <v>3.48</v>
      </c>
    </row>
    <row r="11" spans="2:10" x14ac:dyDescent="0.2">
      <c r="B11" s="23" t="s">
        <v>761</v>
      </c>
      <c r="C11" s="23" t="s">
        <v>602</v>
      </c>
      <c r="D11" s="23" t="s">
        <v>555</v>
      </c>
      <c r="E11" s="28">
        <v>3000</v>
      </c>
      <c r="F11" s="25">
        <v>14941.55</v>
      </c>
      <c r="G11" s="25">
        <v>6.23</v>
      </c>
      <c r="H11" s="25">
        <v>3.4</v>
      </c>
    </row>
    <row r="12" spans="2:10" x14ac:dyDescent="0.2">
      <c r="B12" s="23" t="s">
        <v>762</v>
      </c>
      <c r="C12" s="23" t="s">
        <v>603</v>
      </c>
      <c r="D12" s="23" t="s">
        <v>555</v>
      </c>
      <c r="E12" s="28">
        <v>2800</v>
      </c>
      <c r="F12" s="25">
        <v>13976.3</v>
      </c>
      <c r="G12" s="25">
        <v>5.83</v>
      </c>
      <c r="H12" s="25">
        <v>3.44</v>
      </c>
    </row>
    <row r="13" spans="2:10" x14ac:dyDescent="0.2">
      <c r="B13" s="23" t="s">
        <v>763</v>
      </c>
      <c r="C13" s="23" t="s">
        <v>604</v>
      </c>
      <c r="D13" s="23" t="s">
        <v>605</v>
      </c>
      <c r="E13" s="28">
        <v>2000</v>
      </c>
      <c r="F13" s="25">
        <v>9973.5300000000007</v>
      </c>
      <c r="G13" s="25">
        <v>4.16</v>
      </c>
      <c r="H13" s="25">
        <v>3.34</v>
      </c>
    </row>
    <row r="14" spans="2:10" x14ac:dyDescent="0.2">
      <c r="B14" s="23" t="s">
        <v>764</v>
      </c>
      <c r="C14" s="23" t="s">
        <v>606</v>
      </c>
      <c r="D14" s="23" t="s">
        <v>605</v>
      </c>
      <c r="E14" s="28">
        <v>2000</v>
      </c>
      <c r="F14" s="25">
        <v>9970.4500000000007</v>
      </c>
      <c r="G14" s="25">
        <v>4.16</v>
      </c>
      <c r="H14" s="25">
        <v>3.38</v>
      </c>
    </row>
    <row r="15" spans="2:10" x14ac:dyDescent="0.2">
      <c r="B15" s="23" t="s">
        <v>765</v>
      </c>
      <c r="C15" s="23" t="s">
        <v>607</v>
      </c>
      <c r="D15" s="23" t="s">
        <v>552</v>
      </c>
      <c r="E15" s="28">
        <v>1500</v>
      </c>
      <c r="F15" s="25">
        <v>7472.85</v>
      </c>
      <c r="G15" s="25">
        <v>3.11</v>
      </c>
      <c r="H15" s="25">
        <v>3.4</v>
      </c>
    </row>
    <row r="16" spans="2:10" x14ac:dyDescent="0.2">
      <c r="B16" s="23" t="s">
        <v>766</v>
      </c>
      <c r="C16" s="23" t="s">
        <v>608</v>
      </c>
      <c r="D16" s="23" t="s">
        <v>609</v>
      </c>
      <c r="E16" s="28">
        <v>1000</v>
      </c>
      <c r="F16" s="25">
        <v>4994.9399999999996</v>
      </c>
      <c r="G16" s="25">
        <v>2.08</v>
      </c>
      <c r="H16" s="25">
        <v>3.36</v>
      </c>
    </row>
    <row r="17" spans="2:10" x14ac:dyDescent="0.2">
      <c r="B17" s="23" t="s">
        <v>767</v>
      </c>
      <c r="C17" s="23" t="s">
        <v>610</v>
      </c>
      <c r="D17" s="23" t="s">
        <v>605</v>
      </c>
      <c r="E17" s="28">
        <v>1000</v>
      </c>
      <c r="F17" s="25">
        <v>4987.99</v>
      </c>
      <c r="G17" s="25">
        <v>2.08</v>
      </c>
      <c r="H17" s="25">
        <v>3.38</v>
      </c>
    </row>
    <row r="18" spans="2:10" x14ac:dyDescent="0.2">
      <c r="B18" s="23" t="s">
        <v>768</v>
      </c>
      <c r="C18" s="23" t="s">
        <v>611</v>
      </c>
      <c r="D18" s="23" t="s">
        <v>605</v>
      </c>
      <c r="E18" s="28">
        <v>1000</v>
      </c>
      <c r="F18" s="25">
        <v>4986.7299999999996</v>
      </c>
      <c r="G18" s="25">
        <v>2.08</v>
      </c>
      <c r="H18" s="25">
        <v>3.35</v>
      </c>
    </row>
    <row r="19" spans="2:10" x14ac:dyDescent="0.2">
      <c r="B19" s="23" t="s">
        <v>769</v>
      </c>
      <c r="C19" s="23" t="s">
        <v>612</v>
      </c>
      <c r="D19" s="23" t="s">
        <v>552</v>
      </c>
      <c r="E19" s="28">
        <v>500</v>
      </c>
      <c r="F19" s="25">
        <v>2493.36</v>
      </c>
      <c r="G19" s="25">
        <v>1.04</v>
      </c>
      <c r="H19" s="25">
        <v>3.35</v>
      </c>
    </row>
    <row r="20" spans="2:10" x14ac:dyDescent="0.2">
      <c r="B20" s="47" t="s">
        <v>110</v>
      </c>
      <c r="C20" s="47"/>
      <c r="D20" s="47"/>
      <c r="E20" s="59"/>
      <c r="F20" s="57">
        <f>SUM(F9:F19)</f>
        <v>88770.58</v>
      </c>
      <c r="G20" s="57">
        <f>SUM(G9:G19)</f>
        <v>37.01</v>
      </c>
      <c r="H20" s="60"/>
      <c r="I20" s="14"/>
      <c r="J20" s="14"/>
    </row>
    <row r="21" spans="2:10" x14ac:dyDescent="0.2">
      <c r="B21" s="47" t="s">
        <v>475</v>
      </c>
      <c r="C21" s="23"/>
      <c r="D21" s="23"/>
      <c r="E21" s="24"/>
      <c r="F21" s="25"/>
      <c r="G21" s="25"/>
      <c r="H21" s="25"/>
    </row>
    <row r="22" spans="2:10" x14ac:dyDescent="0.2">
      <c r="B22" s="23" t="s">
        <v>613</v>
      </c>
      <c r="C22" s="23" t="s">
        <v>614</v>
      </c>
      <c r="D22" s="23" t="s">
        <v>478</v>
      </c>
      <c r="E22" s="28">
        <v>20000000</v>
      </c>
      <c r="F22" s="25">
        <v>19987.36</v>
      </c>
      <c r="G22" s="25">
        <v>8.33</v>
      </c>
      <c r="H22" s="25">
        <v>3.3</v>
      </c>
    </row>
    <row r="23" spans="2:10" x14ac:dyDescent="0.2">
      <c r="B23" s="23" t="s">
        <v>566</v>
      </c>
      <c r="C23" s="23" t="s">
        <v>567</v>
      </c>
      <c r="D23" s="23" t="s">
        <v>478</v>
      </c>
      <c r="E23" s="28">
        <v>20000000</v>
      </c>
      <c r="F23" s="25">
        <v>19974.7</v>
      </c>
      <c r="G23" s="25">
        <v>8.33</v>
      </c>
      <c r="H23" s="25">
        <v>3.3</v>
      </c>
    </row>
    <row r="24" spans="2:10" x14ac:dyDescent="0.2">
      <c r="B24" s="23" t="s">
        <v>615</v>
      </c>
      <c r="C24" s="23" t="s">
        <v>616</v>
      </c>
      <c r="D24" s="23" t="s">
        <v>478</v>
      </c>
      <c r="E24" s="28">
        <v>20000000</v>
      </c>
      <c r="F24" s="25">
        <v>19935.96</v>
      </c>
      <c r="G24" s="25">
        <v>8.31</v>
      </c>
      <c r="H24" s="25">
        <v>3.35</v>
      </c>
    </row>
    <row r="25" spans="2:10" x14ac:dyDescent="0.2">
      <c r="B25" s="23" t="s">
        <v>617</v>
      </c>
      <c r="C25" s="23" t="s">
        <v>618</v>
      </c>
      <c r="D25" s="23" t="s">
        <v>478</v>
      </c>
      <c r="E25" s="28">
        <v>15000000</v>
      </c>
      <c r="F25" s="25">
        <v>15000</v>
      </c>
      <c r="G25" s="25">
        <v>6.25</v>
      </c>
      <c r="H25" s="25">
        <v>3.3</v>
      </c>
    </row>
    <row r="26" spans="2:10" x14ac:dyDescent="0.2">
      <c r="B26" s="23" t="s">
        <v>476</v>
      </c>
      <c r="C26" s="23" t="s">
        <v>477</v>
      </c>
      <c r="D26" s="23" t="s">
        <v>478</v>
      </c>
      <c r="E26" s="28">
        <v>11000000</v>
      </c>
      <c r="F26" s="25">
        <v>10993.02</v>
      </c>
      <c r="G26" s="25">
        <v>4.58</v>
      </c>
      <c r="H26" s="25">
        <v>3.31</v>
      </c>
    </row>
    <row r="27" spans="2:10" x14ac:dyDescent="0.2">
      <c r="B27" s="23" t="s">
        <v>619</v>
      </c>
      <c r="C27" s="23" t="s">
        <v>620</v>
      </c>
      <c r="D27" s="23" t="s">
        <v>478</v>
      </c>
      <c r="E27" s="28">
        <v>10000000</v>
      </c>
      <c r="F27" s="25">
        <v>9987.17</v>
      </c>
      <c r="G27" s="25">
        <v>4.16</v>
      </c>
      <c r="H27" s="25">
        <v>3.35</v>
      </c>
    </row>
    <row r="28" spans="2:10" x14ac:dyDescent="0.2">
      <c r="B28" s="23" t="s">
        <v>621</v>
      </c>
      <c r="C28" s="23" t="s">
        <v>622</v>
      </c>
      <c r="D28" s="23" t="s">
        <v>478</v>
      </c>
      <c r="E28" s="28">
        <v>10000000</v>
      </c>
      <c r="F28" s="25">
        <v>9981.0499999999993</v>
      </c>
      <c r="G28" s="25">
        <v>4.16</v>
      </c>
      <c r="H28" s="25">
        <v>3.3</v>
      </c>
    </row>
    <row r="29" spans="2:10" x14ac:dyDescent="0.2">
      <c r="B29" s="23" t="s">
        <v>623</v>
      </c>
      <c r="C29" s="23" t="s">
        <v>624</v>
      </c>
      <c r="D29" s="23" t="s">
        <v>478</v>
      </c>
      <c r="E29" s="28">
        <v>5500000</v>
      </c>
      <c r="F29" s="25">
        <v>5496.51</v>
      </c>
      <c r="G29" s="25">
        <v>2.29</v>
      </c>
      <c r="H29" s="25">
        <v>3.31</v>
      </c>
    </row>
    <row r="30" spans="2:10" x14ac:dyDescent="0.2">
      <c r="B30" s="23" t="s">
        <v>568</v>
      </c>
      <c r="C30" s="23" t="s">
        <v>569</v>
      </c>
      <c r="D30" s="23" t="s">
        <v>478</v>
      </c>
      <c r="E30" s="28">
        <v>5000000</v>
      </c>
      <c r="F30" s="25">
        <v>4987.38</v>
      </c>
      <c r="G30" s="25">
        <v>2.08</v>
      </c>
      <c r="H30" s="25">
        <v>3.3</v>
      </c>
    </row>
    <row r="31" spans="2:10" x14ac:dyDescent="0.2">
      <c r="B31" s="23" t="s">
        <v>625</v>
      </c>
      <c r="C31" s="23" t="s">
        <v>626</v>
      </c>
      <c r="D31" s="23" t="s">
        <v>478</v>
      </c>
      <c r="E31" s="28">
        <v>3500000</v>
      </c>
      <c r="F31" s="25">
        <v>3493.35</v>
      </c>
      <c r="G31" s="25">
        <v>1.46</v>
      </c>
      <c r="H31" s="25">
        <v>3.31</v>
      </c>
    </row>
    <row r="32" spans="2:10" x14ac:dyDescent="0.2">
      <c r="B32" s="23" t="s">
        <v>627</v>
      </c>
      <c r="C32" s="23" t="s">
        <v>628</v>
      </c>
      <c r="D32" s="23" t="s">
        <v>478</v>
      </c>
      <c r="E32" s="28">
        <v>3000000</v>
      </c>
      <c r="F32" s="25">
        <v>2988.48</v>
      </c>
      <c r="G32" s="25">
        <v>1.25</v>
      </c>
      <c r="H32" s="25">
        <v>3.35</v>
      </c>
    </row>
    <row r="33" spans="2:10" x14ac:dyDescent="0.2">
      <c r="B33" s="23" t="s">
        <v>570</v>
      </c>
      <c r="C33" s="23" t="s">
        <v>571</v>
      </c>
      <c r="D33" s="23" t="s">
        <v>478</v>
      </c>
      <c r="E33" s="28">
        <v>2500000</v>
      </c>
      <c r="F33" s="25">
        <v>2495.2600000000002</v>
      </c>
      <c r="G33" s="25">
        <v>1.04</v>
      </c>
      <c r="H33" s="25">
        <v>3.31</v>
      </c>
    </row>
    <row r="34" spans="2:10" x14ac:dyDescent="0.2">
      <c r="B34" s="30" t="s">
        <v>110</v>
      </c>
      <c r="C34" s="30"/>
      <c r="D34" s="30"/>
      <c r="E34" s="31"/>
      <c r="F34" s="32">
        <f>SUM(F21:F33)</f>
        <v>125320.23999999999</v>
      </c>
      <c r="G34" s="32">
        <f>SUM(G21:G33)</f>
        <v>52.239999999999988</v>
      </c>
      <c r="H34" s="48"/>
      <c r="I34" s="14"/>
      <c r="J34" s="14"/>
    </row>
    <row r="35" spans="2:10" x14ac:dyDescent="0.2">
      <c r="B35" s="49" t="s">
        <v>111</v>
      </c>
      <c r="C35" s="49"/>
      <c r="D35" s="49"/>
      <c r="E35" s="50"/>
      <c r="F35" s="51">
        <f>F8+F20+F34</f>
        <v>226586.22999999998</v>
      </c>
      <c r="G35" s="51">
        <f>G8+G20+G34</f>
        <v>94.45999999999998</v>
      </c>
      <c r="H35" s="51"/>
      <c r="I35" s="14"/>
      <c r="J35" s="14"/>
    </row>
    <row r="36" spans="2:10" x14ac:dyDescent="0.2">
      <c r="B36" s="47" t="s">
        <v>112</v>
      </c>
      <c r="C36" s="23"/>
      <c r="D36" s="23"/>
      <c r="E36" s="24"/>
      <c r="F36" s="25"/>
      <c r="G36" s="25"/>
      <c r="H36" s="25"/>
    </row>
    <row r="37" spans="2:10" x14ac:dyDescent="0.2">
      <c r="B37" s="23" t="s">
        <v>112</v>
      </c>
      <c r="C37" s="23"/>
      <c r="D37" s="23"/>
      <c r="E37" s="24"/>
      <c r="F37" s="25">
        <v>15945.92</v>
      </c>
      <c r="G37" s="25">
        <v>6.65</v>
      </c>
      <c r="H37" s="25"/>
    </row>
    <row r="38" spans="2:10" x14ac:dyDescent="0.2">
      <c r="B38" s="30" t="s">
        <v>110</v>
      </c>
      <c r="C38" s="30"/>
      <c r="D38" s="30"/>
      <c r="E38" s="31"/>
      <c r="F38" s="32">
        <f>SUM(F36:F37)</f>
        <v>15945.92</v>
      </c>
      <c r="G38" s="32">
        <f>SUM(G36:G37)</f>
        <v>6.65</v>
      </c>
      <c r="H38" s="48"/>
      <c r="I38" s="14"/>
      <c r="J38" s="14"/>
    </row>
    <row r="39" spans="2:10" x14ac:dyDescent="0.2">
      <c r="B39" s="34" t="s">
        <v>111</v>
      </c>
      <c r="C39" s="34"/>
      <c r="D39" s="34"/>
      <c r="E39" s="35"/>
      <c r="F39" s="36">
        <f>F38</f>
        <v>15945.92</v>
      </c>
      <c r="G39" s="36">
        <f>G38</f>
        <v>6.65</v>
      </c>
      <c r="H39" s="36"/>
      <c r="I39" s="14"/>
      <c r="J39" s="14"/>
    </row>
    <row r="40" spans="2:10" x14ac:dyDescent="0.2">
      <c r="B40" s="44" t="s">
        <v>114</v>
      </c>
      <c r="C40" s="44"/>
      <c r="D40" s="44"/>
      <c r="E40" s="45"/>
      <c r="F40" s="16">
        <f>F41-(+F35+F39)</f>
        <v>-2606.2999999999884</v>
      </c>
      <c r="G40" s="16">
        <f>G41-(+G35+G39)</f>
        <v>-1.1099999999999852</v>
      </c>
      <c r="H40" s="16"/>
      <c r="I40" s="14"/>
      <c r="J40" s="14"/>
    </row>
    <row r="41" spans="2:10" x14ac:dyDescent="0.2">
      <c r="B41" s="44" t="s">
        <v>113</v>
      </c>
      <c r="C41" s="44"/>
      <c r="D41" s="44"/>
      <c r="E41" s="45"/>
      <c r="F41" s="16">
        <v>239925.85</v>
      </c>
      <c r="G41" s="16">
        <v>100</v>
      </c>
      <c r="H41" s="16"/>
      <c r="I41" s="14"/>
      <c r="J41" s="14"/>
    </row>
    <row r="43" spans="2:10" x14ac:dyDescent="0.2">
      <c r="B43" s="14" t="s">
        <v>758</v>
      </c>
    </row>
    <row r="44" spans="2:10" x14ac:dyDescent="0.2">
      <c r="B44" s="14" t="s">
        <v>582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workbookViewId="0">
      <selection activeCell="E39" sqref="E39"/>
    </sheetView>
  </sheetViews>
  <sheetFormatPr defaultRowHeight="12" x14ac:dyDescent="0.2"/>
  <cols>
    <col min="1" max="1" width="9.140625" style="1"/>
    <col min="2" max="2" width="57.140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24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226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515</v>
      </c>
      <c r="C7" s="23" t="s">
        <v>516</v>
      </c>
      <c r="D7" s="23" t="s">
        <v>229</v>
      </c>
      <c r="E7" s="28">
        <v>450</v>
      </c>
      <c r="F7" s="25">
        <v>4552.63</v>
      </c>
      <c r="G7" s="25">
        <v>6.9</v>
      </c>
      <c r="H7" s="25">
        <v>3.87</v>
      </c>
    </row>
    <row r="8" spans="2:8" x14ac:dyDescent="0.2">
      <c r="B8" s="23" t="s">
        <v>403</v>
      </c>
      <c r="C8" s="23" t="s">
        <v>404</v>
      </c>
      <c r="D8" s="23" t="s">
        <v>229</v>
      </c>
      <c r="E8" s="28">
        <v>300</v>
      </c>
      <c r="F8" s="25">
        <v>3014.36</v>
      </c>
      <c r="G8" s="25">
        <v>4.57</v>
      </c>
      <c r="H8" s="25">
        <v>3.54</v>
      </c>
    </row>
    <row r="9" spans="2:8" x14ac:dyDescent="0.2">
      <c r="B9" s="23" t="s">
        <v>383</v>
      </c>
      <c r="C9" s="23" t="s">
        <v>384</v>
      </c>
      <c r="D9" s="23" t="s">
        <v>229</v>
      </c>
      <c r="E9" s="28">
        <v>250</v>
      </c>
      <c r="F9" s="25">
        <v>2524.29</v>
      </c>
      <c r="G9" s="25">
        <v>3.83</v>
      </c>
      <c r="H9" s="25">
        <v>3.87</v>
      </c>
    </row>
    <row r="10" spans="2:8" x14ac:dyDescent="0.2">
      <c r="B10" s="23" t="s">
        <v>629</v>
      </c>
      <c r="C10" s="23" t="s">
        <v>630</v>
      </c>
      <c r="D10" s="23" t="s">
        <v>229</v>
      </c>
      <c r="E10" s="28">
        <v>150</v>
      </c>
      <c r="F10" s="25">
        <v>1504.5</v>
      </c>
      <c r="G10" s="25">
        <v>2.2799999999999998</v>
      </c>
      <c r="H10" s="25">
        <v>3.63</v>
      </c>
    </row>
    <row r="11" spans="2:8" x14ac:dyDescent="0.2">
      <c r="B11" s="23" t="s">
        <v>631</v>
      </c>
      <c r="C11" s="23" t="s">
        <v>632</v>
      </c>
      <c r="D11" s="23" t="s">
        <v>229</v>
      </c>
      <c r="E11" s="28">
        <v>100</v>
      </c>
      <c r="F11" s="25">
        <v>1015.45</v>
      </c>
      <c r="G11" s="25">
        <v>1.54</v>
      </c>
      <c r="H11" s="25">
        <v>3.76</v>
      </c>
    </row>
    <row r="12" spans="2:8" x14ac:dyDescent="0.2">
      <c r="B12" s="23" t="s">
        <v>633</v>
      </c>
      <c r="C12" s="23" t="s">
        <v>634</v>
      </c>
      <c r="D12" s="23" t="s">
        <v>229</v>
      </c>
      <c r="E12" s="28">
        <v>100</v>
      </c>
      <c r="F12" s="25">
        <v>1013.56</v>
      </c>
      <c r="G12" s="25">
        <v>1.54</v>
      </c>
      <c r="H12" s="25">
        <v>3.88</v>
      </c>
    </row>
    <row r="13" spans="2:8" x14ac:dyDescent="0.2">
      <c r="B13" s="23" t="s">
        <v>635</v>
      </c>
      <c r="C13" s="23" t="s">
        <v>636</v>
      </c>
      <c r="D13" s="23" t="s">
        <v>229</v>
      </c>
      <c r="E13" s="28">
        <v>50</v>
      </c>
      <c r="F13" s="25">
        <v>513.85</v>
      </c>
      <c r="G13" s="25">
        <v>0.78</v>
      </c>
      <c r="H13" s="25">
        <v>4.46</v>
      </c>
    </row>
    <row r="14" spans="2:8" x14ac:dyDescent="0.2">
      <c r="B14" s="23" t="s">
        <v>527</v>
      </c>
      <c r="C14" s="23" t="s">
        <v>528</v>
      </c>
      <c r="D14" s="23" t="s">
        <v>229</v>
      </c>
      <c r="E14" s="28">
        <v>50</v>
      </c>
      <c r="F14" s="25">
        <v>505.89</v>
      </c>
      <c r="G14" s="25">
        <v>0.77</v>
      </c>
      <c r="H14" s="25">
        <v>3.88</v>
      </c>
    </row>
    <row r="15" spans="2:8" x14ac:dyDescent="0.2">
      <c r="B15" s="23" t="s">
        <v>371</v>
      </c>
      <c r="C15" s="23" t="s">
        <v>372</v>
      </c>
      <c r="D15" s="23" t="s">
        <v>229</v>
      </c>
      <c r="E15" s="28">
        <v>50</v>
      </c>
      <c r="F15" s="25">
        <v>504.56</v>
      </c>
      <c r="G15" s="25">
        <v>0.77</v>
      </c>
      <c r="H15" s="25">
        <v>3.55</v>
      </c>
    </row>
    <row r="16" spans="2:8" x14ac:dyDescent="0.2">
      <c r="B16" s="23" t="s">
        <v>637</v>
      </c>
      <c r="C16" s="23" t="s">
        <v>638</v>
      </c>
      <c r="D16" s="23" t="s">
        <v>229</v>
      </c>
      <c r="E16" s="28">
        <v>50</v>
      </c>
      <c r="F16" s="25">
        <v>501.01</v>
      </c>
      <c r="G16" s="25">
        <v>0.76</v>
      </c>
      <c r="H16" s="25">
        <v>3.76</v>
      </c>
    </row>
    <row r="17" spans="2:10" x14ac:dyDescent="0.2">
      <c r="B17" s="23" t="s">
        <v>525</v>
      </c>
      <c r="C17" s="23" t="s">
        <v>526</v>
      </c>
      <c r="D17" s="23" t="s">
        <v>229</v>
      </c>
      <c r="E17" s="28">
        <v>50</v>
      </c>
      <c r="F17" s="25">
        <v>500.44</v>
      </c>
      <c r="G17" s="25">
        <v>0.76</v>
      </c>
      <c r="H17" s="25">
        <v>4.01</v>
      </c>
    </row>
    <row r="18" spans="2:10" x14ac:dyDescent="0.2">
      <c r="B18" s="23" t="s">
        <v>639</v>
      </c>
      <c r="C18" s="23" t="s">
        <v>640</v>
      </c>
      <c r="D18" s="23" t="s">
        <v>415</v>
      </c>
      <c r="E18" s="28">
        <v>20</v>
      </c>
      <c r="F18" s="25">
        <v>203.21</v>
      </c>
      <c r="G18" s="25">
        <v>0.31</v>
      </c>
      <c r="H18" s="25">
        <v>2.93</v>
      </c>
    </row>
    <row r="19" spans="2:10" x14ac:dyDescent="0.2">
      <c r="B19" s="30" t="s">
        <v>110</v>
      </c>
      <c r="C19" s="30"/>
      <c r="D19" s="30"/>
      <c r="E19" s="31"/>
      <c r="F19" s="32">
        <f>SUM(F6:F18)</f>
        <v>16353.749999999998</v>
      </c>
      <c r="G19" s="32">
        <f>SUM(G6:G18)</f>
        <v>24.810000000000002</v>
      </c>
      <c r="H19" s="48"/>
      <c r="I19" s="14"/>
      <c r="J19" s="14"/>
    </row>
    <row r="20" spans="2:10" x14ac:dyDescent="0.2">
      <c r="B20" s="49" t="s">
        <v>111</v>
      </c>
      <c r="C20" s="49"/>
      <c r="D20" s="49"/>
      <c r="E20" s="50"/>
      <c r="F20" s="51">
        <f>F19</f>
        <v>16353.749999999998</v>
      </c>
      <c r="G20" s="51">
        <f>G19</f>
        <v>24.810000000000002</v>
      </c>
      <c r="H20" s="51"/>
      <c r="I20" s="14"/>
      <c r="J20" s="14"/>
    </row>
    <row r="21" spans="2:10" x14ac:dyDescent="0.2">
      <c r="B21" s="47" t="s">
        <v>474</v>
      </c>
      <c r="C21" s="23"/>
      <c r="D21" s="23"/>
      <c r="E21" s="24"/>
      <c r="F21" s="25"/>
      <c r="G21" s="25"/>
      <c r="H21" s="25"/>
    </row>
    <row r="22" spans="2:10" x14ac:dyDescent="0.2">
      <c r="B22" s="47" t="s">
        <v>549</v>
      </c>
      <c r="C22" s="23"/>
      <c r="D22" s="23"/>
      <c r="E22" s="24"/>
      <c r="F22" s="25"/>
      <c r="G22" s="25"/>
      <c r="H22" s="25"/>
    </row>
    <row r="23" spans="2:10" x14ac:dyDescent="0.2">
      <c r="B23" s="23" t="s">
        <v>641</v>
      </c>
      <c r="C23" s="23" t="s">
        <v>642</v>
      </c>
      <c r="D23" s="23" t="s">
        <v>609</v>
      </c>
      <c r="E23" s="28">
        <v>2500</v>
      </c>
      <c r="F23" s="25">
        <v>2494.0500000000002</v>
      </c>
      <c r="G23" s="25">
        <v>3.78</v>
      </c>
      <c r="H23" s="25">
        <v>3.35</v>
      </c>
    </row>
    <row r="24" spans="2:10" x14ac:dyDescent="0.2">
      <c r="B24" s="23" t="s">
        <v>643</v>
      </c>
      <c r="C24" s="23" t="s">
        <v>644</v>
      </c>
      <c r="D24" s="23" t="s">
        <v>552</v>
      </c>
      <c r="E24" s="28">
        <v>2500</v>
      </c>
      <c r="F24" s="25">
        <v>2481.92</v>
      </c>
      <c r="G24" s="25">
        <v>3.76</v>
      </c>
      <c r="H24" s="25">
        <v>3.41</v>
      </c>
    </row>
    <row r="25" spans="2:10" x14ac:dyDescent="0.2">
      <c r="B25" s="23" t="s">
        <v>550</v>
      </c>
      <c r="C25" s="23" t="s">
        <v>551</v>
      </c>
      <c r="D25" s="23" t="s">
        <v>552</v>
      </c>
      <c r="E25" s="28">
        <v>2500</v>
      </c>
      <c r="F25" s="25">
        <v>2472.0700000000002</v>
      </c>
      <c r="G25" s="25">
        <v>3.75</v>
      </c>
      <c r="H25" s="25">
        <v>3.65</v>
      </c>
    </row>
    <row r="26" spans="2:10" x14ac:dyDescent="0.2">
      <c r="B26" s="23" t="s">
        <v>553</v>
      </c>
      <c r="C26" s="23" t="s">
        <v>554</v>
      </c>
      <c r="D26" s="23" t="s">
        <v>555</v>
      </c>
      <c r="E26" s="28">
        <v>2500</v>
      </c>
      <c r="F26" s="25">
        <v>2432.9299999999998</v>
      </c>
      <c r="G26" s="25">
        <v>3.69</v>
      </c>
      <c r="H26" s="25">
        <v>3.87</v>
      </c>
    </row>
    <row r="27" spans="2:10" x14ac:dyDescent="0.2">
      <c r="B27" s="23" t="s">
        <v>556</v>
      </c>
      <c r="C27" s="23" t="s">
        <v>557</v>
      </c>
      <c r="D27" s="23" t="s">
        <v>555</v>
      </c>
      <c r="E27" s="28">
        <v>2500</v>
      </c>
      <c r="F27" s="25">
        <v>2409.5100000000002</v>
      </c>
      <c r="G27" s="25">
        <v>3.65</v>
      </c>
      <c r="H27" s="25">
        <v>4.08</v>
      </c>
    </row>
    <row r="28" spans="2:10" x14ac:dyDescent="0.2">
      <c r="B28" s="47" t="s">
        <v>110</v>
      </c>
      <c r="C28" s="47"/>
      <c r="D28" s="47"/>
      <c r="E28" s="59"/>
      <c r="F28" s="57">
        <f>SUM(F22:F27)</f>
        <v>12290.480000000001</v>
      </c>
      <c r="G28" s="57">
        <f>SUM(G22:G27)</f>
        <v>18.63</v>
      </c>
      <c r="H28" s="60"/>
      <c r="I28" s="14"/>
      <c r="J28" s="14"/>
    </row>
    <row r="29" spans="2:10" x14ac:dyDescent="0.2">
      <c r="B29" s="47" t="s">
        <v>558</v>
      </c>
      <c r="C29" s="23"/>
      <c r="D29" s="23"/>
      <c r="E29" s="24"/>
      <c r="F29" s="25"/>
      <c r="G29" s="25"/>
      <c r="H29" s="25"/>
    </row>
    <row r="30" spans="2:10" x14ac:dyDescent="0.2">
      <c r="B30" s="23" t="s">
        <v>770</v>
      </c>
      <c r="C30" s="23" t="s">
        <v>645</v>
      </c>
      <c r="D30" s="23" t="s">
        <v>552</v>
      </c>
      <c r="E30" s="28">
        <v>500</v>
      </c>
      <c r="F30" s="25">
        <v>2490.9899999999998</v>
      </c>
      <c r="G30" s="25">
        <v>3.78</v>
      </c>
      <c r="H30" s="25">
        <v>3.39</v>
      </c>
    </row>
    <row r="31" spans="2:10" x14ac:dyDescent="0.2">
      <c r="B31" s="47" t="s">
        <v>110</v>
      </c>
      <c r="C31" s="47"/>
      <c r="D31" s="47"/>
      <c r="E31" s="59"/>
      <c r="F31" s="57">
        <f>SUM(F29:F30)</f>
        <v>2490.9899999999998</v>
      </c>
      <c r="G31" s="57">
        <f>SUM(G29:G30)</f>
        <v>3.78</v>
      </c>
      <c r="H31" s="60"/>
      <c r="I31" s="14"/>
      <c r="J31" s="14"/>
    </row>
    <row r="32" spans="2:10" x14ac:dyDescent="0.2">
      <c r="B32" s="47" t="s">
        <v>475</v>
      </c>
      <c r="C32" s="23"/>
      <c r="D32" s="23"/>
      <c r="E32" s="24"/>
      <c r="F32" s="25"/>
      <c r="G32" s="25"/>
      <c r="H32" s="25"/>
    </row>
    <row r="33" spans="2:10" x14ac:dyDescent="0.2">
      <c r="B33" s="23" t="s">
        <v>625</v>
      </c>
      <c r="C33" s="23" t="s">
        <v>626</v>
      </c>
      <c r="D33" s="23" t="s">
        <v>478</v>
      </c>
      <c r="E33" s="28">
        <v>8000000</v>
      </c>
      <c r="F33" s="25">
        <v>7984.79</v>
      </c>
      <c r="G33" s="25">
        <v>12.11</v>
      </c>
      <c r="H33" s="25">
        <v>3.31</v>
      </c>
    </row>
    <row r="34" spans="2:10" x14ac:dyDescent="0.2">
      <c r="B34" s="23" t="s">
        <v>646</v>
      </c>
      <c r="C34" s="23" t="s">
        <v>647</v>
      </c>
      <c r="D34" s="23" t="s">
        <v>478</v>
      </c>
      <c r="E34" s="28">
        <v>7500000</v>
      </c>
      <c r="F34" s="25">
        <v>7424.39</v>
      </c>
      <c r="G34" s="25">
        <v>11.26</v>
      </c>
      <c r="H34" s="25">
        <v>3.54</v>
      </c>
    </row>
    <row r="35" spans="2:10" x14ac:dyDescent="0.2">
      <c r="B35" s="23" t="s">
        <v>648</v>
      </c>
      <c r="C35" s="23" t="s">
        <v>649</v>
      </c>
      <c r="D35" s="23" t="s">
        <v>478</v>
      </c>
      <c r="E35" s="28">
        <v>5000000</v>
      </c>
      <c r="F35" s="25">
        <v>4977.62</v>
      </c>
      <c r="G35" s="25">
        <v>7.55</v>
      </c>
      <c r="H35" s="25">
        <v>3.35</v>
      </c>
    </row>
    <row r="36" spans="2:10" x14ac:dyDescent="0.2">
      <c r="B36" s="23" t="s">
        <v>562</v>
      </c>
      <c r="C36" s="23" t="s">
        <v>563</v>
      </c>
      <c r="D36" s="23" t="s">
        <v>478</v>
      </c>
      <c r="E36" s="28">
        <v>5000000</v>
      </c>
      <c r="F36" s="25">
        <v>4913.25</v>
      </c>
      <c r="G36" s="25">
        <v>7.45</v>
      </c>
      <c r="H36" s="25">
        <v>3.68</v>
      </c>
    </row>
    <row r="37" spans="2:10" x14ac:dyDescent="0.2">
      <c r="B37" s="23" t="s">
        <v>650</v>
      </c>
      <c r="C37" s="23" t="s">
        <v>651</v>
      </c>
      <c r="D37" s="23" t="s">
        <v>478</v>
      </c>
      <c r="E37" s="28">
        <v>2500000</v>
      </c>
      <c r="F37" s="25">
        <v>2492</v>
      </c>
      <c r="G37" s="25">
        <v>3.78</v>
      </c>
      <c r="H37" s="25">
        <v>3.35</v>
      </c>
    </row>
    <row r="38" spans="2:10" x14ac:dyDescent="0.2">
      <c r="B38" s="23" t="s">
        <v>652</v>
      </c>
      <c r="C38" s="23" t="s">
        <v>653</v>
      </c>
      <c r="D38" s="23" t="s">
        <v>478</v>
      </c>
      <c r="E38" s="28">
        <v>2500000</v>
      </c>
      <c r="F38" s="25">
        <v>2464.71</v>
      </c>
      <c r="G38" s="25">
        <v>3.74</v>
      </c>
      <c r="H38" s="25">
        <v>3.55</v>
      </c>
    </row>
    <row r="39" spans="2:10" x14ac:dyDescent="0.2">
      <c r="B39" s="23" t="s">
        <v>654</v>
      </c>
      <c r="C39" s="23" t="s">
        <v>655</v>
      </c>
      <c r="D39" s="23" t="s">
        <v>478</v>
      </c>
      <c r="E39" s="28">
        <v>500000</v>
      </c>
      <c r="F39" s="25">
        <v>497.46</v>
      </c>
      <c r="G39" s="25">
        <v>0.75</v>
      </c>
      <c r="H39" s="25">
        <v>3.32</v>
      </c>
    </row>
    <row r="40" spans="2:10" x14ac:dyDescent="0.2">
      <c r="B40" s="30" t="s">
        <v>110</v>
      </c>
      <c r="C40" s="30"/>
      <c r="D40" s="30"/>
      <c r="E40" s="31"/>
      <c r="F40" s="32">
        <f>SUM(F32:F39)</f>
        <v>30754.219999999998</v>
      </c>
      <c r="G40" s="32">
        <f>SUM(G32:G39)</f>
        <v>46.64</v>
      </c>
      <c r="H40" s="48"/>
      <c r="I40" s="14"/>
      <c r="J40" s="14"/>
    </row>
    <row r="41" spans="2:10" x14ac:dyDescent="0.2">
      <c r="B41" s="49" t="s">
        <v>111</v>
      </c>
      <c r="C41" s="49"/>
      <c r="D41" s="49"/>
      <c r="E41" s="50"/>
      <c r="F41" s="51">
        <f>F28+F31+F40</f>
        <v>45535.69</v>
      </c>
      <c r="G41" s="51">
        <f>G28+G31+G40</f>
        <v>69.05</v>
      </c>
      <c r="H41" s="51"/>
      <c r="I41" s="14"/>
      <c r="J41" s="14"/>
    </row>
    <row r="42" spans="2:10" x14ac:dyDescent="0.2">
      <c r="B42" s="47" t="s">
        <v>426</v>
      </c>
      <c r="C42" s="23"/>
      <c r="D42" s="23"/>
      <c r="E42" s="24"/>
      <c r="F42" s="25"/>
      <c r="G42" s="25"/>
      <c r="H42" s="25"/>
    </row>
    <row r="43" spans="2:10" x14ac:dyDescent="0.2">
      <c r="B43" s="52" t="s">
        <v>438</v>
      </c>
      <c r="C43" s="52" t="s">
        <v>439</v>
      </c>
      <c r="D43" s="52" t="s">
        <v>429</v>
      </c>
      <c r="E43" s="53">
        <v>2500000</v>
      </c>
      <c r="F43" s="54">
        <v>2544.25</v>
      </c>
      <c r="G43" s="54">
        <v>3.86</v>
      </c>
      <c r="H43" s="54">
        <v>3.71</v>
      </c>
    </row>
    <row r="44" spans="2:10" x14ac:dyDescent="0.2">
      <c r="B44" s="55" t="s">
        <v>111</v>
      </c>
      <c r="C44" s="55"/>
      <c r="D44" s="55"/>
      <c r="E44" s="56"/>
      <c r="F44" s="57">
        <f>SUM(F43:F43)</f>
        <v>2544.25</v>
      </c>
      <c r="G44" s="57">
        <f>SUM(G43:G43)</f>
        <v>3.86</v>
      </c>
      <c r="H44" s="57"/>
      <c r="I44" s="14"/>
      <c r="J44" s="14"/>
    </row>
    <row r="45" spans="2:10" x14ac:dyDescent="0.2">
      <c r="B45" s="47" t="s">
        <v>112</v>
      </c>
      <c r="C45" s="23"/>
      <c r="D45" s="23"/>
      <c r="E45" s="24"/>
      <c r="F45" s="25"/>
      <c r="G45" s="25"/>
      <c r="H45" s="25"/>
    </row>
    <row r="46" spans="2:10" x14ac:dyDescent="0.2">
      <c r="B46" s="23" t="s">
        <v>112</v>
      </c>
      <c r="C46" s="23"/>
      <c r="D46" s="23"/>
      <c r="E46" s="24"/>
      <c r="F46" s="25">
        <v>869.98</v>
      </c>
      <c r="G46" s="25">
        <v>1.32</v>
      </c>
      <c r="H46" s="25"/>
    </row>
    <row r="47" spans="2:10" x14ac:dyDescent="0.2">
      <c r="B47" s="30" t="s">
        <v>110</v>
      </c>
      <c r="C47" s="30"/>
      <c r="D47" s="30"/>
      <c r="E47" s="31"/>
      <c r="F47" s="32">
        <f>SUM(F45:F46)</f>
        <v>869.98</v>
      </c>
      <c r="G47" s="32">
        <f>SUM(G45:G46)</f>
        <v>1.32</v>
      </c>
      <c r="H47" s="48"/>
      <c r="I47" s="14"/>
      <c r="J47" s="14"/>
    </row>
    <row r="48" spans="2:10" x14ac:dyDescent="0.2">
      <c r="B48" s="34" t="s">
        <v>111</v>
      </c>
      <c r="C48" s="34"/>
      <c r="D48" s="34"/>
      <c r="E48" s="35"/>
      <c r="F48" s="36">
        <f>F47</f>
        <v>869.98</v>
      </c>
      <c r="G48" s="36">
        <f>G47</f>
        <v>1.32</v>
      </c>
      <c r="H48" s="36"/>
      <c r="I48" s="14"/>
      <c r="J48" s="14"/>
    </row>
    <row r="49" spans="2:10" x14ac:dyDescent="0.2">
      <c r="B49" s="44" t="s">
        <v>114</v>
      </c>
      <c r="C49" s="44"/>
      <c r="D49" s="44"/>
      <c r="E49" s="45"/>
      <c r="F49" s="16">
        <f>F50-(+F20+F41+F44+F48)</f>
        <v>633.60999999999331</v>
      </c>
      <c r="G49" s="16">
        <f>G50-(+G20+G41+G44+G48)</f>
        <v>0.96000000000000796</v>
      </c>
      <c r="H49" s="16"/>
      <c r="I49" s="14"/>
      <c r="J49" s="14"/>
    </row>
    <row r="50" spans="2:10" x14ac:dyDescent="0.2">
      <c r="B50" s="44" t="s">
        <v>113</v>
      </c>
      <c r="C50" s="44"/>
      <c r="D50" s="44"/>
      <c r="E50" s="45"/>
      <c r="F50" s="16">
        <v>65937.279999999999</v>
      </c>
      <c r="G50" s="16">
        <v>100</v>
      </c>
      <c r="H50" s="16"/>
      <c r="I50" s="14"/>
      <c r="J50" s="14"/>
    </row>
    <row r="52" spans="2:10" x14ac:dyDescent="0.2">
      <c r="B52" s="14" t="s">
        <v>758</v>
      </c>
    </row>
    <row r="53" spans="2:10" x14ac:dyDescent="0.2">
      <c r="B53" s="14" t="s">
        <v>582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61" t="s">
        <v>25</v>
      </c>
      <c r="C1" s="62"/>
      <c r="D1" s="62"/>
      <c r="E1" s="62"/>
      <c r="F1" s="62"/>
      <c r="G1" s="62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112</v>
      </c>
      <c r="C5" s="18"/>
      <c r="D5" s="18"/>
      <c r="E5" s="19"/>
      <c r="F5" s="20"/>
      <c r="G5" s="20"/>
    </row>
    <row r="6" spans="2:9" x14ac:dyDescent="0.2">
      <c r="B6" s="27" t="s">
        <v>112</v>
      </c>
      <c r="C6" s="23"/>
      <c r="D6" s="23"/>
      <c r="E6" s="24"/>
      <c r="F6" s="25">
        <v>14068.98</v>
      </c>
      <c r="G6" s="25">
        <v>99.6</v>
      </c>
    </row>
    <row r="7" spans="2:9" x14ac:dyDescent="0.2">
      <c r="B7" s="29" t="s">
        <v>110</v>
      </c>
      <c r="C7" s="30"/>
      <c r="D7" s="30"/>
      <c r="E7" s="31"/>
      <c r="F7" s="32">
        <f>SUM(F5:F6)</f>
        <v>14068.98</v>
      </c>
      <c r="G7" s="32">
        <f>SUM(G5:G6)</f>
        <v>99.6</v>
      </c>
      <c r="H7" s="14"/>
      <c r="I7" s="14"/>
    </row>
    <row r="8" spans="2:9" x14ac:dyDescent="0.2">
      <c r="B8" s="34" t="s">
        <v>111</v>
      </c>
      <c r="C8" s="34"/>
      <c r="D8" s="34"/>
      <c r="E8" s="35"/>
      <c r="F8" s="36">
        <f>F7</f>
        <v>14068.98</v>
      </c>
      <c r="G8" s="36">
        <f>G7</f>
        <v>99.6</v>
      </c>
      <c r="H8" s="14"/>
      <c r="I8" s="14"/>
    </row>
    <row r="9" spans="2:9" x14ac:dyDescent="0.2">
      <c r="B9" s="44" t="s">
        <v>114</v>
      </c>
      <c r="C9" s="44"/>
      <c r="D9" s="44"/>
      <c r="E9" s="45"/>
      <c r="F9" s="16">
        <f>F10-(+F8)</f>
        <v>55.530000000000655</v>
      </c>
      <c r="G9" s="16">
        <f>G10-(+G8)</f>
        <v>0.40000000000000568</v>
      </c>
      <c r="H9" s="14"/>
      <c r="I9" s="14"/>
    </row>
    <row r="10" spans="2:9" x14ac:dyDescent="0.2">
      <c r="B10" s="44" t="s">
        <v>113</v>
      </c>
      <c r="C10" s="44"/>
      <c r="D10" s="44"/>
      <c r="E10" s="45"/>
      <c r="F10" s="16">
        <v>14124.51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26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226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656</v>
      </c>
      <c r="C7" s="23" t="s">
        <v>657</v>
      </c>
      <c r="D7" s="23" t="s">
        <v>229</v>
      </c>
      <c r="E7" s="28">
        <v>650</v>
      </c>
      <c r="F7" s="25">
        <v>6549.51</v>
      </c>
      <c r="G7" s="25">
        <v>6.08</v>
      </c>
      <c r="H7" s="25">
        <v>4.49</v>
      </c>
    </row>
    <row r="8" spans="2:8" x14ac:dyDescent="0.2">
      <c r="B8" s="23" t="s">
        <v>411</v>
      </c>
      <c r="C8" s="23" t="s">
        <v>412</v>
      </c>
      <c r="D8" s="23" t="s">
        <v>229</v>
      </c>
      <c r="E8" s="28">
        <v>450</v>
      </c>
      <c r="F8" s="25">
        <v>4647.67</v>
      </c>
      <c r="G8" s="25">
        <v>4.3099999999999996</v>
      </c>
      <c r="H8" s="25">
        <v>4.67</v>
      </c>
    </row>
    <row r="9" spans="2:8" x14ac:dyDescent="0.2">
      <c r="B9" s="23" t="s">
        <v>379</v>
      </c>
      <c r="C9" s="23" t="s">
        <v>380</v>
      </c>
      <c r="D9" s="23" t="s">
        <v>229</v>
      </c>
      <c r="E9" s="28">
        <v>350</v>
      </c>
      <c r="F9" s="25">
        <v>3615.57</v>
      </c>
      <c r="G9" s="25">
        <v>3.36</v>
      </c>
      <c r="H9" s="25">
        <v>4.58</v>
      </c>
    </row>
    <row r="10" spans="2:8" x14ac:dyDescent="0.2">
      <c r="B10" s="23" t="s">
        <v>658</v>
      </c>
      <c r="C10" s="23" t="s">
        <v>659</v>
      </c>
      <c r="D10" s="23" t="s">
        <v>368</v>
      </c>
      <c r="E10" s="28">
        <v>350</v>
      </c>
      <c r="F10" s="25">
        <v>3609.78</v>
      </c>
      <c r="G10" s="25">
        <v>3.35</v>
      </c>
      <c r="H10" s="25">
        <v>4.72</v>
      </c>
    </row>
    <row r="11" spans="2:8" x14ac:dyDescent="0.2">
      <c r="B11" s="23" t="s">
        <v>660</v>
      </c>
      <c r="C11" s="23" t="s">
        <v>661</v>
      </c>
      <c r="D11" s="23" t="s">
        <v>229</v>
      </c>
      <c r="E11" s="28">
        <v>250</v>
      </c>
      <c r="F11" s="25">
        <v>2591.37</v>
      </c>
      <c r="G11" s="25">
        <v>2.4</v>
      </c>
      <c r="H11" s="25">
        <v>4.99</v>
      </c>
    </row>
    <row r="12" spans="2:8" x14ac:dyDescent="0.2">
      <c r="B12" s="23" t="s">
        <v>662</v>
      </c>
      <c r="C12" s="23" t="s">
        <v>663</v>
      </c>
      <c r="D12" s="23" t="s">
        <v>229</v>
      </c>
      <c r="E12" s="28">
        <v>250</v>
      </c>
      <c r="F12" s="25">
        <v>2587.1999999999998</v>
      </c>
      <c r="G12" s="25">
        <v>2.4</v>
      </c>
      <c r="H12" s="25">
        <v>5</v>
      </c>
    </row>
    <row r="13" spans="2:8" x14ac:dyDescent="0.2">
      <c r="B13" s="23" t="s">
        <v>543</v>
      </c>
      <c r="C13" s="23" t="s">
        <v>544</v>
      </c>
      <c r="D13" s="23" t="s">
        <v>229</v>
      </c>
      <c r="E13" s="28">
        <v>250</v>
      </c>
      <c r="F13" s="25">
        <v>2575.08</v>
      </c>
      <c r="G13" s="25">
        <v>2.39</v>
      </c>
      <c r="H13" s="25">
        <v>4.38</v>
      </c>
    </row>
    <row r="14" spans="2:8" x14ac:dyDescent="0.2">
      <c r="B14" s="23" t="s">
        <v>375</v>
      </c>
      <c r="C14" s="23" t="s">
        <v>376</v>
      </c>
      <c r="D14" s="23" t="s">
        <v>229</v>
      </c>
      <c r="E14" s="28">
        <v>250</v>
      </c>
      <c r="F14" s="25">
        <v>2570.4499999999998</v>
      </c>
      <c r="G14" s="25">
        <v>2.39</v>
      </c>
      <c r="H14" s="25">
        <v>4.45</v>
      </c>
    </row>
    <row r="15" spans="2:8" x14ac:dyDescent="0.2">
      <c r="B15" s="23" t="s">
        <v>664</v>
      </c>
      <c r="C15" s="23" t="s">
        <v>665</v>
      </c>
      <c r="D15" s="23" t="s">
        <v>229</v>
      </c>
      <c r="E15" s="28">
        <v>250</v>
      </c>
      <c r="F15" s="25">
        <v>2570.0500000000002</v>
      </c>
      <c r="G15" s="25">
        <v>2.39</v>
      </c>
      <c r="H15" s="25">
        <v>4.51</v>
      </c>
    </row>
    <row r="16" spans="2:8" x14ac:dyDescent="0.2">
      <c r="B16" s="23" t="s">
        <v>666</v>
      </c>
      <c r="C16" s="23" t="s">
        <v>667</v>
      </c>
      <c r="D16" s="23" t="s">
        <v>229</v>
      </c>
      <c r="E16" s="28">
        <v>250</v>
      </c>
      <c r="F16" s="25">
        <v>2538.59</v>
      </c>
      <c r="G16" s="25">
        <v>2.36</v>
      </c>
      <c r="H16" s="25">
        <v>6.07</v>
      </c>
    </row>
    <row r="17" spans="2:8" x14ac:dyDescent="0.2">
      <c r="B17" s="23" t="s">
        <v>668</v>
      </c>
      <c r="C17" s="23" t="s">
        <v>669</v>
      </c>
      <c r="D17" s="23" t="s">
        <v>229</v>
      </c>
      <c r="E17" s="28">
        <v>250</v>
      </c>
      <c r="F17" s="25">
        <v>2520.9299999999998</v>
      </c>
      <c r="G17" s="25">
        <v>2.34</v>
      </c>
      <c r="H17" s="25">
        <v>4.91</v>
      </c>
    </row>
    <row r="18" spans="2:8" x14ac:dyDescent="0.2">
      <c r="B18" s="23" t="s">
        <v>670</v>
      </c>
      <c r="C18" s="23" t="s">
        <v>671</v>
      </c>
      <c r="D18" s="23" t="s">
        <v>229</v>
      </c>
      <c r="E18" s="28">
        <v>200</v>
      </c>
      <c r="F18" s="25">
        <v>2077.7800000000002</v>
      </c>
      <c r="G18" s="25">
        <v>1.93</v>
      </c>
      <c r="H18" s="25">
        <v>5.98</v>
      </c>
    </row>
    <row r="19" spans="2:8" x14ac:dyDescent="0.2">
      <c r="B19" s="23" t="s">
        <v>672</v>
      </c>
      <c r="C19" s="23" t="s">
        <v>673</v>
      </c>
      <c r="D19" s="23" t="s">
        <v>415</v>
      </c>
      <c r="E19" s="28">
        <v>200</v>
      </c>
      <c r="F19" s="25">
        <v>2059.4299999999998</v>
      </c>
      <c r="G19" s="25">
        <v>1.91</v>
      </c>
      <c r="H19" s="25">
        <v>4.1500000000000004</v>
      </c>
    </row>
    <row r="20" spans="2:8" x14ac:dyDescent="0.2">
      <c r="B20" s="23" t="s">
        <v>531</v>
      </c>
      <c r="C20" s="23" t="s">
        <v>532</v>
      </c>
      <c r="D20" s="23" t="s">
        <v>415</v>
      </c>
      <c r="E20" s="28">
        <v>200</v>
      </c>
      <c r="F20" s="25">
        <v>1982.65</v>
      </c>
      <c r="G20" s="25">
        <v>1.84</v>
      </c>
      <c r="H20" s="25">
        <v>4.95</v>
      </c>
    </row>
    <row r="21" spans="2:8" x14ac:dyDescent="0.2">
      <c r="B21" s="23" t="s">
        <v>409</v>
      </c>
      <c r="C21" s="23" t="s">
        <v>410</v>
      </c>
      <c r="D21" s="23" t="s">
        <v>229</v>
      </c>
      <c r="E21" s="28">
        <v>150</v>
      </c>
      <c r="F21" s="25">
        <v>1584.82</v>
      </c>
      <c r="G21" s="25">
        <v>1.47</v>
      </c>
      <c r="H21" s="25">
        <v>5.84</v>
      </c>
    </row>
    <row r="22" spans="2:8" x14ac:dyDescent="0.2">
      <c r="B22" s="23" t="s">
        <v>585</v>
      </c>
      <c r="C22" s="23" t="s">
        <v>586</v>
      </c>
      <c r="D22" s="23" t="s">
        <v>229</v>
      </c>
      <c r="E22" s="28">
        <v>150</v>
      </c>
      <c r="F22" s="25">
        <v>1569.28</v>
      </c>
      <c r="G22" s="25">
        <v>1.46</v>
      </c>
      <c r="H22" s="25">
        <v>5.76</v>
      </c>
    </row>
    <row r="23" spans="2:8" x14ac:dyDescent="0.2">
      <c r="B23" s="23" t="s">
        <v>674</v>
      </c>
      <c r="C23" s="23" t="s">
        <v>675</v>
      </c>
      <c r="D23" s="23" t="s">
        <v>229</v>
      </c>
      <c r="E23" s="28">
        <v>150</v>
      </c>
      <c r="F23" s="25">
        <v>1551.33</v>
      </c>
      <c r="G23" s="25">
        <v>1.44</v>
      </c>
      <c r="H23" s="25">
        <v>4.3600000000000003</v>
      </c>
    </row>
    <row r="24" spans="2:8" x14ac:dyDescent="0.2">
      <c r="B24" s="23" t="s">
        <v>676</v>
      </c>
      <c r="C24" s="23" t="s">
        <v>677</v>
      </c>
      <c r="D24" s="23" t="s">
        <v>368</v>
      </c>
      <c r="E24" s="28">
        <v>150</v>
      </c>
      <c r="F24" s="25">
        <v>1544.93</v>
      </c>
      <c r="G24" s="25">
        <v>1.43</v>
      </c>
      <c r="H24" s="25">
        <v>4.26</v>
      </c>
    </row>
    <row r="25" spans="2:8" x14ac:dyDescent="0.2">
      <c r="B25" s="23" t="s">
        <v>678</v>
      </c>
      <c r="C25" s="23" t="s">
        <v>679</v>
      </c>
      <c r="D25" s="23" t="s">
        <v>229</v>
      </c>
      <c r="E25" s="28">
        <v>150</v>
      </c>
      <c r="F25" s="25">
        <v>1541.94</v>
      </c>
      <c r="G25" s="25">
        <v>1.43</v>
      </c>
      <c r="H25" s="25">
        <v>4.1900000000000004</v>
      </c>
    </row>
    <row r="26" spans="2:8" x14ac:dyDescent="0.2">
      <c r="B26" s="23" t="s">
        <v>385</v>
      </c>
      <c r="C26" s="23" t="s">
        <v>386</v>
      </c>
      <c r="D26" s="23" t="s">
        <v>229</v>
      </c>
      <c r="E26" s="28">
        <v>150</v>
      </c>
      <c r="F26" s="25">
        <v>1510.76</v>
      </c>
      <c r="G26" s="25">
        <v>1.4</v>
      </c>
      <c r="H26" s="25">
        <v>3.57</v>
      </c>
    </row>
    <row r="27" spans="2:8" x14ac:dyDescent="0.2">
      <c r="B27" s="23" t="s">
        <v>680</v>
      </c>
      <c r="C27" s="23" t="s">
        <v>681</v>
      </c>
      <c r="D27" s="23" t="s">
        <v>229</v>
      </c>
      <c r="E27" s="28">
        <v>150</v>
      </c>
      <c r="F27" s="25">
        <v>1509.78</v>
      </c>
      <c r="G27" s="25">
        <v>1.4</v>
      </c>
      <c r="H27" s="25">
        <v>5.0599999999999996</v>
      </c>
    </row>
    <row r="28" spans="2:8" x14ac:dyDescent="0.2">
      <c r="B28" s="23" t="s">
        <v>682</v>
      </c>
      <c r="C28" s="23" t="s">
        <v>683</v>
      </c>
      <c r="D28" s="23" t="s">
        <v>229</v>
      </c>
      <c r="E28" s="28">
        <v>100</v>
      </c>
      <c r="F28" s="25">
        <v>1048.8499999999999</v>
      </c>
      <c r="G28" s="25">
        <v>0.97</v>
      </c>
      <c r="H28" s="25">
        <v>5.45</v>
      </c>
    </row>
    <row r="29" spans="2:8" x14ac:dyDescent="0.2">
      <c r="B29" s="23" t="s">
        <v>539</v>
      </c>
      <c r="C29" s="23" t="s">
        <v>540</v>
      </c>
      <c r="D29" s="23" t="s">
        <v>229</v>
      </c>
      <c r="E29" s="28">
        <v>100</v>
      </c>
      <c r="F29" s="25">
        <v>1036.02</v>
      </c>
      <c r="G29" s="25">
        <v>0.96</v>
      </c>
      <c r="H29" s="25">
        <v>4.67</v>
      </c>
    </row>
    <row r="30" spans="2:8" x14ac:dyDescent="0.2">
      <c r="B30" s="23" t="s">
        <v>535</v>
      </c>
      <c r="C30" s="23" t="s">
        <v>536</v>
      </c>
      <c r="D30" s="23" t="s">
        <v>229</v>
      </c>
      <c r="E30" s="28">
        <v>100</v>
      </c>
      <c r="F30" s="25">
        <v>1032.6500000000001</v>
      </c>
      <c r="G30" s="25">
        <v>0.96</v>
      </c>
      <c r="H30" s="25">
        <v>4.1900000000000004</v>
      </c>
    </row>
    <row r="31" spans="2:8" x14ac:dyDescent="0.2">
      <c r="B31" s="23" t="s">
        <v>684</v>
      </c>
      <c r="C31" s="23" t="s">
        <v>685</v>
      </c>
      <c r="D31" s="23" t="s">
        <v>229</v>
      </c>
      <c r="E31" s="28">
        <v>100</v>
      </c>
      <c r="F31" s="25">
        <v>1031.1199999999999</v>
      </c>
      <c r="G31" s="25">
        <v>0.96</v>
      </c>
      <c r="H31" s="25">
        <v>4.21</v>
      </c>
    </row>
    <row r="32" spans="2:8" x14ac:dyDescent="0.2">
      <c r="B32" s="23" t="s">
        <v>529</v>
      </c>
      <c r="C32" s="23" t="s">
        <v>530</v>
      </c>
      <c r="D32" s="23" t="s">
        <v>368</v>
      </c>
      <c r="E32" s="28">
        <v>100</v>
      </c>
      <c r="F32" s="25">
        <v>1028.71</v>
      </c>
      <c r="G32" s="25">
        <v>0.95</v>
      </c>
      <c r="H32" s="25">
        <v>4.26</v>
      </c>
    </row>
    <row r="33" spans="2:10" x14ac:dyDescent="0.2">
      <c r="B33" s="23" t="s">
        <v>686</v>
      </c>
      <c r="C33" s="23" t="s">
        <v>687</v>
      </c>
      <c r="D33" s="23" t="s">
        <v>229</v>
      </c>
      <c r="E33" s="28">
        <v>100</v>
      </c>
      <c r="F33" s="25">
        <v>1011.54</v>
      </c>
      <c r="G33" s="25">
        <v>0.94</v>
      </c>
      <c r="H33" s="25">
        <v>3.88</v>
      </c>
    </row>
    <row r="34" spans="2:10" x14ac:dyDescent="0.2">
      <c r="B34" s="23" t="s">
        <v>688</v>
      </c>
      <c r="C34" s="23" t="s">
        <v>689</v>
      </c>
      <c r="D34" s="23" t="s">
        <v>229</v>
      </c>
      <c r="E34" s="28">
        <v>70</v>
      </c>
      <c r="F34" s="25">
        <v>706.83</v>
      </c>
      <c r="G34" s="25">
        <v>0.66</v>
      </c>
      <c r="H34" s="25">
        <v>3.45</v>
      </c>
    </row>
    <row r="35" spans="2:10" x14ac:dyDescent="0.2">
      <c r="B35" s="23" t="s">
        <v>690</v>
      </c>
      <c r="C35" s="23" t="s">
        <v>691</v>
      </c>
      <c r="D35" s="23" t="s">
        <v>229</v>
      </c>
      <c r="E35" s="28">
        <v>50</v>
      </c>
      <c r="F35" s="25">
        <v>551.27</v>
      </c>
      <c r="G35" s="25">
        <v>0.51</v>
      </c>
      <c r="H35" s="25">
        <v>5.92</v>
      </c>
    </row>
    <row r="36" spans="2:10" x14ac:dyDescent="0.2">
      <c r="B36" s="23" t="s">
        <v>692</v>
      </c>
      <c r="C36" s="23" t="s">
        <v>693</v>
      </c>
      <c r="D36" s="23" t="s">
        <v>229</v>
      </c>
      <c r="E36" s="28">
        <v>50</v>
      </c>
      <c r="F36" s="25">
        <v>549.47</v>
      </c>
      <c r="G36" s="25">
        <v>0.51</v>
      </c>
      <c r="H36" s="25">
        <v>6.34</v>
      </c>
    </row>
    <row r="37" spans="2:10" x14ac:dyDescent="0.2">
      <c r="B37" s="23" t="s">
        <v>389</v>
      </c>
      <c r="C37" s="23" t="s">
        <v>390</v>
      </c>
      <c r="D37" s="23" t="s">
        <v>229</v>
      </c>
      <c r="E37" s="28">
        <v>50</v>
      </c>
      <c r="F37" s="25">
        <v>532.11</v>
      </c>
      <c r="G37" s="25">
        <v>0.49</v>
      </c>
      <c r="H37" s="25">
        <v>5.62</v>
      </c>
    </row>
    <row r="38" spans="2:10" x14ac:dyDescent="0.2">
      <c r="B38" s="23" t="s">
        <v>694</v>
      </c>
      <c r="C38" s="23" t="s">
        <v>695</v>
      </c>
      <c r="D38" s="23" t="s">
        <v>229</v>
      </c>
      <c r="E38" s="28">
        <v>50</v>
      </c>
      <c r="F38" s="25">
        <v>527.86</v>
      </c>
      <c r="G38" s="25">
        <v>0.49</v>
      </c>
      <c r="H38" s="25">
        <v>4.74</v>
      </c>
    </row>
    <row r="39" spans="2:10" x14ac:dyDescent="0.2">
      <c r="B39" s="23" t="s">
        <v>696</v>
      </c>
      <c r="C39" s="23" t="s">
        <v>697</v>
      </c>
      <c r="D39" s="23" t="s">
        <v>229</v>
      </c>
      <c r="E39" s="28">
        <v>50</v>
      </c>
      <c r="F39" s="25">
        <v>518.73</v>
      </c>
      <c r="G39" s="25">
        <v>0.48</v>
      </c>
      <c r="H39" s="25">
        <v>4.47</v>
      </c>
    </row>
    <row r="40" spans="2:10" x14ac:dyDescent="0.2">
      <c r="B40" s="23" t="s">
        <v>698</v>
      </c>
      <c r="C40" s="23" t="s">
        <v>699</v>
      </c>
      <c r="D40" s="23" t="s">
        <v>229</v>
      </c>
      <c r="E40" s="28">
        <v>50</v>
      </c>
      <c r="F40" s="25">
        <v>505.54</v>
      </c>
      <c r="G40" s="25">
        <v>0.47</v>
      </c>
      <c r="H40" s="25">
        <v>3.77</v>
      </c>
    </row>
    <row r="41" spans="2:10" x14ac:dyDescent="0.2">
      <c r="B41" s="23" t="s">
        <v>533</v>
      </c>
      <c r="C41" s="23" t="s">
        <v>534</v>
      </c>
      <c r="D41" s="23" t="s">
        <v>229</v>
      </c>
      <c r="E41" s="28">
        <v>100</v>
      </c>
      <c r="F41" s="25">
        <v>318.23</v>
      </c>
      <c r="G41" s="25">
        <v>0.3</v>
      </c>
      <c r="H41" s="25">
        <v>5.43</v>
      </c>
    </row>
    <row r="42" spans="2:10" x14ac:dyDescent="0.2">
      <c r="B42" s="23" t="s">
        <v>629</v>
      </c>
      <c r="C42" s="23" t="s">
        <v>630</v>
      </c>
      <c r="D42" s="23" t="s">
        <v>229</v>
      </c>
      <c r="E42" s="28">
        <v>20</v>
      </c>
      <c r="F42" s="25">
        <v>200.6</v>
      </c>
      <c r="G42" s="25">
        <v>0.19</v>
      </c>
      <c r="H42" s="25">
        <v>3.63</v>
      </c>
    </row>
    <row r="43" spans="2:10" x14ac:dyDescent="0.2">
      <c r="B43" s="23" t="s">
        <v>700</v>
      </c>
      <c r="C43" s="23" t="s">
        <v>701</v>
      </c>
      <c r="D43" s="23" t="s">
        <v>229</v>
      </c>
      <c r="E43" s="28">
        <v>10</v>
      </c>
      <c r="F43" s="25">
        <v>103</v>
      </c>
      <c r="G43" s="25">
        <v>0.1</v>
      </c>
      <c r="H43" s="25">
        <v>4.1500000000000004</v>
      </c>
    </row>
    <row r="44" spans="2:10" x14ac:dyDescent="0.2">
      <c r="B44" s="30" t="s">
        <v>110</v>
      </c>
      <c r="C44" s="30"/>
      <c r="D44" s="30"/>
      <c r="E44" s="31"/>
      <c r="F44" s="32">
        <f>SUM(F6:F43)</f>
        <v>64011.430000000015</v>
      </c>
      <c r="G44" s="32">
        <f>SUM(G6:G43)</f>
        <v>59.41999999999998</v>
      </c>
      <c r="H44" s="48"/>
      <c r="I44" s="14"/>
      <c r="J44" s="14"/>
    </row>
    <row r="45" spans="2:10" x14ac:dyDescent="0.2">
      <c r="B45" s="49" t="s">
        <v>111</v>
      </c>
      <c r="C45" s="49"/>
      <c r="D45" s="49"/>
      <c r="E45" s="50"/>
      <c r="F45" s="51">
        <f>F44</f>
        <v>64011.430000000015</v>
      </c>
      <c r="G45" s="51">
        <f>G44</f>
        <v>59.41999999999998</v>
      </c>
      <c r="H45" s="51"/>
      <c r="I45" s="14"/>
      <c r="J45" s="14"/>
    </row>
    <row r="46" spans="2:10" x14ac:dyDescent="0.2">
      <c r="B46" s="47" t="s">
        <v>474</v>
      </c>
      <c r="C46" s="23"/>
      <c r="D46" s="23"/>
      <c r="E46" s="24"/>
      <c r="F46" s="25"/>
      <c r="G46" s="25"/>
      <c r="H46" s="25"/>
    </row>
    <row r="47" spans="2:10" x14ac:dyDescent="0.2">
      <c r="B47" s="47" t="s">
        <v>475</v>
      </c>
      <c r="C47" s="23"/>
      <c r="D47" s="23"/>
      <c r="E47" s="24"/>
      <c r="F47" s="25"/>
      <c r="G47" s="25"/>
      <c r="H47" s="25"/>
    </row>
    <row r="48" spans="2:10" x14ac:dyDescent="0.2">
      <c r="B48" s="23" t="s">
        <v>568</v>
      </c>
      <c r="C48" s="23" t="s">
        <v>569</v>
      </c>
      <c r="D48" s="23" t="s">
        <v>478</v>
      </c>
      <c r="E48" s="28">
        <v>5000000</v>
      </c>
      <c r="F48" s="25">
        <v>4987.38</v>
      </c>
      <c r="G48" s="25">
        <v>4.63</v>
      </c>
      <c r="H48" s="25">
        <v>3.3</v>
      </c>
    </row>
    <row r="49" spans="2:10" x14ac:dyDescent="0.2">
      <c r="B49" s="23" t="s">
        <v>702</v>
      </c>
      <c r="C49" s="23" t="s">
        <v>703</v>
      </c>
      <c r="D49" s="23" t="s">
        <v>478</v>
      </c>
      <c r="E49" s="28">
        <v>5000000</v>
      </c>
      <c r="F49" s="25">
        <v>4964.6000000000004</v>
      </c>
      <c r="G49" s="25">
        <v>4.6100000000000003</v>
      </c>
      <c r="H49" s="25">
        <v>3.38</v>
      </c>
    </row>
    <row r="50" spans="2:10" x14ac:dyDescent="0.2">
      <c r="B50" s="23" t="s">
        <v>704</v>
      </c>
      <c r="C50" s="23" t="s">
        <v>705</v>
      </c>
      <c r="D50" s="23" t="s">
        <v>478</v>
      </c>
      <c r="E50" s="28">
        <v>2500000</v>
      </c>
      <c r="F50" s="25">
        <v>2493.69</v>
      </c>
      <c r="G50" s="25">
        <v>2.31</v>
      </c>
      <c r="H50" s="25">
        <v>3.3</v>
      </c>
    </row>
    <row r="51" spans="2:10" x14ac:dyDescent="0.2">
      <c r="B51" s="23" t="s">
        <v>646</v>
      </c>
      <c r="C51" s="23" t="s">
        <v>647</v>
      </c>
      <c r="D51" s="23" t="s">
        <v>478</v>
      </c>
      <c r="E51" s="28">
        <v>2500000</v>
      </c>
      <c r="F51" s="25">
        <v>2474.8000000000002</v>
      </c>
      <c r="G51" s="25">
        <v>2.2999999999999998</v>
      </c>
      <c r="H51" s="25">
        <v>3.54</v>
      </c>
    </row>
    <row r="52" spans="2:10" x14ac:dyDescent="0.2">
      <c r="B52" s="23" t="s">
        <v>615</v>
      </c>
      <c r="C52" s="23" t="s">
        <v>616</v>
      </c>
      <c r="D52" s="23" t="s">
        <v>478</v>
      </c>
      <c r="E52" s="28">
        <v>1000000</v>
      </c>
      <c r="F52" s="25">
        <v>996.8</v>
      </c>
      <c r="G52" s="25">
        <v>0.93</v>
      </c>
      <c r="H52" s="25">
        <v>3.35</v>
      </c>
    </row>
    <row r="53" spans="2:10" x14ac:dyDescent="0.2">
      <c r="B53" s="30" t="s">
        <v>110</v>
      </c>
      <c r="C53" s="30"/>
      <c r="D53" s="30"/>
      <c r="E53" s="31"/>
      <c r="F53" s="32">
        <f>SUM(F47:F52)</f>
        <v>15917.27</v>
      </c>
      <c r="G53" s="32">
        <f>SUM(G47:G52)</f>
        <v>14.780000000000001</v>
      </c>
      <c r="H53" s="48"/>
      <c r="I53" s="14"/>
      <c r="J53" s="14"/>
    </row>
    <row r="54" spans="2:10" x14ac:dyDescent="0.2">
      <c r="B54" s="49" t="s">
        <v>111</v>
      </c>
      <c r="C54" s="49"/>
      <c r="D54" s="49"/>
      <c r="E54" s="50"/>
      <c r="F54" s="51">
        <f>+F53</f>
        <v>15917.27</v>
      </c>
      <c r="G54" s="51">
        <f>+G53</f>
        <v>14.780000000000001</v>
      </c>
      <c r="H54" s="51"/>
      <c r="I54" s="14"/>
      <c r="J54" s="14"/>
    </row>
    <row r="55" spans="2:10" x14ac:dyDescent="0.2">
      <c r="B55" s="47" t="s">
        <v>426</v>
      </c>
      <c r="C55" s="23"/>
      <c r="D55" s="23"/>
      <c r="E55" s="24"/>
      <c r="F55" s="25"/>
      <c r="G55" s="25"/>
      <c r="H55" s="25"/>
    </row>
    <row r="56" spans="2:10" x14ac:dyDescent="0.2">
      <c r="B56" s="23" t="s">
        <v>483</v>
      </c>
      <c r="C56" s="23" t="s">
        <v>484</v>
      </c>
      <c r="D56" s="23" t="s">
        <v>429</v>
      </c>
      <c r="E56" s="28">
        <v>4000000</v>
      </c>
      <c r="F56" s="25">
        <v>3924.73</v>
      </c>
      <c r="G56" s="25">
        <v>3.64</v>
      </c>
      <c r="H56" s="25">
        <v>5.64</v>
      </c>
    </row>
    <row r="57" spans="2:10" x14ac:dyDescent="0.2">
      <c r="B57" s="23" t="s">
        <v>434</v>
      </c>
      <c r="C57" s="23" t="s">
        <v>435</v>
      </c>
      <c r="D57" s="23" t="s">
        <v>429</v>
      </c>
      <c r="E57" s="28">
        <v>2250000</v>
      </c>
      <c r="F57" s="25">
        <v>2334.09</v>
      </c>
      <c r="G57" s="25">
        <v>2.17</v>
      </c>
      <c r="H57" s="25">
        <v>4.1900000000000004</v>
      </c>
    </row>
    <row r="58" spans="2:10" x14ac:dyDescent="0.2">
      <c r="B58" s="23" t="s">
        <v>432</v>
      </c>
      <c r="C58" s="23" t="s">
        <v>433</v>
      </c>
      <c r="D58" s="23" t="s">
        <v>429</v>
      </c>
      <c r="E58" s="28">
        <v>2250000</v>
      </c>
      <c r="F58" s="25">
        <v>2250</v>
      </c>
      <c r="G58" s="25">
        <v>2.09</v>
      </c>
      <c r="H58" s="25">
        <v>4.4800000000000004</v>
      </c>
    </row>
    <row r="59" spans="2:10" x14ac:dyDescent="0.2">
      <c r="B59" s="23" t="s">
        <v>458</v>
      </c>
      <c r="C59" s="23" t="s">
        <v>459</v>
      </c>
      <c r="D59" s="23" t="s">
        <v>429</v>
      </c>
      <c r="E59" s="28">
        <v>2000000</v>
      </c>
      <c r="F59" s="25">
        <v>2126.14</v>
      </c>
      <c r="G59" s="25">
        <v>1.97</v>
      </c>
      <c r="H59" s="25">
        <v>5.04</v>
      </c>
    </row>
    <row r="60" spans="2:10" x14ac:dyDescent="0.2">
      <c r="B60" s="23" t="s">
        <v>430</v>
      </c>
      <c r="C60" s="23" t="s">
        <v>431</v>
      </c>
      <c r="D60" s="23" t="s">
        <v>429</v>
      </c>
      <c r="E60" s="28">
        <v>2000000</v>
      </c>
      <c r="F60" s="25">
        <v>2115.1</v>
      </c>
      <c r="G60" s="25">
        <v>1.96</v>
      </c>
      <c r="H60" s="25">
        <v>4.91</v>
      </c>
    </row>
    <row r="61" spans="2:10" x14ac:dyDescent="0.2">
      <c r="B61" s="23" t="s">
        <v>706</v>
      </c>
      <c r="C61" s="23" t="s">
        <v>707</v>
      </c>
      <c r="D61" s="23" t="s">
        <v>429</v>
      </c>
      <c r="E61" s="28">
        <v>2000000</v>
      </c>
      <c r="F61" s="25">
        <v>2048.8000000000002</v>
      </c>
      <c r="G61" s="25">
        <v>1.9</v>
      </c>
      <c r="H61" s="25">
        <v>4.05</v>
      </c>
    </row>
    <row r="62" spans="2:10" x14ac:dyDescent="0.2">
      <c r="B62" s="23" t="s">
        <v>708</v>
      </c>
      <c r="C62" s="23" t="s">
        <v>709</v>
      </c>
      <c r="D62" s="23" t="s">
        <v>429</v>
      </c>
      <c r="E62" s="28">
        <v>1000000</v>
      </c>
      <c r="F62" s="25">
        <v>1062.3599999999999</v>
      </c>
      <c r="G62" s="25">
        <v>0.99</v>
      </c>
      <c r="H62" s="25">
        <v>4.72</v>
      </c>
    </row>
    <row r="63" spans="2:10" x14ac:dyDescent="0.2">
      <c r="B63" s="23" t="s">
        <v>710</v>
      </c>
      <c r="C63" s="23" t="s">
        <v>711</v>
      </c>
      <c r="D63" s="23" t="s">
        <v>429</v>
      </c>
      <c r="E63" s="28">
        <v>500000</v>
      </c>
      <c r="F63" s="25">
        <v>523.05999999999995</v>
      </c>
      <c r="G63" s="25">
        <v>0.49</v>
      </c>
      <c r="H63" s="25">
        <v>4.3</v>
      </c>
    </row>
    <row r="64" spans="2:10" x14ac:dyDescent="0.2">
      <c r="B64" s="23" t="s">
        <v>712</v>
      </c>
      <c r="C64" s="23" t="s">
        <v>713</v>
      </c>
      <c r="D64" s="23" t="s">
        <v>429</v>
      </c>
      <c r="E64" s="28">
        <v>500000</v>
      </c>
      <c r="F64" s="25">
        <v>523.02</v>
      </c>
      <c r="G64" s="25">
        <v>0.49</v>
      </c>
      <c r="H64" s="25">
        <v>4.3</v>
      </c>
    </row>
    <row r="65" spans="2:10" x14ac:dyDescent="0.2">
      <c r="B65" s="23" t="s">
        <v>714</v>
      </c>
      <c r="C65" s="23" t="s">
        <v>715</v>
      </c>
      <c r="D65" s="23" t="s">
        <v>429</v>
      </c>
      <c r="E65" s="28">
        <v>500000</v>
      </c>
      <c r="F65" s="25">
        <v>518.21</v>
      </c>
      <c r="G65" s="25">
        <v>0.48</v>
      </c>
      <c r="H65" s="25">
        <v>4.43</v>
      </c>
    </row>
    <row r="66" spans="2:10" x14ac:dyDescent="0.2">
      <c r="B66" s="23" t="s">
        <v>589</v>
      </c>
      <c r="C66" s="23" t="s">
        <v>590</v>
      </c>
      <c r="D66" s="23" t="s">
        <v>429</v>
      </c>
      <c r="E66" s="28">
        <v>500000</v>
      </c>
      <c r="F66" s="25">
        <v>515.69000000000005</v>
      </c>
      <c r="G66" s="25">
        <v>0.48</v>
      </c>
      <c r="H66" s="25">
        <v>4.1900000000000004</v>
      </c>
    </row>
    <row r="67" spans="2:10" x14ac:dyDescent="0.2">
      <c r="B67" s="23" t="s">
        <v>716</v>
      </c>
      <c r="C67" s="23" t="s">
        <v>717</v>
      </c>
      <c r="D67" s="23" t="s">
        <v>429</v>
      </c>
      <c r="E67" s="28">
        <v>500000</v>
      </c>
      <c r="F67" s="25">
        <v>514.69000000000005</v>
      </c>
      <c r="G67" s="25">
        <v>0.48</v>
      </c>
      <c r="H67" s="25">
        <v>4.18</v>
      </c>
    </row>
    <row r="68" spans="2:10" x14ac:dyDescent="0.2">
      <c r="B68" s="23" t="s">
        <v>718</v>
      </c>
      <c r="C68" s="23" t="s">
        <v>719</v>
      </c>
      <c r="D68" s="23" t="s">
        <v>429</v>
      </c>
      <c r="E68" s="28">
        <v>400000</v>
      </c>
      <c r="F68" s="25">
        <v>417.08</v>
      </c>
      <c r="G68" s="25">
        <v>0.39</v>
      </c>
      <c r="H68" s="25">
        <v>4.17</v>
      </c>
    </row>
    <row r="69" spans="2:10" x14ac:dyDescent="0.2">
      <c r="B69" s="52" t="s">
        <v>720</v>
      </c>
      <c r="C69" s="52" t="s">
        <v>721</v>
      </c>
      <c r="D69" s="52" t="s">
        <v>429</v>
      </c>
      <c r="E69" s="53">
        <v>28300</v>
      </c>
      <c r="F69" s="54">
        <v>30.14</v>
      </c>
      <c r="G69" s="54">
        <v>0.03</v>
      </c>
      <c r="H69" s="54">
        <v>6.47</v>
      </c>
    </row>
    <row r="70" spans="2:10" x14ac:dyDescent="0.2">
      <c r="B70" s="55" t="s">
        <v>111</v>
      </c>
      <c r="C70" s="55"/>
      <c r="D70" s="55"/>
      <c r="E70" s="56"/>
      <c r="F70" s="57">
        <f>SUM(F56:F69)</f>
        <v>18903.11</v>
      </c>
      <c r="G70" s="57">
        <f>SUM(G56:G69)</f>
        <v>17.560000000000006</v>
      </c>
      <c r="H70" s="57"/>
      <c r="I70" s="14"/>
      <c r="J70" s="14"/>
    </row>
    <row r="71" spans="2:10" x14ac:dyDescent="0.2">
      <c r="B71" s="47" t="s">
        <v>112</v>
      </c>
      <c r="C71" s="23"/>
      <c r="D71" s="23"/>
      <c r="E71" s="24"/>
      <c r="F71" s="25"/>
      <c r="G71" s="25"/>
      <c r="H71" s="25"/>
    </row>
    <row r="72" spans="2:10" x14ac:dyDescent="0.2">
      <c r="B72" s="23" t="s">
        <v>112</v>
      </c>
      <c r="C72" s="23"/>
      <c r="D72" s="23"/>
      <c r="E72" s="24"/>
      <c r="F72" s="25">
        <v>6259.47</v>
      </c>
      <c r="G72" s="25">
        <v>5.81</v>
      </c>
      <c r="H72" s="25"/>
    </row>
    <row r="73" spans="2:10" x14ac:dyDescent="0.2">
      <c r="B73" s="30" t="s">
        <v>110</v>
      </c>
      <c r="C73" s="30"/>
      <c r="D73" s="30"/>
      <c r="E73" s="31"/>
      <c r="F73" s="32">
        <f>SUM(F71:F72)</f>
        <v>6259.47</v>
      </c>
      <c r="G73" s="32">
        <f>SUM(G71:G72)</f>
        <v>5.81</v>
      </c>
      <c r="H73" s="48"/>
      <c r="I73" s="14"/>
      <c r="J73" s="14"/>
    </row>
    <row r="74" spans="2:10" x14ac:dyDescent="0.2">
      <c r="B74" s="34" t="s">
        <v>111</v>
      </c>
      <c r="C74" s="34"/>
      <c r="D74" s="34"/>
      <c r="E74" s="35"/>
      <c r="F74" s="36">
        <f>F73</f>
        <v>6259.47</v>
      </c>
      <c r="G74" s="36">
        <f>G73</f>
        <v>5.81</v>
      </c>
      <c r="H74" s="36"/>
      <c r="I74" s="14"/>
      <c r="J74" s="14"/>
    </row>
    <row r="75" spans="2:10" x14ac:dyDescent="0.2">
      <c r="B75" s="44" t="s">
        <v>114</v>
      </c>
      <c r="C75" s="44"/>
      <c r="D75" s="44"/>
      <c r="E75" s="45"/>
      <c r="F75" s="16">
        <f>F76-(+F45+F54+F70+F74)</f>
        <v>2662.7799999999843</v>
      </c>
      <c r="G75" s="16">
        <f>G76-(+G45+G54+G70+G74)</f>
        <v>2.4300000000000068</v>
      </c>
      <c r="H75" s="16"/>
      <c r="I75" s="14"/>
      <c r="J75" s="14"/>
    </row>
    <row r="76" spans="2:10" x14ac:dyDescent="0.2">
      <c r="B76" s="44" t="s">
        <v>113</v>
      </c>
      <c r="C76" s="44"/>
      <c r="D76" s="44"/>
      <c r="E76" s="45"/>
      <c r="F76" s="16">
        <v>107754.06</v>
      </c>
      <c r="G76" s="16">
        <v>100</v>
      </c>
      <c r="H76" s="16"/>
      <c r="I76" s="14"/>
      <c r="J76" s="14"/>
    </row>
    <row r="78" spans="2:10" x14ac:dyDescent="0.2">
      <c r="B78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"/>
  <sheetViews>
    <sheetView workbookViewId="0">
      <selection activeCell="C27" sqref="C27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27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226</v>
      </c>
      <c r="C5" s="18"/>
      <c r="D5" s="18"/>
      <c r="E5" s="19"/>
      <c r="F5" s="20"/>
      <c r="G5" s="20"/>
      <c r="H5" s="20"/>
    </row>
    <row r="6" spans="2:8" x14ac:dyDescent="0.2">
      <c r="B6" s="47" t="s">
        <v>31</v>
      </c>
      <c r="C6" s="23"/>
      <c r="D6" s="23"/>
      <c r="E6" s="24"/>
      <c r="F6" s="25"/>
      <c r="G6" s="25"/>
      <c r="H6" s="25"/>
    </row>
    <row r="7" spans="2:8" x14ac:dyDescent="0.2">
      <c r="B7" s="23" t="s">
        <v>395</v>
      </c>
      <c r="C7" s="23" t="s">
        <v>396</v>
      </c>
      <c r="D7" s="23" t="s">
        <v>229</v>
      </c>
      <c r="E7" s="28">
        <v>150</v>
      </c>
      <c r="F7" s="25">
        <v>1590.42</v>
      </c>
      <c r="G7" s="25">
        <v>5.2</v>
      </c>
      <c r="H7" s="25">
        <v>5.39</v>
      </c>
    </row>
    <row r="8" spans="2:8" x14ac:dyDescent="0.2">
      <c r="B8" s="23" t="s">
        <v>682</v>
      </c>
      <c r="C8" s="23" t="s">
        <v>683</v>
      </c>
      <c r="D8" s="23" t="s">
        <v>229</v>
      </c>
      <c r="E8" s="28">
        <v>150</v>
      </c>
      <c r="F8" s="25">
        <v>1573.28</v>
      </c>
      <c r="G8" s="25">
        <v>5.15</v>
      </c>
      <c r="H8" s="25">
        <v>5.45</v>
      </c>
    </row>
    <row r="9" spans="2:8" x14ac:dyDescent="0.2">
      <c r="B9" s="23" t="s">
        <v>411</v>
      </c>
      <c r="C9" s="23" t="s">
        <v>412</v>
      </c>
      <c r="D9" s="23" t="s">
        <v>229</v>
      </c>
      <c r="E9" s="28">
        <v>150</v>
      </c>
      <c r="F9" s="25">
        <v>1549.22</v>
      </c>
      <c r="G9" s="25">
        <v>5.07</v>
      </c>
      <c r="H9" s="25">
        <v>4.67</v>
      </c>
    </row>
    <row r="10" spans="2:8" x14ac:dyDescent="0.2">
      <c r="B10" s="23" t="s">
        <v>375</v>
      </c>
      <c r="C10" s="23" t="s">
        <v>376</v>
      </c>
      <c r="D10" s="23" t="s">
        <v>229</v>
      </c>
      <c r="E10" s="28">
        <v>150</v>
      </c>
      <c r="F10" s="25">
        <v>1542.27</v>
      </c>
      <c r="G10" s="25">
        <v>5.04</v>
      </c>
      <c r="H10" s="25">
        <v>4.45</v>
      </c>
    </row>
    <row r="11" spans="2:8" x14ac:dyDescent="0.2">
      <c r="B11" s="23" t="s">
        <v>722</v>
      </c>
      <c r="C11" s="23" t="s">
        <v>723</v>
      </c>
      <c r="D11" s="23" t="s">
        <v>229</v>
      </c>
      <c r="E11" s="28">
        <v>150</v>
      </c>
      <c r="F11" s="25">
        <v>1518.38</v>
      </c>
      <c r="G11" s="25">
        <v>4.97</v>
      </c>
      <c r="H11" s="25">
        <v>3.6</v>
      </c>
    </row>
    <row r="12" spans="2:8" x14ac:dyDescent="0.2">
      <c r="B12" s="23" t="s">
        <v>656</v>
      </c>
      <c r="C12" s="23" t="s">
        <v>657</v>
      </c>
      <c r="D12" s="23" t="s">
        <v>229</v>
      </c>
      <c r="E12" s="28">
        <v>150</v>
      </c>
      <c r="F12" s="25">
        <v>1511.43</v>
      </c>
      <c r="G12" s="25">
        <v>4.9400000000000004</v>
      </c>
      <c r="H12" s="25">
        <v>4.49</v>
      </c>
    </row>
    <row r="13" spans="2:8" x14ac:dyDescent="0.2">
      <c r="B13" s="23" t="s">
        <v>531</v>
      </c>
      <c r="C13" s="23" t="s">
        <v>532</v>
      </c>
      <c r="D13" s="23" t="s">
        <v>415</v>
      </c>
      <c r="E13" s="28">
        <v>150</v>
      </c>
      <c r="F13" s="25">
        <v>1486.99</v>
      </c>
      <c r="G13" s="25">
        <v>4.8600000000000003</v>
      </c>
      <c r="H13" s="25">
        <v>4.95</v>
      </c>
    </row>
    <row r="14" spans="2:8" x14ac:dyDescent="0.2">
      <c r="B14" s="23" t="s">
        <v>724</v>
      </c>
      <c r="C14" s="23" t="s">
        <v>725</v>
      </c>
      <c r="D14" s="23" t="s">
        <v>229</v>
      </c>
      <c r="E14" s="28">
        <v>100</v>
      </c>
      <c r="F14" s="25">
        <v>1065</v>
      </c>
      <c r="G14" s="25">
        <v>3.48</v>
      </c>
      <c r="H14" s="25">
        <v>4.5999999999999996</v>
      </c>
    </row>
    <row r="15" spans="2:8" x14ac:dyDescent="0.2">
      <c r="B15" s="23" t="s">
        <v>585</v>
      </c>
      <c r="C15" s="23" t="s">
        <v>586</v>
      </c>
      <c r="D15" s="23" t="s">
        <v>229</v>
      </c>
      <c r="E15" s="28">
        <v>100</v>
      </c>
      <c r="F15" s="25">
        <v>1046.18</v>
      </c>
      <c r="G15" s="25">
        <v>3.42</v>
      </c>
      <c r="H15" s="25">
        <v>5.76</v>
      </c>
    </row>
    <row r="16" spans="2:8" x14ac:dyDescent="0.2">
      <c r="B16" s="23" t="s">
        <v>726</v>
      </c>
      <c r="C16" s="23" t="s">
        <v>727</v>
      </c>
      <c r="D16" s="23" t="s">
        <v>229</v>
      </c>
      <c r="E16" s="28">
        <v>100</v>
      </c>
      <c r="F16" s="25">
        <v>1032.1099999999999</v>
      </c>
      <c r="G16" s="25">
        <v>3.38</v>
      </c>
      <c r="H16" s="25">
        <v>4.9400000000000004</v>
      </c>
    </row>
    <row r="17" spans="2:8" x14ac:dyDescent="0.2">
      <c r="B17" s="23" t="s">
        <v>728</v>
      </c>
      <c r="C17" s="23" t="s">
        <v>729</v>
      </c>
      <c r="D17" s="23" t="s">
        <v>229</v>
      </c>
      <c r="E17" s="28">
        <v>50</v>
      </c>
      <c r="F17" s="25">
        <v>544.29999999999995</v>
      </c>
      <c r="G17" s="25">
        <v>1.78</v>
      </c>
      <c r="H17" s="25">
        <v>4.92</v>
      </c>
    </row>
    <row r="18" spans="2:8" x14ac:dyDescent="0.2">
      <c r="B18" s="23" t="s">
        <v>389</v>
      </c>
      <c r="C18" s="23" t="s">
        <v>390</v>
      </c>
      <c r="D18" s="23" t="s">
        <v>229</v>
      </c>
      <c r="E18" s="28">
        <v>50</v>
      </c>
      <c r="F18" s="25">
        <v>532.11</v>
      </c>
      <c r="G18" s="25">
        <v>1.74</v>
      </c>
      <c r="H18" s="25">
        <v>5.62</v>
      </c>
    </row>
    <row r="19" spans="2:8" x14ac:dyDescent="0.2">
      <c r="B19" s="23" t="s">
        <v>694</v>
      </c>
      <c r="C19" s="23" t="s">
        <v>695</v>
      </c>
      <c r="D19" s="23" t="s">
        <v>229</v>
      </c>
      <c r="E19" s="28">
        <v>50</v>
      </c>
      <c r="F19" s="25">
        <v>527.86</v>
      </c>
      <c r="G19" s="25">
        <v>1.73</v>
      </c>
      <c r="H19" s="25">
        <v>4.74</v>
      </c>
    </row>
    <row r="20" spans="2:8" x14ac:dyDescent="0.2">
      <c r="B20" s="23" t="s">
        <v>422</v>
      </c>
      <c r="C20" s="23" t="s">
        <v>423</v>
      </c>
      <c r="D20" s="23" t="s">
        <v>229</v>
      </c>
      <c r="E20" s="28">
        <v>50</v>
      </c>
      <c r="F20" s="25">
        <v>527.15</v>
      </c>
      <c r="G20" s="25">
        <v>1.72</v>
      </c>
      <c r="H20" s="25">
        <v>5.76</v>
      </c>
    </row>
    <row r="21" spans="2:8" x14ac:dyDescent="0.2">
      <c r="B21" s="23" t="s">
        <v>730</v>
      </c>
      <c r="C21" s="23" t="s">
        <v>731</v>
      </c>
      <c r="D21" s="23" t="s">
        <v>229</v>
      </c>
      <c r="E21" s="28">
        <v>50</v>
      </c>
      <c r="F21" s="25">
        <v>525.83000000000004</v>
      </c>
      <c r="G21" s="25">
        <v>1.72</v>
      </c>
      <c r="H21" s="25">
        <v>5.63</v>
      </c>
    </row>
    <row r="22" spans="2:8" x14ac:dyDescent="0.2">
      <c r="B22" s="23" t="s">
        <v>670</v>
      </c>
      <c r="C22" s="23" t="s">
        <v>671</v>
      </c>
      <c r="D22" s="23" t="s">
        <v>229</v>
      </c>
      <c r="E22" s="28">
        <v>50</v>
      </c>
      <c r="F22" s="25">
        <v>519.45000000000005</v>
      </c>
      <c r="G22" s="25">
        <v>1.7</v>
      </c>
      <c r="H22" s="25">
        <v>5.98</v>
      </c>
    </row>
    <row r="23" spans="2:8" x14ac:dyDescent="0.2">
      <c r="B23" s="23" t="s">
        <v>379</v>
      </c>
      <c r="C23" s="23" t="s">
        <v>380</v>
      </c>
      <c r="D23" s="23" t="s">
        <v>229</v>
      </c>
      <c r="E23" s="28">
        <v>50</v>
      </c>
      <c r="F23" s="25">
        <v>516.51</v>
      </c>
      <c r="G23" s="25">
        <v>1.69</v>
      </c>
      <c r="H23" s="25">
        <v>4.58</v>
      </c>
    </row>
    <row r="24" spans="2:8" x14ac:dyDescent="0.2">
      <c r="B24" s="23" t="s">
        <v>369</v>
      </c>
      <c r="C24" s="23" t="s">
        <v>370</v>
      </c>
      <c r="D24" s="23" t="s">
        <v>229</v>
      </c>
      <c r="E24" s="28">
        <v>50</v>
      </c>
      <c r="F24" s="25">
        <v>516.1</v>
      </c>
      <c r="G24" s="25">
        <v>1.69</v>
      </c>
      <c r="H24" s="25">
        <v>4.6399999999999997</v>
      </c>
    </row>
    <row r="25" spans="2:8" x14ac:dyDescent="0.2">
      <c r="B25" s="23" t="s">
        <v>541</v>
      </c>
      <c r="C25" s="23" t="s">
        <v>542</v>
      </c>
      <c r="D25" s="23" t="s">
        <v>229</v>
      </c>
      <c r="E25" s="28">
        <v>50</v>
      </c>
      <c r="F25" s="25">
        <v>515.67999999999995</v>
      </c>
      <c r="G25" s="25">
        <v>1.69</v>
      </c>
      <c r="H25" s="25">
        <v>4.1100000000000003</v>
      </c>
    </row>
    <row r="26" spans="2:8" x14ac:dyDescent="0.2">
      <c r="B26" s="23" t="s">
        <v>732</v>
      </c>
      <c r="C26" s="23" t="s">
        <v>733</v>
      </c>
      <c r="D26" s="23" t="s">
        <v>229</v>
      </c>
      <c r="E26" s="28">
        <v>50</v>
      </c>
      <c r="F26" s="25">
        <v>515.39</v>
      </c>
      <c r="G26" s="25">
        <v>1.69</v>
      </c>
      <c r="H26" s="25">
        <v>4.6399999999999997</v>
      </c>
    </row>
    <row r="27" spans="2:8" x14ac:dyDescent="0.2">
      <c r="B27" s="23" t="s">
        <v>734</v>
      </c>
      <c r="C27" s="23" t="s">
        <v>735</v>
      </c>
      <c r="D27" s="23" t="s">
        <v>229</v>
      </c>
      <c r="E27" s="28">
        <v>50</v>
      </c>
      <c r="F27" s="25">
        <v>513.27</v>
      </c>
      <c r="G27" s="25">
        <v>1.68</v>
      </c>
      <c r="H27" s="25">
        <v>4.47</v>
      </c>
    </row>
    <row r="28" spans="2:8" x14ac:dyDescent="0.2">
      <c r="B28" s="23" t="s">
        <v>527</v>
      </c>
      <c r="C28" s="23" t="s">
        <v>528</v>
      </c>
      <c r="D28" s="23" t="s">
        <v>229</v>
      </c>
      <c r="E28" s="28">
        <v>50</v>
      </c>
      <c r="F28" s="25">
        <v>505.89</v>
      </c>
      <c r="G28" s="25">
        <v>1.65</v>
      </c>
      <c r="H28" s="25">
        <v>3.88</v>
      </c>
    </row>
    <row r="29" spans="2:8" x14ac:dyDescent="0.2">
      <c r="B29" s="23" t="s">
        <v>668</v>
      </c>
      <c r="C29" s="23" t="s">
        <v>669</v>
      </c>
      <c r="D29" s="23" t="s">
        <v>229</v>
      </c>
      <c r="E29" s="28">
        <v>50</v>
      </c>
      <c r="F29" s="25">
        <v>504.19</v>
      </c>
      <c r="G29" s="25">
        <v>1.65</v>
      </c>
      <c r="H29" s="25">
        <v>4.91</v>
      </c>
    </row>
    <row r="30" spans="2:8" x14ac:dyDescent="0.2">
      <c r="B30" s="23" t="s">
        <v>403</v>
      </c>
      <c r="C30" s="23" t="s">
        <v>404</v>
      </c>
      <c r="D30" s="23" t="s">
        <v>229</v>
      </c>
      <c r="E30" s="28">
        <v>50</v>
      </c>
      <c r="F30" s="25">
        <v>502.39</v>
      </c>
      <c r="G30" s="25">
        <v>1.64</v>
      </c>
      <c r="H30" s="25">
        <v>3.54</v>
      </c>
    </row>
    <row r="31" spans="2:8" x14ac:dyDescent="0.2">
      <c r="B31" s="23" t="s">
        <v>736</v>
      </c>
      <c r="C31" s="23" t="s">
        <v>737</v>
      </c>
      <c r="D31" s="23" t="s">
        <v>229</v>
      </c>
      <c r="E31" s="28">
        <v>50</v>
      </c>
      <c r="F31" s="25">
        <v>496.96</v>
      </c>
      <c r="G31" s="25">
        <v>1.63</v>
      </c>
      <c r="H31" s="25">
        <v>5.36</v>
      </c>
    </row>
    <row r="32" spans="2:8" x14ac:dyDescent="0.2">
      <c r="B32" s="23" t="s">
        <v>738</v>
      </c>
      <c r="C32" s="23" t="s">
        <v>739</v>
      </c>
      <c r="D32" s="23" t="s">
        <v>415</v>
      </c>
      <c r="E32" s="28">
        <v>20</v>
      </c>
      <c r="F32" s="25">
        <v>258.64999999999998</v>
      </c>
      <c r="G32" s="25">
        <v>0.85</v>
      </c>
      <c r="H32" s="25">
        <v>4.1900000000000004</v>
      </c>
    </row>
    <row r="33" spans="2:10" x14ac:dyDescent="0.2">
      <c r="B33" s="30" t="s">
        <v>110</v>
      </c>
      <c r="C33" s="30"/>
      <c r="D33" s="30"/>
      <c r="E33" s="31"/>
      <c r="F33" s="32">
        <f>SUM(F6:F32)</f>
        <v>21937.01</v>
      </c>
      <c r="G33" s="32">
        <f>SUM(G6:G32)</f>
        <v>71.760000000000005</v>
      </c>
      <c r="H33" s="48"/>
      <c r="I33" s="14"/>
      <c r="J33" s="14"/>
    </row>
    <row r="34" spans="2:10" x14ac:dyDescent="0.2">
      <c r="B34" s="49" t="s">
        <v>111</v>
      </c>
      <c r="C34" s="49"/>
      <c r="D34" s="49"/>
      <c r="E34" s="50"/>
      <c r="F34" s="51">
        <f>F33</f>
        <v>21937.01</v>
      </c>
      <c r="G34" s="51">
        <f>G33</f>
        <v>71.760000000000005</v>
      </c>
      <c r="H34" s="51"/>
      <c r="I34" s="14"/>
      <c r="J34" s="14"/>
    </row>
    <row r="35" spans="2:10" x14ac:dyDescent="0.2">
      <c r="B35" s="47" t="s">
        <v>474</v>
      </c>
      <c r="C35" s="23"/>
      <c r="D35" s="23"/>
      <c r="E35" s="24"/>
      <c r="F35" s="25"/>
      <c r="G35" s="25"/>
      <c r="H35" s="25"/>
    </row>
    <row r="36" spans="2:10" x14ac:dyDescent="0.2">
      <c r="B36" s="47" t="s">
        <v>475</v>
      </c>
      <c r="C36" s="23"/>
      <c r="D36" s="23"/>
      <c r="E36" s="24"/>
      <c r="F36" s="25"/>
      <c r="G36" s="25"/>
      <c r="H36" s="25"/>
    </row>
    <row r="37" spans="2:10" x14ac:dyDescent="0.2">
      <c r="B37" s="23" t="s">
        <v>650</v>
      </c>
      <c r="C37" s="23" t="s">
        <v>651</v>
      </c>
      <c r="D37" s="23" t="s">
        <v>478</v>
      </c>
      <c r="E37" s="28">
        <v>3000000</v>
      </c>
      <c r="F37" s="25">
        <v>2990.39</v>
      </c>
      <c r="G37" s="25">
        <v>9.7799999999999994</v>
      </c>
      <c r="H37" s="25">
        <v>3.35</v>
      </c>
    </row>
    <row r="38" spans="2:10" x14ac:dyDescent="0.2">
      <c r="B38" s="30" t="s">
        <v>110</v>
      </c>
      <c r="C38" s="30"/>
      <c r="D38" s="30"/>
      <c r="E38" s="31"/>
      <c r="F38" s="32">
        <f>SUM(F36:F37)</f>
        <v>2990.39</v>
      </c>
      <c r="G38" s="32">
        <f>SUM(G36:G37)</f>
        <v>9.7799999999999994</v>
      </c>
      <c r="H38" s="48"/>
      <c r="I38" s="14"/>
      <c r="J38" s="14"/>
    </row>
    <row r="39" spans="2:10" x14ac:dyDescent="0.2">
      <c r="B39" s="49" t="s">
        <v>111</v>
      </c>
      <c r="C39" s="49"/>
      <c r="D39" s="49"/>
      <c r="E39" s="50"/>
      <c r="F39" s="51">
        <f>+F38</f>
        <v>2990.39</v>
      </c>
      <c r="G39" s="51">
        <f>+G38</f>
        <v>9.7799999999999994</v>
      </c>
      <c r="H39" s="51"/>
      <c r="I39" s="14"/>
      <c r="J39" s="14"/>
    </row>
    <row r="40" spans="2:10" x14ac:dyDescent="0.2">
      <c r="B40" s="47" t="s">
        <v>426</v>
      </c>
      <c r="C40" s="23"/>
      <c r="D40" s="23"/>
      <c r="E40" s="24"/>
      <c r="F40" s="25"/>
      <c r="G40" s="25"/>
      <c r="H40" s="25"/>
    </row>
    <row r="41" spans="2:10" x14ac:dyDescent="0.2">
      <c r="B41" s="23" t="s">
        <v>458</v>
      </c>
      <c r="C41" s="23" t="s">
        <v>459</v>
      </c>
      <c r="D41" s="23" t="s">
        <v>429</v>
      </c>
      <c r="E41" s="28">
        <v>1000000</v>
      </c>
      <c r="F41" s="25">
        <v>1063.07</v>
      </c>
      <c r="G41" s="25">
        <v>3.48</v>
      </c>
      <c r="H41" s="25">
        <v>5.04</v>
      </c>
    </row>
    <row r="42" spans="2:10" x14ac:dyDescent="0.2">
      <c r="B42" s="23" t="s">
        <v>740</v>
      </c>
      <c r="C42" s="23" t="s">
        <v>741</v>
      </c>
      <c r="D42" s="23" t="s">
        <v>429</v>
      </c>
      <c r="E42" s="28">
        <v>500000</v>
      </c>
      <c r="F42" s="25">
        <v>527.74</v>
      </c>
      <c r="G42" s="25">
        <v>1.73</v>
      </c>
      <c r="H42" s="25">
        <v>4.3899999999999997</v>
      </c>
    </row>
    <row r="43" spans="2:10" x14ac:dyDescent="0.2">
      <c r="B43" s="23" t="s">
        <v>742</v>
      </c>
      <c r="C43" s="23" t="s">
        <v>743</v>
      </c>
      <c r="D43" s="23" t="s">
        <v>429</v>
      </c>
      <c r="E43" s="28">
        <v>500000</v>
      </c>
      <c r="F43" s="25">
        <v>512.24</v>
      </c>
      <c r="G43" s="25">
        <v>1.68</v>
      </c>
      <c r="H43" s="25">
        <v>4</v>
      </c>
    </row>
    <row r="44" spans="2:10" x14ac:dyDescent="0.2">
      <c r="B44" s="23" t="s">
        <v>744</v>
      </c>
      <c r="C44" s="23" t="s">
        <v>745</v>
      </c>
      <c r="D44" s="23" t="s">
        <v>429</v>
      </c>
      <c r="E44" s="28">
        <v>500000</v>
      </c>
      <c r="F44" s="25">
        <v>510.56</v>
      </c>
      <c r="G44" s="25">
        <v>1.67</v>
      </c>
      <c r="H44" s="25">
        <v>3.81</v>
      </c>
    </row>
    <row r="45" spans="2:10" x14ac:dyDescent="0.2">
      <c r="B45" s="23" t="s">
        <v>450</v>
      </c>
      <c r="C45" s="23" t="s">
        <v>451</v>
      </c>
      <c r="D45" s="23" t="s">
        <v>429</v>
      </c>
      <c r="E45" s="28">
        <v>500000</v>
      </c>
      <c r="F45" s="25">
        <v>504.55</v>
      </c>
      <c r="G45" s="25">
        <v>1.65</v>
      </c>
      <c r="H45" s="25">
        <v>3.9</v>
      </c>
    </row>
    <row r="46" spans="2:10" x14ac:dyDescent="0.2">
      <c r="B46" s="23" t="s">
        <v>446</v>
      </c>
      <c r="C46" s="23" t="s">
        <v>447</v>
      </c>
      <c r="D46" s="23" t="s">
        <v>429</v>
      </c>
      <c r="E46" s="28">
        <v>500000</v>
      </c>
      <c r="F46" s="25">
        <v>498.15</v>
      </c>
      <c r="G46" s="25">
        <v>1.63</v>
      </c>
      <c r="H46" s="25">
        <v>5.72</v>
      </c>
    </row>
    <row r="47" spans="2:10" x14ac:dyDescent="0.2">
      <c r="B47" s="23" t="s">
        <v>462</v>
      </c>
      <c r="C47" s="23" t="s">
        <v>463</v>
      </c>
      <c r="D47" s="23" t="s">
        <v>429</v>
      </c>
      <c r="E47" s="28">
        <v>300000</v>
      </c>
      <c r="F47" s="25">
        <v>315.31</v>
      </c>
      <c r="G47" s="25">
        <v>1.03</v>
      </c>
      <c r="H47" s="25">
        <v>6.2</v>
      </c>
    </row>
    <row r="48" spans="2:10" x14ac:dyDescent="0.2">
      <c r="B48" s="52" t="s">
        <v>714</v>
      </c>
      <c r="C48" s="52" t="s">
        <v>715</v>
      </c>
      <c r="D48" s="52" t="s">
        <v>429</v>
      </c>
      <c r="E48" s="53">
        <v>48000</v>
      </c>
      <c r="F48" s="54">
        <v>49.75</v>
      </c>
      <c r="G48" s="54">
        <v>0.16</v>
      </c>
      <c r="H48" s="54">
        <v>4.43</v>
      </c>
    </row>
    <row r="49" spans="2:10" x14ac:dyDescent="0.2">
      <c r="B49" s="55" t="s">
        <v>111</v>
      </c>
      <c r="C49" s="55"/>
      <c r="D49" s="55"/>
      <c r="E49" s="56"/>
      <c r="F49" s="57">
        <f>SUM(F41:F48)</f>
        <v>3981.3700000000003</v>
      </c>
      <c r="G49" s="57">
        <f>SUM(G41:G48)</f>
        <v>13.03</v>
      </c>
      <c r="H49" s="57"/>
      <c r="I49" s="14"/>
      <c r="J49" s="14"/>
    </row>
    <row r="50" spans="2:10" x14ac:dyDescent="0.2">
      <c r="B50" s="47" t="s">
        <v>112</v>
      </c>
      <c r="C50" s="23"/>
      <c r="D50" s="23"/>
      <c r="E50" s="24"/>
      <c r="F50" s="25"/>
      <c r="G50" s="25"/>
      <c r="H50" s="25"/>
    </row>
    <row r="51" spans="2:10" x14ac:dyDescent="0.2">
      <c r="B51" s="23" t="s">
        <v>112</v>
      </c>
      <c r="C51" s="23"/>
      <c r="D51" s="23"/>
      <c r="E51" s="24"/>
      <c r="F51" s="25">
        <v>867.32</v>
      </c>
      <c r="G51" s="25">
        <v>2.84</v>
      </c>
      <c r="H51" s="25"/>
    </row>
    <row r="52" spans="2:10" x14ac:dyDescent="0.2">
      <c r="B52" s="30" t="s">
        <v>110</v>
      </c>
      <c r="C52" s="30"/>
      <c r="D52" s="30"/>
      <c r="E52" s="31"/>
      <c r="F52" s="32">
        <f>SUM(F50:F51)</f>
        <v>867.32</v>
      </c>
      <c r="G52" s="32">
        <f>SUM(G50:G51)</f>
        <v>2.84</v>
      </c>
      <c r="H52" s="48"/>
      <c r="I52" s="14"/>
      <c r="J52" s="14"/>
    </row>
    <row r="53" spans="2:10" x14ac:dyDescent="0.2">
      <c r="B53" s="34" t="s">
        <v>111</v>
      </c>
      <c r="C53" s="34"/>
      <c r="D53" s="34"/>
      <c r="E53" s="35"/>
      <c r="F53" s="36">
        <f>F52</f>
        <v>867.32</v>
      </c>
      <c r="G53" s="36">
        <f>G52</f>
        <v>2.84</v>
      </c>
      <c r="H53" s="36"/>
      <c r="I53" s="14"/>
      <c r="J53" s="14"/>
    </row>
    <row r="54" spans="2:10" x14ac:dyDescent="0.2">
      <c r="B54" s="44" t="s">
        <v>114</v>
      </c>
      <c r="C54" s="44"/>
      <c r="D54" s="44"/>
      <c r="E54" s="45"/>
      <c r="F54" s="16">
        <f>F55-(+F34+F39+F49+F53)</f>
        <v>800.19000000000233</v>
      </c>
      <c r="G54" s="16">
        <f>G55-(+G34+G39+G49+G53)</f>
        <v>2.5899999999999892</v>
      </c>
      <c r="H54" s="16"/>
      <c r="I54" s="14"/>
      <c r="J54" s="14"/>
    </row>
    <row r="55" spans="2:10" x14ac:dyDescent="0.2">
      <c r="B55" s="44" t="s">
        <v>113</v>
      </c>
      <c r="C55" s="44"/>
      <c r="D55" s="44"/>
      <c r="E55" s="45"/>
      <c r="F55" s="16">
        <v>30576.28</v>
      </c>
      <c r="G55" s="16">
        <v>100</v>
      </c>
      <c r="H55" s="16"/>
      <c r="I55" s="14"/>
      <c r="J55" s="14"/>
    </row>
    <row r="57" spans="2:10" x14ac:dyDescent="0.2">
      <c r="B57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workbookViewId="0">
      <selection activeCell="D76" sqref="D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28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226</v>
      </c>
      <c r="C5" s="18"/>
      <c r="D5" s="18"/>
      <c r="E5" s="19"/>
      <c r="F5" s="20"/>
      <c r="G5" s="20"/>
      <c r="H5" s="20"/>
    </row>
    <row r="6" spans="2:10" x14ac:dyDescent="0.2">
      <c r="B6" s="47" t="s">
        <v>31</v>
      </c>
      <c r="C6" s="23"/>
      <c r="D6" s="23"/>
      <c r="E6" s="24"/>
      <c r="F6" s="25"/>
      <c r="G6" s="25"/>
      <c r="H6" s="25"/>
    </row>
    <row r="7" spans="2:10" x14ac:dyDescent="0.2">
      <c r="B7" s="23" t="s">
        <v>738</v>
      </c>
      <c r="C7" s="23" t="s">
        <v>739</v>
      </c>
      <c r="D7" s="23" t="s">
        <v>415</v>
      </c>
      <c r="E7" s="28">
        <v>30</v>
      </c>
      <c r="F7" s="25">
        <v>387.97</v>
      </c>
      <c r="G7" s="25">
        <v>10.28</v>
      </c>
      <c r="H7" s="25">
        <v>4.1900000000000004</v>
      </c>
    </row>
    <row r="8" spans="2:10" x14ac:dyDescent="0.2">
      <c r="B8" s="23" t="s">
        <v>416</v>
      </c>
      <c r="C8" s="23" t="s">
        <v>417</v>
      </c>
      <c r="D8" s="23" t="s">
        <v>229</v>
      </c>
      <c r="E8" s="28">
        <v>31</v>
      </c>
      <c r="F8" s="25">
        <v>312.45</v>
      </c>
      <c r="G8" s="25">
        <v>8.2799999999999994</v>
      </c>
      <c r="H8" s="25">
        <v>3.53</v>
      </c>
    </row>
    <row r="9" spans="2:10" x14ac:dyDescent="0.2">
      <c r="B9" s="23" t="s">
        <v>639</v>
      </c>
      <c r="C9" s="23" t="s">
        <v>640</v>
      </c>
      <c r="D9" s="23" t="s">
        <v>415</v>
      </c>
      <c r="E9" s="28">
        <v>30</v>
      </c>
      <c r="F9" s="25">
        <v>304.81</v>
      </c>
      <c r="G9" s="25">
        <v>8.08</v>
      </c>
      <c r="H9" s="25">
        <v>2.93</v>
      </c>
    </row>
    <row r="10" spans="2:10" x14ac:dyDescent="0.2">
      <c r="B10" s="23" t="s">
        <v>688</v>
      </c>
      <c r="C10" s="23" t="s">
        <v>689</v>
      </c>
      <c r="D10" s="23" t="s">
        <v>229</v>
      </c>
      <c r="E10" s="28">
        <v>30</v>
      </c>
      <c r="F10" s="25">
        <v>302.93</v>
      </c>
      <c r="G10" s="25">
        <v>8.0299999999999994</v>
      </c>
      <c r="H10" s="25">
        <v>3.45</v>
      </c>
    </row>
    <row r="11" spans="2:10" x14ac:dyDescent="0.2">
      <c r="B11" s="23" t="s">
        <v>629</v>
      </c>
      <c r="C11" s="23" t="s">
        <v>630</v>
      </c>
      <c r="D11" s="23" t="s">
        <v>229</v>
      </c>
      <c r="E11" s="28">
        <v>30</v>
      </c>
      <c r="F11" s="25">
        <v>300.89999999999998</v>
      </c>
      <c r="G11" s="25">
        <v>7.97</v>
      </c>
      <c r="H11" s="25">
        <v>3.63</v>
      </c>
    </row>
    <row r="12" spans="2:10" x14ac:dyDescent="0.2">
      <c r="B12" s="23" t="s">
        <v>499</v>
      </c>
      <c r="C12" s="23" t="s">
        <v>500</v>
      </c>
      <c r="D12" s="23" t="s">
        <v>229</v>
      </c>
      <c r="E12" s="28">
        <v>30</v>
      </c>
      <c r="F12" s="25">
        <v>300.7</v>
      </c>
      <c r="G12" s="25">
        <v>7.97</v>
      </c>
      <c r="H12" s="25">
        <v>3.63</v>
      </c>
    </row>
    <row r="13" spans="2:10" x14ac:dyDescent="0.2">
      <c r="B13" s="23" t="s">
        <v>637</v>
      </c>
      <c r="C13" s="23" t="s">
        <v>638</v>
      </c>
      <c r="D13" s="23" t="s">
        <v>229</v>
      </c>
      <c r="E13" s="28">
        <v>23</v>
      </c>
      <c r="F13" s="25">
        <v>230.47</v>
      </c>
      <c r="G13" s="25">
        <v>6.11</v>
      </c>
      <c r="H13" s="25">
        <v>3.76</v>
      </c>
    </row>
    <row r="14" spans="2:10" x14ac:dyDescent="0.2">
      <c r="B14" s="23" t="s">
        <v>525</v>
      </c>
      <c r="C14" s="23" t="s">
        <v>526</v>
      </c>
      <c r="D14" s="23" t="s">
        <v>229</v>
      </c>
      <c r="E14" s="28">
        <v>7</v>
      </c>
      <c r="F14" s="25">
        <v>70.06</v>
      </c>
      <c r="G14" s="25">
        <v>1.86</v>
      </c>
      <c r="H14" s="25">
        <v>4.01</v>
      </c>
    </row>
    <row r="15" spans="2:10" x14ac:dyDescent="0.2">
      <c r="B15" s="30" t="s">
        <v>110</v>
      </c>
      <c r="C15" s="30"/>
      <c r="D15" s="30"/>
      <c r="E15" s="31"/>
      <c r="F15" s="32">
        <f>SUM(F6:F14)</f>
        <v>2210.29</v>
      </c>
      <c r="G15" s="32">
        <f>SUM(G6:G14)</f>
        <v>58.58</v>
      </c>
      <c r="H15" s="48"/>
      <c r="I15" s="14"/>
      <c r="J15" s="14"/>
    </row>
    <row r="16" spans="2:10" x14ac:dyDescent="0.2">
      <c r="B16" s="49" t="s">
        <v>111</v>
      </c>
      <c r="C16" s="49"/>
      <c r="D16" s="49"/>
      <c r="E16" s="50"/>
      <c r="F16" s="51">
        <f>F15</f>
        <v>2210.29</v>
      </c>
      <c r="G16" s="51">
        <f>G15</f>
        <v>58.58</v>
      </c>
      <c r="H16" s="51"/>
      <c r="I16" s="14"/>
      <c r="J16" s="14"/>
    </row>
    <row r="17" spans="2:10" x14ac:dyDescent="0.2">
      <c r="B17" s="47" t="s">
        <v>474</v>
      </c>
      <c r="C17" s="23"/>
      <c r="D17" s="23"/>
      <c r="E17" s="24"/>
      <c r="F17" s="25"/>
      <c r="G17" s="25"/>
      <c r="H17" s="25"/>
    </row>
    <row r="18" spans="2:10" x14ac:dyDescent="0.2">
      <c r="B18" s="47" t="s">
        <v>475</v>
      </c>
      <c r="C18" s="23"/>
      <c r="D18" s="23"/>
      <c r="E18" s="24"/>
      <c r="F18" s="25"/>
      <c r="G18" s="25"/>
      <c r="H18" s="25"/>
    </row>
    <row r="19" spans="2:10" x14ac:dyDescent="0.2">
      <c r="B19" s="23" t="s">
        <v>587</v>
      </c>
      <c r="C19" s="23" t="s">
        <v>588</v>
      </c>
      <c r="D19" s="23" t="s">
        <v>478</v>
      </c>
      <c r="E19" s="28">
        <v>250000</v>
      </c>
      <c r="F19" s="25">
        <v>248.07</v>
      </c>
      <c r="G19" s="25">
        <v>6.57</v>
      </c>
      <c r="H19" s="25">
        <v>3.38</v>
      </c>
    </row>
    <row r="20" spans="2:10" x14ac:dyDescent="0.2">
      <c r="B20" s="30" t="s">
        <v>110</v>
      </c>
      <c r="C20" s="30"/>
      <c r="D20" s="30"/>
      <c r="E20" s="31"/>
      <c r="F20" s="32">
        <f>SUM(F18:F19)</f>
        <v>248.07</v>
      </c>
      <c r="G20" s="32">
        <f>SUM(G18:G19)</f>
        <v>6.57</v>
      </c>
      <c r="H20" s="48"/>
      <c r="I20" s="14"/>
      <c r="J20" s="14"/>
    </row>
    <row r="21" spans="2:10" x14ac:dyDescent="0.2">
      <c r="B21" s="49" t="s">
        <v>111</v>
      </c>
      <c r="C21" s="49"/>
      <c r="D21" s="49"/>
      <c r="E21" s="50"/>
      <c r="F21" s="51">
        <f>+F20</f>
        <v>248.07</v>
      </c>
      <c r="G21" s="51">
        <f>+G20</f>
        <v>6.57</v>
      </c>
      <c r="H21" s="51"/>
      <c r="I21" s="14"/>
      <c r="J21" s="14"/>
    </row>
    <row r="22" spans="2:10" x14ac:dyDescent="0.2">
      <c r="B22" s="47" t="s">
        <v>426</v>
      </c>
      <c r="C22" s="23"/>
      <c r="D22" s="23"/>
      <c r="E22" s="24"/>
      <c r="F22" s="25"/>
      <c r="G22" s="25"/>
      <c r="H22" s="25"/>
    </row>
    <row r="23" spans="2:10" x14ac:dyDescent="0.2">
      <c r="B23" s="23" t="s">
        <v>485</v>
      </c>
      <c r="C23" s="23" t="s">
        <v>486</v>
      </c>
      <c r="D23" s="23" t="s">
        <v>429</v>
      </c>
      <c r="E23" s="28">
        <v>500000</v>
      </c>
      <c r="F23" s="25">
        <v>500.53</v>
      </c>
      <c r="G23" s="25">
        <v>13.26</v>
      </c>
      <c r="H23" s="25">
        <v>3.51</v>
      </c>
    </row>
    <row r="24" spans="2:10" x14ac:dyDescent="0.2">
      <c r="B24" s="23" t="s">
        <v>746</v>
      </c>
      <c r="C24" s="23" t="s">
        <v>747</v>
      </c>
      <c r="D24" s="23" t="s">
        <v>429</v>
      </c>
      <c r="E24" s="28">
        <v>300000</v>
      </c>
      <c r="F24" s="25">
        <v>303.32</v>
      </c>
      <c r="G24" s="25">
        <v>8.0399999999999991</v>
      </c>
      <c r="H24" s="25">
        <v>3.61</v>
      </c>
    </row>
    <row r="25" spans="2:10" x14ac:dyDescent="0.2">
      <c r="B25" s="52" t="s">
        <v>748</v>
      </c>
      <c r="C25" s="52" t="s">
        <v>749</v>
      </c>
      <c r="D25" s="52" t="s">
        <v>429</v>
      </c>
      <c r="E25" s="53">
        <v>33300</v>
      </c>
      <c r="F25" s="54">
        <v>33.6</v>
      </c>
      <c r="G25" s="54">
        <v>0.89</v>
      </c>
      <c r="H25" s="54">
        <v>3.66</v>
      </c>
    </row>
    <row r="26" spans="2:10" x14ac:dyDescent="0.2">
      <c r="B26" s="55" t="s">
        <v>111</v>
      </c>
      <c r="C26" s="55"/>
      <c r="D26" s="55"/>
      <c r="E26" s="56"/>
      <c r="F26" s="57">
        <f>SUM(F23:F25)</f>
        <v>837.44999999999993</v>
      </c>
      <c r="G26" s="57">
        <f>SUM(G23:G25)</f>
        <v>22.189999999999998</v>
      </c>
      <c r="H26" s="57"/>
      <c r="I26" s="14"/>
      <c r="J26" s="14"/>
    </row>
    <row r="27" spans="2:10" x14ac:dyDescent="0.2">
      <c r="B27" s="47" t="s">
        <v>112</v>
      </c>
      <c r="C27" s="23"/>
      <c r="D27" s="23"/>
      <c r="E27" s="24"/>
      <c r="F27" s="25"/>
      <c r="G27" s="25"/>
      <c r="H27" s="25"/>
    </row>
    <row r="28" spans="2:10" x14ac:dyDescent="0.2">
      <c r="B28" s="23" t="s">
        <v>112</v>
      </c>
      <c r="C28" s="23"/>
      <c r="D28" s="23"/>
      <c r="E28" s="24"/>
      <c r="F28" s="25">
        <v>260.29000000000002</v>
      </c>
      <c r="G28" s="25">
        <v>6.9</v>
      </c>
      <c r="H28" s="25"/>
    </row>
    <row r="29" spans="2:10" x14ac:dyDescent="0.2">
      <c r="B29" s="30" t="s">
        <v>110</v>
      </c>
      <c r="C29" s="30"/>
      <c r="D29" s="30"/>
      <c r="E29" s="31"/>
      <c r="F29" s="32">
        <f>SUM(F27:F28)</f>
        <v>260.29000000000002</v>
      </c>
      <c r="G29" s="32">
        <f>SUM(G27:G28)</f>
        <v>6.9</v>
      </c>
      <c r="H29" s="48"/>
      <c r="I29" s="14"/>
      <c r="J29" s="14"/>
    </row>
    <row r="30" spans="2:10" x14ac:dyDescent="0.2">
      <c r="B30" s="34" t="s">
        <v>111</v>
      </c>
      <c r="C30" s="34"/>
      <c r="D30" s="34"/>
      <c r="E30" s="35"/>
      <c r="F30" s="36">
        <f>F29</f>
        <v>260.29000000000002</v>
      </c>
      <c r="G30" s="36">
        <f>G29</f>
        <v>6.9</v>
      </c>
      <c r="H30" s="36"/>
      <c r="I30" s="14"/>
      <c r="J30" s="14"/>
    </row>
    <row r="31" spans="2:10" x14ac:dyDescent="0.2">
      <c r="B31" s="44" t="s">
        <v>114</v>
      </c>
      <c r="C31" s="44"/>
      <c r="D31" s="44"/>
      <c r="E31" s="45"/>
      <c r="F31" s="16">
        <f>F32-(+F16+F21+F26+F30)</f>
        <v>217.90000000000009</v>
      </c>
      <c r="G31" s="16">
        <f>G32-(+G16+G21+G26+G30)</f>
        <v>5.7599999999999909</v>
      </c>
      <c r="H31" s="16"/>
      <c r="I31" s="14"/>
      <c r="J31" s="14"/>
    </row>
    <row r="32" spans="2:10" x14ac:dyDescent="0.2">
      <c r="B32" s="44" t="s">
        <v>113</v>
      </c>
      <c r="C32" s="44"/>
      <c r="D32" s="44"/>
      <c r="E32" s="45"/>
      <c r="F32" s="16">
        <v>3774</v>
      </c>
      <c r="G32" s="16">
        <v>100</v>
      </c>
      <c r="H32" s="16"/>
      <c r="I32" s="14"/>
      <c r="J32" s="14"/>
    </row>
    <row r="34" spans="2:2" x14ac:dyDescent="0.2">
      <c r="B34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5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3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30</v>
      </c>
      <c r="C5" s="18"/>
      <c r="D5" s="18"/>
      <c r="E5" s="19"/>
      <c r="F5" s="20"/>
      <c r="G5" s="20"/>
      <c r="H5" s="21"/>
    </row>
    <row r="6" spans="2:8" x14ac:dyDescent="0.2">
      <c r="B6" s="22" t="s">
        <v>31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117</v>
      </c>
      <c r="E7" s="28">
        <v>23000</v>
      </c>
      <c r="F7" s="25">
        <v>363.58</v>
      </c>
      <c r="G7" s="25">
        <v>1.71</v>
      </c>
      <c r="H7" s="26"/>
    </row>
    <row r="8" spans="2:8" x14ac:dyDescent="0.2">
      <c r="B8" s="27" t="s">
        <v>35</v>
      </c>
      <c r="C8" s="23" t="s">
        <v>36</v>
      </c>
      <c r="D8" s="23" t="s">
        <v>37</v>
      </c>
      <c r="E8" s="28">
        <v>53500</v>
      </c>
      <c r="F8" s="25">
        <v>337.53</v>
      </c>
      <c r="G8" s="25">
        <v>1.59</v>
      </c>
      <c r="H8" s="26"/>
    </row>
    <row r="9" spans="2:8" x14ac:dyDescent="0.2">
      <c r="B9" s="27" t="s">
        <v>118</v>
      </c>
      <c r="C9" s="23" t="s">
        <v>119</v>
      </c>
      <c r="D9" s="23" t="s">
        <v>37</v>
      </c>
      <c r="E9" s="28">
        <v>21240</v>
      </c>
      <c r="F9" s="25">
        <v>318.14999999999998</v>
      </c>
      <c r="G9" s="25">
        <v>1.5</v>
      </c>
      <c r="H9" s="26"/>
    </row>
    <row r="10" spans="2:8" x14ac:dyDescent="0.2">
      <c r="B10" s="27" t="s">
        <v>122</v>
      </c>
      <c r="C10" s="23" t="s">
        <v>123</v>
      </c>
      <c r="D10" s="23" t="s">
        <v>81</v>
      </c>
      <c r="E10" s="28">
        <v>13500</v>
      </c>
      <c r="F10" s="25">
        <v>284.94</v>
      </c>
      <c r="G10" s="25">
        <v>1.34</v>
      </c>
      <c r="H10" s="26"/>
    </row>
    <row r="11" spans="2:8" x14ac:dyDescent="0.2">
      <c r="B11" s="27" t="s">
        <v>124</v>
      </c>
      <c r="C11" s="23" t="s">
        <v>125</v>
      </c>
      <c r="D11" s="23" t="s">
        <v>37</v>
      </c>
      <c r="E11" s="28">
        <v>22330</v>
      </c>
      <c r="F11" s="25">
        <v>167.1</v>
      </c>
      <c r="G11" s="25">
        <v>0.79</v>
      </c>
      <c r="H11" s="26"/>
    </row>
    <row r="12" spans="2:8" x14ac:dyDescent="0.2">
      <c r="B12" s="27" t="s">
        <v>120</v>
      </c>
      <c r="C12" s="23" t="s">
        <v>121</v>
      </c>
      <c r="D12" s="23" t="s">
        <v>117</v>
      </c>
      <c r="E12" s="28">
        <v>4928</v>
      </c>
      <c r="F12" s="25">
        <v>164.88</v>
      </c>
      <c r="G12" s="25">
        <v>0.78</v>
      </c>
      <c r="H12" s="26"/>
    </row>
    <row r="13" spans="2:8" x14ac:dyDescent="0.2">
      <c r="B13" s="27" t="s">
        <v>131</v>
      </c>
      <c r="C13" s="23" t="s">
        <v>132</v>
      </c>
      <c r="D13" s="23" t="s">
        <v>133</v>
      </c>
      <c r="E13" s="28">
        <v>5730</v>
      </c>
      <c r="F13" s="25">
        <v>141.61000000000001</v>
      </c>
      <c r="G13" s="25">
        <v>0.67</v>
      </c>
      <c r="H13" s="26"/>
    </row>
    <row r="14" spans="2:8" x14ac:dyDescent="0.2">
      <c r="B14" s="27" t="s">
        <v>164</v>
      </c>
      <c r="C14" s="23" t="s">
        <v>165</v>
      </c>
      <c r="D14" s="23" t="s">
        <v>133</v>
      </c>
      <c r="E14" s="28">
        <v>15000</v>
      </c>
      <c r="F14" s="25">
        <v>113.16</v>
      </c>
      <c r="G14" s="25">
        <v>0.53</v>
      </c>
      <c r="H14" s="26"/>
    </row>
    <row r="15" spans="2:8" x14ac:dyDescent="0.2">
      <c r="B15" s="27" t="s">
        <v>129</v>
      </c>
      <c r="C15" s="23" t="s">
        <v>130</v>
      </c>
      <c r="D15" s="23" t="s">
        <v>128</v>
      </c>
      <c r="E15" s="28">
        <v>4400</v>
      </c>
      <c r="F15" s="25">
        <v>108.91</v>
      </c>
      <c r="G15" s="25">
        <v>0.51</v>
      </c>
      <c r="H15" s="26"/>
    </row>
    <row r="16" spans="2:8" x14ac:dyDescent="0.2">
      <c r="B16" s="27" t="s">
        <v>253</v>
      </c>
      <c r="C16" s="23" t="s">
        <v>254</v>
      </c>
      <c r="D16" s="23" t="s">
        <v>176</v>
      </c>
      <c r="E16" s="28">
        <v>14000</v>
      </c>
      <c r="F16" s="25">
        <v>108.88</v>
      </c>
      <c r="G16" s="25">
        <v>0.51</v>
      </c>
      <c r="H16" s="26"/>
    </row>
    <row r="17" spans="2:8" x14ac:dyDescent="0.2">
      <c r="B17" s="27" t="s">
        <v>68</v>
      </c>
      <c r="C17" s="23" t="s">
        <v>69</v>
      </c>
      <c r="D17" s="23" t="s">
        <v>70</v>
      </c>
      <c r="E17" s="28">
        <v>15000</v>
      </c>
      <c r="F17" s="25">
        <v>99.11</v>
      </c>
      <c r="G17" s="25">
        <v>0.47</v>
      </c>
      <c r="H17" s="26"/>
    </row>
    <row r="18" spans="2:8" x14ac:dyDescent="0.2">
      <c r="B18" s="27" t="s">
        <v>38</v>
      </c>
      <c r="C18" s="23" t="s">
        <v>39</v>
      </c>
      <c r="D18" s="23" t="s">
        <v>40</v>
      </c>
      <c r="E18" s="28">
        <v>40660</v>
      </c>
      <c r="F18" s="25">
        <v>96.99</v>
      </c>
      <c r="G18" s="25">
        <v>0.46</v>
      </c>
      <c r="H18" s="26"/>
    </row>
    <row r="19" spans="2:8" x14ac:dyDescent="0.2">
      <c r="B19" s="27" t="s">
        <v>159</v>
      </c>
      <c r="C19" s="23" t="s">
        <v>160</v>
      </c>
      <c r="D19" s="23" t="s">
        <v>100</v>
      </c>
      <c r="E19" s="28">
        <v>9400</v>
      </c>
      <c r="F19" s="25">
        <v>96.11</v>
      </c>
      <c r="G19" s="25">
        <v>0.45</v>
      </c>
      <c r="H19" s="26"/>
    </row>
    <row r="20" spans="2:8" x14ac:dyDescent="0.2">
      <c r="B20" s="27" t="s">
        <v>750</v>
      </c>
      <c r="C20" s="23" t="s">
        <v>751</v>
      </c>
      <c r="D20" s="23" t="s">
        <v>146</v>
      </c>
      <c r="E20" s="28">
        <v>3000</v>
      </c>
      <c r="F20" s="25">
        <v>95.98</v>
      </c>
      <c r="G20" s="25">
        <v>0.45</v>
      </c>
      <c r="H20" s="26"/>
    </row>
    <row r="21" spans="2:8" x14ac:dyDescent="0.2">
      <c r="B21" s="27" t="s">
        <v>32</v>
      </c>
      <c r="C21" s="23" t="s">
        <v>33</v>
      </c>
      <c r="D21" s="23" t="s">
        <v>34</v>
      </c>
      <c r="E21" s="28">
        <v>6370</v>
      </c>
      <c r="F21" s="25">
        <v>95.59</v>
      </c>
      <c r="G21" s="25">
        <v>0.45</v>
      </c>
      <c r="H21" s="26"/>
    </row>
    <row r="22" spans="2:8" x14ac:dyDescent="0.2">
      <c r="B22" s="27" t="s">
        <v>224</v>
      </c>
      <c r="C22" s="23" t="s">
        <v>225</v>
      </c>
      <c r="D22" s="23" t="s">
        <v>62</v>
      </c>
      <c r="E22" s="28">
        <v>300</v>
      </c>
      <c r="F22" s="25">
        <v>82.51</v>
      </c>
      <c r="G22" s="25">
        <v>0.39</v>
      </c>
      <c r="H22" s="26"/>
    </row>
    <row r="23" spans="2:8" x14ac:dyDescent="0.2">
      <c r="B23" s="27" t="s">
        <v>126</v>
      </c>
      <c r="C23" s="23" t="s">
        <v>127</v>
      </c>
      <c r="D23" s="23" t="s">
        <v>128</v>
      </c>
      <c r="E23" s="28">
        <v>1250</v>
      </c>
      <c r="F23" s="25">
        <v>75.2</v>
      </c>
      <c r="G23" s="25">
        <v>0.35</v>
      </c>
      <c r="H23" s="26"/>
    </row>
    <row r="24" spans="2:8" x14ac:dyDescent="0.2">
      <c r="B24" s="27" t="s">
        <v>263</v>
      </c>
      <c r="C24" s="23" t="s">
        <v>264</v>
      </c>
      <c r="D24" s="23" t="s">
        <v>133</v>
      </c>
      <c r="E24" s="28">
        <v>12500</v>
      </c>
      <c r="F24" s="25">
        <v>71.900000000000006</v>
      </c>
      <c r="G24" s="25">
        <v>0.34</v>
      </c>
      <c r="H24" s="26"/>
    </row>
    <row r="25" spans="2:8" x14ac:dyDescent="0.2">
      <c r="B25" s="27" t="s">
        <v>232</v>
      </c>
      <c r="C25" s="23" t="s">
        <v>233</v>
      </c>
      <c r="D25" s="23" t="s">
        <v>117</v>
      </c>
      <c r="E25" s="28">
        <v>2400</v>
      </c>
      <c r="F25" s="25">
        <v>70.53</v>
      </c>
      <c r="G25" s="25">
        <v>0.33</v>
      </c>
      <c r="H25" s="26"/>
    </row>
    <row r="26" spans="2:8" x14ac:dyDescent="0.2">
      <c r="B26" s="27" t="s">
        <v>52</v>
      </c>
      <c r="C26" s="23" t="s">
        <v>53</v>
      </c>
      <c r="D26" s="23" t="s">
        <v>46</v>
      </c>
      <c r="E26" s="28">
        <v>165</v>
      </c>
      <c r="F26" s="25">
        <v>69.02</v>
      </c>
      <c r="G26" s="25">
        <v>0.33</v>
      </c>
      <c r="H26" s="26"/>
    </row>
    <row r="27" spans="2:8" x14ac:dyDescent="0.2">
      <c r="B27" s="27" t="s">
        <v>142</v>
      </c>
      <c r="C27" s="23" t="s">
        <v>143</v>
      </c>
      <c r="D27" s="23" t="s">
        <v>37</v>
      </c>
      <c r="E27" s="28">
        <v>4000</v>
      </c>
      <c r="F27" s="25">
        <v>68.23</v>
      </c>
      <c r="G27" s="25">
        <v>0.32</v>
      </c>
      <c r="H27" s="26"/>
    </row>
    <row r="28" spans="2:8" x14ac:dyDescent="0.2">
      <c r="B28" s="27" t="s">
        <v>60</v>
      </c>
      <c r="C28" s="23" t="s">
        <v>61</v>
      </c>
      <c r="D28" s="23" t="s">
        <v>62</v>
      </c>
      <c r="E28" s="28">
        <v>900</v>
      </c>
      <c r="F28" s="25">
        <v>60.98</v>
      </c>
      <c r="G28" s="25">
        <v>0.28999999999999998</v>
      </c>
      <c r="H28" s="26"/>
    </row>
    <row r="29" spans="2:8" x14ac:dyDescent="0.2">
      <c r="B29" s="27" t="s">
        <v>198</v>
      </c>
      <c r="C29" s="23" t="s">
        <v>199</v>
      </c>
      <c r="D29" s="23" t="s">
        <v>65</v>
      </c>
      <c r="E29" s="28">
        <v>8000</v>
      </c>
      <c r="F29" s="25">
        <v>60.95</v>
      </c>
      <c r="G29" s="25">
        <v>0.28999999999999998</v>
      </c>
      <c r="H29" s="26"/>
    </row>
    <row r="30" spans="2:8" x14ac:dyDescent="0.2">
      <c r="B30" s="27" t="s">
        <v>168</v>
      </c>
      <c r="C30" s="23" t="s">
        <v>169</v>
      </c>
      <c r="D30" s="23" t="s">
        <v>170</v>
      </c>
      <c r="E30" s="28">
        <v>10700</v>
      </c>
      <c r="F30" s="25">
        <v>56.24</v>
      </c>
      <c r="G30" s="25">
        <v>0.27</v>
      </c>
      <c r="H30" s="26"/>
    </row>
    <row r="31" spans="2:8" x14ac:dyDescent="0.2">
      <c r="B31" s="27" t="s">
        <v>149</v>
      </c>
      <c r="C31" s="23" t="s">
        <v>150</v>
      </c>
      <c r="D31" s="23" t="s">
        <v>133</v>
      </c>
      <c r="E31" s="28">
        <v>1870</v>
      </c>
      <c r="F31" s="25">
        <v>55.96</v>
      </c>
      <c r="G31" s="25">
        <v>0.26</v>
      </c>
      <c r="H31" s="26"/>
    </row>
    <row r="32" spans="2:8" x14ac:dyDescent="0.2">
      <c r="B32" s="27" t="s">
        <v>147</v>
      </c>
      <c r="C32" s="23" t="s">
        <v>148</v>
      </c>
      <c r="D32" s="23" t="s">
        <v>70</v>
      </c>
      <c r="E32" s="28">
        <v>10000</v>
      </c>
      <c r="F32" s="25">
        <v>55.78</v>
      </c>
      <c r="G32" s="25">
        <v>0.26</v>
      </c>
      <c r="H32" s="26"/>
    </row>
    <row r="33" spans="2:10" x14ac:dyDescent="0.2">
      <c r="B33" s="27" t="s">
        <v>63</v>
      </c>
      <c r="C33" s="23" t="s">
        <v>64</v>
      </c>
      <c r="D33" s="23" t="s">
        <v>65</v>
      </c>
      <c r="E33" s="28">
        <v>800</v>
      </c>
      <c r="F33" s="25">
        <v>45.08</v>
      </c>
      <c r="G33" s="25">
        <v>0.21</v>
      </c>
      <c r="H33" s="26"/>
    </row>
    <row r="34" spans="2:10" x14ac:dyDescent="0.2">
      <c r="B34" s="27" t="s">
        <v>242</v>
      </c>
      <c r="C34" s="23" t="s">
        <v>243</v>
      </c>
      <c r="D34" s="23" t="s">
        <v>146</v>
      </c>
      <c r="E34" s="28">
        <v>800</v>
      </c>
      <c r="F34" s="25">
        <v>43.38</v>
      </c>
      <c r="G34" s="25">
        <v>0.2</v>
      </c>
      <c r="H34" s="26"/>
    </row>
    <row r="35" spans="2:10" x14ac:dyDescent="0.2">
      <c r="B35" s="27" t="s">
        <v>337</v>
      </c>
      <c r="C35" s="23" t="s">
        <v>338</v>
      </c>
      <c r="D35" s="23" t="s">
        <v>139</v>
      </c>
      <c r="E35" s="28">
        <v>1500</v>
      </c>
      <c r="F35" s="25">
        <v>42.01</v>
      </c>
      <c r="G35" s="25">
        <v>0.2</v>
      </c>
      <c r="H35" s="26"/>
    </row>
    <row r="36" spans="2:10" x14ac:dyDescent="0.2">
      <c r="B36" s="27" t="s">
        <v>174</v>
      </c>
      <c r="C36" s="23" t="s">
        <v>175</v>
      </c>
      <c r="D36" s="23" t="s">
        <v>176</v>
      </c>
      <c r="E36" s="28">
        <v>500</v>
      </c>
      <c r="F36" s="25">
        <v>37.58</v>
      </c>
      <c r="G36" s="25">
        <v>0.18</v>
      </c>
      <c r="H36" s="26"/>
    </row>
    <row r="37" spans="2:10" x14ac:dyDescent="0.2">
      <c r="B37" s="27" t="s">
        <v>752</v>
      </c>
      <c r="C37" s="23" t="s">
        <v>753</v>
      </c>
      <c r="D37" s="23" t="s">
        <v>133</v>
      </c>
      <c r="E37" s="28">
        <v>18000</v>
      </c>
      <c r="F37" s="25">
        <v>36.49</v>
      </c>
      <c r="G37" s="25">
        <v>0.17</v>
      </c>
      <c r="H37" s="26"/>
    </row>
    <row r="38" spans="2:10" x14ac:dyDescent="0.2">
      <c r="B38" s="27" t="s">
        <v>185</v>
      </c>
      <c r="C38" s="23" t="s">
        <v>186</v>
      </c>
      <c r="D38" s="23" t="s">
        <v>100</v>
      </c>
      <c r="E38" s="28">
        <v>1800</v>
      </c>
      <c r="F38" s="25">
        <v>31.19</v>
      </c>
      <c r="G38" s="25">
        <v>0.15</v>
      </c>
      <c r="H38" s="26"/>
    </row>
    <row r="39" spans="2:10" x14ac:dyDescent="0.2">
      <c r="B39" s="27" t="s">
        <v>137</v>
      </c>
      <c r="C39" s="23" t="s">
        <v>138</v>
      </c>
      <c r="D39" s="23" t="s">
        <v>139</v>
      </c>
      <c r="E39" s="28">
        <v>700</v>
      </c>
      <c r="F39" s="25">
        <v>23.41</v>
      </c>
      <c r="G39" s="25">
        <v>0.11</v>
      </c>
      <c r="H39" s="26"/>
    </row>
    <row r="40" spans="2:10" x14ac:dyDescent="0.2">
      <c r="B40" s="27" t="s">
        <v>206</v>
      </c>
      <c r="C40" s="23" t="s">
        <v>207</v>
      </c>
      <c r="D40" s="23" t="s">
        <v>128</v>
      </c>
      <c r="E40" s="28">
        <v>1121</v>
      </c>
      <c r="F40" s="25">
        <v>10.88</v>
      </c>
      <c r="G40" s="25">
        <v>0.05</v>
      </c>
      <c r="H40" s="26"/>
    </row>
    <row r="41" spans="2:10" x14ac:dyDescent="0.2">
      <c r="B41" s="29" t="s">
        <v>110</v>
      </c>
      <c r="C41" s="30"/>
      <c r="D41" s="30"/>
      <c r="E41" s="31"/>
      <c r="F41" s="32">
        <f>SUM(F7:F40)</f>
        <v>3589.8400000000006</v>
      </c>
      <c r="G41" s="32">
        <f>SUM(G7:G40)</f>
        <v>16.909999999999997</v>
      </c>
      <c r="H41" s="33"/>
      <c r="I41" s="14"/>
      <c r="J41" s="14"/>
    </row>
    <row r="42" spans="2:10" x14ac:dyDescent="0.2">
      <c r="B42" s="37" t="s">
        <v>111</v>
      </c>
      <c r="C42" s="37"/>
      <c r="D42" s="37"/>
      <c r="E42" s="38"/>
      <c r="F42" s="39">
        <f>F41</f>
        <v>3589.8400000000006</v>
      </c>
      <c r="G42" s="39">
        <f>G41</f>
        <v>16.909999999999997</v>
      </c>
      <c r="H42" s="15"/>
      <c r="I42" s="14"/>
      <c r="J42" s="14"/>
    </row>
    <row r="43" spans="2:10" x14ac:dyDescent="0.2">
      <c r="B43" s="46" t="s">
        <v>226</v>
      </c>
      <c r="C43" s="41"/>
      <c r="D43" s="41"/>
      <c r="E43" s="42"/>
      <c r="F43" s="43"/>
      <c r="G43" s="43"/>
      <c r="H43" s="43"/>
    </row>
    <row r="44" spans="2:10" x14ac:dyDescent="0.2">
      <c r="B44" s="47" t="s">
        <v>31</v>
      </c>
      <c r="C44" s="23"/>
      <c r="D44" s="23"/>
      <c r="E44" s="24"/>
      <c r="F44" s="25"/>
      <c r="G44" s="25"/>
      <c r="H44" s="25"/>
    </row>
    <row r="45" spans="2:10" x14ac:dyDescent="0.2">
      <c r="B45" s="23" t="s">
        <v>399</v>
      </c>
      <c r="C45" s="23" t="s">
        <v>400</v>
      </c>
      <c r="D45" s="23" t="s">
        <v>229</v>
      </c>
      <c r="E45" s="28">
        <v>150</v>
      </c>
      <c r="F45" s="25">
        <v>1541.85</v>
      </c>
      <c r="G45" s="25">
        <v>7.27</v>
      </c>
      <c r="H45" s="25">
        <v>4.09</v>
      </c>
    </row>
    <row r="46" spans="2:10" x14ac:dyDescent="0.2">
      <c r="B46" s="23" t="s">
        <v>373</v>
      </c>
      <c r="C46" s="23" t="s">
        <v>374</v>
      </c>
      <c r="D46" s="23" t="s">
        <v>229</v>
      </c>
      <c r="E46" s="28">
        <v>150</v>
      </c>
      <c r="F46" s="25">
        <v>1541.59</v>
      </c>
      <c r="G46" s="25">
        <v>7.26</v>
      </c>
      <c r="H46" s="25">
        <v>4.05</v>
      </c>
    </row>
    <row r="47" spans="2:10" x14ac:dyDescent="0.2">
      <c r="B47" s="23" t="s">
        <v>754</v>
      </c>
      <c r="C47" s="23" t="s">
        <v>755</v>
      </c>
      <c r="D47" s="23" t="s">
        <v>229</v>
      </c>
      <c r="E47" s="28">
        <v>150</v>
      </c>
      <c r="F47" s="25">
        <v>1539.08</v>
      </c>
      <c r="G47" s="25">
        <v>7.25</v>
      </c>
      <c r="H47" s="25">
        <v>4.1900000000000004</v>
      </c>
    </row>
    <row r="48" spans="2:10" x14ac:dyDescent="0.2">
      <c r="B48" s="23" t="s">
        <v>424</v>
      </c>
      <c r="C48" s="23" t="s">
        <v>425</v>
      </c>
      <c r="D48" s="23" t="s">
        <v>229</v>
      </c>
      <c r="E48" s="28">
        <v>140</v>
      </c>
      <c r="F48" s="25">
        <v>1436.09</v>
      </c>
      <c r="G48" s="25">
        <v>6.77</v>
      </c>
      <c r="H48" s="25">
        <v>3.98</v>
      </c>
    </row>
    <row r="49" spans="2:10" x14ac:dyDescent="0.2">
      <c r="B49" s="23" t="s">
        <v>700</v>
      </c>
      <c r="C49" s="23" t="s">
        <v>701</v>
      </c>
      <c r="D49" s="23" t="s">
        <v>229</v>
      </c>
      <c r="E49" s="28">
        <v>100</v>
      </c>
      <c r="F49" s="25">
        <v>1030.04</v>
      </c>
      <c r="G49" s="25">
        <v>4.8499999999999996</v>
      </c>
      <c r="H49" s="25">
        <v>4.1500000000000004</v>
      </c>
    </row>
    <row r="50" spans="2:10" x14ac:dyDescent="0.2">
      <c r="B50" s="23" t="s">
        <v>513</v>
      </c>
      <c r="C50" s="23" t="s">
        <v>514</v>
      </c>
      <c r="D50" s="23" t="s">
        <v>229</v>
      </c>
      <c r="E50" s="28">
        <v>100</v>
      </c>
      <c r="F50" s="25">
        <v>1017.19</v>
      </c>
      <c r="G50" s="25">
        <v>4.79</v>
      </c>
      <c r="H50" s="25">
        <v>4.08</v>
      </c>
    </row>
    <row r="51" spans="2:10" x14ac:dyDescent="0.2">
      <c r="B51" s="30" t="s">
        <v>110</v>
      </c>
      <c r="C51" s="30"/>
      <c r="D51" s="30"/>
      <c r="E51" s="31"/>
      <c r="F51" s="32">
        <f>SUM(F44:F50)</f>
        <v>8105.84</v>
      </c>
      <c r="G51" s="32">
        <f>SUM(G44:G50)</f>
        <v>38.19</v>
      </c>
      <c r="H51" s="48"/>
      <c r="I51" s="14"/>
      <c r="J51" s="14"/>
    </row>
    <row r="52" spans="2:10" x14ac:dyDescent="0.2">
      <c r="B52" s="49" t="s">
        <v>111</v>
      </c>
      <c r="C52" s="49"/>
      <c r="D52" s="49"/>
      <c r="E52" s="50"/>
      <c r="F52" s="51">
        <f>F51</f>
        <v>8105.84</v>
      </c>
      <c r="G52" s="51">
        <f>G51</f>
        <v>38.19</v>
      </c>
      <c r="H52" s="51"/>
      <c r="I52" s="14"/>
      <c r="J52" s="14"/>
    </row>
    <row r="53" spans="2:10" x14ac:dyDescent="0.2">
      <c r="B53" s="47" t="s">
        <v>426</v>
      </c>
      <c r="C53" s="23"/>
      <c r="D53" s="23"/>
      <c r="E53" s="24"/>
      <c r="F53" s="25"/>
      <c r="G53" s="25"/>
      <c r="H53" s="25"/>
    </row>
    <row r="54" spans="2:10" x14ac:dyDescent="0.2">
      <c r="B54" s="23" t="s">
        <v>716</v>
      </c>
      <c r="C54" s="23" t="s">
        <v>717</v>
      </c>
      <c r="D54" s="23" t="s">
        <v>429</v>
      </c>
      <c r="E54" s="28">
        <v>4200000</v>
      </c>
      <c r="F54" s="25">
        <v>4323.37</v>
      </c>
      <c r="G54" s="25">
        <v>20.37</v>
      </c>
      <c r="H54" s="25">
        <v>4.18</v>
      </c>
    </row>
    <row r="55" spans="2:10" x14ac:dyDescent="0.2">
      <c r="B55" s="23" t="s">
        <v>589</v>
      </c>
      <c r="C55" s="23" t="s">
        <v>590</v>
      </c>
      <c r="D55" s="23" t="s">
        <v>429</v>
      </c>
      <c r="E55" s="28">
        <v>2200000</v>
      </c>
      <c r="F55" s="25">
        <v>2269.0100000000002</v>
      </c>
      <c r="G55" s="25">
        <v>10.69</v>
      </c>
      <c r="H55" s="25">
        <v>4.1900000000000004</v>
      </c>
    </row>
    <row r="56" spans="2:10" x14ac:dyDescent="0.2">
      <c r="B56" s="52" t="s">
        <v>756</v>
      </c>
      <c r="C56" s="52" t="s">
        <v>757</v>
      </c>
      <c r="D56" s="52" t="s">
        <v>429</v>
      </c>
      <c r="E56" s="53">
        <v>220000</v>
      </c>
      <c r="F56" s="54">
        <v>227.52</v>
      </c>
      <c r="G56" s="54">
        <v>1.07</v>
      </c>
      <c r="H56" s="54">
        <v>4.0199999999999996</v>
      </c>
    </row>
    <row r="57" spans="2:10" x14ac:dyDescent="0.2">
      <c r="B57" s="55" t="s">
        <v>111</v>
      </c>
      <c r="C57" s="55"/>
      <c r="D57" s="55"/>
      <c r="E57" s="56"/>
      <c r="F57" s="57">
        <f>SUM(F54:F56)</f>
        <v>6819.9000000000005</v>
      </c>
      <c r="G57" s="57">
        <f>SUM(G54:G56)</f>
        <v>32.130000000000003</v>
      </c>
      <c r="H57" s="57"/>
      <c r="I57" s="14"/>
      <c r="J57" s="14"/>
    </row>
    <row r="58" spans="2:10" x14ac:dyDescent="0.2">
      <c r="B58" s="47" t="s">
        <v>112</v>
      </c>
      <c r="C58" s="23"/>
      <c r="D58" s="23"/>
      <c r="E58" s="24"/>
      <c r="F58" s="25"/>
      <c r="G58" s="25"/>
      <c r="H58" s="25"/>
    </row>
    <row r="59" spans="2:10" x14ac:dyDescent="0.2">
      <c r="B59" s="23" t="s">
        <v>112</v>
      </c>
      <c r="C59" s="23"/>
      <c r="D59" s="23"/>
      <c r="E59" s="24"/>
      <c r="F59" s="25">
        <v>2350.13</v>
      </c>
      <c r="G59" s="25">
        <v>11.07</v>
      </c>
      <c r="H59" s="25"/>
    </row>
    <row r="60" spans="2:10" x14ac:dyDescent="0.2">
      <c r="B60" s="30" t="s">
        <v>110</v>
      </c>
      <c r="C60" s="30"/>
      <c r="D60" s="30"/>
      <c r="E60" s="31"/>
      <c r="F60" s="32">
        <f>SUM(F58:F59)</f>
        <v>2350.13</v>
      </c>
      <c r="G60" s="32">
        <f>SUM(G58:G59)</f>
        <v>11.07</v>
      </c>
      <c r="H60" s="48"/>
      <c r="I60" s="14"/>
      <c r="J60" s="14"/>
    </row>
    <row r="61" spans="2:10" x14ac:dyDescent="0.2">
      <c r="B61" s="34" t="s">
        <v>111</v>
      </c>
      <c r="C61" s="34"/>
      <c r="D61" s="34"/>
      <c r="E61" s="35"/>
      <c r="F61" s="36">
        <f>F60</f>
        <v>2350.13</v>
      </c>
      <c r="G61" s="36">
        <f>G60</f>
        <v>11.07</v>
      </c>
      <c r="H61" s="36"/>
      <c r="I61" s="14"/>
      <c r="J61" s="14"/>
    </row>
    <row r="62" spans="2:10" x14ac:dyDescent="0.2">
      <c r="B62" s="44" t="s">
        <v>114</v>
      </c>
      <c r="C62" s="44"/>
      <c r="D62" s="44"/>
      <c r="E62" s="45"/>
      <c r="F62" s="16">
        <f>F63-(+F42+F52+F57+F61)</f>
        <v>354.19999999999709</v>
      </c>
      <c r="G62" s="16">
        <f>G63-(+G42+G52+G57+G61)</f>
        <v>1.7000000000000171</v>
      </c>
      <c r="H62" s="16"/>
      <c r="I62" s="14"/>
      <c r="J62" s="14"/>
    </row>
    <row r="63" spans="2:10" x14ac:dyDescent="0.2">
      <c r="B63" s="44" t="s">
        <v>113</v>
      </c>
      <c r="C63" s="44"/>
      <c r="D63" s="44"/>
      <c r="E63" s="45"/>
      <c r="F63" s="16">
        <v>21219.91</v>
      </c>
      <c r="G63" s="16">
        <v>100</v>
      </c>
      <c r="H63" s="16"/>
      <c r="I63" s="14"/>
      <c r="J63" s="14"/>
    </row>
    <row r="65" spans="2:2" x14ac:dyDescent="0.2">
      <c r="B65" s="14" t="s">
        <v>758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CRFEF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2021-07-08T08:19:20Z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2021-07-01T09:47:07Z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bfed4ce7-c6f6-4186-9298-41df98fca494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</Properties>
</file>