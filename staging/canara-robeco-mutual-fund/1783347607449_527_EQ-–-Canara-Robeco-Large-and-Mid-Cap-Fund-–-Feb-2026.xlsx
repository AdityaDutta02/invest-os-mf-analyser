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0553380E-EE37-4BE9-8214-3C6E258AB06A}" xr6:coauthVersionLast="47" xr6:coauthVersionMax="47" xr10:uidLastSave="{00000000-0000-0000-0000-000000000000}"/>
  <bookViews>
    <workbookView xWindow="-120" yWindow="-120" windowWidth="20730" windowHeight="11040" xr2:uid="{B7FF263A-C256-4E2C-AED9-18393B04C3FA}"/>
  </bookViews>
  <sheets>
    <sheet name="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G110" i="1" s="1"/>
  <c r="F109" i="1"/>
  <c r="F110" i="1" s="1"/>
  <c r="G100" i="1"/>
  <c r="G101" i="1" s="1"/>
  <c r="G111" i="1" s="1"/>
  <c r="F100" i="1"/>
  <c r="F101" i="1" s="1"/>
  <c r="F11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<sst xmlns="http://schemas.openxmlformats.org/spreadsheetml/2006/main" count="409" uniqueCount="254">
  <si>
    <t>CANARA ROBECO LARGE AND MID CAP FUND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</si>
  <si>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</si>
  <si>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</si>
  <si>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</si>
  <si>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</si>
  <si>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</si>
  <si>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</si>
  <si>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</si>
  <si>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</si>
  <si>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</si>
  <si>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</si>
  <si>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</si>
  <si>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</si>
  <si>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</si>
  <si>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</si>
  <si>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</si>
  <si>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</si>
  <si>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</si>
  <si>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</si>
  <si>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</si>
  <si>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Indian Hotels Co Ltd</t>
  </si>
  <si>
    <t>INE053A01029</t>
  </si>
  <si>
    <t>Leisure Services</t>
  </si>
  <si>
    <t>Federal Bank Ltd</t>
  </si>
  <si>
    <t>INE171A01029</t>
  </si>
  <si>
    <t>Mid Cap</t>
  </si>
  <si>
    <t>TVS Motor Co Ltd</t>
  </si>
  <si>
    <t>INE494B01023</t>
  </si>
  <si>
    <t>Automobiles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</si>
  <si>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</si>
  <si>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</si>
  <si>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</si>
  <si>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</si>
  <si>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</si>
  <si>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</si>
  <si>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Eternal Ltd</t>
  </si>
  <si>
    <t>INE758T01015</t>
  </si>
  <si>
    <t>Retailing</t>
  </si>
  <si>
    <t>Benchmark: Nifty Large Midcap 250 TRI</t>
  </si>
  <si>
    <t>Mahindra &amp; Mahindra Ltd</t>
  </si>
  <si>
    <t>INE101A01026</t>
  </si>
  <si>
    <t>Trent Ltd</t>
  </si>
  <si>
    <t>INE849A01020</t>
  </si>
  <si>
    <t>KPIT Technologies Ltd</t>
  </si>
  <si>
    <t>INE04I401011</t>
  </si>
  <si>
    <t>IT - Software</t>
  </si>
  <si>
    <t>Small Cap</t>
  </si>
  <si>
    <t>Dixon Technologies (India) Ltd</t>
  </si>
  <si>
    <t>INE935N01020</t>
  </si>
  <si>
    <t>Consumer Durables</t>
  </si>
  <si>
    <t>Max Healthcare Institute Ltd</t>
  </si>
  <si>
    <t>INE027H01010</t>
  </si>
  <si>
    <t>Healthcare Services</t>
  </si>
  <si>
    <t>Bharti Airtel Ltd</t>
  </si>
  <si>
    <t>INE397D01024</t>
  </si>
  <si>
    <t>Telecom - Services</t>
  </si>
  <si>
    <t>Tata Consumer Products Ltd</t>
  </si>
  <si>
    <t>INE192A01025</t>
  </si>
  <si>
    <t>Agricultural Food &amp; Other Products</t>
  </si>
  <si>
    <t>Torrent Power Ltd</t>
  </si>
  <si>
    <t>INE813H01021</t>
  </si>
  <si>
    <t>Power</t>
  </si>
  <si>
    <t>PB Fintech Ltd</t>
  </si>
  <si>
    <t>INE417T01026</t>
  </si>
  <si>
    <t>Financial Technology (Fintech)</t>
  </si>
  <si>
    <t>Cholamandalam Investment and Finance Co Ltd</t>
  </si>
  <si>
    <t>INE121A01024</t>
  </si>
  <si>
    <t>Finance</t>
  </si>
  <si>
    <t>Tata Power Co Ltd</t>
  </si>
  <si>
    <t>INE245A01021</t>
  </si>
  <si>
    <t>J.K. Cement Ltd</t>
  </si>
  <si>
    <t>INE823G01014</t>
  </si>
  <si>
    <t>Cement &amp; Cement Products</t>
  </si>
  <si>
    <t>Abbott India Ltd</t>
  </si>
  <si>
    <t>INE358A01014</t>
  </si>
  <si>
    <t>Pharmaceuticals &amp; Biotechnology</t>
  </si>
  <si>
    <t>EIH Ltd</t>
  </si>
  <si>
    <t>INE230A01023</t>
  </si>
  <si>
    <t>Vishal Mega Mart Ltd</t>
  </si>
  <si>
    <t>INE01EA01019</t>
  </si>
  <si>
    <t>Persistent Systems Ltd</t>
  </si>
  <si>
    <t>INE262H01021</t>
  </si>
  <si>
    <t>PI Industries Ltd</t>
  </si>
  <si>
    <t>INE603J01030</t>
  </si>
  <si>
    <t>Fertilizers &amp; Agrochemicals</t>
  </si>
  <si>
    <t>Solar Industries India Ltd</t>
  </si>
  <si>
    <t>INE343H01029</t>
  </si>
  <si>
    <t>Chemicals &amp; Petrochemicals</t>
  </si>
  <si>
    <t>Bajaj Finance Ltd</t>
  </si>
  <si>
    <t>INE296A01032</t>
  </si>
  <si>
    <t>Ge Vernova T&amp;D India Ltd</t>
  </si>
  <si>
    <t>INE200A01026</t>
  </si>
  <si>
    <t>Electrical Equipment</t>
  </si>
  <si>
    <t>APL Apollo Tubes Ltd</t>
  </si>
  <si>
    <t>INE702C01027</t>
  </si>
  <si>
    <t>Industrial Products</t>
  </si>
  <si>
    <t>Multi Commodity Exchange Of India Ltd</t>
  </si>
  <si>
    <t>INE745G01043</t>
  </si>
  <si>
    <t>Capital Markets</t>
  </si>
  <si>
    <t>Global Health Ltd</t>
  </si>
  <si>
    <t>INE474Q01031</t>
  </si>
  <si>
    <t>3M India Ltd</t>
  </si>
  <si>
    <t>INE470A01017</t>
  </si>
  <si>
    <t>Diversified</t>
  </si>
  <si>
    <t>Divi's Laboratories Ltd</t>
  </si>
  <si>
    <t>INE361B01024</t>
  </si>
  <si>
    <t>United Breweries Ltd</t>
  </si>
  <si>
    <t>INE686F01025</t>
  </si>
  <si>
    <t>Beverages</t>
  </si>
  <si>
    <t>Praj Industries Ltd</t>
  </si>
  <si>
    <t>INE074A01025</t>
  </si>
  <si>
    <t>Industrial Manufacturing</t>
  </si>
  <si>
    <t>Oberoi Realty Ltd</t>
  </si>
  <si>
    <t>INE093I01010</t>
  </si>
  <si>
    <t>Realty</t>
  </si>
  <si>
    <t>Hindustan Aeronautics Ltd</t>
  </si>
  <si>
    <t>INE066F01020</t>
  </si>
  <si>
    <t>Ajanta Pharma Ltd</t>
  </si>
  <si>
    <t>INE031B01049</t>
  </si>
  <si>
    <t>Sun Pharmaceutical Industries Ltd</t>
  </si>
  <si>
    <t>INE044A01036</t>
  </si>
  <si>
    <t>Suzlon Energy Ltd</t>
  </si>
  <si>
    <t>INE040H01021</t>
  </si>
  <si>
    <t>Aditya Birla Real Estate Ltd</t>
  </si>
  <si>
    <t>INE055A01016</t>
  </si>
  <si>
    <t>Paper, Forest &amp; Jute Products</t>
  </si>
  <si>
    <t>Lupin Ltd</t>
  </si>
  <si>
    <t>INE326A01037</t>
  </si>
  <si>
    <t>One 97 Communications Ltd</t>
  </si>
  <si>
    <t>INE982J01020</t>
  </si>
  <si>
    <t>Bharti Hexacom Ltd</t>
  </si>
  <si>
    <t>INE343G01021</t>
  </si>
  <si>
    <t>ITC Hotels Ltd</t>
  </si>
  <si>
    <t>INE379A01028</t>
  </si>
  <si>
    <t>Varun Beverages Ltd</t>
  </si>
  <si>
    <t>INE200M01039</t>
  </si>
  <si>
    <t>ABB India Ltd</t>
  </si>
  <si>
    <t>INE117A01022</t>
  </si>
  <si>
    <t>Vinati Organics Ltd</t>
  </si>
  <si>
    <t>INE410B01037</t>
  </si>
  <si>
    <t>Radico Khaitan Ltd</t>
  </si>
  <si>
    <t>INE944F01028</t>
  </si>
  <si>
    <t>Bata India Ltd</t>
  </si>
  <si>
    <t>INE176A01028</t>
  </si>
  <si>
    <t>HCL Technologies Ltd</t>
  </si>
  <si>
    <t>INE860A01027</t>
  </si>
  <si>
    <t>Britannia Industries Ltd</t>
  </si>
  <si>
    <t>INE216A01030</t>
  </si>
  <si>
    <t>Food Products</t>
  </si>
  <si>
    <t>Crompton Greaves Consumer Electricals Ltd</t>
  </si>
  <si>
    <t>INE299U01018</t>
  </si>
  <si>
    <t>LG Electronics India Ltd</t>
  </si>
  <si>
    <t>INE324D01010</t>
  </si>
  <si>
    <t>Coforge Ltd</t>
  </si>
  <si>
    <t>INE591G01025</t>
  </si>
  <si>
    <t>CG Power and Industrial Solutions Ltd</t>
  </si>
  <si>
    <t>INE067A01029</t>
  </si>
  <si>
    <t>Titan Co Ltd</t>
  </si>
  <si>
    <t>INE280A01028</t>
  </si>
  <si>
    <t>Creditaccess Grameen Ltd</t>
  </si>
  <si>
    <t>INE741K01010</t>
  </si>
  <si>
    <t>Indian Bank</t>
  </si>
  <si>
    <t>INE562A01011</t>
  </si>
  <si>
    <t>Blue Dart Express Ltd</t>
  </si>
  <si>
    <t>INE233B01017</t>
  </si>
  <si>
    <t>Transport Services</t>
  </si>
  <si>
    <t>United Spirits Ltd</t>
  </si>
  <si>
    <t>INE854D01024</t>
  </si>
  <si>
    <t>K.P.R. Mill Ltd</t>
  </si>
  <si>
    <t>INE930H01031</t>
  </si>
  <si>
    <t>Textiles &amp; Apparels</t>
  </si>
  <si>
    <t>ZF Commercial Vehicle Control Systems India Ltd</t>
  </si>
  <si>
    <t>INE342J01019</t>
  </si>
  <si>
    <t>Schaeffler India Ltd</t>
  </si>
  <si>
    <t>INE513A01022</t>
  </si>
  <si>
    <t>Swiggy Ltd</t>
  </si>
  <si>
    <t>INE00H001014</t>
  </si>
  <si>
    <t>Jubilant Foodworks Ltd</t>
  </si>
  <si>
    <t>INE797F01020</t>
  </si>
  <si>
    <t>Linde India Ltd</t>
  </si>
  <si>
    <t>INE473A01011</t>
  </si>
  <si>
    <t>Sona Blw Precision Forgings Ltd</t>
  </si>
  <si>
    <t>INE073K01018</t>
  </si>
  <si>
    <t>Central Depository Services (India) Ltd</t>
  </si>
  <si>
    <t>INE736A01011</t>
  </si>
  <si>
    <t>Bajaj Finserv Ltd</t>
  </si>
  <si>
    <t>INE918I01026</t>
  </si>
  <si>
    <t>Waaree Energies Ltd</t>
  </si>
  <si>
    <t>INE377N01017</t>
  </si>
  <si>
    <t>Container Corporation Of India Ltd</t>
  </si>
  <si>
    <t>INE111A01025</t>
  </si>
  <si>
    <t>Mrs Bectors Food Specialities Ltd</t>
  </si>
  <si>
    <t>INE495P01020</t>
  </si>
  <si>
    <t>Bharat Forge Ltd</t>
  </si>
  <si>
    <t>INE465A01025</t>
  </si>
  <si>
    <t>Interglobe Aviation Ltd</t>
  </si>
  <si>
    <t>INE646L01027</t>
  </si>
  <si>
    <t>Cello World Ltd</t>
  </si>
  <si>
    <t>INE0LMW01024</t>
  </si>
  <si>
    <t>Carborundum Universal Ltd</t>
  </si>
  <si>
    <t>INE120A01034</t>
  </si>
  <si>
    <t>ICICI Lombard General Insurance Co Ltd</t>
  </si>
  <si>
    <t>INE765G01017</t>
  </si>
  <si>
    <t>Insurance</t>
  </si>
  <si>
    <t>Premier Energies Ltd</t>
  </si>
  <si>
    <t>INE0BS701011</t>
  </si>
  <si>
    <t>Computer Age Management Services Ltd</t>
  </si>
  <si>
    <t>INE596I01020</t>
  </si>
  <si>
    <t>Thermax Ltd</t>
  </si>
  <si>
    <t>INE152A01029</t>
  </si>
  <si>
    <t>KNR Constructions Ltd</t>
  </si>
  <si>
    <t>INE634I01029</t>
  </si>
  <si>
    <t>Construction</t>
  </si>
  <si>
    <t>Tips Music Ltd</t>
  </si>
  <si>
    <t>INE716B01029</t>
  </si>
  <si>
    <t>Entertainment</t>
  </si>
  <si>
    <t>MRF Ltd</t>
  </si>
  <si>
    <t>INE883A01011</t>
  </si>
  <si>
    <t>Zee Entertainment Enterprises Ltd</t>
  </si>
  <si>
    <t>INE256A01028</t>
  </si>
  <si>
    <t>Doms Industries Ltd</t>
  </si>
  <si>
    <t>INE321T01012</t>
  </si>
  <si>
    <t>Household Products</t>
  </si>
  <si>
    <t>Nippon Life India Asset Management Ltd</t>
  </si>
  <si>
    <t>INE298J01013</t>
  </si>
  <si>
    <t>TCI Express Ltd</t>
  </si>
  <si>
    <t>INE586V01016</t>
  </si>
  <si>
    <t>Mankind Pharma Ltd</t>
  </si>
  <si>
    <t>INE634S01028</t>
  </si>
  <si>
    <t>Sundaram Finance Ltd</t>
  </si>
  <si>
    <t>INE660A01013</t>
  </si>
  <si>
    <t>Cochin Shipyard Ltd</t>
  </si>
  <si>
    <t>INE704P01025</t>
  </si>
  <si>
    <t>Escorts Kubota Ltd</t>
  </si>
  <si>
    <t>INE042A01014</t>
  </si>
  <si>
    <t>Agricultural, Commercial &amp; Construction Vehicles</t>
  </si>
  <si>
    <t>HDFC Bank Ltd</t>
  </si>
  <si>
    <t>INE040A01034</t>
  </si>
  <si>
    <t>Tech Mahindra Ltd</t>
  </si>
  <si>
    <t>INE669C01036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</si>
  <si>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</si>
  <si>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</si>
  <si>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</si>
  <si>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</si>
  <si>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</si>
  <si>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</si>
  <si>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</si>
  <si>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</si>
  <si>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</si>
  <si>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Residual Maturity</t>
  </si>
  <si>
    <t>0.0055 Years</t>
  </si>
  <si>
    <t>** Non Traded Security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</si>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</sst>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D183-0093-4A07-8D9B-81951AC12F5B}">
  <dimension ref="B1:N121"/>
  <sheetViews>
    <sheetView tabSelected="1" topLeftCell="L1" workbookViewId="0">
      <selection activeCell="T1" sqref="T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85546875" style="3" bestFit="1" customWidth="1"/>
    <col min="4" max="4" width="40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12811964</v>
      </c>
      <c r="F7" s="20">
        <v>176664.17</v>
      </c>
      <c r="G7" s="20">
        <v>7.14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22</v>
      </c>
      <c r="E8" s="23">
        <v>19457322</v>
      </c>
      <c r="F8" s="20">
        <v>129790.07</v>
      </c>
      <c r="G8" s="20">
        <v>5.25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23</v>
      </c>
      <c r="C9" s="19" t="s">
        <v>24</v>
      </c>
      <c r="D9" s="19" t="s">
        <v>18</v>
      </c>
      <c r="E9" s="23">
        <v>32989386</v>
      </c>
      <c r="F9" s="20">
        <v>98918.67</v>
      </c>
      <c r="G9" s="20">
        <v>4</v>
      </c>
      <c r="H9" s="20" t="s">
        <v>25</v>
      </c>
      <c r="I9" s="20"/>
      <c r="K9" s="21"/>
      <c r="L9" s="21"/>
      <c r="M9" s="21"/>
      <c r="N9" s="21"/>
    </row>
    <row r="10" spans="2:14" x14ac:dyDescent="0.2">
      <c r="B10" s="22" t="s">
        <v>26</v>
      </c>
      <c r="C10" s="19" t="s">
        <v>27</v>
      </c>
      <c r="D10" s="19" t="s">
        <v>28</v>
      </c>
      <c r="E10" s="23">
        <v>2465818</v>
      </c>
      <c r="F10" s="20">
        <v>95419.76</v>
      </c>
      <c r="G10" s="20">
        <v>3.86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29</v>
      </c>
      <c r="C11" s="19" t="s">
        <v>30</v>
      </c>
      <c r="D11" s="19" t="s">
        <v>31</v>
      </c>
      <c r="E11" s="23">
        <v>19516716</v>
      </c>
      <c r="F11" s="20">
        <v>86790.84</v>
      </c>
      <c r="G11" s="20">
        <v>3.51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32</v>
      </c>
      <c r="C12" s="19" t="s">
        <v>33</v>
      </c>
      <c r="D12" s="19" t="s">
        <v>34</v>
      </c>
      <c r="E12" s="23">
        <v>6437643</v>
      </c>
      <c r="F12" s="20">
        <v>76511.39</v>
      </c>
      <c r="G12" s="20">
        <v>3.09</v>
      </c>
      <c r="H12" s="20" t="s">
        <v>25</v>
      </c>
      <c r="I12" s="20"/>
      <c r="K12" s="24"/>
      <c r="L12" s="24"/>
      <c r="M12" s="24"/>
      <c r="N12" s="24"/>
    </row>
    <row r="13" spans="2:14" x14ac:dyDescent="0.2">
      <c r="B13" s="22" t="s">
        <v>35</v>
      </c>
      <c r="C13" s="19" t="s">
        <v>36</v>
      </c>
      <c r="D13" s="19" t="s">
        <v>37</v>
      </c>
      <c r="E13" s="23">
        <v>28959215</v>
      </c>
      <c r="F13" s="20">
        <v>71326.55</v>
      </c>
      <c r="G13" s="20">
        <v>2.88</v>
      </c>
      <c r="H13" s="20" t="s">
        <v>19</v>
      </c>
      <c r="I13" s="20"/>
      <c r="L13" s="25" t="s">
        <v>38</v>
      </c>
    </row>
    <row r="14" spans="2:14" x14ac:dyDescent="0.2">
      <c r="B14" s="22" t="s">
        <v>39</v>
      </c>
      <c r="C14" s="19" t="s">
        <v>40</v>
      </c>
      <c r="D14" s="19" t="s">
        <v>28</v>
      </c>
      <c r="E14" s="23">
        <v>2079314</v>
      </c>
      <c r="F14" s="20">
        <v>70642.61</v>
      </c>
      <c r="G14" s="20">
        <v>2.86</v>
      </c>
      <c r="H14" s="20" t="s">
        <v>19</v>
      </c>
      <c r="I14" s="20"/>
    </row>
    <row r="15" spans="2:14" x14ac:dyDescent="0.2">
      <c r="B15" s="22" t="s">
        <v>41</v>
      </c>
      <c r="C15" s="19" t="s">
        <v>42</v>
      </c>
      <c r="D15" s="19" t="s">
        <v>37</v>
      </c>
      <c r="E15" s="23">
        <v>1486620</v>
      </c>
      <c r="F15" s="20">
        <v>57970.75</v>
      </c>
      <c r="G15" s="20">
        <v>2.34</v>
      </c>
      <c r="H15" s="20" t="s">
        <v>19</v>
      </c>
      <c r="I15" s="20"/>
    </row>
    <row r="16" spans="2:14" x14ac:dyDescent="0.2">
      <c r="B16" s="22" t="s">
        <v>43</v>
      </c>
      <c r="C16" s="19" t="s">
        <v>44</v>
      </c>
      <c r="D16" s="19" t="s">
        <v>45</v>
      </c>
      <c r="E16" s="23">
        <v>7418728</v>
      </c>
      <c r="F16" s="20">
        <v>57205.81</v>
      </c>
      <c r="G16" s="20">
        <v>2.31</v>
      </c>
      <c r="H16" s="20" t="s">
        <v>46</v>
      </c>
      <c r="I16" s="20"/>
    </row>
    <row r="17" spans="2:9" x14ac:dyDescent="0.2">
      <c r="B17" s="22" t="s">
        <v>47</v>
      </c>
      <c r="C17" s="19" t="s">
        <v>48</v>
      </c>
      <c r="D17" s="19" t="s">
        <v>49</v>
      </c>
      <c r="E17" s="23">
        <v>511809</v>
      </c>
      <c r="F17" s="20">
        <v>53883.25</v>
      </c>
      <c r="G17" s="20">
        <v>2.1800000000000002</v>
      </c>
      <c r="H17" s="20" t="s">
        <v>25</v>
      </c>
      <c r="I17" s="20"/>
    </row>
    <row r="18" spans="2:9" x14ac:dyDescent="0.2">
      <c r="B18" s="22" t="s">
        <v>50</v>
      </c>
      <c r="C18" s="19" t="s">
        <v>51</v>
      </c>
      <c r="D18" s="19" t="s">
        <v>52</v>
      </c>
      <c r="E18" s="23">
        <v>4590063</v>
      </c>
      <c r="F18" s="20">
        <v>50121.19</v>
      </c>
      <c r="G18" s="20">
        <v>2.0299999999999998</v>
      </c>
      <c r="H18" s="20" t="s">
        <v>19</v>
      </c>
      <c r="I18" s="20"/>
    </row>
    <row r="19" spans="2:9" x14ac:dyDescent="0.2">
      <c r="B19" s="22" t="s">
        <v>53</v>
      </c>
      <c r="C19" s="19" t="s">
        <v>54</v>
      </c>
      <c r="D19" s="19" t="s">
        <v>55</v>
      </c>
      <c r="E19" s="23">
        <v>2517149</v>
      </c>
      <c r="F19" s="20">
        <v>47304.78</v>
      </c>
      <c r="G19" s="20">
        <v>1.91</v>
      </c>
      <c r="H19" s="20" t="s">
        <v>19</v>
      </c>
      <c r="I19" s="20"/>
    </row>
    <row r="20" spans="2:9" x14ac:dyDescent="0.2">
      <c r="B20" s="22" t="s">
        <v>56</v>
      </c>
      <c r="C20" s="19" t="s">
        <v>57</v>
      </c>
      <c r="D20" s="19" t="s">
        <v>58</v>
      </c>
      <c r="E20" s="23">
        <v>4050637</v>
      </c>
      <c r="F20" s="20">
        <v>46217.77</v>
      </c>
      <c r="G20" s="20">
        <v>1.87</v>
      </c>
      <c r="H20" s="20" t="s">
        <v>19</v>
      </c>
      <c r="I20" s="20"/>
    </row>
    <row r="21" spans="2:9" x14ac:dyDescent="0.2">
      <c r="B21" s="22" t="s">
        <v>59</v>
      </c>
      <c r="C21" s="19" t="s">
        <v>60</v>
      </c>
      <c r="D21" s="19" t="s">
        <v>61</v>
      </c>
      <c r="E21" s="23">
        <v>2720124</v>
      </c>
      <c r="F21" s="20">
        <v>42608.02</v>
      </c>
      <c r="G21" s="20">
        <v>1.72</v>
      </c>
      <c r="H21" s="20" t="s">
        <v>25</v>
      </c>
      <c r="I21" s="20"/>
    </row>
    <row r="22" spans="2:9" x14ac:dyDescent="0.2">
      <c r="B22" s="22" t="s">
        <v>62</v>
      </c>
      <c r="C22" s="19" t="s">
        <v>63</v>
      </c>
      <c r="D22" s="19" t="s">
        <v>64</v>
      </c>
      <c r="E22" s="23">
        <v>2781815</v>
      </c>
      <c r="F22" s="20">
        <v>41215.370000000003</v>
      </c>
      <c r="G22" s="20">
        <v>1.67</v>
      </c>
      <c r="H22" s="20" t="s">
        <v>25</v>
      </c>
      <c r="I22" s="20"/>
    </row>
    <row r="23" spans="2:9" x14ac:dyDescent="0.2">
      <c r="B23" s="22" t="s">
        <v>65</v>
      </c>
      <c r="C23" s="19" t="s">
        <v>66</v>
      </c>
      <c r="D23" s="19" t="s">
        <v>67</v>
      </c>
      <c r="E23" s="23">
        <v>2350358</v>
      </c>
      <c r="F23" s="20">
        <v>40680</v>
      </c>
      <c r="G23" s="20">
        <v>1.64</v>
      </c>
      <c r="H23" s="20" t="s">
        <v>19</v>
      </c>
      <c r="I23" s="20"/>
    </row>
    <row r="24" spans="2:9" x14ac:dyDescent="0.2">
      <c r="B24" s="22" t="s">
        <v>68</v>
      </c>
      <c r="C24" s="19" t="s">
        <v>69</v>
      </c>
      <c r="D24" s="19" t="s">
        <v>61</v>
      </c>
      <c r="E24" s="23">
        <v>10396495</v>
      </c>
      <c r="F24" s="20">
        <v>39251.97</v>
      </c>
      <c r="G24" s="20">
        <v>1.59</v>
      </c>
      <c r="H24" s="20" t="s">
        <v>19</v>
      </c>
      <c r="I24" s="20"/>
    </row>
    <row r="25" spans="2:9" x14ac:dyDescent="0.2">
      <c r="B25" s="22" t="s">
        <v>70</v>
      </c>
      <c r="C25" s="19" t="s">
        <v>71</v>
      </c>
      <c r="D25" s="19" t="s">
        <v>72</v>
      </c>
      <c r="E25" s="23">
        <v>690948</v>
      </c>
      <c r="F25" s="20">
        <v>39080.019999999997</v>
      </c>
      <c r="G25" s="20">
        <v>1.58</v>
      </c>
      <c r="H25" s="20" t="s">
        <v>25</v>
      </c>
      <c r="I25" s="20"/>
    </row>
    <row r="26" spans="2:9" x14ac:dyDescent="0.2">
      <c r="B26" s="22" t="s">
        <v>73</v>
      </c>
      <c r="C26" s="19" t="s">
        <v>74</v>
      </c>
      <c r="D26" s="19" t="s">
        <v>75</v>
      </c>
      <c r="E26" s="23">
        <v>145836</v>
      </c>
      <c r="F26" s="20">
        <v>38690.29</v>
      </c>
      <c r="G26" s="20">
        <v>1.56</v>
      </c>
      <c r="H26" s="20" t="s">
        <v>25</v>
      </c>
      <c r="I26" s="20"/>
    </row>
    <row r="27" spans="2:9" x14ac:dyDescent="0.2">
      <c r="B27" s="22" t="s">
        <v>76</v>
      </c>
      <c r="C27" s="19" t="s">
        <v>77</v>
      </c>
      <c r="D27" s="19" t="s">
        <v>22</v>
      </c>
      <c r="E27" s="23">
        <v>11301547</v>
      </c>
      <c r="F27" s="20">
        <v>35436</v>
      </c>
      <c r="G27" s="20">
        <v>1.43</v>
      </c>
      <c r="H27" s="20" t="s">
        <v>46</v>
      </c>
      <c r="I27" s="20"/>
    </row>
    <row r="28" spans="2:9" x14ac:dyDescent="0.2">
      <c r="B28" s="22" t="s">
        <v>78</v>
      </c>
      <c r="C28" s="19" t="s">
        <v>79</v>
      </c>
      <c r="D28" s="19" t="s">
        <v>37</v>
      </c>
      <c r="E28" s="23">
        <v>29631416</v>
      </c>
      <c r="F28" s="20">
        <v>34899.879999999997</v>
      </c>
      <c r="G28" s="20">
        <v>1.41</v>
      </c>
      <c r="H28" s="20" t="s">
        <v>25</v>
      </c>
      <c r="I28" s="20"/>
    </row>
    <row r="29" spans="2:9" x14ac:dyDescent="0.2">
      <c r="B29" s="22" t="s">
        <v>80</v>
      </c>
      <c r="C29" s="19" t="s">
        <v>81</v>
      </c>
      <c r="D29" s="19" t="s">
        <v>45</v>
      </c>
      <c r="E29" s="23">
        <v>687200</v>
      </c>
      <c r="F29" s="20">
        <v>32525.18</v>
      </c>
      <c r="G29" s="20">
        <v>1.32</v>
      </c>
      <c r="H29" s="20" t="s">
        <v>25</v>
      </c>
      <c r="I29" s="20"/>
    </row>
    <row r="30" spans="2:9" x14ac:dyDescent="0.2">
      <c r="B30" s="22" t="s">
        <v>82</v>
      </c>
      <c r="C30" s="19" t="s">
        <v>83</v>
      </c>
      <c r="D30" s="19" t="s">
        <v>84</v>
      </c>
      <c r="E30" s="23">
        <v>1012395</v>
      </c>
      <c r="F30" s="20">
        <v>31559.39</v>
      </c>
      <c r="G30" s="20">
        <v>1.28</v>
      </c>
      <c r="H30" s="20" t="s">
        <v>25</v>
      </c>
      <c r="I30" s="20"/>
    </row>
    <row r="31" spans="2:9" x14ac:dyDescent="0.2">
      <c r="B31" s="22" t="s">
        <v>85</v>
      </c>
      <c r="C31" s="19" t="s">
        <v>86</v>
      </c>
      <c r="D31" s="19" t="s">
        <v>87</v>
      </c>
      <c r="E31" s="23">
        <v>232012</v>
      </c>
      <c r="F31" s="20">
        <v>31330.9</v>
      </c>
      <c r="G31" s="20">
        <v>1.27</v>
      </c>
      <c r="H31" s="20" t="s">
        <v>19</v>
      </c>
      <c r="I31" s="20"/>
    </row>
    <row r="32" spans="2:9" x14ac:dyDescent="0.2">
      <c r="B32" s="22" t="s">
        <v>88</v>
      </c>
      <c r="C32" s="19" t="s">
        <v>89</v>
      </c>
      <c r="D32" s="19" t="s">
        <v>67</v>
      </c>
      <c r="E32" s="23">
        <v>3131491</v>
      </c>
      <c r="F32" s="20">
        <v>31186.52</v>
      </c>
      <c r="G32" s="20">
        <v>1.26</v>
      </c>
      <c r="H32" s="20" t="s">
        <v>19</v>
      </c>
      <c r="I32" s="20"/>
    </row>
    <row r="33" spans="2:9" x14ac:dyDescent="0.2">
      <c r="B33" s="22" t="s">
        <v>90</v>
      </c>
      <c r="C33" s="19" t="s">
        <v>91</v>
      </c>
      <c r="D33" s="19" t="s">
        <v>92</v>
      </c>
      <c r="E33" s="23">
        <v>787988</v>
      </c>
      <c r="F33" s="20">
        <v>30339.11</v>
      </c>
      <c r="G33" s="20">
        <v>1.23</v>
      </c>
      <c r="H33" s="20" t="s">
        <v>25</v>
      </c>
      <c r="I33" s="20"/>
    </row>
    <row r="34" spans="2:9" x14ac:dyDescent="0.2">
      <c r="B34" s="22" t="s">
        <v>93</v>
      </c>
      <c r="C34" s="19" t="s">
        <v>94</v>
      </c>
      <c r="D34" s="19" t="s">
        <v>95</v>
      </c>
      <c r="E34" s="23">
        <v>1353923</v>
      </c>
      <c r="F34" s="20">
        <v>30254.76</v>
      </c>
      <c r="G34" s="20">
        <v>1.22</v>
      </c>
      <c r="H34" s="20" t="s">
        <v>25</v>
      </c>
      <c r="I34" s="20"/>
    </row>
    <row r="35" spans="2:9" x14ac:dyDescent="0.2">
      <c r="B35" s="22" t="s">
        <v>96</v>
      </c>
      <c r="C35" s="19" t="s">
        <v>97</v>
      </c>
      <c r="D35" s="19" t="s">
        <v>98</v>
      </c>
      <c r="E35" s="23">
        <v>1155500</v>
      </c>
      <c r="F35" s="20">
        <v>28232.33</v>
      </c>
      <c r="G35" s="20">
        <v>1.1399999999999999</v>
      </c>
      <c r="H35" s="20" t="s">
        <v>25</v>
      </c>
      <c r="I35" s="20"/>
    </row>
    <row r="36" spans="2:9" x14ac:dyDescent="0.2">
      <c r="B36" s="22" t="s">
        <v>99</v>
      </c>
      <c r="C36" s="19" t="s">
        <v>100</v>
      </c>
      <c r="D36" s="19" t="s">
        <v>52</v>
      </c>
      <c r="E36" s="23">
        <v>2312524</v>
      </c>
      <c r="F36" s="20">
        <v>26335.02</v>
      </c>
      <c r="G36" s="20">
        <v>1.06</v>
      </c>
      <c r="H36" s="20" t="s">
        <v>25</v>
      </c>
      <c r="I36" s="20"/>
    </row>
    <row r="37" spans="2:9" x14ac:dyDescent="0.2">
      <c r="B37" s="22" t="s">
        <v>101</v>
      </c>
      <c r="C37" s="19" t="s">
        <v>102</v>
      </c>
      <c r="D37" s="19" t="s">
        <v>103</v>
      </c>
      <c r="E37" s="23">
        <v>69545</v>
      </c>
      <c r="F37" s="20">
        <v>26082.85</v>
      </c>
      <c r="G37" s="20">
        <v>1.05</v>
      </c>
      <c r="H37" s="20" t="s">
        <v>25</v>
      </c>
      <c r="I37" s="20"/>
    </row>
    <row r="38" spans="2:9" x14ac:dyDescent="0.2">
      <c r="B38" s="22" t="s">
        <v>104</v>
      </c>
      <c r="C38" s="19" t="s">
        <v>105</v>
      </c>
      <c r="D38" s="19" t="s">
        <v>75</v>
      </c>
      <c r="E38" s="23">
        <v>396760</v>
      </c>
      <c r="F38" s="20">
        <v>25426.36</v>
      </c>
      <c r="G38" s="20">
        <v>1.03</v>
      </c>
      <c r="H38" s="20" t="s">
        <v>19</v>
      </c>
      <c r="I38" s="20"/>
    </row>
    <row r="39" spans="2:9" x14ac:dyDescent="0.2">
      <c r="B39" s="22" t="s">
        <v>106</v>
      </c>
      <c r="C39" s="19" t="s">
        <v>107</v>
      </c>
      <c r="D39" s="19" t="s">
        <v>108</v>
      </c>
      <c r="E39" s="23">
        <v>1560790</v>
      </c>
      <c r="F39" s="20">
        <v>25050.68</v>
      </c>
      <c r="G39" s="20">
        <v>1.01</v>
      </c>
      <c r="H39" s="20" t="s">
        <v>25</v>
      </c>
      <c r="I39" s="20"/>
    </row>
    <row r="40" spans="2:9" x14ac:dyDescent="0.2">
      <c r="B40" s="22" t="s">
        <v>109</v>
      </c>
      <c r="C40" s="19" t="s">
        <v>110</v>
      </c>
      <c r="D40" s="19" t="s">
        <v>111</v>
      </c>
      <c r="E40" s="23">
        <v>7719311</v>
      </c>
      <c r="F40" s="20">
        <v>24543.55</v>
      </c>
      <c r="G40" s="20">
        <v>0.99</v>
      </c>
      <c r="H40" s="20" t="s">
        <v>46</v>
      </c>
      <c r="I40" s="20"/>
    </row>
    <row r="41" spans="2:9" x14ac:dyDescent="0.2">
      <c r="B41" s="22" t="s">
        <v>112</v>
      </c>
      <c r="C41" s="19" t="s">
        <v>113</v>
      </c>
      <c r="D41" s="19" t="s">
        <v>114</v>
      </c>
      <c r="E41" s="23">
        <v>1594979</v>
      </c>
      <c r="F41" s="20">
        <v>24288.34</v>
      </c>
      <c r="G41" s="20">
        <v>0.98</v>
      </c>
      <c r="H41" s="20" t="s">
        <v>25</v>
      </c>
      <c r="I41" s="20"/>
    </row>
    <row r="42" spans="2:9" x14ac:dyDescent="0.2">
      <c r="B42" s="22" t="s">
        <v>115</v>
      </c>
      <c r="C42" s="19" t="s">
        <v>116</v>
      </c>
      <c r="D42" s="19" t="s">
        <v>31</v>
      </c>
      <c r="E42" s="23">
        <v>564126</v>
      </c>
      <c r="F42" s="20">
        <v>22075.38</v>
      </c>
      <c r="G42" s="20">
        <v>0.89</v>
      </c>
      <c r="H42" s="20" t="s">
        <v>19</v>
      </c>
      <c r="I42" s="20"/>
    </row>
    <row r="43" spans="2:9" x14ac:dyDescent="0.2">
      <c r="B43" s="22" t="s">
        <v>117</v>
      </c>
      <c r="C43" s="19" t="s">
        <v>118</v>
      </c>
      <c r="D43" s="19" t="s">
        <v>75</v>
      </c>
      <c r="E43" s="23">
        <v>707096</v>
      </c>
      <c r="F43" s="20">
        <v>21169.75</v>
      </c>
      <c r="G43" s="20">
        <v>0.86</v>
      </c>
      <c r="H43" s="20" t="s">
        <v>46</v>
      </c>
      <c r="I43" s="20"/>
    </row>
    <row r="44" spans="2:9" x14ac:dyDescent="0.2">
      <c r="B44" s="22" t="s">
        <v>119</v>
      </c>
      <c r="C44" s="19" t="s">
        <v>120</v>
      </c>
      <c r="D44" s="19" t="s">
        <v>75</v>
      </c>
      <c r="E44" s="23">
        <v>1174202</v>
      </c>
      <c r="F44" s="20">
        <v>20395.89</v>
      </c>
      <c r="G44" s="20">
        <v>0.82</v>
      </c>
      <c r="H44" s="20" t="s">
        <v>19</v>
      </c>
      <c r="I44" s="20"/>
    </row>
    <row r="45" spans="2:9" x14ac:dyDescent="0.2">
      <c r="B45" s="22" t="s">
        <v>121</v>
      </c>
      <c r="C45" s="19" t="s">
        <v>122</v>
      </c>
      <c r="D45" s="19" t="s">
        <v>92</v>
      </c>
      <c r="E45" s="23">
        <v>47375464</v>
      </c>
      <c r="F45" s="20">
        <v>20215.11</v>
      </c>
      <c r="G45" s="20">
        <v>0.82</v>
      </c>
      <c r="H45" s="20" t="s">
        <v>25</v>
      </c>
      <c r="I45" s="20"/>
    </row>
    <row r="46" spans="2:9" x14ac:dyDescent="0.2">
      <c r="B46" s="22" t="s">
        <v>123</v>
      </c>
      <c r="C46" s="19" t="s">
        <v>124</v>
      </c>
      <c r="D46" s="19" t="s">
        <v>125</v>
      </c>
      <c r="E46" s="23">
        <v>1475242</v>
      </c>
      <c r="F46" s="20">
        <v>19033.57</v>
      </c>
      <c r="G46" s="20">
        <v>0.77</v>
      </c>
      <c r="H46" s="20" t="s">
        <v>46</v>
      </c>
      <c r="I46" s="20"/>
    </row>
    <row r="47" spans="2:9" x14ac:dyDescent="0.2">
      <c r="B47" s="22" t="s">
        <v>126</v>
      </c>
      <c r="C47" s="19" t="s">
        <v>127</v>
      </c>
      <c r="D47" s="19" t="s">
        <v>75</v>
      </c>
      <c r="E47" s="23">
        <v>823988</v>
      </c>
      <c r="F47" s="20">
        <v>18967.38</v>
      </c>
      <c r="G47" s="20">
        <v>0.77</v>
      </c>
      <c r="H47" s="20" t="s">
        <v>25</v>
      </c>
      <c r="I47" s="20"/>
    </row>
    <row r="48" spans="2:9" x14ac:dyDescent="0.2">
      <c r="B48" s="22" t="s">
        <v>128</v>
      </c>
      <c r="C48" s="19" t="s">
        <v>129</v>
      </c>
      <c r="D48" s="19" t="s">
        <v>64</v>
      </c>
      <c r="E48" s="23">
        <v>1724821</v>
      </c>
      <c r="F48" s="20">
        <v>18943.71</v>
      </c>
      <c r="G48" s="20">
        <v>0.77</v>
      </c>
      <c r="H48" s="20" t="s">
        <v>25</v>
      </c>
      <c r="I48" s="20"/>
    </row>
    <row r="49" spans="2:9" x14ac:dyDescent="0.2">
      <c r="B49" s="22" t="s">
        <v>130</v>
      </c>
      <c r="C49" s="19" t="s">
        <v>131</v>
      </c>
      <c r="D49" s="19" t="s">
        <v>55</v>
      </c>
      <c r="E49" s="23">
        <v>1135817</v>
      </c>
      <c r="F49" s="20">
        <v>18251.439999999999</v>
      </c>
      <c r="G49" s="20">
        <v>0.74</v>
      </c>
      <c r="H49" s="20" t="s">
        <v>25</v>
      </c>
      <c r="I49" s="20"/>
    </row>
    <row r="50" spans="2:9" x14ac:dyDescent="0.2">
      <c r="B50" s="22" t="s">
        <v>132</v>
      </c>
      <c r="C50" s="19" t="s">
        <v>133</v>
      </c>
      <c r="D50" s="19" t="s">
        <v>22</v>
      </c>
      <c r="E50" s="23">
        <v>10294293</v>
      </c>
      <c r="F50" s="20">
        <v>18124.13</v>
      </c>
      <c r="G50" s="20">
        <v>0.73</v>
      </c>
      <c r="H50" s="20" t="s">
        <v>25</v>
      </c>
      <c r="I50" s="20"/>
    </row>
    <row r="51" spans="2:9" x14ac:dyDescent="0.2">
      <c r="B51" s="22" t="s">
        <v>134</v>
      </c>
      <c r="C51" s="19" t="s">
        <v>135</v>
      </c>
      <c r="D51" s="19" t="s">
        <v>108</v>
      </c>
      <c r="E51" s="23">
        <v>3983695</v>
      </c>
      <c r="F51" s="20">
        <v>17982.400000000001</v>
      </c>
      <c r="G51" s="20">
        <v>0.73</v>
      </c>
      <c r="H51" s="20" t="s">
        <v>19</v>
      </c>
      <c r="I51" s="20"/>
    </row>
    <row r="52" spans="2:9" x14ac:dyDescent="0.2">
      <c r="B52" s="22" t="s">
        <v>136</v>
      </c>
      <c r="C52" s="19" t="s">
        <v>137</v>
      </c>
      <c r="D52" s="19" t="s">
        <v>92</v>
      </c>
      <c r="E52" s="23">
        <v>286245</v>
      </c>
      <c r="F52" s="20">
        <v>17383.66</v>
      </c>
      <c r="G52" s="20">
        <v>0.7</v>
      </c>
      <c r="H52" s="20" t="s">
        <v>19</v>
      </c>
      <c r="I52" s="20"/>
    </row>
    <row r="53" spans="2:9" x14ac:dyDescent="0.2">
      <c r="B53" s="22" t="s">
        <v>138</v>
      </c>
      <c r="C53" s="19" t="s">
        <v>139</v>
      </c>
      <c r="D53" s="19" t="s">
        <v>87</v>
      </c>
      <c r="E53" s="23">
        <v>1147253</v>
      </c>
      <c r="F53" s="20">
        <v>16888.71</v>
      </c>
      <c r="G53" s="20">
        <v>0.68</v>
      </c>
      <c r="H53" s="20" t="s">
        <v>46</v>
      </c>
      <c r="I53" s="20"/>
    </row>
    <row r="54" spans="2:9" x14ac:dyDescent="0.2">
      <c r="B54" s="22" t="s">
        <v>140</v>
      </c>
      <c r="C54" s="19" t="s">
        <v>141</v>
      </c>
      <c r="D54" s="19" t="s">
        <v>108</v>
      </c>
      <c r="E54" s="23">
        <v>630473</v>
      </c>
      <c r="F54" s="20">
        <v>16704.38</v>
      </c>
      <c r="G54" s="20">
        <v>0.68</v>
      </c>
      <c r="H54" s="20" t="s">
        <v>25</v>
      </c>
      <c r="I54" s="20"/>
    </row>
    <row r="55" spans="2:9" x14ac:dyDescent="0.2">
      <c r="B55" s="22" t="s">
        <v>142</v>
      </c>
      <c r="C55" s="19" t="s">
        <v>143</v>
      </c>
      <c r="D55" s="19" t="s">
        <v>49</v>
      </c>
      <c r="E55" s="23">
        <v>2043454</v>
      </c>
      <c r="F55" s="20">
        <v>16122.85</v>
      </c>
      <c r="G55" s="20">
        <v>0.65</v>
      </c>
      <c r="H55" s="20" t="s">
        <v>46</v>
      </c>
      <c r="I55" s="20"/>
    </row>
    <row r="56" spans="2:9" x14ac:dyDescent="0.2">
      <c r="B56" s="22" t="s">
        <v>144</v>
      </c>
      <c r="C56" s="19" t="s">
        <v>145</v>
      </c>
      <c r="D56" s="19" t="s">
        <v>45</v>
      </c>
      <c r="E56" s="23">
        <v>1150000</v>
      </c>
      <c r="F56" s="20">
        <v>15974.65</v>
      </c>
      <c r="G56" s="20">
        <v>0.65</v>
      </c>
      <c r="H56" s="20" t="s">
        <v>19</v>
      </c>
      <c r="I56" s="20"/>
    </row>
    <row r="57" spans="2:9" x14ac:dyDescent="0.2">
      <c r="B57" s="22" t="s">
        <v>146</v>
      </c>
      <c r="C57" s="19" t="s">
        <v>147</v>
      </c>
      <c r="D57" s="19" t="s">
        <v>148</v>
      </c>
      <c r="E57" s="23">
        <v>264368</v>
      </c>
      <c r="F57" s="20">
        <v>15868.69</v>
      </c>
      <c r="G57" s="20">
        <v>0.64</v>
      </c>
      <c r="H57" s="20" t="s">
        <v>19</v>
      </c>
      <c r="I57" s="20"/>
    </row>
    <row r="58" spans="2:9" x14ac:dyDescent="0.2">
      <c r="B58" s="22" t="s">
        <v>149</v>
      </c>
      <c r="C58" s="19" t="s">
        <v>150</v>
      </c>
      <c r="D58" s="19" t="s">
        <v>49</v>
      </c>
      <c r="E58" s="23">
        <v>6082642</v>
      </c>
      <c r="F58" s="20">
        <v>15684.09</v>
      </c>
      <c r="G58" s="20">
        <v>0.63</v>
      </c>
      <c r="H58" s="20" t="s">
        <v>46</v>
      </c>
      <c r="I58" s="20"/>
    </row>
    <row r="59" spans="2:9" x14ac:dyDescent="0.2">
      <c r="B59" s="22" t="s">
        <v>151</v>
      </c>
      <c r="C59" s="19" t="s">
        <v>152</v>
      </c>
      <c r="D59" s="19" t="s">
        <v>49</v>
      </c>
      <c r="E59" s="23">
        <v>902271</v>
      </c>
      <c r="F59" s="20">
        <v>14337.09</v>
      </c>
      <c r="G59" s="20">
        <v>0.57999999999999996</v>
      </c>
      <c r="H59" s="20" t="s">
        <v>19</v>
      </c>
      <c r="I59" s="20"/>
    </row>
    <row r="60" spans="2:9" x14ac:dyDescent="0.2">
      <c r="B60" s="22" t="s">
        <v>153</v>
      </c>
      <c r="C60" s="19" t="s">
        <v>154</v>
      </c>
      <c r="D60" s="19" t="s">
        <v>45</v>
      </c>
      <c r="E60" s="23">
        <v>1208405</v>
      </c>
      <c r="F60" s="20">
        <v>14329.27</v>
      </c>
      <c r="G60" s="20">
        <v>0.57999999999999996</v>
      </c>
      <c r="H60" s="20" t="s">
        <v>25</v>
      </c>
      <c r="I60" s="20"/>
    </row>
    <row r="61" spans="2:9" x14ac:dyDescent="0.2">
      <c r="B61" s="22" t="s">
        <v>155</v>
      </c>
      <c r="C61" s="19" t="s">
        <v>156</v>
      </c>
      <c r="D61" s="19" t="s">
        <v>92</v>
      </c>
      <c r="E61" s="23">
        <v>1961573</v>
      </c>
      <c r="F61" s="20">
        <v>14225.33</v>
      </c>
      <c r="G61" s="20">
        <v>0.57999999999999996</v>
      </c>
      <c r="H61" s="20" t="s">
        <v>19</v>
      </c>
      <c r="I61" s="20"/>
    </row>
    <row r="62" spans="2:9" x14ac:dyDescent="0.2">
      <c r="B62" s="22" t="s">
        <v>157</v>
      </c>
      <c r="C62" s="19" t="s">
        <v>158</v>
      </c>
      <c r="D62" s="19" t="s">
        <v>49</v>
      </c>
      <c r="E62" s="23">
        <v>315548</v>
      </c>
      <c r="F62" s="20">
        <v>13655.34</v>
      </c>
      <c r="G62" s="20">
        <v>0.55000000000000004</v>
      </c>
      <c r="H62" s="20" t="s">
        <v>19</v>
      </c>
      <c r="I62" s="20"/>
    </row>
    <row r="63" spans="2:9" x14ac:dyDescent="0.2">
      <c r="B63" s="22" t="s">
        <v>159</v>
      </c>
      <c r="C63" s="19" t="s">
        <v>160</v>
      </c>
      <c r="D63" s="19" t="s">
        <v>67</v>
      </c>
      <c r="E63" s="23">
        <v>1053992</v>
      </c>
      <c r="F63" s="20">
        <v>13335.11</v>
      </c>
      <c r="G63" s="20">
        <v>0.54</v>
      </c>
      <c r="H63" s="20" t="s">
        <v>46</v>
      </c>
      <c r="I63" s="20"/>
    </row>
    <row r="64" spans="2:9" x14ac:dyDescent="0.2">
      <c r="B64" s="22" t="s">
        <v>161</v>
      </c>
      <c r="C64" s="19" t="s">
        <v>162</v>
      </c>
      <c r="D64" s="19" t="s">
        <v>18</v>
      </c>
      <c r="E64" s="23">
        <v>1336770</v>
      </c>
      <c r="F64" s="20">
        <v>13240.71</v>
      </c>
      <c r="G64" s="20">
        <v>0.54</v>
      </c>
      <c r="H64" s="20" t="s">
        <v>25</v>
      </c>
      <c r="I64" s="20"/>
    </row>
    <row r="65" spans="2:9" x14ac:dyDescent="0.2">
      <c r="B65" s="22" t="s">
        <v>163</v>
      </c>
      <c r="C65" s="19" t="s">
        <v>164</v>
      </c>
      <c r="D65" s="19" t="s">
        <v>165</v>
      </c>
      <c r="E65" s="23">
        <v>229682</v>
      </c>
      <c r="F65" s="20">
        <v>13051.68</v>
      </c>
      <c r="G65" s="20">
        <v>0.53</v>
      </c>
      <c r="H65" s="20" t="s">
        <v>46</v>
      </c>
      <c r="I65" s="20"/>
    </row>
    <row r="66" spans="2:9" x14ac:dyDescent="0.2">
      <c r="B66" s="22" t="s">
        <v>166</v>
      </c>
      <c r="C66" s="19" t="s">
        <v>167</v>
      </c>
      <c r="D66" s="19" t="s">
        <v>108</v>
      </c>
      <c r="E66" s="23">
        <v>936882</v>
      </c>
      <c r="F66" s="20">
        <v>12936.47</v>
      </c>
      <c r="G66" s="20">
        <v>0.52</v>
      </c>
      <c r="H66" s="20" t="s">
        <v>25</v>
      </c>
      <c r="I66" s="20"/>
    </row>
    <row r="67" spans="2:9" x14ac:dyDescent="0.2">
      <c r="B67" s="22" t="s">
        <v>168</v>
      </c>
      <c r="C67" s="19" t="s">
        <v>169</v>
      </c>
      <c r="D67" s="19" t="s">
        <v>170</v>
      </c>
      <c r="E67" s="23">
        <v>1439514</v>
      </c>
      <c r="F67" s="20">
        <v>12923.96</v>
      </c>
      <c r="G67" s="20">
        <v>0.52</v>
      </c>
      <c r="H67" s="20" t="s">
        <v>25</v>
      </c>
      <c r="I67" s="20"/>
    </row>
    <row r="68" spans="2:9" x14ac:dyDescent="0.2">
      <c r="B68" s="22" t="s">
        <v>171</v>
      </c>
      <c r="C68" s="19" t="s">
        <v>172</v>
      </c>
      <c r="D68" s="19" t="s">
        <v>34</v>
      </c>
      <c r="E68" s="23">
        <v>83921</v>
      </c>
      <c r="F68" s="20">
        <v>12725.78</v>
      </c>
      <c r="G68" s="20">
        <v>0.51</v>
      </c>
      <c r="H68" s="20" t="s">
        <v>46</v>
      </c>
      <c r="I68" s="20"/>
    </row>
    <row r="69" spans="2:9" x14ac:dyDescent="0.2">
      <c r="B69" s="22" t="s">
        <v>173</v>
      </c>
      <c r="C69" s="19" t="s">
        <v>174</v>
      </c>
      <c r="D69" s="19" t="s">
        <v>34</v>
      </c>
      <c r="E69" s="23">
        <v>275593</v>
      </c>
      <c r="F69" s="20">
        <v>12008.14</v>
      </c>
      <c r="G69" s="20">
        <v>0.49</v>
      </c>
      <c r="H69" s="20" t="s">
        <v>25</v>
      </c>
      <c r="I69" s="20"/>
    </row>
    <row r="70" spans="2:9" x14ac:dyDescent="0.2">
      <c r="B70" s="22" t="s">
        <v>175</v>
      </c>
      <c r="C70" s="19" t="s">
        <v>176</v>
      </c>
      <c r="D70" s="19" t="s">
        <v>37</v>
      </c>
      <c r="E70" s="23">
        <v>3912980</v>
      </c>
      <c r="F70" s="20">
        <v>11807.42</v>
      </c>
      <c r="G70" s="20">
        <v>0.48</v>
      </c>
      <c r="H70" s="20" t="s">
        <v>25</v>
      </c>
      <c r="I70" s="20"/>
    </row>
    <row r="71" spans="2:9" x14ac:dyDescent="0.2">
      <c r="B71" s="22" t="s">
        <v>177</v>
      </c>
      <c r="C71" s="19" t="s">
        <v>178</v>
      </c>
      <c r="D71" s="19" t="s">
        <v>22</v>
      </c>
      <c r="E71" s="23">
        <v>2128153</v>
      </c>
      <c r="F71" s="20">
        <v>11064.27</v>
      </c>
      <c r="G71" s="20">
        <v>0.45</v>
      </c>
      <c r="H71" s="20" t="s">
        <v>25</v>
      </c>
      <c r="I71" s="20"/>
    </row>
    <row r="72" spans="2:9" x14ac:dyDescent="0.2">
      <c r="B72" s="22" t="s">
        <v>179</v>
      </c>
      <c r="C72" s="19" t="s">
        <v>180</v>
      </c>
      <c r="D72" s="19" t="s">
        <v>87</v>
      </c>
      <c r="E72" s="23">
        <v>159444</v>
      </c>
      <c r="F72" s="20">
        <v>10730.58</v>
      </c>
      <c r="G72" s="20">
        <v>0.43</v>
      </c>
      <c r="H72" s="20" t="s">
        <v>25</v>
      </c>
      <c r="I72" s="20"/>
    </row>
    <row r="73" spans="2:9" x14ac:dyDescent="0.2">
      <c r="B73" s="22" t="s">
        <v>181</v>
      </c>
      <c r="C73" s="19" t="s">
        <v>182</v>
      </c>
      <c r="D73" s="19" t="s">
        <v>34</v>
      </c>
      <c r="E73" s="23">
        <v>1949937</v>
      </c>
      <c r="F73" s="20">
        <v>10422.41</v>
      </c>
      <c r="G73" s="20">
        <v>0.42</v>
      </c>
      <c r="H73" s="20" t="s">
        <v>46</v>
      </c>
      <c r="I73" s="20"/>
    </row>
    <row r="74" spans="2:9" x14ac:dyDescent="0.2">
      <c r="B74" s="22" t="s">
        <v>183</v>
      </c>
      <c r="C74" s="19" t="s">
        <v>184</v>
      </c>
      <c r="D74" s="19" t="s">
        <v>98</v>
      </c>
      <c r="E74" s="23">
        <v>790562</v>
      </c>
      <c r="F74" s="20">
        <v>10057.530000000001</v>
      </c>
      <c r="G74" s="20">
        <v>0.41</v>
      </c>
      <c r="H74" s="20" t="s">
        <v>46</v>
      </c>
      <c r="I74" s="20"/>
    </row>
    <row r="75" spans="2:9" x14ac:dyDescent="0.2">
      <c r="B75" s="22" t="s">
        <v>185</v>
      </c>
      <c r="C75" s="19" t="s">
        <v>186</v>
      </c>
      <c r="D75" s="19" t="s">
        <v>67</v>
      </c>
      <c r="E75" s="23">
        <v>489880</v>
      </c>
      <c r="F75" s="20">
        <v>9765.27</v>
      </c>
      <c r="G75" s="20">
        <v>0.39</v>
      </c>
      <c r="H75" s="20" t="s">
        <v>19</v>
      </c>
      <c r="I75" s="20"/>
    </row>
    <row r="76" spans="2:9" x14ac:dyDescent="0.2">
      <c r="B76" s="22" t="s">
        <v>187</v>
      </c>
      <c r="C76" s="19" t="s">
        <v>188</v>
      </c>
      <c r="D76" s="19" t="s">
        <v>92</v>
      </c>
      <c r="E76" s="23">
        <v>343050</v>
      </c>
      <c r="F76" s="20">
        <v>9294.25</v>
      </c>
      <c r="G76" s="20">
        <v>0.38</v>
      </c>
      <c r="H76" s="20" t="s">
        <v>25</v>
      </c>
      <c r="I76" s="20"/>
    </row>
    <row r="77" spans="2:9" x14ac:dyDescent="0.2">
      <c r="B77" s="22" t="s">
        <v>189</v>
      </c>
      <c r="C77" s="19" t="s">
        <v>190</v>
      </c>
      <c r="D77" s="19" t="s">
        <v>165</v>
      </c>
      <c r="E77" s="23">
        <v>1778951</v>
      </c>
      <c r="F77" s="20">
        <v>8817.3700000000008</v>
      </c>
      <c r="G77" s="20">
        <v>0.36</v>
      </c>
      <c r="H77" s="20" t="s">
        <v>25</v>
      </c>
      <c r="I77" s="20"/>
    </row>
    <row r="78" spans="2:9" x14ac:dyDescent="0.2">
      <c r="B78" s="22" t="s">
        <v>191</v>
      </c>
      <c r="C78" s="19" t="s">
        <v>192</v>
      </c>
      <c r="D78" s="19" t="s">
        <v>148</v>
      </c>
      <c r="E78" s="23">
        <v>3931940</v>
      </c>
      <c r="F78" s="20">
        <v>8202.81</v>
      </c>
      <c r="G78" s="20">
        <v>0.33</v>
      </c>
      <c r="H78" s="20" t="s">
        <v>46</v>
      </c>
      <c r="I78" s="20"/>
    </row>
    <row r="79" spans="2:9" x14ac:dyDescent="0.2">
      <c r="B79" s="22" t="s">
        <v>193</v>
      </c>
      <c r="C79" s="19" t="s">
        <v>194</v>
      </c>
      <c r="D79" s="19" t="s">
        <v>34</v>
      </c>
      <c r="E79" s="23">
        <v>385439</v>
      </c>
      <c r="F79" s="20">
        <v>7366.51</v>
      </c>
      <c r="G79" s="20">
        <v>0.3</v>
      </c>
      <c r="H79" s="20" t="s">
        <v>25</v>
      </c>
      <c r="I79" s="20"/>
    </row>
    <row r="80" spans="2:9" x14ac:dyDescent="0.2">
      <c r="B80" s="22" t="s">
        <v>195</v>
      </c>
      <c r="C80" s="19" t="s">
        <v>196</v>
      </c>
      <c r="D80" s="19" t="s">
        <v>165</v>
      </c>
      <c r="E80" s="23">
        <v>148805</v>
      </c>
      <c r="F80" s="20">
        <v>7183.11</v>
      </c>
      <c r="G80" s="20">
        <v>0.28999999999999998</v>
      </c>
      <c r="H80" s="20" t="s">
        <v>19</v>
      </c>
      <c r="I80" s="20"/>
    </row>
    <row r="81" spans="2:9" x14ac:dyDescent="0.2">
      <c r="B81" s="22" t="s">
        <v>197</v>
      </c>
      <c r="C81" s="19" t="s">
        <v>198</v>
      </c>
      <c r="D81" s="19" t="s">
        <v>49</v>
      </c>
      <c r="E81" s="23">
        <v>1556153</v>
      </c>
      <c r="F81" s="20">
        <v>6475.15</v>
      </c>
      <c r="G81" s="20">
        <v>0.26</v>
      </c>
      <c r="H81" s="20" t="s">
        <v>46</v>
      </c>
      <c r="I81" s="20"/>
    </row>
    <row r="82" spans="2:9" x14ac:dyDescent="0.2">
      <c r="B82" s="22" t="s">
        <v>199</v>
      </c>
      <c r="C82" s="19" t="s">
        <v>200</v>
      </c>
      <c r="D82" s="19" t="s">
        <v>95</v>
      </c>
      <c r="E82" s="23">
        <v>636406</v>
      </c>
      <c r="F82" s="20">
        <v>5239.21</v>
      </c>
      <c r="G82" s="20">
        <v>0.21</v>
      </c>
      <c r="H82" s="20" t="s">
        <v>46</v>
      </c>
      <c r="I82" s="20"/>
    </row>
    <row r="83" spans="2:9" x14ac:dyDescent="0.2">
      <c r="B83" s="22" t="s">
        <v>201</v>
      </c>
      <c r="C83" s="19" t="s">
        <v>202</v>
      </c>
      <c r="D83" s="19" t="s">
        <v>203</v>
      </c>
      <c r="E83" s="23">
        <v>270047</v>
      </c>
      <c r="F83" s="20">
        <v>5134.9399999999996</v>
      </c>
      <c r="G83" s="20">
        <v>0.21</v>
      </c>
      <c r="H83" s="20" t="s">
        <v>25</v>
      </c>
      <c r="I83" s="20"/>
    </row>
    <row r="84" spans="2:9" x14ac:dyDescent="0.2">
      <c r="B84" s="22" t="s">
        <v>204</v>
      </c>
      <c r="C84" s="19" t="s">
        <v>205</v>
      </c>
      <c r="D84" s="19" t="s">
        <v>92</v>
      </c>
      <c r="E84" s="23">
        <v>694049</v>
      </c>
      <c r="F84" s="20">
        <v>5073.5</v>
      </c>
      <c r="G84" s="20">
        <v>0.21</v>
      </c>
      <c r="H84" s="20" t="s">
        <v>25</v>
      </c>
      <c r="I84" s="20"/>
    </row>
    <row r="85" spans="2:9" x14ac:dyDescent="0.2">
      <c r="B85" s="22" t="s">
        <v>206</v>
      </c>
      <c r="C85" s="19" t="s">
        <v>207</v>
      </c>
      <c r="D85" s="19" t="s">
        <v>98</v>
      </c>
      <c r="E85" s="23">
        <v>740200</v>
      </c>
      <c r="F85" s="20">
        <v>5015.6000000000004</v>
      </c>
      <c r="G85" s="20">
        <v>0.2</v>
      </c>
      <c r="H85" s="20" t="s">
        <v>46</v>
      </c>
      <c r="I85" s="20"/>
    </row>
    <row r="86" spans="2:9" x14ac:dyDescent="0.2">
      <c r="B86" s="22" t="s">
        <v>208</v>
      </c>
      <c r="C86" s="19" t="s">
        <v>209</v>
      </c>
      <c r="D86" s="19" t="s">
        <v>92</v>
      </c>
      <c r="E86" s="23">
        <v>139104</v>
      </c>
      <c r="F86" s="20">
        <v>4336.9799999999996</v>
      </c>
      <c r="G86" s="20">
        <v>0.18</v>
      </c>
      <c r="H86" s="20" t="s">
        <v>25</v>
      </c>
      <c r="I86" s="20"/>
    </row>
    <row r="87" spans="2:9" x14ac:dyDescent="0.2">
      <c r="B87" s="22" t="s">
        <v>210</v>
      </c>
      <c r="C87" s="19" t="s">
        <v>211</v>
      </c>
      <c r="D87" s="19" t="s">
        <v>212</v>
      </c>
      <c r="E87" s="23">
        <v>2751594</v>
      </c>
      <c r="F87" s="20">
        <v>3652.19</v>
      </c>
      <c r="G87" s="20">
        <v>0.15</v>
      </c>
      <c r="H87" s="20" t="s">
        <v>46</v>
      </c>
      <c r="I87" s="20"/>
    </row>
    <row r="88" spans="2:9" x14ac:dyDescent="0.2">
      <c r="B88" s="22" t="s">
        <v>213</v>
      </c>
      <c r="C88" s="19" t="s">
        <v>214</v>
      </c>
      <c r="D88" s="19" t="s">
        <v>215</v>
      </c>
      <c r="E88" s="23">
        <v>596719</v>
      </c>
      <c r="F88" s="20">
        <v>3220.49</v>
      </c>
      <c r="G88" s="20">
        <v>0.13</v>
      </c>
      <c r="H88" s="20" t="s">
        <v>46</v>
      </c>
      <c r="I88" s="20"/>
    </row>
    <row r="89" spans="2:9" x14ac:dyDescent="0.2">
      <c r="B89" s="22" t="s">
        <v>216</v>
      </c>
      <c r="C89" s="19" t="s">
        <v>217</v>
      </c>
      <c r="D89" s="19" t="s">
        <v>34</v>
      </c>
      <c r="E89" s="23">
        <v>2274</v>
      </c>
      <c r="F89" s="20">
        <v>3206</v>
      </c>
      <c r="G89" s="20">
        <v>0.13</v>
      </c>
      <c r="H89" s="20" t="s">
        <v>25</v>
      </c>
      <c r="I89" s="20"/>
    </row>
    <row r="90" spans="2:9" x14ac:dyDescent="0.2">
      <c r="B90" s="22" t="s">
        <v>218</v>
      </c>
      <c r="C90" s="19" t="s">
        <v>219</v>
      </c>
      <c r="D90" s="19" t="s">
        <v>215</v>
      </c>
      <c r="E90" s="23">
        <v>3500000</v>
      </c>
      <c r="F90" s="20">
        <v>3060.75</v>
      </c>
      <c r="G90" s="20">
        <v>0.12</v>
      </c>
      <c r="H90" s="20" t="s">
        <v>46</v>
      </c>
      <c r="I90" s="20"/>
    </row>
    <row r="91" spans="2:9" x14ac:dyDescent="0.2">
      <c r="B91" s="22" t="s">
        <v>220</v>
      </c>
      <c r="C91" s="19" t="s">
        <v>221</v>
      </c>
      <c r="D91" s="19" t="s">
        <v>222</v>
      </c>
      <c r="E91" s="23">
        <v>97776</v>
      </c>
      <c r="F91" s="20">
        <v>2280.14</v>
      </c>
      <c r="G91" s="20">
        <v>0.09</v>
      </c>
      <c r="H91" s="20" t="s">
        <v>46</v>
      </c>
      <c r="I91" s="20"/>
    </row>
    <row r="92" spans="2:9" x14ac:dyDescent="0.2">
      <c r="B92" s="22" t="s">
        <v>223</v>
      </c>
      <c r="C92" s="19" t="s">
        <v>224</v>
      </c>
      <c r="D92" s="19" t="s">
        <v>98</v>
      </c>
      <c r="E92" s="23">
        <v>244735</v>
      </c>
      <c r="F92" s="20">
        <v>2278.9699999999998</v>
      </c>
      <c r="G92" s="20">
        <v>0.09</v>
      </c>
      <c r="H92" s="20" t="s">
        <v>25</v>
      </c>
      <c r="I92" s="20"/>
    </row>
    <row r="93" spans="2:9" x14ac:dyDescent="0.2">
      <c r="B93" s="22" t="s">
        <v>225</v>
      </c>
      <c r="C93" s="19" t="s">
        <v>226</v>
      </c>
      <c r="D93" s="19" t="s">
        <v>165</v>
      </c>
      <c r="E93" s="23">
        <v>401427</v>
      </c>
      <c r="F93" s="20">
        <v>2191.19</v>
      </c>
      <c r="G93" s="20">
        <v>0.09</v>
      </c>
      <c r="H93" s="20" t="s">
        <v>46</v>
      </c>
      <c r="I93" s="20"/>
    </row>
    <row r="94" spans="2:9" x14ac:dyDescent="0.2">
      <c r="B94" s="22" t="s">
        <v>227</v>
      </c>
      <c r="C94" s="19" t="s">
        <v>228</v>
      </c>
      <c r="D94" s="19" t="s">
        <v>75</v>
      </c>
      <c r="E94" s="23">
        <v>88572</v>
      </c>
      <c r="F94" s="20">
        <v>1990.74</v>
      </c>
      <c r="G94" s="20">
        <v>0.08</v>
      </c>
      <c r="H94" s="20" t="s">
        <v>25</v>
      </c>
      <c r="I94" s="20"/>
    </row>
    <row r="95" spans="2:9" x14ac:dyDescent="0.2">
      <c r="B95" s="22" t="s">
        <v>229</v>
      </c>
      <c r="C95" s="19" t="s">
        <v>230</v>
      </c>
      <c r="D95" s="19" t="s">
        <v>67</v>
      </c>
      <c r="E95" s="23">
        <v>27337</v>
      </c>
      <c r="F95" s="20">
        <v>1506.13</v>
      </c>
      <c r="G95" s="20">
        <v>0.06</v>
      </c>
      <c r="H95" s="20" t="s">
        <v>25</v>
      </c>
      <c r="I95" s="20"/>
    </row>
    <row r="96" spans="2:9" x14ac:dyDescent="0.2">
      <c r="B96" s="22" t="s">
        <v>231</v>
      </c>
      <c r="C96" s="19" t="s">
        <v>232</v>
      </c>
      <c r="D96" s="19" t="s">
        <v>111</v>
      </c>
      <c r="E96" s="23">
        <v>98600</v>
      </c>
      <c r="F96" s="20">
        <v>1470.82</v>
      </c>
      <c r="G96" s="20">
        <v>0.06</v>
      </c>
      <c r="H96" s="20" t="s">
        <v>25</v>
      </c>
      <c r="I96" s="20"/>
    </row>
    <row r="97" spans="2:10" x14ac:dyDescent="0.2">
      <c r="B97" s="22" t="s">
        <v>233</v>
      </c>
      <c r="C97" s="19" t="s">
        <v>234</v>
      </c>
      <c r="D97" s="19" t="s">
        <v>235</v>
      </c>
      <c r="E97" s="23">
        <v>39752</v>
      </c>
      <c r="F97" s="20">
        <v>1398.71</v>
      </c>
      <c r="G97" s="20">
        <v>0.06</v>
      </c>
      <c r="H97" s="20" t="s">
        <v>25</v>
      </c>
      <c r="I97" s="20"/>
    </row>
    <row r="98" spans="2:10" x14ac:dyDescent="0.2">
      <c r="B98" s="22" t="s">
        <v>236</v>
      </c>
      <c r="C98" s="19" t="s">
        <v>237</v>
      </c>
      <c r="D98" s="19" t="s">
        <v>18</v>
      </c>
      <c r="E98" s="23">
        <v>22244</v>
      </c>
      <c r="F98" s="20">
        <v>197.47</v>
      </c>
      <c r="G98" s="20">
        <v>0.01</v>
      </c>
      <c r="H98" s="20" t="s">
        <v>19</v>
      </c>
      <c r="I98" s="20"/>
    </row>
    <row r="99" spans="2:10" x14ac:dyDescent="0.2">
      <c r="B99" s="22" t="s">
        <v>238</v>
      </c>
      <c r="C99" s="19" t="s">
        <v>239</v>
      </c>
      <c r="D99" s="19" t="s">
        <v>45</v>
      </c>
      <c r="E99" s="23">
        <v>11480</v>
      </c>
      <c r="F99" s="20">
        <v>155.88</v>
      </c>
      <c r="G99" s="20">
        <v>0.01</v>
      </c>
      <c r="H99" s="20" t="s">
        <v>19</v>
      </c>
      <c r="I99" s="20"/>
    </row>
    <row r="100" spans="2:10" x14ac:dyDescent="0.2">
      <c r="B100" s="26" t="s">
        <v>240</v>
      </c>
      <c r="C100" s="27"/>
      <c r="D100" s="27"/>
      <c r="E100" s="27"/>
      <c r="F100" s="28">
        <f>SUM(F7:F99)</f>
        <v>2416935.2099999995</v>
      </c>
      <c r="G100" s="28">
        <f>SUM(G7:G99)</f>
        <v>97.730000000000032</v>
      </c>
      <c r="H100" s="28"/>
      <c r="I100" s="28"/>
      <c r="J100" s="29"/>
    </row>
    <row r="101" spans="2:10" x14ac:dyDescent="0.2">
      <c r="B101" s="30" t="s">
        <v>241</v>
      </c>
      <c r="C101" s="30"/>
      <c r="D101" s="30"/>
      <c r="E101" s="30"/>
      <c r="F101" s="31">
        <f>F100</f>
        <v>2416935.2099999995</v>
      </c>
      <c r="G101" s="31">
        <f>G100</f>
        <v>97.730000000000032</v>
      </c>
      <c r="H101" s="31"/>
      <c r="I101" s="32"/>
      <c r="J101" s="29"/>
    </row>
    <row r="102" spans="2:10" x14ac:dyDescent="0.2">
      <c r="B102" s="33" t="s">
        <v>242</v>
      </c>
      <c r="C102" s="15"/>
      <c r="D102" s="15"/>
      <c r="E102" s="15"/>
      <c r="F102" s="16"/>
      <c r="G102" s="16"/>
      <c r="H102" s="16"/>
      <c r="I102" s="16"/>
      <c r="J102" s="29"/>
    </row>
    <row r="103" spans="2:10" x14ac:dyDescent="0.2">
      <c r="B103" s="34" t="s">
        <v>15</v>
      </c>
      <c r="C103" s="19"/>
      <c r="D103" s="19"/>
      <c r="E103" s="19"/>
      <c r="F103" s="20"/>
      <c r="G103" s="20"/>
      <c r="H103" s="20"/>
      <c r="I103" s="20"/>
      <c r="J103" s="29"/>
    </row>
    <row r="104" spans="2:10" x14ac:dyDescent="0.2">
      <c r="B104" s="19" t="s">
        <v>243</v>
      </c>
      <c r="C104" s="19" t="s">
        <v>244</v>
      </c>
      <c r="D104" s="19" t="s">
        <v>245</v>
      </c>
      <c r="E104" s="23">
        <v>12181844</v>
      </c>
      <c r="F104" s="20">
        <v>1251.3599999999999</v>
      </c>
      <c r="G104" s="20">
        <v>0.05</v>
      </c>
      <c r="H104" s="20"/>
      <c r="I104" s="20">
        <v>6.33</v>
      </c>
      <c r="J104" s="29"/>
    </row>
    <row r="105" spans="2:10" x14ac:dyDescent="0.2">
      <c r="B105" s="27" t="s">
        <v>240</v>
      </c>
      <c r="C105" s="27"/>
      <c r="D105" s="27"/>
      <c r="E105" s="27"/>
      <c r="F105" s="28">
        <v>1251.3599999999999</v>
      </c>
      <c r="G105" s="28">
        <v>0.05</v>
      </c>
      <c r="H105" s="28"/>
      <c r="I105" s="28"/>
      <c r="J105" s="29"/>
    </row>
    <row r="106" spans="2:10" x14ac:dyDescent="0.2">
      <c r="B106" s="35" t="s">
        <v>241</v>
      </c>
      <c r="C106" s="35"/>
      <c r="D106" s="35"/>
      <c r="E106" s="35"/>
      <c r="F106" s="31">
        <v>1251.3599999999999</v>
      </c>
      <c r="G106" s="31">
        <v>0.05</v>
      </c>
      <c r="H106" s="31"/>
      <c r="I106" s="32"/>
      <c r="J106" s="29"/>
    </row>
    <row r="107" spans="2:10" x14ac:dyDescent="0.2">
      <c r="B107" s="36" t="s">
        <v>246</v>
      </c>
      <c r="C107" s="37"/>
      <c r="D107" s="37"/>
      <c r="E107" s="37"/>
      <c r="F107" s="38"/>
      <c r="G107" s="38"/>
      <c r="H107" s="38"/>
      <c r="I107" s="38"/>
    </row>
    <row r="108" spans="2:10" x14ac:dyDescent="0.2">
      <c r="B108" s="22" t="s">
        <v>246</v>
      </c>
      <c r="C108" s="19"/>
      <c r="D108" s="19"/>
      <c r="E108" s="19"/>
      <c r="F108" s="20">
        <v>33957.339999999997</v>
      </c>
      <c r="G108" s="20">
        <v>1.37</v>
      </c>
      <c r="H108" s="20"/>
      <c r="I108" s="20"/>
    </row>
    <row r="109" spans="2:10" x14ac:dyDescent="0.2">
      <c r="B109" s="26" t="s">
        <v>240</v>
      </c>
      <c r="C109" s="27"/>
      <c r="D109" s="27"/>
      <c r="E109" s="27"/>
      <c r="F109" s="28">
        <f>SUM(F107:F108)</f>
        <v>33957.339999999997</v>
      </c>
      <c r="G109" s="28">
        <f>SUM(G107:G108)</f>
        <v>1.37</v>
      </c>
      <c r="H109" s="28"/>
      <c r="I109" s="39"/>
      <c r="J109" s="29"/>
    </row>
    <row r="110" spans="2:10" x14ac:dyDescent="0.2">
      <c r="B110" s="40" t="s">
        <v>241</v>
      </c>
      <c r="C110" s="40"/>
      <c r="D110" s="40"/>
      <c r="E110" s="40"/>
      <c r="F110" s="41">
        <f>F109</f>
        <v>33957.339999999997</v>
      </c>
      <c r="G110" s="41">
        <f>G109</f>
        <v>1.37</v>
      </c>
      <c r="H110" s="41"/>
      <c r="I110" s="41"/>
      <c r="J110" s="29"/>
    </row>
    <row r="111" spans="2:10" x14ac:dyDescent="0.2">
      <c r="B111" s="42" t="s">
        <v>247</v>
      </c>
      <c r="C111" s="42"/>
      <c r="D111" s="42"/>
      <c r="E111" s="42"/>
      <c r="F111" s="43">
        <f>F112-(+F101+F110+F106)</f>
        <v>20908.080000001006</v>
      </c>
      <c r="G111" s="43">
        <f>G112-(+G101+G110+G106)</f>
        <v>0.84999999999996589</v>
      </c>
      <c r="H111" s="43"/>
      <c r="I111" s="43"/>
      <c r="J111" s="29"/>
    </row>
    <row r="112" spans="2:10" x14ac:dyDescent="0.2">
      <c r="B112" s="42" t="s">
        <v>248</v>
      </c>
      <c r="C112" s="42"/>
      <c r="D112" s="42"/>
      <c r="E112" s="42"/>
      <c r="F112" s="43">
        <v>2473051.9900000002</v>
      </c>
      <c r="G112" s="43">
        <v>100</v>
      </c>
      <c r="H112" s="43"/>
      <c r="I112" s="43"/>
      <c r="J112" s="29"/>
    </row>
    <row r="114" spans="2:3" ht="12.75" thickBot="1" x14ac:dyDescent="0.25">
      <c r="B114" s="29"/>
    </row>
    <row r="115" spans="2:3" ht="13.5" thickTop="1" thickBot="1" x14ac:dyDescent="0.25">
      <c r="B115" s="44" t="s">
        <v>249</v>
      </c>
      <c r="C115" s="45" t="s">
        <v>250</v>
      </c>
    </row>
    <row r="116" spans="2:3" ht="12.75" thickTop="1" x14ac:dyDescent="0.2"/>
    <row r="117" spans="2:3" x14ac:dyDescent="0.2">
      <c r="B117" s="29" t="s">
        <v>251</v>
      </c>
    </row>
    <row r="119" spans="2:3" x14ac:dyDescent="0.2">
      <c r="B119" s="29" t="s">
        <v>252</v>
      </c>
    </row>
    <row r="121" spans="2:3" ht="15" x14ac:dyDescent="0.2">
      <c r="B121" s="46" t="s">
        <v>253</v>
      </c>
    </row>
  </sheetData>
  <mergeCells count="5">
    <mergeCell ref="B1:I1"/>
    <mergeCell ref="K5:K12"/>
    <mergeCell ref="L5:L12"/>
    <mergeCell ref="M5:M12"/>
    <mergeCell ref="N5:N12"/>
  </mergeCells>
  <hyperlinks>
    <hyperlink ref="B121" r:id="rId1" xr:uid="{3DA24B3C-6111-4D4C-96D0-E15CCB30EBAA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11:34:30</KDate>
  <Classification>MIS INTERNAL</Classification>
  <Subclassification/>
  <HostName>MUMCMP01323</HostName>
  <Domain_User>CANARAROBECOMF/628</Domain_User>
  <IPAdd>10.212.134.107</IPAdd>
  <FilePath>Book4</FilePath>
  <KID>00090FAA0001639086528702400327</KID>
  <UniqueName/>
  <Suggested/>
  <Justification/>
  <KlassifyGUID/>
</Klassify>
</file>

<file path=customXml/itemProps1.xml><?xml version="1.0" encoding="utf-8"?>
<ds:datastoreItem xmlns:ds="http://schemas.openxmlformats.org/officeDocument/2006/customXml" ds:itemID="{2F1AB227-1E40-45C5-956D-AB38AE44FA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2026-03-09T06:04:29Z</dcterms:created>
  <dcterms:modified xsi:type="dcterms:W3CDTF">2026-03-09T06:04:30Z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00090FAA0001639086528702400327</vt:lpwstr>
  </property>
</Properties>
</file>