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60" windowHeight="7365"/>
  </bookViews>
  <sheets>
    <sheet name="CRI" sheetId="1" r:id="rId1"/>
    <sheet name="CREDF" sheetId="2" r:id="rId2"/>
    <sheet name="CRETSF" sheetId="3" r:id="rId3"/>
    <sheet name="CREE" sheetId="4" r:id="rId4"/>
    <sheet name="CRCTF" sheetId="5" r:id="rId5"/>
    <sheet name="CRBCEF" sheetId="6" r:id="rId6"/>
    <sheet name="CRSCF" sheetId="7" r:id="rId7"/>
    <sheet name="CREHF" sheetId="8" r:id="rId8"/>
    <sheet name="CRDBF" sheetId="9" r:id="rId9"/>
    <sheet name="CRGILT" sheetId="10" r:id="rId10"/>
    <sheet name="CRINC" sheetId="11" r:id="rId11"/>
    <sheet name="CRSF" sheetId="12" r:id="rId12"/>
    <sheet name="CRCHF" sheetId="13" r:id="rId13"/>
    <sheet name="CRG1988" sheetId="14" r:id="rId14"/>
    <sheet name="CRL" sheetId="15" r:id="rId15"/>
    <sheet name="CRUSTF" sheetId="16" r:id="rId16"/>
    <sheet name="CROF" sheetId="17" r:id="rId17"/>
    <sheet name="CRSDF" sheetId="18" r:id="rId18"/>
    <sheet name="CRCBF" sheetId="19" r:id="rId19"/>
    <sheet name="CRCPOF9" sheetId="20" r:id="rId20"/>
    <sheet name="CRDAF1" sheetId="21" r:id="rId21"/>
    <sheet name="CRFMP8" sheetId="22" r:id="rId22"/>
    <sheet name="CRCPOF10" sheetId="23" r:id="rId23"/>
  </sheets>
  <calcPr calcId="162913"/>
</workbook>
</file>

<file path=xl/calcChain.xml><?xml version="1.0" encoding="utf-8"?>
<calcChain xmlns="http://schemas.openxmlformats.org/spreadsheetml/2006/main">
  <c r="G67" i="23" l="1"/>
  <c r="F67" i="23"/>
  <c r="G66" i="23"/>
  <c r="F66" i="23"/>
  <c r="G63" i="23"/>
  <c r="F63" i="23"/>
  <c r="G57" i="23"/>
  <c r="G58" i="23" s="1"/>
  <c r="F57" i="23"/>
  <c r="F58" i="23" s="1"/>
  <c r="G47" i="23"/>
  <c r="G48" i="23" s="1"/>
  <c r="F47" i="23"/>
  <c r="F48" i="23" s="1"/>
  <c r="G23" i="22"/>
  <c r="F23" i="22"/>
  <c r="G22" i="22"/>
  <c r="F22" i="22"/>
  <c r="G19" i="22"/>
  <c r="G24" i="22" s="1"/>
  <c r="F19" i="22"/>
  <c r="F24" i="22" s="1"/>
  <c r="G18" i="22"/>
  <c r="F18" i="22"/>
  <c r="G77" i="21"/>
  <c r="G78" i="21" s="1"/>
  <c r="F77" i="21"/>
  <c r="F78" i="21" s="1"/>
  <c r="G74" i="21"/>
  <c r="F74" i="21"/>
  <c r="G70" i="21"/>
  <c r="F70" i="21"/>
  <c r="G69" i="21"/>
  <c r="F69" i="21"/>
  <c r="G65" i="21"/>
  <c r="F65" i="21"/>
  <c r="G64" i="21"/>
  <c r="F64" i="21"/>
  <c r="G46" i="21"/>
  <c r="G79" i="21" s="1"/>
  <c r="F46" i="21"/>
  <c r="F79" i="21" s="1"/>
  <c r="G45" i="21"/>
  <c r="F45" i="21"/>
  <c r="G71" i="20"/>
  <c r="G72" i="20" s="1"/>
  <c r="F71" i="20"/>
  <c r="F72" i="20" s="1"/>
  <c r="G68" i="20"/>
  <c r="F68" i="20"/>
  <c r="G62" i="20"/>
  <c r="F62" i="20"/>
  <c r="G61" i="20"/>
  <c r="F61" i="20"/>
  <c r="G46" i="20"/>
  <c r="G73" i="20" s="1"/>
  <c r="F46" i="20"/>
  <c r="F73" i="20" s="1"/>
  <c r="G45" i="20"/>
  <c r="F45" i="20"/>
  <c r="G58" i="19"/>
  <c r="G59" i="19" s="1"/>
  <c r="F58" i="19"/>
  <c r="F59" i="19" s="1"/>
  <c r="G55" i="19"/>
  <c r="F55" i="19"/>
  <c r="G42" i="19"/>
  <c r="F42" i="19"/>
  <c r="G41" i="19"/>
  <c r="F41" i="19"/>
  <c r="G37" i="19"/>
  <c r="G60" i="19" s="1"/>
  <c r="F37" i="19"/>
  <c r="F60" i="19" s="1"/>
  <c r="G36" i="19"/>
  <c r="F36" i="19"/>
  <c r="G82" i="18"/>
  <c r="G83" i="18" s="1"/>
  <c r="F82" i="18"/>
  <c r="F83" i="18" s="1"/>
  <c r="G79" i="18"/>
  <c r="F79" i="18"/>
  <c r="G62" i="18"/>
  <c r="F62" i="18"/>
  <c r="G61" i="18"/>
  <c r="F61" i="18"/>
  <c r="G56" i="18"/>
  <c r="G84" i="18" s="1"/>
  <c r="F56" i="18"/>
  <c r="F84" i="18" s="1"/>
  <c r="G55" i="18"/>
  <c r="F55" i="18"/>
  <c r="G7" i="17"/>
  <c r="G8" i="17" s="1"/>
  <c r="G9" i="17" s="1"/>
  <c r="F7" i="17"/>
  <c r="F8" i="17" s="1"/>
  <c r="F9" i="17" s="1"/>
  <c r="G44" i="16"/>
  <c r="F44" i="16"/>
  <c r="G43" i="16"/>
  <c r="F43" i="16"/>
  <c r="G40" i="16"/>
  <c r="F40" i="16"/>
  <c r="G36" i="16"/>
  <c r="F36" i="16"/>
  <c r="G27" i="16"/>
  <c r="F27" i="16"/>
  <c r="G24" i="16"/>
  <c r="G37" i="16" s="1"/>
  <c r="F24" i="16"/>
  <c r="F37" i="16" s="1"/>
  <c r="G18" i="16"/>
  <c r="G19" i="16" s="1"/>
  <c r="F18" i="16"/>
  <c r="F19" i="16" s="1"/>
  <c r="G33" i="15"/>
  <c r="F33" i="15"/>
  <c r="G32" i="15"/>
  <c r="F32" i="15"/>
  <c r="G28" i="15"/>
  <c r="F28" i="15"/>
  <c r="G17" i="15"/>
  <c r="G29" i="15" s="1"/>
  <c r="G34" i="15" s="1"/>
  <c r="F17" i="15"/>
  <c r="F29" i="15" s="1"/>
  <c r="F34" i="15" s="1"/>
  <c r="G10" i="15"/>
  <c r="F10" i="15"/>
  <c r="G11" i="14"/>
  <c r="G12" i="14" s="1"/>
  <c r="G13" i="14" s="1"/>
  <c r="F11" i="14"/>
  <c r="F12" i="14" s="1"/>
  <c r="F13" i="14" s="1"/>
  <c r="G8" i="14"/>
  <c r="F8" i="14"/>
  <c r="F78" i="13"/>
  <c r="G76" i="13"/>
  <c r="G77" i="13" s="1"/>
  <c r="F76" i="13"/>
  <c r="F77" i="13" s="1"/>
  <c r="G73" i="13"/>
  <c r="F73" i="13"/>
  <c r="G61" i="13"/>
  <c r="F61" i="13"/>
  <c r="G60" i="13"/>
  <c r="F60" i="13"/>
  <c r="G56" i="13"/>
  <c r="F56" i="13"/>
  <c r="G55" i="13"/>
  <c r="F55" i="13"/>
  <c r="G43" i="13"/>
  <c r="G78" i="13" s="1"/>
  <c r="F43" i="13"/>
  <c r="G42" i="13"/>
  <c r="F42" i="13"/>
  <c r="G64" i="12"/>
  <c r="G65" i="12" s="1"/>
  <c r="F64" i="12"/>
  <c r="F65" i="12" s="1"/>
  <c r="G61" i="12"/>
  <c r="F61" i="12"/>
  <c r="G53" i="12"/>
  <c r="F53" i="12"/>
  <c r="G46" i="12"/>
  <c r="G54" i="12" s="1"/>
  <c r="F46" i="12"/>
  <c r="F54" i="12" s="1"/>
  <c r="F66" i="12" s="1"/>
  <c r="G42" i="12"/>
  <c r="F42" i="12"/>
  <c r="G32" i="12"/>
  <c r="G66" i="12" s="1"/>
  <c r="F32" i="12"/>
  <c r="G31" i="12"/>
  <c r="F31" i="12"/>
  <c r="F38" i="11"/>
  <c r="G36" i="11"/>
  <c r="G37" i="11" s="1"/>
  <c r="F36" i="11"/>
  <c r="F37" i="11" s="1"/>
  <c r="G33" i="11"/>
  <c r="F33" i="11"/>
  <c r="G17" i="11"/>
  <c r="G38" i="11" s="1"/>
  <c r="F17" i="11"/>
  <c r="G16" i="11"/>
  <c r="F16" i="11"/>
  <c r="G18" i="10"/>
  <c r="G19" i="10" s="1"/>
  <c r="G20" i="10" s="1"/>
  <c r="F18" i="10"/>
  <c r="F19" i="10" s="1"/>
  <c r="F20" i="10" s="1"/>
  <c r="G15" i="10"/>
  <c r="F15" i="10"/>
  <c r="G22" i="9"/>
  <c r="G23" i="9" s="1"/>
  <c r="F22" i="9"/>
  <c r="F23" i="9" s="1"/>
  <c r="G19" i="9"/>
  <c r="F19" i="9"/>
  <c r="G9" i="9"/>
  <c r="G24" i="9" s="1"/>
  <c r="F9" i="9"/>
  <c r="F24" i="9" s="1"/>
  <c r="G8" i="9"/>
  <c r="F8" i="9"/>
  <c r="F124" i="8"/>
  <c r="G122" i="8"/>
  <c r="G123" i="8" s="1"/>
  <c r="F122" i="8"/>
  <c r="F123" i="8" s="1"/>
  <c r="G119" i="8"/>
  <c r="F119" i="8"/>
  <c r="G104" i="8"/>
  <c r="F104" i="8"/>
  <c r="G103" i="8"/>
  <c r="F103" i="8"/>
  <c r="G99" i="8"/>
  <c r="F99" i="8"/>
  <c r="G98" i="8"/>
  <c r="F98" i="8"/>
  <c r="G60" i="8"/>
  <c r="G124" i="8" s="1"/>
  <c r="F60" i="8"/>
  <c r="G59" i="8"/>
  <c r="F59" i="8"/>
  <c r="G66" i="7"/>
  <c r="G67" i="7" s="1"/>
  <c r="F66" i="7"/>
  <c r="F67" i="7" s="1"/>
  <c r="G62" i="7"/>
  <c r="G63" i="7" s="1"/>
  <c r="F62" i="7"/>
  <c r="F63" i="7" s="1"/>
  <c r="F68" i="7" s="1"/>
  <c r="F55" i="6"/>
  <c r="G54" i="6"/>
  <c r="G55" i="6" s="1"/>
  <c r="F54" i="6"/>
  <c r="F51" i="6"/>
  <c r="F56" i="6" s="1"/>
  <c r="G50" i="6"/>
  <c r="G51" i="6" s="1"/>
  <c r="G56" i="6" s="1"/>
  <c r="F50" i="6"/>
  <c r="G59" i="5"/>
  <c r="G60" i="5" s="1"/>
  <c r="F59" i="5"/>
  <c r="F60" i="5" s="1"/>
  <c r="G55" i="5"/>
  <c r="G56" i="5" s="1"/>
  <c r="G61" i="5" s="1"/>
  <c r="F55" i="5"/>
  <c r="F56" i="5" s="1"/>
  <c r="G68" i="4"/>
  <c r="G67" i="4"/>
  <c r="F67" i="4"/>
  <c r="F68" i="4" s="1"/>
  <c r="G64" i="4"/>
  <c r="G69" i="4" s="1"/>
  <c r="G63" i="4"/>
  <c r="F63" i="4"/>
  <c r="F64" i="4" s="1"/>
  <c r="G63" i="3"/>
  <c r="G64" i="3" s="1"/>
  <c r="F63" i="3"/>
  <c r="F64" i="3" s="1"/>
  <c r="G59" i="3"/>
  <c r="G60" i="3" s="1"/>
  <c r="F59" i="3"/>
  <c r="F60" i="3" s="1"/>
  <c r="G69" i="2"/>
  <c r="G68" i="2"/>
  <c r="F68" i="2"/>
  <c r="F69" i="2" s="1"/>
  <c r="G65" i="2"/>
  <c r="G70" i="2" s="1"/>
  <c r="G64" i="2"/>
  <c r="F64" i="2"/>
  <c r="F65" i="2" s="1"/>
  <c r="G44" i="1"/>
  <c r="G45" i="1" s="1"/>
  <c r="F44" i="1"/>
  <c r="F45" i="1" s="1"/>
  <c r="G40" i="1"/>
  <c r="G41" i="1" s="1"/>
  <c r="F40" i="1"/>
  <c r="F41" i="1" s="1"/>
  <c r="F46" i="1" s="1"/>
  <c r="G68" i="7" l="1"/>
  <c r="F61" i="5"/>
  <c r="F69" i="4"/>
  <c r="F65" i="3"/>
  <c r="F70" i="2"/>
  <c r="G46" i="1"/>
  <c r="F45" i="16"/>
  <c r="F68" i="23"/>
  <c r="G65" i="3"/>
  <c r="G45" i="16"/>
  <c r="G68" i="23"/>
</calcChain>
</file>

<file path=xl/sharedStrings.xml><?xml version="1.0" encoding="utf-8"?>
<sst xmlns="http://schemas.openxmlformats.org/spreadsheetml/2006/main" count="3223" uniqueCount="793">
  <si>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</si>
  <si>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</si>
  <si>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</si>
  <si>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</si>
  <si>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</si>
  <si>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</si>
  <si>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</si>
  <si>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October 31, 2020</t>
  </si>
  <si>
    <t>CANARA ROBECO INFRASTRUCTURE</t>
  </si>
  <si>
    <t>CANARA ROBECO EQUITY DIVERSIFIED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</si>
  <si>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</si>
  <si>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</si>
  <si>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</si>
  <si>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</si>
  <si>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</si>
  <si>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</si>
  <si>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</si>
  <si>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</si>
  <si>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</si>
  <si>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</si>
  <si>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</si>
  <si>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</si>
  <si>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</si>
  <si>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</si>
  <si>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</si>
  <si>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</si>
  <si>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</si>
  <si>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CANARA ROBECO   CAPITAL  PROTECTION  ORIENTED  FUND– SERIES 9</t>
  </si>
  <si>
    <t>CANARA ROBECO DUAL ADVANTAGE FUND - SERIES 1</t>
  </si>
  <si>
    <t>CANARA ROBECO FIXED MATURITY PLAN SERIES 8</t>
  </si>
  <si>
    <t>CANARA  ROBECO  CAPITAL  PROTECTION  ORIENTED FUND– SERIES 10</t>
  </si>
  <si>
    <t>Equity &amp; Equity related</t>
  </si>
  <si>
    <t>(a) Listed / awaiting listing on Stock Exchanges</t>
  </si>
  <si>
    <t>Larsen &amp; Toubro Ltd</t>
  </si>
  <si>
    <t>INE018A01030</t>
  </si>
  <si>
    <t>Construction Project</t>
  </si>
  <si>
    <t>Reliance Industries Ltd</t>
  </si>
  <si>
    <t>INE002A01018</t>
  </si>
  <si>
    <t>Petroleum Products</t>
  </si>
  <si>
    <t>NTPC Ltd</t>
  </si>
  <si>
    <t>INE733E01010</t>
  </si>
  <si>
    <t>Power</t>
  </si>
  <si>
    <t>The Ramco Cements Ltd</t>
  </si>
  <si>
    <t>INE331A01037</t>
  </si>
  <si>
    <t>Cement</t>
  </si>
  <si>
    <t>Honeywell Automation India Ltd</t>
  </si>
  <si>
    <t>INE671A01010</t>
  </si>
  <si>
    <t>Industrial Capital Goods</t>
  </si>
  <si>
    <t>Thermax Ltd</t>
  </si>
  <si>
    <t>INE152A01029</t>
  </si>
  <si>
    <t>TCI Express Ltd</t>
  </si>
  <si>
    <t>INE586V01016</t>
  </si>
  <si>
    <t>Transportation</t>
  </si>
  <si>
    <t>KNR Constructions Ltd</t>
  </si>
  <si>
    <t>INE634I01029</t>
  </si>
  <si>
    <t>Construction</t>
  </si>
  <si>
    <t>Siemens Ltd</t>
  </si>
  <si>
    <t>INE003A01024</t>
  </si>
  <si>
    <t>Voltas Ltd</t>
  </si>
  <si>
    <t>INE226A01021</t>
  </si>
  <si>
    <t>Consumer Durables</t>
  </si>
  <si>
    <t>AIA Engineering Ltd</t>
  </si>
  <si>
    <t>INE212H01026</t>
  </si>
  <si>
    <t>Industrial Products</t>
  </si>
  <si>
    <t>Gujarat Gas Ltd</t>
  </si>
  <si>
    <t>INE844O01030</t>
  </si>
  <si>
    <t>Gas</t>
  </si>
  <si>
    <t>Indraprastha Gas Ltd</t>
  </si>
  <si>
    <t>INE203G01027</t>
  </si>
  <si>
    <t>Hindustan Petroleum Corporation Ltd</t>
  </si>
  <si>
    <t>INE094A01015</t>
  </si>
  <si>
    <t>Power Grid Corporation of India Ltd</t>
  </si>
  <si>
    <t>INE752E01010</t>
  </si>
  <si>
    <t>Transport Corporation of India Ltd</t>
  </si>
  <si>
    <t>INE688A01022</t>
  </si>
  <si>
    <t>Amber Enterprises India Ltd</t>
  </si>
  <si>
    <t>INE371P01015</t>
  </si>
  <si>
    <t>Shree Cement Ltd</t>
  </si>
  <si>
    <t>INE070A01015</t>
  </si>
  <si>
    <t>Bharat Electronics Ltd</t>
  </si>
  <si>
    <t>INE263A01024</t>
  </si>
  <si>
    <t>Ambuja Cements Ltd</t>
  </si>
  <si>
    <t>INE079A01024</t>
  </si>
  <si>
    <t>Petronet LNG Ltd</t>
  </si>
  <si>
    <t>INE347G01014</t>
  </si>
  <si>
    <t>ICICI Bank Ltd</t>
  </si>
  <si>
    <t>INE090A01021</t>
  </si>
  <si>
    <t>Banks</t>
  </si>
  <si>
    <t>Ahluwalia Contracts (India) Ltd</t>
  </si>
  <si>
    <t>INE758C01029</t>
  </si>
  <si>
    <t>Timken India Ltd</t>
  </si>
  <si>
    <t>INE325A01013</t>
  </si>
  <si>
    <t>Ultratech Cement Ltd</t>
  </si>
  <si>
    <t>INE481G01011</t>
  </si>
  <si>
    <t>PNC Infratech Ltd</t>
  </si>
  <si>
    <t>INE195J01029</t>
  </si>
  <si>
    <t>Dixon Technologies (India) Ltd</t>
  </si>
  <si>
    <t>INE935N01012</t>
  </si>
  <si>
    <t>Schaeffler India Ltd</t>
  </si>
  <si>
    <t>INE513A01014</t>
  </si>
  <si>
    <t>Bharti Airtel Ltd</t>
  </si>
  <si>
    <t>INE397D01024</t>
  </si>
  <si>
    <t>Telecom - Services</t>
  </si>
  <si>
    <t>KSB Ltd</t>
  </si>
  <si>
    <t>INE999A01015</t>
  </si>
  <si>
    <t>Blue Star Ltd</t>
  </si>
  <si>
    <t>INE472A01039</t>
  </si>
  <si>
    <t>ISGEC Heavy Engineering Ltd</t>
  </si>
  <si>
    <t>INE858B01029</t>
  </si>
  <si>
    <t>Gujarat State Petronet Ltd</t>
  </si>
  <si>
    <t>INE246F01010</t>
  </si>
  <si>
    <t>Sub Total</t>
  </si>
  <si>
    <t>Total</t>
  </si>
  <si>
    <t>TREPS</t>
  </si>
  <si>
    <t>Grand Total</t>
  </si>
  <si>
    <t>Net Receivables / (Payables)</t>
  </si>
  <si>
    <t>Infosys Ltd</t>
  </si>
  <si>
    <t>INE009A01021</t>
  </si>
  <si>
    <t>Software</t>
  </si>
  <si>
    <t>HDFC Bank Ltd</t>
  </si>
  <si>
    <t>INE040A01034</t>
  </si>
  <si>
    <t>Tata Consultancy Services Ltd</t>
  </si>
  <si>
    <t>INE467B01029</t>
  </si>
  <si>
    <t>Kotak Mahindra Bank Ltd</t>
  </si>
  <si>
    <t>INE237A01028</t>
  </si>
  <si>
    <t>Hindustan Unilever Ltd</t>
  </si>
  <si>
    <t>INE030A01027</t>
  </si>
  <si>
    <t>Consumer Non Durables</t>
  </si>
  <si>
    <t>Bajaj Finance Ltd</t>
  </si>
  <si>
    <t>INE296A01024</t>
  </si>
  <si>
    <t>Finance</t>
  </si>
  <si>
    <t>Divi's Laboratories Ltd</t>
  </si>
  <si>
    <t>INE361B01024</t>
  </si>
  <si>
    <t>Pharmaceuticals</t>
  </si>
  <si>
    <t>Housing Development Finance Corporation Ltd</t>
  </si>
  <si>
    <t>INE001A01036</t>
  </si>
  <si>
    <t>Maruti Suzuki India Ltd</t>
  </si>
  <si>
    <t>INE585B01010</t>
  </si>
  <si>
    <t>Auto</t>
  </si>
  <si>
    <t>Axis Bank Ltd</t>
  </si>
  <si>
    <t>INE238A01034</t>
  </si>
  <si>
    <t>HCL Technologies Ltd</t>
  </si>
  <si>
    <t>INE860A01027</t>
  </si>
  <si>
    <t>PI Industries Ltd</t>
  </si>
  <si>
    <t>INE603J01030</t>
  </si>
  <si>
    <t>Pesticides</t>
  </si>
  <si>
    <t>Mahindra &amp; Mahindra Ltd</t>
  </si>
  <si>
    <t>INE101A01026</t>
  </si>
  <si>
    <t>Cipla Ltd</t>
  </si>
  <si>
    <t>INE059A01026</t>
  </si>
  <si>
    <t>IPCA Laboratories Ltd</t>
  </si>
  <si>
    <t>INE571A01020</t>
  </si>
  <si>
    <t>Nestle India Ltd</t>
  </si>
  <si>
    <t>INE239A01016</t>
  </si>
  <si>
    <t>Titan Co Ltd</t>
  </si>
  <si>
    <t>INE280A01028</t>
  </si>
  <si>
    <t>Multi Commodity Exchange Of India Ltd</t>
  </si>
  <si>
    <t>INE745G01035</t>
  </si>
  <si>
    <t>Britannia Industries Ltd</t>
  </si>
  <si>
    <t>INE216A01030</t>
  </si>
  <si>
    <t>Hero MotoCorp Ltd</t>
  </si>
  <si>
    <t>INE158A01026</t>
  </si>
  <si>
    <t>Balkrishna Industries Ltd</t>
  </si>
  <si>
    <t>INE787D01026</t>
  </si>
  <si>
    <t>Auto Ancillaries</t>
  </si>
  <si>
    <t>Abbott India Ltd</t>
  </si>
  <si>
    <t>INE358A01014</t>
  </si>
  <si>
    <t>HDFC Life Insurance Co Ltd</t>
  </si>
  <si>
    <t>INE795G01014</t>
  </si>
  <si>
    <t>Alkem Laboratories Ltd</t>
  </si>
  <si>
    <t>INE540L01014</t>
  </si>
  <si>
    <t>Navin Fluorine International Ltd</t>
  </si>
  <si>
    <t>INE048G01026</t>
  </si>
  <si>
    <t>Chemicals</t>
  </si>
  <si>
    <t>Atul Ltd</t>
  </si>
  <si>
    <t>INE100A01010</t>
  </si>
  <si>
    <t>Dr. Lal Path Labs Ltd</t>
  </si>
  <si>
    <t>INE600L01024</t>
  </si>
  <si>
    <t>Healthcare Services</t>
  </si>
  <si>
    <t>Bata India Ltd</t>
  </si>
  <si>
    <t>INE176A01028</t>
  </si>
  <si>
    <t>MindTree Ltd</t>
  </si>
  <si>
    <t>INE018I01017</t>
  </si>
  <si>
    <t>Whirlpool Of India Ltd</t>
  </si>
  <si>
    <t>INE716A01013</t>
  </si>
  <si>
    <t>Asian Paints Ltd</t>
  </si>
  <si>
    <t>INE021A01026</t>
  </si>
  <si>
    <t>Can Fin Homes Ltd</t>
  </si>
  <si>
    <t>INE477A01020</t>
  </si>
  <si>
    <t>ICICI Lombard General Insurance Co Ltd</t>
  </si>
  <si>
    <t>INE765G01017</t>
  </si>
  <si>
    <t>Cholamandalam Investment and Finance Co Ltd</t>
  </si>
  <si>
    <t>INE121A01024</t>
  </si>
  <si>
    <t>SBI Cards and Payment Services Ltd</t>
  </si>
  <si>
    <t>INE018E01016</t>
  </si>
  <si>
    <t>Vinati Organics Ltd</t>
  </si>
  <si>
    <t>INE410B01037</t>
  </si>
  <si>
    <t>Minda Industries Ltd</t>
  </si>
  <si>
    <t>INE405E01023</t>
  </si>
  <si>
    <t>EPL Ltd</t>
  </si>
  <si>
    <t>INE255A01020</t>
  </si>
  <si>
    <t>UTI Asset Management Co Ltd</t>
  </si>
  <si>
    <t>INE094J01016</t>
  </si>
  <si>
    <t>Sun Pharmaceutical Industries Ltd</t>
  </si>
  <si>
    <t>INE044A01036</t>
  </si>
  <si>
    <t>Larsen &amp; Toubro Infotech Ltd</t>
  </si>
  <si>
    <t>INE214T01019</t>
  </si>
  <si>
    <t>Bharat Forge Ltd</t>
  </si>
  <si>
    <t>INE465A01025</t>
  </si>
  <si>
    <t>Jubilant Foodworks Ltd</t>
  </si>
  <si>
    <t>INE797F01012</t>
  </si>
  <si>
    <t>Indian Energy Exchange Ltd</t>
  </si>
  <si>
    <t>INE022Q01020</t>
  </si>
  <si>
    <t>Escorts Ltd</t>
  </si>
  <si>
    <t>INE042A01014</t>
  </si>
  <si>
    <t>Ashok Leyland Ltd</t>
  </si>
  <si>
    <t>INE208A01029</t>
  </si>
  <si>
    <t>Bajaj Auto Ltd</t>
  </si>
  <si>
    <t>INE917I01010</t>
  </si>
  <si>
    <t>Mphasis Ltd</t>
  </si>
  <si>
    <t>INE356A01018</t>
  </si>
  <si>
    <t>Persistent Systems Ltd</t>
  </si>
  <si>
    <t>INE262H01013</t>
  </si>
  <si>
    <t>Aarti Industries Ltd</t>
  </si>
  <si>
    <t>INE769A01020</t>
  </si>
  <si>
    <t>Indiamart Intermesh Ltd</t>
  </si>
  <si>
    <t>INE933S01016</t>
  </si>
  <si>
    <t>Retailing</t>
  </si>
  <si>
    <t>Dr. Reddy's Laboratories Ltd</t>
  </si>
  <si>
    <t>INE089A01023</t>
  </si>
  <si>
    <t>Coromandel International Ltd</t>
  </si>
  <si>
    <t>INE169A01031</t>
  </si>
  <si>
    <t>Fertilisers</t>
  </si>
  <si>
    <t>Info Edge (India) Ltd</t>
  </si>
  <si>
    <t>INE663F01024</t>
  </si>
  <si>
    <t>Page Industries Ltd</t>
  </si>
  <si>
    <t>INE761H01022</t>
  </si>
  <si>
    <t>Textile Products</t>
  </si>
  <si>
    <t>Crompton Greaves Consumer Electricals Ltd</t>
  </si>
  <si>
    <t>INE299U01018</t>
  </si>
  <si>
    <t>J.K. Cement Ltd</t>
  </si>
  <si>
    <t>INE823G01014</t>
  </si>
  <si>
    <t>AU Small Finance Bank Ltd</t>
  </si>
  <si>
    <t>INE949L01017</t>
  </si>
  <si>
    <t>SBI Life Insurance Co Ltd</t>
  </si>
  <si>
    <t>INE123W01016</t>
  </si>
  <si>
    <t>Mahindra &amp; Mahindra Financial Services Ltd</t>
  </si>
  <si>
    <t>INE774D01024</t>
  </si>
  <si>
    <t>Aditya Birla Fashion and Retail Ltd</t>
  </si>
  <si>
    <t>INE647O01011</t>
  </si>
  <si>
    <t>Tata Consumer Products Ltd</t>
  </si>
  <si>
    <t>INE192A01025</t>
  </si>
  <si>
    <t>Kansai Nerolac Paints Ltd</t>
  </si>
  <si>
    <t>INE531A01024</t>
  </si>
  <si>
    <t>Avenue Supermarts Ltd</t>
  </si>
  <si>
    <t>INE192R01011</t>
  </si>
  <si>
    <t>City Union Bank Ltd</t>
  </si>
  <si>
    <t>INE491A01021</t>
  </si>
  <si>
    <t>Syngene International Ltd</t>
  </si>
  <si>
    <t>INE398R01022</t>
  </si>
  <si>
    <t>Indian Railway Catering And Tourism Corp Ltd</t>
  </si>
  <si>
    <t>INE335Y01012</t>
  </si>
  <si>
    <t>Services</t>
  </si>
  <si>
    <t>Polycab India Ltd</t>
  </si>
  <si>
    <t>INE455K01017</t>
  </si>
  <si>
    <t>Century Textile &amp; Industries Ltd</t>
  </si>
  <si>
    <t>INE055A01016</t>
  </si>
  <si>
    <t>Paper</t>
  </si>
  <si>
    <t>Computer Age Management Services Ltd</t>
  </si>
  <si>
    <t>INE596I01012</t>
  </si>
  <si>
    <t>IN9647O01019</t>
  </si>
  <si>
    <t>Orient Electric Ltd</t>
  </si>
  <si>
    <t>INE142Z01019</t>
  </si>
  <si>
    <t>Marico Ltd</t>
  </si>
  <si>
    <t>INE196A01026</t>
  </si>
  <si>
    <t>Godrej Consumer Products Ltd</t>
  </si>
  <si>
    <t>INE102D01028</t>
  </si>
  <si>
    <t>Gulf Oil Lubricants India Ltd</t>
  </si>
  <si>
    <t>INE635Q01029</t>
  </si>
  <si>
    <t>Dabur India Ltd</t>
  </si>
  <si>
    <t>INE016A01026</t>
  </si>
  <si>
    <t>Berger Paints India Ltd</t>
  </si>
  <si>
    <t>INE463A01038</t>
  </si>
  <si>
    <t>Kajaria Ceramics Ltd</t>
  </si>
  <si>
    <t>INE217B01036</t>
  </si>
  <si>
    <t>ITC Ltd</t>
  </si>
  <si>
    <t>INE154A01025</t>
  </si>
  <si>
    <t>K.P.R. Mill Ltd</t>
  </si>
  <si>
    <t>INE930H01023</t>
  </si>
  <si>
    <t>Subros Ltd</t>
  </si>
  <si>
    <t>INE287B01021</t>
  </si>
  <si>
    <t>Deepak Nitrite Ltd</t>
  </si>
  <si>
    <t>INE288B01029</t>
  </si>
  <si>
    <t>Central Depository Services (India) Ltd</t>
  </si>
  <si>
    <t>INE736A01011</t>
  </si>
  <si>
    <t>Creditaccess Grameen Ltd</t>
  </si>
  <si>
    <t>INE741K01010</t>
  </si>
  <si>
    <t>Metropolis Healthcare Ltd</t>
  </si>
  <si>
    <t>INE112L01020</t>
  </si>
  <si>
    <t>National Aluminium Co Ltd</t>
  </si>
  <si>
    <t>INE139A01034</t>
  </si>
  <si>
    <t>Non - Ferrous Metals</t>
  </si>
  <si>
    <t>NOCIL Ltd</t>
  </si>
  <si>
    <t>INE163A01018</t>
  </si>
  <si>
    <t>Finolex Industries Ltd</t>
  </si>
  <si>
    <t>INE183A01016</t>
  </si>
  <si>
    <t>V-Mart Retail Ltd</t>
  </si>
  <si>
    <t>INE665J01013</t>
  </si>
  <si>
    <t>J.B. Chemicals &amp; Pharmaceuticals Ltd</t>
  </si>
  <si>
    <t>INE572A01028</t>
  </si>
  <si>
    <t>BSE Ltd</t>
  </si>
  <si>
    <t>INE118H01025</t>
  </si>
  <si>
    <t>Galaxy Surfactants Ltd</t>
  </si>
  <si>
    <t>INE600K01018</t>
  </si>
  <si>
    <t>Laurus Labs Ltd</t>
  </si>
  <si>
    <t>INE947Q01028</t>
  </si>
  <si>
    <t>EID Parry India Ltd</t>
  </si>
  <si>
    <t>INE126A01031</t>
  </si>
  <si>
    <t>Hikal Ltd</t>
  </si>
  <si>
    <t>INE475B01022</t>
  </si>
  <si>
    <t>Fine Organic Industries Ltd</t>
  </si>
  <si>
    <t>INE686Y01026</t>
  </si>
  <si>
    <t>Hindustan Zinc Ltd</t>
  </si>
  <si>
    <t>INE267A01025</t>
  </si>
  <si>
    <t>Teamlease Services Ltd</t>
  </si>
  <si>
    <t>INE985S01024</t>
  </si>
  <si>
    <t>Commercial Services</t>
  </si>
  <si>
    <t>Avanti Feeds Ltd</t>
  </si>
  <si>
    <t>INE871C01038</t>
  </si>
  <si>
    <t>Dhanuka Agritech Ltd</t>
  </si>
  <si>
    <t>INE435G01025</t>
  </si>
  <si>
    <t>The Great Eastern Shipping Co Ltd</t>
  </si>
  <si>
    <t>INE017A01032</t>
  </si>
  <si>
    <t>Sobha Ltd</t>
  </si>
  <si>
    <t>INE671H01015</t>
  </si>
  <si>
    <t>HeidelbergCement India Ltd</t>
  </si>
  <si>
    <t>INE578A01017</t>
  </si>
  <si>
    <t>Cera Sanitaryware Ltd</t>
  </si>
  <si>
    <t>INE739E01017</t>
  </si>
  <si>
    <t>Cholamandalam Financial Holdings Ltd</t>
  </si>
  <si>
    <t>INE149A01033</t>
  </si>
  <si>
    <t>Greenply Industries Ltd</t>
  </si>
  <si>
    <t>INE461C01038</t>
  </si>
  <si>
    <t>Greenlam Industries Ltd</t>
  </si>
  <si>
    <t>INE544R01013</t>
  </si>
  <si>
    <t>Debt Instruments</t>
  </si>
  <si>
    <t>7.87% Housing Development Finance Corporation Ltd (18/07/2022) **</t>
  </si>
  <si>
    <t>INE001A07RW5</t>
  </si>
  <si>
    <t>CRISIL AAA</t>
  </si>
  <si>
    <t>7.07% Reliance Industries Ltd (24/12/2020)</t>
  </si>
  <si>
    <t>INE002A08526</t>
  </si>
  <si>
    <t>7.40% Power Finance Corporation Ltd (30/09/2021) **</t>
  </si>
  <si>
    <t>INE134E08IM4</t>
  </si>
  <si>
    <t>8.65% Reliance Industries Ltd (11/12/2028) **</t>
  </si>
  <si>
    <t>INE002A08567</t>
  </si>
  <si>
    <t>6.99% REC Ltd (31/12/2020)</t>
  </si>
  <si>
    <t>INE020B08AN6</t>
  </si>
  <si>
    <t>7.17% Reliance Industries Ltd (08/11/2022) **</t>
  </si>
  <si>
    <t>INE002A08500</t>
  </si>
  <si>
    <t>7.22% LIC Housing Finance Ltd (19/11/2021) **</t>
  </si>
  <si>
    <t>INE115A07OP4</t>
  </si>
  <si>
    <t>CARE AAA</t>
  </si>
  <si>
    <t>7.15% Housing Development Finance Corporation Ltd (16/09/2021) **</t>
  </si>
  <si>
    <t>INE001A07RY1</t>
  </si>
  <si>
    <t>8.80% REC Ltd (29/11/2020) **</t>
  </si>
  <si>
    <t>INE020B08468</t>
  </si>
  <si>
    <t>5.45% NTPC Ltd (15/10/2025) **</t>
  </si>
  <si>
    <t>INE733E08163</t>
  </si>
  <si>
    <t>7.99% Housing Development Finance Corporation Ltd (11/07/2024) **</t>
  </si>
  <si>
    <t>INE001A07RV7</t>
  </si>
  <si>
    <t>8.40% Indian Railway Finance Corporation Ltd (08/01/2029) **</t>
  </si>
  <si>
    <t>INE053F07AZ4</t>
  </si>
  <si>
    <t>7.69% National Bank For Agriculture &amp; Rural Development (29/05/2024) **</t>
  </si>
  <si>
    <t>INE261F08BK1</t>
  </si>
  <si>
    <t>7.75% LIC Housing Finance Ltd (23/07/2024) **</t>
  </si>
  <si>
    <t>INE115A07OL3</t>
  </si>
  <si>
    <t>7.45% REC Ltd (30/11/2022) **</t>
  </si>
  <si>
    <t>INE020B08AP1</t>
  </si>
  <si>
    <t>7.50% Power Finance Corporation Ltd (16/08/2021) **</t>
  </si>
  <si>
    <t>INE134E08IH4</t>
  </si>
  <si>
    <t>7.65% Small Industries Development Bank Of India (15/04/2021) **</t>
  </si>
  <si>
    <t>INE556F08JD2</t>
  </si>
  <si>
    <t>0.00% Sundaram Finance Ltd (15/06/2021) **</t>
  </si>
  <si>
    <t>INE660A07PN1</t>
  </si>
  <si>
    <t>ICRA AAA</t>
  </si>
  <si>
    <t>8.22% National Bank For Agriculture &amp; Rural Development (13/12/2028) **</t>
  </si>
  <si>
    <t>INE261F08AV0</t>
  </si>
  <si>
    <t>8.80% LIC Housing Finance Ltd (25/01/2029) **</t>
  </si>
  <si>
    <t>INE115A07NU6</t>
  </si>
  <si>
    <t>8.35% Indian Railway Finance Corporation Ltd (13/03/2029) **</t>
  </si>
  <si>
    <t>INE053F07BC1</t>
  </si>
  <si>
    <t>8.33% LIC Housing Finance Ltd (31/05/2024) **</t>
  </si>
  <si>
    <t>INE115A07OE8</t>
  </si>
  <si>
    <t>7.79% LIC Housing Finance Ltd (18/10/2024)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</si>
  <si>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</si>
  <si>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</si>
  <si>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</si>
  <si>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</si>
  <si>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</si>
  <si>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8.70% Reliance Industries Ltd (15/06/2021) **</t>
  </si>
  <si>
    <t>INE110L07112</t>
  </si>
  <si>
    <t>7.47% Power Finance Corporation Ltd (16/09/2021) **</t>
  </si>
  <si>
    <t>INE134E08IJ0</t>
  </si>
  <si>
    <t>7.70% REC Ltd (15/03/2021) **</t>
  </si>
  <si>
    <t>INE020B08AS5</t>
  </si>
  <si>
    <t>8.30% Reliance Industries Ltd (08/03/2022) **</t>
  </si>
  <si>
    <t>INE002A08575</t>
  </si>
  <si>
    <t>8.30% NTPC Ltd (15/01/2029) **</t>
  </si>
  <si>
    <t>INE733E07KJ7</t>
  </si>
  <si>
    <t>8.13% Power Grid Corporation of India Ltd (25/04/2024) **</t>
  </si>
  <si>
    <t>INE752E07NQ6</t>
  </si>
  <si>
    <t>7.85% Power Finance Corporation Ltd (03/04/2028) **</t>
  </si>
  <si>
    <t>INE134E08JP5</t>
  </si>
  <si>
    <t>7.32% NTPC Ltd (17/07/2029) **</t>
  </si>
  <si>
    <t>INE733E07KL3</t>
  </si>
  <si>
    <t>7.35% Bharat Petroleum Corporation Ltd (10/03/2022) **</t>
  </si>
  <si>
    <t>INE029A07075</t>
  </si>
  <si>
    <t>8.60% National Bank For Agriculture &amp; Rural Development (31/01/2022) **</t>
  </si>
  <si>
    <t>INE261F08AI7</t>
  </si>
  <si>
    <t>Money Market Instruments</t>
  </si>
  <si>
    <t>Treasury Bill</t>
  </si>
  <si>
    <t>91 DAYS INDIA TREASURY BILLS 05-NOV-20</t>
  </si>
  <si>
    <t>IN002020X209</t>
  </si>
  <si>
    <t xml:space="preserve"> Sovereign</t>
  </si>
  <si>
    <t>Government Bonds</t>
  </si>
  <si>
    <t>7.32% GOI (28/01/2024)</t>
  </si>
  <si>
    <t>IN0020180488</t>
  </si>
  <si>
    <t>Sovereign</t>
  </si>
  <si>
    <t>7.26% GOI (14/01/2029)</t>
  </si>
  <si>
    <t>IN0020180454</t>
  </si>
  <si>
    <t>6.18% GOI (04/11/2024)</t>
  </si>
  <si>
    <t>IN0020190396</t>
  </si>
  <si>
    <t>6.84% GOI (19/12/2022)</t>
  </si>
  <si>
    <t>IN0020160050</t>
  </si>
  <si>
    <t>5.77% GOI (03/08/2030)</t>
  </si>
  <si>
    <t>IN0020200153</t>
  </si>
  <si>
    <t>7.37% GOI (16/04/2023)</t>
  </si>
  <si>
    <t>IN0020180025</t>
  </si>
  <si>
    <t>6.79% GOI (15/05/2027)</t>
  </si>
  <si>
    <t>IN0020170026</t>
  </si>
  <si>
    <t>8.24% GOI (15/02/2027)</t>
  </si>
  <si>
    <t>IN0020060078</t>
  </si>
  <si>
    <t>8.15% GOI (24/11/2026)</t>
  </si>
  <si>
    <t>IN0020140060</t>
  </si>
  <si>
    <t>7.16% GOI (20/09/2050)</t>
  </si>
  <si>
    <t>IN0020200054</t>
  </si>
  <si>
    <t>6.79% GOI (26/12/2029)</t>
  </si>
  <si>
    <t>IN0020160118</t>
  </si>
  <si>
    <t>5.22% GOI (15/06/2025)</t>
  </si>
  <si>
    <t>IN0020200112</t>
  </si>
  <si>
    <t>7.42% Maharashtra SDL 11-May-22</t>
  </si>
  <si>
    <t>IN2220170012</t>
  </si>
  <si>
    <t>8.81% Small Industries Development Bank Of India (25/01/2022) **</t>
  </si>
  <si>
    <t>INE556F08JI1</t>
  </si>
  <si>
    <t>7.17% GOI (08/01/2028)</t>
  </si>
  <si>
    <t>IN0020170174</t>
  </si>
  <si>
    <t>7.57% GOI (17/06/2033)</t>
  </si>
  <si>
    <t>IN0020190065</t>
  </si>
  <si>
    <t>6.45% GOI (07/10/2029)</t>
  </si>
  <si>
    <t>IN0020190362</t>
  </si>
  <si>
    <t>6.68% GOI (17/09/2031)</t>
  </si>
  <si>
    <t>IN0020170042</t>
  </si>
  <si>
    <t>6.19% GOI (16/09/2034)</t>
  </si>
  <si>
    <t>IN0020200096</t>
  </si>
  <si>
    <t>6.54% UTTAR PRADESH SDL 21-OCT-30</t>
  </si>
  <si>
    <t>IN3320200147</t>
  </si>
  <si>
    <t>8.13% GOI (22/06/2045)</t>
  </si>
  <si>
    <t>IN0020150044</t>
  </si>
  <si>
    <t>7.48% Indian Railway Finance Corporation Ltd (13/08/2029) **</t>
  </si>
  <si>
    <t>INE053F07BU3</t>
  </si>
  <si>
    <t>7.43% National Bank For Agriculture &amp; Rural Development (31/01/2030)</t>
  </si>
  <si>
    <t>INE261F08BX4</t>
  </si>
  <si>
    <t>7.50% Housing Development Finance Corporation Ltd (08/01/2025)</t>
  </si>
  <si>
    <t>INE001A07SE1</t>
  </si>
  <si>
    <t>6.87% National Bank For Agriculture &amp; Rural Development (08/03/2030) **</t>
  </si>
  <si>
    <t>INE261F08CB8</t>
  </si>
  <si>
    <t>8.39% National Bank For Agriculture &amp; Rural Development (19/07/2021) **</t>
  </si>
  <si>
    <t>INE261F08AL1</t>
  </si>
  <si>
    <t>6.57% GOI (05/12/2033)</t>
  </si>
  <si>
    <t>IN0020160100</t>
  </si>
  <si>
    <t>7.62% GOI (15/09/2039)</t>
  </si>
  <si>
    <t>IN0020190024</t>
  </si>
  <si>
    <t>6.68% UTTAR PRADESH SDL 16-SEP-30</t>
  </si>
  <si>
    <t>IN3320200097</t>
  </si>
  <si>
    <t>6.63% UTTAR PRADESH SDL 14-OCT-30</t>
  </si>
  <si>
    <t>IN3320200139</t>
  </si>
  <si>
    <t>8.47% Maharashtra SDL 10-Feb-26</t>
  </si>
  <si>
    <t>IN2220150188</t>
  </si>
  <si>
    <t>8.2534% LIC Housing Finance Ltd (17/09/2021)</t>
  </si>
  <si>
    <t>INE115A07OA6</t>
  </si>
  <si>
    <t>7.35% Power Finance Corporation Ltd (15/10/2022) **</t>
  </si>
  <si>
    <t>INE134E08KG2</t>
  </si>
  <si>
    <t>0.00% Kotak Mahindra Prime Ltd (23/12/2020)</t>
  </si>
  <si>
    <t>INE916DA7PH7</t>
  </si>
  <si>
    <t>8.18% Power Finance Corporation Ltd (19/03/2022) **</t>
  </si>
  <si>
    <t>INE134E08JW1</t>
  </si>
  <si>
    <t>9.36% Power Finance Corporation Ltd (01/08/2021) **</t>
  </si>
  <si>
    <t>INE134E08DR4</t>
  </si>
  <si>
    <t>7.00% Housing Development Finance Corporation Ltd (19/05/2022)</t>
  </si>
  <si>
    <t>INE001A07SM4</t>
  </si>
  <si>
    <t>7.66% LIC Housing Finance Ltd (21/10/2021) **</t>
  </si>
  <si>
    <t>INE115A07KR8</t>
  </si>
  <si>
    <t>8.32% Reliance Industries Ltd (08/07/2021) **</t>
  </si>
  <si>
    <t>INE110L07070</t>
  </si>
  <si>
    <t>6.32% REC Ltd (31/12/2021) **</t>
  </si>
  <si>
    <t>INE020B08CL6</t>
  </si>
  <si>
    <t>6.57% LIC Housing Finance Ltd (13/07/2021) **</t>
  </si>
  <si>
    <t>INE115A07OT6</t>
  </si>
  <si>
    <t>6.99% Small Industries Development Bank Of India (08/08/2022) **</t>
  </si>
  <si>
    <t>INE556F08JN1</t>
  </si>
  <si>
    <t>7.49% Power Grid Corporation of India Ltd (25/10/2024) **</t>
  </si>
  <si>
    <t>INE752E08593</t>
  </si>
  <si>
    <t>8.02% Larsen &amp; Toubro Ltd (22/05/2022) **</t>
  </si>
  <si>
    <t>INE018A08AS1</t>
  </si>
  <si>
    <t>6.75% Power Finance Corporation Ltd (22/05/2023) **</t>
  </si>
  <si>
    <t>INE134E08KS7</t>
  </si>
  <si>
    <t>8.13% Power Grid Corporation of India Ltd (25/04/2022) **</t>
  </si>
  <si>
    <t>INE752E07NO1</t>
  </si>
  <si>
    <t>7.24% REC Ltd (31/12/2022) **</t>
  </si>
  <si>
    <t>INE020B08CG6</t>
  </si>
  <si>
    <t>6.98% National Bank For Agriculture &amp; Rural Development (19/09/2022) **</t>
  </si>
  <si>
    <t>INE261F08BO3</t>
  </si>
  <si>
    <t>7.24% LIC Housing Finance Ltd (23/08/2021) **</t>
  </si>
  <si>
    <t>INE115A07OK5</t>
  </si>
  <si>
    <t>Certificate of Deposit</t>
  </si>
  <si>
    <t>Bank of Baroda (01/06/2021) ** #</t>
  </si>
  <si>
    <t>INE028A16CG4</t>
  </si>
  <si>
    <t>IND A1+</t>
  </si>
  <si>
    <t>National Bank For Agriculture &amp; Rural Development (17/06/2021) ** #</t>
  </si>
  <si>
    <t>INE261F16546</t>
  </si>
  <si>
    <t>Axis Bank Ltd (22/10/2021) ** #</t>
  </si>
  <si>
    <t>INE238A166U3</t>
  </si>
  <si>
    <t>CRISIL A1+</t>
  </si>
  <si>
    <t>Kotak Mahindra Bank Ltd (22/12/2020) ** #</t>
  </si>
  <si>
    <t>INE237A169K9</t>
  </si>
  <si>
    <t>Union Bank of India (12/11/2020) ** #</t>
  </si>
  <si>
    <t>INE434A16QR1</t>
  </si>
  <si>
    <t>CARE A1+</t>
  </si>
  <si>
    <t>Axis Bank Ltd (12/11/2020) ** #</t>
  </si>
  <si>
    <t>INE238A166R9</t>
  </si>
  <si>
    <t>Axis Bank Ltd (12/02/2021) ** #</t>
  </si>
  <si>
    <t>INE238A161U4</t>
  </si>
  <si>
    <t>Commercial Paper</t>
  </si>
  <si>
    <t>Housing Development Finance Corporation Ltd (10/03/2021) ** #</t>
  </si>
  <si>
    <t>INE001A14WM2</t>
  </si>
  <si>
    <t>Reliance Industries Ltd (02/03/2021) ** #</t>
  </si>
  <si>
    <t>INE002A14EM8</t>
  </si>
  <si>
    <t>182 DAYS INDIA TREASURY BILLS 10-DEC-20</t>
  </si>
  <si>
    <t>IN002020Y108</t>
  </si>
  <si>
    <t>182 DAYS INDIA TREASURY BILLS 19-NOV-20</t>
  </si>
  <si>
    <t>IN002020Y074</t>
  </si>
  <si>
    <t>182 DAYS INDIA TREASURY BILLS 29-APR-21</t>
  </si>
  <si>
    <t>IN002020Y298</t>
  </si>
  <si>
    <t>182 DAYS INDIA TREASURY BILLS 06-NOV-20</t>
  </si>
  <si>
    <t>IN002020Y058</t>
  </si>
  <si>
    <t>5.54% GOI (15/10/2021)</t>
  </si>
  <si>
    <t>IN2120200059</t>
  </si>
  <si>
    <t>8.12% GOI (10/12/2020)</t>
  </si>
  <si>
    <t>IN0020120054</t>
  </si>
  <si>
    <t>7.68% GOI (15/12/2023)</t>
  </si>
  <si>
    <t>IN0020150010</t>
  </si>
  <si>
    <t>9.23% GUJARAT SDL 23-NOV-21</t>
  </si>
  <si>
    <t>IN1520110090</t>
  </si>
  <si>
    <t>#  Unlisted Security</t>
  </si>
  <si>
    <t>8.95% Reliance Industries Ltd (09/11/2028) **</t>
  </si>
  <si>
    <t>INE002A08542</t>
  </si>
  <si>
    <t>8.49% Punjab SDL Uday 31-Mar-22</t>
  </si>
  <si>
    <t>IN2820150273</t>
  </si>
  <si>
    <t>7.72% GOI (26/10/2055)</t>
  </si>
  <si>
    <t>IN0020150077</t>
  </si>
  <si>
    <t>7.59% GOI (11/01/2026)</t>
  </si>
  <si>
    <t>IN0020150093</t>
  </si>
  <si>
    <t>ICICI Bank Ltd (31/12/2020) ** #</t>
  </si>
  <si>
    <t>INE090A165W8</t>
  </si>
  <si>
    <t>ICRA A1+</t>
  </si>
  <si>
    <t>Axis Bank Ltd (04/01/2021) ** #</t>
  </si>
  <si>
    <t>INE238A163T2</t>
  </si>
  <si>
    <t>Axis Bank Ltd (24/12/2020) #</t>
  </si>
  <si>
    <t>INE238A167S5</t>
  </si>
  <si>
    <t>Reliance Industries Ltd (29/12/2020) ** #</t>
  </si>
  <si>
    <t>INE002A14GI1</t>
  </si>
  <si>
    <t>Chennai Petroleum Corporation Ltd (03/11/2020) #</t>
  </si>
  <si>
    <t>INE178A14FW2</t>
  </si>
  <si>
    <t>Housing Development Finance Corporation Ltd (03/11/2020) #</t>
  </si>
  <si>
    <t>INE001A14WB5</t>
  </si>
  <si>
    <t>National Bank For Agriculture &amp; Rural Development (10/11/2020) ** #</t>
  </si>
  <si>
    <t>INE261F14GV5</t>
  </si>
  <si>
    <t>NTPC Ltd (22/01/2021) ** #</t>
  </si>
  <si>
    <t>INE733E14930</t>
  </si>
  <si>
    <t>91 DAYS INDIA TREASURY BILLS 10-DEC-20</t>
  </si>
  <si>
    <t>IN002020X258</t>
  </si>
  <si>
    <t>182 DAYS INDIA TREASURY BILLS 12-NOV-20</t>
  </si>
  <si>
    <t>IN002020Y066</t>
  </si>
  <si>
    <t>91 DAYS INDIA TREASURY BILLS 26-NOV-20</t>
  </si>
  <si>
    <t>IN002020X233</t>
  </si>
  <si>
    <t>91 DAYS INDIA TREASURY BILLS 14-JAN-21</t>
  </si>
  <si>
    <t>IN002020X290</t>
  </si>
  <si>
    <t>364 DAYS INDIA TREASURY BILLS 19-NOV-20</t>
  </si>
  <si>
    <t>IN002019Z354</t>
  </si>
  <si>
    <t>91 DAYS INDIA TREASURY BILLS 03-DEC-20</t>
  </si>
  <si>
    <t>IN002020X241</t>
  </si>
  <si>
    <t>182 DAYS INDIA TREASURY BILLS 03-DEC-20</t>
  </si>
  <si>
    <t>IN002020Y090</t>
  </si>
  <si>
    <t>182 DAYS INDIA TREASURY BILLS 14-JAN-21</t>
  </si>
  <si>
    <t>IN002020Y157</t>
  </si>
  <si>
    <t>7.67% LIC Housing Finance Ltd (29/07/2021) **</t>
  </si>
  <si>
    <t>INE115A07LX4</t>
  </si>
  <si>
    <t>8.18% NTPC Ltd (31/12/2020) **</t>
  </si>
  <si>
    <t>INE733E07JY8</t>
  </si>
  <si>
    <t>7.20% Power Grid Corporation of India Ltd (21/12/2021) **</t>
  </si>
  <si>
    <t>INE752E07OD2</t>
  </si>
  <si>
    <t>7.06% Housing Development Finance Corporation Ltd (13/12/2021) **</t>
  </si>
  <si>
    <t>INE001A07SL6</t>
  </si>
  <si>
    <t>7.10% Power Finance Corporation Ltd (08/08/2022) **</t>
  </si>
  <si>
    <t>INE134E08JD1</t>
  </si>
  <si>
    <t>8.70% Reliance Industries Ltd (16/07/2021) **</t>
  </si>
  <si>
    <t>INE110L07120</t>
  </si>
  <si>
    <t>9.4041% L&amp;T Housing Finance Ltd (11/10/2021) **</t>
  </si>
  <si>
    <t>INE476M07BQ0</t>
  </si>
  <si>
    <t>182 DAYS INDIA TREASURY BILLS 31-DEC-20</t>
  </si>
  <si>
    <t>IN002020Y132</t>
  </si>
  <si>
    <t>182 DAYS INDIA TREASURY BILLS 18-FEB-21</t>
  </si>
  <si>
    <t>IN002020Y207</t>
  </si>
  <si>
    <t>6.17% GOI (15/07/2021)</t>
  </si>
  <si>
    <t>IN0020190099</t>
  </si>
  <si>
    <t>6.59% Indian Railway Finance Corporation Ltd (14/04/2023) **</t>
  </si>
  <si>
    <t>INE053F07BZ2</t>
  </si>
  <si>
    <t>7.42% Power Finance Corporation Ltd (19/11/2024) **</t>
  </si>
  <si>
    <t>INE134E08KH0</t>
  </si>
  <si>
    <t>7.20% Housing Development Finance Corporation Ltd (13/04/2023) **</t>
  </si>
  <si>
    <t>INE001A07SJ0</t>
  </si>
  <si>
    <t>7.16% Power Finance Corporation Ltd (24/04/2025) **</t>
  </si>
  <si>
    <t>INE134E08KP3</t>
  </si>
  <si>
    <t>8.15% REC Ltd (10/06/2022) **</t>
  </si>
  <si>
    <t>INE020B08BT1</t>
  </si>
  <si>
    <t>7.87% Larsen &amp; Toubro Ltd (18/04/2022) **</t>
  </si>
  <si>
    <t>INE018A08AR3</t>
  </si>
  <si>
    <t>6.80% Small Industries Development Bank Of India (29/09/2022) **</t>
  </si>
  <si>
    <t>INE556F08JO9</t>
  </si>
  <si>
    <t>6.72% Power Finance Corporation Ltd (09/06/2023) **</t>
  </si>
  <si>
    <t>INE134E08KW9</t>
  </si>
  <si>
    <t>5.40% Housing Development Finance Corporation Ltd (11/08/2023)</t>
  </si>
  <si>
    <t>INE001A07SP7</t>
  </si>
  <si>
    <t>7.35% Housing Development Finance Corporation Ltd (10/02/2025) **</t>
  </si>
  <si>
    <t>INE001A07SG6</t>
  </si>
  <si>
    <t>7.85% LIC Housing Finance Ltd (23/09/2022) **</t>
  </si>
  <si>
    <t>INE115A07OG3</t>
  </si>
  <si>
    <t>7.85% National Bank For Agriculture &amp; Rural Development (23/05/2022) **</t>
  </si>
  <si>
    <t>INE261F08BJ3</t>
  </si>
  <si>
    <t>7.00% Reliance Industries Ltd (31/08/2022) **</t>
  </si>
  <si>
    <t>INE002A08476</t>
  </si>
  <si>
    <t>6.93% UltraTech Cement Ltd (25/11/2021) **</t>
  </si>
  <si>
    <t>INE481G08032</t>
  </si>
  <si>
    <t>7.5438%Kotak Mahindra Prime Ltd (08/01/2021) **</t>
  </si>
  <si>
    <t>INE916DA7PE4</t>
  </si>
  <si>
    <t>8.40% Power Grid Corporation of India Ltd (14/09/2021) **</t>
  </si>
  <si>
    <t>INE752E07MZ9</t>
  </si>
  <si>
    <t>8.40% Power Grid Corporation of India Ltd (27/05/2027) **</t>
  </si>
  <si>
    <t>INE752E07MT2</t>
  </si>
  <si>
    <t>8.40% Power Grid Corporation of India Ltd (27/05/2026) **</t>
  </si>
  <si>
    <t>INE752E07MS4</t>
  </si>
  <si>
    <t>8.50% National Bank For Agriculture &amp; Rural Development (31/01/2023) **</t>
  </si>
  <si>
    <t>INE261F08AT4</t>
  </si>
  <si>
    <t>7.55% Indian Railway Finance Corporation Ltd (12/04/2030) **</t>
  </si>
  <si>
    <t>INE053F07BY5</t>
  </si>
  <si>
    <t>8.50% LIC Housing Finance Ltd (20/06/2022) **</t>
  </si>
  <si>
    <t>INE115A07OD0</t>
  </si>
  <si>
    <t>8.25% Mahindra &amp; Mahindra Financial Services Ltd (19/04/2022) **</t>
  </si>
  <si>
    <t>INE774D07SC1</t>
  </si>
  <si>
    <t>6.60% REC Ltd (21/03/2022)</t>
  </si>
  <si>
    <t>INE020B08CV5</t>
  </si>
  <si>
    <t>6.72% NTPC Ltd (24/11/2021)</t>
  </si>
  <si>
    <t>INE733E07KH1</t>
  </si>
  <si>
    <t>8.10% NTPC Ltd (27/05/2021) **</t>
  </si>
  <si>
    <t>INE733E07KB4</t>
  </si>
  <si>
    <t>7.65% LIC Housing Finance Ltd (17/11/2020) **</t>
  </si>
  <si>
    <t>INE115A07LF1</t>
  </si>
  <si>
    <t>8.58% Housing Development Finance Corporation Ltd (18/03/2022) **</t>
  </si>
  <si>
    <t>INE001A07RS3</t>
  </si>
  <si>
    <t>364 DAYS INDIA TREASURY BILLS 05-AUG-21</t>
  </si>
  <si>
    <t>IN002020Z188</t>
  </si>
  <si>
    <t>8.75% UTTAR PRADESH SDL 11-JAN-22</t>
  </si>
  <si>
    <t>IN3320110130</t>
  </si>
  <si>
    <t>8.62% MAHARASHTRA SDL 06-MAR-23</t>
  </si>
  <si>
    <t>IN2220120116</t>
  </si>
  <si>
    <t>7.35% GOI (22/06/2024)</t>
  </si>
  <si>
    <t>IN0020090034</t>
  </si>
  <si>
    <t>8.85% MAHARASHTRA SDL 18-JUL-22</t>
  </si>
  <si>
    <t>IN2220120017</t>
  </si>
  <si>
    <t>8.84% TAMILNADU SDL 18-JUL-22</t>
  </si>
  <si>
    <t>IN3120120032</t>
  </si>
  <si>
    <t>8.27% Rajasthan SDL 23-Jun-22</t>
  </si>
  <si>
    <t>IN2920160081</t>
  </si>
  <si>
    <t>8.21% Haryana SDL Uday 31-Mar-22</t>
  </si>
  <si>
    <t>IN1620150145</t>
  </si>
  <si>
    <t>8.88% GUJARAT SDL 06-JUN-22</t>
  </si>
  <si>
    <t>IN1520120032</t>
  </si>
  <si>
    <t>8.21% Rajasthan Uday 31-Mar-21</t>
  </si>
  <si>
    <t>IN2920150405</t>
  </si>
  <si>
    <t>7.86% Karnataka SDL 15-Mar-27</t>
  </si>
  <si>
    <t>IN1920160117</t>
  </si>
  <si>
    <t>0.00% Aditya Birla Finance Ltd (12/10/2021) **</t>
  </si>
  <si>
    <t>INE860H07GD2</t>
  </si>
  <si>
    <t>7.40% LIC Housing Finance Ltd (06/09/2024)</t>
  </si>
  <si>
    <t>INE115A07ML7</t>
  </si>
  <si>
    <t>8.10% Mahindra &amp; Mahindra Financial Services Ltd (19/04/2021) **</t>
  </si>
  <si>
    <t>INE774D07SB3</t>
  </si>
  <si>
    <t>IND AAA</t>
  </si>
  <si>
    <t>9.35% Power Grid Corporation of India Ltd (29/08/2023) **</t>
  </si>
  <si>
    <t>INE752E07IT0</t>
  </si>
  <si>
    <t>7.40% National Bank For Agriculture &amp; Rural Development (19/03/2030) **</t>
  </si>
  <si>
    <t>INE261F08CC6</t>
  </si>
  <si>
    <t>7.60% Grasim Industries Ltd (04/06/2024) **</t>
  </si>
  <si>
    <t>INE047A08158</t>
  </si>
  <si>
    <t>7.50% Indian Railway Finance Corporation Ltd (07/09/2029) **</t>
  </si>
  <si>
    <t>INE053F07BW9</t>
  </si>
  <si>
    <t>7.28% Housing Development Finance Corporation Ltd (26/09/2022) **</t>
  </si>
  <si>
    <t>INE001A07RZ8</t>
  </si>
  <si>
    <t>7.80% LIC Housing Finance Ltd (03/05/2022) **</t>
  </si>
  <si>
    <t>INE115A07LQ8</t>
  </si>
  <si>
    <t>7.25% Housing Development Finance Corporation Ltd (17/06/2030)</t>
  </si>
  <si>
    <t>INE001A07SO0</t>
  </si>
  <si>
    <t>6.99% Housing Development Finance Corporation Ltd (25/11/2021) **</t>
  </si>
  <si>
    <t>INE001A07SC5</t>
  </si>
  <si>
    <t>8.84% MAHARASHTRA SDL 17-OCT-22</t>
  </si>
  <si>
    <t>IN2220120058</t>
  </si>
  <si>
    <t>9.25% UTTAR PRADESH SDL 23-NOV-21</t>
  </si>
  <si>
    <t>IN3320110106</t>
  </si>
  <si>
    <t>8.72% MAHARASHTRA SDL 11-JAN-22</t>
  </si>
  <si>
    <t>IN2220110083</t>
  </si>
  <si>
    <t>6.70% GUJARAT SDL 23-SEP-30</t>
  </si>
  <si>
    <t>IN1520200156</t>
  </si>
  <si>
    <t>Havells India Ltd</t>
  </si>
  <si>
    <t>INE176B01034</t>
  </si>
  <si>
    <t>0.00% Kotak Mahindra Prime Ltd (29/03/2021) **</t>
  </si>
  <si>
    <t>INE916DA7PK1</t>
  </si>
  <si>
    <t>0.00% HDB Financial Services Ltd (06/04/2021) **</t>
  </si>
  <si>
    <t>INE756I07BW1</t>
  </si>
  <si>
    <t>7.65% Indian Railway Finance Corporation Ltd (15/03/2021) **</t>
  </si>
  <si>
    <t>INE053F07AK6</t>
  </si>
  <si>
    <t>7.73% Power Finance Corporation Ltd (12/03/2021) **</t>
  </si>
  <si>
    <t>INE134E08JJ8</t>
  </si>
  <si>
    <t>0.00% Mahindra &amp; Mahindra Financial Services Ltd (07/04/2021) **</t>
  </si>
  <si>
    <t>INE774D07RY7</t>
  </si>
  <si>
    <t>8.33% NTPC Ltd (24/02/2021) **</t>
  </si>
  <si>
    <t>INE733E07JZ5</t>
  </si>
  <si>
    <t>8.75% LIC Housing Finance Ltd (12/02/2021) **</t>
  </si>
  <si>
    <t>INE115A07JB4</t>
  </si>
  <si>
    <t>8.75% Housing Development Finance Corporation Ltd (04/03/2021) **</t>
  </si>
  <si>
    <t>INE001A07OO9</t>
  </si>
  <si>
    <t>7.88% LIC Housing Finance Ltd (28/01/2021) **</t>
  </si>
  <si>
    <t>INE115A07MT0</t>
  </si>
  <si>
    <t>0.00% LIC Housing Finance Ltd (25/03/2021) **</t>
  </si>
  <si>
    <t>INE115A07MX2</t>
  </si>
  <si>
    <t>7.73% Power Finance Corporation Ltd (05/04/2021) **</t>
  </si>
  <si>
    <t>INE134E08JK6</t>
  </si>
  <si>
    <t>8.39% Rajasthan SDL 15-Mar-21</t>
  </si>
  <si>
    <t>IN2920150306</t>
  </si>
  <si>
    <t>8.43% Uttar Pradesh SDL Uday 29-Mar-21</t>
  </si>
  <si>
    <t>IN3320150656</t>
  </si>
  <si>
    <t>8.51% Uttar Pradesh SDL Uday 21-Mar-21</t>
  </si>
  <si>
    <t>IN3320150532</t>
  </si>
  <si>
    <t>HDFC Asset Management Company Ltd</t>
  </si>
  <si>
    <t>INE127D01025</t>
  </si>
  <si>
    <t>V.I.P. Industries Ltd</t>
  </si>
  <si>
    <t>INE054A01027</t>
  </si>
  <si>
    <t>Hindalco Industries Ltd</t>
  </si>
  <si>
    <t>INE038A01020</t>
  </si>
  <si>
    <t>7.73% REC Ltd (15/06/2021) **</t>
  </si>
  <si>
    <t>INE020B08AW7</t>
  </si>
  <si>
    <t>7.5320% Mahindra &amp; Mahin Fin Ser (29/01/2021) **</t>
  </si>
  <si>
    <t>INE774D07RV3</t>
  </si>
  <si>
    <t>7.93% Power Grid Corporation of India Ltd (20/05/2021) **</t>
  </si>
  <si>
    <t>INE752E07KS8</t>
  </si>
  <si>
    <t>8.71% HDB Financial Services Ltd (17/05/2021) **</t>
  </si>
  <si>
    <t>INE756I07CQ1</t>
  </si>
  <si>
    <t>8.50% LIC Housing Finance Ltd (05/01/2021) **</t>
  </si>
  <si>
    <t>INE115A07IO9</t>
  </si>
  <si>
    <t>9.57% Indian Railway Finance Corporation Ltd (31/05/2021) **</t>
  </si>
  <si>
    <t>INE053F09HR2</t>
  </si>
  <si>
    <t>9.64% Power Grid Corporation of India Ltd (31/05/2021) **</t>
  </si>
  <si>
    <t>INE752E07IG7</t>
  </si>
  <si>
    <t>7.18% REC Ltd (21/05/2021) **</t>
  </si>
  <si>
    <t>INE020B08AO4</t>
  </si>
  <si>
    <t>7.94% GOI (24/05/2021)</t>
  </si>
  <si>
    <t>IN0020060318</t>
  </si>
  <si>
    <t>10.25% GOI (30/05/2021)</t>
  </si>
  <si>
    <t>IN0020010040</t>
  </si>
  <si>
    <t>7.95% LIC Housing Finance Ltd (24/03/2022) **</t>
  </si>
  <si>
    <t>INE115A07LM7</t>
  </si>
  <si>
    <t>8.99% GUJARAT SDL 14-MAR-22</t>
  </si>
  <si>
    <t>IN1520110132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</si>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</sst>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/>
    <xf numFmtId="4" fontId="6" fillId="2" borderId="0" xfId="0" applyNumberFormat="1" applyFont="1" applyFill="1"/>
    <xf numFmtId="0" fontId="7" fillId="2" borderId="0" xfId="0" applyFont="1" applyFill="1"/>
    <xf numFmtId="4" fontId="7" fillId="2" borderId="0" xfId="0" applyNumberFormat="1" applyFont="1" applyFill="1"/>
    <xf numFmtId="4" fontId="7" fillId="2" borderId="4" xfId="0" applyNumberFormat="1" applyFont="1" applyFill="1" applyBorder="1"/>
    <xf numFmtId="0" fontId="7" fillId="2" borderId="5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4" fontId="6" fillId="2" borderId="6" xfId="0" applyNumberFormat="1" applyFont="1" applyFill="1" applyBorder="1"/>
    <xf numFmtId="4" fontId="6" fillId="2" borderId="7" xfId="0" applyNumberFormat="1" applyFont="1" applyFill="1" applyBorder="1"/>
    <xf numFmtId="0" fontId="7" fillId="2" borderId="8" xfId="0" applyFont="1" applyFill="1" applyBorder="1"/>
    <xf numFmtId="0" fontId="6" fillId="2" borderId="9" xfId="0" applyFont="1" applyFill="1" applyBorder="1"/>
    <xf numFmtId="0" fontId="6" fillId="2" borderId="9" xfId="0" applyNumberFormat="1" applyFont="1" applyFill="1" applyBorder="1"/>
    <xf numFmtId="4" fontId="6" fillId="2" borderId="9" xfId="0" applyNumberFormat="1" applyFont="1" applyFill="1" applyBorder="1"/>
    <xf numFmtId="4" fontId="6" fillId="2" borderId="10" xfId="0" applyNumberFormat="1" applyFont="1" applyFill="1" applyBorder="1"/>
    <xf numFmtId="0" fontId="6" fillId="2" borderId="8" xfId="0" applyFont="1" applyFill="1" applyBorder="1"/>
    <xf numFmtId="3" fontId="6" fillId="2" borderId="9" xfId="0" applyNumberFormat="1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7" fillId="2" borderId="12" xfId="0" applyNumberFormat="1" applyFont="1" applyFill="1" applyBorder="1"/>
    <xf numFmtId="4" fontId="7" fillId="2" borderId="13" xfId="0" applyNumberFormat="1" applyFont="1" applyFill="1" applyBorder="1"/>
    <xf numFmtId="4" fontId="7" fillId="2" borderId="14" xfId="0" applyNumberFormat="1" applyFont="1" applyFill="1" applyBorder="1"/>
    <xf numFmtId="0" fontId="7" fillId="2" borderId="15" xfId="0" applyFont="1" applyFill="1" applyBorder="1"/>
    <xf numFmtId="0" fontId="7" fillId="2" borderId="15" xfId="0" applyNumberFormat="1" applyFont="1" applyFill="1" applyBorder="1"/>
    <xf numFmtId="4" fontId="7" fillId="2" borderId="15" xfId="0" applyNumberFormat="1" applyFont="1" applyFill="1" applyBorder="1"/>
    <xf numFmtId="0" fontId="7" fillId="2" borderId="16" xfId="0" applyFont="1" applyFill="1" applyBorder="1"/>
    <xf numFmtId="0" fontId="7" fillId="2" borderId="16" xfId="0" applyNumberFormat="1" applyFont="1" applyFill="1" applyBorder="1"/>
    <xf numFmtId="4" fontId="7" fillId="2" borderId="16" xfId="0" applyNumberFormat="1" applyFont="1" applyFill="1" applyBorder="1"/>
    <xf numFmtId="0" fontId="7" fillId="2" borderId="17" xfId="0" applyFont="1" applyFill="1" applyBorder="1"/>
    <xf numFmtId="0" fontId="6" fillId="2" borderId="18" xfId="0" applyFont="1" applyFill="1" applyBorder="1"/>
    <xf numFmtId="0" fontId="6" fillId="2" borderId="18" xfId="0" applyNumberFormat="1" applyFont="1" applyFill="1" applyBorder="1"/>
    <xf numFmtId="4" fontId="6" fillId="2" borderId="18" xfId="0" applyNumberFormat="1" applyFont="1" applyFill="1" applyBorder="1"/>
    <xf numFmtId="0" fontId="7" fillId="2" borderId="4" xfId="0" applyFont="1" applyFill="1" applyBorder="1"/>
    <xf numFmtId="0" fontId="7" fillId="2" borderId="4" xfId="0" applyNumberFormat="1" applyFont="1" applyFill="1" applyBorder="1"/>
    <xf numFmtId="0" fontId="7" fillId="2" borderId="18" xfId="0" applyFont="1" applyFill="1" applyBorder="1"/>
    <xf numFmtId="0" fontId="7" fillId="2" borderId="9" xfId="0" applyFont="1" applyFill="1" applyBorder="1"/>
    <xf numFmtId="4" fontId="7" fillId="2" borderId="12" xfId="0" applyNumberFormat="1" applyFont="1" applyFill="1" applyBorder="1"/>
    <xf numFmtId="0" fontId="7" fillId="2" borderId="19" xfId="0" applyFont="1" applyFill="1" applyBorder="1"/>
    <xf numFmtId="0" fontId="7" fillId="2" borderId="19" xfId="0" applyNumberFormat="1" applyFont="1" applyFill="1" applyBorder="1"/>
    <xf numFmtId="4" fontId="7" fillId="2" borderId="19" xfId="0" applyNumberFormat="1" applyFont="1" applyFill="1" applyBorder="1"/>
    <xf numFmtId="0" fontId="6" fillId="2" borderId="20" xfId="0" applyFont="1" applyFill="1" applyBorder="1"/>
    <xf numFmtId="3" fontId="6" fillId="2" borderId="20" xfId="0" applyNumberFormat="1" applyFont="1" applyFill="1" applyBorder="1"/>
    <xf numFmtId="4" fontId="6" fillId="2" borderId="20" xfId="0" applyNumberFormat="1" applyFont="1" applyFill="1" applyBorder="1"/>
    <xf numFmtId="0" fontId="7" fillId="2" borderId="21" xfId="0" applyFont="1" applyFill="1" applyBorder="1"/>
    <xf numFmtId="0" fontId="7" fillId="2" borderId="21" xfId="0" applyNumberFormat="1" applyFont="1" applyFill="1" applyBorder="1"/>
    <xf numFmtId="4" fontId="7" fillId="2" borderId="21" xfId="0" applyNumberFormat="1" applyFont="1" applyFill="1" applyBorder="1"/>
    <xf numFmtId="0" fontId="7" fillId="2" borderId="6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9"/>
  <sheetViews>
    <sheetView tabSelected="1" workbookViewId="0">
      <selection activeCell="B12" sqref="B12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0.28515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8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33</v>
      </c>
      <c r="C7" s="23" t="s">
        <v>34</v>
      </c>
      <c r="D7" s="23" t="s">
        <v>35</v>
      </c>
      <c r="E7" s="28">
        <v>75800</v>
      </c>
      <c r="F7" s="25">
        <v>704.56</v>
      </c>
      <c r="G7" s="25">
        <v>8.0399999999999991</v>
      </c>
    </row>
    <row r="8" spans="2:7" x14ac:dyDescent="0.2">
      <c r="B8" s="27" t="s">
        <v>36</v>
      </c>
      <c r="C8" s="23" t="s">
        <v>37</v>
      </c>
      <c r="D8" s="23" t="s">
        <v>38</v>
      </c>
      <c r="E8" s="28">
        <v>25800</v>
      </c>
      <c r="F8" s="25">
        <v>530.05999999999995</v>
      </c>
      <c r="G8" s="25">
        <v>6.05</v>
      </c>
    </row>
    <row r="9" spans="2:7" x14ac:dyDescent="0.2">
      <c r="B9" s="27" t="s">
        <v>39</v>
      </c>
      <c r="C9" s="23" t="s">
        <v>40</v>
      </c>
      <c r="D9" s="23" t="s">
        <v>41</v>
      </c>
      <c r="E9" s="28">
        <v>576600</v>
      </c>
      <c r="F9" s="25">
        <v>505.1</v>
      </c>
      <c r="G9" s="25">
        <v>5.76</v>
      </c>
    </row>
    <row r="10" spans="2:7" x14ac:dyDescent="0.2">
      <c r="B10" s="27" t="s">
        <v>42</v>
      </c>
      <c r="C10" s="23" t="s">
        <v>43</v>
      </c>
      <c r="D10" s="23" t="s">
        <v>44</v>
      </c>
      <c r="E10" s="28">
        <v>54000</v>
      </c>
      <c r="F10" s="25">
        <v>430.35</v>
      </c>
      <c r="G10" s="25">
        <v>4.91</v>
      </c>
    </row>
    <row r="11" spans="2:7" x14ac:dyDescent="0.2">
      <c r="B11" s="27" t="s">
        <v>45</v>
      </c>
      <c r="C11" s="23" t="s">
        <v>46</v>
      </c>
      <c r="D11" s="23" t="s">
        <v>47</v>
      </c>
      <c r="E11" s="28">
        <v>1320</v>
      </c>
      <c r="F11" s="25">
        <v>375.56</v>
      </c>
      <c r="G11" s="25">
        <v>4.28</v>
      </c>
    </row>
    <row r="12" spans="2:7" x14ac:dyDescent="0.2">
      <c r="B12" s="27" t="s">
        <v>48</v>
      </c>
      <c r="C12" s="23" t="s">
        <v>49</v>
      </c>
      <c r="D12" s="23" t="s">
        <v>47</v>
      </c>
      <c r="E12" s="28">
        <v>46576</v>
      </c>
      <c r="F12" s="25">
        <v>353.56</v>
      </c>
      <c r="G12" s="25">
        <v>4.03</v>
      </c>
    </row>
    <row r="13" spans="2:7" x14ac:dyDescent="0.2">
      <c r="B13" s="27" t="s">
        <v>50</v>
      </c>
      <c r="C13" s="23" t="s">
        <v>51</v>
      </c>
      <c r="D13" s="23" t="s">
        <v>52</v>
      </c>
      <c r="E13" s="28">
        <v>44243</v>
      </c>
      <c r="F13" s="25">
        <v>350.89</v>
      </c>
      <c r="G13" s="25">
        <v>4</v>
      </c>
    </row>
    <row r="14" spans="2:7" x14ac:dyDescent="0.2">
      <c r="B14" s="27" t="s">
        <v>53</v>
      </c>
      <c r="C14" s="23" t="s">
        <v>54</v>
      </c>
      <c r="D14" s="23" t="s">
        <v>55</v>
      </c>
      <c r="E14" s="28">
        <v>130937</v>
      </c>
      <c r="F14" s="25">
        <v>327.8</v>
      </c>
      <c r="G14" s="25">
        <v>3.74</v>
      </c>
    </row>
    <row r="15" spans="2:7" x14ac:dyDescent="0.2">
      <c r="B15" s="27" t="s">
        <v>56</v>
      </c>
      <c r="C15" s="23" t="s">
        <v>57</v>
      </c>
      <c r="D15" s="23" t="s">
        <v>47</v>
      </c>
      <c r="E15" s="28">
        <v>24000</v>
      </c>
      <c r="F15" s="25">
        <v>304.26</v>
      </c>
      <c r="G15" s="25">
        <v>3.47</v>
      </c>
    </row>
    <row r="16" spans="2:7" x14ac:dyDescent="0.2">
      <c r="B16" s="27" t="s">
        <v>58</v>
      </c>
      <c r="C16" s="23" t="s">
        <v>59</v>
      </c>
      <c r="D16" s="23" t="s">
        <v>60</v>
      </c>
      <c r="E16" s="28">
        <v>43000</v>
      </c>
      <c r="F16" s="25">
        <v>303.39</v>
      </c>
      <c r="G16" s="25">
        <v>3.46</v>
      </c>
    </row>
    <row r="17" spans="2:7" x14ac:dyDescent="0.2">
      <c r="B17" s="27" t="s">
        <v>61</v>
      </c>
      <c r="C17" s="23" t="s">
        <v>62</v>
      </c>
      <c r="D17" s="23" t="s">
        <v>63</v>
      </c>
      <c r="E17" s="28">
        <v>17206</v>
      </c>
      <c r="F17" s="25">
        <v>292.36</v>
      </c>
      <c r="G17" s="25">
        <v>3.33</v>
      </c>
    </row>
    <row r="18" spans="2:7" x14ac:dyDescent="0.2">
      <c r="B18" s="27" t="s">
        <v>64</v>
      </c>
      <c r="C18" s="23" t="s">
        <v>65</v>
      </c>
      <c r="D18" s="23" t="s">
        <v>66</v>
      </c>
      <c r="E18" s="28">
        <v>97342</v>
      </c>
      <c r="F18" s="25">
        <v>288.72000000000003</v>
      </c>
      <c r="G18" s="25">
        <v>3.29</v>
      </c>
    </row>
    <row r="19" spans="2:7" x14ac:dyDescent="0.2">
      <c r="B19" s="27" t="s">
        <v>67</v>
      </c>
      <c r="C19" s="23" t="s">
        <v>68</v>
      </c>
      <c r="D19" s="23" t="s">
        <v>66</v>
      </c>
      <c r="E19" s="28">
        <v>70000</v>
      </c>
      <c r="F19" s="25">
        <v>281.58</v>
      </c>
      <c r="G19" s="25">
        <v>3.21</v>
      </c>
    </row>
    <row r="20" spans="2:7" x14ac:dyDescent="0.2">
      <c r="B20" s="27" t="s">
        <v>69</v>
      </c>
      <c r="C20" s="23" t="s">
        <v>70</v>
      </c>
      <c r="D20" s="23" t="s">
        <v>38</v>
      </c>
      <c r="E20" s="28">
        <v>150000</v>
      </c>
      <c r="F20" s="25">
        <v>281.48</v>
      </c>
      <c r="G20" s="25">
        <v>3.21</v>
      </c>
    </row>
    <row r="21" spans="2:7" x14ac:dyDescent="0.2">
      <c r="B21" s="27" t="s">
        <v>71</v>
      </c>
      <c r="C21" s="23" t="s">
        <v>72</v>
      </c>
      <c r="D21" s="23" t="s">
        <v>41</v>
      </c>
      <c r="E21" s="28">
        <v>154558</v>
      </c>
      <c r="F21" s="25">
        <v>264.29000000000002</v>
      </c>
      <c r="G21" s="25">
        <v>3.01</v>
      </c>
    </row>
    <row r="22" spans="2:7" x14ac:dyDescent="0.2">
      <c r="B22" s="27" t="s">
        <v>73</v>
      </c>
      <c r="C22" s="23" t="s">
        <v>74</v>
      </c>
      <c r="D22" s="23" t="s">
        <v>52</v>
      </c>
      <c r="E22" s="28">
        <v>115266</v>
      </c>
      <c r="F22" s="25">
        <v>258.60000000000002</v>
      </c>
      <c r="G22" s="25">
        <v>2.95</v>
      </c>
    </row>
    <row r="23" spans="2:7" x14ac:dyDescent="0.2">
      <c r="B23" s="27" t="s">
        <v>75</v>
      </c>
      <c r="C23" s="23" t="s">
        <v>76</v>
      </c>
      <c r="D23" s="23" t="s">
        <v>60</v>
      </c>
      <c r="E23" s="28">
        <v>11000</v>
      </c>
      <c r="F23" s="25">
        <v>239.84</v>
      </c>
      <c r="G23" s="25">
        <v>2.74</v>
      </c>
    </row>
    <row r="24" spans="2:7" x14ac:dyDescent="0.2">
      <c r="B24" s="27" t="s">
        <v>77</v>
      </c>
      <c r="C24" s="23" t="s">
        <v>78</v>
      </c>
      <c r="D24" s="23" t="s">
        <v>44</v>
      </c>
      <c r="E24" s="28">
        <v>1100</v>
      </c>
      <c r="F24" s="25">
        <v>238.64</v>
      </c>
      <c r="G24" s="25">
        <v>2.72</v>
      </c>
    </row>
    <row r="25" spans="2:7" x14ac:dyDescent="0.2">
      <c r="B25" s="27" t="s">
        <v>79</v>
      </c>
      <c r="C25" s="23" t="s">
        <v>80</v>
      </c>
      <c r="D25" s="23" t="s">
        <v>47</v>
      </c>
      <c r="E25" s="28">
        <v>271000</v>
      </c>
      <c r="F25" s="25">
        <v>235.77</v>
      </c>
      <c r="G25" s="25">
        <v>2.69</v>
      </c>
    </row>
    <row r="26" spans="2:7" x14ac:dyDescent="0.2">
      <c r="B26" s="27" t="s">
        <v>81</v>
      </c>
      <c r="C26" s="23" t="s">
        <v>82</v>
      </c>
      <c r="D26" s="23" t="s">
        <v>44</v>
      </c>
      <c r="E26" s="28">
        <v>85000</v>
      </c>
      <c r="F26" s="25">
        <v>220.75</v>
      </c>
      <c r="G26" s="25">
        <v>2.52</v>
      </c>
    </row>
    <row r="27" spans="2:7" x14ac:dyDescent="0.2">
      <c r="B27" s="27" t="s">
        <v>83</v>
      </c>
      <c r="C27" s="23" t="s">
        <v>84</v>
      </c>
      <c r="D27" s="23" t="s">
        <v>66</v>
      </c>
      <c r="E27" s="28">
        <v>91693</v>
      </c>
      <c r="F27" s="25">
        <v>211.76</v>
      </c>
      <c r="G27" s="25">
        <v>2.42</v>
      </c>
    </row>
    <row r="28" spans="2:7" x14ac:dyDescent="0.2">
      <c r="B28" s="27" t="s">
        <v>85</v>
      </c>
      <c r="C28" s="23" t="s">
        <v>86</v>
      </c>
      <c r="D28" s="23" t="s">
        <v>87</v>
      </c>
      <c r="E28" s="28">
        <v>50500</v>
      </c>
      <c r="F28" s="25">
        <v>198.26</v>
      </c>
      <c r="G28" s="25">
        <v>2.2599999999999998</v>
      </c>
    </row>
    <row r="29" spans="2:7" x14ac:dyDescent="0.2">
      <c r="B29" s="27" t="s">
        <v>88</v>
      </c>
      <c r="C29" s="23" t="s">
        <v>89</v>
      </c>
      <c r="D29" s="23" t="s">
        <v>55</v>
      </c>
      <c r="E29" s="28">
        <v>85772</v>
      </c>
      <c r="F29" s="25">
        <v>186.94</v>
      </c>
      <c r="G29" s="25">
        <v>2.13</v>
      </c>
    </row>
    <row r="30" spans="2:7" x14ac:dyDescent="0.2">
      <c r="B30" s="27" t="s">
        <v>90</v>
      </c>
      <c r="C30" s="23" t="s">
        <v>91</v>
      </c>
      <c r="D30" s="23" t="s">
        <v>63</v>
      </c>
      <c r="E30" s="28">
        <v>16500</v>
      </c>
      <c r="F30" s="25">
        <v>177.99</v>
      </c>
      <c r="G30" s="25">
        <v>2.0299999999999998</v>
      </c>
    </row>
    <row r="31" spans="2:7" x14ac:dyDescent="0.2">
      <c r="B31" s="27" t="s">
        <v>92</v>
      </c>
      <c r="C31" s="23" t="s">
        <v>93</v>
      </c>
      <c r="D31" s="23" t="s">
        <v>44</v>
      </c>
      <c r="E31" s="28">
        <v>3750</v>
      </c>
      <c r="F31" s="25">
        <v>171.53</v>
      </c>
      <c r="G31" s="25">
        <v>1.96</v>
      </c>
    </row>
    <row r="32" spans="2:7" x14ac:dyDescent="0.2">
      <c r="B32" s="27" t="s">
        <v>94</v>
      </c>
      <c r="C32" s="23" t="s">
        <v>95</v>
      </c>
      <c r="D32" s="23" t="s">
        <v>55</v>
      </c>
      <c r="E32" s="28">
        <v>100000</v>
      </c>
      <c r="F32" s="25">
        <v>171.15</v>
      </c>
      <c r="G32" s="25">
        <v>1.95</v>
      </c>
    </row>
    <row r="33" spans="2:9" x14ac:dyDescent="0.2">
      <c r="B33" s="27" t="s">
        <v>96</v>
      </c>
      <c r="C33" s="23" t="s">
        <v>97</v>
      </c>
      <c r="D33" s="23" t="s">
        <v>60</v>
      </c>
      <c r="E33" s="28">
        <v>1750</v>
      </c>
      <c r="F33" s="25">
        <v>162.74</v>
      </c>
      <c r="G33" s="25">
        <v>1.86</v>
      </c>
    </row>
    <row r="34" spans="2:9" x14ac:dyDescent="0.2">
      <c r="B34" s="27" t="s">
        <v>98</v>
      </c>
      <c r="C34" s="23" t="s">
        <v>99</v>
      </c>
      <c r="D34" s="23" t="s">
        <v>63</v>
      </c>
      <c r="E34" s="28">
        <v>4000</v>
      </c>
      <c r="F34" s="25">
        <v>150.59</v>
      </c>
      <c r="G34" s="25">
        <v>1.72</v>
      </c>
    </row>
    <row r="35" spans="2:9" x14ac:dyDescent="0.2">
      <c r="B35" s="27" t="s">
        <v>100</v>
      </c>
      <c r="C35" s="23" t="s">
        <v>101</v>
      </c>
      <c r="D35" s="23" t="s">
        <v>102</v>
      </c>
      <c r="E35" s="28">
        <v>27040</v>
      </c>
      <c r="F35" s="25">
        <v>117.29</v>
      </c>
      <c r="G35" s="25">
        <v>1.34</v>
      </c>
    </row>
    <row r="36" spans="2:9" x14ac:dyDescent="0.2">
      <c r="B36" s="27" t="s">
        <v>103</v>
      </c>
      <c r="C36" s="23" t="s">
        <v>104</v>
      </c>
      <c r="D36" s="23" t="s">
        <v>63</v>
      </c>
      <c r="E36" s="28">
        <v>20976</v>
      </c>
      <c r="F36" s="25">
        <v>94.99</v>
      </c>
      <c r="G36" s="25">
        <v>1.08</v>
      </c>
    </row>
    <row r="37" spans="2:9" x14ac:dyDescent="0.2">
      <c r="B37" s="27" t="s">
        <v>105</v>
      </c>
      <c r="C37" s="23" t="s">
        <v>106</v>
      </c>
      <c r="D37" s="23" t="s">
        <v>60</v>
      </c>
      <c r="E37" s="28">
        <v>15000</v>
      </c>
      <c r="F37" s="25">
        <v>94.15</v>
      </c>
      <c r="G37" s="25">
        <v>1.07</v>
      </c>
    </row>
    <row r="38" spans="2:9" x14ac:dyDescent="0.2">
      <c r="B38" s="27" t="s">
        <v>107</v>
      </c>
      <c r="C38" s="23" t="s">
        <v>108</v>
      </c>
      <c r="D38" s="23" t="s">
        <v>47</v>
      </c>
      <c r="E38" s="28">
        <v>40000</v>
      </c>
      <c r="F38" s="25">
        <v>94.06</v>
      </c>
      <c r="G38" s="25">
        <v>1.07</v>
      </c>
    </row>
    <row r="39" spans="2:9" x14ac:dyDescent="0.2">
      <c r="B39" s="27" t="s">
        <v>109</v>
      </c>
      <c r="C39" s="23" t="s">
        <v>110</v>
      </c>
      <c r="D39" s="23" t="s">
        <v>66</v>
      </c>
      <c r="E39" s="28">
        <v>25000</v>
      </c>
      <c r="F39" s="25">
        <v>48.3</v>
      </c>
      <c r="G39" s="25">
        <v>0.55000000000000004</v>
      </c>
    </row>
    <row r="40" spans="2:9" x14ac:dyDescent="0.2">
      <c r="B40" s="29" t="s">
        <v>111</v>
      </c>
      <c r="C40" s="30"/>
      <c r="D40" s="30"/>
      <c r="E40" s="31"/>
      <c r="F40" s="32">
        <f>SUM(F7:F39)</f>
        <v>8667.31</v>
      </c>
      <c r="G40" s="32">
        <f>SUM(G7:G39)</f>
        <v>98.849999999999966</v>
      </c>
      <c r="H40" s="14"/>
      <c r="I40" s="14"/>
    </row>
    <row r="41" spans="2:9" x14ac:dyDescent="0.2">
      <c r="B41" s="37" t="s">
        <v>112</v>
      </c>
      <c r="C41" s="37"/>
      <c r="D41" s="37"/>
      <c r="E41" s="38"/>
      <c r="F41" s="39">
        <f>F40</f>
        <v>8667.31</v>
      </c>
      <c r="G41" s="39">
        <f>G40</f>
        <v>98.849999999999966</v>
      </c>
      <c r="H41" s="14"/>
      <c r="I41" s="14"/>
    </row>
    <row r="42" spans="2:9" x14ac:dyDescent="0.2">
      <c r="B42" s="40" t="s">
        <v>113</v>
      </c>
      <c r="C42" s="41"/>
      <c r="D42" s="41"/>
      <c r="E42" s="42"/>
      <c r="F42" s="43"/>
      <c r="G42" s="43"/>
    </row>
    <row r="43" spans="2:9" x14ac:dyDescent="0.2">
      <c r="B43" s="27" t="s">
        <v>113</v>
      </c>
      <c r="C43" s="23"/>
      <c r="D43" s="23"/>
      <c r="E43" s="24"/>
      <c r="F43" s="25">
        <v>117.77</v>
      </c>
      <c r="G43" s="25">
        <v>1.34</v>
      </c>
    </row>
    <row r="44" spans="2:9" x14ac:dyDescent="0.2">
      <c r="B44" s="29" t="s">
        <v>111</v>
      </c>
      <c r="C44" s="30"/>
      <c r="D44" s="30"/>
      <c r="E44" s="31"/>
      <c r="F44" s="32">
        <f>SUM(F42:F43)</f>
        <v>117.77</v>
      </c>
      <c r="G44" s="32">
        <f>SUM(G42:G43)</f>
        <v>1.34</v>
      </c>
      <c r="H44" s="14"/>
      <c r="I44" s="14"/>
    </row>
    <row r="45" spans="2:9" x14ac:dyDescent="0.2">
      <c r="B45" s="34" t="s">
        <v>112</v>
      </c>
      <c r="C45" s="34"/>
      <c r="D45" s="34"/>
      <c r="E45" s="35"/>
      <c r="F45" s="36">
        <f>F44</f>
        <v>117.77</v>
      </c>
      <c r="G45" s="36">
        <f>G44</f>
        <v>1.34</v>
      </c>
      <c r="H45" s="14"/>
      <c r="I45" s="14"/>
    </row>
    <row r="46" spans="2:9" x14ac:dyDescent="0.2">
      <c r="B46" s="44" t="s">
        <v>115</v>
      </c>
      <c r="C46" s="44"/>
      <c r="D46" s="44"/>
      <c r="E46" s="45"/>
      <c r="F46" s="16">
        <f>F47-(+F41+F45)</f>
        <v>-20.659999999999854</v>
      </c>
      <c r="G46" s="16">
        <f>G47-(+G41+G45)</f>
        <v>-0.1899999999999693</v>
      </c>
      <c r="H46" s="14"/>
      <c r="I46" s="14"/>
    </row>
    <row r="47" spans="2:9" x14ac:dyDescent="0.2">
      <c r="B47" s="44" t="s">
        <v>114</v>
      </c>
      <c r="C47" s="44"/>
      <c r="D47" s="44"/>
      <c r="E47" s="45"/>
      <c r="F47" s="16">
        <v>8764.42</v>
      </c>
      <c r="G47" s="16">
        <v>100</v>
      </c>
      <c r="H47" s="14"/>
      <c r="I47" s="14"/>
    </row>
    <row r="49" spans="2:2" x14ac:dyDescent="0.2">
      <c r="B4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3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9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116</v>
      </c>
      <c r="C7" s="23" t="s">
        <v>117</v>
      </c>
      <c r="D7" s="23" t="s">
        <v>118</v>
      </c>
      <c r="E7" s="28">
        <v>1757188</v>
      </c>
      <c r="F7" s="25">
        <v>18636.740000000002</v>
      </c>
      <c r="G7" s="25">
        <v>7.57</v>
      </c>
    </row>
    <row r="8" spans="2:7" x14ac:dyDescent="0.2">
      <c r="B8" s="27" t="s">
        <v>119</v>
      </c>
      <c r="C8" s="23" t="s">
        <v>120</v>
      </c>
      <c r="D8" s="23" t="s">
        <v>87</v>
      </c>
      <c r="E8" s="28">
        <v>1512340</v>
      </c>
      <c r="F8" s="25">
        <v>17899.3</v>
      </c>
      <c r="G8" s="25">
        <v>7.27</v>
      </c>
    </row>
    <row r="9" spans="2:7" x14ac:dyDescent="0.2">
      <c r="B9" s="27" t="s">
        <v>36</v>
      </c>
      <c r="C9" s="23" t="s">
        <v>37</v>
      </c>
      <c r="D9" s="23" t="s">
        <v>38</v>
      </c>
      <c r="E9" s="28">
        <v>737400</v>
      </c>
      <c r="F9" s="25">
        <v>15149.88</v>
      </c>
      <c r="G9" s="25">
        <v>6.16</v>
      </c>
    </row>
    <row r="10" spans="2:7" x14ac:dyDescent="0.2">
      <c r="B10" s="27" t="s">
        <v>85</v>
      </c>
      <c r="C10" s="23" t="s">
        <v>86</v>
      </c>
      <c r="D10" s="23" t="s">
        <v>87</v>
      </c>
      <c r="E10" s="28">
        <v>3340550</v>
      </c>
      <c r="F10" s="25">
        <v>13115</v>
      </c>
      <c r="G10" s="25">
        <v>5.33</v>
      </c>
    </row>
    <row r="11" spans="2:7" x14ac:dyDescent="0.2">
      <c r="B11" s="27" t="s">
        <v>121</v>
      </c>
      <c r="C11" s="23" t="s">
        <v>122</v>
      </c>
      <c r="D11" s="23" t="s">
        <v>118</v>
      </c>
      <c r="E11" s="28">
        <v>380100</v>
      </c>
      <c r="F11" s="25">
        <v>10129.09</v>
      </c>
      <c r="G11" s="25">
        <v>4.12</v>
      </c>
    </row>
    <row r="12" spans="2:7" x14ac:dyDescent="0.2">
      <c r="B12" s="27" t="s">
        <v>123</v>
      </c>
      <c r="C12" s="23" t="s">
        <v>124</v>
      </c>
      <c r="D12" s="23" t="s">
        <v>87</v>
      </c>
      <c r="E12" s="28">
        <v>481651</v>
      </c>
      <c r="F12" s="25">
        <v>7453.07</v>
      </c>
      <c r="G12" s="25">
        <v>3.03</v>
      </c>
    </row>
    <row r="13" spans="2:7" x14ac:dyDescent="0.2">
      <c r="B13" s="27" t="s">
        <v>125</v>
      </c>
      <c r="C13" s="23" t="s">
        <v>126</v>
      </c>
      <c r="D13" s="23" t="s">
        <v>127</v>
      </c>
      <c r="E13" s="28">
        <v>355400</v>
      </c>
      <c r="F13" s="25">
        <v>7361.4</v>
      </c>
      <c r="G13" s="25">
        <v>2.99</v>
      </c>
    </row>
    <row r="14" spans="2:7" x14ac:dyDescent="0.2">
      <c r="B14" s="27" t="s">
        <v>128</v>
      </c>
      <c r="C14" s="23" t="s">
        <v>129</v>
      </c>
      <c r="D14" s="23" t="s">
        <v>130</v>
      </c>
      <c r="E14" s="28">
        <v>209500</v>
      </c>
      <c r="F14" s="25">
        <v>6932.36</v>
      </c>
      <c r="G14" s="25">
        <v>2.82</v>
      </c>
    </row>
    <row r="15" spans="2:7" x14ac:dyDescent="0.2">
      <c r="B15" s="27" t="s">
        <v>92</v>
      </c>
      <c r="C15" s="23" t="s">
        <v>93</v>
      </c>
      <c r="D15" s="23" t="s">
        <v>44</v>
      </c>
      <c r="E15" s="28">
        <v>116971</v>
      </c>
      <c r="F15" s="25">
        <v>5350.31</v>
      </c>
      <c r="G15" s="25">
        <v>2.17</v>
      </c>
    </row>
    <row r="16" spans="2:7" x14ac:dyDescent="0.2">
      <c r="B16" s="27" t="s">
        <v>131</v>
      </c>
      <c r="C16" s="23" t="s">
        <v>132</v>
      </c>
      <c r="D16" s="23" t="s">
        <v>133</v>
      </c>
      <c r="E16" s="28">
        <v>157032</v>
      </c>
      <c r="F16" s="25">
        <v>4934.0200000000004</v>
      </c>
      <c r="G16" s="25">
        <v>2.0099999999999998</v>
      </c>
    </row>
    <row r="17" spans="2:7" x14ac:dyDescent="0.2">
      <c r="B17" s="27" t="s">
        <v>58</v>
      </c>
      <c r="C17" s="23" t="s">
        <v>59</v>
      </c>
      <c r="D17" s="23" t="s">
        <v>60</v>
      </c>
      <c r="E17" s="28">
        <v>690429</v>
      </c>
      <c r="F17" s="25">
        <v>4871.32</v>
      </c>
      <c r="G17" s="25">
        <v>1.98</v>
      </c>
    </row>
    <row r="18" spans="2:7" x14ac:dyDescent="0.2">
      <c r="B18" s="27" t="s">
        <v>134</v>
      </c>
      <c r="C18" s="23" t="s">
        <v>135</v>
      </c>
      <c r="D18" s="23" t="s">
        <v>130</v>
      </c>
      <c r="E18" s="28">
        <v>250900</v>
      </c>
      <c r="F18" s="25">
        <v>4826.1899999999996</v>
      </c>
      <c r="G18" s="25">
        <v>1.96</v>
      </c>
    </row>
    <row r="19" spans="2:7" x14ac:dyDescent="0.2">
      <c r="B19" s="27" t="s">
        <v>100</v>
      </c>
      <c r="C19" s="23" t="s">
        <v>101</v>
      </c>
      <c r="D19" s="23" t="s">
        <v>102</v>
      </c>
      <c r="E19" s="28">
        <v>1072334</v>
      </c>
      <c r="F19" s="25">
        <v>4651.25</v>
      </c>
      <c r="G19" s="25">
        <v>1.89</v>
      </c>
    </row>
    <row r="20" spans="2:7" x14ac:dyDescent="0.2">
      <c r="B20" s="27" t="s">
        <v>136</v>
      </c>
      <c r="C20" s="23" t="s">
        <v>137</v>
      </c>
      <c r="D20" s="23" t="s">
        <v>138</v>
      </c>
      <c r="E20" s="28">
        <v>61626</v>
      </c>
      <c r="F20" s="25">
        <v>4292.34</v>
      </c>
      <c r="G20" s="25">
        <v>1.74</v>
      </c>
    </row>
    <row r="21" spans="2:7" x14ac:dyDescent="0.2">
      <c r="B21" s="27" t="s">
        <v>139</v>
      </c>
      <c r="C21" s="23" t="s">
        <v>140</v>
      </c>
      <c r="D21" s="23" t="s">
        <v>87</v>
      </c>
      <c r="E21" s="28">
        <v>853600</v>
      </c>
      <c r="F21" s="25">
        <v>4203.9799999999996</v>
      </c>
      <c r="G21" s="25">
        <v>1.71</v>
      </c>
    </row>
    <row r="22" spans="2:7" x14ac:dyDescent="0.2">
      <c r="B22" s="27" t="s">
        <v>141</v>
      </c>
      <c r="C22" s="23" t="s">
        <v>142</v>
      </c>
      <c r="D22" s="23" t="s">
        <v>118</v>
      </c>
      <c r="E22" s="28">
        <v>470000</v>
      </c>
      <c r="F22" s="25">
        <v>3957.17</v>
      </c>
      <c r="G22" s="25">
        <v>1.61</v>
      </c>
    </row>
    <row r="23" spans="2:7" x14ac:dyDescent="0.2">
      <c r="B23" s="27" t="s">
        <v>143</v>
      </c>
      <c r="C23" s="23" t="s">
        <v>144</v>
      </c>
      <c r="D23" s="23" t="s">
        <v>145</v>
      </c>
      <c r="E23" s="28">
        <v>174975</v>
      </c>
      <c r="F23" s="25">
        <v>3844.55</v>
      </c>
      <c r="G23" s="25">
        <v>1.56</v>
      </c>
    </row>
    <row r="24" spans="2:7" x14ac:dyDescent="0.2">
      <c r="B24" s="27" t="s">
        <v>146</v>
      </c>
      <c r="C24" s="23" t="s">
        <v>147</v>
      </c>
      <c r="D24" s="23" t="s">
        <v>138</v>
      </c>
      <c r="E24" s="28">
        <v>645000</v>
      </c>
      <c r="F24" s="25">
        <v>3831.3</v>
      </c>
      <c r="G24" s="25">
        <v>1.56</v>
      </c>
    </row>
    <row r="25" spans="2:7" x14ac:dyDescent="0.2">
      <c r="B25" s="27" t="s">
        <v>148</v>
      </c>
      <c r="C25" s="23" t="s">
        <v>149</v>
      </c>
      <c r="D25" s="23" t="s">
        <v>133</v>
      </c>
      <c r="E25" s="28">
        <v>475000</v>
      </c>
      <c r="F25" s="25">
        <v>3583.88</v>
      </c>
      <c r="G25" s="25">
        <v>1.46</v>
      </c>
    </row>
    <row r="26" spans="2:7" x14ac:dyDescent="0.2">
      <c r="B26" s="27" t="s">
        <v>150</v>
      </c>
      <c r="C26" s="23" t="s">
        <v>151</v>
      </c>
      <c r="D26" s="23" t="s">
        <v>133</v>
      </c>
      <c r="E26" s="28">
        <v>150659</v>
      </c>
      <c r="F26" s="25">
        <v>3484.89</v>
      </c>
      <c r="G26" s="25">
        <v>1.42</v>
      </c>
    </row>
    <row r="27" spans="2:7" x14ac:dyDescent="0.2">
      <c r="B27" s="27" t="s">
        <v>152</v>
      </c>
      <c r="C27" s="23" t="s">
        <v>153</v>
      </c>
      <c r="D27" s="23" t="s">
        <v>127</v>
      </c>
      <c r="E27" s="28">
        <v>20000</v>
      </c>
      <c r="F27" s="25">
        <v>3432.32</v>
      </c>
      <c r="G27" s="25">
        <v>1.39</v>
      </c>
    </row>
    <row r="28" spans="2:7" x14ac:dyDescent="0.2">
      <c r="B28" s="27" t="s">
        <v>154</v>
      </c>
      <c r="C28" s="23" t="s">
        <v>155</v>
      </c>
      <c r="D28" s="23" t="s">
        <v>60</v>
      </c>
      <c r="E28" s="28">
        <v>288800</v>
      </c>
      <c r="F28" s="25">
        <v>3366.69</v>
      </c>
      <c r="G28" s="25">
        <v>1.37</v>
      </c>
    </row>
    <row r="29" spans="2:7" x14ac:dyDescent="0.2">
      <c r="B29" s="27" t="s">
        <v>156</v>
      </c>
      <c r="C29" s="23" t="s">
        <v>157</v>
      </c>
      <c r="D29" s="23" t="s">
        <v>130</v>
      </c>
      <c r="E29" s="28">
        <v>193250</v>
      </c>
      <c r="F29" s="25">
        <v>3287.18</v>
      </c>
      <c r="G29" s="25">
        <v>1.34</v>
      </c>
    </row>
    <row r="30" spans="2:7" x14ac:dyDescent="0.2">
      <c r="B30" s="27" t="s">
        <v>158</v>
      </c>
      <c r="C30" s="23" t="s">
        <v>159</v>
      </c>
      <c r="D30" s="23" t="s">
        <v>127</v>
      </c>
      <c r="E30" s="28">
        <v>94490</v>
      </c>
      <c r="F30" s="25">
        <v>3281.87</v>
      </c>
      <c r="G30" s="25">
        <v>1.33</v>
      </c>
    </row>
    <row r="31" spans="2:7" x14ac:dyDescent="0.2">
      <c r="B31" s="27" t="s">
        <v>160</v>
      </c>
      <c r="C31" s="23" t="s">
        <v>161</v>
      </c>
      <c r="D31" s="23" t="s">
        <v>138</v>
      </c>
      <c r="E31" s="28">
        <v>116500</v>
      </c>
      <c r="F31" s="25">
        <v>3261.77</v>
      </c>
      <c r="G31" s="25">
        <v>1.33</v>
      </c>
    </row>
    <row r="32" spans="2:7" x14ac:dyDescent="0.2">
      <c r="B32" s="27" t="s">
        <v>162</v>
      </c>
      <c r="C32" s="23" t="s">
        <v>163</v>
      </c>
      <c r="D32" s="23" t="s">
        <v>164</v>
      </c>
      <c r="E32" s="28">
        <v>237500</v>
      </c>
      <c r="F32" s="25">
        <v>3200.43</v>
      </c>
      <c r="G32" s="25">
        <v>1.3</v>
      </c>
    </row>
    <row r="33" spans="2:7" x14ac:dyDescent="0.2">
      <c r="B33" s="27" t="s">
        <v>165</v>
      </c>
      <c r="C33" s="23" t="s">
        <v>166</v>
      </c>
      <c r="D33" s="23" t="s">
        <v>133</v>
      </c>
      <c r="E33" s="28">
        <v>19860</v>
      </c>
      <c r="F33" s="25">
        <v>3038.21</v>
      </c>
      <c r="G33" s="25">
        <v>1.23</v>
      </c>
    </row>
    <row r="34" spans="2:7" x14ac:dyDescent="0.2">
      <c r="B34" s="27" t="s">
        <v>167</v>
      </c>
      <c r="C34" s="23" t="s">
        <v>168</v>
      </c>
      <c r="D34" s="23" t="s">
        <v>130</v>
      </c>
      <c r="E34" s="28">
        <v>495000</v>
      </c>
      <c r="F34" s="25">
        <v>2919.26</v>
      </c>
      <c r="G34" s="25">
        <v>1.19</v>
      </c>
    </row>
    <row r="35" spans="2:7" x14ac:dyDescent="0.2">
      <c r="B35" s="27" t="s">
        <v>169</v>
      </c>
      <c r="C35" s="23" t="s">
        <v>170</v>
      </c>
      <c r="D35" s="23" t="s">
        <v>133</v>
      </c>
      <c r="E35" s="28">
        <v>105104</v>
      </c>
      <c r="F35" s="25">
        <v>2768.75</v>
      </c>
      <c r="G35" s="25">
        <v>1.1299999999999999</v>
      </c>
    </row>
    <row r="36" spans="2:7" x14ac:dyDescent="0.2">
      <c r="B36" s="27" t="s">
        <v>50</v>
      </c>
      <c r="C36" s="23" t="s">
        <v>51</v>
      </c>
      <c r="D36" s="23" t="s">
        <v>52</v>
      </c>
      <c r="E36" s="28">
        <v>340979</v>
      </c>
      <c r="F36" s="25">
        <v>2704.3</v>
      </c>
      <c r="G36" s="25">
        <v>1.1000000000000001</v>
      </c>
    </row>
    <row r="37" spans="2:7" x14ac:dyDescent="0.2">
      <c r="B37" s="27" t="s">
        <v>171</v>
      </c>
      <c r="C37" s="23" t="s">
        <v>172</v>
      </c>
      <c r="D37" s="23" t="s">
        <v>173</v>
      </c>
      <c r="E37" s="28">
        <v>120066</v>
      </c>
      <c r="F37" s="25">
        <v>2691.34</v>
      </c>
      <c r="G37" s="25">
        <v>1.0900000000000001</v>
      </c>
    </row>
    <row r="38" spans="2:7" x14ac:dyDescent="0.2">
      <c r="B38" s="27" t="s">
        <v>174</v>
      </c>
      <c r="C38" s="23" t="s">
        <v>175</v>
      </c>
      <c r="D38" s="23" t="s">
        <v>173</v>
      </c>
      <c r="E38" s="28">
        <v>44752</v>
      </c>
      <c r="F38" s="25">
        <v>2688.97</v>
      </c>
      <c r="G38" s="25">
        <v>1.0900000000000001</v>
      </c>
    </row>
    <row r="39" spans="2:7" x14ac:dyDescent="0.2">
      <c r="B39" s="27" t="s">
        <v>176</v>
      </c>
      <c r="C39" s="23" t="s">
        <v>177</v>
      </c>
      <c r="D39" s="23" t="s">
        <v>178</v>
      </c>
      <c r="E39" s="28">
        <v>115394</v>
      </c>
      <c r="F39" s="25">
        <v>2650.43</v>
      </c>
      <c r="G39" s="25">
        <v>1.08</v>
      </c>
    </row>
    <row r="40" spans="2:7" x14ac:dyDescent="0.2">
      <c r="B40" s="27" t="s">
        <v>33</v>
      </c>
      <c r="C40" s="23" t="s">
        <v>34</v>
      </c>
      <c r="D40" s="23" t="s">
        <v>35</v>
      </c>
      <c r="E40" s="28">
        <v>277954</v>
      </c>
      <c r="F40" s="25">
        <v>2583.58</v>
      </c>
      <c r="G40" s="25">
        <v>1.05</v>
      </c>
    </row>
    <row r="41" spans="2:7" x14ac:dyDescent="0.2">
      <c r="B41" s="27" t="s">
        <v>64</v>
      </c>
      <c r="C41" s="23" t="s">
        <v>65</v>
      </c>
      <c r="D41" s="23" t="s">
        <v>66</v>
      </c>
      <c r="E41" s="28">
        <v>864056</v>
      </c>
      <c r="F41" s="25">
        <v>2562.79</v>
      </c>
      <c r="G41" s="25">
        <v>1.04</v>
      </c>
    </row>
    <row r="42" spans="2:7" x14ac:dyDescent="0.2">
      <c r="B42" s="27" t="s">
        <v>45</v>
      </c>
      <c r="C42" s="23" t="s">
        <v>46</v>
      </c>
      <c r="D42" s="23" t="s">
        <v>47</v>
      </c>
      <c r="E42" s="28">
        <v>8910</v>
      </c>
      <c r="F42" s="25">
        <v>2535.04</v>
      </c>
      <c r="G42" s="25">
        <v>1.03</v>
      </c>
    </row>
    <row r="43" spans="2:7" x14ac:dyDescent="0.2">
      <c r="B43" s="27" t="s">
        <v>179</v>
      </c>
      <c r="C43" s="23" t="s">
        <v>180</v>
      </c>
      <c r="D43" s="23" t="s">
        <v>60</v>
      </c>
      <c r="E43" s="28">
        <v>185000</v>
      </c>
      <c r="F43" s="25">
        <v>2427.1999999999998</v>
      </c>
      <c r="G43" s="25">
        <v>0.99</v>
      </c>
    </row>
    <row r="44" spans="2:7" x14ac:dyDescent="0.2">
      <c r="B44" s="27" t="s">
        <v>77</v>
      </c>
      <c r="C44" s="23" t="s">
        <v>78</v>
      </c>
      <c r="D44" s="23" t="s">
        <v>44</v>
      </c>
      <c r="E44" s="28">
        <v>10842</v>
      </c>
      <c r="F44" s="25">
        <v>2352.12</v>
      </c>
      <c r="G44" s="25">
        <v>0.96</v>
      </c>
    </row>
    <row r="45" spans="2:7" x14ac:dyDescent="0.2">
      <c r="B45" s="27" t="s">
        <v>181</v>
      </c>
      <c r="C45" s="23" t="s">
        <v>182</v>
      </c>
      <c r="D45" s="23" t="s">
        <v>118</v>
      </c>
      <c r="E45" s="28">
        <v>176197</v>
      </c>
      <c r="F45" s="25">
        <v>2339.19</v>
      </c>
      <c r="G45" s="25">
        <v>0.95</v>
      </c>
    </row>
    <row r="46" spans="2:7" x14ac:dyDescent="0.2">
      <c r="B46" s="27" t="s">
        <v>183</v>
      </c>
      <c r="C46" s="23" t="s">
        <v>184</v>
      </c>
      <c r="D46" s="23" t="s">
        <v>60</v>
      </c>
      <c r="E46" s="28">
        <v>109070</v>
      </c>
      <c r="F46" s="25">
        <v>2312.83</v>
      </c>
      <c r="G46" s="25">
        <v>0.94</v>
      </c>
    </row>
    <row r="47" spans="2:7" x14ac:dyDescent="0.2">
      <c r="B47" s="27" t="s">
        <v>185</v>
      </c>
      <c r="C47" s="23" t="s">
        <v>186</v>
      </c>
      <c r="D47" s="23" t="s">
        <v>127</v>
      </c>
      <c r="E47" s="28">
        <v>104500</v>
      </c>
      <c r="F47" s="25">
        <v>2311.02</v>
      </c>
      <c r="G47" s="25">
        <v>0.94</v>
      </c>
    </row>
    <row r="48" spans="2:7" x14ac:dyDescent="0.2">
      <c r="B48" s="27" t="s">
        <v>187</v>
      </c>
      <c r="C48" s="23" t="s">
        <v>188</v>
      </c>
      <c r="D48" s="23" t="s">
        <v>130</v>
      </c>
      <c r="E48" s="28">
        <v>500000</v>
      </c>
      <c r="F48" s="25">
        <v>2286.25</v>
      </c>
      <c r="G48" s="25">
        <v>0.93</v>
      </c>
    </row>
    <row r="49" spans="2:9" x14ac:dyDescent="0.2">
      <c r="B49" s="27" t="s">
        <v>189</v>
      </c>
      <c r="C49" s="23" t="s">
        <v>190</v>
      </c>
      <c r="D49" s="23" t="s">
        <v>130</v>
      </c>
      <c r="E49" s="28">
        <v>184455</v>
      </c>
      <c r="F49" s="25">
        <v>2279.86</v>
      </c>
      <c r="G49" s="25">
        <v>0.93</v>
      </c>
    </row>
    <row r="50" spans="2:9" x14ac:dyDescent="0.2">
      <c r="B50" s="27" t="s">
        <v>191</v>
      </c>
      <c r="C50" s="23" t="s">
        <v>192</v>
      </c>
      <c r="D50" s="23" t="s">
        <v>130</v>
      </c>
      <c r="E50" s="28">
        <v>800000</v>
      </c>
      <c r="F50" s="25">
        <v>2186</v>
      </c>
      <c r="G50" s="25">
        <v>0.89</v>
      </c>
    </row>
    <row r="51" spans="2:9" x14ac:dyDescent="0.2">
      <c r="B51" s="27" t="s">
        <v>193</v>
      </c>
      <c r="C51" s="23" t="s">
        <v>194</v>
      </c>
      <c r="D51" s="23" t="s">
        <v>130</v>
      </c>
      <c r="E51" s="28">
        <v>273000</v>
      </c>
      <c r="F51" s="25">
        <v>2183.3200000000002</v>
      </c>
      <c r="G51" s="25">
        <v>0.89</v>
      </c>
    </row>
    <row r="52" spans="2:9" x14ac:dyDescent="0.2">
      <c r="B52" s="27" t="s">
        <v>195</v>
      </c>
      <c r="C52" s="23" t="s">
        <v>196</v>
      </c>
      <c r="D52" s="23" t="s">
        <v>173</v>
      </c>
      <c r="E52" s="28">
        <v>180000</v>
      </c>
      <c r="F52" s="25">
        <v>2177.37</v>
      </c>
      <c r="G52" s="25">
        <v>0.88</v>
      </c>
    </row>
    <row r="53" spans="2:9" x14ac:dyDescent="0.2">
      <c r="B53" s="27" t="s">
        <v>67</v>
      </c>
      <c r="C53" s="23" t="s">
        <v>68</v>
      </c>
      <c r="D53" s="23" t="s">
        <v>66</v>
      </c>
      <c r="E53" s="28">
        <v>538000</v>
      </c>
      <c r="F53" s="25">
        <v>2164.11</v>
      </c>
      <c r="G53" s="25">
        <v>0.88</v>
      </c>
    </row>
    <row r="54" spans="2:9" x14ac:dyDescent="0.2">
      <c r="B54" s="27" t="s">
        <v>197</v>
      </c>
      <c r="C54" s="23" t="s">
        <v>198</v>
      </c>
      <c r="D54" s="23" t="s">
        <v>164</v>
      </c>
      <c r="E54" s="28">
        <v>630000</v>
      </c>
      <c r="F54" s="25">
        <v>2013.8</v>
      </c>
      <c r="G54" s="25">
        <v>0.82</v>
      </c>
    </row>
    <row r="55" spans="2:9" x14ac:dyDescent="0.2">
      <c r="B55" s="27" t="s">
        <v>61</v>
      </c>
      <c r="C55" s="23" t="s">
        <v>62</v>
      </c>
      <c r="D55" s="23" t="s">
        <v>63</v>
      </c>
      <c r="E55" s="28">
        <v>115191</v>
      </c>
      <c r="F55" s="25">
        <v>1957.33</v>
      </c>
      <c r="G55" s="25">
        <v>0.8</v>
      </c>
    </row>
    <row r="56" spans="2:9" x14ac:dyDescent="0.2">
      <c r="B56" s="27" t="s">
        <v>199</v>
      </c>
      <c r="C56" s="23" t="s">
        <v>200</v>
      </c>
      <c r="D56" s="23" t="s">
        <v>63</v>
      </c>
      <c r="E56" s="28">
        <v>750000</v>
      </c>
      <c r="F56" s="25">
        <v>1863.38</v>
      </c>
      <c r="G56" s="25">
        <v>0.76</v>
      </c>
    </row>
    <row r="57" spans="2:9" x14ac:dyDescent="0.2">
      <c r="B57" s="27" t="s">
        <v>201</v>
      </c>
      <c r="C57" s="23" t="s">
        <v>202</v>
      </c>
      <c r="D57" s="23" t="s">
        <v>130</v>
      </c>
      <c r="E57" s="28">
        <v>360126</v>
      </c>
      <c r="F57" s="25">
        <v>1797.57</v>
      </c>
      <c r="G57" s="25">
        <v>0.73</v>
      </c>
    </row>
    <row r="58" spans="2:9" x14ac:dyDescent="0.2">
      <c r="B58" s="27" t="s">
        <v>203</v>
      </c>
      <c r="C58" s="23" t="s">
        <v>204</v>
      </c>
      <c r="D58" s="23" t="s">
        <v>133</v>
      </c>
      <c r="E58" s="28">
        <v>365000</v>
      </c>
      <c r="F58" s="25">
        <v>1699.99</v>
      </c>
      <c r="G58" s="25">
        <v>0.69</v>
      </c>
    </row>
    <row r="59" spans="2:9" x14ac:dyDescent="0.2">
      <c r="B59" s="27" t="s">
        <v>205</v>
      </c>
      <c r="C59" s="23" t="s">
        <v>206</v>
      </c>
      <c r="D59" s="23" t="s">
        <v>118</v>
      </c>
      <c r="E59" s="28">
        <v>51951</v>
      </c>
      <c r="F59" s="25">
        <v>1516.19</v>
      </c>
      <c r="G59" s="25">
        <v>0.62</v>
      </c>
    </row>
    <row r="60" spans="2:9" x14ac:dyDescent="0.2">
      <c r="B60" s="27" t="s">
        <v>207</v>
      </c>
      <c r="C60" s="23" t="s">
        <v>208</v>
      </c>
      <c r="D60" s="23" t="s">
        <v>63</v>
      </c>
      <c r="E60" s="28">
        <v>219106</v>
      </c>
      <c r="F60" s="25">
        <v>988.83</v>
      </c>
      <c r="G60" s="25">
        <v>0.4</v>
      </c>
    </row>
    <row r="61" spans="2:9" x14ac:dyDescent="0.2">
      <c r="B61" s="27" t="s">
        <v>209</v>
      </c>
      <c r="C61" s="23" t="s">
        <v>210</v>
      </c>
      <c r="D61" s="23" t="s">
        <v>127</v>
      </c>
      <c r="E61" s="28">
        <v>30200</v>
      </c>
      <c r="F61" s="25">
        <v>656.77</v>
      </c>
      <c r="G61" s="25">
        <v>0.27</v>
      </c>
    </row>
    <row r="62" spans="2:9" x14ac:dyDescent="0.2">
      <c r="B62" s="27" t="s">
        <v>211</v>
      </c>
      <c r="C62" s="23" t="s">
        <v>212</v>
      </c>
      <c r="D62" s="23" t="s">
        <v>130</v>
      </c>
      <c r="E62" s="28">
        <v>309039</v>
      </c>
      <c r="F62" s="25">
        <v>591.19000000000005</v>
      </c>
      <c r="G62" s="25">
        <v>0.24</v>
      </c>
    </row>
    <row r="63" spans="2:9" x14ac:dyDescent="0.2">
      <c r="B63" s="27" t="s">
        <v>213</v>
      </c>
      <c r="C63" s="23" t="s">
        <v>214</v>
      </c>
      <c r="D63" s="23" t="s">
        <v>138</v>
      </c>
      <c r="E63" s="28">
        <v>23000</v>
      </c>
      <c r="F63" s="25">
        <v>276.22000000000003</v>
      </c>
      <c r="G63" s="25">
        <v>0.11</v>
      </c>
    </row>
    <row r="64" spans="2:9" x14ac:dyDescent="0.2">
      <c r="B64" s="29" t="s">
        <v>111</v>
      </c>
      <c r="C64" s="30"/>
      <c r="D64" s="30"/>
      <c r="E64" s="31"/>
      <c r="F64" s="32">
        <f>SUM(F7:F63)</f>
        <v>233861.50999999986</v>
      </c>
      <c r="G64" s="32">
        <f>SUM(G7:G63)</f>
        <v>95.07</v>
      </c>
      <c r="H64" s="14"/>
      <c r="I64" s="14"/>
    </row>
    <row r="65" spans="2:9" x14ac:dyDescent="0.2">
      <c r="B65" s="37" t="s">
        <v>112</v>
      </c>
      <c r="C65" s="37"/>
      <c r="D65" s="37"/>
      <c r="E65" s="38"/>
      <c r="F65" s="39">
        <f>F64</f>
        <v>233861.50999999986</v>
      </c>
      <c r="G65" s="39">
        <f>G64</f>
        <v>95.07</v>
      </c>
      <c r="H65" s="14"/>
      <c r="I65" s="14"/>
    </row>
    <row r="66" spans="2:9" x14ac:dyDescent="0.2">
      <c r="B66" s="40" t="s">
        <v>113</v>
      </c>
      <c r="C66" s="41"/>
      <c r="D66" s="41"/>
      <c r="E66" s="42"/>
      <c r="F66" s="43"/>
      <c r="G66" s="43"/>
    </row>
    <row r="67" spans="2:9" x14ac:dyDescent="0.2">
      <c r="B67" s="27" t="s">
        <v>113</v>
      </c>
      <c r="C67" s="23"/>
      <c r="D67" s="23"/>
      <c r="E67" s="24"/>
      <c r="F67" s="25">
        <v>13528.54</v>
      </c>
      <c r="G67" s="25">
        <v>5.5</v>
      </c>
    </row>
    <row r="68" spans="2:9" x14ac:dyDescent="0.2">
      <c r="B68" s="29" t="s">
        <v>111</v>
      </c>
      <c r="C68" s="30"/>
      <c r="D68" s="30"/>
      <c r="E68" s="31"/>
      <c r="F68" s="32">
        <f>SUM(F66:F67)</f>
        <v>13528.54</v>
      </c>
      <c r="G68" s="32">
        <f>SUM(G66:G67)</f>
        <v>5.5</v>
      </c>
      <c r="H68" s="14"/>
      <c r="I68" s="14"/>
    </row>
    <row r="69" spans="2:9" x14ac:dyDescent="0.2">
      <c r="B69" s="34" t="s">
        <v>112</v>
      </c>
      <c r="C69" s="34"/>
      <c r="D69" s="34"/>
      <c r="E69" s="35"/>
      <c r="F69" s="36">
        <f>F68</f>
        <v>13528.54</v>
      </c>
      <c r="G69" s="36">
        <f>G68</f>
        <v>5.5</v>
      </c>
      <c r="H69" s="14"/>
      <c r="I69" s="14"/>
    </row>
    <row r="70" spans="2:9" x14ac:dyDescent="0.2">
      <c r="B70" s="44" t="s">
        <v>115</v>
      </c>
      <c r="C70" s="44"/>
      <c r="D70" s="44"/>
      <c r="E70" s="45"/>
      <c r="F70" s="16">
        <f>F71-(+F65+F69)</f>
        <v>-1174.0099999998638</v>
      </c>
      <c r="G70" s="16">
        <f>G71-(+G65+G69)</f>
        <v>-0.56999999999999318</v>
      </c>
      <c r="H70" s="14"/>
      <c r="I70" s="14"/>
    </row>
    <row r="71" spans="2:9" x14ac:dyDescent="0.2">
      <c r="B71" s="44" t="s">
        <v>114</v>
      </c>
      <c r="C71" s="44"/>
      <c r="D71" s="44"/>
      <c r="E71" s="45"/>
      <c r="F71" s="16">
        <v>246216.04</v>
      </c>
      <c r="G71" s="16">
        <v>100</v>
      </c>
      <c r="H71" s="14"/>
      <c r="I71" s="14"/>
    </row>
    <row r="73" spans="2:9" x14ac:dyDescent="0.2">
      <c r="B73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8"/>
  <sheetViews>
    <sheetView topLeftCell="A4" workbookViewId="0">
      <selection activeCell="H4" activeCellId="1" sqref="H1:H1048576 H1:H10485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10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116</v>
      </c>
      <c r="C7" s="23" t="s">
        <v>117</v>
      </c>
      <c r="D7" s="23" t="s">
        <v>118</v>
      </c>
      <c r="E7" s="28">
        <v>1074500</v>
      </c>
      <c r="F7" s="25">
        <v>11396.15</v>
      </c>
      <c r="G7" s="25">
        <v>9.3699999999999992</v>
      </c>
    </row>
    <row r="8" spans="2:7" x14ac:dyDescent="0.2">
      <c r="B8" s="27" t="s">
        <v>119</v>
      </c>
      <c r="C8" s="23" t="s">
        <v>120</v>
      </c>
      <c r="D8" s="23" t="s">
        <v>87</v>
      </c>
      <c r="E8" s="28">
        <v>693184</v>
      </c>
      <c r="F8" s="25">
        <v>8204.18</v>
      </c>
      <c r="G8" s="25">
        <v>6.74</v>
      </c>
    </row>
    <row r="9" spans="2:7" x14ac:dyDescent="0.2">
      <c r="B9" s="27" t="s">
        <v>85</v>
      </c>
      <c r="C9" s="23" t="s">
        <v>86</v>
      </c>
      <c r="D9" s="23" t="s">
        <v>87</v>
      </c>
      <c r="E9" s="28">
        <v>1876000</v>
      </c>
      <c r="F9" s="25">
        <v>7365.18</v>
      </c>
      <c r="G9" s="25">
        <v>6.06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269500</v>
      </c>
      <c r="F10" s="25">
        <v>5536.88</v>
      </c>
      <c r="G10" s="25">
        <v>4.55</v>
      </c>
    </row>
    <row r="11" spans="2:7" x14ac:dyDescent="0.2">
      <c r="B11" s="27" t="s">
        <v>121</v>
      </c>
      <c r="C11" s="23" t="s">
        <v>122</v>
      </c>
      <c r="D11" s="23" t="s">
        <v>118</v>
      </c>
      <c r="E11" s="28">
        <v>180000</v>
      </c>
      <c r="F11" s="25">
        <v>4796.7299999999996</v>
      </c>
      <c r="G11" s="25">
        <v>3.94</v>
      </c>
    </row>
    <row r="12" spans="2:7" x14ac:dyDescent="0.2">
      <c r="B12" s="27" t="s">
        <v>185</v>
      </c>
      <c r="C12" s="23" t="s">
        <v>186</v>
      </c>
      <c r="D12" s="23" t="s">
        <v>127</v>
      </c>
      <c r="E12" s="28">
        <v>210000</v>
      </c>
      <c r="F12" s="25">
        <v>4644.1499999999996</v>
      </c>
      <c r="G12" s="25">
        <v>3.82</v>
      </c>
    </row>
    <row r="13" spans="2:7" x14ac:dyDescent="0.2">
      <c r="B13" s="27" t="s">
        <v>128</v>
      </c>
      <c r="C13" s="23" t="s">
        <v>129</v>
      </c>
      <c r="D13" s="23" t="s">
        <v>130</v>
      </c>
      <c r="E13" s="28">
        <v>126650</v>
      </c>
      <c r="F13" s="25">
        <v>4190.8500000000004</v>
      </c>
      <c r="G13" s="25">
        <v>3.45</v>
      </c>
    </row>
    <row r="14" spans="2:7" x14ac:dyDescent="0.2">
      <c r="B14" s="27" t="s">
        <v>131</v>
      </c>
      <c r="C14" s="23" t="s">
        <v>132</v>
      </c>
      <c r="D14" s="23" t="s">
        <v>133</v>
      </c>
      <c r="E14" s="28">
        <v>112500</v>
      </c>
      <c r="F14" s="25">
        <v>3534.81</v>
      </c>
      <c r="G14" s="25">
        <v>2.91</v>
      </c>
    </row>
    <row r="15" spans="2:7" x14ac:dyDescent="0.2">
      <c r="B15" s="27" t="s">
        <v>141</v>
      </c>
      <c r="C15" s="23" t="s">
        <v>142</v>
      </c>
      <c r="D15" s="23" t="s">
        <v>118</v>
      </c>
      <c r="E15" s="28">
        <v>370000</v>
      </c>
      <c r="F15" s="25">
        <v>3115.22</v>
      </c>
      <c r="G15" s="25">
        <v>2.56</v>
      </c>
    </row>
    <row r="16" spans="2:7" x14ac:dyDescent="0.2">
      <c r="B16" s="27" t="s">
        <v>136</v>
      </c>
      <c r="C16" s="23" t="s">
        <v>137</v>
      </c>
      <c r="D16" s="23" t="s">
        <v>138</v>
      </c>
      <c r="E16" s="28">
        <v>42000</v>
      </c>
      <c r="F16" s="25">
        <v>2925.36</v>
      </c>
      <c r="G16" s="25">
        <v>2.41</v>
      </c>
    </row>
    <row r="17" spans="2:7" x14ac:dyDescent="0.2">
      <c r="B17" s="27" t="s">
        <v>167</v>
      </c>
      <c r="C17" s="23" t="s">
        <v>168</v>
      </c>
      <c r="D17" s="23" t="s">
        <v>130</v>
      </c>
      <c r="E17" s="28">
        <v>473000</v>
      </c>
      <c r="F17" s="25">
        <v>2789.52</v>
      </c>
      <c r="G17" s="25">
        <v>2.29</v>
      </c>
    </row>
    <row r="18" spans="2:7" x14ac:dyDescent="0.2">
      <c r="B18" s="27" t="s">
        <v>58</v>
      </c>
      <c r="C18" s="23" t="s">
        <v>59</v>
      </c>
      <c r="D18" s="23" t="s">
        <v>60</v>
      </c>
      <c r="E18" s="28">
        <v>395000</v>
      </c>
      <c r="F18" s="25">
        <v>2786.92</v>
      </c>
      <c r="G18" s="25">
        <v>2.29</v>
      </c>
    </row>
    <row r="19" spans="2:7" x14ac:dyDescent="0.2">
      <c r="B19" s="27" t="s">
        <v>215</v>
      </c>
      <c r="C19" s="23" t="s">
        <v>216</v>
      </c>
      <c r="D19" s="23" t="s">
        <v>138</v>
      </c>
      <c r="E19" s="28">
        <v>3305000</v>
      </c>
      <c r="F19" s="25">
        <v>2609.3000000000002</v>
      </c>
      <c r="G19" s="25">
        <v>2.15</v>
      </c>
    </row>
    <row r="20" spans="2:7" x14ac:dyDescent="0.2">
      <c r="B20" s="27" t="s">
        <v>160</v>
      </c>
      <c r="C20" s="23" t="s">
        <v>161</v>
      </c>
      <c r="D20" s="23" t="s">
        <v>138</v>
      </c>
      <c r="E20" s="28">
        <v>93000</v>
      </c>
      <c r="F20" s="25">
        <v>2603.81</v>
      </c>
      <c r="G20" s="25">
        <v>2.14</v>
      </c>
    </row>
    <row r="21" spans="2:7" x14ac:dyDescent="0.2">
      <c r="B21" s="27" t="s">
        <v>143</v>
      </c>
      <c r="C21" s="23" t="s">
        <v>144</v>
      </c>
      <c r="D21" s="23" t="s">
        <v>145</v>
      </c>
      <c r="E21" s="28">
        <v>113000</v>
      </c>
      <c r="F21" s="25">
        <v>2482.84</v>
      </c>
      <c r="G21" s="25">
        <v>2.04</v>
      </c>
    </row>
    <row r="22" spans="2:7" x14ac:dyDescent="0.2">
      <c r="B22" s="27" t="s">
        <v>148</v>
      </c>
      <c r="C22" s="23" t="s">
        <v>149</v>
      </c>
      <c r="D22" s="23" t="s">
        <v>133</v>
      </c>
      <c r="E22" s="28">
        <v>305000</v>
      </c>
      <c r="F22" s="25">
        <v>2301.23</v>
      </c>
      <c r="G22" s="25">
        <v>1.89</v>
      </c>
    </row>
    <row r="23" spans="2:7" x14ac:dyDescent="0.2">
      <c r="B23" s="27" t="s">
        <v>217</v>
      </c>
      <c r="C23" s="23" t="s">
        <v>218</v>
      </c>
      <c r="D23" s="23" t="s">
        <v>138</v>
      </c>
      <c r="E23" s="28">
        <v>75000</v>
      </c>
      <c r="F23" s="25">
        <v>2165.1799999999998</v>
      </c>
      <c r="G23" s="25">
        <v>1.78</v>
      </c>
    </row>
    <row r="24" spans="2:7" x14ac:dyDescent="0.2">
      <c r="B24" s="27" t="s">
        <v>75</v>
      </c>
      <c r="C24" s="23" t="s">
        <v>76</v>
      </c>
      <c r="D24" s="23" t="s">
        <v>60</v>
      </c>
      <c r="E24" s="28">
        <v>96629</v>
      </c>
      <c r="F24" s="25">
        <v>2106.9</v>
      </c>
      <c r="G24" s="25">
        <v>1.73</v>
      </c>
    </row>
    <row r="25" spans="2:7" x14ac:dyDescent="0.2">
      <c r="B25" s="27" t="s">
        <v>219</v>
      </c>
      <c r="C25" s="23" t="s">
        <v>220</v>
      </c>
      <c r="D25" s="23" t="s">
        <v>118</v>
      </c>
      <c r="E25" s="28">
        <v>149000</v>
      </c>
      <c r="F25" s="25">
        <v>2054.2600000000002</v>
      </c>
      <c r="G25" s="25">
        <v>1.69</v>
      </c>
    </row>
    <row r="26" spans="2:7" x14ac:dyDescent="0.2">
      <c r="B26" s="27" t="s">
        <v>125</v>
      </c>
      <c r="C26" s="23" t="s">
        <v>126</v>
      </c>
      <c r="D26" s="23" t="s">
        <v>127</v>
      </c>
      <c r="E26" s="28">
        <v>98330</v>
      </c>
      <c r="F26" s="25">
        <v>2036.71</v>
      </c>
      <c r="G26" s="25">
        <v>1.67</v>
      </c>
    </row>
    <row r="27" spans="2:7" x14ac:dyDescent="0.2">
      <c r="B27" s="27" t="s">
        <v>221</v>
      </c>
      <c r="C27" s="23" t="s">
        <v>222</v>
      </c>
      <c r="D27" s="23" t="s">
        <v>118</v>
      </c>
      <c r="E27" s="28">
        <v>175000</v>
      </c>
      <c r="F27" s="25">
        <v>2027.64</v>
      </c>
      <c r="G27" s="25">
        <v>1.67</v>
      </c>
    </row>
    <row r="28" spans="2:7" x14ac:dyDescent="0.2">
      <c r="B28" s="27" t="s">
        <v>201</v>
      </c>
      <c r="C28" s="23" t="s">
        <v>202</v>
      </c>
      <c r="D28" s="23" t="s">
        <v>130</v>
      </c>
      <c r="E28" s="28">
        <v>381108</v>
      </c>
      <c r="F28" s="25">
        <v>1902.3</v>
      </c>
      <c r="G28" s="25">
        <v>1.56</v>
      </c>
    </row>
    <row r="29" spans="2:7" x14ac:dyDescent="0.2">
      <c r="B29" s="27" t="s">
        <v>181</v>
      </c>
      <c r="C29" s="23" t="s">
        <v>182</v>
      </c>
      <c r="D29" s="23" t="s">
        <v>118</v>
      </c>
      <c r="E29" s="28">
        <v>138500</v>
      </c>
      <c r="F29" s="25">
        <v>1838.73</v>
      </c>
      <c r="G29" s="25">
        <v>1.51</v>
      </c>
    </row>
    <row r="30" spans="2:7" x14ac:dyDescent="0.2">
      <c r="B30" s="27" t="s">
        <v>223</v>
      </c>
      <c r="C30" s="23" t="s">
        <v>224</v>
      </c>
      <c r="D30" s="23" t="s">
        <v>173</v>
      </c>
      <c r="E30" s="28">
        <v>175781</v>
      </c>
      <c r="F30" s="25">
        <v>1758.78</v>
      </c>
      <c r="G30" s="25">
        <v>1.45</v>
      </c>
    </row>
    <row r="31" spans="2:7" x14ac:dyDescent="0.2">
      <c r="B31" s="27" t="s">
        <v>50</v>
      </c>
      <c r="C31" s="23" t="s">
        <v>51</v>
      </c>
      <c r="D31" s="23" t="s">
        <v>52</v>
      </c>
      <c r="E31" s="28">
        <v>221389</v>
      </c>
      <c r="F31" s="25">
        <v>1755.84</v>
      </c>
      <c r="G31" s="25">
        <v>1.44</v>
      </c>
    </row>
    <row r="32" spans="2:7" x14ac:dyDescent="0.2">
      <c r="B32" s="27" t="s">
        <v>225</v>
      </c>
      <c r="C32" s="23" t="s">
        <v>226</v>
      </c>
      <c r="D32" s="23" t="s">
        <v>227</v>
      </c>
      <c r="E32" s="28">
        <v>36022</v>
      </c>
      <c r="F32" s="25">
        <v>1745.63</v>
      </c>
      <c r="G32" s="25">
        <v>1.44</v>
      </c>
    </row>
    <row r="33" spans="2:7" x14ac:dyDescent="0.2">
      <c r="B33" s="27" t="s">
        <v>228</v>
      </c>
      <c r="C33" s="23" t="s">
        <v>229</v>
      </c>
      <c r="D33" s="23" t="s">
        <v>133</v>
      </c>
      <c r="E33" s="28">
        <v>35000</v>
      </c>
      <c r="F33" s="25">
        <v>1711.03</v>
      </c>
      <c r="G33" s="25">
        <v>1.41</v>
      </c>
    </row>
    <row r="34" spans="2:7" x14ac:dyDescent="0.2">
      <c r="B34" s="27" t="s">
        <v>96</v>
      </c>
      <c r="C34" s="23" t="s">
        <v>97</v>
      </c>
      <c r="D34" s="23" t="s">
        <v>60</v>
      </c>
      <c r="E34" s="28">
        <v>17765</v>
      </c>
      <c r="F34" s="25">
        <v>1652.02</v>
      </c>
      <c r="G34" s="25">
        <v>1.36</v>
      </c>
    </row>
    <row r="35" spans="2:7" x14ac:dyDescent="0.2">
      <c r="B35" s="27" t="s">
        <v>81</v>
      </c>
      <c r="C35" s="23" t="s">
        <v>82</v>
      </c>
      <c r="D35" s="23" t="s">
        <v>44</v>
      </c>
      <c r="E35" s="28">
        <v>625000</v>
      </c>
      <c r="F35" s="25">
        <v>1623.13</v>
      </c>
      <c r="G35" s="25">
        <v>1.33</v>
      </c>
    </row>
    <row r="36" spans="2:7" x14ac:dyDescent="0.2">
      <c r="B36" s="27" t="s">
        <v>45</v>
      </c>
      <c r="C36" s="23" t="s">
        <v>46</v>
      </c>
      <c r="D36" s="23" t="s">
        <v>47</v>
      </c>
      <c r="E36" s="28">
        <v>5016</v>
      </c>
      <c r="F36" s="25">
        <v>1427.13</v>
      </c>
      <c r="G36" s="25">
        <v>1.17</v>
      </c>
    </row>
    <row r="37" spans="2:7" x14ac:dyDescent="0.2">
      <c r="B37" s="27" t="s">
        <v>162</v>
      </c>
      <c r="C37" s="23" t="s">
        <v>163</v>
      </c>
      <c r="D37" s="23" t="s">
        <v>164</v>
      </c>
      <c r="E37" s="28">
        <v>105000</v>
      </c>
      <c r="F37" s="25">
        <v>1414.93</v>
      </c>
      <c r="G37" s="25">
        <v>1.1599999999999999</v>
      </c>
    </row>
    <row r="38" spans="2:7" x14ac:dyDescent="0.2">
      <c r="B38" s="27" t="s">
        <v>195</v>
      </c>
      <c r="C38" s="23" t="s">
        <v>196</v>
      </c>
      <c r="D38" s="23" t="s">
        <v>173</v>
      </c>
      <c r="E38" s="28">
        <v>111563</v>
      </c>
      <c r="F38" s="25">
        <v>1349.52</v>
      </c>
      <c r="G38" s="25">
        <v>1.1100000000000001</v>
      </c>
    </row>
    <row r="39" spans="2:7" x14ac:dyDescent="0.2">
      <c r="B39" s="27" t="s">
        <v>158</v>
      </c>
      <c r="C39" s="23" t="s">
        <v>159</v>
      </c>
      <c r="D39" s="23" t="s">
        <v>127</v>
      </c>
      <c r="E39" s="28">
        <v>37000</v>
      </c>
      <c r="F39" s="25">
        <v>1285.0999999999999</v>
      </c>
      <c r="G39" s="25">
        <v>1.06</v>
      </c>
    </row>
    <row r="40" spans="2:7" x14ac:dyDescent="0.2">
      <c r="B40" s="27" t="s">
        <v>150</v>
      </c>
      <c r="C40" s="23" t="s">
        <v>151</v>
      </c>
      <c r="D40" s="23" t="s">
        <v>133</v>
      </c>
      <c r="E40" s="28">
        <v>55000</v>
      </c>
      <c r="F40" s="25">
        <v>1272.21</v>
      </c>
      <c r="G40" s="25">
        <v>1.05</v>
      </c>
    </row>
    <row r="41" spans="2:7" x14ac:dyDescent="0.2">
      <c r="B41" s="27" t="s">
        <v>230</v>
      </c>
      <c r="C41" s="23" t="s">
        <v>231</v>
      </c>
      <c r="D41" s="23" t="s">
        <v>232</v>
      </c>
      <c r="E41" s="28">
        <v>171339</v>
      </c>
      <c r="F41" s="25">
        <v>1244.8599999999999</v>
      </c>
      <c r="G41" s="25">
        <v>1.02</v>
      </c>
    </row>
    <row r="42" spans="2:7" x14ac:dyDescent="0.2">
      <c r="B42" s="27" t="s">
        <v>233</v>
      </c>
      <c r="C42" s="23" t="s">
        <v>234</v>
      </c>
      <c r="D42" s="23" t="s">
        <v>118</v>
      </c>
      <c r="E42" s="28">
        <v>35000</v>
      </c>
      <c r="F42" s="25">
        <v>1242.1300000000001</v>
      </c>
      <c r="G42" s="25">
        <v>1.02</v>
      </c>
    </row>
    <row r="43" spans="2:7" x14ac:dyDescent="0.2">
      <c r="B43" s="27" t="s">
        <v>183</v>
      </c>
      <c r="C43" s="23" t="s">
        <v>184</v>
      </c>
      <c r="D43" s="23" t="s">
        <v>60</v>
      </c>
      <c r="E43" s="28">
        <v>58000</v>
      </c>
      <c r="F43" s="25">
        <v>1229.8900000000001</v>
      </c>
      <c r="G43" s="25">
        <v>1.01</v>
      </c>
    </row>
    <row r="44" spans="2:7" x14ac:dyDescent="0.2">
      <c r="B44" s="27" t="s">
        <v>235</v>
      </c>
      <c r="C44" s="23" t="s">
        <v>236</v>
      </c>
      <c r="D44" s="23" t="s">
        <v>237</v>
      </c>
      <c r="E44" s="28">
        <v>6000</v>
      </c>
      <c r="F44" s="25">
        <v>1204.31</v>
      </c>
      <c r="G44" s="25">
        <v>0.99</v>
      </c>
    </row>
    <row r="45" spans="2:7" x14ac:dyDescent="0.2">
      <c r="B45" s="27" t="s">
        <v>205</v>
      </c>
      <c r="C45" s="23" t="s">
        <v>206</v>
      </c>
      <c r="D45" s="23" t="s">
        <v>118</v>
      </c>
      <c r="E45" s="28">
        <v>40000</v>
      </c>
      <c r="F45" s="25">
        <v>1167.4000000000001</v>
      </c>
      <c r="G45" s="25">
        <v>0.96</v>
      </c>
    </row>
    <row r="46" spans="2:7" x14ac:dyDescent="0.2">
      <c r="B46" s="27" t="s">
        <v>238</v>
      </c>
      <c r="C46" s="23" t="s">
        <v>239</v>
      </c>
      <c r="D46" s="23" t="s">
        <v>60</v>
      </c>
      <c r="E46" s="28">
        <v>384272</v>
      </c>
      <c r="F46" s="25">
        <v>1150.1300000000001</v>
      </c>
      <c r="G46" s="25">
        <v>0.95</v>
      </c>
    </row>
    <row r="47" spans="2:7" x14ac:dyDescent="0.2">
      <c r="B47" s="27" t="s">
        <v>171</v>
      </c>
      <c r="C47" s="23" t="s">
        <v>172</v>
      </c>
      <c r="D47" s="23" t="s">
        <v>173</v>
      </c>
      <c r="E47" s="28">
        <v>49099</v>
      </c>
      <c r="F47" s="25">
        <v>1100.58</v>
      </c>
      <c r="G47" s="25">
        <v>0.9</v>
      </c>
    </row>
    <row r="48" spans="2:7" x14ac:dyDescent="0.2">
      <c r="B48" s="27" t="s">
        <v>240</v>
      </c>
      <c r="C48" s="23" t="s">
        <v>241</v>
      </c>
      <c r="D48" s="23" t="s">
        <v>44</v>
      </c>
      <c r="E48" s="28">
        <v>55500</v>
      </c>
      <c r="F48" s="25">
        <v>1027.53</v>
      </c>
      <c r="G48" s="25">
        <v>0.84</v>
      </c>
    </row>
    <row r="49" spans="2:9" x14ac:dyDescent="0.2">
      <c r="B49" s="27" t="s">
        <v>105</v>
      </c>
      <c r="C49" s="23" t="s">
        <v>106</v>
      </c>
      <c r="D49" s="23" t="s">
        <v>60</v>
      </c>
      <c r="E49" s="28">
        <v>163600</v>
      </c>
      <c r="F49" s="25">
        <v>1026.8399999999999</v>
      </c>
      <c r="G49" s="25">
        <v>0.84</v>
      </c>
    </row>
    <row r="50" spans="2:9" x14ac:dyDescent="0.2">
      <c r="B50" s="27" t="s">
        <v>174</v>
      </c>
      <c r="C50" s="23" t="s">
        <v>175</v>
      </c>
      <c r="D50" s="23" t="s">
        <v>173</v>
      </c>
      <c r="E50" s="28">
        <v>16849</v>
      </c>
      <c r="F50" s="25">
        <v>1012.39</v>
      </c>
      <c r="G50" s="25">
        <v>0.83</v>
      </c>
    </row>
    <row r="51" spans="2:9" x14ac:dyDescent="0.2">
      <c r="B51" s="27" t="s">
        <v>242</v>
      </c>
      <c r="C51" s="23" t="s">
        <v>243</v>
      </c>
      <c r="D51" s="23" t="s">
        <v>87</v>
      </c>
      <c r="E51" s="28">
        <v>120000</v>
      </c>
      <c r="F51" s="25">
        <v>930.42</v>
      </c>
      <c r="G51" s="25">
        <v>0.76</v>
      </c>
    </row>
    <row r="52" spans="2:9" x14ac:dyDescent="0.2">
      <c r="B52" s="27" t="s">
        <v>191</v>
      </c>
      <c r="C52" s="23" t="s">
        <v>192</v>
      </c>
      <c r="D52" s="23" t="s">
        <v>130</v>
      </c>
      <c r="E52" s="28">
        <v>325000</v>
      </c>
      <c r="F52" s="25">
        <v>888.06</v>
      </c>
      <c r="G52" s="25">
        <v>0.73</v>
      </c>
    </row>
    <row r="53" spans="2:9" x14ac:dyDescent="0.2">
      <c r="B53" s="27" t="s">
        <v>176</v>
      </c>
      <c r="C53" s="23" t="s">
        <v>177</v>
      </c>
      <c r="D53" s="23" t="s">
        <v>178</v>
      </c>
      <c r="E53" s="28">
        <v>38339</v>
      </c>
      <c r="F53" s="25">
        <v>880.59</v>
      </c>
      <c r="G53" s="25">
        <v>0.72</v>
      </c>
    </row>
    <row r="54" spans="2:9" x14ac:dyDescent="0.2">
      <c r="B54" s="27" t="s">
        <v>156</v>
      </c>
      <c r="C54" s="23" t="s">
        <v>157</v>
      </c>
      <c r="D54" s="23" t="s">
        <v>130</v>
      </c>
      <c r="E54" s="28">
        <v>50000</v>
      </c>
      <c r="F54" s="25">
        <v>850.5</v>
      </c>
      <c r="G54" s="25">
        <v>0.7</v>
      </c>
    </row>
    <row r="55" spans="2:9" x14ac:dyDescent="0.2">
      <c r="B55" s="27" t="s">
        <v>42</v>
      </c>
      <c r="C55" s="23" t="s">
        <v>43</v>
      </c>
      <c r="D55" s="23" t="s">
        <v>44</v>
      </c>
      <c r="E55" s="28">
        <v>80000</v>
      </c>
      <c r="F55" s="25">
        <v>637.55999999999995</v>
      </c>
      <c r="G55" s="25">
        <v>0.52</v>
      </c>
    </row>
    <row r="56" spans="2:9" x14ac:dyDescent="0.2">
      <c r="B56" s="27" t="s">
        <v>146</v>
      </c>
      <c r="C56" s="23" t="s">
        <v>147</v>
      </c>
      <c r="D56" s="23" t="s">
        <v>138</v>
      </c>
      <c r="E56" s="28">
        <v>97000</v>
      </c>
      <c r="F56" s="25">
        <v>576.17999999999995</v>
      </c>
      <c r="G56" s="25">
        <v>0.47</v>
      </c>
    </row>
    <row r="57" spans="2:9" x14ac:dyDescent="0.2">
      <c r="B57" s="27" t="s">
        <v>193</v>
      </c>
      <c r="C57" s="23" t="s">
        <v>194</v>
      </c>
      <c r="D57" s="23" t="s">
        <v>130</v>
      </c>
      <c r="E57" s="28">
        <v>68000</v>
      </c>
      <c r="F57" s="25">
        <v>543.83000000000004</v>
      </c>
      <c r="G57" s="25">
        <v>0.45</v>
      </c>
    </row>
    <row r="58" spans="2:9" x14ac:dyDescent="0.2">
      <c r="B58" s="27" t="s">
        <v>244</v>
      </c>
      <c r="C58" s="23" t="s">
        <v>245</v>
      </c>
      <c r="D58" s="23" t="s">
        <v>130</v>
      </c>
      <c r="E58" s="28">
        <v>51000</v>
      </c>
      <c r="F58" s="25">
        <v>392.27</v>
      </c>
      <c r="G58" s="25">
        <v>0.32</v>
      </c>
    </row>
    <row r="59" spans="2:9" x14ac:dyDescent="0.2">
      <c r="B59" s="29" t="s">
        <v>111</v>
      </c>
      <c r="C59" s="30"/>
      <c r="D59" s="30"/>
      <c r="E59" s="31"/>
      <c r="F59" s="32">
        <f>SUM(F7:F58)</f>
        <v>119515.63999999998</v>
      </c>
      <c r="G59" s="32">
        <f>SUM(G7:G58)</f>
        <v>98.22999999999999</v>
      </c>
      <c r="H59" s="14"/>
      <c r="I59" s="14"/>
    </row>
    <row r="60" spans="2:9" x14ac:dyDescent="0.2">
      <c r="B60" s="37" t="s">
        <v>112</v>
      </c>
      <c r="C60" s="37"/>
      <c r="D60" s="37"/>
      <c r="E60" s="38"/>
      <c r="F60" s="39">
        <f>F59</f>
        <v>119515.63999999998</v>
      </c>
      <c r="G60" s="39">
        <f>G59</f>
        <v>98.22999999999999</v>
      </c>
      <c r="H60" s="14"/>
      <c r="I60" s="14"/>
    </row>
    <row r="61" spans="2:9" x14ac:dyDescent="0.2">
      <c r="B61" s="40" t="s">
        <v>113</v>
      </c>
      <c r="C61" s="41"/>
      <c r="D61" s="41"/>
      <c r="E61" s="42"/>
      <c r="F61" s="43"/>
      <c r="G61" s="43"/>
    </row>
    <row r="62" spans="2:9" x14ac:dyDescent="0.2">
      <c r="B62" s="27" t="s">
        <v>113</v>
      </c>
      <c r="C62" s="23"/>
      <c r="D62" s="23"/>
      <c r="E62" s="24"/>
      <c r="F62" s="25">
        <v>3095.2</v>
      </c>
      <c r="G62" s="25">
        <v>2.54</v>
      </c>
    </row>
    <row r="63" spans="2:9" x14ac:dyDescent="0.2">
      <c r="B63" s="29" t="s">
        <v>111</v>
      </c>
      <c r="C63" s="30"/>
      <c r="D63" s="30"/>
      <c r="E63" s="31"/>
      <c r="F63" s="32">
        <f>SUM(F61:F62)</f>
        <v>3095.2</v>
      </c>
      <c r="G63" s="32">
        <f>SUM(G61:G62)</f>
        <v>2.54</v>
      </c>
      <c r="H63" s="14"/>
      <c r="I63" s="14"/>
    </row>
    <row r="64" spans="2:9" x14ac:dyDescent="0.2">
      <c r="B64" s="34" t="s">
        <v>112</v>
      </c>
      <c r="C64" s="34"/>
      <c r="D64" s="34"/>
      <c r="E64" s="35"/>
      <c r="F64" s="36">
        <f>F63</f>
        <v>3095.2</v>
      </c>
      <c r="G64" s="36">
        <f>G63</f>
        <v>2.54</v>
      </c>
      <c r="H64" s="14"/>
      <c r="I64" s="14"/>
    </row>
    <row r="65" spans="2:9" x14ac:dyDescent="0.2">
      <c r="B65" s="44" t="s">
        <v>115</v>
      </c>
      <c r="C65" s="44"/>
      <c r="D65" s="44"/>
      <c r="E65" s="45"/>
      <c r="F65" s="16">
        <f>F66-(+F60+F64)</f>
        <v>-915.77999999998428</v>
      </c>
      <c r="G65" s="16">
        <f>G66-(+G60+G64)</f>
        <v>-0.76999999999999602</v>
      </c>
      <c r="H65" s="14"/>
      <c r="I65" s="14"/>
    </row>
    <row r="66" spans="2:9" x14ac:dyDescent="0.2">
      <c r="B66" s="44" t="s">
        <v>114</v>
      </c>
      <c r="C66" s="44"/>
      <c r="D66" s="44"/>
      <c r="E66" s="45"/>
      <c r="F66" s="16">
        <v>121695.06</v>
      </c>
      <c r="G66" s="16">
        <v>100</v>
      </c>
      <c r="H66" s="14"/>
      <c r="I66" s="14"/>
    </row>
    <row r="68" spans="2:9" x14ac:dyDescent="0.2">
      <c r="B68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2"/>
  <sheetViews>
    <sheetView workbookViewId="0">
      <selection activeCell="C24" sqref="C24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1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11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119</v>
      </c>
      <c r="C7" s="23" t="s">
        <v>120</v>
      </c>
      <c r="D7" s="23" t="s">
        <v>87</v>
      </c>
      <c r="E7" s="28">
        <v>2941000</v>
      </c>
      <c r="F7" s="25">
        <v>34808.21</v>
      </c>
      <c r="G7" s="25">
        <v>5.68</v>
      </c>
    </row>
    <row r="8" spans="2:7" x14ac:dyDescent="0.2">
      <c r="B8" s="27" t="s">
        <v>116</v>
      </c>
      <c r="C8" s="23" t="s">
        <v>117</v>
      </c>
      <c r="D8" s="23" t="s">
        <v>118</v>
      </c>
      <c r="E8" s="28">
        <v>2935000</v>
      </c>
      <c r="F8" s="25">
        <v>31128.61</v>
      </c>
      <c r="G8" s="25">
        <v>5.08</v>
      </c>
    </row>
    <row r="9" spans="2:7" x14ac:dyDescent="0.2">
      <c r="B9" s="27" t="s">
        <v>85</v>
      </c>
      <c r="C9" s="23" t="s">
        <v>86</v>
      </c>
      <c r="D9" s="23" t="s">
        <v>87</v>
      </c>
      <c r="E9" s="28">
        <v>7598000</v>
      </c>
      <c r="F9" s="25">
        <v>29829.75</v>
      </c>
      <c r="G9" s="25">
        <v>4.87</v>
      </c>
    </row>
    <row r="10" spans="2:7" x14ac:dyDescent="0.2">
      <c r="B10" s="27" t="s">
        <v>36</v>
      </c>
      <c r="C10" s="23" t="s">
        <v>37</v>
      </c>
      <c r="D10" s="23" t="s">
        <v>38</v>
      </c>
      <c r="E10" s="28">
        <v>1433000</v>
      </c>
      <c r="F10" s="25">
        <v>29440.99</v>
      </c>
      <c r="G10" s="25">
        <v>4.8099999999999996</v>
      </c>
    </row>
    <row r="11" spans="2:7" x14ac:dyDescent="0.2">
      <c r="B11" s="27" t="s">
        <v>128</v>
      </c>
      <c r="C11" s="23" t="s">
        <v>129</v>
      </c>
      <c r="D11" s="23" t="s">
        <v>130</v>
      </c>
      <c r="E11" s="28">
        <v>598000</v>
      </c>
      <c r="F11" s="25">
        <v>19787.82</v>
      </c>
      <c r="G11" s="25">
        <v>3.23</v>
      </c>
    </row>
    <row r="12" spans="2:7" x14ac:dyDescent="0.2">
      <c r="B12" s="27" t="s">
        <v>139</v>
      </c>
      <c r="C12" s="23" t="s">
        <v>140</v>
      </c>
      <c r="D12" s="23" t="s">
        <v>87</v>
      </c>
      <c r="E12" s="28">
        <v>3963090</v>
      </c>
      <c r="F12" s="25">
        <v>19518.22</v>
      </c>
      <c r="G12" s="25">
        <v>3.19</v>
      </c>
    </row>
    <row r="13" spans="2:7" x14ac:dyDescent="0.2">
      <c r="B13" s="27" t="s">
        <v>150</v>
      </c>
      <c r="C13" s="23" t="s">
        <v>151</v>
      </c>
      <c r="D13" s="23" t="s">
        <v>133</v>
      </c>
      <c r="E13" s="28">
        <v>674923</v>
      </c>
      <c r="F13" s="25">
        <v>15611.64</v>
      </c>
      <c r="G13" s="25">
        <v>2.5499999999999998</v>
      </c>
    </row>
    <row r="14" spans="2:7" x14ac:dyDescent="0.2">
      <c r="B14" s="27" t="s">
        <v>58</v>
      </c>
      <c r="C14" s="23" t="s">
        <v>59</v>
      </c>
      <c r="D14" s="23" t="s">
        <v>60</v>
      </c>
      <c r="E14" s="28">
        <v>2121175</v>
      </c>
      <c r="F14" s="25">
        <v>14965.95</v>
      </c>
      <c r="G14" s="25">
        <v>2.44</v>
      </c>
    </row>
    <row r="15" spans="2:7" x14ac:dyDescent="0.2">
      <c r="B15" s="27" t="s">
        <v>191</v>
      </c>
      <c r="C15" s="23" t="s">
        <v>192</v>
      </c>
      <c r="D15" s="23" t="s">
        <v>130</v>
      </c>
      <c r="E15" s="28">
        <v>4969719</v>
      </c>
      <c r="F15" s="25">
        <v>13579.76</v>
      </c>
      <c r="G15" s="25">
        <v>2.2200000000000002</v>
      </c>
    </row>
    <row r="16" spans="2:7" x14ac:dyDescent="0.2">
      <c r="B16" s="27" t="s">
        <v>174</v>
      </c>
      <c r="C16" s="23" t="s">
        <v>175</v>
      </c>
      <c r="D16" s="23" t="s">
        <v>173</v>
      </c>
      <c r="E16" s="28">
        <v>218427</v>
      </c>
      <c r="F16" s="25">
        <v>13124.4</v>
      </c>
      <c r="G16" s="25">
        <v>2.14</v>
      </c>
    </row>
    <row r="17" spans="2:7" x14ac:dyDescent="0.2">
      <c r="B17" s="27" t="s">
        <v>143</v>
      </c>
      <c r="C17" s="23" t="s">
        <v>144</v>
      </c>
      <c r="D17" s="23" t="s">
        <v>145</v>
      </c>
      <c r="E17" s="28">
        <v>573908</v>
      </c>
      <c r="F17" s="25">
        <v>12609.91</v>
      </c>
      <c r="G17" s="25">
        <v>2.06</v>
      </c>
    </row>
    <row r="18" spans="2:7" x14ac:dyDescent="0.2">
      <c r="B18" s="27" t="s">
        <v>162</v>
      </c>
      <c r="C18" s="23" t="s">
        <v>163</v>
      </c>
      <c r="D18" s="23" t="s">
        <v>164</v>
      </c>
      <c r="E18" s="28">
        <v>921072</v>
      </c>
      <c r="F18" s="25">
        <v>12411.91</v>
      </c>
      <c r="G18" s="25">
        <v>2.0299999999999998</v>
      </c>
    </row>
    <row r="19" spans="2:7" x14ac:dyDescent="0.2">
      <c r="B19" s="27" t="s">
        <v>123</v>
      </c>
      <c r="C19" s="23" t="s">
        <v>124</v>
      </c>
      <c r="D19" s="23" t="s">
        <v>87</v>
      </c>
      <c r="E19" s="28">
        <v>789657</v>
      </c>
      <c r="F19" s="25">
        <v>12219.15</v>
      </c>
      <c r="G19" s="25">
        <v>1.99</v>
      </c>
    </row>
    <row r="20" spans="2:7" x14ac:dyDescent="0.2">
      <c r="B20" s="27" t="s">
        <v>197</v>
      </c>
      <c r="C20" s="23" t="s">
        <v>198</v>
      </c>
      <c r="D20" s="23" t="s">
        <v>164</v>
      </c>
      <c r="E20" s="28">
        <v>3794476</v>
      </c>
      <c r="F20" s="25">
        <v>12129.04</v>
      </c>
      <c r="G20" s="25">
        <v>1.98</v>
      </c>
    </row>
    <row r="21" spans="2:7" x14ac:dyDescent="0.2">
      <c r="B21" s="27" t="s">
        <v>100</v>
      </c>
      <c r="C21" s="23" t="s">
        <v>101</v>
      </c>
      <c r="D21" s="23" t="s">
        <v>102</v>
      </c>
      <c r="E21" s="28">
        <v>2689667</v>
      </c>
      <c r="F21" s="25">
        <v>11666.43</v>
      </c>
      <c r="G21" s="25">
        <v>1.9</v>
      </c>
    </row>
    <row r="22" spans="2:7" x14ac:dyDescent="0.2">
      <c r="B22" s="27" t="s">
        <v>92</v>
      </c>
      <c r="C22" s="23" t="s">
        <v>93</v>
      </c>
      <c r="D22" s="23" t="s">
        <v>44</v>
      </c>
      <c r="E22" s="28">
        <v>255000</v>
      </c>
      <c r="F22" s="25">
        <v>11663.83</v>
      </c>
      <c r="G22" s="25">
        <v>1.9</v>
      </c>
    </row>
    <row r="23" spans="2:7" x14ac:dyDescent="0.2">
      <c r="B23" s="27" t="s">
        <v>183</v>
      </c>
      <c r="C23" s="23" t="s">
        <v>184</v>
      </c>
      <c r="D23" s="23" t="s">
        <v>60</v>
      </c>
      <c r="E23" s="28">
        <v>521405</v>
      </c>
      <c r="F23" s="25">
        <v>11056.39</v>
      </c>
      <c r="G23" s="25">
        <v>1.8</v>
      </c>
    </row>
    <row r="24" spans="2:7" x14ac:dyDescent="0.2">
      <c r="B24" s="27" t="s">
        <v>67</v>
      </c>
      <c r="C24" s="23" t="s">
        <v>68</v>
      </c>
      <c r="D24" s="23" t="s">
        <v>66</v>
      </c>
      <c r="E24" s="28">
        <v>2660534</v>
      </c>
      <c r="F24" s="25">
        <v>10702</v>
      </c>
      <c r="G24" s="25">
        <v>1.75</v>
      </c>
    </row>
    <row r="25" spans="2:7" x14ac:dyDescent="0.2">
      <c r="B25" s="27" t="s">
        <v>171</v>
      </c>
      <c r="C25" s="23" t="s">
        <v>172</v>
      </c>
      <c r="D25" s="23" t="s">
        <v>173</v>
      </c>
      <c r="E25" s="28">
        <v>465131</v>
      </c>
      <c r="F25" s="25">
        <v>10426.14</v>
      </c>
      <c r="G25" s="25">
        <v>1.7</v>
      </c>
    </row>
    <row r="26" spans="2:7" x14ac:dyDescent="0.2">
      <c r="B26" s="27" t="s">
        <v>246</v>
      </c>
      <c r="C26" s="23" t="s">
        <v>247</v>
      </c>
      <c r="D26" s="23" t="s">
        <v>130</v>
      </c>
      <c r="E26" s="28">
        <v>8500000</v>
      </c>
      <c r="F26" s="25">
        <v>10395.5</v>
      </c>
      <c r="G26" s="25">
        <v>1.7</v>
      </c>
    </row>
    <row r="27" spans="2:7" x14ac:dyDescent="0.2">
      <c r="B27" s="27" t="s">
        <v>121</v>
      </c>
      <c r="C27" s="23" t="s">
        <v>122</v>
      </c>
      <c r="D27" s="23" t="s">
        <v>118</v>
      </c>
      <c r="E27" s="28">
        <v>390000</v>
      </c>
      <c r="F27" s="25">
        <v>10392.92</v>
      </c>
      <c r="G27" s="25">
        <v>1.7</v>
      </c>
    </row>
    <row r="28" spans="2:7" x14ac:dyDescent="0.2">
      <c r="B28" s="27" t="s">
        <v>125</v>
      </c>
      <c r="C28" s="23" t="s">
        <v>126</v>
      </c>
      <c r="D28" s="23" t="s">
        <v>127</v>
      </c>
      <c r="E28" s="28">
        <v>500000</v>
      </c>
      <c r="F28" s="25">
        <v>10356.5</v>
      </c>
      <c r="G28" s="25">
        <v>1.69</v>
      </c>
    </row>
    <row r="29" spans="2:7" x14ac:dyDescent="0.2">
      <c r="B29" s="27" t="s">
        <v>248</v>
      </c>
      <c r="C29" s="23" t="s">
        <v>249</v>
      </c>
      <c r="D29" s="23" t="s">
        <v>227</v>
      </c>
      <c r="E29" s="28">
        <v>6706869</v>
      </c>
      <c r="F29" s="25">
        <v>10281.629999999999</v>
      </c>
      <c r="G29" s="25">
        <v>1.68</v>
      </c>
    </row>
    <row r="30" spans="2:7" x14ac:dyDescent="0.2">
      <c r="B30" s="27" t="s">
        <v>64</v>
      </c>
      <c r="C30" s="23" t="s">
        <v>65</v>
      </c>
      <c r="D30" s="23" t="s">
        <v>66</v>
      </c>
      <c r="E30" s="28">
        <v>3419300</v>
      </c>
      <c r="F30" s="25">
        <v>10141.64</v>
      </c>
      <c r="G30" s="25">
        <v>1.66</v>
      </c>
    </row>
    <row r="31" spans="2:7" x14ac:dyDescent="0.2">
      <c r="B31" s="27" t="s">
        <v>131</v>
      </c>
      <c r="C31" s="23" t="s">
        <v>132</v>
      </c>
      <c r="D31" s="23" t="s">
        <v>133</v>
      </c>
      <c r="E31" s="28">
        <v>310378</v>
      </c>
      <c r="F31" s="25">
        <v>9752.23</v>
      </c>
      <c r="G31" s="25">
        <v>1.59</v>
      </c>
    </row>
    <row r="32" spans="2:7" x14ac:dyDescent="0.2">
      <c r="B32" s="27" t="s">
        <v>179</v>
      </c>
      <c r="C32" s="23" t="s">
        <v>180</v>
      </c>
      <c r="D32" s="23" t="s">
        <v>60</v>
      </c>
      <c r="E32" s="28">
        <v>736983</v>
      </c>
      <c r="F32" s="25">
        <v>9669.2199999999993</v>
      </c>
      <c r="G32" s="25">
        <v>1.58</v>
      </c>
    </row>
    <row r="33" spans="2:7" x14ac:dyDescent="0.2">
      <c r="B33" s="27" t="s">
        <v>250</v>
      </c>
      <c r="C33" s="23" t="s">
        <v>251</v>
      </c>
      <c r="D33" s="23" t="s">
        <v>127</v>
      </c>
      <c r="E33" s="28">
        <v>1930000</v>
      </c>
      <c r="F33" s="25">
        <v>9512.01</v>
      </c>
      <c r="G33" s="25">
        <v>1.55</v>
      </c>
    </row>
    <row r="34" spans="2:7" x14ac:dyDescent="0.2">
      <c r="B34" s="27" t="s">
        <v>215</v>
      </c>
      <c r="C34" s="23" t="s">
        <v>216</v>
      </c>
      <c r="D34" s="23" t="s">
        <v>138</v>
      </c>
      <c r="E34" s="28">
        <v>12000000</v>
      </c>
      <c r="F34" s="25">
        <v>9474</v>
      </c>
      <c r="G34" s="25">
        <v>1.55</v>
      </c>
    </row>
    <row r="35" spans="2:7" x14ac:dyDescent="0.2">
      <c r="B35" s="27" t="s">
        <v>252</v>
      </c>
      <c r="C35" s="23" t="s">
        <v>253</v>
      </c>
      <c r="D35" s="23" t="s">
        <v>127</v>
      </c>
      <c r="E35" s="28">
        <v>1833216</v>
      </c>
      <c r="F35" s="25">
        <v>9434.65</v>
      </c>
      <c r="G35" s="25">
        <v>1.54</v>
      </c>
    </row>
    <row r="36" spans="2:7" x14ac:dyDescent="0.2">
      <c r="B36" s="27" t="s">
        <v>61</v>
      </c>
      <c r="C36" s="23" t="s">
        <v>62</v>
      </c>
      <c r="D36" s="23" t="s">
        <v>63</v>
      </c>
      <c r="E36" s="28">
        <v>552414</v>
      </c>
      <c r="F36" s="25">
        <v>9386.6200000000008</v>
      </c>
      <c r="G36" s="25">
        <v>1.53</v>
      </c>
    </row>
    <row r="37" spans="2:7" x14ac:dyDescent="0.2">
      <c r="B37" s="27" t="s">
        <v>42</v>
      </c>
      <c r="C37" s="23" t="s">
        <v>43</v>
      </c>
      <c r="D37" s="23" t="s">
        <v>44</v>
      </c>
      <c r="E37" s="28">
        <v>1124043</v>
      </c>
      <c r="F37" s="25">
        <v>8958.06</v>
      </c>
      <c r="G37" s="25">
        <v>1.46</v>
      </c>
    </row>
    <row r="38" spans="2:7" x14ac:dyDescent="0.2">
      <c r="B38" s="27" t="s">
        <v>146</v>
      </c>
      <c r="C38" s="23" t="s">
        <v>147</v>
      </c>
      <c r="D38" s="23" t="s">
        <v>138</v>
      </c>
      <c r="E38" s="28">
        <v>1500000</v>
      </c>
      <c r="F38" s="25">
        <v>8910</v>
      </c>
      <c r="G38" s="25">
        <v>1.45</v>
      </c>
    </row>
    <row r="39" spans="2:7" x14ac:dyDescent="0.2">
      <c r="B39" s="27" t="s">
        <v>45</v>
      </c>
      <c r="C39" s="23" t="s">
        <v>46</v>
      </c>
      <c r="D39" s="23" t="s">
        <v>47</v>
      </c>
      <c r="E39" s="28">
        <v>31070</v>
      </c>
      <c r="F39" s="25">
        <v>8839.93</v>
      </c>
      <c r="G39" s="25">
        <v>1.44</v>
      </c>
    </row>
    <row r="40" spans="2:7" x14ac:dyDescent="0.2">
      <c r="B40" s="27" t="s">
        <v>254</v>
      </c>
      <c r="C40" s="23" t="s">
        <v>255</v>
      </c>
      <c r="D40" s="23" t="s">
        <v>227</v>
      </c>
      <c r="E40" s="28">
        <v>393005</v>
      </c>
      <c r="F40" s="25">
        <v>8802.92</v>
      </c>
      <c r="G40" s="25">
        <v>1.44</v>
      </c>
    </row>
    <row r="41" spans="2:7" x14ac:dyDescent="0.2">
      <c r="B41" s="27" t="s">
        <v>181</v>
      </c>
      <c r="C41" s="23" t="s">
        <v>182</v>
      </c>
      <c r="D41" s="23" t="s">
        <v>118</v>
      </c>
      <c r="E41" s="28">
        <v>661479</v>
      </c>
      <c r="F41" s="25">
        <v>8781.7999999999993</v>
      </c>
      <c r="G41" s="25">
        <v>1.43</v>
      </c>
    </row>
    <row r="42" spans="2:7" x14ac:dyDescent="0.2">
      <c r="B42" s="27" t="s">
        <v>209</v>
      </c>
      <c r="C42" s="23" t="s">
        <v>210</v>
      </c>
      <c r="D42" s="23" t="s">
        <v>127</v>
      </c>
      <c r="E42" s="28">
        <v>388954</v>
      </c>
      <c r="F42" s="25">
        <v>8458.7800000000007</v>
      </c>
      <c r="G42" s="25">
        <v>1.38</v>
      </c>
    </row>
    <row r="43" spans="2:7" x14ac:dyDescent="0.2">
      <c r="B43" s="27" t="s">
        <v>156</v>
      </c>
      <c r="C43" s="23" t="s">
        <v>157</v>
      </c>
      <c r="D43" s="23" t="s">
        <v>130</v>
      </c>
      <c r="E43" s="28">
        <v>492000</v>
      </c>
      <c r="F43" s="25">
        <v>8368.92</v>
      </c>
      <c r="G43" s="25">
        <v>1.37</v>
      </c>
    </row>
    <row r="44" spans="2:7" x14ac:dyDescent="0.2">
      <c r="B44" s="27" t="s">
        <v>176</v>
      </c>
      <c r="C44" s="23" t="s">
        <v>177</v>
      </c>
      <c r="D44" s="23" t="s">
        <v>178</v>
      </c>
      <c r="E44" s="28">
        <v>362586</v>
      </c>
      <c r="F44" s="25">
        <v>8328.06</v>
      </c>
      <c r="G44" s="25">
        <v>1.36</v>
      </c>
    </row>
    <row r="45" spans="2:7" x14ac:dyDescent="0.2">
      <c r="B45" s="27" t="s">
        <v>165</v>
      </c>
      <c r="C45" s="23" t="s">
        <v>166</v>
      </c>
      <c r="D45" s="23" t="s">
        <v>133</v>
      </c>
      <c r="E45" s="28">
        <v>53776</v>
      </c>
      <c r="F45" s="25">
        <v>8226.73</v>
      </c>
      <c r="G45" s="25">
        <v>1.34</v>
      </c>
    </row>
    <row r="46" spans="2:7" x14ac:dyDescent="0.2">
      <c r="B46" s="27" t="s">
        <v>193</v>
      </c>
      <c r="C46" s="23" t="s">
        <v>194</v>
      </c>
      <c r="D46" s="23" t="s">
        <v>130</v>
      </c>
      <c r="E46" s="28">
        <v>985000</v>
      </c>
      <c r="F46" s="25">
        <v>7877.54</v>
      </c>
      <c r="G46" s="25">
        <v>1.29</v>
      </c>
    </row>
    <row r="47" spans="2:7" x14ac:dyDescent="0.2">
      <c r="B47" s="27" t="s">
        <v>203</v>
      </c>
      <c r="C47" s="23" t="s">
        <v>204</v>
      </c>
      <c r="D47" s="23" t="s">
        <v>133</v>
      </c>
      <c r="E47" s="28">
        <v>1650000</v>
      </c>
      <c r="F47" s="25">
        <v>7684.88</v>
      </c>
      <c r="G47" s="25">
        <v>1.25</v>
      </c>
    </row>
    <row r="48" spans="2:7" x14ac:dyDescent="0.2">
      <c r="B48" s="27" t="s">
        <v>158</v>
      </c>
      <c r="C48" s="23" t="s">
        <v>159</v>
      </c>
      <c r="D48" s="23" t="s">
        <v>127</v>
      </c>
      <c r="E48" s="28">
        <v>218012</v>
      </c>
      <c r="F48" s="25">
        <v>7572.1</v>
      </c>
      <c r="G48" s="25">
        <v>1.24</v>
      </c>
    </row>
    <row r="49" spans="2:9" x14ac:dyDescent="0.2">
      <c r="B49" s="27" t="s">
        <v>169</v>
      </c>
      <c r="C49" s="23" t="s">
        <v>170</v>
      </c>
      <c r="D49" s="23" t="s">
        <v>133</v>
      </c>
      <c r="E49" s="28">
        <v>243948</v>
      </c>
      <c r="F49" s="25">
        <v>6426.32</v>
      </c>
      <c r="G49" s="25">
        <v>1.05</v>
      </c>
    </row>
    <row r="50" spans="2:9" x14ac:dyDescent="0.2">
      <c r="B50" s="27" t="s">
        <v>256</v>
      </c>
      <c r="C50" s="23" t="s">
        <v>257</v>
      </c>
      <c r="D50" s="23" t="s">
        <v>87</v>
      </c>
      <c r="E50" s="28">
        <v>4235101</v>
      </c>
      <c r="F50" s="25">
        <v>6255.24</v>
      </c>
      <c r="G50" s="25">
        <v>1.02</v>
      </c>
    </row>
    <row r="51" spans="2:9" x14ac:dyDescent="0.2">
      <c r="B51" s="27" t="s">
        <v>154</v>
      </c>
      <c r="C51" s="23" t="s">
        <v>155</v>
      </c>
      <c r="D51" s="23" t="s">
        <v>60</v>
      </c>
      <c r="E51" s="28">
        <v>488000</v>
      </c>
      <c r="F51" s="25">
        <v>5688.86</v>
      </c>
      <c r="G51" s="25">
        <v>0.93</v>
      </c>
    </row>
    <row r="52" spans="2:9" x14ac:dyDescent="0.2">
      <c r="B52" s="27" t="s">
        <v>258</v>
      </c>
      <c r="C52" s="23" t="s">
        <v>259</v>
      </c>
      <c r="D52" s="23" t="s">
        <v>133</v>
      </c>
      <c r="E52" s="28">
        <v>1029191</v>
      </c>
      <c r="F52" s="25">
        <v>5505.66</v>
      </c>
      <c r="G52" s="25">
        <v>0.9</v>
      </c>
    </row>
    <row r="53" spans="2:9" x14ac:dyDescent="0.2">
      <c r="B53" s="27" t="s">
        <v>207</v>
      </c>
      <c r="C53" s="23" t="s">
        <v>208</v>
      </c>
      <c r="D53" s="23" t="s">
        <v>63</v>
      </c>
      <c r="E53" s="28">
        <v>1206703</v>
      </c>
      <c r="F53" s="25">
        <v>5445.85</v>
      </c>
      <c r="G53" s="25">
        <v>0.89</v>
      </c>
    </row>
    <row r="54" spans="2:9" x14ac:dyDescent="0.2">
      <c r="B54" s="27" t="s">
        <v>260</v>
      </c>
      <c r="C54" s="23" t="s">
        <v>261</v>
      </c>
      <c r="D54" s="23" t="s">
        <v>262</v>
      </c>
      <c r="E54" s="28">
        <v>377028</v>
      </c>
      <c r="F54" s="25">
        <v>4958.67</v>
      </c>
      <c r="G54" s="25">
        <v>0.81</v>
      </c>
    </row>
    <row r="55" spans="2:9" x14ac:dyDescent="0.2">
      <c r="B55" s="27" t="s">
        <v>263</v>
      </c>
      <c r="C55" s="23" t="s">
        <v>264</v>
      </c>
      <c r="D55" s="23" t="s">
        <v>63</v>
      </c>
      <c r="E55" s="28">
        <v>500000</v>
      </c>
      <c r="F55" s="25">
        <v>4603.5</v>
      </c>
      <c r="G55" s="25">
        <v>0.75</v>
      </c>
    </row>
    <row r="56" spans="2:9" x14ac:dyDescent="0.2">
      <c r="B56" s="27" t="s">
        <v>265</v>
      </c>
      <c r="C56" s="23" t="s">
        <v>266</v>
      </c>
      <c r="D56" s="23" t="s">
        <v>267</v>
      </c>
      <c r="E56" s="28">
        <v>1396805</v>
      </c>
      <c r="F56" s="25">
        <v>4270.03</v>
      </c>
      <c r="G56" s="25">
        <v>0.7</v>
      </c>
    </row>
    <row r="57" spans="2:9" x14ac:dyDescent="0.2">
      <c r="B57" s="27" t="s">
        <v>195</v>
      </c>
      <c r="C57" s="23" t="s">
        <v>196</v>
      </c>
      <c r="D57" s="23" t="s">
        <v>173</v>
      </c>
      <c r="E57" s="28">
        <v>346168</v>
      </c>
      <c r="F57" s="25">
        <v>4187.42</v>
      </c>
      <c r="G57" s="25">
        <v>0.68</v>
      </c>
    </row>
    <row r="58" spans="2:9" x14ac:dyDescent="0.2">
      <c r="B58" s="27" t="s">
        <v>268</v>
      </c>
      <c r="C58" s="23" t="s">
        <v>269</v>
      </c>
      <c r="D58" s="23" t="s">
        <v>130</v>
      </c>
      <c r="E58" s="28">
        <v>300000</v>
      </c>
      <c r="F58" s="25">
        <v>3890.55</v>
      </c>
      <c r="G58" s="25">
        <v>0.64</v>
      </c>
    </row>
    <row r="59" spans="2:9" x14ac:dyDescent="0.2">
      <c r="B59" s="27" t="s">
        <v>205</v>
      </c>
      <c r="C59" s="23" t="s">
        <v>206</v>
      </c>
      <c r="D59" s="23" t="s">
        <v>118</v>
      </c>
      <c r="E59" s="28">
        <v>109972</v>
      </c>
      <c r="F59" s="25">
        <v>3209.53</v>
      </c>
      <c r="G59" s="25">
        <v>0.52</v>
      </c>
    </row>
    <row r="60" spans="2:9" x14ac:dyDescent="0.2">
      <c r="B60" s="27" t="s">
        <v>50</v>
      </c>
      <c r="C60" s="23" t="s">
        <v>51</v>
      </c>
      <c r="D60" s="23" t="s">
        <v>52</v>
      </c>
      <c r="E60" s="28">
        <v>378781</v>
      </c>
      <c r="F60" s="25">
        <v>3004.11</v>
      </c>
      <c r="G60" s="25">
        <v>0.49</v>
      </c>
    </row>
    <row r="61" spans="2:9" x14ac:dyDescent="0.2">
      <c r="B61" s="27" t="s">
        <v>107</v>
      </c>
      <c r="C61" s="23" t="s">
        <v>108</v>
      </c>
      <c r="D61" s="23" t="s">
        <v>47</v>
      </c>
      <c r="E61" s="28">
        <v>747452</v>
      </c>
      <c r="F61" s="25">
        <v>1757.63</v>
      </c>
      <c r="G61" s="25">
        <v>0.28999999999999998</v>
      </c>
    </row>
    <row r="62" spans="2:9" x14ac:dyDescent="0.2">
      <c r="B62" s="27" t="s">
        <v>248</v>
      </c>
      <c r="C62" s="23" t="s">
        <v>270</v>
      </c>
      <c r="D62" s="23" t="s">
        <v>227</v>
      </c>
      <c r="E62" s="28">
        <v>767000</v>
      </c>
      <c r="F62" s="25">
        <v>732.1</v>
      </c>
      <c r="G62" s="25">
        <v>0.12</v>
      </c>
    </row>
    <row r="63" spans="2:9" x14ac:dyDescent="0.2">
      <c r="B63" s="29" t="s">
        <v>111</v>
      </c>
      <c r="C63" s="30"/>
      <c r="D63" s="30"/>
      <c r="E63" s="31"/>
      <c r="F63" s="32">
        <f>SUM(F7:F62)</f>
        <v>596222.26</v>
      </c>
      <c r="G63" s="32">
        <f>SUM(G7:G62)</f>
        <v>97.330000000000027</v>
      </c>
      <c r="H63" s="14"/>
      <c r="I63" s="14"/>
    </row>
    <row r="64" spans="2:9" x14ac:dyDescent="0.2">
      <c r="B64" s="37" t="s">
        <v>112</v>
      </c>
      <c r="C64" s="37"/>
      <c r="D64" s="37"/>
      <c r="E64" s="38"/>
      <c r="F64" s="39">
        <f>F63</f>
        <v>596222.26</v>
      </c>
      <c r="G64" s="39">
        <f>G63</f>
        <v>97.330000000000027</v>
      </c>
      <c r="H64" s="14"/>
      <c r="I64" s="14"/>
    </row>
    <row r="65" spans="2:9" x14ac:dyDescent="0.2">
      <c r="B65" s="40" t="s">
        <v>113</v>
      </c>
      <c r="C65" s="41"/>
      <c r="D65" s="41"/>
      <c r="E65" s="42"/>
      <c r="F65" s="43"/>
      <c r="G65" s="43"/>
    </row>
    <row r="66" spans="2:9" x14ac:dyDescent="0.2">
      <c r="B66" s="27" t="s">
        <v>113</v>
      </c>
      <c r="C66" s="23"/>
      <c r="D66" s="23"/>
      <c r="E66" s="24"/>
      <c r="F66" s="25">
        <v>10527.15</v>
      </c>
      <c r="G66" s="25">
        <v>1.72</v>
      </c>
    </row>
    <row r="67" spans="2:9" x14ac:dyDescent="0.2">
      <c r="B67" s="29" t="s">
        <v>111</v>
      </c>
      <c r="C67" s="30"/>
      <c r="D67" s="30"/>
      <c r="E67" s="31"/>
      <c r="F67" s="32">
        <f>SUM(F65:F66)</f>
        <v>10527.15</v>
      </c>
      <c r="G67" s="32">
        <f>SUM(G65:G66)</f>
        <v>1.72</v>
      </c>
      <c r="H67" s="14"/>
      <c r="I67" s="14"/>
    </row>
    <row r="68" spans="2:9" x14ac:dyDescent="0.2">
      <c r="B68" s="34" t="s">
        <v>112</v>
      </c>
      <c r="C68" s="34"/>
      <c r="D68" s="34"/>
      <c r="E68" s="35"/>
      <c r="F68" s="36">
        <f>F67</f>
        <v>10527.15</v>
      </c>
      <c r="G68" s="36">
        <f>G67</f>
        <v>1.72</v>
      </c>
      <c r="H68" s="14"/>
      <c r="I68" s="14"/>
    </row>
    <row r="69" spans="2:9" x14ac:dyDescent="0.2">
      <c r="B69" s="44" t="s">
        <v>115</v>
      </c>
      <c r="C69" s="44"/>
      <c r="D69" s="44"/>
      <c r="E69" s="45"/>
      <c r="F69" s="16">
        <f>F70-(+F64+F68)</f>
        <v>5888.7099999999627</v>
      </c>
      <c r="G69" s="16">
        <f>G70-(+G64+G68)</f>
        <v>0.94999999999997442</v>
      </c>
      <c r="H69" s="14"/>
      <c r="I69" s="14"/>
    </row>
    <row r="70" spans="2:9" x14ac:dyDescent="0.2">
      <c r="B70" s="44" t="s">
        <v>114</v>
      </c>
      <c r="C70" s="44"/>
      <c r="D70" s="44"/>
      <c r="E70" s="45"/>
      <c r="F70" s="16">
        <v>612638.12</v>
      </c>
      <c r="G70" s="16">
        <v>100</v>
      </c>
      <c r="H70" s="14"/>
      <c r="I70" s="14"/>
    </row>
    <row r="72" spans="2:9" x14ac:dyDescent="0.2">
      <c r="B7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4"/>
  <sheetViews>
    <sheetView workbookViewId="0">
      <selection activeCell="C24" sqref="C24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1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12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119</v>
      </c>
      <c r="C7" s="23" t="s">
        <v>120</v>
      </c>
      <c r="D7" s="23" t="s">
        <v>87</v>
      </c>
      <c r="E7" s="28">
        <v>258800</v>
      </c>
      <c r="F7" s="25">
        <v>3063.03</v>
      </c>
      <c r="G7" s="25">
        <v>7.25</v>
      </c>
    </row>
    <row r="8" spans="2:7" x14ac:dyDescent="0.2">
      <c r="B8" s="27" t="s">
        <v>185</v>
      </c>
      <c r="C8" s="23" t="s">
        <v>186</v>
      </c>
      <c r="D8" s="23" t="s">
        <v>127</v>
      </c>
      <c r="E8" s="28">
        <v>116675</v>
      </c>
      <c r="F8" s="25">
        <v>2580.27</v>
      </c>
      <c r="G8" s="25">
        <v>6.11</v>
      </c>
    </row>
    <row r="9" spans="2:7" x14ac:dyDescent="0.2">
      <c r="B9" s="27" t="s">
        <v>128</v>
      </c>
      <c r="C9" s="23" t="s">
        <v>129</v>
      </c>
      <c r="D9" s="23" t="s">
        <v>130</v>
      </c>
      <c r="E9" s="28">
        <v>52175</v>
      </c>
      <c r="F9" s="25">
        <v>1726.47</v>
      </c>
      <c r="G9" s="25">
        <v>4.09</v>
      </c>
    </row>
    <row r="10" spans="2:7" x14ac:dyDescent="0.2">
      <c r="B10" s="27" t="s">
        <v>167</v>
      </c>
      <c r="C10" s="23" t="s">
        <v>168</v>
      </c>
      <c r="D10" s="23" t="s">
        <v>130</v>
      </c>
      <c r="E10" s="28">
        <v>270000</v>
      </c>
      <c r="F10" s="25">
        <v>1592.33</v>
      </c>
      <c r="G10" s="25">
        <v>3.77</v>
      </c>
    </row>
    <row r="11" spans="2:7" x14ac:dyDescent="0.2">
      <c r="B11" s="27" t="s">
        <v>58</v>
      </c>
      <c r="C11" s="23" t="s">
        <v>59</v>
      </c>
      <c r="D11" s="23" t="s">
        <v>60</v>
      </c>
      <c r="E11" s="28">
        <v>202500</v>
      </c>
      <c r="F11" s="25">
        <v>1428.74</v>
      </c>
      <c r="G11" s="25">
        <v>3.38</v>
      </c>
    </row>
    <row r="12" spans="2:7" x14ac:dyDescent="0.2">
      <c r="B12" s="27" t="s">
        <v>75</v>
      </c>
      <c r="C12" s="23" t="s">
        <v>76</v>
      </c>
      <c r="D12" s="23" t="s">
        <v>60</v>
      </c>
      <c r="E12" s="28">
        <v>55670</v>
      </c>
      <c r="F12" s="25">
        <v>1213.83</v>
      </c>
      <c r="G12" s="25">
        <v>2.87</v>
      </c>
    </row>
    <row r="13" spans="2:7" x14ac:dyDescent="0.2">
      <c r="B13" s="27" t="s">
        <v>158</v>
      </c>
      <c r="C13" s="23" t="s">
        <v>159</v>
      </c>
      <c r="D13" s="23" t="s">
        <v>127</v>
      </c>
      <c r="E13" s="28">
        <v>34050</v>
      </c>
      <c r="F13" s="25">
        <v>1182.6400000000001</v>
      </c>
      <c r="G13" s="25">
        <v>2.8</v>
      </c>
    </row>
    <row r="14" spans="2:7" x14ac:dyDescent="0.2">
      <c r="B14" s="27" t="s">
        <v>160</v>
      </c>
      <c r="C14" s="23" t="s">
        <v>161</v>
      </c>
      <c r="D14" s="23" t="s">
        <v>138</v>
      </c>
      <c r="E14" s="28">
        <v>41500</v>
      </c>
      <c r="F14" s="25">
        <v>1161.92</v>
      </c>
      <c r="G14" s="25">
        <v>2.75</v>
      </c>
    </row>
    <row r="15" spans="2:7" x14ac:dyDescent="0.2">
      <c r="B15" s="27" t="s">
        <v>85</v>
      </c>
      <c r="C15" s="23" t="s">
        <v>86</v>
      </c>
      <c r="D15" s="23" t="s">
        <v>87</v>
      </c>
      <c r="E15" s="28">
        <v>292000</v>
      </c>
      <c r="F15" s="25">
        <v>1146.3900000000001</v>
      </c>
      <c r="G15" s="25">
        <v>2.72</v>
      </c>
    </row>
    <row r="16" spans="2:7" x14ac:dyDescent="0.2">
      <c r="B16" s="27" t="s">
        <v>136</v>
      </c>
      <c r="C16" s="23" t="s">
        <v>137</v>
      </c>
      <c r="D16" s="23" t="s">
        <v>138</v>
      </c>
      <c r="E16" s="28">
        <v>15500</v>
      </c>
      <c r="F16" s="25">
        <v>1079.5999999999999</v>
      </c>
      <c r="G16" s="25">
        <v>2.56</v>
      </c>
    </row>
    <row r="17" spans="2:7" x14ac:dyDescent="0.2">
      <c r="B17" s="27" t="s">
        <v>36</v>
      </c>
      <c r="C17" s="23" t="s">
        <v>37</v>
      </c>
      <c r="D17" s="23" t="s">
        <v>38</v>
      </c>
      <c r="E17" s="28">
        <v>50000</v>
      </c>
      <c r="F17" s="25">
        <v>1027.25</v>
      </c>
      <c r="G17" s="25">
        <v>2.4300000000000002</v>
      </c>
    </row>
    <row r="18" spans="2:7" x14ac:dyDescent="0.2">
      <c r="B18" s="27" t="s">
        <v>125</v>
      </c>
      <c r="C18" s="23" t="s">
        <v>126</v>
      </c>
      <c r="D18" s="23" t="s">
        <v>127</v>
      </c>
      <c r="E18" s="28">
        <v>49350</v>
      </c>
      <c r="F18" s="25">
        <v>1022.19</v>
      </c>
      <c r="G18" s="25">
        <v>2.42</v>
      </c>
    </row>
    <row r="19" spans="2:7" x14ac:dyDescent="0.2">
      <c r="B19" s="27" t="s">
        <v>96</v>
      </c>
      <c r="C19" s="23" t="s">
        <v>97</v>
      </c>
      <c r="D19" s="23" t="s">
        <v>60</v>
      </c>
      <c r="E19" s="28">
        <v>10601</v>
      </c>
      <c r="F19" s="25">
        <v>985.82</v>
      </c>
      <c r="G19" s="25">
        <v>2.33</v>
      </c>
    </row>
    <row r="20" spans="2:7" x14ac:dyDescent="0.2">
      <c r="B20" s="27" t="s">
        <v>271</v>
      </c>
      <c r="C20" s="23" t="s">
        <v>272</v>
      </c>
      <c r="D20" s="23" t="s">
        <v>60</v>
      </c>
      <c r="E20" s="28">
        <v>463587</v>
      </c>
      <c r="F20" s="25">
        <v>963.33</v>
      </c>
      <c r="G20" s="25">
        <v>2.2799999999999998</v>
      </c>
    </row>
    <row r="21" spans="2:7" x14ac:dyDescent="0.2">
      <c r="B21" s="27" t="s">
        <v>250</v>
      </c>
      <c r="C21" s="23" t="s">
        <v>251</v>
      </c>
      <c r="D21" s="23" t="s">
        <v>127</v>
      </c>
      <c r="E21" s="28">
        <v>190000</v>
      </c>
      <c r="F21" s="25">
        <v>936.42</v>
      </c>
      <c r="G21" s="25">
        <v>2.2200000000000002</v>
      </c>
    </row>
    <row r="22" spans="2:7" x14ac:dyDescent="0.2">
      <c r="B22" s="27" t="s">
        <v>183</v>
      </c>
      <c r="C22" s="23" t="s">
        <v>184</v>
      </c>
      <c r="D22" s="23" t="s">
        <v>60</v>
      </c>
      <c r="E22" s="28">
        <v>43000</v>
      </c>
      <c r="F22" s="25">
        <v>911.82</v>
      </c>
      <c r="G22" s="25">
        <v>2.16</v>
      </c>
    </row>
    <row r="23" spans="2:7" x14ac:dyDescent="0.2">
      <c r="B23" s="27" t="s">
        <v>152</v>
      </c>
      <c r="C23" s="23" t="s">
        <v>153</v>
      </c>
      <c r="D23" s="23" t="s">
        <v>127</v>
      </c>
      <c r="E23" s="28">
        <v>5175</v>
      </c>
      <c r="F23" s="25">
        <v>888.11</v>
      </c>
      <c r="G23" s="25">
        <v>2.1</v>
      </c>
    </row>
    <row r="24" spans="2:7" x14ac:dyDescent="0.2">
      <c r="B24" s="27" t="s">
        <v>225</v>
      </c>
      <c r="C24" s="23" t="s">
        <v>226</v>
      </c>
      <c r="D24" s="23" t="s">
        <v>227</v>
      </c>
      <c r="E24" s="28">
        <v>18042</v>
      </c>
      <c r="F24" s="25">
        <v>874.32</v>
      </c>
      <c r="G24" s="25">
        <v>2.0699999999999998</v>
      </c>
    </row>
    <row r="25" spans="2:7" x14ac:dyDescent="0.2">
      <c r="B25" s="27" t="s">
        <v>217</v>
      </c>
      <c r="C25" s="23" t="s">
        <v>218</v>
      </c>
      <c r="D25" s="23" t="s">
        <v>138</v>
      </c>
      <c r="E25" s="28">
        <v>29500</v>
      </c>
      <c r="F25" s="25">
        <v>851.64</v>
      </c>
      <c r="G25" s="25">
        <v>2.02</v>
      </c>
    </row>
    <row r="26" spans="2:7" x14ac:dyDescent="0.2">
      <c r="B26" s="27" t="s">
        <v>273</v>
      </c>
      <c r="C26" s="23" t="s">
        <v>274</v>
      </c>
      <c r="D26" s="23" t="s">
        <v>127</v>
      </c>
      <c r="E26" s="28">
        <v>230000</v>
      </c>
      <c r="F26" s="25">
        <v>820.3</v>
      </c>
      <c r="G26" s="25">
        <v>1.94</v>
      </c>
    </row>
    <row r="27" spans="2:7" x14ac:dyDescent="0.2">
      <c r="B27" s="27" t="s">
        <v>275</v>
      </c>
      <c r="C27" s="23" t="s">
        <v>276</v>
      </c>
      <c r="D27" s="23" t="s">
        <v>127</v>
      </c>
      <c r="E27" s="28">
        <v>121000</v>
      </c>
      <c r="F27" s="25">
        <v>804.41</v>
      </c>
      <c r="G27" s="25">
        <v>1.91</v>
      </c>
    </row>
    <row r="28" spans="2:7" x14ac:dyDescent="0.2">
      <c r="B28" s="27" t="s">
        <v>235</v>
      </c>
      <c r="C28" s="23" t="s">
        <v>236</v>
      </c>
      <c r="D28" s="23" t="s">
        <v>237</v>
      </c>
      <c r="E28" s="28">
        <v>3950</v>
      </c>
      <c r="F28" s="25">
        <v>792.84</v>
      </c>
      <c r="G28" s="25">
        <v>1.88</v>
      </c>
    </row>
    <row r="29" spans="2:7" x14ac:dyDescent="0.2">
      <c r="B29" s="27" t="s">
        <v>201</v>
      </c>
      <c r="C29" s="23" t="s">
        <v>202</v>
      </c>
      <c r="D29" s="23" t="s">
        <v>130</v>
      </c>
      <c r="E29" s="28">
        <v>158054</v>
      </c>
      <c r="F29" s="25">
        <v>788.93</v>
      </c>
      <c r="G29" s="25">
        <v>1.87</v>
      </c>
    </row>
    <row r="30" spans="2:7" x14ac:dyDescent="0.2">
      <c r="B30" s="27" t="s">
        <v>233</v>
      </c>
      <c r="C30" s="23" t="s">
        <v>234</v>
      </c>
      <c r="D30" s="23" t="s">
        <v>118</v>
      </c>
      <c r="E30" s="28">
        <v>21999</v>
      </c>
      <c r="F30" s="25">
        <v>780.73</v>
      </c>
      <c r="G30" s="25">
        <v>1.85</v>
      </c>
    </row>
    <row r="31" spans="2:7" x14ac:dyDescent="0.2">
      <c r="B31" s="27" t="s">
        <v>238</v>
      </c>
      <c r="C31" s="23" t="s">
        <v>239</v>
      </c>
      <c r="D31" s="23" t="s">
        <v>60</v>
      </c>
      <c r="E31" s="28">
        <v>253791</v>
      </c>
      <c r="F31" s="25">
        <v>759.6</v>
      </c>
      <c r="G31" s="25">
        <v>1.8</v>
      </c>
    </row>
    <row r="32" spans="2:7" x14ac:dyDescent="0.2">
      <c r="B32" s="27" t="s">
        <v>277</v>
      </c>
      <c r="C32" s="23" t="s">
        <v>278</v>
      </c>
      <c r="D32" s="23" t="s">
        <v>38</v>
      </c>
      <c r="E32" s="28">
        <v>110161</v>
      </c>
      <c r="F32" s="25">
        <v>726.9</v>
      </c>
      <c r="G32" s="25">
        <v>1.72</v>
      </c>
    </row>
    <row r="33" spans="2:7" x14ac:dyDescent="0.2">
      <c r="B33" s="27" t="s">
        <v>242</v>
      </c>
      <c r="C33" s="23" t="s">
        <v>243</v>
      </c>
      <c r="D33" s="23" t="s">
        <v>87</v>
      </c>
      <c r="E33" s="28">
        <v>88500</v>
      </c>
      <c r="F33" s="25">
        <v>686.18</v>
      </c>
      <c r="G33" s="25">
        <v>1.63</v>
      </c>
    </row>
    <row r="34" spans="2:7" x14ac:dyDescent="0.2">
      <c r="B34" s="27" t="s">
        <v>215</v>
      </c>
      <c r="C34" s="23" t="s">
        <v>216</v>
      </c>
      <c r="D34" s="23" t="s">
        <v>138</v>
      </c>
      <c r="E34" s="28">
        <v>850000</v>
      </c>
      <c r="F34" s="25">
        <v>671.08</v>
      </c>
      <c r="G34" s="25">
        <v>1.59</v>
      </c>
    </row>
    <row r="35" spans="2:7" x14ac:dyDescent="0.2">
      <c r="B35" s="27" t="s">
        <v>105</v>
      </c>
      <c r="C35" s="23" t="s">
        <v>106</v>
      </c>
      <c r="D35" s="23" t="s">
        <v>60</v>
      </c>
      <c r="E35" s="28">
        <v>105000</v>
      </c>
      <c r="F35" s="25">
        <v>659.03</v>
      </c>
      <c r="G35" s="25">
        <v>1.56</v>
      </c>
    </row>
    <row r="36" spans="2:7" x14ac:dyDescent="0.2">
      <c r="B36" s="27" t="s">
        <v>143</v>
      </c>
      <c r="C36" s="23" t="s">
        <v>144</v>
      </c>
      <c r="D36" s="23" t="s">
        <v>145</v>
      </c>
      <c r="E36" s="28">
        <v>29082</v>
      </c>
      <c r="F36" s="25">
        <v>638.99</v>
      </c>
      <c r="G36" s="25">
        <v>1.51</v>
      </c>
    </row>
    <row r="37" spans="2:7" x14ac:dyDescent="0.2">
      <c r="B37" s="27" t="s">
        <v>279</v>
      </c>
      <c r="C37" s="23" t="s">
        <v>280</v>
      </c>
      <c r="D37" s="23" t="s">
        <v>127</v>
      </c>
      <c r="E37" s="28">
        <v>120000</v>
      </c>
      <c r="F37" s="25">
        <v>613.74</v>
      </c>
      <c r="G37" s="25">
        <v>1.45</v>
      </c>
    </row>
    <row r="38" spans="2:7" x14ac:dyDescent="0.2">
      <c r="B38" s="27" t="s">
        <v>131</v>
      </c>
      <c r="C38" s="23" t="s">
        <v>132</v>
      </c>
      <c r="D38" s="23" t="s">
        <v>133</v>
      </c>
      <c r="E38" s="28">
        <v>19125</v>
      </c>
      <c r="F38" s="25">
        <v>600.91999999999996</v>
      </c>
      <c r="G38" s="25">
        <v>1.42</v>
      </c>
    </row>
    <row r="39" spans="2:7" x14ac:dyDescent="0.2">
      <c r="B39" s="27" t="s">
        <v>252</v>
      </c>
      <c r="C39" s="23" t="s">
        <v>253</v>
      </c>
      <c r="D39" s="23" t="s">
        <v>127</v>
      </c>
      <c r="E39" s="28">
        <v>112000</v>
      </c>
      <c r="F39" s="25">
        <v>576.41</v>
      </c>
      <c r="G39" s="25">
        <v>1.37</v>
      </c>
    </row>
    <row r="40" spans="2:7" x14ac:dyDescent="0.2">
      <c r="B40" s="27" t="s">
        <v>281</v>
      </c>
      <c r="C40" s="23" t="s">
        <v>282</v>
      </c>
      <c r="D40" s="23" t="s">
        <v>127</v>
      </c>
      <c r="E40" s="28">
        <v>91000</v>
      </c>
      <c r="F40" s="25">
        <v>566.98</v>
      </c>
      <c r="G40" s="25">
        <v>1.34</v>
      </c>
    </row>
    <row r="41" spans="2:7" x14ac:dyDescent="0.2">
      <c r="B41" s="27" t="s">
        <v>148</v>
      </c>
      <c r="C41" s="23" t="s">
        <v>149</v>
      </c>
      <c r="D41" s="23" t="s">
        <v>133</v>
      </c>
      <c r="E41" s="28">
        <v>75000</v>
      </c>
      <c r="F41" s="25">
        <v>565.88</v>
      </c>
      <c r="G41" s="25">
        <v>1.34</v>
      </c>
    </row>
    <row r="42" spans="2:7" x14ac:dyDescent="0.2">
      <c r="B42" s="27" t="s">
        <v>191</v>
      </c>
      <c r="C42" s="23" t="s">
        <v>192</v>
      </c>
      <c r="D42" s="23" t="s">
        <v>130</v>
      </c>
      <c r="E42" s="28">
        <v>198000</v>
      </c>
      <c r="F42" s="25">
        <v>541.04</v>
      </c>
      <c r="G42" s="25">
        <v>1.28</v>
      </c>
    </row>
    <row r="43" spans="2:7" x14ac:dyDescent="0.2">
      <c r="B43" s="27" t="s">
        <v>176</v>
      </c>
      <c r="C43" s="23" t="s">
        <v>177</v>
      </c>
      <c r="D43" s="23" t="s">
        <v>178</v>
      </c>
      <c r="E43" s="28">
        <v>22450</v>
      </c>
      <c r="F43" s="25">
        <v>515.64</v>
      </c>
      <c r="G43" s="25">
        <v>1.22</v>
      </c>
    </row>
    <row r="44" spans="2:7" x14ac:dyDescent="0.2">
      <c r="B44" s="27" t="s">
        <v>199</v>
      </c>
      <c r="C44" s="23" t="s">
        <v>200</v>
      </c>
      <c r="D44" s="23" t="s">
        <v>63</v>
      </c>
      <c r="E44" s="28">
        <v>200000</v>
      </c>
      <c r="F44" s="25">
        <v>496.9</v>
      </c>
      <c r="G44" s="25">
        <v>1.18</v>
      </c>
    </row>
    <row r="45" spans="2:7" x14ac:dyDescent="0.2">
      <c r="B45" s="27" t="s">
        <v>146</v>
      </c>
      <c r="C45" s="23" t="s">
        <v>147</v>
      </c>
      <c r="D45" s="23" t="s">
        <v>138</v>
      </c>
      <c r="E45" s="28">
        <v>79500</v>
      </c>
      <c r="F45" s="25">
        <v>472.23</v>
      </c>
      <c r="G45" s="25">
        <v>1.1200000000000001</v>
      </c>
    </row>
    <row r="46" spans="2:7" x14ac:dyDescent="0.2">
      <c r="B46" s="27" t="s">
        <v>162</v>
      </c>
      <c r="C46" s="23" t="s">
        <v>163</v>
      </c>
      <c r="D46" s="23" t="s">
        <v>164</v>
      </c>
      <c r="E46" s="28">
        <v>35000</v>
      </c>
      <c r="F46" s="25">
        <v>471.64</v>
      </c>
      <c r="G46" s="25">
        <v>1.1200000000000001</v>
      </c>
    </row>
    <row r="47" spans="2:7" x14ac:dyDescent="0.2">
      <c r="B47" s="27" t="s">
        <v>230</v>
      </c>
      <c r="C47" s="23" t="s">
        <v>231</v>
      </c>
      <c r="D47" s="23" t="s">
        <v>232</v>
      </c>
      <c r="E47" s="28">
        <v>64500</v>
      </c>
      <c r="F47" s="25">
        <v>468.62</v>
      </c>
      <c r="G47" s="25">
        <v>1.1100000000000001</v>
      </c>
    </row>
    <row r="48" spans="2:7" x14ac:dyDescent="0.2">
      <c r="B48" s="27" t="s">
        <v>248</v>
      </c>
      <c r="C48" s="23" t="s">
        <v>249</v>
      </c>
      <c r="D48" s="23" t="s">
        <v>227</v>
      </c>
      <c r="E48" s="28">
        <v>305000</v>
      </c>
      <c r="F48" s="25">
        <v>467.57</v>
      </c>
      <c r="G48" s="25">
        <v>1.1100000000000001</v>
      </c>
    </row>
    <row r="49" spans="2:9" x14ac:dyDescent="0.2">
      <c r="B49" s="27" t="s">
        <v>254</v>
      </c>
      <c r="C49" s="23" t="s">
        <v>255</v>
      </c>
      <c r="D49" s="23" t="s">
        <v>227</v>
      </c>
      <c r="E49" s="28">
        <v>20000</v>
      </c>
      <c r="F49" s="25">
        <v>447.98</v>
      </c>
      <c r="G49" s="25">
        <v>1.06</v>
      </c>
    </row>
    <row r="50" spans="2:9" x14ac:dyDescent="0.2">
      <c r="B50" s="27" t="s">
        <v>156</v>
      </c>
      <c r="C50" s="23" t="s">
        <v>157</v>
      </c>
      <c r="D50" s="23" t="s">
        <v>130</v>
      </c>
      <c r="E50" s="28">
        <v>26000</v>
      </c>
      <c r="F50" s="25">
        <v>442.26</v>
      </c>
      <c r="G50" s="25">
        <v>1.05</v>
      </c>
    </row>
    <row r="51" spans="2:9" x14ac:dyDescent="0.2">
      <c r="B51" s="27" t="s">
        <v>187</v>
      </c>
      <c r="C51" s="23" t="s">
        <v>188</v>
      </c>
      <c r="D51" s="23" t="s">
        <v>130</v>
      </c>
      <c r="E51" s="28">
        <v>75000</v>
      </c>
      <c r="F51" s="25">
        <v>342.94</v>
      </c>
      <c r="G51" s="25">
        <v>0.81</v>
      </c>
    </row>
    <row r="52" spans="2:9" x14ac:dyDescent="0.2">
      <c r="B52" s="27" t="s">
        <v>193</v>
      </c>
      <c r="C52" s="23" t="s">
        <v>194</v>
      </c>
      <c r="D52" s="23" t="s">
        <v>130</v>
      </c>
      <c r="E52" s="28">
        <v>42500</v>
      </c>
      <c r="F52" s="25">
        <v>339.89</v>
      </c>
      <c r="G52" s="25">
        <v>0.81</v>
      </c>
    </row>
    <row r="53" spans="2:9" x14ac:dyDescent="0.2">
      <c r="B53" s="27" t="s">
        <v>150</v>
      </c>
      <c r="C53" s="23" t="s">
        <v>151</v>
      </c>
      <c r="D53" s="23" t="s">
        <v>133</v>
      </c>
      <c r="E53" s="28">
        <v>14500</v>
      </c>
      <c r="F53" s="25">
        <v>335.4</v>
      </c>
      <c r="G53" s="25">
        <v>0.79</v>
      </c>
    </row>
    <row r="54" spans="2:9" x14ac:dyDescent="0.2">
      <c r="B54" s="27" t="s">
        <v>283</v>
      </c>
      <c r="C54" s="23" t="s">
        <v>284</v>
      </c>
      <c r="D54" s="23" t="s">
        <v>55</v>
      </c>
      <c r="E54" s="28">
        <v>57727</v>
      </c>
      <c r="F54" s="25">
        <v>328.7</v>
      </c>
      <c r="G54" s="25">
        <v>0.78</v>
      </c>
    </row>
    <row r="55" spans="2:9" x14ac:dyDescent="0.2">
      <c r="B55" s="29" t="s">
        <v>111</v>
      </c>
      <c r="C55" s="30"/>
      <c r="D55" s="30"/>
      <c r="E55" s="31"/>
      <c r="F55" s="32">
        <f>SUM(F7:F54)</f>
        <v>41359.850000000013</v>
      </c>
      <c r="G55" s="32">
        <f>SUM(G7:G54)</f>
        <v>97.950000000000045</v>
      </c>
      <c r="H55" s="14"/>
      <c r="I55" s="14"/>
    </row>
    <row r="56" spans="2:9" x14ac:dyDescent="0.2">
      <c r="B56" s="37" t="s">
        <v>112</v>
      </c>
      <c r="C56" s="37"/>
      <c r="D56" s="37"/>
      <c r="E56" s="38"/>
      <c r="F56" s="39">
        <f>F55</f>
        <v>41359.850000000013</v>
      </c>
      <c r="G56" s="39">
        <f>G55</f>
        <v>97.950000000000045</v>
      </c>
      <c r="H56" s="14"/>
      <c r="I56" s="14"/>
    </row>
    <row r="57" spans="2:9" x14ac:dyDescent="0.2">
      <c r="B57" s="40" t="s">
        <v>113</v>
      </c>
      <c r="C57" s="41"/>
      <c r="D57" s="41"/>
      <c r="E57" s="42"/>
      <c r="F57" s="43"/>
      <c r="G57" s="43"/>
    </row>
    <row r="58" spans="2:9" x14ac:dyDescent="0.2">
      <c r="B58" s="27" t="s">
        <v>113</v>
      </c>
      <c r="C58" s="23"/>
      <c r="D58" s="23"/>
      <c r="E58" s="24"/>
      <c r="F58" s="25">
        <v>779.38</v>
      </c>
      <c r="G58" s="25">
        <v>1.85</v>
      </c>
    </row>
    <row r="59" spans="2:9" x14ac:dyDescent="0.2">
      <c r="B59" s="29" t="s">
        <v>111</v>
      </c>
      <c r="C59" s="30"/>
      <c r="D59" s="30"/>
      <c r="E59" s="31"/>
      <c r="F59" s="32">
        <f>SUM(F57:F58)</f>
        <v>779.38</v>
      </c>
      <c r="G59" s="32">
        <f>SUM(G57:G58)</f>
        <v>1.85</v>
      </c>
      <c r="H59" s="14"/>
      <c r="I59" s="14"/>
    </row>
    <row r="60" spans="2:9" x14ac:dyDescent="0.2">
      <c r="B60" s="34" t="s">
        <v>112</v>
      </c>
      <c r="C60" s="34"/>
      <c r="D60" s="34"/>
      <c r="E60" s="35"/>
      <c r="F60" s="36">
        <f>F59</f>
        <v>779.38</v>
      </c>
      <c r="G60" s="36">
        <f>G59</f>
        <v>1.85</v>
      </c>
      <c r="H60" s="14"/>
      <c r="I60" s="14"/>
    </row>
    <row r="61" spans="2:9" x14ac:dyDescent="0.2">
      <c r="B61" s="44" t="s">
        <v>115</v>
      </c>
      <c r="C61" s="44"/>
      <c r="D61" s="44"/>
      <c r="E61" s="45"/>
      <c r="F61" s="16">
        <f>F62-(+F56+F60)</f>
        <v>76.299999999988358</v>
      </c>
      <c r="G61" s="16">
        <f>G62-(+G56+G60)</f>
        <v>0.19999999999996021</v>
      </c>
      <c r="H61" s="14"/>
      <c r="I61" s="14"/>
    </row>
    <row r="62" spans="2:9" x14ac:dyDescent="0.2">
      <c r="B62" s="44" t="s">
        <v>114</v>
      </c>
      <c r="C62" s="44"/>
      <c r="D62" s="44"/>
      <c r="E62" s="45"/>
      <c r="F62" s="16">
        <v>42215.53</v>
      </c>
      <c r="G62" s="16">
        <v>100</v>
      </c>
      <c r="H62" s="14"/>
      <c r="I62" s="14"/>
    </row>
    <row r="64" spans="2:9" x14ac:dyDescent="0.2">
      <c r="B64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"/>
  <sheetViews>
    <sheetView topLeftCell="A4" workbookViewId="0">
      <selection activeCell="H4" sqref="H1:H10485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13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116</v>
      </c>
      <c r="C7" s="23" t="s">
        <v>117</v>
      </c>
      <c r="D7" s="23" t="s">
        <v>118</v>
      </c>
      <c r="E7" s="28">
        <v>744142</v>
      </c>
      <c r="F7" s="25">
        <v>7892.37</v>
      </c>
      <c r="G7" s="25">
        <v>8.56</v>
      </c>
    </row>
    <row r="8" spans="2:7" x14ac:dyDescent="0.2">
      <c r="B8" s="27" t="s">
        <v>119</v>
      </c>
      <c r="C8" s="23" t="s">
        <v>120</v>
      </c>
      <c r="D8" s="23" t="s">
        <v>87</v>
      </c>
      <c r="E8" s="28">
        <v>639700</v>
      </c>
      <c r="F8" s="25">
        <v>7571.17</v>
      </c>
      <c r="G8" s="25">
        <v>8.2100000000000009</v>
      </c>
    </row>
    <row r="9" spans="2:7" x14ac:dyDescent="0.2">
      <c r="B9" s="27" t="s">
        <v>36</v>
      </c>
      <c r="C9" s="23" t="s">
        <v>37</v>
      </c>
      <c r="D9" s="23" t="s">
        <v>38</v>
      </c>
      <c r="E9" s="28">
        <v>356250</v>
      </c>
      <c r="F9" s="25">
        <v>7319.16</v>
      </c>
      <c r="G9" s="25">
        <v>7.94</v>
      </c>
    </row>
    <row r="10" spans="2:7" x14ac:dyDescent="0.2">
      <c r="B10" s="27" t="s">
        <v>85</v>
      </c>
      <c r="C10" s="23" t="s">
        <v>86</v>
      </c>
      <c r="D10" s="23" t="s">
        <v>87</v>
      </c>
      <c r="E10" s="28">
        <v>1385600</v>
      </c>
      <c r="F10" s="25">
        <v>5439.87</v>
      </c>
      <c r="G10" s="25">
        <v>5.9</v>
      </c>
    </row>
    <row r="11" spans="2:7" x14ac:dyDescent="0.2">
      <c r="B11" s="27" t="s">
        <v>121</v>
      </c>
      <c r="C11" s="23" t="s">
        <v>122</v>
      </c>
      <c r="D11" s="23" t="s">
        <v>118</v>
      </c>
      <c r="E11" s="28">
        <v>165050</v>
      </c>
      <c r="F11" s="25">
        <v>4398.33</v>
      </c>
      <c r="G11" s="25">
        <v>4.7699999999999996</v>
      </c>
    </row>
    <row r="12" spans="2:7" x14ac:dyDescent="0.2">
      <c r="B12" s="27" t="s">
        <v>134</v>
      </c>
      <c r="C12" s="23" t="s">
        <v>135</v>
      </c>
      <c r="D12" s="23" t="s">
        <v>130</v>
      </c>
      <c r="E12" s="28">
        <v>195950</v>
      </c>
      <c r="F12" s="25">
        <v>3769.2</v>
      </c>
      <c r="G12" s="25">
        <v>4.09</v>
      </c>
    </row>
    <row r="13" spans="2:7" x14ac:dyDescent="0.2">
      <c r="B13" s="27" t="s">
        <v>123</v>
      </c>
      <c r="C13" s="23" t="s">
        <v>124</v>
      </c>
      <c r="D13" s="23" t="s">
        <v>87</v>
      </c>
      <c r="E13" s="28">
        <v>223750</v>
      </c>
      <c r="F13" s="25">
        <v>3462.31</v>
      </c>
      <c r="G13" s="25">
        <v>3.76</v>
      </c>
    </row>
    <row r="14" spans="2:7" x14ac:dyDescent="0.2">
      <c r="B14" s="27" t="s">
        <v>141</v>
      </c>
      <c r="C14" s="23" t="s">
        <v>142</v>
      </c>
      <c r="D14" s="23" t="s">
        <v>118</v>
      </c>
      <c r="E14" s="28">
        <v>337000</v>
      </c>
      <c r="F14" s="25">
        <v>2837.37</v>
      </c>
      <c r="G14" s="25">
        <v>3.08</v>
      </c>
    </row>
    <row r="15" spans="2:7" x14ac:dyDescent="0.2">
      <c r="B15" s="27" t="s">
        <v>125</v>
      </c>
      <c r="C15" s="23" t="s">
        <v>126</v>
      </c>
      <c r="D15" s="23" t="s">
        <v>127</v>
      </c>
      <c r="E15" s="28">
        <v>129800</v>
      </c>
      <c r="F15" s="25">
        <v>2688.55</v>
      </c>
      <c r="G15" s="25">
        <v>2.92</v>
      </c>
    </row>
    <row r="16" spans="2:7" x14ac:dyDescent="0.2">
      <c r="B16" s="27" t="s">
        <v>128</v>
      </c>
      <c r="C16" s="23" t="s">
        <v>129</v>
      </c>
      <c r="D16" s="23" t="s">
        <v>130</v>
      </c>
      <c r="E16" s="28">
        <v>79700</v>
      </c>
      <c r="F16" s="25">
        <v>2637.27</v>
      </c>
      <c r="G16" s="25">
        <v>2.86</v>
      </c>
    </row>
    <row r="17" spans="2:7" x14ac:dyDescent="0.2">
      <c r="B17" s="27" t="s">
        <v>100</v>
      </c>
      <c r="C17" s="23" t="s">
        <v>101</v>
      </c>
      <c r="D17" s="23" t="s">
        <v>102</v>
      </c>
      <c r="E17" s="28">
        <v>588316</v>
      </c>
      <c r="F17" s="25">
        <v>2551.8200000000002</v>
      </c>
      <c r="G17" s="25">
        <v>2.77</v>
      </c>
    </row>
    <row r="18" spans="2:7" x14ac:dyDescent="0.2">
      <c r="B18" s="27" t="s">
        <v>136</v>
      </c>
      <c r="C18" s="23" t="s">
        <v>137</v>
      </c>
      <c r="D18" s="23" t="s">
        <v>138</v>
      </c>
      <c r="E18" s="28">
        <v>33400</v>
      </c>
      <c r="F18" s="25">
        <v>2326.36</v>
      </c>
      <c r="G18" s="25">
        <v>2.52</v>
      </c>
    </row>
    <row r="19" spans="2:7" x14ac:dyDescent="0.2">
      <c r="B19" s="27" t="s">
        <v>139</v>
      </c>
      <c r="C19" s="23" t="s">
        <v>140</v>
      </c>
      <c r="D19" s="23" t="s">
        <v>87</v>
      </c>
      <c r="E19" s="28">
        <v>459200</v>
      </c>
      <c r="F19" s="25">
        <v>2261.56</v>
      </c>
      <c r="G19" s="25">
        <v>2.4500000000000002</v>
      </c>
    </row>
    <row r="20" spans="2:7" x14ac:dyDescent="0.2">
      <c r="B20" s="27" t="s">
        <v>92</v>
      </c>
      <c r="C20" s="23" t="s">
        <v>93</v>
      </c>
      <c r="D20" s="23" t="s">
        <v>44</v>
      </c>
      <c r="E20" s="28">
        <v>46152</v>
      </c>
      <c r="F20" s="25">
        <v>2111.02</v>
      </c>
      <c r="G20" s="25">
        <v>2.29</v>
      </c>
    </row>
    <row r="21" spans="2:7" x14ac:dyDescent="0.2">
      <c r="B21" s="27" t="s">
        <v>131</v>
      </c>
      <c r="C21" s="23" t="s">
        <v>132</v>
      </c>
      <c r="D21" s="23" t="s">
        <v>133</v>
      </c>
      <c r="E21" s="28">
        <v>56981</v>
      </c>
      <c r="F21" s="25">
        <v>1790.37</v>
      </c>
      <c r="G21" s="25">
        <v>1.94</v>
      </c>
    </row>
    <row r="22" spans="2:7" x14ac:dyDescent="0.2">
      <c r="B22" s="27" t="s">
        <v>58</v>
      </c>
      <c r="C22" s="23" t="s">
        <v>59</v>
      </c>
      <c r="D22" s="23" t="s">
        <v>60</v>
      </c>
      <c r="E22" s="28">
        <v>241200</v>
      </c>
      <c r="F22" s="25">
        <v>1701.79</v>
      </c>
      <c r="G22" s="25">
        <v>1.85</v>
      </c>
    </row>
    <row r="23" spans="2:7" x14ac:dyDescent="0.2">
      <c r="B23" s="27" t="s">
        <v>152</v>
      </c>
      <c r="C23" s="23" t="s">
        <v>153</v>
      </c>
      <c r="D23" s="23" t="s">
        <v>127</v>
      </c>
      <c r="E23" s="28">
        <v>8400</v>
      </c>
      <c r="F23" s="25">
        <v>1441.57</v>
      </c>
      <c r="G23" s="25">
        <v>1.56</v>
      </c>
    </row>
    <row r="24" spans="2:7" x14ac:dyDescent="0.2">
      <c r="B24" s="27" t="s">
        <v>33</v>
      </c>
      <c r="C24" s="23" t="s">
        <v>34</v>
      </c>
      <c r="D24" s="23" t="s">
        <v>35</v>
      </c>
      <c r="E24" s="28">
        <v>145685</v>
      </c>
      <c r="F24" s="25">
        <v>1354.14</v>
      </c>
      <c r="G24" s="25">
        <v>1.47</v>
      </c>
    </row>
    <row r="25" spans="2:7" x14ac:dyDescent="0.2">
      <c r="B25" s="27" t="s">
        <v>167</v>
      </c>
      <c r="C25" s="23" t="s">
        <v>168</v>
      </c>
      <c r="D25" s="23" t="s">
        <v>130</v>
      </c>
      <c r="E25" s="28">
        <v>225000</v>
      </c>
      <c r="F25" s="25">
        <v>1326.94</v>
      </c>
      <c r="G25" s="25">
        <v>1.44</v>
      </c>
    </row>
    <row r="26" spans="2:7" x14ac:dyDescent="0.2">
      <c r="B26" s="27" t="s">
        <v>228</v>
      </c>
      <c r="C26" s="23" t="s">
        <v>229</v>
      </c>
      <c r="D26" s="23" t="s">
        <v>133</v>
      </c>
      <c r="E26" s="28">
        <v>26400</v>
      </c>
      <c r="F26" s="25">
        <v>1290.5999999999999</v>
      </c>
      <c r="G26" s="25">
        <v>1.4</v>
      </c>
    </row>
    <row r="27" spans="2:7" x14ac:dyDescent="0.2">
      <c r="B27" s="27" t="s">
        <v>154</v>
      </c>
      <c r="C27" s="23" t="s">
        <v>155</v>
      </c>
      <c r="D27" s="23" t="s">
        <v>60</v>
      </c>
      <c r="E27" s="28">
        <v>109700</v>
      </c>
      <c r="F27" s="25">
        <v>1278.83</v>
      </c>
      <c r="G27" s="25">
        <v>1.39</v>
      </c>
    </row>
    <row r="28" spans="2:7" x14ac:dyDescent="0.2">
      <c r="B28" s="27" t="s">
        <v>217</v>
      </c>
      <c r="C28" s="23" t="s">
        <v>218</v>
      </c>
      <c r="D28" s="23" t="s">
        <v>138</v>
      </c>
      <c r="E28" s="28">
        <v>43000</v>
      </c>
      <c r="F28" s="25">
        <v>1241.3699999999999</v>
      </c>
      <c r="G28" s="25">
        <v>1.35</v>
      </c>
    </row>
    <row r="29" spans="2:7" x14ac:dyDescent="0.2">
      <c r="B29" s="27" t="s">
        <v>252</v>
      </c>
      <c r="C29" s="23" t="s">
        <v>253</v>
      </c>
      <c r="D29" s="23" t="s">
        <v>127</v>
      </c>
      <c r="E29" s="28">
        <v>240000</v>
      </c>
      <c r="F29" s="25">
        <v>1235.1600000000001</v>
      </c>
      <c r="G29" s="25">
        <v>1.34</v>
      </c>
    </row>
    <row r="30" spans="2:7" x14ac:dyDescent="0.2">
      <c r="B30" s="27" t="s">
        <v>146</v>
      </c>
      <c r="C30" s="23" t="s">
        <v>147</v>
      </c>
      <c r="D30" s="23" t="s">
        <v>138</v>
      </c>
      <c r="E30" s="28">
        <v>207000</v>
      </c>
      <c r="F30" s="25">
        <v>1229.58</v>
      </c>
      <c r="G30" s="25">
        <v>1.33</v>
      </c>
    </row>
    <row r="31" spans="2:7" x14ac:dyDescent="0.2">
      <c r="B31" s="27" t="s">
        <v>185</v>
      </c>
      <c r="C31" s="23" t="s">
        <v>186</v>
      </c>
      <c r="D31" s="23" t="s">
        <v>127</v>
      </c>
      <c r="E31" s="28">
        <v>52100</v>
      </c>
      <c r="F31" s="25">
        <v>1152.19</v>
      </c>
      <c r="G31" s="25">
        <v>1.25</v>
      </c>
    </row>
    <row r="32" spans="2:7" x14ac:dyDescent="0.2">
      <c r="B32" s="27" t="s">
        <v>148</v>
      </c>
      <c r="C32" s="23" t="s">
        <v>149</v>
      </c>
      <c r="D32" s="23" t="s">
        <v>133</v>
      </c>
      <c r="E32" s="28">
        <v>152000</v>
      </c>
      <c r="F32" s="25">
        <v>1146.8399999999999</v>
      </c>
      <c r="G32" s="25">
        <v>1.24</v>
      </c>
    </row>
    <row r="33" spans="2:7" x14ac:dyDescent="0.2">
      <c r="B33" s="27" t="s">
        <v>158</v>
      </c>
      <c r="C33" s="23" t="s">
        <v>159</v>
      </c>
      <c r="D33" s="23" t="s">
        <v>127</v>
      </c>
      <c r="E33" s="28">
        <v>32094</v>
      </c>
      <c r="F33" s="25">
        <v>1114.7</v>
      </c>
      <c r="G33" s="25">
        <v>1.21</v>
      </c>
    </row>
    <row r="34" spans="2:7" x14ac:dyDescent="0.2">
      <c r="B34" s="27" t="s">
        <v>250</v>
      </c>
      <c r="C34" s="23" t="s">
        <v>251</v>
      </c>
      <c r="D34" s="23" t="s">
        <v>127</v>
      </c>
      <c r="E34" s="28">
        <v>221324</v>
      </c>
      <c r="F34" s="25">
        <v>1090.8</v>
      </c>
      <c r="G34" s="25">
        <v>1.18</v>
      </c>
    </row>
    <row r="35" spans="2:7" x14ac:dyDescent="0.2">
      <c r="B35" s="27" t="s">
        <v>77</v>
      </c>
      <c r="C35" s="23" t="s">
        <v>78</v>
      </c>
      <c r="D35" s="23" t="s">
        <v>44</v>
      </c>
      <c r="E35" s="28">
        <v>4875</v>
      </c>
      <c r="F35" s="25">
        <v>1057.6099999999999</v>
      </c>
      <c r="G35" s="25">
        <v>1.1499999999999999</v>
      </c>
    </row>
    <row r="36" spans="2:7" x14ac:dyDescent="0.2">
      <c r="B36" s="27" t="s">
        <v>189</v>
      </c>
      <c r="C36" s="23" t="s">
        <v>190</v>
      </c>
      <c r="D36" s="23" t="s">
        <v>130</v>
      </c>
      <c r="E36" s="28">
        <v>84786</v>
      </c>
      <c r="F36" s="25">
        <v>1047.95</v>
      </c>
      <c r="G36" s="25">
        <v>1.1399999999999999</v>
      </c>
    </row>
    <row r="37" spans="2:7" x14ac:dyDescent="0.2">
      <c r="B37" s="27" t="s">
        <v>254</v>
      </c>
      <c r="C37" s="23" t="s">
        <v>255</v>
      </c>
      <c r="D37" s="23" t="s">
        <v>227</v>
      </c>
      <c r="E37" s="28">
        <v>45300</v>
      </c>
      <c r="F37" s="25">
        <v>1014.67</v>
      </c>
      <c r="G37" s="25">
        <v>1.1000000000000001</v>
      </c>
    </row>
    <row r="38" spans="2:7" x14ac:dyDescent="0.2">
      <c r="B38" s="27" t="s">
        <v>285</v>
      </c>
      <c r="C38" s="23" t="s">
        <v>286</v>
      </c>
      <c r="D38" s="23" t="s">
        <v>127</v>
      </c>
      <c r="E38" s="28">
        <v>600500</v>
      </c>
      <c r="F38" s="25">
        <v>992.33</v>
      </c>
      <c r="G38" s="25">
        <v>1.08</v>
      </c>
    </row>
    <row r="39" spans="2:7" x14ac:dyDescent="0.2">
      <c r="B39" s="27" t="s">
        <v>160</v>
      </c>
      <c r="C39" s="23" t="s">
        <v>161</v>
      </c>
      <c r="D39" s="23" t="s">
        <v>138</v>
      </c>
      <c r="E39" s="28">
        <v>33500</v>
      </c>
      <c r="F39" s="25">
        <v>937.93</v>
      </c>
      <c r="G39" s="25">
        <v>1.02</v>
      </c>
    </row>
    <row r="40" spans="2:7" x14ac:dyDescent="0.2">
      <c r="B40" s="27" t="s">
        <v>165</v>
      </c>
      <c r="C40" s="23" t="s">
        <v>166</v>
      </c>
      <c r="D40" s="23" t="s">
        <v>133</v>
      </c>
      <c r="E40" s="28">
        <v>6035</v>
      </c>
      <c r="F40" s="25">
        <v>923.24</v>
      </c>
      <c r="G40" s="25">
        <v>1</v>
      </c>
    </row>
    <row r="41" spans="2:7" x14ac:dyDescent="0.2">
      <c r="B41" s="27" t="s">
        <v>169</v>
      </c>
      <c r="C41" s="23" t="s">
        <v>170</v>
      </c>
      <c r="D41" s="23" t="s">
        <v>133</v>
      </c>
      <c r="E41" s="28">
        <v>32207</v>
      </c>
      <c r="F41" s="25">
        <v>848.43</v>
      </c>
      <c r="G41" s="25">
        <v>0.92</v>
      </c>
    </row>
    <row r="42" spans="2:7" x14ac:dyDescent="0.2">
      <c r="B42" s="27" t="s">
        <v>183</v>
      </c>
      <c r="C42" s="23" t="s">
        <v>184</v>
      </c>
      <c r="D42" s="23" t="s">
        <v>60</v>
      </c>
      <c r="E42" s="28">
        <v>39000</v>
      </c>
      <c r="F42" s="25">
        <v>827</v>
      </c>
      <c r="G42" s="25">
        <v>0.9</v>
      </c>
    </row>
    <row r="43" spans="2:7" x14ac:dyDescent="0.2">
      <c r="B43" s="27" t="s">
        <v>203</v>
      </c>
      <c r="C43" s="23" t="s">
        <v>204</v>
      </c>
      <c r="D43" s="23" t="s">
        <v>133</v>
      </c>
      <c r="E43" s="28">
        <v>164500</v>
      </c>
      <c r="F43" s="25">
        <v>766.16</v>
      </c>
      <c r="G43" s="25">
        <v>0.83</v>
      </c>
    </row>
    <row r="44" spans="2:7" x14ac:dyDescent="0.2">
      <c r="B44" s="27" t="s">
        <v>83</v>
      </c>
      <c r="C44" s="23" t="s">
        <v>84</v>
      </c>
      <c r="D44" s="23" t="s">
        <v>66</v>
      </c>
      <c r="E44" s="28">
        <v>326000</v>
      </c>
      <c r="F44" s="25">
        <v>752.9</v>
      </c>
      <c r="G44" s="25">
        <v>0.82</v>
      </c>
    </row>
    <row r="45" spans="2:7" x14ac:dyDescent="0.2">
      <c r="B45" s="27" t="s">
        <v>176</v>
      </c>
      <c r="C45" s="23" t="s">
        <v>177</v>
      </c>
      <c r="D45" s="23" t="s">
        <v>178</v>
      </c>
      <c r="E45" s="28">
        <v>32500</v>
      </c>
      <c r="F45" s="25">
        <v>746.48</v>
      </c>
      <c r="G45" s="25">
        <v>0.81</v>
      </c>
    </row>
    <row r="46" spans="2:7" x14ac:dyDescent="0.2">
      <c r="B46" s="27" t="s">
        <v>64</v>
      </c>
      <c r="C46" s="23" t="s">
        <v>65</v>
      </c>
      <c r="D46" s="23" t="s">
        <v>66</v>
      </c>
      <c r="E46" s="28">
        <v>243220</v>
      </c>
      <c r="F46" s="25">
        <v>721.39</v>
      </c>
      <c r="G46" s="25">
        <v>0.78</v>
      </c>
    </row>
    <row r="47" spans="2:7" x14ac:dyDescent="0.2">
      <c r="B47" s="27" t="s">
        <v>67</v>
      </c>
      <c r="C47" s="23" t="s">
        <v>68</v>
      </c>
      <c r="D47" s="23" t="s">
        <v>66</v>
      </c>
      <c r="E47" s="28">
        <v>145000</v>
      </c>
      <c r="F47" s="25">
        <v>583.26</v>
      </c>
      <c r="G47" s="25">
        <v>0.63</v>
      </c>
    </row>
    <row r="48" spans="2:7" x14ac:dyDescent="0.2">
      <c r="B48" s="27" t="s">
        <v>209</v>
      </c>
      <c r="C48" s="23" t="s">
        <v>210</v>
      </c>
      <c r="D48" s="23" t="s">
        <v>127</v>
      </c>
      <c r="E48" s="28">
        <v>22000</v>
      </c>
      <c r="F48" s="25">
        <v>478.45</v>
      </c>
      <c r="G48" s="25">
        <v>0.52</v>
      </c>
    </row>
    <row r="49" spans="2:9" x14ac:dyDescent="0.2">
      <c r="B49" s="27" t="s">
        <v>238</v>
      </c>
      <c r="C49" s="23" t="s">
        <v>239</v>
      </c>
      <c r="D49" s="23" t="s">
        <v>60</v>
      </c>
      <c r="E49" s="28">
        <v>100000</v>
      </c>
      <c r="F49" s="25">
        <v>299.3</v>
      </c>
      <c r="G49" s="25">
        <v>0.32</v>
      </c>
    </row>
    <row r="50" spans="2:9" x14ac:dyDescent="0.2">
      <c r="B50" s="29" t="s">
        <v>111</v>
      </c>
      <c r="C50" s="30"/>
      <c r="D50" s="30"/>
      <c r="E50" s="31"/>
      <c r="F50" s="32">
        <f>SUM(F7:F49)</f>
        <v>87658.339999999982</v>
      </c>
      <c r="G50" s="32">
        <f>SUM(G7:G49)</f>
        <v>95.089999999999989</v>
      </c>
      <c r="H50" s="14"/>
      <c r="I50" s="14"/>
    </row>
    <row r="51" spans="2:9" x14ac:dyDescent="0.2">
      <c r="B51" s="37" t="s">
        <v>112</v>
      </c>
      <c r="C51" s="37"/>
      <c r="D51" s="37"/>
      <c r="E51" s="38"/>
      <c r="F51" s="39">
        <f>F50</f>
        <v>87658.339999999982</v>
      </c>
      <c r="G51" s="39">
        <f>G50</f>
        <v>95.089999999999989</v>
      </c>
      <c r="H51" s="14"/>
      <c r="I51" s="14"/>
    </row>
    <row r="52" spans="2:9" x14ac:dyDescent="0.2">
      <c r="B52" s="40" t="s">
        <v>113</v>
      </c>
      <c r="C52" s="41"/>
      <c r="D52" s="41"/>
      <c r="E52" s="42"/>
      <c r="F52" s="43"/>
      <c r="G52" s="43"/>
    </row>
    <row r="53" spans="2:9" x14ac:dyDescent="0.2">
      <c r="B53" s="27" t="s">
        <v>113</v>
      </c>
      <c r="C53" s="23"/>
      <c r="D53" s="23"/>
      <c r="E53" s="24"/>
      <c r="F53" s="25">
        <v>4126.3599999999997</v>
      </c>
      <c r="G53" s="25">
        <v>4.47</v>
      </c>
    </row>
    <row r="54" spans="2:9" x14ac:dyDescent="0.2">
      <c r="B54" s="29" t="s">
        <v>111</v>
      </c>
      <c r="C54" s="30"/>
      <c r="D54" s="30"/>
      <c r="E54" s="31"/>
      <c r="F54" s="32">
        <f>SUM(F52:F53)</f>
        <v>4126.3599999999997</v>
      </c>
      <c r="G54" s="32">
        <f>SUM(G52:G53)</f>
        <v>4.47</v>
      </c>
      <c r="H54" s="14"/>
      <c r="I54" s="14"/>
    </row>
    <row r="55" spans="2:9" x14ac:dyDescent="0.2">
      <c r="B55" s="34" t="s">
        <v>112</v>
      </c>
      <c r="C55" s="34"/>
      <c r="D55" s="34"/>
      <c r="E55" s="35"/>
      <c r="F55" s="36">
        <f>F54</f>
        <v>4126.3599999999997</v>
      </c>
      <c r="G55" s="36">
        <f>G54</f>
        <v>4.47</v>
      </c>
      <c r="H55" s="14"/>
      <c r="I55" s="14"/>
    </row>
    <row r="56" spans="2:9" x14ac:dyDescent="0.2">
      <c r="B56" s="44" t="s">
        <v>115</v>
      </c>
      <c r="C56" s="44"/>
      <c r="D56" s="44"/>
      <c r="E56" s="45"/>
      <c r="F56" s="16">
        <f>F57-(+F51+F55)</f>
        <v>608.02000000001863</v>
      </c>
      <c r="G56" s="16">
        <f>G57-(+G51+G55)</f>
        <v>0.44000000000001194</v>
      </c>
      <c r="H56" s="14"/>
      <c r="I56" s="14"/>
    </row>
    <row r="57" spans="2:9" x14ac:dyDescent="0.2">
      <c r="B57" s="44" t="s">
        <v>114</v>
      </c>
      <c r="C57" s="44"/>
      <c r="D57" s="44"/>
      <c r="E57" s="45"/>
      <c r="F57" s="16">
        <v>92392.72</v>
      </c>
      <c r="G57" s="16">
        <v>100</v>
      </c>
      <c r="H57" s="14"/>
      <c r="I57" s="14"/>
    </row>
    <row r="59" spans="2:9" x14ac:dyDescent="0.2">
      <c r="B59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1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285156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7" ht="21" customHeight="1" x14ac:dyDescent="0.2">
      <c r="B1" s="61" t="s">
        <v>14</v>
      </c>
      <c r="C1" s="62"/>
      <c r="D1" s="62"/>
      <c r="E1" s="62"/>
      <c r="F1" s="62"/>
      <c r="G1" s="62"/>
    </row>
    <row r="3" spans="2:7" ht="16.5" thickBot="1" x14ac:dyDescent="0.25">
      <c r="B3" s="2" t="s">
        <v>7</v>
      </c>
      <c r="C3" s="3"/>
      <c r="D3" s="4"/>
      <c r="E3" s="5"/>
      <c r="F3" s="6"/>
      <c r="G3" s="6"/>
    </row>
    <row r="4" spans="2:7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7" x14ac:dyDescent="0.2">
      <c r="B5" s="17" t="s">
        <v>31</v>
      </c>
      <c r="C5" s="18"/>
      <c r="D5" s="18"/>
      <c r="E5" s="19"/>
      <c r="F5" s="20"/>
      <c r="G5" s="20"/>
    </row>
    <row r="6" spans="2:7" x14ac:dyDescent="0.2">
      <c r="B6" s="22" t="s">
        <v>32</v>
      </c>
      <c r="C6" s="23"/>
      <c r="D6" s="23"/>
      <c r="E6" s="24"/>
      <c r="F6" s="25"/>
      <c r="G6" s="25"/>
    </row>
    <row r="7" spans="2:7" x14ac:dyDescent="0.2">
      <c r="B7" s="27" t="s">
        <v>287</v>
      </c>
      <c r="C7" s="23" t="s">
        <v>288</v>
      </c>
      <c r="D7" s="23" t="s">
        <v>237</v>
      </c>
      <c r="E7" s="28">
        <v>207729</v>
      </c>
      <c r="F7" s="25">
        <v>1535.12</v>
      </c>
      <c r="G7" s="25">
        <v>3.03</v>
      </c>
    </row>
    <row r="8" spans="2:7" x14ac:dyDescent="0.2">
      <c r="B8" s="27" t="s">
        <v>171</v>
      </c>
      <c r="C8" s="23" t="s">
        <v>172</v>
      </c>
      <c r="D8" s="23" t="s">
        <v>173</v>
      </c>
      <c r="E8" s="28">
        <v>63348</v>
      </c>
      <c r="F8" s="25">
        <v>1419.98</v>
      </c>
      <c r="G8" s="25">
        <v>2.8</v>
      </c>
    </row>
    <row r="9" spans="2:7" x14ac:dyDescent="0.2">
      <c r="B9" s="27" t="s">
        <v>289</v>
      </c>
      <c r="C9" s="23" t="s">
        <v>290</v>
      </c>
      <c r="D9" s="23" t="s">
        <v>164</v>
      </c>
      <c r="E9" s="28">
        <v>503518</v>
      </c>
      <c r="F9" s="25">
        <v>1410.35</v>
      </c>
      <c r="G9" s="25">
        <v>2.78</v>
      </c>
    </row>
    <row r="10" spans="2:7" x14ac:dyDescent="0.2">
      <c r="B10" s="27" t="s">
        <v>96</v>
      </c>
      <c r="C10" s="23" t="s">
        <v>97</v>
      </c>
      <c r="D10" s="23" t="s">
        <v>60</v>
      </c>
      <c r="E10" s="28">
        <v>14909</v>
      </c>
      <c r="F10" s="25">
        <v>1386.43</v>
      </c>
      <c r="G10" s="25">
        <v>2.73</v>
      </c>
    </row>
    <row r="11" spans="2:7" x14ac:dyDescent="0.2">
      <c r="B11" s="27" t="s">
        <v>156</v>
      </c>
      <c r="C11" s="23" t="s">
        <v>157</v>
      </c>
      <c r="D11" s="23" t="s">
        <v>130</v>
      </c>
      <c r="E11" s="28">
        <v>81500</v>
      </c>
      <c r="F11" s="25">
        <v>1386.32</v>
      </c>
      <c r="G11" s="25">
        <v>2.73</v>
      </c>
    </row>
    <row r="12" spans="2:7" x14ac:dyDescent="0.2">
      <c r="B12" s="27" t="s">
        <v>199</v>
      </c>
      <c r="C12" s="23" t="s">
        <v>200</v>
      </c>
      <c r="D12" s="23" t="s">
        <v>63</v>
      </c>
      <c r="E12" s="28">
        <v>550971</v>
      </c>
      <c r="F12" s="25">
        <v>1368.89</v>
      </c>
      <c r="G12" s="25">
        <v>2.7</v>
      </c>
    </row>
    <row r="13" spans="2:7" x14ac:dyDescent="0.2">
      <c r="B13" s="27" t="s">
        <v>291</v>
      </c>
      <c r="C13" s="23" t="s">
        <v>292</v>
      </c>
      <c r="D13" s="23" t="s">
        <v>173</v>
      </c>
      <c r="E13" s="28">
        <v>182175</v>
      </c>
      <c r="F13" s="25">
        <v>1352.19</v>
      </c>
      <c r="G13" s="25">
        <v>2.66</v>
      </c>
    </row>
    <row r="14" spans="2:7" x14ac:dyDescent="0.2">
      <c r="B14" s="27" t="s">
        <v>53</v>
      </c>
      <c r="C14" s="23" t="s">
        <v>54</v>
      </c>
      <c r="D14" s="23" t="s">
        <v>55</v>
      </c>
      <c r="E14" s="28">
        <v>520958</v>
      </c>
      <c r="F14" s="25">
        <v>1304.22</v>
      </c>
      <c r="G14" s="25">
        <v>2.57</v>
      </c>
    </row>
    <row r="15" spans="2:7" x14ac:dyDescent="0.2">
      <c r="B15" s="27" t="s">
        <v>187</v>
      </c>
      <c r="C15" s="23" t="s">
        <v>188</v>
      </c>
      <c r="D15" s="23" t="s">
        <v>130</v>
      </c>
      <c r="E15" s="28">
        <v>283000</v>
      </c>
      <c r="F15" s="25">
        <v>1294.02</v>
      </c>
      <c r="G15" s="25">
        <v>2.5499999999999998</v>
      </c>
    </row>
    <row r="16" spans="2:7" x14ac:dyDescent="0.2">
      <c r="B16" s="27" t="s">
        <v>293</v>
      </c>
      <c r="C16" s="23" t="s">
        <v>294</v>
      </c>
      <c r="D16" s="23" t="s">
        <v>130</v>
      </c>
      <c r="E16" s="28">
        <v>263016</v>
      </c>
      <c r="F16" s="25">
        <v>1270.76</v>
      </c>
      <c r="G16" s="25">
        <v>2.5</v>
      </c>
    </row>
    <row r="17" spans="2:7" x14ac:dyDescent="0.2">
      <c r="B17" s="27" t="s">
        <v>277</v>
      </c>
      <c r="C17" s="23" t="s">
        <v>278</v>
      </c>
      <c r="D17" s="23" t="s">
        <v>38</v>
      </c>
      <c r="E17" s="28">
        <v>185506</v>
      </c>
      <c r="F17" s="25">
        <v>1224.06</v>
      </c>
      <c r="G17" s="25">
        <v>2.41</v>
      </c>
    </row>
    <row r="18" spans="2:7" x14ac:dyDescent="0.2">
      <c r="B18" s="27" t="s">
        <v>211</v>
      </c>
      <c r="C18" s="23" t="s">
        <v>212</v>
      </c>
      <c r="D18" s="23" t="s">
        <v>130</v>
      </c>
      <c r="E18" s="28">
        <v>624000</v>
      </c>
      <c r="F18" s="25">
        <v>1193.71</v>
      </c>
      <c r="G18" s="25">
        <v>2.35</v>
      </c>
    </row>
    <row r="19" spans="2:7" x14ac:dyDescent="0.2">
      <c r="B19" s="27" t="s">
        <v>295</v>
      </c>
      <c r="C19" s="23" t="s">
        <v>296</v>
      </c>
      <c r="D19" s="23" t="s">
        <v>130</v>
      </c>
      <c r="E19" s="28">
        <v>181911</v>
      </c>
      <c r="F19" s="25">
        <v>1178.69</v>
      </c>
      <c r="G19" s="25">
        <v>2.3199999999999998</v>
      </c>
    </row>
    <row r="20" spans="2:7" x14ac:dyDescent="0.2">
      <c r="B20" s="27" t="s">
        <v>297</v>
      </c>
      <c r="C20" s="23" t="s">
        <v>298</v>
      </c>
      <c r="D20" s="23" t="s">
        <v>178</v>
      </c>
      <c r="E20" s="28">
        <v>58200</v>
      </c>
      <c r="F20" s="25">
        <v>1145.0899999999999</v>
      </c>
      <c r="G20" s="25">
        <v>2.2599999999999998</v>
      </c>
    </row>
    <row r="21" spans="2:7" x14ac:dyDescent="0.2">
      <c r="B21" s="27" t="s">
        <v>50</v>
      </c>
      <c r="C21" s="23" t="s">
        <v>51</v>
      </c>
      <c r="D21" s="23" t="s">
        <v>52</v>
      </c>
      <c r="E21" s="28">
        <v>143353</v>
      </c>
      <c r="F21" s="25">
        <v>1136.93</v>
      </c>
      <c r="G21" s="25">
        <v>2.2400000000000002</v>
      </c>
    </row>
    <row r="22" spans="2:7" x14ac:dyDescent="0.2">
      <c r="B22" s="27" t="s">
        <v>299</v>
      </c>
      <c r="C22" s="23" t="s">
        <v>300</v>
      </c>
      <c r="D22" s="23" t="s">
        <v>301</v>
      </c>
      <c r="E22" s="28">
        <v>3690000</v>
      </c>
      <c r="F22" s="25">
        <v>1119.92</v>
      </c>
      <c r="G22" s="25">
        <v>2.21</v>
      </c>
    </row>
    <row r="23" spans="2:7" x14ac:dyDescent="0.2">
      <c r="B23" s="27" t="s">
        <v>174</v>
      </c>
      <c r="C23" s="23" t="s">
        <v>175</v>
      </c>
      <c r="D23" s="23" t="s">
        <v>173</v>
      </c>
      <c r="E23" s="28">
        <v>18444</v>
      </c>
      <c r="F23" s="25">
        <v>1108.23</v>
      </c>
      <c r="G23" s="25">
        <v>2.1800000000000002</v>
      </c>
    </row>
    <row r="24" spans="2:7" x14ac:dyDescent="0.2">
      <c r="B24" s="27" t="s">
        <v>221</v>
      </c>
      <c r="C24" s="23" t="s">
        <v>222</v>
      </c>
      <c r="D24" s="23" t="s">
        <v>118</v>
      </c>
      <c r="E24" s="28">
        <v>94845</v>
      </c>
      <c r="F24" s="25">
        <v>1098.92</v>
      </c>
      <c r="G24" s="25">
        <v>2.17</v>
      </c>
    </row>
    <row r="25" spans="2:7" x14ac:dyDescent="0.2">
      <c r="B25" s="27" t="s">
        <v>302</v>
      </c>
      <c r="C25" s="23" t="s">
        <v>303</v>
      </c>
      <c r="D25" s="23" t="s">
        <v>173</v>
      </c>
      <c r="E25" s="28">
        <v>799870</v>
      </c>
      <c r="F25" s="25">
        <v>1097.42</v>
      </c>
      <c r="G25" s="25">
        <v>2.16</v>
      </c>
    </row>
    <row r="26" spans="2:7" x14ac:dyDescent="0.2">
      <c r="B26" s="27" t="s">
        <v>304</v>
      </c>
      <c r="C26" s="23" t="s">
        <v>305</v>
      </c>
      <c r="D26" s="23" t="s">
        <v>63</v>
      </c>
      <c r="E26" s="28">
        <v>209466</v>
      </c>
      <c r="F26" s="25">
        <v>1094.3599999999999</v>
      </c>
      <c r="G26" s="25">
        <v>2.16</v>
      </c>
    </row>
    <row r="27" spans="2:7" x14ac:dyDescent="0.2">
      <c r="B27" s="27" t="s">
        <v>306</v>
      </c>
      <c r="C27" s="23" t="s">
        <v>307</v>
      </c>
      <c r="D27" s="23" t="s">
        <v>227</v>
      </c>
      <c r="E27" s="28">
        <v>55826</v>
      </c>
      <c r="F27" s="25">
        <v>1078.42</v>
      </c>
      <c r="G27" s="25">
        <v>2.13</v>
      </c>
    </row>
    <row r="28" spans="2:7" x14ac:dyDescent="0.2">
      <c r="B28" s="27" t="s">
        <v>308</v>
      </c>
      <c r="C28" s="23" t="s">
        <v>309</v>
      </c>
      <c r="D28" s="23" t="s">
        <v>133</v>
      </c>
      <c r="E28" s="28">
        <v>103016</v>
      </c>
      <c r="F28" s="25">
        <v>1039.1199999999999</v>
      </c>
      <c r="G28" s="25">
        <v>2.0499999999999998</v>
      </c>
    </row>
    <row r="29" spans="2:7" x14ac:dyDescent="0.2">
      <c r="B29" s="27" t="s">
        <v>268</v>
      </c>
      <c r="C29" s="23" t="s">
        <v>269</v>
      </c>
      <c r="D29" s="23" t="s">
        <v>130</v>
      </c>
      <c r="E29" s="28">
        <v>79496</v>
      </c>
      <c r="F29" s="25">
        <v>1030.94</v>
      </c>
      <c r="G29" s="25">
        <v>2.0299999999999998</v>
      </c>
    </row>
    <row r="30" spans="2:7" x14ac:dyDescent="0.2">
      <c r="B30" s="27" t="s">
        <v>310</v>
      </c>
      <c r="C30" s="23" t="s">
        <v>311</v>
      </c>
      <c r="D30" s="23" t="s">
        <v>130</v>
      </c>
      <c r="E30" s="28">
        <v>208142</v>
      </c>
      <c r="F30" s="25">
        <v>1026.8699999999999</v>
      </c>
      <c r="G30" s="25">
        <v>2.02</v>
      </c>
    </row>
    <row r="31" spans="2:7" x14ac:dyDescent="0.2">
      <c r="B31" s="27" t="s">
        <v>312</v>
      </c>
      <c r="C31" s="23" t="s">
        <v>313</v>
      </c>
      <c r="D31" s="23" t="s">
        <v>173</v>
      </c>
      <c r="E31" s="28">
        <v>62184</v>
      </c>
      <c r="F31" s="25">
        <v>1022.12</v>
      </c>
      <c r="G31" s="25">
        <v>2.0099999999999998</v>
      </c>
    </row>
    <row r="32" spans="2:7" x14ac:dyDescent="0.2">
      <c r="B32" s="27" t="s">
        <v>314</v>
      </c>
      <c r="C32" s="23" t="s">
        <v>315</v>
      </c>
      <c r="D32" s="23" t="s">
        <v>133</v>
      </c>
      <c r="E32" s="28">
        <v>307500</v>
      </c>
      <c r="F32" s="25">
        <v>982.16</v>
      </c>
      <c r="G32" s="25">
        <v>1.94</v>
      </c>
    </row>
    <row r="33" spans="2:7" x14ac:dyDescent="0.2">
      <c r="B33" s="27" t="s">
        <v>75</v>
      </c>
      <c r="C33" s="23" t="s">
        <v>76</v>
      </c>
      <c r="D33" s="23" t="s">
        <v>60</v>
      </c>
      <c r="E33" s="28">
        <v>44671</v>
      </c>
      <c r="F33" s="25">
        <v>974.01</v>
      </c>
      <c r="G33" s="25">
        <v>1.92</v>
      </c>
    </row>
    <row r="34" spans="2:7" x14ac:dyDescent="0.2">
      <c r="B34" s="27" t="s">
        <v>90</v>
      </c>
      <c r="C34" s="23" t="s">
        <v>91</v>
      </c>
      <c r="D34" s="23" t="s">
        <v>63</v>
      </c>
      <c r="E34" s="28">
        <v>88825</v>
      </c>
      <c r="F34" s="25">
        <v>958.2</v>
      </c>
      <c r="G34" s="25">
        <v>1.89</v>
      </c>
    </row>
    <row r="35" spans="2:7" x14ac:dyDescent="0.2">
      <c r="B35" s="27" t="s">
        <v>316</v>
      </c>
      <c r="C35" s="23" t="s">
        <v>317</v>
      </c>
      <c r="D35" s="23" t="s">
        <v>232</v>
      </c>
      <c r="E35" s="28">
        <v>342000</v>
      </c>
      <c r="F35" s="25">
        <v>942.89</v>
      </c>
      <c r="G35" s="25">
        <v>1.86</v>
      </c>
    </row>
    <row r="36" spans="2:7" x14ac:dyDescent="0.2">
      <c r="B36" s="27" t="s">
        <v>318</v>
      </c>
      <c r="C36" s="23" t="s">
        <v>319</v>
      </c>
      <c r="D36" s="23" t="s">
        <v>133</v>
      </c>
      <c r="E36" s="28">
        <v>572740</v>
      </c>
      <c r="F36" s="25">
        <v>937.29</v>
      </c>
      <c r="G36" s="25">
        <v>1.85</v>
      </c>
    </row>
    <row r="37" spans="2:7" x14ac:dyDescent="0.2">
      <c r="B37" s="27" t="s">
        <v>61</v>
      </c>
      <c r="C37" s="23" t="s">
        <v>62</v>
      </c>
      <c r="D37" s="23" t="s">
        <v>63</v>
      </c>
      <c r="E37" s="28">
        <v>54719</v>
      </c>
      <c r="F37" s="25">
        <v>929.79</v>
      </c>
      <c r="G37" s="25">
        <v>1.83</v>
      </c>
    </row>
    <row r="38" spans="2:7" x14ac:dyDescent="0.2">
      <c r="B38" s="27" t="s">
        <v>320</v>
      </c>
      <c r="C38" s="23" t="s">
        <v>321</v>
      </c>
      <c r="D38" s="23" t="s">
        <v>173</v>
      </c>
      <c r="E38" s="28">
        <v>33062</v>
      </c>
      <c r="F38" s="25">
        <v>877.05</v>
      </c>
      <c r="G38" s="25">
        <v>1.73</v>
      </c>
    </row>
    <row r="39" spans="2:7" x14ac:dyDescent="0.2">
      <c r="B39" s="27" t="s">
        <v>322</v>
      </c>
      <c r="C39" s="23" t="s">
        <v>323</v>
      </c>
      <c r="D39" s="23" t="s">
        <v>301</v>
      </c>
      <c r="E39" s="28">
        <v>425000</v>
      </c>
      <c r="F39" s="25">
        <v>864.03</v>
      </c>
      <c r="G39" s="25">
        <v>1.7</v>
      </c>
    </row>
    <row r="40" spans="2:7" x14ac:dyDescent="0.2">
      <c r="B40" s="27" t="s">
        <v>45</v>
      </c>
      <c r="C40" s="23" t="s">
        <v>46</v>
      </c>
      <c r="D40" s="23" t="s">
        <v>47</v>
      </c>
      <c r="E40" s="28">
        <v>2850</v>
      </c>
      <c r="F40" s="25">
        <v>810.87</v>
      </c>
      <c r="G40" s="25">
        <v>1.6</v>
      </c>
    </row>
    <row r="41" spans="2:7" x14ac:dyDescent="0.2">
      <c r="B41" s="27" t="s">
        <v>195</v>
      </c>
      <c r="C41" s="23" t="s">
        <v>196</v>
      </c>
      <c r="D41" s="23" t="s">
        <v>173</v>
      </c>
      <c r="E41" s="28">
        <v>65800</v>
      </c>
      <c r="F41" s="25">
        <v>795.95</v>
      </c>
      <c r="G41" s="25">
        <v>1.57</v>
      </c>
    </row>
    <row r="42" spans="2:7" x14ac:dyDescent="0.2">
      <c r="B42" s="27" t="s">
        <v>324</v>
      </c>
      <c r="C42" s="23" t="s">
        <v>325</v>
      </c>
      <c r="D42" s="23" t="s">
        <v>326</v>
      </c>
      <c r="E42" s="28">
        <v>35700</v>
      </c>
      <c r="F42" s="25">
        <v>795.07</v>
      </c>
      <c r="G42" s="25">
        <v>1.57</v>
      </c>
    </row>
    <row r="43" spans="2:7" x14ac:dyDescent="0.2">
      <c r="B43" s="27" t="s">
        <v>207</v>
      </c>
      <c r="C43" s="23" t="s">
        <v>208</v>
      </c>
      <c r="D43" s="23" t="s">
        <v>63</v>
      </c>
      <c r="E43" s="28">
        <v>176000</v>
      </c>
      <c r="F43" s="25">
        <v>794.29</v>
      </c>
      <c r="G43" s="25">
        <v>1.57</v>
      </c>
    </row>
    <row r="44" spans="2:7" x14ac:dyDescent="0.2">
      <c r="B44" s="27" t="s">
        <v>327</v>
      </c>
      <c r="C44" s="23" t="s">
        <v>328</v>
      </c>
      <c r="D44" s="23" t="s">
        <v>127</v>
      </c>
      <c r="E44" s="28">
        <v>161000</v>
      </c>
      <c r="F44" s="25">
        <v>775.7</v>
      </c>
      <c r="G44" s="25">
        <v>1.53</v>
      </c>
    </row>
    <row r="45" spans="2:7" x14ac:dyDescent="0.2">
      <c r="B45" s="27" t="s">
        <v>181</v>
      </c>
      <c r="C45" s="23" t="s">
        <v>182</v>
      </c>
      <c r="D45" s="23" t="s">
        <v>118</v>
      </c>
      <c r="E45" s="28">
        <v>53700</v>
      </c>
      <c r="F45" s="25">
        <v>712.92</v>
      </c>
      <c r="G45" s="25">
        <v>1.4</v>
      </c>
    </row>
    <row r="46" spans="2:7" x14ac:dyDescent="0.2">
      <c r="B46" s="27" t="s">
        <v>329</v>
      </c>
      <c r="C46" s="23" t="s">
        <v>330</v>
      </c>
      <c r="D46" s="23" t="s">
        <v>145</v>
      </c>
      <c r="E46" s="28">
        <v>94231</v>
      </c>
      <c r="F46" s="25">
        <v>693.92</v>
      </c>
      <c r="G46" s="25">
        <v>1.37</v>
      </c>
    </row>
    <row r="47" spans="2:7" x14ac:dyDescent="0.2">
      <c r="B47" s="27" t="s">
        <v>331</v>
      </c>
      <c r="C47" s="23" t="s">
        <v>332</v>
      </c>
      <c r="D47" s="23" t="s">
        <v>52</v>
      </c>
      <c r="E47" s="28">
        <v>305500</v>
      </c>
      <c r="F47" s="25">
        <v>686.46</v>
      </c>
      <c r="G47" s="25">
        <v>1.35</v>
      </c>
    </row>
    <row r="48" spans="2:7" x14ac:dyDescent="0.2">
      <c r="B48" s="27" t="s">
        <v>213</v>
      </c>
      <c r="C48" s="23" t="s">
        <v>214</v>
      </c>
      <c r="D48" s="23" t="s">
        <v>138</v>
      </c>
      <c r="E48" s="28">
        <v>55100</v>
      </c>
      <c r="F48" s="25">
        <v>661.72</v>
      </c>
      <c r="G48" s="25">
        <v>1.3</v>
      </c>
    </row>
    <row r="49" spans="2:9" x14ac:dyDescent="0.2">
      <c r="B49" s="27" t="s">
        <v>333</v>
      </c>
      <c r="C49" s="23" t="s">
        <v>334</v>
      </c>
      <c r="D49" s="23" t="s">
        <v>55</v>
      </c>
      <c r="E49" s="28">
        <v>212124</v>
      </c>
      <c r="F49" s="25">
        <v>618.02</v>
      </c>
      <c r="G49" s="25">
        <v>1.22</v>
      </c>
    </row>
    <row r="50" spans="2:9" x14ac:dyDescent="0.2">
      <c r="B50" s="27" t="s">
        <v>335</v>
      </c>
      <c r="C50" s="23" t="s">
        <v>336</v>
      </c>
      <c r="D50" s="23" t="s">
        <v>44</v>
      </c>
      <c r="E50" s="28">
        <v>301323</v>
      </c>
      <c r="F50" s="25">
        <v>556.39</v>
      </c>
      <c r="G50" s="25">
        <v>1.1000000000000001</v>
      </c>
    </row>
    <row r="51" spans="2:9" x14ac:dyDescent="0.2">
      <c r="B51" s="27" t="s">
        <v>337</v>
      </c>
      <c r="C51" s="23" t="s">
        <v>338</v>
      </c>
      <c r="D51" s="23" t="s">
        <v>55</v>
      </c>
      <c r="E51" s="28">
        <v>18522</v>
      </c>
      <c r="F51" s="25">
        <v>491.06</v>
      </c>
      <c r="G51" s="25">
        <v>0.97</v>
      </c>
    </row>
    <row r="52" spans="2:9" x14ac:dyDescent="0.2">
      <c r="B52" s="27" t="s">
        <v>339</v>
      </c>
      <c r="C52" s="23" t="s">
        <v>340</v>
      </c>
      <c r="D52" s="23" t="s">
        <v>130</v>
      </c>
      <c r="E52" s="28">
        <v>122153</v>
      </c>
      <c r="F52" s="25">
        <v>473.04</v>
      </c>
      <c r="G52" s="25">
        <v>0.93</v>
      </c>
    </row>
    <row r="53" spans="2:9" x14ac:dyDescent="0.2">
      <c r="B53" s="27" t="s">
        <v>197</v>
      </c>
      <c r="C53" s="23" t="s">
        <v>198</v>
      </c>
      <c r="D53" s="23" t="s">
        <v>164</v>
      </c>
      <c r="E53" s="28">
        <v>140000</v>
      </c>
      <c r="F53" s="25">
        <v>447.51</v>
      </c>
      <c r="G53" s="25">
        <v>0.88</v>
      </c>
    </row>
    <row r="54" spans="2:9" x14ac:dyDescent="0.2">
      <c r="B54" s="27" t="s">
        <v>67</v>
      </c>
      <c r="C54" s="23" t="s">
        <v>68</v>
      </c>
      <c r="D54" s="23" t="s">
        <v>66</v>
      </c>
      <c r="E54" s="28">
        <v>105000</v>
      </c>
      <c r="F54" s="25">
        <v>422.36</v>
      </c>
      <c r="G54" s="25">
        <v>0.83</v>
      </c>
    </row>
    <row r="55" spans="2:9" x14ac:dyDescent="0.2">
      <c r="B55" s="27" t="s">
        <v>109</v>
      </c>
      <c r="C55" s="23" t="s">
        <v>110</v>
      </c>
      <c r="D55" s="23" t="s">
        <v>66</v>
      </c>
      <c r="E55" s="28">
        <v>208500</v>
      </c>
      <c r="F55" s="25">
        <v>402.82</v>
      </c>
      <c r="G55" s="25">
        <v>0.79</v>
      </c>
    </row>
    <row r="56" spans="2:9" x14ac:dyDescent="0.2">
      <c r="B56" s="27" t="s">
        <v>143</v>
      </c>
      <c r="C56" s="23" t="s">
        <v>144</v>
      </c>
      <c r="D56" s="23" t="s">
        <v>145</v>
      </c>
      <c r="E56" s="28">
        <v>16750</v>
      </c>
      <c r="F56" s="25">
        <v>368.03</v>
      </c>
      <c r="G56" s="25">
        <v>0.73</v>
      </c>
    </row>
    <row r="57" spans="2:9" x14ac:dyDescent="0.2">
      <c r="B57" s="27" t="s">
        <v>105</v>
      </c>
      <c r="C57" s="23" t="s">
        <v>106</v>
      </c>
      <c r="D57" s="23" t="s">
        <v>60</v>
      </c>
      <c r="E57" s="28">
        <v>52000</v>
      </c>
      <c r="F57" s="25">
        <v>326.38</v>
      </c>
      <c r="G57" s="25">
        <v>0.64</v>
      </c>
    </row>
    <row r="58" spans="2:9" x14ac:dyDescent="0.2">
      <c r="B58" s="27" t="s">
        <v>341</v>
      </c>
      <c r="C58" s="23" t="s">
        <v>342</v>
      </c>
      <c r="D58" s="23" t="s">
        <v>60</v>
      </c>
      <c r="E58" s="28">
        <v>375584</v>
      </c>
      <c r="F58" s="25">
        <v>302.72000000000003</v>
      </c>
      <c r="G58" s="25">
        <v>0.6</v>
      </c>
    </row>
    <row r="59" spans="2:9" x14ac:dyDescent="0.2">
      <c r="B59" s="27" t="s">
        <v>103</v>
      </c>
      <c r="C59" s="23" t="s">
        <v>104</v>
      </c>
      <c r="D59" s="23" t="s">
        <v>63</v>
      </c>
      <c r="E59" s="28">
        <v>51555</v>
      </c>
      <c r="F59" s="25">
        <v>233.47</v>
      </c>
      <c r="G59" s="25">
        <v>0.46</v>
      </c>
    </row>
    <row r="60" spans="2:9" x14ac:dyDescent="0.2">
      <c r="B60" s="27" t="s">
        <v>343</v>
      </c>
      <c r="C60" s="23" t="s">
        <v>344</v>
      </c>
      <c r="D60" s="23" t="s">
        <v>60</v>
      </c>
      <c r="E60" s="28">
        <v>30000</v>
      </c>
      <c r="F60" s="25">
        <v>232.04</v>
      </c>
      <c r="G60" s="25">
        <v>0.46</v>
      </c>
    </row>
    <row r="61" spans="2:9" x14ac:dyDescent="0.2">
      <c r="B61" s="27" t="s">
        <v>98</v>
      </c>
      <c r="C61" s="23" t="s">
        <v>99</v>
      </c>
      <c r="D61" s="23" t="s">
        <v>63</v>
      </c>
      <c r="E61" s="28">
        <v>4634</v>
      </c>
      <c r="F61" s="25">
        <v>174.46</v>
      </c>
      <c r="G61" s="25">
        <v>0.34</v>
      </c>
    </row>
    <row r="62" spans="2:9" x14ac:dyDescent="0.2">
      <c r="B62" s="29" t="s">
        <v>111</v>
      </c>
      <c r="C62" s="30"/>
      <c r="D62" s="30"/>
      <c r="E62" s="31"/>
      <c r="F62" s="32">
        <f>SUM(F7:F61)</f>
        <v>49563.699999999983</v>
      </c>
      <c r="G62" s="32">
        <f>SUM(G7:G61)</f>
        <v>97.679999999999964</v>
      </c>
      <c r="H62" s="14"/>
      <c r="I62" s="14"/>
    </row>
    <row r="63" spans="2:9" x14ac:dyDescent="0.2">
      <c r="B63" s="37" t="s">
        <v>112</v>
      </c>
      <c r="C63" s="37"/>
      <c r="D63" s="37"/>
      <c r="E63" s="38"/>
      <c r="F63" s="39">
        <f>F62</f>
        <v>49563.699999999983</v>
      </c>
      <c r="G63" s="39">
        <f>G62</f>
        <v>97.679999999999964</v>
      </c>
      <c r="H63" s="14"/>
      <c r="I63" s="14"/>
    </row>
    <row r="64" spans="2:9" x14ac:dyDescent="0.2">
      <c r="B64" s="40" t="s">
        <v>113</v>
      </c>
      <c r="C64" s="41"/>
      <c r="D64" s="41"/>
      <c r="E64" s="42"/>
      <c r="F64" s="43"/>
      <c r="G64" s="43"/>
    </row>
    <row r="65" spans="2:9" x14ac:dyDescent="0.2">
      <c r="B65" s="27" t="s">
        <v>113</v>
      </c>
      <c r="C65" s="23"/>
      <c r="D65" s="23"/>
      <c r="E65" s="24"/>
      <c r="F65" s="25">
        <v>1326.97</v>
      </c>
      <c r="G65" s="25">
        <v>2.61</v>
      </c>
    </row>
    <row r="66" spans="2:9" x14ac:dyDescent="0.2">
      <c r="B66" s="29" t="s">
        <v>111</v>
      </c>
      <c r="C66" s="30"/>
      <c r="D66" s="30"/>
      <c r="E66" s="31"/>
      <c r="F66" s="32">
        <f>SUM(F64:F65)</f>
        <v>1326.97</v>
      </c>
      <c r="G66" s="32">
        <f>SUM(G64:G65)</f>
        <v>2.61</v>
      </c>
      <c r="H66" s="14"/>
      <c r="I66" s="14"/>
    </row>
    <row r="67" spans="2:9" x14ac:dyDescent="0.2">
      <c r="B67" s="34" t="s">
        <v>112</v>
      </c>
      <c r="C67" s="34"/>
      <c r="D67" s="34"/>
      <c r="E67" s="35"/>
      <c r="F67" s="36">
        <f>F66</f>
        <v>1326.97</v>
      </c>
      <c r="G67" s="36">
        <f>G66</f>
        <v>2.61</v>
      </c>
      <c r="H67" s="14"/>
      <c r="I67" s="14"/>
    </row>
    <row r="68" spans="2:9" x14ac:dyDescent="0.2">
      <c r="B68" s="44" t="s">
        <v>115</v>
      </c>
      <c r="C68" s="44"/>
      <c r="D68" s="44"/>
      <c r="E68" s="45"/>
      <c r="F68" s="16">
        <f>F69-(+F63+F67)</f>
        <v>-102.17999999998574</v>
      </c>
      <c r="G68" s="16">
        <f>G69-(+G63+G67)</f>
        <v>-0.28999999999996362</v>
      </c>
      <c r="H68" s="14"/>
      <c r="I68" s="14"/>
    </row>
    <row r="69" spans="2:9" x14ac:dyDescent="0.2">
      <c r="B69" s="44" t="s">
        <v>114</v>
      </c>
      <c r="C69" s="44"/>
      <c r="D69" s="44"/>
      <c r="E69" s="45"/>
      <c r="F69" s="16">
        <v>50788.49</v>
      </c>
      <c r="G69" s="16">
        <v>100</v>
      </c>
      <c r="H69" s="14"/>
      <c r="I69" s="14"/>
    </row>
    <row r="71" spans="2:9" x14ac:dyDescent="0.2">
      <c r="B71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7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15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119</v>
      </c>
      <c r="C7" s="23" t="s">
        <v>120</v>
      </c>
      <c r="D7" s="23" t="s">
        <v>87</v>
      </c>
      <c r="E7" s="28">
        <v>1904950</v>
      </c>
      <c r="F7" s="25">
        <v>22546.04</v>
      </c>
      <c r="G7" s="25">
        <v>6.33</v>
      </c>
      <c r="H7" s="26"/>
    </row>
    <row r="8" spans="2:8" x14ac:dyDescent="0.2">
      <c r="B8" s="27" t="s">
        <v>116</v>
      </c>
      <c r="C8" s="23" t="s">
        <v>117</v>
      </c>
      <c r="D8" s="23" t="s">
        <v>118</v>
      </c>
      <c r="E8" s="28">
        <v>2070472</v>
      </c>
      <c r="F8" s="25">
        <v>21959.43</v>
      </c>
      <c r="G8" s="25">
        <v>6.16</v>
      </c>
      <c r="H8" s="26"/>
    </row>
    <row r="9" spans="2:8" x14ac:dyDescent="0.2">
      <c r="B9" s="27" t="s">
        <v>36</v>
      </c>
      <c r="C9" s="23" t="s">
        <v>37</v>
      </c>
      <c r="D9" s="23" t="s">
        <v>38</v>
      </c>
      <c r="E9" s="28">
        <v>781900</v>
      </c>
      <c r="F9" s="25">
        <v>16064.14</v>
      </c>
      <c r="G9" s="25">
        <v>4.51</v>
      </c>
      <c r="H9" s="26"/>
    </row>
    <row r="10" spans="2:8" x14ac:dyDescent="0.2">
      <c r="B10" s="27" t="s">
        <v>85</v>
      </c>
      <c r="C10" s="23" t="s">
        <v>86</v>
      </c>
      <c r="D10" s="23" t="s">
        <v>87</v>
      </c>
      <c r="E10" s="28">
        <v>3903600</v>
      </c>
      <c r="F10" s="25">
        <v>15325.53</v>
      </c>
      <c r="G10" s="25">
        <v>4.3</v>
      </c>
      <c r="H10" s="26"/>
    </row>
    <row r="11" spans="2:8" x14ac:dyDescent="0.2">
      <c r="B11" s="27" t="s">
        <v>121</v>
      </c>
      <c r="C11" s="23" t="s">
        <v>122</v>
      </c>
      <c r="D11" s="23" t="s">
        <v>118</v>
      </c>
      <c r="E11" s="28">
        <v>423200</v>
      </c>
      <c r="F11" s="25">
        <v>11277.65</v>
      </c>
      <c r="G11" s="25">
        <v>3.16</v>
      </c>
      <c r="H11" s="26"/>
    </row>
    <row r="12" spans="2:8" x14ac:dyDescent="0.2">
      <c r="B12" s="27" t="s">
        <v>123</v>
      </c>
      <c r="C12" s="23" t="s">
        <v>124</v>
      </c>
      <c r="D12" s="23" t="s">
        <v>87</v>
      </c>
      <c r="E12" s="28">
        <v>637829</v>
      </c>
      <c r="F12" s="25">
        <v>9869.77</v>
      </c>
      <c r="G12" s="25">
        <v>2.77</v>
      </c>
      <c r="H12" s="26"/>
    </row>
    <row r="13" spans="2:8" x14ac:dyDescent="0.2">
      <c r="B13" s="27" t="s">
        <v>125</v>
      </c>
      <c r="C13" s="23" t="s">
        <v>126</v>
      </c>
      <c r="D13" s="23" t="s">
        <v>127</v>
      </c>
      <c r="E13" s="28">
        <v>356800</v>
      </c>
      <c r="F13" s="25">
        <v>7390.4</v>
      </c>
      <c r="G13" s="25">
        <v>2.0699999999999998</v>
      </c>
      <c r="H13" s="26"/>
    </row>
    <row r="14" spans="2:8" x14ac:dyDescent="0.2">
      <c r="B14" s="27" t="s">
        <v>128</v>
      </c>
      <c r="C14" s="23" t="s">
        <v>129</v>
      </c>
      <c r="D14" s="23" t="s">
        <v>130</v>
      </c>
      <c r="E14" s="28">
        <v>221373</v>
      </c>
      <c r="F14" s="25">
        <v>7325.23</v>
      </c>
      <c r="G14" s="25">
        <v>2.06</v>
      </c>
      <c r="H14" s="26"/>
    </row>
    <row r="15" spans="2:8" x14ac:dyDescent="0.2">
      <c r="B15" s="27" t="s">
        <v>92</v>
      </c>
      <c r="C15" s="23" t="s">
        <v>93</v>
      </c>
      <c r="D15" s="23" t="s">
        <v>44</v>
      </c>
      <c r="E15" s="28">
        <v>152621</v>
      </c>
      <c r="F15" s="25">
        <v>6980.96</v>
      </c>
      <c r="G15" s="25">
        <v>1.96</v>
      </c>
      <c r="H15" s="26"/>
    </row>
    <row r="16" spans="2:8" x14ac:dyDescent="0.2">
      <c r="B16" s="27" t="s">
        <v>139</v>
      </c>
      <c r="C16" s="23" t="s">
        <v>140</v>
      </c>
      <c r="D16" s="23" t="s">
        <v>87</v>
      </c>
      <c r="E16" s="28">
        <v>1338100</v>
      </c>
      <c r="F16" s="25">
        <v>6590.14</v>
      </c>
      <c r="G16" s="25">
        <v>1.85</v>
      </c>
      <c r="H16" s="26"/>
    </row>
    <row r="17" spans="2:8" x14ac:dyDescent="0.2">
      <c r="B17" s="27" t="s">
        <v>136</v>
      </c>
      <c r="C17" s="23" t="s">
        <v>137</v>
      </c>
      <c r="D17" s="23" t="s">
        <v>138</v>
      </c>
      <c r="E17" s="28">
        <v>87848</v>
      </c>
      <c r="F17" s="25">
        <v>6118.74</v>
      </c>
      <c r="G17" s="25">
        <v>1.72</v>
      </c>
      <c r="H17" s="26"/>
    </row>
    <row r="18" spans="2:8" x14ac:dyDescent="0.2">
      <c r="B18" s="27" t="s">
        <v>100</v>
      </c>
      <c r="C18" s="23" t="s">
        <v>101</v>
      </c>
      <c r="D18" s="23" t="s">
        <v>102</v>
      </c>
      <c r="E18" s="28">
        <v>1296515</v>
      </c>
      <c r="F18" s="25">
        <v>5623.63</v>
      </c>
      <c r="G18" s="25">
        <v>1.58</v>
      </c>
      <c r="H18" s="26"/>
    </row>
    <row r="19" spans="2:8" x14ac:dyDescent="0.2">
      <c r="B19" s="27" t="s">
        <v>141</v>
      </c>
      <c r="C19" s="23" t="s">
        <v>142</v>
      </c>
      <c r="D19" s="23" t="s">
        <v>118</v>
      </c>
      <c r="E19" s="28">
        <v>615000</v>
      </c>
      <c r="F19" s="25">
        <v>5177.99</v>
      </c>
      <c r="G19" s="25">
        <v>1.45</v>
      </c>
      <c r="H19" s="26"/>
    </row>
    <row r="20" spans="2:8" x14ac:dyDescent="0.2">
      <c r="B20" s="27" t="s">
        <v>134</v>
      </c>
      <c r="C20" s="23" t="s">
        <v>135</v>
      </c>
      <c r="D20" s="23" t="s">
        <v>130</v>
      </c>
      <c r="E20" s="28">
        <v>268000</v>
      </c>
      <c r="F20" s="25">
        <v>5155.1099999999997</v>
      </c>
      <c r="G20" s="25">
        <v>1.45</v>
      </c>
      <c r="H20" s="26"/>
    </row>
    <row r="21" spans="2:8" x14ac:dyDescent="0.2">
      <c r="B21" s="27" t="s">
        <v>58</v>
      </c>
      <c r="C21" s="23" t="s">
        <v>59</v>
      </c>
      <c r="D21" s="23" t="s">
        <v>60</v>
      </c>
      <c r="E21" s="28">
        <v>712573</v>
      </c>
      <c r="F21" s="25">
        <v>5027.5600000000004</v>
      </c>
      <c r="G21" s="25">
        <v>1.41</v>
      </c>
      <c r="H21" s="26"/>
    </row>
    <row r="22" spans="2:8" x14ac:dyDescent="0.2">
      <c r="B22" s="27" t="s">
        <v>171</v>
      </c>
      <c r="C22" s="23" t="s">
        <v>172</v>
      </c>
      <c r="D22" s="23" t="s">
        <v>173</v>
      </c>
      <c r="E22" s="28">
        <v>210354</v>
      </c>
      <c r="F22" s="25">
        <v>4715.1899999999996</v>
      </c>
      <c r="G22" s="25">
        <v>1.32</v>
      </c>
      <c r="H22" s="26"/>
    </row>
    <row r="23" spans="2:8" x14ac:dyDescent="0.2">
      <c r="B23" s="27" t="s">
        <v>146</v>
      </c>
      <c r="C23" s="23" t="s">
        <v>147</v>
      </c>
      <c r="D23" s="23" t="s">
        <v>138</v>
      </c>
      <c r="E23" s="28">
        <v>775000</v>
      </c>
      <c r="F23" s="25">
        <v>4603.5</v>
      </c>
      <c r="G23" s="25">
        <v>1.29</v>
      </c>
      <c r="H23" s="26"/>
    </row>
    <row r="24" spans="2:8" x14ac:dyDescent="0.2">
      <c r="B24" s="27" t="s">
        <v>131</v>
      </c>
      <c r="C24" s="23" t="s">
        <v>132</v>
      </c>
      <c r="D24" s="23" t="s">
        <v>133</v>
      </c>
      <c r="E24" s="28">
        <v>144608</v>
      </c>
      <c r="F24" s="25">
        <v>4543.66</v>
      </c>
      <c r="G24" s="25">
        <v>1.27</v>
      </c>
      <c r="H24" s="26"/>
    </row>
    <row r="25" spans="2:8" x14ac:dyDescent="0.2">
      <c r="B25" s="27" t="s">
        <v>158</v>
      </c>
      <c r="C25" s="23" t="s">
        <v>159</v>
      </c>
      <c r="D25" s="23" t="s">
        <v>127</v>
      </c>
      <c r="E25" s="28">
        <v>125266</v>
      </c>
      <c r="F25" s="25">
        <v>4350.8</v>
      </c>
      <c r="G25" s="25">
        <v>1.22</v>
      </c>
      <c r="H25" s="26"/>
    </row>
    <row r="26" spans="2:8" x14ac:dyDescent="0.2">
      <c r="B26" s="27" t="s">
        <v>150</v>
      </c>
      <c r="C26" s="23" t="s">
        <v>151</v>
      </c>
      <c r="D26" s="23" t="s">
        <v>133</v>
      </c>
      <c r="E26" s="28">
        <v>165637</v>
      </c>
      <c r="F26" s="25">
        <v>3831.35</v>
      </c>
      <c r="G26" s="25">
        <v>1.07</v>
      </c>
      <c r="H26" s="26"/>
    </row>
    <row r="27" spans="2:8" x14ac:dyDescent="0.2">
      <c r="B27" s="27" t="s">
        <v>174</v>
      </c>
      <c r="C27" s="23" t="s">
        <v>175</v>
      </c>
      <c r="D27" s="23" t="s">
        <v>173</v>
      </c>
      <c r="E27" s="28">
        <v>62109</v>
      </c>
      <c r="F27" s="25">
        <v>3731.88</v>
      </c>
      <c r="G27" s="25">
        <v>1.05</v>
      </c>
      <c r="H27" s="26"/>
    </row>
    <row r="28" spans="2:8" x14ac:dyDescent="0.2">
      <c r="B28" s="27" t="s">
        <v>160</v>
      </c>
      <c r="C28" s="23" t="s">
        <v>161</v>
      </c>
      <c r="D28" s="23" t="s">
        <v>138</v>
      </c>
      <c r="E28" s="28">
        <v>130500</v>
      </c>
      <c r="F28" s="25">
        <v>3653.74</v>
      </c>
      <c r="G28" s="25">
        <v>1.03</v>
      </c>
      <c r="H28" s="26"/>
    </row>
    <row r="29" spans="2:8" x14ac:dyDescent="0.2">
      <c r="B29" s="27" t="s">
        <v>143</v>
      </c>
      <c r="C29" s="23" t="s">
        <v>144</v>
      </c>
      <c r="D29" s="23" t="s">
        <v>145</v>
      </c>
      <c r="E29" s="28">
        <v>162248</v>
      </c>
      <c r="F29" s="25">
        <v>3564.91</v>
      </c>
      <c r="G29" s="25">
        <v>1</v>
      </c>
      <c r="H29" s="26"/>
    </row>
    <row r="30" spans="2:8" x14ac:dyDescent="0.2">
      <c r="B30" s="27" t="s">
        <v>165</v>
      </c>
      <c r="C30" s="23" t="s">
        <v>166</v>
      </c>
      <c r="D30" s="23" t="s">
        <v>133</v>
      </c>
      <c r="E30" s="28">
        <v>22696</v>
      </c>
      <c r="F30" s="25">
        <v>3472.07</v>
      </c>
      <c r="G30" s="25">
        <v>0.97</v>
      </c>
      <c r="H30" s="26"/>
    </row>
    <row r="31" spans="2:8" x14ac:dyDescent="0.2">
      <c r="B31" s="27" t="s">
        <v>162</v>
      </c>
      <c r="C31" s="23" t="s">
        <v>163</v>
      </c>
      <c r="D31" s="23" t="s">
        <v>164</v>
      </c>
      <c r="E31" s="28">
        <v>245446</v>
      </c>
      <c r="F31" s="25">
        <v>3307.51</v>
      </c>
      <c r="G31" s="25">
        <v>0.93</v>
      </c>
      <c r="H31" s="26"/>
    </row>
    <row r="32" spans="2:8" x14ac:dyDescent="0.2">
      <c r="B32" s="27" t="s">
        <v>154</v>
      </c>
      <c r="C32" s="23" t="s">
        <v>155</v>
      </c>
      <c r="D32" s="23" t="s">
        <v>60</v>
      </c>
      <c r="E32" s="28">
        <v>281700</v>
      </c>
      <c r="F32" s="25">
        <v>3283.92</v>
      </c>
      <c r="G32" s="25">
        <v>0.92</v>
      </c>
      <c r="H32" s="26"/>
    </row>
    <row r="33" spans="2:8" x14ac:dyDescent="0.2">
      <c r="B33" s="27" t="s">
        <v>152</v>
      </c>
      <c r="C33" s="23" t="s">
        <v>153</v>
      </c>
      <c r="D33" s="23" t="s">
        <v>127</v>
      </c>
      <c r="E33" s="28">
        <v>18000</v>
      </c>
      <c r="F33" s="25">
        <v>3089.09</v>
      </c>
      <c r="G33" s="25">
        <v>0.87</v>
      </c>
      <c r="H33" s="26"/>
    </row>
    <row r="34" spans="2:8" x14ac:dyDescent="0.2">
      <c r="B34" s="27" t="s">
        <v>148</v>
      </c>
      <c r="C34" s="23" t="s">
        <v>149</v>
      </c>
      <c r="D34" s="23" t="s">
        <v>133</v>
      </c>
      <c r="E34" s="28">
        <v>405000</v>
      </c>
      <c r="F34" s="25">
        <v>3055.73</v>
      </c>
      <c r="G34" s="25">
        <v>0.86</v>
      </c>
      <c r="H34" s="26"/>
    </row>
    <row r="35" spans="2:8" x14ac:dyDescent="0.2">
      <c r="B35" s="27" t="s">
        <v>33</v>
      </c>
      <c r="C35" s="23" t="s">
        <v>34</v>
      </c>
      <c r="D35" s="23" t="s">
        <v>35</v>
      </c>
      <c r="E35" s="28">
        <v>326418</v>
      </c>
      <c r="F35" s="25">
        <v>3034.06</v>
      </c>
      <c r="G35" s="25">
        <v>0.85</v>
      </c>
      <c r="H35" s="26"/>
    </row>
    <row r="36" spans="2:8" x14ac:dyDescent="0.2">
      <c r="B36" s="27" t="s">
        <v>169</v>
      </c>
      <c r="C36" s="23" t="s">
        <v>170</v>
      </c>
      <c r="D36" s="23" t="s">
        <v>133</v>
      </c>
      <c r="E36" s="28">
        <v>113290</v>
      </c>
      <c r="F36" s="25">
        <v>2984.4</v>
      </c>
      <c r="G36" s="25">
        <v>0.84</v>
      </c>
      <c r="H36" s="26"/>
    </row>
    <row r="37" spans="2:8" x14ac:dyDescent="0.2">
      <c r="B37" s="27" t="s">
        <v>217</v>
      </c>
      <c r="C37" s="23" t="s">
        <v>218</v>
      </c>
      <c r="D37" s="23" t="s">
        <v>138</v>
      </c>
      <c r="E37" s="28">
        <v>100000</v>
      </c>
      <c r="F37" s="25">
        <v>2886.9</v>
      </c>
      <c r="G37" s="25">
        <v>0.81</v>
      </c>
      <c r="H37" s="26"/>
    </row>
    <row r="38" spans="2:8" x14ac:dyDescent="0.2">
      <c r="B38" s="27" t="s">
        <v>45</v>
      </c>
      <c r="C38" s="23" t="s">
        <v>46</v>
      </c>
      <c r="D38" s="23" t="s">
        <v>47</v>
      </c>
      <c r="E38" s="28">
        <v>10146</v>
      </c>
      <c r="F38" s="25">
        <v>2886.7</v>
      </c>
      <c r="G38" s="25">
        <v>0.81</v>
      </c>
      <c r="H38" s="26"/>
    </row>
    <row r="39" spans="2:8" x14ac:dyDescent="0.2">
      <c r="B39" s="27" t="s">
        <v>185</v>
      </c>
      <c r="C39" s="23" t="s">
        <v>186</v>
      </c>
      <c r="D39" s="23" t="s">
        <v>127</v>
      </c>
      <c r="E39" s="28">
        <v>130100</v>
      </c>
      <c r="F39" s="25">
        <v>2877.16</v>
      </c>
      <c r="G39" s="25">
        <v>0.81</v>
      </c>
      <c r="H39" s="26"/>
    </row>
    <row r="40" spans="2:8" x14ac:dyDescent="0.2">
      <c r="B40" s="27" t="s">
        <v>156</v>
      </c>
      <c r="C40" s="23" t="s">
        <v>157</v>
      </c>
      <c r="D40" s="23" t="s">
        <v>130</v>
      </c>
      <c r="E40" s="28">
        <v>161500</v>
      </c>
      <c r="F40" s="25">
        <v>2747.12</v>
      </c>
      <c r="G40" s="25">
        <v>0.77</v>
      </c>
      <c r="H40" s="26"/>
    </row>
    <row r="41" spans="2:8" x14ac:dyDescent="0.2">
      <c r="B41" s="27" t="s">
        <v>207</v>
      </c>
      <c r="C41" s="23" t="s">
        <v>208</v>
      </c>
      <c r="D41" s="23" t="s">
        <v>63</v>
      </c>
      <c r="E41" s="28">
        <v>605000</v>
      </c>
      <c r="F41" s="25">
        <v>2730.37</v>
      </c>
      <c r="G41" s="25">
        <v>0.77</v>
      </c>
      <c r="H41" s="26"/>
    </row>
    <row r="42" spans="2:8" x14ac:dyDescent="0.2">
      <c r="B42" s="27" t="s">
        <v>263</v>
      </c>
      <c r="C42" s="23" t="s">
        <v>264</v>
      </c>
      <c r="D42" s="23" t="s">
        <v>63</v>
      </c>
      <c r="E42" s="28">
        <v>292305</v>
      </c>
      <c r="F42" s="25">
        <v>2691.25</v>
      </c>
      <c r="G42" s="25">
        <v>0.76</v>
      </c>
      <c r="H42" s="26"/>
    </row>
    <row r="43" spans="2:8" x14ac:dyDescent="0.2">
      <c r="B43" s="27" t="s">
        <v>176</v>
      </c>
      <c r="C43" s="23" t="s">
        <v>177</v>
      </c>
      <c r="D43" s="23" t="s">
        <v>178</v>
      </c>
      <c r="E43" s="28">
        <v>115721</v>
      </c>
      <c r="F43" s="25">
        <v>2657.94</v>
      </c>
      <c r="G43" s="25">
        <v>0.75</v>
      </c>
      <c r="H43" s="26"/>
    </row>
    <row r="44" spans="2:8" x14ac:dyDescent="0.2">
      <c r="B44" s="27" t="s">
        <v>77</v>
      </c>
      <c r="C44" s="23" t="s">
        <v>78</v>
      </c>
      <c r="D44" s="23" t="s">
        <v>44</v>
      </c>
      <c r="E44" s="28">
        <v>11920</v>
      </c>
      <c r="F44" s="25">
        <v>2585.9899999999998</v>
      </c>
      <c r="G44" s="25">
        <v>0.73</v>
      </c>
      <c r="H44" s="26"/>
    </row>
    <row r="45" spans="2:8" x14ac:dyDescent="0.2">
      <c r="B45" s="27" t="s">
        <v>244</v>
      </c>
      <c r="C45" s="23" t="s">
        <v>245</v>
      </c>
      <c r="D45" s="23" t="s">
        <v>130</v>
      </c>
      <c r="E45" s="28">
        <v>335000</v>
      </c>
      <c r="F45" s="25">
        <v>2576.65</v>
      </c>
      <c r="G45" s="25">
        <v>0.72</v>
      </c>
      <c r="H45" s="26"/>
    </row>
    <row r="46" spans="2:8" x14ac:dyDescent="0.2">
      <c r="B46" s="27" t="s">
        <v>64</v>
      </c>
      <c r="C46" s="23" t="s">
        <v>65</v>
      </c>
      <c r="D46" s="23" t="s">
        <v>66</v>
      </c>
      <c r="E46" s="28">
        <v>867498</v>
      </c>
      <c r="F46" s="25">
        <v>2573</v>
      </c>
      <c r="G46" s="25">
        <v>0.72</v>
      </c>
      <c r="H46" s="26"/>
    </row>
    <row r="47" spans="2:8" x14ac:dyDescent="0.2">
      <c r="B47" s="27" t="s">
        <v>203</v>
      </c>
      <c r="C47" s="23" t="s">
        <v>204</v>
      </c>
      <c r="D47" s="23" t="s">
        <v>133</v>
      </c>
      <c r="E47" s="28">
        <v>540000</v>
      </c>
      <c r="F47" s="25">
        <v>2515.0500000000002</v>
      </c>
      <c r="G47" s="25">
        <v>0.71</v>
      </c>
      <c r="H47" s="26"/>
    </row>
    <row r="48" spans="2:8" x14ac:dyDescent="0.2">
      <c r="B48" s="27" t="s">
        <v>183</v>
      </c>
      <c r="C48" s="23" t="s">
        <v>184</v>
      </c>
      <c r="D48" s="23" t="s">
        <v>60</v>
      </c>
      <c r="E48" s="28">
        <v>114954</v>
      </c>
      <c r="F48" s="25">
        <v>2437.6</v>
      </c>
      <c r="G48" s="25">
        <v>0.68</v>
      </c>
      <c r="H48" s="26"/>
    </row>
    <row r="49" spans="2:10" x14ac:dyDescent="0.2">
      <c r="B49" s="27" t="s">
        <v>189</v>
      </c>
      <c r="C49" s="23" t="s">
        <v>190</v>
      </c>
      <c r="D49" s="23" t="s">
        <v>130</v>
      </c>
      <c r="E49" s="28">
        <v>194000</v>
      </c>
      <c r="F49" s="25">
        <v>2397.84</v>
      </c>
      <c r="G49" s="25">
        <v>0.67</v>
      </c>
      <c r="H49" s="26"/>
    </row>
    <row r="50" spans="2:10" x14ac:dyDescent="0.2">
      <c r="B50" s="27" t="s">
        <v>181</v>
      </c>
      <c r="C50" s="23" t="s">
        <v>182</v>
      </c>
      <c r="D50" s="23" t="s">
        <v>118</v>
      </c>
      <c r="E50" s="28">
        <v>180000</v>
      </c>
      <c r="F50" s="25">
        <v>2389.6799999999998</v>
      </c>
      <c r="G50" s="25">
        <v>0.67</v>
      </c>
      <c r="H50" s="26"/>
    </row>
    <row r="51" spans="2:10" x14ac:dyDescent="0.2">
      <c r="B51" s="27" t="s">
        <v>285</v>
      </c>
      <c r="C51" s="23" t="s">
        <v>286</v>
      </c>
      <c r="D51" s="23" t="s">
        <v>127</v>
      </c>
      <c r="E51" s="28">
        <v>1389500</v>
      </c>
      <c r="F51" s="25">
        <v>2296.15</v>
      </c>
      <c r="G51" s="25">
        <v>0.64</v>
      </c>
      <c r="H51" s="26"/>
    </row>
    <row r="52" spans="2:10" x14ac:dyDescent="0.2">
      <c r="B52" s="27" t="s">
        <v>254</v>
      </c>
      <c r="C52" s="23" t="s">
        <v>255</v>
      </c>
      <c r="D52" s="23" t="s">
        <v>227</v>
      </c>
      <c r="E52" s="28">
        <v>100840</v>
      </c>
      <c r="F52" s="25">
        <v>2258.7199999999998</v>
      </c>
      <c r="G52" s="25">
        <v>0.63</v>
      </c>
      <c r="H52" s="26"/>
    </row>
    <row r="53" spans="2:10" x14ac:dyDescent="0.2">
      <c r="B53" s="27" t="s">
        <v>67</v>
      </c>
      <c r="C53" s="23" t="s">
        <v>68</v>
      </c>
      <c r="D53" s="23" t="s">
        <v>66</v>
      </c>
      <c r="E53" s="28">
        <v>545000</v>
      </c>
      <c r="F53" s="25">
        <v>2192.2600000000002</v>
      </c>
      <c r="G53" s="25">
        <v>0.62</v>
      </c>
      <c r="H53" s="26"/>
    </row>
    <row r="54" spans="2:10" x14ac:dyDescent="0.2">
      <c r="B54" s="27" t="s">
        <v>197</v>
      </c>
      <c r="C54" s="23" t="s">
        <v>198</v>
      </c>
      <c r="D54" s="23" t="s">
        <v>164</v>
      </c>
      <c r="E54" s="28">
        <v>650000</v>
      </c>
      <c r="F54" s="25">
        <v>2077.73</v>
      </c>
      <c r="G54" s="25">
        <v>0.57999999999999996</v>
      </c>
      <c r="H54" s="26"/>
    </row>
    <row r="55" spans="2:10" x14ac:dyDescent="0.2">
      <c r="B55" s="27" t="s">
        <v>61</v>
      </c>
      <c r="C55" s="23" t="s">
        <v>62</v>
      </c>
      <c r="D55" s="23" t="s">
        <v>63</v>
      </c>
      <c r="E55" s="28">
        <v>114535</v>
      </c>
      <c r="F55" s="25">
        <v>1946.18</v>
      </c>
      <c r="G55" s="25">
        <v>0.55000000000000004</v>
      </c>
      <c r="H55" s="26"/>
    </row>
    <row r="56" spans="2:10" x14ac:dyDescent="0.2">
      <c r="B56" s="27" t="s">
        <v>248</v>
      </c>
      <c r="C56" s="23" t="s">
        <v>249</v>
      </c>
      <c r="D56" s="23" t="s">
        <v>227</v>
      </c>
      <c r="E56" s="28">
        <v>1035947</v>
      </c>
      <c r="F56" s="25">
        <v>1588.11</v>
      </c>
      <c r="G56" s="25">
        <v>0.45</v>
      </c>
      <c r="H56" s="26"/>
    </row>
    <row r="57" spans="2:10" x14ac:dyDescent="0.2">
      <c r="B57" s="27" t="s">
        <v>209</v>
      </c>
      <c r="C57" s="23" t="s">
        <v>210</v>
      </c>
      <c r="D57" s="23" t="s">
        <v>127</v>
      </c>
      <c r="E57" s="28">
        <v>51117</v>
      </c>
      <c r="F57" s="25">
        <v>1111.67</v>
      </c>
      <c r="G57" s="25">
        <v>0.31</v>
      </c>
      <c r="H57" s="26"/>
    </row>
    <row r="58" spans="2:10" x14ac:dyDescent="0.2">
      <c r="B58" s="27" t="s">
        <v>201</v>
      </c>
      <c r="C58" s="23" t="s">
        <v>202</v>
      </c>
      <c r="D58" s="23" t="s">
        <v>130</v>
      </c>
      <c r="E58" s="28">
        <v>70871</v>
      </c>
      <c r="F58" s="25">
        <v>353.75</v>
      </c>
      <c r="G58" s="25">
        <v>0.1</v>
      </c>
      <c r="H58" s="26"/>
    </row>
    <row r="59" spans="2:10" x14ac:dyDescent="0.2">
      <c r="B59" s="29" t="s">
        <v>111</v>
      </c>
      <c r="C59" s="30"/>
      <c r="D59" s="30"/>
      <c r="E59" s="31"/>
      <c r="F59" s="32">
        <f>SUM(F7:F58)</f>
        <v>258431.94999999998</v>
      </c>
      <c r="G59" s="32">
        <f>SUM(G7:G58)</f>
        <v>72.530000000000015</v>
      </c>
      <c r="H59" s="33"/>
      <c r="I59" s="14"/>
      <c r="J59" s="14"/>
    </row>
    <row r="60" spans="2:10" x14ac:dyDescent="0.2">
      <c r="B60" s="37" t="s">
        <v>112</v>
      </c>
      <c r="C60" s="37"/>
      <c r="D60" s="37"/>
      <c r="E60" s="38"/>
      <c r="F60" s="39">
        <f>F59</f>
        <v>258431.94999999998</v>
      </c>
      <c r="G60" s="39">
        <f>G59</f>
        <v>72.530000000000015</v>
      </c>
      <c r="H60" s="15"/>
      <c r="I60" s="14"/>
      <c r="J60" s="14"/>
    </row>
    <row r="61" spans="2:10" x14ac:dyDescent="0.2">
      <c r="B61" s="46" t="s">
        <v>345</v>
      </c>
      <c r="C61" s="41"/>
      <c r="D61" s="41"/>
      <c r="E61" s="42"/>
      <c r="F61" s="43"/>
      <c r="G61" s="43"/>
      <c r="H61" s="43"/>
    </row>
    <row r="62" spans="2:10" x14ac:dyDescent="0.2">
      <c r="B62" s="47" t="s">
        <v>32</v>
      </c>
      <c r="C62" s="23"/>
      <c r="D62" s="23"/>
      <c r="E62" s="24"/>
      <c r="F62" s="25"/>
      <c r="G62" s="25"/>
      <c r="H62" s="25"/>
    </row>
    <row r="63" spans="2:10" x14ac:dyDescent="0.2">
      <c r="B63" s="23" t="s">
        <v>346</v>
      </c>
      <c r="C63" s="23" t="s">
        <v>347</v>
      </c>
      <c r="D63" s="23" t="s">
        <v>348</v>
      </c>
      <c r="E63" s="28">
        <v>450</v>
      </c>
      <c r="F63" s="25">
        <v>4733.01</v>
      </c>
      <c r="G63" s="25">
        <v>1.33</v>
      </c>
      <c r="H63" s="25">
        <v>4.63</v>
      </c>
    </row>
    <row r="64" spans="2:10" x14ac:dyDescent="0.2">
      <c r="B64" s="23" t="s">
        <v>349</v>
      </c>
      <c r="C64" s="23" t="s">
        <v>350</v>
      </c>
      <c r="D64" s="23" t="s">
        <v>348</v>
      </c>
      <c r="E64" s="28">
        <v>450</v>
      </c>
      <c r="F64" s="25">
        <v>4523.5</v>
      </c>
      <c r="G64" s="25">
        <v>1.27</v>
      </c>
      <c r="H64" s="25">
        <v>3.32</v>
      </c>
    </row>
    <row r="65" spans="2:8" x14ac:dyDescent="0.2">
      <c r="B65" s="23" t="s">
        <v>351</v>
      </c>
      <c r="C65" s="23" t="s">
        <v>352</v>
      </c>
      <c r="D65" s="23" t="s">
        <v>348</v>
      </c>
      <c r="E65" s="28">
        <v>350</v>
      </c>
      <c r="F65" s="25">
        <v>3609.06</v>
      </c>
      <c r="G65" s="25">
        <v>1.01</v>
      </c>
      <c r="H65" s="25">
        <v>3.85</v>
      </c>
    </row>
    <row r="66" spans="2:8" x14ac:dyDescent="0.2">
      <c r="B66" s="23" t="s">
        <v>353</v>
      </c>
      <c r="C66" s="23" t="s">
        <v>354</v>
      </c>
      <c r="D66" s="23" t="s">
        <v>348</v>
      </c>
      <c r="E66" s="28">
        <v>300</v>
      </c>
      <c r="F66" s="25">
        <v>3392.07</v>
      </c>
      <c r="G66" s="25">
        <v>0.95</v>
      </c>
      <c r="H66" s="25">
        <v>6.52</v>
      </c>
    </row>
    <row r="67" spans="2:8" x14ac:dyDescent="0.2">
      <c r="B67" s="23" t="s">
        <v>355</v>
      </c>
      <c r="C67" s="23" t="s">
        <v>356</v>
      </c>
      <c r="D67" s="23" t="s">
        <v>348</v>
      </c>
      <c r="E67" s="28">
        <v>300</v>
      </c>
      <c r="F67" s="25">
        <v>3017.47</v>
      </c>
      <c r="G67" s="25">
        <v>0.85</v>
      </c>
      <c r="H67" s="25">
        <v>3.29</v>
      </c>
    </row>
    <row r="68" spans="2:8" x14ac:dyDescent="0.2">
      <c r="B68" s="23" t="s">
        <v>357</v>
      </c>
      <c r="C68" s="23" t="s">
        <v>358</v>
      </c>
      <c r="D68" s="23" t="s">
        <v>348</v>
      </c>
      <c r="E68" s="28">
        <v>250</v>
      </c>
      <c r="F68" s="25">
        <v>2620.19</v>
      </c>
      <c r="G68" s="25">
        <v>0.74</v>
      </c>
      <c r="H68" s="25">
        <v>4.62</v>
      </c>
    </row>
    <row r="69" spans="2:8" x14ac:dyDescent="0.2">
      <c r="B69" s="23" t="s">
        <v>359</v>
      </c>
      <c r="C69" s="23" t="s">
        <v>360</v>
      </c>
      <c r="D69" s="23" t="s">
        <v>361</v>
      </c>
      <c r="E69" s="28">
        <v>250</v>
      </c>
      <c r="F69" s="25">
        <v>2577.1</v>
      </c>
      <c r="G69" s="25">
        <v>0.72</v>
      </c>
      <c r="H69" s="25">
        <v>4.1500000000000004</v>
      </c>
    </row>
    <row r="70" spans="2:8" x14ac:dyDescent="0.2">
      <c r="B70" s="23" t="s">
        <v>362</v>
      </c>
      <c r="C70" s="23" t="s">
        <v>363</v>
      </c>
      <c r="D70" s="23" t="s">
        <v>348</v>
      </c>
      <c r="E70" s="28">
        <v>250</v>
      </c>
      <c r="F70" s="25">
        <v>2567.9299999999998</v>
      </c>
      <c r="G70" s="25">
        <v>0.72</v>
      </c>
      <c r="H70" s="25">
        <v>3.91</v>
      </c>
    </row>
    <row r="71" spans="2:8" x14ac:dyDescent="0.2">
      <c r="B71" s="23" t="s">
        <v>364</v>
      </c>
      <c r="C71" s="23" t="s">
        <v>365</v>
      </c>
      <c r="D71" s="23" t="s">
        <v>348</v>
      </c>
      <c r="E71" s="28">
        <v>250</v>
      </c>
      <c r="F71" s="25">
        <v>2510.15</v>
      </c>
      <c r="G71" s="25">
        <v>0.7</v>
      </c>
      <c r="H71" s="25">
        <v>3.4</v>
      </c>
    </row>
    <row r="72" spans="2:8" x14ac:dyDescent="0.2">
      <c r="B72" s="23" t="s">
        <v>366</v>
      </c>
      <c r="C72" s="23" t="s">
        <v>367</v>
      </c>
      <c r="D72" s="23" t="s">
        <v>348</v>
      </c>
      <c r="E72" s="28">
        <v>250</v>
      </c>
      <c r="F72" s="25">
        <v>2496.7800000000002</v>
      </c>
      <c r="G72" s="25">
        <v>0.7</v>
      </c>
      <c r="H72" s="25">
        <v>5.48</v>
      </c>
    </row>
    <row r="73" spans="2:8" x14ac:dyDescent="0.2">
      <c r="B73" s="23" t="s">
        <v>368</v>
      </c>
      <c r="C73" s="23" t="s">
        <v>369</v>
      </c>
      <c r="D73" s="23" t="s">
        <v>348</v>
      </c>
      <c r="E73" s="28">
        <v>200</v>
      </c>
      <c r="F73" s="25">
        <v>2155.59</v>
      </c>
      <c r="G73" s="25">
        <v>0.6</v>
      </c>
      <c r="H73" s="25">
        <v>5.59</v>
      </c>
    </row>
    <row r="74" spans="2:8" x14ac:dyDescent="0.2">
      <c r="B74" s="23" t="s">
        <v>370</v>
      </c>
      <c r="C74" s="23" t="s">
        <v>371</v>
      </c>
      <c r="D74" s="23" t="s">
        <v>348</v>
      </c>
      <c r="E74" s="28">
        <v>150</v>
      </c>
      <c r="F74" s="25">
        <v>1678.87</v>
      </c>
      <c r="G74" s="25">
        <v>0.47</v>
      </c>
      <c r="H74" s="25">
        <v>6.48</v>
      </c>
    </row>
    <row r="75" spans="2:8" x14ac:dyDescent="0.2">
      <c r="B75" s="23" t="s">
        <v>372</v>
      </c>
      <c r="C75" s="23" t="s">
        <v>373</v>
      </c>
      <c r="D75" s="23" t="s">
        <v>348</v>
      </c>
      <c r="E75" s="28">
        <v>150</v>
      </c>
      <c r="F75" s="25">
        <v>1621.32</v>
      </c>
      <c r="G75" s="25">
        <v>0.45</v>
      </c>
      <c r="H75" s="25">
        <v>5.14</v>
      </c>
    </row>
    <row r="76" spans="2:8" x14ac:dyDescent="0.2">
      <c r="B76" s="23" t="s">
        <v>374</v>
      </c>
      <c r="C76" s="23" t="s">
        <v>375</v>
      </c>
      <c r="D76" s="23" t="s">
        <v>348</v>
      </c>
      <c r="E76" s="28">
        <v>150</v>
      </c>
      <c r="F76" s="25">
        <v>1597.59</v>
      </c>
      <c r="G76" s="25">
        <v>0.45</v>
      </c>
      <c r="H76" s="25">
        <v>5.75</v>
      </c>
    </row>
    <row r="77" spans="2:8" x14ac:dyDescent="0.2">
      <c r="B77" s="23" t="s">
        <v>376</v>
      </c>
      <c r="C77" s="23" t="s">
        <v>377</v>
      </c>
      <c r="D77" s="23" t="s">
        <v>348</v>
      </c>
      <c r="E77" s="28">
        <v>150</v>
      </c>
      <c r="F77" s="25">
        <v>1578.09</v>
      </c>
      <c r="G77" s="25">
        <v>0.44</v>
      </c>
      <c r="H77" s="25">
        <v>4.76</v>
      </c>
    </row>
    <row r="78" spans="2:8" x14ac:dyDescent="0.2">
      <c r="B78" s="23" t="s">
        <v>378</v>
      </c>
      <c r="C78" s="23" t="s">
        <v>379</v>
      </c>
      <c r="D78" s="23" t="s">
        <v>348</v>
      </c>
      <c r="E78" s="28">
        <v>150</v>
      </c>
      <c r="F78" s="25">
        <v>1541.36</v>
      </c>
      <c r="G78" s="25">
        <v>0.43</v>
      </c>
      <c r="H78" s="25">
        <v>3.85</v>
      </c>
    </row>
    <row r="79" spans="2:8" x14ac:dyDescent="0.2">
      <c r="B79" s="23" t="s">
        <v>380</v>
      </c>
      <c r="C79" s="23" t="s">
        <v>381</v>
      </c>
      <c r="D79" s="23" t="s">
        <v>361</v>
      </c>
      <c r="E79" s="28">
        <v>150</v>
      </c>
      <c r="F79" s="25">
        <v>1526.24</v>
      </c>
      <c r="G79" s="25">
        <v>0.43</v>
      </c>
      <c r="H79" s="25">
        <v>3.59</v>
      </c>
    </row>
    <row r="80" spans="2:8" x14ac:dyDescent="0.2">
      <c r="B80" s="23" t="s">
        <v>382</v>
      </c>
      <c r="C80" s="23" t="s">
        <v>383</v>
      </c>
      <c r="D80" s="23" t="s">
        <v>384</v>
      </c>
      <c r="E80" s="28">
        <v>152</v>
      </c>
      <c r="F80" s="25">
        <v>1485.73</v>
      </c>
      <c r="G80" s="25">
        <v>0.42</v>
      </c>
      <c r="H80" s="25">
        <v>3.71</v>
      </c>
    </row>
    <row r="81" spans="2:8" x14ac:dyDescent="0.2">
      <c r="B81" s="23" t="s">
        <v>385</v>
      </c>
      <c r="C81" s="23" t="s">
        <v>386</v>
      </c>
      <c r="D81" s="23" t="s">
        <v>348</v>
      </c>
      <c r="E81" s="28">
        <v>112</v>
      </c>
      <c r="F81" s="25">
        <v>1251.19</v>
      </c>
      <c r="G81" s="25">
        <v>0.35</v>
      </c>
      <c r="H81" s="25">
        <v>6.45</v>
      </c>
    </row>
    <row r="82" spans="2:8" x14ac:dyDescent="0.2">
      <c r="B82" s="23" t="s">
        <v>387</v>
      </c>
      <c r="C82" s="23" t="s">
        <v>388</v>
      </c>
      <c r="D82" s="23" t="s">
        <v>348</v>
      </c>
      <c r="E82" s="28">
        <v>100</v>
      </c>
      <c r="F82" s="25">
        <v>1121.69</v>
      </c>
      <c r="G82" s="25">
        <v>0.31</v>
      </c>
      <c r="H82" s="25">
        <v>6.81</v>
      </c>
    </row>
    <row r="83" spans="2:8" x14ac:dyDescent="0.2">
      <c r="B83" s="23" t="s">
        <v>389</v>
      </c>
      <c r="C83" s="23" t="s">
        <v>390</v>
      </c>
      <c r="D83" s="23" t="s">
        <v>348</v>
      </c>
      <c r="E83" s="28">
        <v>100</v>
      </c>
      <c r="F83" s="25">
        <v>1118.1300000000001</v>
      </c>
      <c r="G83" s="25">
        <v>0.31</v>
      </c>
      <c r="H83" s="25">
        <v>6.48</v>
      </c>
    </row>
    <row r="84" spans="2:8" x14ac:dyDescent="0.2">
      <c r="B84" s="23" t="s">
        <v>391</v>
      </c>
      <c r="C84" s="23" t="s">
        <v>392</v>
      </c>
      <c r="D84" s="23" t="s">
        <v>348</v>
      </c>
      <c r="E84" s="28">
        <v>100</v>
      </c>
      <c r="F84" s="25">
        <v>1080.9100000000001</v>
      </c>
      <c r="G84" s="25">
        <v>0.3</v>
      </c>
      <c r="H84" s="25">
        <v>5.75</v>
      </c>
    </row>
    <row r="85" spans="2:8" x14ac:dyDescent="0.2">
      <c r="B85" s="23" t="s">
        <v>393</v>
      </c>
      <c r="C85" s="23" t="s">
        <v>394</v>
      </c>
      <c r="D85" s="23" t="s">
        <v>348</v>
      </c>
      <c r="E85" s="28">
        <v>100</v>
      </c>
      <c r="F85" s="25">
        <v>1070.4100000000001</v>
      </c>
      <c r="G85" s="25">
        <v>0.3</v>
      </c>
      <c r="H85" s="25">
        <v>5.75</v>
      </c>
    </row>
    <row r="86" spans="2:8" x14ac:dyDescent="0.2">
      <c r="B86" s="23" t="s">
        <v>395</v>
      </c>
      <c r="C86" s="23" t="s">
        <v>396</v>
      </c>
      <c r="D86" s="23" t="s">
        <v>348</v>
      </c>
      <c r="E86" s="28">
        <v>100</v>
      </c>
      <c r="F86" s="25">
        <v>1045.78</v>
      </c>
      <c r="G86" s="25">
        <v>0.28999999999999998</v>
      </c>
      <c r="H86" s="25">
        <v>4.76</v>
      </c>
    </row>
    <row r="87" spans="2:8" x14ac:dyDescent="0.2">
      <c r="B87" s="23" t="s">
        <v>397</v>
      </c>
      <c r="C87" s="23" t="s">
        <v>398</v>
      </c>
      <c r="D87" s="23" t="s">
        <v>384</v>
      </c>
      <c r="E87" s="28">
        <v>100</v>
      </c>
      <c r="F87" s="25">
        <v>1035.7</v>
      </c>
      <c r="G87" s="25">
        <v>0.28999999999999998</v>
      </c>
      <c r="H87" s="25">
        <v>4.5999999999999996</v>
      </c>
    </row>
    <row r="88" spans="2:8" x14ac:dyDescent="0.2">
      <c r="B88" s="23" t="s">
        <v>399</v>
      </c>
      <c r="C88" s="23" t="s">
        <v>400</v>
      </c>
      <c r="D88" s="23" t="s">
        <v>348</v>
      </c>
      <c r="E88" s="28">
        <v>100</v>
      </c>
      <c r="F88" s="25">
        <v>1029.6199999999999</v>
      </c>
      <c r="G88" s="25">
        <v>0.28999999999999998</v>
      </c>
      <c r="H88" s="25">
        <v>3.71</v>
      </c>
    </row>
    <row r="89" spans="2:8" x14ac:dyDescent="0.2">
      <c r="B89" s="23" t="s">
        <v>401</v>
      </c>
      <c r="C89" s="23" t="s">
        <v>402</v>
      </c>
      <c r="D89" s="23" t="s">
        <v>348</v>
      </c>
      <c r="E89" s="28">
        <v>69</v>
      </c>
      <c r="F89" s="25">
        <v>710.97</v>
      </c>
      <c r="G89" s="25">
        <v>0.2</v>
      </c>
      <c r="H89" s="25">
        <v>3.85</v>
      </c>
    </row>
    <row r="90" spans="2:8" x14ac:dyDescent="0.2">
      <c r="B90" s="23" t="s">
        <v>403</v>
      </c>
      <c r="C90" s="23" t="s">
        <v>404</v>
      </c>
      <c r="D90" s="23" t="s">
        <v>348</v>
      </c>
      <c r="E90" s="28">
        <v>70</v>
      </c>
      <c r="F90" s="25">
        <v>710.33</v>
      </c>
      <c r="G90" s="25">
        <v>0.2</v>
      </c>
      <c r="H90" s="25">
        <v>3.49</v>
      </c>
    </row>
    <row r="91" spans="2:8" x14ac:dyDescent="0.2">
      <c r="B91" s="23" t="s">
        <v>405</v>
      </c>
      <c r="C91" s="23" t="s">
        <v>406</v>
      </c>
      <c r="D91" s="23" t="s">
        <v>348</v>
      </c>
      <c r="E91" s="28">
        <v>60</v>
      </c>
      <c r="F91" s="25">
        <v>631.49</v>
      </c>
      <c r="G91" s="25">
        <v>0.18</v>
      </c>
      <c r="H91" s="25">
        <v>4.1900000000000004</v>
      </c>
    </row>
    <row r="92" spans="2:8" x14ac:dyDescent="0.2">
      <c r="B92" s="23" t="s">
        <v>407</v>
      </c>
      <c r="C92" s="23" t="s">
        <v>408</v>
      </c>
      <c r="D92" s="23" t="s">
        <v>348</v>
      </c>
      <c r="E92" s="28">
        <v>50</v>
      </c>
      <c r="F92" s="25">
        <v>560.52</v>
      </c>
      <c r="G92" s="25">
        <v>0.16</v>
      </c>
      <c r="H92" s="25">
        <v>6.35</v>
      </c>
    </row>
    <row r="93" spans="2:8" x14ac:dyDescent="0.2">
      <c r="B93" s="23" t="s">
        <v>409</v>
      </c>
      <c r="C93" s="23" t="s">
        <v>410</v>
      </c>
      <c r="D93" s="23" t="s">
        <v>348</v>
      </c>
      <c r="E93" s="28">
        <v>50</v>
      </c>
      <c r="F93" s="25">
        <v>547.96</v>
      </c>
      <c r="G93" s="25">
        <v>0.15</v>
      </c>
      <c r="H93" s="25">
        <v>5.04</v>
      </c>
    </row>
    <row r="94" spans="2:8" x14ac:dyDescent="0.2">
      <c r="B94" s="23" t="s">
        <v>411</v>
      </c>
      <c r="C94" s="23" t="s">
        <v>412</v>
      </c>
      <c r="D94" s="23" t="s">
        <v>348</v>
      </c>
      <c r="E94" s="28">
        <v>50</v>
      </c>
      <c r="F94" s="25">
        <v>532.97</v>
      </c>
      <c r="G94" s="25">
        <v>0.15</v>
      </c>
      <c r="H94" s="25">
        <v>6.82</v>
      </c>
    </row>
    <row r="95" spans="2:8" x14ac:dyDescent="0.2">
      <c r="B95" s="23" t="s">
        <v>413</v>
      </c>
      <c r="C95" s="23" t="s">
        <v>414</v>
      </c>
      <c r="D95" s="23" t="s">
        <v>348</v>
      </c>
      <c r="E95" s="28">
        <v>50</v>
      </c>
      <c r="F95" s="25">
        <v>531.29</v>
      </c>
      <c r="G95" s="25">
        <v>0.15</v>
      </c>
      <c r="H95" s="25">
        <v>6.35</v>
      </c>
    </row>
    <row r="96" spans="2:8" x14ac:dyDescent="0.2">
      <c r="B96" s="23" t="s">
        <v>415</v>
      </c>
      <c r="C96" s="23" t="s">
        <v>416</v>
      </c>
      <c r="D96" s="23" t="s">
        <v>348</v>
      </c>
      <c r="E96" s="28">
        <v>50</v>
      </c>
      <c r="F96" s="25">
        <v>518.29999999999995</v>
      </c>
      <c r="G96" s="25">
        <v>0.15</v>
      </c>
      <c r="H96" s="25">
        <v>4.58</v>
      </c>
    </row>
    <row r="97" spans="2:10" x14ac:dyDescent="0.2">
      <c r="B97" s="23" t="s">
        <v>417</v>
      </c>
      <c r="C97" s="23" t="s">
        <v>418</v>
      </c>
      <c r="D97" s="23" t="s">
        <v>348</v>
      </c>
      <c r="E97" s="28">
        <v>10</v>
      </c>
      <c r="F97" s="25">
        <v>105.31</v>
      </c>
      <c r="G97" s="25">
        <v>0.03</v>
      </c>
      <c r="H97" s="25">
        <v>4.13</v>
      </c>
    </row>
    <row r="98" spans="2:10" x14ac:dyDescent="0.2">
      <c r="B98" s="30" t="s">
        <v>111</v>
      </c>
      <c r="C98" s="30"/>
      <c r="D98" s="30"/>
      <c r="E98" s="31"/>
      <c r="F98" s="32">
        <f>SUM(F62:F97)</f>
        <v>58834.62</v>
      </c>
      <c r="G98" s="32">
        <f>SUM(G62:G97)</f>
        <v>16.489999999999991</v>
      </c>
      <c r="H98" s="48"/>
      <c r="I98" s="14"/>
      <c r="J98" s="14"/>
    </row>
    <row r="99" spans="2:10" x14ac:dyDescent="0.2">
      <c r="B99" s="49" t="s">
        <v>112</v>
      </c>
      <c r="C99" s="49"/>
      <c r="D99" s="49"/>
      <c r="E99" s="50"/>
      <c r="F99" s="51">
        <f>F98</f>
        <v>58834.62</v>
      </c>
      <c r="G99" s="51">
        <f>G98</f>
        <v>16.489999999999991</v>
      </c>
      <c r="H99" s="51"/>
      <c r="I99" s="14"/>
      <c r="J99" s="14"/>
    </row>
    <row r="100" spans="2:10" x14ac:dyDescent="0.2">
      <c r="B100" s="47" t="s">
        <v>419</v>
      </c>
      <c r="C100" s="23"/>
      <c r="D100" s="23"/>
      <c r="E100" s="24"/>
      <c r="F100" s="25"/>
      <c r="G100" s="25"/>
      <c r="H100" s="25"/>
    </row>
    <row r="101" spans="2:10" x14ac:dyDescent="0.2">
      <c r="B101" s="47" t="s">
        <v>420</v>
      </c>
      <c r="C101" s="23"/>
      <c r="D101" s="23"/>
      <c r="E101" s="24"/>
      <c r="F101" s="25"/>
      <c r="G101" s="25"/>
      <c r="H101" s="25"/>
    </row>
    <row r="102" spans="2:10" x14ac:dyDescent="0.2">
      <c r="B102" s="23" t="s">
        <v>421</v>
      </c>
      <c r="C102" s="23" t="s">
        <v>422</v>
      </c>
      <c r="D102" s="23" t="s">
        <v>423</v>
      </c>
      <c r="E102" s="28">
        <v>3000000</v>
      </c>
      <c r="F102" s="25">
        <v>2998.97</v>
      </c>
      <c r="G102" s="25">
        <v>0.84</v>
      </c>
      <c r="H102" s="25">
        <v>3.15</v>
      </c>
    </row>
    <row r="103" spans="2:10" x14ac:dyDescent="0.2">
      <c r="B103" s="30" t="s">
        <v>111</v>
      </c>
      <c r="C103" s="30"/>
      <c r="D103" s="30"/>
      <c r="E103" s="31"/>
      <c r="F103" s="32">
        <f>SUM(F101:F102)</f>
        <v>2998.97</v>
      </c>
      <c r="G103" s="32">
        <f>SUM(G101:G102)</f>
        <v>0.84</v>
      </c>
      <c r="H103" s="48"/>
      <c r="I103" s="14"/>
      <c r="J103" s="14"/>
    </row>
    <row r="104" spans="2:10" x14ac:dyDescent="0.2">
      <c r="B104" s="49" t="s">
        <v>112</v>
      </c>
      <c r="C104" s="49"/>
      <c r="D104" s="49"/>
      <c r="E104" s="50"/>
      <c r="F104" s="51">
        <f>+F103</f>
        <v>2998.97</v>
      </c>
      <c r="G104" s="51">
        <f>+G103</f>
        <v>0.84</v>
      </c>
      <c r="H104" s="51"/>
      <c r="I104" s="14"/>
      <c r="J104" s="14"/>
    </row>
    <row r="105" spans="2:10" x14ac:dyDescent="0.2">
      <c r="B105" s="47" t="s">
        <v>424</v>
      </c>
      <c r="C105" s="23"/>
      <c r="D105" s="23"/>
      <c r="E105" s="24"/>
      <c r="F105" s="25"/>
      <c r="G105" s="25"/>
      <c r="H105" s="25"/>
    </row>
    <row r="106" spans="2:10" x14ac:dyDescent="0.2">
      <c r="B106" s="23" t="s">
        <v>425</v>
      </c>
      <c r="C106" s="23" t="s">
        <v>426</v>
      </c>
      <c r="D106" s="23" t="s">
        <v>427</v>
      </c>
      <c r="E106" s="28">
        <v>4000000</v>
      </c>
      <c r="F106" s="25">
        <v>4320.24</v>
      </c>
      <c r="G106" s="25">
        <v>1.21</v>
      </c>
      <c r="H106" s="25">
        <v>4.63</v>
      </c>
    </row>
    <row r="107" spans="2:10" x14ac:dyDescent="0.2">
      <c r="B107" s="23" t="s">
        <v>428</v>
      </c>
      <c r="C107" s="23" t="s">
        <v>429</v>
      </c>
      <c r="D107" s="23" t="s">
        <v>427</v>
      </c>
      <c r="E107" s="28">
        <v>3000000</v>
      </c>
      <c r="F107" s="25">
        <v>3245.88</v>
      </c>
      <c r="G107" s="25">
        <v>0.91</v>
      </c>
      <c r="H107" s="25">
        <v>5.98</v>
      </c>
    </row>
    <row r="108" spans="2:10" x14ac:dyDescent="0.2">
      <c r="B108" s="23" t="s">
        <v>430</v>
      </c>
      <c r="C108" s="23" t="s">
        <v>431</v>
      </c>
      <c r="D108" s="23" t="s">
        <v>427</v>
      </c>
      <c r="E108" s="28">
        <v>3000000</v>
      </c>
      <c r="F108" s="25">
        <v>3133.96</v>
      </c>
      <c r="G108" s="25">
        <v>0.88</v>
      </c>
      <c r="H108" s="25">
        <v>4.9400000000000004</v>
      </c>
    </row>
    <row r="109" spans="2:10" x14ac:dyDescent="0.2">
      <c r="B109" s="23" t="s">
        <v>432</v>
      </c>
      <c r="C109" s="23" t="s">
        <v>433</v>
      </c>
      <c r="D109" s="23" t="s">
        <v>427</v>
      </c>
      <c r="E109" s="28">
        <v>1500000</v>
      </c>
      <c r="F109" s="25">
        <v>1579.16</v>
      </c>
      <c r="G109" s="25">
        <v>0.44</v>
      </c>
      <c r="H109" s="25">
        <v>4.22</v>
      </c>
    </row>
    <row r="110" spans="2:10" x14ac:dyDescent="0.2">
      <c r="B110" s="23" t="s">
        <v>434</v>
      </c>
      <c r="C110" s="23" t="s">
        <v>435</v>
      </c>
      <c r="D110" s="23" t="s">
        <v>427</v>
      </c>
      <c r="E110" s="28">
        <v>1100000</v>
      </c>
      <c r="F110" s="25">
        <v>1091.0999999999999</v>
      </c>
      <c r="G110" s="25">
        <v>0.31</v>
      </c>
      <c r="H110" s="25">
        <v>5.88</v>
      </c>
    </row>
    <row r="111" spans="2:10" x14ac:dyDescent="0.2">
      <c r="B111" s="23" t="s">
        <v>436</v>
      </c>
      <c r="C111" s="23" t="s">
        <v>437</v>
      </c>
      <c r="D111" s="23" t="s">
        <v>427</v>
      </c>
      <c r="E111" s="28">
        <v>1000000</v>
      </c>
      <c r="F111" s="25">
        <v>1068.6600000000001</v>
      </c>
      <c r="G111" s="25">
        <v>0.3</v>
      </c>
      <c r="H111" s="25">
        <v>4.3899999999999997</v>
      </c>
    </row>
    <row r="112" spans="2:10" x14ac:dyDescent="0.2">
      <c r="B112" s="23" t="s">
        <v>438</v>
      </c>
      <c r="C112" s="23" t="s">
        <v>439</v>
      </c>
      <c r="D112" s="23" t="s">
        <v>427</v>
      </c>
      <c r="E112" s="28">
        <v>1000000</v>
      </c>
      <c r="F112" s="25">
        <v>1058.06</v>
      </c>
      <c r="G112" s="25">
        <v>0.3</v>
      </c>
      <c r="H112" s="25">
        <v>5.71</v>
      </c>
    </row>
    <row r="113" spans="2:10" x14ac:dyDescent="0.2">
      <c r="B113" s="23" t="s">
        <v>440</v>
      </c>
      <c r="C113" s="23" t="s">
        <v>441</v>
      </c>
      <c r="D113" s="23" t="s">
        <v>427</v>
      </c>
      <c r="E113" s="28">
        <v>500000</v>
      </c>
      <c r="F113" s="25">
        <v>564.73</v>
      </c>
      <c r="G113" s="25">
        <v>0.16</v>
      </c>
      <c r="H113" s="25">
        <v>5.76</v>
      </c>
    </row>
    <row r="114" spans="2:10" x14ac:dyDescent="0.2">
      <c r="B114" s="23" t="s">
        <v>442</v>
      </c>
      <c r="C114" s="23" t="s">
        <v>443</v>
      </c>
      <c r="D114" s="23" t="s">
        <v>427</v>
      </c>
      <c r="E114" s="28">
        <v>500000</v>
      </c>
      <c r="F114" s="25">
        <v>563.26</v>
      </c>
      <c r="G114" s="25">
        <v>0.16</v>
      </c>
      <c r="H114" s="25">
        <v>5.66</v>
      </c>
    </row>
    <row r="115" spans="2:10" x14ac:dyDescent="0.2">
      <c r="B115" s="23" t="s">
        <v>444</v>
      </c>
      <c r="C115" s="23" t="s">
        <v>445</v>
      </c>
      <c r="D115" s="23" t="s">
        <v>427</v>
      </c>
      <c r="E115" s="28">
        <v>500000</v>
      </c>
      <c r="F115" s="25">
        <v>533.03</v>
      </c>
      <c r="G115" s="25">
        <v>0.15</v>
      </c>
      <c r="H115" s="25">
        <v>6.65</v>
      </c>
    </row>
    <row r="116" spans="2:10" x14ac:dyDescent="0.2">
      <c r="B116" s="23" t="s">
        <v>446</v>
      </c>
      <c r="C116" s="23" t="s">
        <v>447</v>
      </c>
      <c r="D116" s="23" t="s">
        <v>427</v>
      </c>
      <c r="E116" s="28">
        <v>500000</v>
      </c>
      <c r="F116" s="25">
        <v>526.25</v>
      </c>
      <c r="G116" s="25">
        <v>0.15</v>
      </c>
      <c r="H116" s="25">
        <v>6.03</v>
      </c>
    </row>
    <row r="117" spans="2:10" x14ac:dyDescent="0.2">
      <c r="B117" s="23" t="s">
        <v>448</v>
      </c>
      <c r="C117" s="23" t="s">
        <v>449</v>
      </c>
      <c r="D117" s="23" t="s">
        <v>427</v>
      </c>
      <c r="E117" s="28">
        <v>500000</v>
      </c>
      <c r="F117" s="25">
        <v>501.06</v>
      </c>
      <c r="G117" s="25">
        <v>0.14000000000000001</v>
      </c>
      <c r="H117" s="25">
        <v>5.17</v>
      </c>
    </row>
    <row r="118" spans="2:10" x14ac:dyDescent="0.2">
      <c r="B118" s="52" t="s">
        <v>450</v>
      </c>
      <c r="C118" s="52" t="s">
        <v>451</v>
      </c>
      <c r="D118" s="52" t="s">
        <v>427</v>
      </c>
      <c r="E118" s="53">
        <v>191700</v>
      </c>
      <c r="F118" s="54">
        <v>200.84</v>
      </c>
      <c r="G118" s="54">
        <v>0.06</v>
      </c>
      <c r="H118" s="54">
        <v>4.17</v>
      </c>
    </row>
    <row r="119" spans="2:10" x14ac:dyDescent="0.2">
      <c r="B119" s="55" t="s">
        <v>112</v>
      </c>
      <c r="C119" s="55"/>
      <c r="D119" s="55"/>
      <c r="E119" s="56"/>
      <c r="F119" s="57">
        <f>SUM(F106:F118)</f>
        <v>18386.23</v>
      </c>
      <c r="G119" s="57">
        <f>SUM(G106:G118)</f>
        <v>5.17</v>
      </c>
      <c r="H119" s="57"/>
      <c r="I119" s="14"/>
      <c r="J119" s="14"/>
    </row>
    <row r="120" spans="2:10" x14ac:dyDescent="0.2">
      <c r="B120" s="47" t="s">
        <v>113</v>
      </c>
      <c r="C120" s="23"/>
      <c r="D120" s="23"/>
      <c r="E120" s="24"/>
      <c r="F120" s="25"/>
      <c r="G120" s="25"/>
      <c r="H120" s="25"/>
    </row>
    <row r="121" spans="2:10" x14ac:dyDescent="0.2">
      <c r="B121" s="23" t="s">
        <v>113</v>
      </c>
      <c r="C121" s="23"/>
      <c r="D121" s="23"/>
      <c r="E121" s="24"/>
      <c r="F121" s="25">
        <v>17999.099999999999</v>
      </c>
      <c r="G121" s="25">
        <v>5.05</v>
      </c>
      <c r="H121" s="25"/>
    </row>
    <row r="122" spans="2:10" x14ac:dyDescent="0.2">
      <c r="B122" s="30" t="s">
        <v>111</v>
      </c>
      <c r="C122" s="30"/>
      <c r="D122" s="30"/>
      <c r="E122" s="31"/>
      <c r="F122" s="32">
        <f>SUM(F120:F121)</f>
        <v>17999.099999999999</v>
      </c>
      <c r="G122" s="32">
        <f>SUM(G120:G121)</f>
        <v>5.05</v>
      </c>
      <c r="H122" s="48"/>
      <c r="I122" s="14"/>
      <c r="J122" s="14"/>
    </row>
    <row r="123" spans="2:10" x14ac:dyDescent="0.2">
      <c r="B123" s="34" t="s">
        <v>112</v>
      </c>
      <c r="C123" s="34"/>
      <c r="D123" s="34"/>
      <c r="E123" s="35"/>
      <c r="F123" s="36">
        <f>F122</f>
        <v>17999.099999999999</v>
      </c>
      <c r="G123" s="36">
        <f>G122</f>
        <v>5.05</v>
      </c>
      <c r="H123" s="36"/>
      <c r="I123" s="14"/>
      <c r="J123" s="14"/>
    </row>
    <row r="124" spans="2:10" x14ac:dyDescent="0.2">
      <c r="B124" s="44" t="s">
        <v>115</v>
      </c>
      <c r="C124" s="44"/>
      <c r="D124" s="44"/>
      <c r="E124" s="45"/>
      <c r="F124" s="16">
        <f>F125-(+F60+F99+F104+F119+F123)</f>
        <v>5.0500000000465661</v>
      </c>
      <c r="G124" s="16">
        <f>G125-(+G60+G99+G104+G119+G123)</f>
        <v>-8.0000000000012506E-2</v>
      </c>
      <c r="H124" s="16"/>
      <c r="I124" s="14"/>
      <c r="J124" s="14"/>
    </row>
    <row r="125" spans="2:10" x14ac:dyDescent="0.2">
      <c r="B125" s="44" t="s">
        <v>114</v>
      </c>
      <c r="C125" s="44"/>
      <c r="D125" s="44"/>
      <c r="E125" s="45"/>
      <c r="F125" s="16">
        <v>356655.92</v>
      </c>
      <c r="G125" s="16">
        <v>100</v>
      </c>
      <c r="H125" s="16"/>
      <c r="I125" s="14"/>
      <c r="J125" s="14"/>
    </row>
    <row r="127" spans="2:10" x14ac:dyDescent="0.2">
      <c r="B127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workbookViewId="0">
      <selection activeCell="H8" sqref="H8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16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345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452</v>
      </c>
      <c r="C7" s="23" t="s">
        <v>453</v>
      </c>
      <c r="D7" s="23" t="s">
        <v>361</v>
      </c>
      <c r="E7" s="28">
        <v>50</v>
      </c>
      <c r="F7" s="25">
        <v>528.17999999999995</v>
      </c>
      <c r="G7" s="25">
        <v>3.64</v>
      </c>
      <c r="H7" s="25">
        <v>4.01</v>
      </c>
    </row>
    <row r="8" spans="2:10" x14ac:dyDescent="0.2">
      <c r="B8" s="30" t="s">
        <v>111</v>
      </c>
      <c r="C8" s="30"/>
      <c r="D8" s="30"/>
      <c r="E8" s="31"/>
      <c r="F8" s="32">
        <f>SUM(F6:F7)</f>
        <v>528.17999999999995</v>
      </c>
      <c r="G8" s="32">
        <f>SUM(G6:G7)</f>
        <v>3.64</v>
      </c>
      <c r="H8" s="48"/>
      <c r="I8" s="14"/>
      <c r="J8" s="14"/>
    </row>
    <row r="9" spans="2:10" x14ac:dyDescent="0.2">
      <c r="B9" s="49" t="s">
        <v>112</v>
      </c>
      <c r="C9" s="49"/>
      <c r="D9" s="49"/>
      <c r="E9" s="50"/>
      <c r="F9" s="51">
        <f>F8</f>
        <v>528.17999999999995</v>
      </c>
      <c r="G9" s="51">
        <f>G8</f>
        <v>3.64</v>
      </c>
      <c r="H9" s="51"/>
      <c r="I9" s="14"/>
      <c r="J9" s="14"/>
    </row>
    <row r="10" spans="2:10" x14ac:dyDescent="0.2">
      <c r="B10" s="47" t="s">
        <v>424</v>
      </c>
      <c r="C10" s="23"/>
      <c r="D10" s="23"/>
      <c r="E10" s="24"/>
      <c r="F10" s="25"/>
      <c r="G10" s="25"/>
      <c r="H10" s="25"/>
    </row>
    <row r="11" spans="2:10" x14ac:dyDescent="0.2">
      <c r="B11" s="23" t="s">
        <v>454</v>
      </c>
      <c r="C11" s="23" t="s">
        <v>455</v>
      </c>
      <c r="D11" s="23" t="s">
        <v>427</v>
      </c>
      <c r="E11" s="28">
        <v>3350000</v>
      </c>
      <c r="F11" s="25">
        <v>3609.36</v>
      </c>
      <c r="G11" s="25">
        <v>24.84</v>
      </c>
      <c r="H11" s="25">
        <v>5.83</v>
      </c>
    </row>
    <row r="12" spans="2:10" x14ac:dyDescent="0.2">
      <c r="B12" s="23" t="s">
        <v>456</v>
      </c>
      <c r="C12" s="23" t="s">
        <v>457</v>
      </c>
      <c r="D12" s="23" t="s">
        <v>427</v>
      </c>
      <c r="E12" s="28">
        <v>2350000</v>
      </c>
      <c r="F12" s="25">
        <v>2606.52</v>
      </c>
      <c r="G12" s="25">
        <v>17.940000000000001</v>
      </c>
      <c r="H12" s="25">
        <v>6.3</v>
      </c>
    </row>
    <row r="13" spans="2:10" x14ac:dyDescent="0.2">
      <c r="B13" s="23" t="s">
        <v>458</v>
      </c>
      <c r="C13" s="23" t="s">
        <v>459</v>
      </c>
      <c r="D13" s="23" t="s">
        <v>427</v>
      </c>
      <c r="E13" s="28">
        <v>2100000</v>
      </c>
      <c r="F13" s="25">
        <v>2168.42</v>
      </c>
      <c r="G13" s="25">
        <v>14.93</v>
      </c>
      <c r="H13" s="25">
        <v>5.97</v>
      </c>
    </row>
    <row r="14" spans="2:10" x14ac:dyDescent="0.2">
      <c r="B14" s="23" t="s">
        <v>428</v>
      </c>
      <c r="C14" s="23" t="s">
        <v>429</v>
      </c>
      <c r="D14" s="23" t="s">
        <v>427</v>
      </c>
      <c r="E14" s="28">
        <v>1500000</v>
      </c>
      <c r="F14" s="25">
        <v>1622.94</v>
      </c>
      <c r="G14" s="25">
        <v>11.17</v>
      </c>
      <c r="H14" s="25">
        <v>5.98</v>
      </c>
    </row>
    <row r="15" spans="2:10" x14ac:dyDescent="0.2">
      <c r="B15" s="23" t="s">
        <v>446</v>
      </c>
      <c r="C15" s="23" t="s">
        <v>447</v>
      </c>
      <c r="D15" s="23" t="s">
        <v>427</v>
      </c>
      <c r="E15" s="28">
        <v>1000000</v>
      </c>
      <c r="F15" s="25">
        <v>1052.5</v>
      </c>
      <c r="G15" s="25">
        <v>7.24</v>
      </c>
      <c r="H15" s="25">
        <v>6.03</v>
      </c>
    </row>
    <row r="16" spans="2:10" x14ac:dyDescent="0.2">
      <c r="B16" s="23" t="s">
        <v>434</v>
      </c>
      <c r="C16" s="23" t="s">
        <v>435</v>
      </c>
      <c r="D16" s="23" t="s">
        <v>427</v>
      </c>
      <c r="E16" s="28">
        <v>1000000</v>
      </c>
      <c r="F16" s="25">
        <v>991.91</v>
      </c>
      <c r="G16" s="25">
        <v>6.83</v>
      </c>
      <c r="H16" s="25">
        <v>5.88</v>
      </c>
    </row>
    <row r="17" spans="2:10" x14ac:dyDescent="0.2">
      <c r="B17" s="23" t="s">
        <v>448</v>
      </c>
      <c r="C17" s="23" t="s">
        <v>449</v>
      </c>
      <c r="D17" s="23" t="s">
        <v>427</v>
      </c>
      <c r="E17" s="28">
        <v>500000</v>
      </c>
      <c r="F17" s="25">
        <v>501.06</v>
      </c>
      <c r="G17" s="25">
        <v>3.45</v>
      </c>
      <c r="H17" s="25">
        <v>5.17</v>
      </c>
    </row>
    <row r="18" spans="2:10" x14ac:dyDescent="0.2">
      <c r="B18" s="52" t="s">
        <v>460</v>
      </c>
      <c r="C18" s="52" t="s">
        <v>461</v>
      </c>
      <c r="D18" s="52" t="s">
        <v>427</v>
      </c>
      <c r="E18" s="53">
        <v>23200</v>
      </c>
      <c r="F18" s="54">
        <v>24.2</v>
      </c>
      <c r="G18" s="54">
        <v>0.17</v>
      </c>
      <c r="H18" s="54">
        <v>6.13</v>
      </c>
    </row>
    <row r="19" spans="2:10" x14ac:dyDescent="0.2">
      <c r="B19" s="55" t="s">
        <v>112</v>
      </c>
      <c r="C19" s="55"/>
      <c r="D19" s="55"/>
      <c r="E19" s="56"/>
      <c r="F19" s="57">
        <f>SUM(F11:F18)</f>
        <v>12576.91</v>
      </c>
      <c r="G19" s="57">
        <f>SUM(G11:G18)</f>
        <v>86.57</v>
      </c>
      <c r="H19" s="57"/>
      <c r="I19" s="14"/>
      <c r="J19" s="14"/>
    </row>
    <row r="20" spans="2:10" x14ac:dyDescent="0.2">
      <c r="B20" s="47" t="s">
        <v>113</v>
      </c>
      <c r="C20" s="23"/>
      <c r="D20" s="23"/>
      <c r="E20" s="24"/>
      <c r="F20" s="25"/>
      <c r="G20" s="25"/>
      <c r="H20" s="25"/>
    </row>
    <row r="21" spans="2:10" x14ac:dyDescent="0.2">
      <c r="B21" s="23" t="s">
        <v>113</v>
      </c>
      <c r="C21" s="23"/>
      <c r="D21" s="23"/>
      <c r="E21" s="24"/>
      <c r="F21" s="25">
        <v>1192.57</v>
      </c>
      <c r="G21" s="25">
        <v>8.2100000000000009</v>
      </c>
      <c r="H21" s="25"/>
    </row>
    <row r="22" spans="2:10" x14ac:dyDescent="0.2">
      <c r="B22" s="30" t="s">
        <v>111</v>
      </c>
      <c r="C22" s="30"/>
      <c r="D22" s="30"/>
      <c r="E22" s="31"/>
      <c r="F22" s="32">
        <f>SUM(F20:F21)</f>
        <v>1192.57</v>
      </c>
      <c r="G22" s="32">
        <f>SUM(G20:G21)</f>
        <v>8.2100000000000009</v>
      </c>
      <c r="H22" s="48"/>
      <c r="I22" s="14"/>
      <c r="J22" s="14"/>
    </row>
    <row r="23" spans="2:10" x14ac:dyDescent="0.2">
      <c r="B23" s="34" t="s">
        <v>112</v>
      </c>
      <c r="C23" s="34"/>
      <c r="D23" s="34"/>
      <c r="E23" s="35"/>
      <c r="F23" s="36">
        <f>F22</f>
        <v>1192.57</v>
      </c>
      <c r="G23" s="36">
        <f>G22</f>
        <v>8.2100000000000009</v>
      </c>
      <c r="H23" s="36"/>
      <c r="I23" s="14"/>
      <c r="J23" s="14"/>
    </row>
    <row r="24" spans="2:10" x14ac:dyDescent="0.2">
      <c r="B24" s="44" t="s">
        <v>115</v>
      </c>
      <c r="C24" s="44"/>
      <c r="D24" s="44"/>
      <c r="E24" s="45"/>
      <c r="F24" s="16">
        <f>F25-(+F9+F19+F23)</f>
        <v>230.14999999999964</v>
      </c>
      <c r="G24" s="16">
        <f>G25-(+G9+G19+G23)</f>
        <v>1.5800000000000125</v>
      </c>
      <c r="H24" s="16"/>
      <c r="I24" s="14"/>
      <c r="J24" s="14"/>
    </row>
    <row r="25" spans="2:10" x14ac:dyDescent="0.2">
      <c r="B25" s="44" t="s">
        <v>114</v>
      </c>
      <c r="C25" s="44"/>
      <c r="D25" s="44"/>
      <c r="E25" s="45"/>
      <c r="F25" s="16">
        <v>14527.81</v>
      </c>
      <c r="G25" s="16">
        <v>100</v>
      </c>
      <c r="H25" s="16"/>
      <c r="I25" s="14"/>
      <c r="J25" s="14"/>
    </row>
    <row r="27" spans="2:10" x14ac:dyDescent="0.2">
      <c r="B27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3"/>
  <sheetViews>
    <sheetView workbookViewId="0">
      <selection activeCell="B23" sqref="B23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17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424</v>
      </c>
      <c r="C5" s="18"/>
      <c r="D5" s="18"/>
      <c r="E5" s="19"/>
      <c r="F5" s="20"/>
      <c r="G5" s="20"/>
      <c r="H5" s="20"/>
    </row>
    <row r="6" spans="2:10" x14ac:dyDescent="0.2">
      <c r="B6" s="23" t="s">
        <v>434</v>
      </c>
      <c r="C6" s="23" t="s">
        <v>435</v>
      </c>
      <c r="D6" s="23" t="s">
        <v>427</v>
      </c>
      <c r="E6" s="28">
        <v>3400000</v>
      </c>
      <c r="F6" s="25">
        <v>3372.48</v>
      </c>
      <c r="G6" s="25">
        <v>25.35</v>
      </c>
      <c r="H6" s="25">
        <v>5.88</v>
      </c>
    </row>
    <row r="7" spans="2:10" x14ac:dyDescent="0.2">
      <c r="B7" s="23" t="s">
        <v>428</v>
      </c>
      <c r="C7" s="23" t="s">
        <v>429</v>
      </c>
      <c r="D7" s="23" t="s">
        <v>427</v>
      </c>
      <c r="E7" s="28">
        <v>2000000</v>
      </c>
      <c r="F7" s="25">
        <v>2163.92</v>
      </c>
      <c r="G7" s="25">
        <v>16.27</v>
      </c>
      <c r="H7" s="25">
        <v>5.98</v>
      </c>
    </row>
    <row r="8" spans="2:10" x14ac:dyDescent="0.2">
      <c r="B8" s="23" t="s">
        <v>456</v>
      </c>
      <c r="C8" s="23" t="s">
        <v>457</v>
      </c>
      <c r="D8" s="23" t="s">
        <v>427</v>
      </c>
      <c r="E8" s="28">
        <v>1650000</v>
      </c>
      <c r="F8" s="25">
        <v>1830.11</v>
      </c>
      <c r="G8" s="25">
        <v>13.76</v>
      </c>
      <c r="H8" s="25">
        <v>6.3</v>
      </c>
    </row>
    <row r="9" spans="2:10" x14ac:dyDescent="0.2">
      <c r="B9" s="23" t="s">
        <v>462</v>
      </c>
      <c r="C9" s="23" t="s">
        <v>463</v>
      </c>
      <c r="D9" s="23" t="s">
        <v>427</v>
      </c>
      <c r="E9" s="28">
        <v>1500000</v>
      </c>
      <c r="F9" s="25">
        <v>1494.65</v>
      </c>
      <c r="G9" s="25">
        <v>11.24</v>
      </c>
      <c r="H9" s="25">
        <v>6.23</v>
      </c>
    </row>
    <row r="10" spans="2:10" x14ac:dyDescent="0.2">
      <c r="B10" s="23" t="s">
        <v>458</v>
      </c>
      <c r="C10" s="23" t="s">
        <v>459</v>
      </c>
      <c r="D10" s="23" t="s">
        <v>427</v>
      </c>
      <c r="E10" s="28">
        <v>1400000</v>
      </c>
      <c r="F10" s="25">
        <v>1445.61</v>
      </c>
      <c r="G10" s="25">
        <v>10.87</v>
      </c>
      <c r="H10" s="25">
        <v>5.97</v>
      </c>
    </row>
    <row r="11" spans="2:10" x14ac:dyDescent="0.2">
      <c r="B11" s="23" t="s">
        <v>446</v>
      </c>
      <c r="C11" s="23" t="s">
        <v>447</v>
      </c>
      <c r="D11" s="23" t="s">
        <v>427</v>
      </c>
      <c r="E11" s="28">
        <v>1000000</v>
      </c>
      <c r="F11" s="25">
        <v>1052.5</v>
      </c>
      <c r="G11" s="25">
        <v>7.91</v>
      </c>
      <c r="H11" s="25">
        <v>6.03</v>
      </c>
    </row>
    <row r="12" spans="2:10" x14ac:dyDescent="0.2">
      <c r="B12" s="23" t="s">
        <v>464</v>
      </c>
      <c r="C12" s="23" t="s">
        <v>465</v>
      </c>
      <c r="D12" s="23" t="s">
        <v>427</v>
      </c>
      <c r="E12" s="28">
        <v>500000</v>
      </c>
      <c r="F12" s="25">
        <v>504.61</v>
      </c>
      <c r="G12" s="25">
        <v>3.79</v>
      </c>
      <c r="H12" s="25">
        <v>6.41</v>
      </c>
    </row>
    <row r="13" spans="2:10" x14ac:dyDescent="0.2">
      <c r="B13" s="23" t="s">
        <v>454</v>
      </c>
      <c r="C13" s="23" t="s">
        <v>455</v>
      </c>
      <c r="D13" s="23" t="s">
        <v>427</v>
      </c>
      <c r="E13" s="28">
        <v>323300</v>
      </c>
      <c r="F13" s="25">
        <v>348.33</v>
      </c>
      <c r="G13" s="25">
        <v>2.62</v>
      </c>
      <c r="H13" s="25">
        <v>5.83</v>
      </c>
    </row>
    <row r="14" spans="2:10" x14ac:dyDescent="0.2">
      <c r="B14" s="52" t="s">
        <v>466</v>
      </c>
      <c r="C14" s="52" t="s">
        <v>467</v>
      </c>
      <c r="D14" s="52" t="s">
        <v>427</v>
      </c>
      <c r="E14" s="53">
        <v>10000</v>
      </c>
      <c r="F14" s="54">
        <v>11.75</v>
      </c>
      <c r="G14" s="54">
        <v>0.09</v>
      </c>
      <c r="H14" s="54">
        <v>6.68</v>
      </c>
    </row>
    <row r="15" spans="2:10" x14ac:dyDescent="0.2">
      <c r="B15" s="55" t="s">
        <v>112</v>
      </c>
      <c r="C15" s="55"/>
      <c r="D15" s="55"/>
      <c r="E15" s="56"/>
      <c r="F15" s="57">
        <f>SUM(F6:F14)</f>
        <v>12223.960000000001</v>
      </c>
      <c r="G15" s="57">
        <f>SUM(G6:G14)</f>
        <v>91.90000000000002</v>
      </c>
      <c r="H15" s="57"/>
      <c r="I15" s="14"/>
      <c r="J15" s="14"/>
    </row>
    <row r="16" spans="2:10" x14ac:dyDescent="0.2">
      <c r="B16" s="47" t="s">
        <v>113</v>
      </c>
      <c r="C16" s="23"/>
      <c r="D16" s="23"/>
      <c r="E16" s="24"/>
      <c r="F16" s="25"/>
      <c r="G16" s="25"/>
      <c r="H16" s="25"/>
    </row>
    <row r="17" spans="2:10" x14ac:dyDescent="0.2">
      <c r="B17" s="23" t="s">
        <v>113</v>
      </c>
      <c r="C17" s="23"/>
      <c r="D17" s="23"/>
      <c r="E17" s="24"/>
      <c r="F17" s="25">
        <v>1274.31</v>
      </c>
      <c r="G17" s="25">
        <v>9.58</v>
      </c>
      <c r="H17" s="25"/>
    </row>
    <row r="18" spans="2:10" x14ac:dyDescent="0.2">
      <c r="B18" s="30" t="s">
        <v>111</v>
      </c>
      <c r="C18" s="30"/>
      <c r="D18" s="30"/>
      <c r="E18" s="31"/>
      <c r="F18" s="32">
        <f>SUM(F16:F17)</f>
        <v>1274.31</v>
      </c>
      <c r="G18" s="32">
        <f>SUM(G16:G17)</f>
        <v>9.58</v>
      </c>
      <c r="H18" s="48"/>
      <c r="I18" s="14"/>
      <c r="J18" s="14"/>
    </row>
    <row r="19" spans="2:10" x14ac:dyDescent="0.2">
      <c r="B19" s="34" t="s">
        <v>112</v>
      </c>
      <c r="C19" s="34"/>
      <c r="D19" s="34"/>
      <c r="E19" s="35"/>
      <c r="F19" s="36">
        <f>F18</f>
        <v>1274.31</v>
      </c>
      <c r="G19" s="36">
        <f>G18</f>
        <v>9.58</v>
      </c>
      <c r="H19" s="36"/>
      <c r="I19" s="14"/>
      <c r="J19" s="14"/>
    </row>
    <row r="20" spans="2:10" x14ac:dyDescent="0.2">
      <c r="B20" s="44" t="s">
        <v>115</v>
      </c>
      <c r="C20" s="44"/>
      <c r="D20" s="44"/>
      <c r="E20" s="45"/>
      <c r="F20" s="16">
        <f>F21-(+F15+F19)</f>
        <v>-196.36000000000058</v>
      </c>
      <c r="G20" s="16">
        <f>G21-(+G15+G19)</f>
        <v>-1.4800000000000182</v>
      </c>
      <c r="H20" s="16"/>
      <c r="I20" s="14"/>
      <c r="J20" s="14"/>
    </row>
    <row r="21" spans="2:10" x14ac:dyDescent="0.2">
      <c r="B21" s="44" t="s">
        <v>114</v>
      </c>
      <c r="C21" s="44"/>
      <c r="D21" s="44"/>
      <c r="E21" s="45"/>
      <c r="F21" s="16">
        <v>13301.91</v>
      </c>
      <c r="G21" s="16">
        <v>100</v>
      </c>
      <c r="H21" s="16"/>
      <c r="I21" s="14"/>
      <c r="J21" s="14"/>
    </row>
    <row r="23" spans="2:10" x14ac:dyDescent="0.2">
      <c r="B23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18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345</v>
      </c>
      <c r="C5" s="18"/>
      <c r="D5" s="18"/>
      <c r="E5" s="19"/>
      <c r="F5" s="20"/>
      <c r="G5" s="20"/>
      <c r="H5" s="20"/>
    </row>
    <row r="6" spans="2:10" x14ac:dyDescent="0.2">
      <c r="B6" s="47" t="s">
        <v>32</v>
      </c>
      <c r="C6" s="23"/>
      <c r="D6" s="23"/>
      <c r="E6" s="24"/>
      <c r="F6" s="25"/>
      <c r="G6" s="25"/>
      <c r="H6" s="25"/>
    </row>
    <row r="7" spans="2:10" x14ac:dyDescent="0.2">
      <c r="B7" s="23" t="s">
        <v>468</v>
      </c>
      <c r="C7" s="23" t="s">
        <v>469</v>
      </c>
      <c r="D7" s="23" t="s">
        <v>348</v>
      </c>
      <c r="E7" s="28">
        <v>100</v>
      </c>
      <c r="F7" s="25">
        <v>1067.17</v>
      </c>
      <c r="G7" s="25">
        <v>7.08</v>
      </c>
      <c r="H7" s="25">
        <v>6.45</v>
      </c>
    </row>
    <row r="8" spans="2:10" x14ac:dyDescent="0.2">
      <c r="B8" s="23" t="s">
        <v>353</v>
      </c>
      <c r="C8" s="23" t="s">
        <v>354</v>
      </c>
      <c r="D8" s="23" t="s">
        <v>348</v>
      </c>
      <c r="E8" s="28">
        <v>50</v>
      </c>
      <c r="F8" s="25">
        <v>565.34</v>
      </c>
      <c r="G8" s="25">
        <v>3.75</v>
      </c>
      <c r="H8" s="25">
        <v>6.52</v>
      </c>
    </row>
    <row r="9" spans="2:10" x14ac:dyDescent="0.2">
      <c r="B9" s="23" t="s">
        <v>387</v>
      </c>
      <c r="C9" s="23" t="s">
        <v>388</v>
      </c>
      <c r="D9" s="23" t="s">
        <v>348</v>
      </c>
      <c r="E9" s="28">
        <v>50</v>
      </c>
      <c r="F9" s="25">
        <v>560.85</v>
      </c>
      <c r="G9" s="25">
        <v>3.72</v>
      </c>
      <c r="H9" s="25">
        <v>6.81</v>
      </c>
    </row>
    <row r="10" spans="2:10" x14ac:dyDescent="0.2">
      <c r="B10" s="23" t="s">
        <v>368</v>
      </c>
      <c r="C10" s="23" t="s">
        <v>369</v>
      </c>
      <c r="D10" s="23" t="s">
        <v>348</v>
      </c>
      <c r="E10" s="28">
        <v>50</v>
      </c>
      <c r="F10" s="25">
        <v>538.9</v>
      </c>
      <c r="G10" s="25">
        <v>3.57</v>
      </c>
      <c r="H10" s="25">
        <v>5.59</v>
      </c>
    </row>
    <row r="11" spans="2:10" x14ac:dyDescent="0.2">
      <c r="B11" s="23" t="s">
        <v>470</v>
      </c>
      <c r="C11" s="23" t="s">
        <v>471</v>
      </c>
      <c r="D11" s="23" t="s">
        <v>384</v>
      </c>
      <c r="E11" s="28">
        <v>50</v>
      </c>
      <c r="F11" s="25">
        <v>538.35</v>
      </c>
      <c r="G11" s="25">
        <v>3.57</v>
      </c>
      <c r="H11" s="25">
        <v>6.42</v>
      </c>
    </row>
    <row r="12" spans="2:10" x14ac:dyDescent="0.2">
      <c r="B12" s="23" t="s">
        <v>472</v>
      </c>
      <c r="C12" s="23" t="s">
        <v>473</v>
      </c>
      <c r="D12" s="23" t="s">
        <v>348</v>
      </c>
      <c r="E12" s="28">
        <v>50</v>
      </c>
      <c r="F12" s="25">
        <v>532.54</v>
      </c>
      <c r="G12" s="25">
        <v>3.53</v>
      </c>
      <c r="H12" s="25">
        <v>5.7</v>
      </c>
    </row>
    <row r="13" spans="2:10" x14ac:dyDescent="0.2">
      <c r="B13" s="23" t="s">
        <v>357</v>
      </c>
      <c r="C13" s="23" t="s">
        <v>358</v>
      </c>
      <c r="D13" s="23" t="s">
        <v>348</v>
      </c>
      <c r="E13" s="28">
        <v>50</v>
      </c>
      <c r="F13" s="25">
        <v>524.04</v>
      </c>
      <c r="G13" s="25">
        <v>3.48</v>
      </c>
      <c r="H13" s="25">
        <v>4.62</v>
      </c>
    </row>
    <row r="14" spans="2:10" x14ac:dyDescent="0.2">
      <c r="B14" s="23" t="s">
        <v>474</v>
      </c>
      <c r="C14" s="23" t="s">
        <v>475</v>
      </c>
      <c r="D14" s="23" t="s">
        <v>384</v>
      </c>
      <c r="E14" s="28">
        <v>50</v>
      </c>
      <c r="F14" s="25">
        <v>519.13</v>
      </c>
      <c r="G14" s="25">
        <v>3.44</v>
      </c>
      <c r="H14" s="25">
        <v>6.42</v>
      </c>
    </row>
    <row r="15" spans="2:10" x14ac:dyDescent="0.2">
      <c r="B15" s="23" t="s">
        <v>476</v>
      </c>
      <c r="C15" s="23" t="s">
        <v>477</v>
      </c>
      <c r="D15" s="23" t="s">
        <v>348</v>
      </c>
      <c r="E15" s="28">
        <v>20</v>
      </c>
      <c r="F15" s="25">
        <v>206.28</v>
      </c>
      <c r="G15" s="25">
        <v>1.37</v>
      </c>
      <c r="H15" s="25">
        <v>3.79</v>
      </c>
    </row>
    <row r="16" spans="2:10" x14ac:dyDescent="0.2">
      <c r="B16" s="30" t="s">
        <v>111</v>
      </c>
      <c r="C16" s="30"/>
      <c r="D16" s="30"/>
      <c r="E16" s="31"/>
      <c r="F16" s="32">
        <f>SUM(F6:F15)</f>
        <v>5052.6000000000004</v>
      </c>
      <c r="G16" s="32">
        <f>SUM(G6:G15)</f>
        <v>33.51</v>
      </c>
      <c r="H16" s="48"/>
      <c r="I16" s="14"/>
      <c r="J16" s="14"/>
    </row>
    <row r="17" spans="2:10" x14ac:dyDescent="0.2">
      <c r="B17" s="49" t="s">
        <v>112</v>
      </c>
      <c r="C17" s="49"/>
      <c r="D17" s="49"/>
      <c r="E17" s="50"/>
      <c r="F17" s="51">
        <f>F16</f>
        <v>5052.6000000000004</v>
      </c>
      <c r="G17" s="51">
        <f>G16</f>
        <v>33.51</v>
      </c>
      <c r="H17" s="51"/>
      <c r="I17" s="14"/>
      <c r="J17" s="14"/>
    </row>
    <row r="18" spans="2:10" x14ac:dyDescent="0.2">
      <c r="B18" s="47" t="s">
        <v>424</v>
      </c>
      <c r="C18" s="23"/>
      <c r="D18" s="23"/>
      <c r="E18" s="24"/>
      <c r="F18" s="25"/>
      <c r="G18" s="25"/>
      <c r="H18" s="25"/>
    </row>
    <row r="19" spans="2:10" x14ac:dyDescent="0.2">
      <c r="B19" s="23" t="s">
        <v>456</v>
      </c>
      <c r="C19" s="23" t="s">
        <v>457</v>
      </c>
      <c r="D19" s="23" t="s">
        <v>427</v>
      </c>
      <c r="E19" s="28">
        <v>1000000</v>
      </c>
      <c r="F19" s="25">
        <v>1109.1600000000001</v>
      </c>
      <c r="G19" s="25">
        <v>7.36</v>
      </c>
      <c r="H19" s="25">
        <v>6.3</v>
      </c>
    </row>
    <row r="20" spans="2:10" x14ac:dyDescent="0.2">
      <c r="B20" s="23" t="s">
        <v>428</v>
      </c>
      <c r="C20" s="23" t="s">
        <v>429</v>
      </c>
      <c r="D20" s="23" t="s">
        <v>427</v>
      </c>
      <c r="E20" s="28">
        <v>1000000</v>
      </c>
      <c r="F20" s="25">
        <v>1081.96</v>
      </c>
      <c r="G20" s="25">
        <v>7.17</v>
      </c>
      <c r="H20" s="25">
        <v>5.98</v>
      </c>
    </row>
    <row r="21" spans="2:10" x14ac:dyDescent="0.2">
      <c r="B21" s="23" t="s">
        <v>438</v>
      </c>
      <c r="C21" s="23" t="s">
        <v>439</v>
      </c>
      <c r="D21" s="23" t="s">
        <v>427</v>
      </c>
      <c r="E21" s="28">
        <v>1000000</v>
      </c>
      <c r="F21" s="25">
        <v>1058.06</v>
      </c>
      <c r="G21" s="25">
        <v>7.02</v>
      </c>
      <c r="H21" s="25">
        <v>5.71</v>
      </c>
    </row>
    <row r="22" spans="2:10" x14ac:dyDescent="0.2">
      <c r="B22" s="23" t="s">
        <v>478</v>
      </c>
      <c r="C22" s="23" t="s">
        <v>479</v>
      </c>
      <c r="D22" s="23" t="s">
        <v>427</v>
      </c>
      <c r="E22" s="28">
        <v>1000000</v>
      </c>
      <c r="F22" s="25">
        <v>1027.56</v>
      </c>
      <c r="G22" s="25">
        <v>6.81</v>
      </c>
      <c r="H22" s="25">
        <v>6.26</v>
      </c>
    </row>
    <row r="23" spans="2:10" x14ac:dyDescent="0.2">
      <c r="B23" s="23" t="s">
        <v>434</v>
      </c>
      <c r="C23" s="23" t="s">
        <v>435</v>
      </c>
      <c r="D23" s="23" t="s">
        <v>427</v>
      </c>
      <c r="E23" s="28">
        <v>1000000</v>
      </c>
      <c r="F23" s="25">
        <v>991.91</v>
      </c>
      <c r="G23" s="25">
        <v>6.58</v>
      </c>
      <c r="H23" s="25">
        <v>5.88</v>
      </c>
    </row>
    <row r="24" spans="2:10" x14ac:dyDescent="0.2">
      <c r="B24" s="23" t="s">
        <v>462</v>
      </c>
      <c r="C24" s="23" t="s">
        <v>463</v>
      </c>
      <c r="D24" s="23" t="s">
        <v>427</v>
      </c>
      <c r="E24" s="28">
        <v>900000</v>
      </c>
      <c r="F24" s="25">
        <v>896.79</v>
      </c>
      <c r="G24" s="25">
        <v>5.95</v>
      </c>
      <c r="H24" s="25">
        <v>6.23</v>
      </c>
    </row>
    <row r="25" spans="2:10" x14ac:dyDescent="0.2">
      <c r="B25" s="23" t="s">
        <v>480</v>
      </c>
      <c r="C25" s="23" t="s">
        <v>481</v>
      </c>
      <c r="D25" s="23" t="s">
        <v>427</v>
      </c>
      <c r="E25" s="28">
        <v>500000</v>
      </c>
      <c r="F25" s="25">
        <v>557.33000000000004</v>
      </c>
      <c r="G25" s="25">
        <v>3.7</v>
      </c>
      <c r="H25" s="25">
        <v>6.55</v>
      </c>
    </row>
    <row r="26" spans="2:10" x14ac:dyDescent="0.2">
      <c r="B26" s="23" t="s">
        <v>444</v>
      </c>
      <c r="C26" s="23" t="s">
        <v>445</v>
      </c>
      <c r="D26" s="23" t="s">
        <v>427</v>
      </c>
      <c r="E26" s="28">
        <v>500000</v>
      </c>
      <c r="F26" s="25">
        <v>533.03</v>
      </c>
      <c r="G26" s="25">
        <v>3.53</v>
      </c>
      <c r="H26" s="25">
        <v>6.65</v>
      </c>
    </row>
    <row r="27" spans="2:10" x14ac:dyDescent="0.2">
      <c r="B27" s="23" t="s">
        <v>446</v>
      </c>
      <c r="C27" s="23" t="s">
        <v>447</v>
      </c>
      <c r="D27" s="23" t="s">
        <v>427</v>
      </c>
      <c r="E27" s="28">
        <v>500000</v>
      </c>
      <c r="F27" s="25">
        <v>526.25</v>
      </c>
      <c r="G27" s="25">
        <v>3.49</v>
      </c>
      <c r="H27" s="25">
        <v>6.03</v>
      </c>
    </row>
    <row r="28" spans="2:10" x14ac:dyDescent="0.2">
      <c r="B28" s="23" t="s">
        <v>458</v>
      </c>
      <c r="C28" s="23" t="s">
        <v>459</v>
      </c>
      <c r="D28" s="23" t="s">
        <v>427</v>
      </c>
      <c r="E28" s="28">
        <v>500000</v>
      </c>
      <c r="F28" s="25">
        <v>516.29</v>
      </c>
      <c r="G28" s="25">
        <v>3.42</v>
      </c>
      <c r="H28" s="25">
        <v>5.97</v>
      </c>
    </row>
    <row r="29" spans="2:10" x14ac:dyDescent="0.2">
      <c r="B29" s="23" t="s">
        <v>482</v>
      </c>
      <c r="C29" s="23" t="s">
        <v>483</v>
      </c>
      <c r="D29" s="23" t="s">
        <v>427</v>
      </c>
      <c r="E29" s="28">
        <v>500000</v>
      </c>
      <c r="F29" s="25">
        <v>509.61</v>
      </c>
      <c r="G29" s="25">
        <v>3.38</v>
      </c>
      <c r="H29" s="25">
        <v>6.41</v>
      </c>
    </row>
    <row r="30" spans="2:10" x14ac:dyDescent="0.2">
      <c r="B30" s="23" t="s">
        <v>464</v>
      </c>
      <c r="C30" s="23" t="s">
        <v>465</v>
      </c>
      <c r="D30" s="23" t="s">
        <v>427</v>
      </c>
      <c r="E30" s="28">
        <v>500000</v>
      </c>
      <c r="F30" s="25">
        <v>504.61</v>
      </c>
      <c r="G30" s="25">
        <v>3.35</v>
      </c>
      <c r="H30" s="25">
        <v>6.41</v>
      </c>
    </row>
    <row r="31" spans="2:10" x14ac:dyDescent="0.2">
      <c r="B31" s="23" t="s">
        <v>484</v>
      </c>
      <c r="C31" s="23" t="s">
        <v>485</v>
      </c>
      <c r="D31" s="23" t="s">
        <v>427</v>
      </c>
      <c r="E31" s="28">
        <v>50000</v>
      </c>
      <c r="F31" s="25">
        <v>50.79</v>
      </c>
      <c r="G31" s="25">
        <v>0.34</v>
      </c>
      <c r="H31" s="25">
        <v>6.41</v>
      </c>
    </row>
    <row r="32" spans="2:10" x14ac:dyDescent="0.2">
      <c r="B32" s="52" t="s">
        <v>486</v>
      </c>
      <c r="C32" s="52" t="s">
        <v>487</v>
      </c>
      <c r="D32" s="52" t="s">
        <v>427</v>
      </c>
      <c r="E32" s="53">
        <v>28000</v>
      </c>
      <c r="F32" s="54">
        <v>31.35</v>
      </c>
      <c r="G32" s="54">
        <v>0.21</v>
      </c>
      <c r="H32" s="54">
        <v>5.8</v>
      </c>
    </row>
    <row r="33" spans="2:10" x14ac:dyDescent="0.2">
      <c r="B33" s="55" t="s">
        <v>112</v>
      </c>
      <c r="C33" s="55"/>
      <c r="D33" s="55"/>
      <c r="E33" s="56"/>
      <c r="F33" s="57">
        <f>SUM(F19:F32)</f>
        <v>9394.7000000000025</v>
      </c>
      <c r="G33" s="57">
        <f>SUM(G19:G32)</f>
        <v>62.310000000000016</v>
      </c>
      <c r="H33" s="57"/>
      <c r="I33" s="14"/>
      <c r="J33" s="14"/>
    </row>
    <row r="34" spans="2:10" x14ac:dyDescent="0.2">
      <c r="B34" s="47" t="s">
        <v>113</v>
      </c>
      <c r="C34" s="23"/>
      <c r="D34" s="23"/>
      <c r="E34" s="24"/>
      <c r="F34" s="25"/>
      <c r="G34" s="25"/>
      <c r="H34" s="25"/>
    </row>
    <row r="35" spans="2:10" x14ac:dyDescent="0.2">
      <c r="B35" s="23" t="s">
        <v>113</v>
      </c>
      <c r="C35" s="23"/>
      <c r="D35" s="23"/>
      <c r="E35" s="24"/>
      <c r="F35" s="25">
        <v>235.82</v>
      </c>
      <c r="G35" s="25">
        <v>1.56</v>
      </c>
      <c r="H35" s="25"/>
    </row>
    <row r="36" spans="2:10" x14ac:dyDescent="0.2">
      <c r="B36" s="30" t="s">
        <v>111</v>
      </c>
      <c r="C36" s="30"/>
      <c r="D36" s="30"/>
      <c r="E36" s="31"/>
      <c r="F36" s="32">
        <f>SUM(F34:F35)</f>
        <v>235.82</v>
      </c>
      <c r="G36" s="32">
        <f>SUM(G34:G35)</f>
        <v>1.56</v>
      </c>
      <c r="H36" s="48"/>
      <c r="I36" s="14"/>
      <c r="J36" s="14"/>
    </row>
    <row r="37" spans="2:10" x14ac:dyDescent="0.2">
      <c r="B37" s="34" t="s">
        <v>112</v>
      </c>
      <c r="C37" s="34"/>
      <c r="D37" s="34"/>
      <c r="E37" s="35"/>
      <c r="F37" s="36">
        <f>F36</f>
        <v>235.82</v>
      </c>
      <c r="G37" s="36">
        <f>G36</f>
        <v>1.56</v>
      </c>
      <c r="H37" s="36"/>
      <c r="I37" s="14"/>
      <c r="J37" s="14"/>
    </row>
    <row r="38" spans="2:10" x14ac:dyDescent="0.2">
      <c r="B38" s="44" t="s">
        <v>115</v>
      </c>
      <c r="C38" s="44"/>
      <c r="D38" s="44"/>
      <c r="E38" s="45"/>
      <c r="F38" s="16">
        <f>F39-(+F17+F33+F37)</f>
        <v>396.69999999999709</v>
      </c>
      <c r="G38" s="16">
        <f>G39-(+G17+G33+G37)</f>
        <v>2.6199999999999761</v>
      </c>
      <c r="H38" s="16"/>
      <c r="I38" s="14"/>
      <c r="J38" s="14"/>
    </row>
    <row r="39" spans="2:10" x14ac:dyDescent="0.2">
      <c r="B39" s="44" t="s">
        <v>114</v>
      </c>
      <c r="C39" s="44"/>
      <c r="D39" s="44"/>
      <c r="E39" s="45"/>
      <c r="F39" s="16">
        <v>15079.82</v>
      </c>
      <c r="G39" s="16">
        <v>100</v>
      </c>
      <c r="H39" s="16"/>
      <c r="I39" s="14"/>
      <c r="J39" s="14"/>
    </row>
    <row r="41" spans="2:10" x14ac:dyDescent="0.2">
      <c r="B41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0"/>
  <sheetViews>
    <sheetView workbookViewId="0">
      <selection activeCell="B15" sqref="B15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19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345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488</v>
      </c>
      <c r="C7" s="23" t="s">
        <v>489</v>
      </c>
      <c r="D7" s="23" t="s">
        <v>348</v>
      </c>
      <c r="E7" s="28">
        <v>500</v>
      </c>
      <c r="F7" s="25">
        <v>5180.18</v>
      </c>
      <c r="G7" s="25">
        <v>3.91</v>
      </c>
      <c r="H7" s="25">
        <v>3.97</v>
      </c>
    </row>
    <row r="8" spans="2:8" x14ac:dyDescent="0.2">
      <c r="B8" s="23" t="s">
        <v>376</v>
      </c>
      <c r="C8" s="23" t="s">
        <v>377</v>
      </c>
      <c r="D8" s="23" t="s">
        <v>348</v>
      </c>
      <c r="E8" s="28">
        <v>300</v>
      </c>
      <c r="F8" s="25">
        <v>3156.17</v>
      </c>
      <c r="G8" s="25">
        <v>2.38</v>
      </c>
      <c r="H8" s="25">
        <v>4.76</v>
      </c>
    </row>
    <row r="9" spans="2:8" x14ac:dyDescent="0.2">
      <c r="B9" s="23" t="s">
        <v>490</v>
      </c>
      <c r="C9" s="23" t="s">
        <v>491</v>
      </c>
      <c r="D9" s="23" t="s">
        <v>348</v>
      </c>
      <c r="E9" s="28">
        <v>300</v>
      </c>
      <c r="F9" s="25">
        <v>3146.06</v>
      </c>
      <c r="G9" s="25">
        <v>2.38</v>
      </c>
      <c r="H9" s="25">
        <v>4.68</v>
      </c>
    </row>
    <row r="10" spans="2:8" x14ac:dyDescent="0.2">
      <c r="B10" s="23" t="s">
        <v>492</v>
      </c>
      <c r="C10" s="23" t="s">
        <v>493</v>
      </c>
      <c r="D10" s="23" t="s">
        <v>348</v>
      </c>
      <c r="E10" s="28">
        <v>250</v>
      </c>
      <c r="F10" s="25">
        <v>3113.76</v>
      </c>
      <c r="G10" s="25">
        <v>2.35</v>
      </c>
      <c r="H10" s="25">
        <v>3.28</v>
      </c>
    </row>
    <row r="11" spans="2:8" x14ac:dyDescent="0.2">
      <c r="B11" s="23" t="s">
        <v>494</v>
      </c>
      <c r="C11" s="23" t="s">
        <v>495</v>
      </c>
      <c r="D11" s="23" t="s">
        <v>348</v>
      </c>
      <c r="E11" s="28">
        <v>250</v>
      </c>
      <c r="F11" s="25">
        <v>2630.46</v>
      </c>
      <c r="G11" s="25">
        <v>1.99</v>
      </c>
      <c r="H11" s="25">
        <v>4.18</v>
      </c>
    </row>
    <row r="12" spans="2:8" x14ac:dyDescent="0.2">
      <c r="B12" s="23" t="s">
        <v>496</v>
      </c>
      <c r="C12" s="23" t="s">
        <v>497</v>
      </c>
      <c r="D12" s="23" t="s">
        <v>348</v>
      </c>
      <c r="E12" s="28">
        <v>250</v>
      </c>
      <c r="F12" s="25">
        <v>2598.69</v>
      </c>
      <c r="G12" s="25">
        <v>1.96</v>
      </c>
      <c r="H12" s="25">
        <v>3.86</v>
      </c>
    </row>
    <row r="13" spans="2:8" x14ac:dyDescent="0.2">
      <c r="B13" s="23" t="s">
        <v>498</v>
      </c>
      <c r="C13" s="23" t="s">
        <v>499</v>
      </c>
      <c r="D13" s="23" t="s">
        <v>348</v>
      </c>
      <c r="E13" s="28">
        <v>250</v>
      </c>
      <c r="F13" s="25">
        <v>2588.48</v>
      </c>
      <c r="G13" s="25">
        <v>1.96</v>
      </c>
      <c r="H13" s="25">
        <v>4.55</v>
      </c>
    </row>
    <row r="14" spans="2:8" x14ac:dyDescent="0.2">
      <c r="B14" s="23" t="s">
        <v>500</v>
      </c>
      <c r="C14" s="23" t="s">
        <v>501</v>
      </c>
      <c r="D14" s="23" t="s">
        <v>361</v>
      </c>
      <c r="E14" s="28">
        <v>250</v>
      </c>
      <c r="F14" s="25">
        <v>2582.19</v>
      </c>
      <c r="G14" s="25">
        <v>1.95</v>
      </c>
      <c r="H14" s="25">
        <v>4.1399999999999997</v>
      </c>
    </row>
    <row r="15" spans="2:8" x14ac:dyDescent="0.2">
      <c r="B15" s="23" t="s">
        <v>502</v>
      </c>
      <c r="C15" s="23" t="s">
        <v>503</v>
      </c>
      <c r="D15" s="23" t="s">
        <v>348</v>
      </c>
      <c r="E15" s="28">
        <v>250</v>
      </c>
      <c r="F15" s="25">
        <v>2572.77</v>
      </c>
      <c r="G15" s="25">
        <v>1.94</v>
      </c>
      <c r="H15" s="25">
        <v>3.86</v>
      </c>
    </row>
    <row r="16" spans="2:8" x14ac:dyDescent="0.2">
      <c r="B16" s="23" t="s">
        <v>362</v>
      </c>
      <c r="C16" s="23" t="s">
        <v>363</v>
      </c>
      <c r="D16" s="23" t="s">
        <v>348</v>
      </c>
      <c r="E16" s="28">
        <v>250</v>
      </c>
      <c r="F16" s="25">
        <v>2567.9299999999998</v>
      </c>
      <c r="G16" s="25">
        <v>1.94</v>
      </c>
      <c r="H16" s="25">
        <v>3.91</v>
      </c>
    </row>
    <row r="17" spans="2:10" x14ac:dyDescent="0.2">
      <c r="B17" s="23" t="s">
        <v>504</v>
      </c>
      <c r="C17" s="23" t="s">
        <v>505</v>
      </c>
      <c r="D17" s="23" t="s">
        <v>348</v>
      </c>
      <c r="E17" s="28">
        <v>250</v>
      </c>
      <c r="F17" s="25">
        <v>2564.31</v>
      </c>
      <c r="G17" s="25">
        <v>1.94</v>
      </c>
      <c r="H17" s="25">
        <v>4</v>
      </c>
    </row>
    <row r="18" spans="2:10" x14ac:dyDescent="0.2">
      <c r="B18" s="23" t="s">
        <v>506</v>
      </c>
      <c r="C18" s="23" t="s">
        <v>507</v>
      </c>
      <c r="D18" s="23" t="s">
        <v>361</v>
      </c>
      <c r="E18" s="28">
        <v>250</v>
      </c>
      <c r="F18" s="25">
        <v>2542.85</v>
      </c>
      <c r="G18" s="25">
        <v>1.92</v>
      </c>
      <c r="H18" s="25">
        <v>3.97</v>
      </c>
    </row>
    <row r="19" spans="2:10" x14ac:dyDescent="0.2">
      <c r="B19" s="23" t="s">
        <v>355</v>
      </c>
      <c r="C19" s="23" t="s">
        <v>356</v>
      </c>
      <c r="D19" s="23" t="s">
        <v>348</v>
      </c>
      <c r="E19" s="28">
        <v>250</v>
      </c>
      <c r="F19" s="25">
        <v>2514.56</v>
      </c>
      <c r="G19" s="25">
        <v>1.9</v>
      </c>
      <c r="H19" s="25">
        <v>3.29</v>
      </c>
    </row>
    <row r="20" spans="2:10" x14ac:dyDescent="0.2">
      <c r="B20" s="23" t="s">
        <v>357</v>
      </c>
      <c r="C20" s="23" t="s">
        <v>358</v>
      </c>
      <c r="D20" s="23" t="s">
        <v>348</v>
      </c>
      <c r="E20" s="28">
        <v>200</v>
      </c>
      <c r="F20" s="25">
        <v>2096.15</v>
      </c>
      <c r="G20" s="25">
        <v>1.58</v>
      </c>
      <c r="H20" s="25">
        <v>4.62</v>
      </c>
    </row>
    <row r="21" spans="2:10" x14ac:dyDescent="0.2">
      <c r="B21" s="23" t="s">
        <v>346</v>
      </c>
      <c r="C21" s="23" t="s">
        <v>347</v>
      </c>
      <c r="D21" s="23" t="s">
        <v>348</v>
      </c>
      <c r="E21" s="28">
        <v>150</v>
      </c>
      <c r="F21" s="25">
        <v>1577.67</v>
      </c>
      <c r="G21" s="25">
        <v>1.19</v>
      </c>
      <c r="H21" s="25">
        <v>4.63</v>
      </c>
    </row>
    <row r="22" spans="2:10" x14ac:dyDescent="0.2">
      <c r="B22" s="23" t="s">
        <v>508</v>
      </c>
      <c r="C22" s="23" t="s">
        <v>509</v>
      </c>
      <c r="D22" s="23" t="s">
        <v>361</v>
      </c>
      <c r="E22" s="28">
        <v>150</v>
      </c>
      <c r="F22" s="25">
        <v>1566.89</v>
      </c>
      <c r="G22" s="25">
        <v>1.18</v>
      </c>
      <c r="H22" s="25">
        <v>4.3</v>
      </c>
    </row>
    <row r="23" spans="2:10" x14ac:dyDescent="0.2">
      <c r="B23" s="23" t="s">
        <v>510</v>
      </c>
      <c r="C23" s="23" t="s">
        <v>511</v>
      </c>
      <c r="D23" s="23" t="s">
        <v>348</v>
      </c>
      <c r="E23" s="28">
        <v>400</v>
      </c>
      <c r="F23" s="25">
        <v>1300.31</v>
      </c>
      <c r="G23" s="25">
        <v>0.98</v>
      </c>
      <c r="H23" s="25">
        <v>5.12</v>
      </c>
    </row>
    <row r="24" spans="2:10" x14ac:dyDescent="0.2">
      <c r="B24" s="23" t="s">
        <v>512</v>
      </c>
      <c r="C24" s="23" t="s">
        <v>513</v>
      </c>
      <c r="D24" s="23" t="s">
        <v>348</v>
      </c>
      <c r="E24" s="28">
        <v>100</v>
      </c>
      <c r="F24" s="25">
        <v>1054.51</v>
      </c>
      <c r="G24" s="25">
        <v>0.8</v>
      </c>
      <c r="H24" s="25">
        <v>4.29</v>
      </c>
    </row>
    <row r="25" spans="2:10" x14ac:dyDescent="0.2">
      <c r="B25" s="23" t="s">
        <v>514</v>
      </c>
      <c r="C25" s="23" t="s">
        <v>515</v>
      </c>
      <c r="D25" s="23" t="s">
        <v>348</v>
      </c>
      <c r="E25" s="28">
        <v>100</v>
      </c>
      <c r="F25" s="25">
        <v>1038.18</v>
      </c>
      <c r="G25" s="25">
        <v>0.78</v>
      </c>
      <c r="H25" s="25">
        <v>5.0999999999999996</v>
      </c>
    </row>
    <row r="26" spans="2:10" x14ac:dyDescent="0.2">
      <c r="B26" s="23" t="s">
        <v>349</v>
      </c>
      <c r="C26" s="23" t="s">
        <v>350</v>
      </c>
      <c r="D26" s="23" t="s">
        <v>348</v>
      </c>
      <c r="E26" s="28">
        <v>100</v>
      </c>
      <c r="F26" s="25">
        <v>1005.22</v>
      </c>
      <c r="G26" s="25">
        <v>0.76</v>
      </c>
      <c r="H26" s="25">
        <v>3.32</v>
      </c>
    </row>
    <row r="27" spans="2:10" x14ac:dyDescent="0.2">
      <c r="B27" s="23" t="s">
        <v>516</v>
      </c>
      <c r="C27" s="23" t="s">
        <v>517</v>
      </c>
      <c r="D27" s="23" t="s">
        <v>348</v>
      </c>
      <c r="E27" s="28">
        <v>50</v>
      </c>
      <c r="F27" s="25">
        <v>527.87</v>
      </c>
      <c r="G27" s="25">
        <v>0.4</v>
      </c>
      <c r="H27" s="25">
        <v>4.1399999999999997</v>
      </c>
    </row>
    <row r="28" spans="2:10" x14ac:dyDescent="0.2">
      <c r="B28" s="23" t="s">
        <v>518</v>
      </c>
      <c r="C28" s="23" t="s">
        <v>519</v>
      </c>
      <c r="D28" s="23" t="s">
        <v>348</v>
      </c>
      <c r="E28" s="28">
        <v>50</v>
      </c>
      <c r="F28" s="25">
        <v>524.87</v>
      </c>
      <c r="G28" s="25">
        <v>0.4</v>
      </c>
      <c r="H28" s="25">
        <v>4.76</v>
      </c>
    </row>
    <row r="29" spans="2:10" x14ac:dyDescent="0.2">
      <c r="B29" s="23" t="s">
        <v>520</v>
      </c>
      <c r="C29" s="23" t="s">
        <v>521</v>
      </c>
      <c r="D29" s="23" t="s">
        <v>348</v>
      </c>
      <c r="E29" s="28">
        <v>50</v>
      </c>
      <c r="F29" s="25">
        <v>522.38</v>
      </c>
      <c r="G29" s="25">
        <v>0.39</v>
      </c>
      <c r="H29" s="25">
        <v>4.4400000000000004</v>
      </c>
    </row>
    <row r="30" spans="2:10" x14ac:dyDescent="0.2">
      <c r="B30" s="23" t="s">
        <v>522</v>
      </c>
      <c r="C30" s="23" t="s">
        <v>523</v>
      </c>
      <c r="D30" s="23" t="s">
        <v>348</v>
      </c>
      <c r="E30" s="28">
        <v>50</v>
      </c>
      <c r="F30" s="25">
        <v>512.63</v>
      </c>
      <c r="G30" s="25">
        <v>0.39</v>
      </c>
      <c r="H30" s="25">
        <v>3.97</v>
      </c>
    </row>
    <row r="31" spans="2:10" x14ac:dyDescent="0.2">
      <c r="B31" s="30" t="s">
        <v>111</v>
      </c>
      <c r="C31" s="30"/>
      <c r="D31" s="30"/>
      <c r="E31" s="31"/>
      <c r="F31" s="32">
        <f>SUM(F6:F30)</f>
        <v>49485.09</v>
      </c>
      <c r="G31" s="32">
        <f>SUM(G6:G30)</f>
        <v>37.369999999999997</v>
      </c>
      <c r="H31" s="48"/>
      <c r="I31" s="14"/>
      <c r="J31" s="14"/>
    </row>
    <row r="32" spans="2:10" x14ac:dyDescent="0.2">
      <c r="B32" s="49" t="s">
        <v>112</v>
      </c>
      <c r="C32" s="49"/>
      <c r="D32" s="49"/>
      <c r="E32" s="50"/>
      <c r="F32" s="51">
        <f>F31</f>
        <v>49485.09</v>
      </c>
      <c r="G32" s="51">
        <f>G31</f>
        <v>37.369999999999997</v>
      </c>
      <c r="H32" s="51"/>
      <c r="I32" s="14"/>
      <c r="J32" s="14"/>
    </row>
    <row r="33" spans="2:10" x14ac:dyDescent="0.2">
      <c r="B33" s="47" t="s">
        <v>419</v>
      </c>
      <c r="C33" s="23"/>
      <c r="D33" s="23"/>
      <c r="E33" s="24"/>
      <c r="F33" s="25"/>
      <c r="G33" s="25"/>
      <c r="H33" s="25"/>
    </row>
    <row r="34" spans="2:10" x14ac:dyDescent="0.2">
      <c r="B34" s="47" t="s">
        <v>524</v>
      </c>
      <c r="C34" s="23"/>
      <c r="D34" s="23"/>
      <c r="E34" s="24"/>
      <c r="F34" s="25"/>
      <c r="G34" s="25"/>
      <c r="H34" s="25"/>
    </row>
    <row r="35" spans="2:10" x14ac:dyDescent="0.2">
      <c r="B35" s="23" t="s">
        <v>525</v>
      </c>
      <c r="C35" s="23" t="s">
        <v>526</v>
      </c>
      <c r="D35" s="23" t="s">
        <v>527</v>
      </c>
      <c r="E35" s="28">
        <v>10000</v>
      </c>
      <c r="F35" s="25">
        <v>9803.27</v>
      </c>
      <c r="G35" s="25">
        <v>7.41</v>
      </c>
      <c r="H35" s="25">
        <v>3.46</v>
      </c>
    </row>
    <row r="36" spans="2:10" x14ac:dyDescent="0.2">
      <c r="B36" s="23" t="s">
        <v>528</v>
      </c>
      <c r="C36" s="23" t="s">
        <v>529</v>
      </c>
      <c r="D36" s="23" t="s">
        <v>527</v>
      </c>
      <c r="E36" s="28">
        <v>7500</v>
      </c>
      <c r="F36" s="25">
        <v>7339.54</v>
      </c>
      <c r="G36" s="25">
        <v>5.54</v>
      </c>
      <c r="H36" s="25">
        <v>3.5</v>
      </c>
    </row>
    <row r="37" spans="2:10" x14ac:dyDescent="0.2">
      <c r="B37" s="23" t="s">
        <v>530</v>
      </c>
      <c r="C37" s="23" t="s">
        <v>531</v>
      </c>
      <c r="D37" s="23" t="s">
        <v>532</v>
      </c>
      <c r="E37" s="28">
        <v>7500</v>
      </c>
      <c r="F37" s="25">
        <v>7232.69</v>
      </c>
      <c r="G37" s="25">
        <v>5.46</v>
      </c>
      <c r="H37" s="25">
        <v>3.8</v>
      </c>
    </row>
    <row r="38" spans="2:10" x14ac:dyDescent="0.2">
      <c r="B38" s="23" t="s">
        <v>533</v>
      </c>
      <c r="C38" s="23" t="s">
        <v>534</v>
      </c>
      <c r="D38" s="23" t="s">
        <v>532</v>
      </c>
      <c r="E38" s="28">
        <v>5000</v>
      </c>
      <c r="F38" s="25">
        <v>4977.95</v>
      </c>
      <c r="G38" s="25">
        <v>3.76</v>
      </c>
      <c r="H38" s="25">
        <v>3.17</v>
      </c>
    </row>
    <row r="39" spans="2:10" x14ac:dyDescent="0.2">
      <c r="B39" s="23" t="s">
        <v>535</v>
      </c>
      <c r="C39" s="23" t="s">
        <v>536</v>
      </c>
      <c r="D39" s="23" t="s">
        <v>537</v>
      </c>
      <c r="E39" s="28">
        <v>2500</v>
      </c>
      <c r="F39" s="25">
        <v>2497.63</v>
      </c>
      <c r="G39" s="25">
        <v>1.89</v>
      </c>
      <c r="H39" s="25">
        <v>3.15</v>
      </c>
    </row>
    <row r="40" spans="2:10" x14ac:dyDescent="0.2">
      <c r="B40" s="23" t="s">
        <v>538</v>
      </c>
      <c r="C40" s="23" t="s">
        <v>539</v>
      </c>
      <c r="D40" s="23" t="s">
        <v>532</v>
      </c>
      <c r="E40" s="28">
        <v>2500</v>
      </c>
      <c r="F40" s="25">
        <v>2497.63</v>
      </c>
      <c r="G40" s="25">
        <v>1.89</v>
      </c>
      <c r="H40" s="25">
        <v>3.15</v>
      </c>
    </row>
    <row r="41" spans="2:10" x14ac:dyDescent="0.2">
      <c r="B41" s="23" t="s">
        <v>540</v>
      </c>
      <c r="C41" s="23" t="s">
        <v>541</v>
      </c>
      <c r="D41" s="23" t="s">
        <v>532</v>
      </c>
      <c r="E41" s="28">
        <v>500</v>
      </c>
      <c r="F41" s="25">
        <v>495.39</v>
      </c>
      <c r="G41" s="25">
        <v>0.37</v>
      </c>
      <c r="H41" s="25">
        <v>3.3</v>
      </c>
    </row>
    <row r="42" spans="2:10" x14ac:dyDescent="0.2">
      <c r="B42" s="47" t="s">
        <v>111</v>
      </c>
      <c r="C42" s="47"/>
      <c r="D42" s="47"/>
      <c r="E42" s="59"/>
      <c r="F42" s="57">
        <f>SUM(F34:F41)</f>
        <v>34844.1</v>
      </c>
      <c r="G42" s="57">
        <f>SUM(G34:G41)</f>
        <v>26.320000000000004</v>
      </c>
      <c r="H42" s="60"/>
      <c r="I42" s="14"/>
      <c r="J42" s="14"/>
    </row>
    <row r="43" spans="2:10" x14ac:dyDescent="0.2">
      <c r="B43" s="47" t="s">
        <v>542</v>
      </c>
      <c r="C43" s="23"/>
      <c r="D43" s="23"/>
      <c r="E43" s="24"/>
      <c r="F43" s="25"/>
      <c r="G43" s="25"/>
      <c r="H43" s="25"/>
    </row>
    <row r="44" spans="2:10" x14ac:dyDescent="0.2">
      <c r="B44" s="23" t="s">
        <v>543</v>
      </c>
      <c r="C44" s="23" t="s">
        <v>544</v>
      </c>
      <c r="D44" s="23" t="s">
        <v>532</v>
      </c>
      <c r="E44" s="28">
        <v>800</v>
      </c>
      <c r="F44" s="25">
        <v>3952.3</v>
      </c>
      <c r="G44" s="25">
        <v>2.99</v>
      </c>
      <c r="H44" s="25">
        <v>3.41</v>
      </c>
    </row>
    <row r="45" spans="2:10" x14ac:dyDescent="0.2">
      <c r="B45" s="23" t="s">
        <v>545</v>
      </c>
      <c r="C45" s="23" t="s">
        <v>546</v>
      </c>
      <c r="D45" s="23" t="s">
        <v>532</v>
      </c>
      <c r="E45" s="28">
        <v>500</v>
      </c>
      <c r="F45" s="25">
        <v>2472.1799999999998</v>
      </c>
      <c r="G45" s="25">
        <v>1.87</v>
      </c>
      <c r="H45" s="25">
        <v>3.39</v>
      </c>
    </row>
    <row r="46" spans="2:10" x14ac:dyDescent="0.2">
      <c r="B46" s="47" t="s">
        <v>111</v>
      </c>
      <c r="C46" s="47"/>
      <c r="D46" s="47"/>
      <c r="E46" s="59"/>
      <c r="F46" s="57">
        <f>SUM(F43:F45)</f>
        <v>6424.48</v>
      </c>
      <c r="G46" s="57">
        <f>SUM(G43:G45)</f>
        <v>4.8600000000000003</v>
      </c>
      <c r="H46" s="60"/>
      <c r="I46" s="14"/>
      <c r="J46" s="14"/>
    </row>
    <row r="47" spans="2:10" x14ac:dyDescent="0.2">
      <c r="B47" s="47" t="s">
        <v>420</v>
      </c>
      <c r="C47" s="23"/>
      <c r="D47" s="23"/>
      <c r="E47" s="24"/>
      <c r="F47" s="25"/>
      <c r="G47" s="25"/>
      <c r="H47" s="25"/>
    </row>
    <row r="48" spans="2:10" x14ac:dyDescent="0.2">
      <c r="B48" s="23" t="s">
        <v>421</v>
      </c>
      <c r="C48" s="23" t="s">
        <v>422</v>
      </c>
      <c r="D48" s="23" t="s">
        <v>423</v>
      </c>
      <c r="E48" s="28">
        <v>5000000</v>
      </c>
      <c r="F48" s="25">
        <v>4998.28</v>
      </c>
      <c r="G48" s="25">
        <v>3.78</v>
      </c>
      <c r="H48" s="25">
        <v>3.15</v>
      </c>
    </row>
    <row r="49" spans="2:10" x14ac:dyDescent="0.2">
      <c r="B49" s="23" t="s">
        <v>547</v>
      </c>
      <c r="C49" s="23" t="s">
        <v>548</v>
      </c>
      <c r="D49" s="23" t="s">
        <v>423</v>
      </c>
      <c r="E49" s="28">
        <v>5000000</v>
      </c>
      <c r="F49" s="25">
        <v>4983.2299999999996</v>
      </c>
      <c r="G49" s="25">
        <v>3.76</v>
      </c>
      <c r="H49" s="25">
        <v>3.15</v>
      </c>
    </row>
    <row r="50" spans="2:10" x14ac:dyDescent="0.2">
      <c r="B50" s="23" t="s">
        <v>549</v>
      </c>
      <c r="C50" s="23" t="s">
        <v>550</v>
      </c>
      <c r="D50" s="23" t="s">
        <v>423</v>
      </c>
      <c r="E50" s="28">
        <v>4500000</v>
      </c>
      <c r="F50" s="25">
        <v>4493.0200000000004</v>
      </c>
      <c r="G50" s="25">
        <v>3.39</v>
      </c>
      <c r="H50" s="25">
        <v>3.15</v>
      </c>
    </row>
    <row r="51" spans="2:10" x14ac:dyDescent="0.2">
      <c r="B51" s="23" t="s">
        <v>551</v>
      </c>
      <c r="C51" s="23" t="s">
        <v>552</v>
      </c>
      <c r="D51" s="23" t="s">
        <v>423</v>
      </c>
      <c r="E51" s="28">
        <v>2500000</v>
      </c>
      <c r="F51" s="25">
        <v>2459.59</v>
      </c>
      <c r="G51" s="25">
        <v>1.86</v>
      </c>
      <c r="H51" s="25">
        <v>3.35</v>
      </c>
    </row>
    <row r="52" spans="2:10" x14ac:dyDescent="0.2">
      <c r="B52" s="23" t="s">
        <v>553</v>
      </c>
      <c r="C52" s="23" t="s">
        <v>554</v>
      </c>
      <c r="D52" s="23" t="s">
        <v>423</v>
      </c>
      <c r="E52" s="28">
        <v>1000000</v>
      </c>
      <c r="F52" s="25">
        <v>999.56</v>
      </c>
      <c r="G52" s="25">
        <v>0.76</v>
      </c>
      <c r="H52" s="25">
        <v>3.2</v>
      </c>
    </row>
    <row r="53" spans="2:10" x14ac:dyDescent="0.2">
      <c r="B53" s="30" t="s">
        <v>111</v>
      </c>
      <c r="C53" s="30"/>
      <c r="D53" s="30"/>
      <c r="E53" s="31"/>
      <c r="F53" s="32">
        <f>SUM(F47:F52)</f>
        <v>17933.68</v>
      </c>
      <c r="G53" s="32">
        <f>SUM(G47:G52)</f>
        <v>13.549999999999999</v>
      </c>
      <c r="H53" s="48"/>
      <c r="I53" s="14"/>
      <c r="J53" s="14"/>
    </row>
    <row r="54" spans="2:10" x14ac:dyDescent="0.2">
      <c r="B54" s="49" t="s">
        <v>112</v>
      </c>
      <c r="C54" s="49"/>
      <c r="D54" s="49"/>
      <c r="E54" s="50"/>
      <c r="F54" s="51">
        <f>F42+F46+F53</f>
        <v>59202.26</v>
      </c>
      <c r="G54" s="51">
        <f>G42+G46+G53</f>
        <v>44.730000000000004</v>
      </c>
      <c r="H54" s="51"/>
      <c r="I54" s="14"/>
      <c r="J54" s="14"/>
    </row>
    <row r="55" spans="2:10" x14ac:dyDescent="0.2">
      <c r="B55" s="47" t="s">
        <v>424</v>
      </c>
      <c r="C55" s="23"/>
      <c r="D55" s="23"/>
      <c r="E55" s="24"/>
      <c r="F55" s="25"/>
      <c r="G55" s="25"/>
      <c r="H55" s="25"/>
    </row>
    <row r="56" spans="2:10" x14ac:dyDescent="0.2">
      <c r="B56" s="23" t="s">
        <v>555</v>
      </c>
      <c r="C56" s="23" t="s">
        <v>556</v>
      </c>
      <c r="D56" s="23" t="s">
        <v>427</v>
      </c>
      <c r="E56" s="28">
        <v>6500000</v>
      </c>
      <c r="F56" s="25">
        <v>6609.13</v>
      </c>
      <c r="G56" s="25">
        <v>4.99</v>
      </c>
      <c r="H56" s="25">
        <v>3.73</v>
      </c>
    </row>
    <row r="57" spans="2:10" x14ac:dyDescent="0.2">
      <c r="B57" s="23" t="s">
        <v>557</v>
      </c>
      <c r="C57" s="23" t="s">
        <v>558</v>
      </c>
      <c r="D57" s="23" t="s">
        <v>427</v>
      </c>
      <c r="E57" s="28">
        <v>5000000</v>
      </c>
      <c r="F57" s="25">
        <v>5026.3</v>
      </c>
      <c r="G57" s="25">
        <v>3.8</v>
      </c>
      <c r="H57" s="25">
        <v>3.19</v>
      </c>
    </row>
    <row r="58" spans="2:10" x14ac:dyDescent="0.2">
      <c r="B58" s="23" t="s">
        <v>559</v>
      </c>
      <c r="C58" s="23" t="s">
        <v>560</v>
      </c>
      <c r="D58" s="23" t="s">
        <v>427</v>
      </c>
      <c r="E58" s="28">
        <v>4500000</v>
      </c>
      <c r="F58" s="25">
        <v>4896.46</v>
      </c>
      <c r="G58" s="25">
        <v>3.7</v>
      </c>
      <c r="H58" s="25">
        <v>4.62</v>
      </c>
    </row>
    <row r="59" spans="2:10" x14ac:dyDescent="0.2">
      <c r="B59" s="23" t="s">
        <v>425</v>
      </c>
      <c r="C59" s="23" t="s">
        <v>426</v>
      </c>
      <c r="D59" s="23" t="s">
        <v>427</v>
      </c>
      <c r="E59" s="28">
        <v>1500000</v>
      </c>
      <c r="F59" s="25">
        <v>1620.09</v>
      </c>
      <c r="G59" s="25">
        <v>1.22</v>
      </c>
      <c r="H59" s="25">
        <v>4.63</v>
      </c>
    </row>
    <row r="60" spans="2:10" x14ac:dyDescent="0.2">
      <c r="B60" s="52" t="s">
        <v>561</v>
      </c>
      <c r="C60" s="52" t="s">
        <v>562</v>
      </c>
      <c r="D60" s="52" t="s">
        <v>427</v>
      </c>
      <c r="E60" s="53">
        <v>700000</v>
      </c>
      <c r="F60" s="54">
        <v>738.86</v>
      </c>
      <c r="G60" s="54">
        <v>0.56000000000000005</v>
      </c>
      <c r="H60" s="54">
        <v>3.84</v>
      </c>
    </row>
    <row r="61" spans="2:10" x14ac:dyDescent="0.2">
      <c r="B61" s="55" t="s">
        <v>112</v>
      </c>
      <c r="C61" s="55"/>
      <c r="D61" s="55"/>
      <c r="E61" s="56"/>
      <c r="F61" s="57">
        <f>SUM(F56:F60)</f>
        <v>18890.84</v>
      </c>
      <c r="G61" s="57">
        <f>SUM(G56:G60)</f>
        <v>14.27</v>
      </c>
      <c r="H61" s="57"/>
      <c r="I61" s="14"/>
      <c r="J61" s="14"/>
    </row>
    <row r="62" spans="2:10" x14ac:dyDescent="0.2">
      <c r="B62" s="47" t="s">
        <v>113</v>
      </c>
      <c r="C62" s="23"/>
      <c r="D62" s="23"/>
      <c r="E62" s="24"/>
      <c r="F62" s="25"/>
      <c r="G62" s="25"/>
      <c r="H62" s="25"/>
    </row>
    <row r="63" spans="2:10" x14ac:dyDescent="0.2">
      <c r="B63" s="23" t="s">
        <v>113</v>
      </c>
      <c r="C63" s="23"/>
      <c r="D63" s="23"/>
      <c r="E63" s="24"/>
      <c r="F63" s="25">
        <v>7864.58</v>
      </c>
      <c r="G63" s="25">
        <v>5.94</v>
      </c>
      <c r="H63" s="25"/>
    </row>
    <row r="64" spans="2:10" x14ac:dyDescent="0.2">
      <c r="B64" s="30" t="s">
        <v>111</v>
      </c>
      <c r="C64" s="30"/>
      <c r="D64" s="30"/>
      <c r="E64" s="31"/>
      <c r="F64" s="32">
        <f>SUM(F62:F63)</f>
        <v>7864.58</v>
      </c>
      <c r="G64" s="32">
        <f>SUM(G62:G63)</f>
        <v>5.94</v>
      </c>
      <c r="H64" s="48"/>
      <c r="I64" s="14"/>
      <c r="J64" s="14"/>
    </row>
    <row r="65" spans="2:10" x14ac:dyDescent="0.2">
      <c r="B65" s="34" t="s">
        <v>112</v>
      </c>
      <c r="C65" s="34"/>
      <c r="D65" s="34"/>
      <c r="E65" s="35"/>
      <c r="F65" s="36">
        <f>F64</f>
        <v>7864.58</v>
      </c>
      <c r="G65" s="36">
        <f>G64</f>
        <v>5.94</v>
      </c>
      <c r="H65" s="36"/>
      <c r="I65" s="14"/>
      <c r="J65" s="14"/>
    </row>
    <row r="66" spans="2:10" x14ac:dyDescent="0.2">
      <c r="B66" s="44" t="s">
        <v>115</v>
      </c>
      <c r="C66" s="44"/>
      <c r="D66" s="44"/>
      <c r="E66" s="45"/>
      <c r="F66" s="16">
        <f>F67-(+F32+F54+F61+F65)</f>
        <v>-3066.8699999999953</v>
      </c>
      <c r="G66" s="16">
        <f>G67-(+G32+G54+G61+G65)</f>
        <v>-2.3099999999999881</v>
      </c>
      <c r="H66" s="16"/>
      <c r="I66" s="14"/>
      <c r="J66" s="14"/>
    </row>
    <row r="67" spans="2:10" x14ac:dyDescent="0.2">
      <c r="B67" s="44" t="s">
        <v>114</v>
      </c>
      <c r="C67" s="44"/>
      <c r="D67" s="44"/>
      <c r="E67" s="45"/>
      <c r="F67" s="16">
        <v>132375.9</v>
      </c>
      <c r="G67" s="16">
        <v>100</v>
      </c>
      <c r="H67" s="16"/>
      <c r="I67" s="14"/>
      <c r="J67" s="14"/>
    </row>
    <row r="69" spans="2:10" x14ac:dyDescent="0.2">
      <c r="B69" s="14" t="s">
        <v>792</v>
      </c>
    </row>
    <row r="70" spans="2:10" x14ac:dyDescent="0.2">
      <c r="B70" s="14" t="s">
        <v>563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1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20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119</v>
      </c>
      <c r="C7" s="23" t="s">
        <v>120</v>
      </c>
      <c r="D7" s="23" t="s">
        <v>87</v>
      </c>
      <c r="E7" s="28">
        <v>40032</v>
      </c>
      <c r="F7" s="25">
        <v>473.8</v>
      </c>
      <c r="G7" s="25">
        <v>1.6</v>
      </c>
      <c r="H7" s="26"/>
    </row>
    <row r="8" spans="2:8" x14ac:dyDescent="0.2">
      <c r="B8" s="27" t="s">
        <v>116</v>
      </c>
      <c r="C8" s="23" t="s">
        <v>117</v>
      </c>
      <c r="D8" s="23" t="s">
        <v>118</v>
      </c>
      <c r="E8" s="28">
        <v>36920</v>
      </c>
      <c r="F8" s="25">
        <v>391.57</v>
      </c>
      <c r="G8" s="25">
        <v>1.32</v>
      </c>
      <c r="H8" s="26"/>
    </row>
    <row r="9" spans="2:8" x14ac:dyDescent="0.2">
      <c r="B9" s="27" t="s">
        <v>128</v>
      </c>
      <c r="C9" s="23" t="s">
        <v>129</v>
      </c>
      <c r="D9" s="23" t="s">
        <v>130</v>
      </c>
      <c r="E9" s="28">
        <v>11000</v>
      </c>
      <c r="F9" s="25">
        <v>363.99</v>
      </c>
      <c r="G9" s="25">
        <v>1.23</v>
      </c>
      <c r="H9" s="26"/>
    </row>
    <row r="10" spans="2:8" x14ac:dyDescent="0.2">
      <c r="B10" s="27" t="s">
        <v>36</v>
      </c>
      <c r="C10" s="23" t="s">
        <v>37</v>
      </c>
      <c r="D10" s="23" t="s">
        <v>38</v>
      </c>
      <c r="E10" s="28">
        <v>17154</v>
      </c>
      <c r="F10" s="25">
        <v>352.43</v>
      </c>
      <c r="G10" s="25">
        <v>1.19</v>
      </c>
      <c r="H10" s="26"/>
    </row>
    <row r="11" spans="2:8" x14ac:dyDescent="0.2">
      <c r="B11" s="27" t="s">
        <v>131</v>
      </c>
      <c r="C11" s="23" t="s">
        <v>132</v>
      </c>
      <c r="D11" s="23" t="s">
        <v>133</v>
      </c>
      <c r="E11" s="28">
        <v>9000</v>
      </c>
      <c r="F11" s="25">
        <v>282.77999999999997</v>
      </c>
      <c r="G11" s="25">
        <v>0.95</v>
      </c>
      <c r="H11" s="26"/>
    </row>
    <row r="12" spans="2:8" x14ac:dyDescent="0.2">
      <c r="B12" s="27" t="s">
        <v>139</v>
      </c>
      <c r="C12" s="23" t="s">
        <v>140</v>
      </c>
      <c r="D12" s="23" t="s">
        <v>87</v>
      </c>
      <c r="E12" s="28">
        <v>54062</v>
      </c>
      <c r="F12" s="25">
        <v>266.26</v>
      </c>
      <c r="G12" s="25">
        <v>0.9</v>
      </c>
      <c r="H12" s="26"/>
    </row>
    <row r="13" spans="2:8" x14ac:dyDescent="0.2">
      <c r="B13" s="27" t="s">
        <v>268</v>
      </c>
      <c r="C13" s="23" t="s">
        <v>269</v>
      </c>
      <c r="D13" s="23" t="s">
        <v>130</v>
      </c>
      <c r="E13" s="28">
        <v>20316</v>
      </c>
      <c r="F13" s="25">
        <v>263.47000000000003</v>
      </c>
      <c r="G13" s="25">
        <v>0.89</v>
      </c>
      <c r="H13" s="26"/>
    </row>
    <row r="14" spans="2:8" x14ac:dyDescent="0.2">
      <c r="B14" s="27" t="s">
        <v>85</v>
      </c>
      <c r="C14" s="23" t="s">
        <v>86</v>
      </c>
      <c r="D14" s="23" t="s">
        <v>87</v>
      </c>
      <c r="E14" s="28">
        <v>65914</v>
      </c>
      <c r="F14" s="25">
        <v>258.77999999999997</v>
      </c>
      <c r="G14" s="25">
        <v>0.87</v>
      </c>
      <c r="H14" s="26"/>
    </row>
    <row r="15" spans="2:8" x14ac:dyDescent="0.2">
      <c r="B15" s="27" t="s">
        <v>121</v>
      </c>
      <c r="C15" s="23" t="s">
        <v>122</v>
      </c>
      <c r="D15" s="23" t="s">
        <v>118</v>
      </c>
      <c r="E15" s="28">
        <v>9242</v>
      </c>
      <c r="F15" s="25">
        <v>246.29</v>
      </c>
      <c r="G15" s="25">
        <v>0.83</v>
      </c>
      <c r="H15" s="26"/>
    </row>
    <row r="16" spans="2:8" x14ac:dyDescent="0.2">
      <c r="B16" s="27" t="s">
        <v>150</v>
      </c>
      <c r="C16" s="23" t="s">
        <v>151</v>
      </c>
      <c r="D16" s="23" t="s">
        <v>133</v>
      </c>
      <c r="E16" s="28">
        <v>10000</v>
      </c>
      <c r="F16" s="25">
        <v>231.31</v>
      </c>
      <c r="G16" s="25">
        <v>0.78</v>
      </c>
      <c r="H16" s="26"/>
    </row>
    <row r="17" spans="2:8" x14ac:dyDescent="0.2">
      <c r="B17" s="27" t="s">
        <v>254</v>
      </c>
      <c r="C17" s="23" t="s">
        <v>255</v>
      </c>
      <c r="D17" s="23" t="s">
        <v>227</v>
      </c>
      <c r="E17" s="28">
        <v>10000</v>
      </c>
      <c r="F17" s="25">
        <v>223.99</v>
      </c>
      <c r="G17" s="25">
        <v>0.75</v>
      </c>
      <c r="H17" s="26"/>
    </row>
    <row r="18" spans="2:8" x14ac:dyDescent="0.2">
      <c r="B18" s="27" t="s">
        <v>174</v>
      </c>
      <c r="C18" s="23" t="s">
        <v>175</v>
      </c>
      <c r="D18" s="23" t="s">
        <v>173</v>
      </c>
      <c r="E18" s="28">
        <v>3715</v>
      </c>
      <c r="F18" s="25">
        <v>223.22</v>
      </c>
      <c r="G18" s="25">
        <v>0.75</v>
      </c>
      <c r="H18" s="26"/>
    </row>
    <row r="19" spans="2:8" x14ac:dyDescent="0.2">
      <c r="B19" s="27" t="s">
        <v>287</v>
      </c>
      <c r="C19" s="23" t="s">
        <v>288</v>
      </c>
      <c r="D19" s="23" t="s">
        <v>237</v>
      </c>
      <c r="E19" s="28">
        <v>30000</v>
      </c>
      <c r="F19" s="25">
        <v>221.7</v>
      </c>
      <c r="G19" s="25">
        <v>0.75</v>
      </c>
      <c r="H19" s="26"/>
    </row>
    <row r="20" spans="2:8" x14ac:dyDescent="0.2">
      <c r="B20" s="27" t="s">
        <v>248</v>
      </c>
      <c r="C20" s="23" t="s">
        <v>249</v>
      </c>
      <c r="D20" s="23" t="s">
        <v>227</v>
      </c>
      <c r="E20" s="28">
        <v>140000</v>
      </c>
      <c r="F20" s="25">
        <v>214.62</v>
      </c>
      <c r="G20" s="25">
        <v>0.72</v>
      </c>
      <c r="H20" s="26"/>
    </row>
    <row r="21" spans="2:8" x14ac:dyDescent="0.2">
      <c r="B21" s="27" t="s">
        <v>92</v>
      </c>
      <c r="C21" s="23" t="s">
        <v>93</v>
      </c>
      <c r="D21" s="23" t="s">
        <v>44</v>
      </c>
      <c r="E21" s="28">
        <v>4500</v>
      </c>
      <c r="F21" s="25">
        <v>205.83</v>
      </c>
      <c r="G21" s="25">
        <v>0.69</v>
      </c>
      <c r="H21" s="26"/>
    </row>
    <row r="22" spans="2:8" x14ac:dyDescent="0.2">
      <c r="B22" s="27" t="s">
        <v>156</v>
      </c>
      <c r="C22" s="23" t="s">
        <v>157</v>
      </c>
      <c r="D22" s="23" t="s">
        <v>130</v>
      </c>
      <c r="E22" s="28">
        <v>12000</v>
      </c>
      <c r="F22" s="25">
        <v>204.12</v>
      </c>
      <c r="G22" s="25">
        <v>0.69</v>
      </c>
      <c r="H22" s="26"/>
    </row>
    <row r="23" spans="2:8" x14ac:dyDescent="0.2">
      <c r="B23" s="27" t="s">
        <v>67</v>
      </c>
      <c r="C23" s="23" t="s">
        <v>68</v>
      </c>
      <c r="D23" s="23" t="s">
        <v>66</v>
      </c>
      <c r="E23" s="28">
        <v>50000</v>
      </c>
      <c r="F23" s="25">
        <v>201.13</v>
      </c>
      <c r="G23" s="25">
        <v>0.68</v>
      </c>
      <c r="H23" s="26"/>
    </row>
    <row r="24" spans="2:8" x14ac:dyDescent="0.2">
      <c r="B24" s="27" t="s">
        <v>123</v>
      </c>
      <c r="C24" s="23" t="s">
        <v>124</v>
      </c>
      <c r="D24" s="23" t="s">
        <v>87</v>
      </c>
      <c r="E24" s="28">
        <v>12450</v>
      </c>
      <c r="F24" s="25">
        <v>192.65</v>
      </c>
      <c r="G24" s="25">
        <v>0.65</v>
      </c>
      <c r="H24" s="26"/>
    </row>
    <row r="25" spans="2:8" x14ac:dyDescent="0.2">
      <c r="B25" s="27" t="s">
        <v>100</v>
      </c>
      <c r="C25" s="23" t="s">
        <v>101</v>
      </c>
      <c r="D25" s="23" t="s">
        <v>102</v>
      </c>
      <c r="E25" s="28">
        <v>40000</v>
      </c>
      <c r="F25" s="25">
        <v>173.5</v>
      </c>
      <c r="G25" s="25">
        <v>0.57999999999999996</v>
      </c>
      <c r="H25" s="26"/>
    </row>
    <row r="26" spans="2:8" x14ac:dyDescent="0.2">
      <c r="B26" s="27" t="s">
        <v>154</v>
      </c>
      <c r="C26" s="23" t="s">
        <v>155</v>
      </c>
      <c r="D26" s="23" t="s">
        <v>60</v>
      </c>
      <c r="E26" s="28">
        <v>13700</v>
      </c>
      <c r="F26" s="25">
        <v>159.71</v>
      </c>
      <c r="G26" s="25">
        <v>0.54</v>
      </c>
      <c r="H26" s="26"/>
    </row>
    <row r="27" spans="2:8" x14ac:dyDescent="0.2">
      <c r="B27" s="27" t="s">
        <v>193</v>
      </c>
      <c r="C27" s="23" t="s">
        <v>194</v>
      </c>
      <c r="D27" s="23" t="s">
        <v>130</v>
      </c>
      <c r="E27" s="28">
        <v>19736</v>
      </c>
      <c r="F27" s="25">
        <v>157.84</v>
      </c>
      <c r="G27" s="25">
        <v>0.53</v>
      </c>
      <c r="H27" s="26"/>
    </row>
    <row r="28" spans="2:8" x14ac:dyDescent="0.2">
      <c r="B28" s="27" t="s">
        <v>162</v>
      </c>
      <c r="C28" s="23" t="s">
        <v>163</v>
      </c>
      <c r="D28" s="23" t="s">
        <v>164</v>
      </c>
      <c r="E28" s="28">
        <v>11400</v>
      </c>
      <c r="F28" s="25">
        <v>153.62</v>
      </c>
      <c r="G28" s="25">
        <v>0.52</v>
      </c>
      <c r="H28" s="26"/>
    </row>
    <row r="29" spans="2:8" x14ac:dyDescent="0.2">
      <c r="B29" s="27" t="s">
        <v>136</v>
      </c>
      <c r="C29" s="23" t="s">
        <v>137</v>
      </c>
      <c r="D29" s="23" t="s">
        <v>138</v>
      </c>
      <c r="E29" s="28">
        <v>2150</v>
      </c>
      <c r="F29" s="25">
        <v>149.75</v>
      </c>
      <c r="G29" s="25">
        <v>0.5</v>
      </c>
      <c r="H29" s="26"/>
    </row>
    <row r="30" spans="2:8" x14ac:dyDescent="0.2">
      <c r="B30" s="27" t="s">
        <v>64</v>
      </c>
      <c r="C30" s="23" t="s">
        <v>65</v>
      </c>
      <c r="D30" s="23" t="s">
        <v>66</v>
      </c>
      <c r="E30" s="28">
        <v>50000</v>
      </c>
      <c r="F30" s="25">
        <v>148.30000000000001</v>
      </c>
      <c r="G30" s="25">
        <v>0.5</v>
      </c>
      <c r="H30" s="26"/>
    </row>
    <row r="31" spans="2:8" x14ac:dyDescent="0.2">
      <c r="B31" s="27" t="s">
        <v>158</v>
      </c>
      <c r="C31" s="23" t="s">
        <v>159</v>
      </c>
      <c r="D31" s="23" t="s">
        <v>127</v>
      </c>
      <c r="E31" s="28">
        <v>4000</v>
      </c>
      <c r="F31" s="25">
        <v>138.93</v>
      </c>
      <c r="G31" s="25">
        <v>0.47</v>
      </c>
      <c r="H31" s="26"/>
    </row>
    <row r="32" spans="2:8" x14ac:dyDescent="0.2">
      <c r="B32" s="27" t="s">
        <v>263</v>
      </c>
      <c r="C32" s="23" t="s">
        <v>264</v>
      </c>
      <c r="D32" s="23" t="s">
        <v>63</v>
      </c>
      <c r="E32" s="28">
        <v>15000</v>
      </c>
      <c r="F32" s="25">
        <v>138.11000000000001</v>
      </c>
      <c r="G32" s="25">
        <v>0.47</v>
      </c>
      <c r="H32" s="26"/>
    </row>
    <row r="33" spans="2:10" x14ac:dyDescent="0.2">
      <c r="B33" s="27" t="s">
        <v>209</v>
      </c>
      <c r="C33" s="23" t="s">
        <v>210</v>
      </c>
      <c r="D33" s="23" t="s">
        <v>127</v>
      </c>
      <c r="E33" s="28">
        <v>6000</v>
      </c>
      <c r="F33" s="25">
        <v>130.49</v>
      </c>
      <c r="G33" s="25">
        <v>0.44</v>
      </c>
      <c r="H33" s="26"/>
    </row>
    <row r="34" spans="2:10" x14ac:dyDescent="0.2">
      <c r="B34" s="27" t="s">
        <v>50</v>
      </c>
      <c r="C34" s="23" t="s">
        <v>51</v>
      </c>
      <c r="D34" s="23" t="s">
        <v>52</v>
      </c>
      <c r="E34" s="28">
        <v>15966</v>
      </c>
      <c r="F34" s="25">
        <v>126.63</v>
      </c>
      <c r="G34" s="25">
        <v>0.43</v>
      </c>
      <c r="H34" s="26"/>
    </row>
    <row r="35" spans="2:10" x14ac:dyDescent="0.2">
      <c r="B35" s="27" t="s">
        <v>197</v>
      </c>
      <c r="C35" s="23" t="s">
        <v>198</v>
      </c>
      <c r="D35" s="23" t="s">
        <v>164</v>
      </c>
      <c r="E35" s="28">
        <v>39500</v>
      </c>
      <c r="F35" s="25">
        <v>126.26</v>
      </c>
      <c r="G35" s="25">
        <v>0.43</v>
      </c>
      <c r="H35" s="26"/>
    </row>
    <row r="36" spans="2:10" x14ac:dyDescent="0.2">
      <c r="B36" s="27" t="s">
        <v>195</v>
      </c>
      <c r="C36" s="23" t="s">
        <v>196</v>
      </c>
      <c r="D36" s="23" t="s">
        <v>173</v>
      </c>
      <c r="E36" s="28">
        <v>10000</v>
      </c>
      <c r="F36" s="25">
        <v>120.97</v>
      </c>
      <c r="G36" s="25">
        <v>0.41</v>
      </c>
      <c r="H36" s="26"/>
    </row>
    <row r="37" spans="2:10" x14ac:dyDescent="0.2">
      <c r="B37" s="27" t="s">
        <v>152</v>
      </c>
      <c r="C37" s="23" t="s">
        <v>153</v>
      </c>
      <c r="D37" s="23" t="s">
        <v>127</v>
      </c>
      <c r="E37" s="28">
        <v>700</v>
      </c>
      <c r="F37" s="25">
        <v>120.13</v>
      </c>
      <c r="G37" s="25">
        <v>0.4</v>
      </c>
      <c r="H37" s="26"/>
    </row>
    <row r="38" spans="2:10" x14ac:dyDescent="0.2">
      <c r="B38" s="27" t="s">
        <v>125</v>
      </c>
      <c r="C38" s="23" t="s">
        <v>126</v>
      </c>
      <c r="D38" s="23" t="s">
        <v>127</v>
      </c>
      <c r="E38" s="28">
        <v>5597</v>
      </c>
      <c r="F38" s="25">
        <v>115.93</v>
      </c>
      <c r="G38" s="25">
        <v>0.39</v>
      </c>
      <c r="H38" s="26"/>
    </row>
    <row r="39" spans="2:10" x14ac:dyDescent="0.2">
      <c r="B39" s="27" t="s">
        <v>73</v>
      </c>
      <c r="C39" s="23" t="s">
        <v>74</v>
      </c>
      <c r="D39" s="23" t="s">
        <v>52</v>
      </c>
      <c r="E39" s="28">
        <v>49244</v>
      </c>
      <c r="F39" s="25">
        <v>110.48</v>
      </c>
      <c r="G39" s="25">
        <v>0.37</v>
      </c>
      <c r="H39" s="26"/>
    </row>
    <row r="40" spans="2:10" x14ac:dyDescent="0.2">
      <c r="B40" s="27" t="s">
        <v>183</v>
      </c>
      <c r="C40" s="23" t="s">
        <v>184</v>
      </c>
      <c r="D40" s="23" t="s">
        <v>60</v>
      </c>
      <c r="E40" s="28">
        <v>5000</v>
      </c>
      <c r="F40" s="25">
        <v>106.03</v>
      </c>
      <c r="G40" s="25">
        <v>0.36</v>
      </c>
      <c r="H40" s="26"/>
    </row>
    <row r="41" spans="2:10" x14ac:dyDescent="0.2">
      <c r="B41" s="27" t="s">
        <v>248</v>
      </c>
      <c r="C41" s="23" t="s">
        <v>270</v>
      </c>
      <c r="D41" s="23" t="s">
        <v>227</v>
      </c>
      <c r="E41" s="28">
        <v>15000</v>
      </c>
      <c r="F41" s="25">
        <v>14.32</v>
      </c>
      <c r="G41" s="25">
        <v>0.05</v>
      </c>
      <c r="H41" s="26"/>
    </row>
    <row r="42" spans="2:10" x14ac:dyDescent="0.2">
      <c r="B42" s="29" t="s">
        <v>111</v>
      </c>
      <c r="C42" s="30"/>
      <c r="D42" s="30"/>
      <c r="E42" s="31"/>
      <c r="F42" s="32">
        <f>SUM(F7:F41)</f>
        <v>7008.94</v>
      </c>
      <c r="G42" s="32">
        <f>SUM(G7:G41)</f>
        <v>23.629999999999995</v>
      </c>
      <c r="H42" s="33"/>
      <c r="I42" s="14"/>
      <c r="J42" s="14"/>
    </row>
    <row r="43" spans="2:10" x14ac:dyDescent="0.2">
      <c r="B43" s="37" t="s">
        <v>112</v>
      </c>
      <c r="C43" s="37"/>
      <c r="D43" s="37"/>
      <c r="E43" s="38"/>
      <c r="F43" s="39">
        <f>F42</f>
        <v>7008.94</v>
      </c>
      <c r="G43" s="39">
        <f>G42</f>
        <v>23.629999999999995</v>
      </c>
      <c r="H43" s="15"/>
      <c r="I43" s="14"/>
      <c r="J43" s="14"/>
    </row>
    <row r="44" spans="2:10" x14ac:dyDescent="0.2">
      <c r="B44" s="46" t="s">
        <v>345</v>
      </c>
      <c r="C44" s="41"/>
      <c r="D44" s="41"/>
      <c r="E44" s="42"/>
      <c r="F44" s="43"/>
      <c r="G44" s="43"/>
      <c r="H44" s="43"/>
    </row>
    <row r="45" spans="2:10" x14ac:dyDescent="0.2">
      <c r="B45" s="47" t="s">
        <v>32</v>
      </c>
      <c r="C45" s="23"/>
      <c r="D45" s="23"/>
      <c r="E45" s="24"/>
      <c r="F45" s="25"/>
      <c r="G45" s="25"/>
      <c r="H45" s="25"/>
    </row>
    <row r="46" spans="2:10" x14ac:dyDescent="0.2">
      <c r="B46" s="23" t="s">
        <v>387</v>
      </c>
      <c r="C46" s="23" t="s">
        <v>388</v>
      </c>
      <c r="D46" s="23" t="s">
        <v>348</v>
      </c>
      <c r="E46" s="28">
        <v>150</v>
      </c>
      <c r="F46" s="25">
        <v>1682.54</v>
      </c>
      <c r="G46" s="25">
        <v>5.67</v>
      </c>
      <c r="H46" s="25">
        <v>6.81</v>
      </c>
    </row>
    <row r="47" spans="2:10" x14ac:dyDescent="0.2">
      <c r="B47" s="23" t="s">
        <v>389</v>
      </c>
      <c r="C47" s="23" t="s">
        <v>390</v>
      </c>
      <c r="D47" s="23" t="s">
        <v>348</v>
      </c>
      <c r="E47" s="28">
        <v>100</v>
      </c>
      <c r="F47" s="25">
        <v>1118.1300000000001</v>
      </c>
      <c r="G47" s="25">
        <v>3.77</v>
      </c>
      <c r="H47" s="25">
        <v>6.48</v>
      </c>
    </row>
    <row r="48" spans="2:10" x14ac:dyDescent="0.2">
      <c r="B48" s="23" t="s">
        <v>368</v>
      </c>
      <c r="C48" s="23" t="s">
        <v>369</v>
      </c>
      <c r="D48" s="23" t="s">
        <v>348</v>
      </c>
      <c r="E48" s="28">
        <v>100</v>
      </c>
      <c r="F48" s="25">
        <v>1077.79</v>
      </c>
      <c r="G48" s="25">
        <v>3.63</v>
      </c>
      <c r="H48" s="25">
        <v>5.59</v>
      </c>
    </row>
    <row r="49" spans="2:10" x14ac:dyDescent="0.2">
      <c r="B49" s="23" t="s">
        <v>472</v>
      </c>
      <c r="C49" s="23" t="s">
        <v>473</v>
      </c>
      <c r="D49" s="23" t="s">
        <v>348</v>
      </c>
      <c r="E49" s="28">
        <v>100</v>
      </c>
      <c r="F49" s="25">
        <v>1065.08</v>
      </c>
      <c r="G49" s="25">
        <v>3.59</v>
      </c>
      <c r="H49" s="25">
        <v>5.7</v>
      </c>
    </row>
    <row r="50" spans="2:10" x14ac:dyDescent="0.2">
      <c r="B50" s="23" t="s">
        <v>376</v>
      </c>
      <c r="C50" s="23" t="s">
        <v>377</v>
      </c>
      <c r="D50" s="23" t="s">
        <v>348</v>
      </c>
      <c r="E50" s="28">
        <v>100</v>
      </c>
      <c r="F50" s="25">
        <v>1052.06</v>
      </c>
      <c r="G50" s="25">
        <v>3.54</v>
      </c>
      <c r="H50" s="25">
        <v>4.76</v>
      </c>
    </row>
    <row r="51" spans="2:10" x14ac:dyDescent="0.2">
      <c r="B51" s="23" t="s">
        <v>378</v>
      </c>
      <c r="C51" s="23" t="s">
        <v>379</v>
      </c>
      <c r="D51" s="23" t="s">
        <v>348</v>
      </c>
      <c r="E51" s="28">
        <v>100</v>
      </c>
      <c r="F51" s="25">
        <v>1027.57</v>
      </c>
      <c r="G51" s="25">
        <v>3.46</v>
      </c>
      <c r="H51" s="25">
        <v>3.85</v>
      </c>
    </row>
    <row r="52" spans="2:10" x14ac:dyDescent="0.2">
      <c r="B52" s="23" t="s">
        <v>564</v>
      </c>
      <c r="C52" s="23" t="s">
        <v>565</v>
      </c>
      <c r="D52" s="23" t="s">
        <v>348</v>
      </c>
      <c r="E52" s="28">
        <v>50</v>
      </c>
      <c r="F52" s="25">
        <v>574.04999999999995</v>
      </c>
      <c r="G52" s="25">
        <v>1.93</v>
      </c>
      <c r="H52" s="25">
        <v>6.52</v>
      </c>
    </row>
    <row r="53" spans="2:10" x14ac:dyDescent="0.2">
      <c r="B53" s="23" t="s">
        <v>372</v>
      </c>
      <c r="C53" s="23" t="s">
        <v>373</v>
      </c>
      <c r="D53" s="23" t="s">
        <v>348</v>
      </c>
      <c r="E53" s="28">
        <v>50</v>
      </c>
      <c r="F53" s="25">
        <v>540.44000000000005</v>
      </c>
      <c r="G53" s="25">
        <v>1.82</v>
      </c>
      <c r="H53" s="25">
        <v>5.14</v>
      </c>
    </row>
    <row r="54" spans="2:10" x14ac:dyDescent="0.2">
      <c r="B54" s="23" t="s">
        <v>351</v>
      </c>
      <c r="C54" s="23" t="s">
        <v>352</v>
      </c>
      <c r="D54" s="23" t="s">
        <v>348</v>
      </c>
      <c r="E54" s="28">
        <v>50</v>
      </c>
      <c r="F54" s="25">
        <v>515.58000000000004</v>
      </c>
      <c r="G54" s="25">
        <v>1.74</v>
      </c>
      <c r="H54" s="25">
        <v>3.85</v>
      </c>
    </row>
    <row r="55" spans="2:10" x14ac:dyDescent="0.2">
      <c r="B55" s="30" t="s">
        <v>111</v>
      </c>
      <c r="C55" s="30"/>
      <c r="D55" s="30"/>
      <c r="E55" s="31"/>
      <c r="F55" s="32">
        <f>SUM(F45:F54)</f>
        <v>8653.24</v>
      </c>
      <c r="G55" s="32">
        <f>SUM(G45:G54)</f>
        <v>29.15</v>
      </c>
      <c r="H55" s="48"/>
      <c r="I55" s="14"/>
      <c r="J55" s="14"/>
    </row>
    <row r="56" spans="2:10" x14ac:dyDescent="0.2">
      <c r="B56" s="49" t="s">
        <v>112</v>
      </c>
      <c r="C56" s="49"/>
      <c r="D56" s="49"/>
      <c r="E56" s="50"/>
      <c r="F56" s="51">
        <f>F55</f>
        <v>8653.24</v>
      </c>
      <c r="G56" s="51">
        <f>G55</f>
        <v>29.15</v>
      </c>
      <c r="H56" s="51"/>
      <c r="I56" s="14"/>
      <c r="J56" s="14"/>
    </row>
    <row r="57" spans="2:10" x14ac:dyDescent="0.2">
      <c r="B57" s="47" t="s">
        <v>419</v>
      </c>
      <c r="C57" s="23"/>
      <c r="D57" s="23"/>
      <c r="E57" s="24"/>
      <c r="F57" s="25"/>
      <c r="G57" s="25"/>
      <c r="H57" s="25"/>
    </row>
    <row r="58" spans="2:10" x14ac:dyDescent="0.2">
      <c r="B58" s="47" t="s">
        <v>420</v>
      </c>
      <c r="C58" s="23"/>
      <c r="D58" s="23"/>
      <c r="E58" s="24"/>
      <c r="F58" s="25"/>
      <c r="G58" s="25"/>
      <c r="H58" s="25"/>
    </row>
    <row r="59" spans="2:10" x14ac:dyDescent="0.2">
      <c r="B59" s="23" t="s">
        <v>421</v>
      </c>
      <c r="C59" s="23" t="s">
        <v>422</v>
      </c>
      <c r="D59" s="23" t="s">
        <v>423</v>
      </c>
      <c r="E59" s="28">
        <v>2000000</v>
      </c>
      <c r="F59" s="25">
        <v>1999.31</v>
      </c>
      <c r="G59" s="25">
        <v>6.73</v>
      </c>
      <c r="H59" s="25">
        <v>3.15</v>
      </c>
    </row>
    <row r="60" spans="2:10" x14ac:dyDescent="0.2">
      <c r="B60" s="30" t="s">
        <v>111</v>
      </c>
      <c r="C60" s="30"/>
      <c r="D60" s="30"/>
      <c r="E60" s="31"/>
      <c r="F60" s="32">
        <f>SUM(F58:F59)</f>
        <v>1999.31</v>
      </c>
      <c r="G60" s="32">
        <f>SUM(G58:G59)</f>
        <v>6.73</v>
      </c>
      <c r="H60" s="48"/>
      <c r="I60" s="14"/>
      <c r="J60" s="14"/>
    </row>
    <row r="61" spans="2:10" x14ac:dyDescent="0.2">
      <c r="B61" s="49" t="s">
        <v>112</v>
      </c>
      <c r="C61" s="49"/>
      <c r="D61" s="49"/>
      <c r="E61" s="50"/>
      <c r="F61" s="51">
        <f>+F60</f>
        <v>1999.31</v>
      </c>
      <c r="G61" s="51">
        <f>+G60</f>
        <v>6.73</v>
      </c>
      <c r="H61" s="51"/>
      <c r="I61" s="14"/>
      <c r="J61" s="14"/>
    </row>
    <row r="62" spans="2:10" x14ac:dyDescent="0.2">
      <c r="B62" s="47" t="s">
        <v>424</v>
      </c>
      <c r="C62" s="23"/>
      <c r="D62" s="23"/>
      <c r="E62" s="24"/>
      <c r="F62" s="25"/>
      <c r="G62" s="25"/>
      <c r="H62" s="25"/>
    </row>
    <row r="63" spans="2:10" x14ac:dyDescent="0.2">
      <c r="B63" s="23" t="s">
        <v>432</v>
      </c>
      <c r="C63" s="23" t="s">
        <v>433</v>
      </c>
      <c r="D63" s="23" t="s">
        <v>427</v>
      </c>
      <c r="E63" s="28">
        <v>3500000</v>
      </c>
      <c r="F63" s="25">
        <v>3684.71</v>
      </c>
      <c r="G63" s="25">
        <v>12.41</v>
      </c>
      <c r="H63" s="25">
        <v>4.22</v>
      </c>
    </row>
    <row r="64" spans="2:10" x14ac:dyDescent="0.2">
      <c r="B64" s="23" t="s">
        <v>430</v>
      </c>
      <c r="C64" s="23" t="s">
        <v>431</v>
      </c>
      <c r="D64" s="23" t="s">
        <v>427</v>
      </c>
      <c r="E64" s="28">
        <v>1500000</v>
      </c>
      <c r="F64" s="25">
        <v>1566.98</v>
      </c>
      <c r="G64" s="25">
        <v>5.28</v>
      </c>
      <c r="H64" s="25">
        <v>4.9400000000000004</v>
      </c>
    </row>
    <row r="65" spans="2:10" x14ac:dyDescent="0.2">
      <c r="B65" s="23" t="s">
        <v>434</v>
      </c>
      <c r="C65" s="23" t="s">
        <v>435</v>
      </c>
      <c r="D65" s="23" t="s">
        <v>427</v>
      </c>
      <c r="E65" s="28">
        <v>1500000</v>
      </c>
      <c r="F65" s="25">
        <v>1487.86</v>
      </c>
      <c r="G65" s="25">
        <v>5.01</v>
      </c>
      <c r="H65" s="25">
        <v>5.88</v>
      </c>
    </row>
    <row r="66" spans="2:10" x14ac:dyDescent="0.2">
      <c r="B66" s="23" t="s">
        <v>462</v>
      </c>
      <c r="C66" s="23" t="s">
        <v>463</v>
      </c>
      <c r="D66" s="23" t="s">
        <v>427</v>
      </c>
      <c r="E66" s="28">
        <v>1100000</v>
      </c>
      <c r="F66" s="25">
        <v>1096.08</v>
      </c>
      <c r="G66" s="25">
        <v>3.69</v>
      </c>
      <c r="H66" s="25">
        <v>6.23</v>
      </c>
    </row>
    <row r="67" spans="2:10" x14ac:dyDescent="0.2">
      <c r="B67" s="23" t="s">
        <v>566</v>
      </c>
      <c r="C67" s="23" t="s">
        <v>567</v>
      </c>
      <c r="D67" s="23" t="s">
        <v>427</v>
      </c>
      <c r="E67" s="28">
        <v>800000</v>
      </c>
      <c r="F67" s="25">
        <v>845.02</v>
      </c>
      <c r="G67" s="25">
        <v>2.85</v>
      </c>
      <c r="H67" s="25">
        <v>4.34</v>
      </c>
    </row>
    <row r="68" spans="2:10" x14ac:dyDescent="0.2">
      <c r="B68" s="23" t="s">
        <v>428</v>
      </c>
      <c r="C68" s="23" t="s">
        <v>429</v>
      </c>
      <c r="D68" s="23" t="s">
        <v>427</v>
      </c>
      <c r="E68" s="28">
        <v>500000</v>
      </c>
      <c r="F68" s="25">
        <v>540.98</v>
      </c>
      <c r="G68" s="25">
        <v>1.82</v>
      </c>
      <c r="H68" s="25">
        <v>5.98</v>
      </c>
    </row>
    <row r="69" spans="2:10" x14ac:dyDescent="0.2">
      <c r="B69" s="23" t="s">
        <v>436</v>
      </c>
      <c r="C69" s="23" t="s">
        <v>437</v>
      </c>
      <c r="D69" s="23" t="s">
        <v>427</v>
      </c>
      <c r="E69" s="28">
        <v>500000</v>
      </c>
      <c r="F69" s="25">
        <v>534.33000000000004</v>
      </c>
      <c r="G69" s="25">
        <v>1.8</v>
      </c>
      <c r="H69" s="25">
        <v>4.3899999999999997</v>
      </c>
    </row>
    <row r="70" spans="2:10" x14ac:dyDescent="0.2">
      <c r="B70" s="23" t="s">
        <v>438</v>
      </c>
      <c r="C70" s="23" t="s">
        <v>439</v>
      </c>
      <c r="D70" s="23" t="s">
        <v>427</v>
      </c>
      <c r="E70" s="28">
        <v>500000</v>
      </c>
      <c r="F70" s="25">
        <v>529.03</v>
      </c>
      <c r="G70" s="25">
        <v>1.78</v>
      </c>
      <c r="H70" s="25">
        <v>5.71</v>
      </c>
    </row>
    <row r="71" spans="2:10" x14ac:dyDescent="0.2">
      <c r="B71" s="23" t="s">
        <v>484</v>
      </c>
      <c r="C71" s="23" t="s">
        <v>485</v>
      </c>
      <c r="D71" s="23" t="s">
        <v>427</v>
      </c>
      <c r="E71" s="28">
        <v>130000</v>
      </c>
      <c r="F71" s="25">
        <v>132.05000000000001</v>
      </c>
      <c r="G71" s="25">
        <v>0.44</v>
      </c>
      <c r="H71" s="25">
        <v>6.41</v>
      </c>
    </row>
    <row r="72" spans="2:10" x14ac:dyDescent="0.2">
      <c r="B72" s="52" t="s">
        <v>568</v>
      </c>
      <c r="C72" s="52" t="s">
        <v>569</v>
      </c>
      <c r="D72" s="52" t="s">
        <v>427</v>
      </c>
      <c r="E72" s="53">
        <v>800</v>
      </c>
      <c r="F72" s="54">
        <v>0.92</v>
      </c>
      <c r="G72" s="54">
        <v>0</v>
      </c>
      <c r="H72" s="54">
        <v>6.64</v>
      </c>
    </row>
    <row r="73" spans="2:10" x14ac:dyDescent="0.2">
      <c r="B73" s="55" t="s">
        <v>112</v>
      </c>
      <c r="C73" s="55"/>
      <c r="D73" s="55"/>
      <c r="E73" s="56"/>
      <c r="F73" s="57">
        <f>SUM(F63:F72)</f>
        <v>10417.959999999999</v>
      </c>
      <c r="G73" s="57">
        <f>SUM(G63:G72)</f>
        <v>35.080000000000005</v>
      </c>
      <c r="H73" s="57"/>
      <c r="I73" s="14"/>
      <c r="J73" s="14"/>
    </row>
    <row r="74" spans="2:10" x14ac:dyDescent="0.2">
      <c r="B74" s="47" t="s">
        <v>113</v>
      </c>
      <c r="C74" s="23"/>
      <c r="D74" s="23"/>
      <c r="E74" s="24"/>
      <c r="F74" s="25"/>
      <c r="G74" s="25"/>
      <c r="H74" s="25"/>
    </row>
    <row r="75" spans="2:10" x14ac:dyDescent="0.2">
      <c r="B75" s="23" t="s">
        <v>113</v>
      </c>
      <c r="C75" s="23"/>
      <c r="D75" s="23"/>
      <c r="E75" s="24"/>
      <c r="F75" s="25">
        <v>3164.6</v>
      </c>
      <c r="G75" s="25">
        <v>10.66</v>
      </c>
      <c r="H75" s="25"/>
    </row>
    <row r="76" spans="2:10" x14ac:dyDescent="0.2">
      <c r="B76" s="30" t="s">
        <v>111</v>
      </c>
      <c r="C76" s="30"/>
      <c r="D76" s="30"/>
      <c r="E76" s="31"/>
      <c r="F76" s="32">
        <f>SUM(F74:F75)</f>
        <v>3164.6</v>
      </c>
      <c r="G76" s="32">
        <f>SUM(G74:G75)</f>
        <v>10.66</v>
      </c>
      <c r="H76" s="48"/>
      <c r="I76" s="14"/>
      <c r="J76" s="14"/>
    </row>
    <row r="77" spans="2:10" x14ac:dyDescent="0.2">
      <c r="B77" s="34" t="s">
        <v>112</v>
      </c>
      <c r="C77" s="34"/>
      <c r="D77" s="34"/>
      <c r="E77" s="35"/>
      <c r="F77" s="36">
        <f>F76</f>
        <v>3164.6</v>
      </c>
      <c r="G77" s="36">
        <f>G76</f>
        <v>10.66</v>
      </c>
      <c r="H77" s="36"/>
      <c r="I77" s="14"/>
      <c r="J77" s="14"/>
    </row>
    <row r="78" spans="2:10" x14ac:dyDescent="0.2">
      <c r="B78" s="44" t="s">
        <v>115</v>
      </c>
      <c r="C78" s="44"/>
      <c r="D78" s="44"/>
      <c r="E78" s="45"/>
      <c r="F78" s="16">
        <f>F79-(+F43+F56+F61+F73+F77)</f>
        <v>-1553.4099999999999</v>
      </c>
      <c r="G78" s="16">
        <f>G79-(+G43+G56+G61+G73+G77)</f>
        <v>-5.25</v>
      </c>
      <c r="H78" s="16"/>
      <c r="I78" s="14"/>
      <c r="J78" s="14"/>
    </row>
    <row r="79" spans="2:10" x14ac:dyDescent="0.2">
      <c r="B79" s="44" t="s">
        <v>114</v>
      </c>
      <c r="C79" s="44"/>
      <c r="D79" s="44"/>
      <c r="E79" s="45"/>
      <c r="F79" s="16">
        <v>29690.639999999999</v>
      </c>
      <c r="G79" s="16">
        <v>100</v>
      </c>
      <c r="H79" s="16"/>
      <c r="I79" s="14"/>
      <c r="J79" s="14"/>
    </row>
    <row r="81" spans="2:2" x14ac:dyDescent="0.2">
      <c r="B81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/>
  </sheetViews>
  <sheetFormatPr defaultRowHeight="12" x14ac:dyDescent="0.2"/>
  <cols>
    <col min="1" max="1" width="9.140625" style="1"/>
    <col min="2" max="2" width="58.28515625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21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424</v>
      </c>
      <c r="C5" s="18"/>
      <c r="D5" s="18"/>
      <c r="E5" s="19"/>
      <c r="F5" s="20"/>
      <c r="G5" s="20"/>
      <c r="H5" s="20"/>
    </row>
    <row r="6" spans="2:10" x14ac:dyDescent="0.2">
      <c r="B6" s="23" t="s">
        <v>438</v>
      </c>
      <c r="C6" s="23" t="s">
        <v>439</v>
      </c>
      <c r="D6" s="23" t="s">
        <v>427</v>
      </c>
      <c r="E6" s="28">
        <v>1500000</v>
      </c>
      <c r="F6" s="25">
        <v>1587.09</v>
      </c>
      <c r="G6" s="25">
        <v>50.51</v>
      </c>
      <c r="H6" s="25">
        <v>5.71</v>
      </c>
    </row>
    <row r="7" spans="2:10" x14ac:dyDescent="0.2">
      <c r="B7" s="52" t="s">
        <v>570</v>
      </c>
      <c r="C7" s="52" t="s">
        <v>571</v>
      </c>
      <c r="D7" s="52" t="s">
        <v>427</v>
      </c>
      <c r="E7" s="53">
        <v>1000000</v>
      </c>
      <c r="F7" s="54">
        <v>1097.55</v>
      </c>
      <c r="G7" s="54">
        <v>34.93</v>
      </c>
      <c r="H7" s="54">
        <v>5.41</v>
      </c>
    </row>
    <row r="8" spans="2:10" x14ac:dyDescent="0.2">
      <c r="B8" s="55" t="s">
        <v>112</v>
      </c>
      <c r="C8" s="55"/>
      <c r="D8" s="55"/>
      <c r="E8" s="56"/>
      <c r="F8" s="57">
        <f>SUM(F6:F7)</f>
        <v>2684.64</v>
      </c>
      <c r="G8" s="57">
        <f>SUM(G6:G7)</f>
        <v>85.44</v>
      </c>
      <c r="H8" s="57"/>
      <c r="I8" s="14"/>
      <c r="J8" s="14"/>
    </row>
    <row r="9" spans="2:10" x14ac:dyDescent="0.2">
      <c r="B9" s="47" t="s">
        <v>113</v>
      </c>
      <c r="C9" s="23"/>
      <c r="D9" s="23"/>
      <c r="E9" s="24"/>
      <c r="F9" s="25"/>
      <c r="G9" s="25"/>
      <c r="H9" s="25"/>
    </row>
    <row r="10" spans="2:10" x14ac:dyDescent="0.2">
      <c r="B10" s="23" t="s">
        <v>113</v>
      </c>
      <c r="C10" s="23"/>
      <c r="D10" s="23"/>
      <c r="E10" s="24"/>
      <c r="F10" s="25">
        <v>370.43</v>
      </c>
      <c r="G10" s="25">
        <v>11.79</v>
      </c>
      <c r="H10" s="25"/>
    </row>
    <row r="11" spans="2:10" x14ac:dyDescent="0.2">
      <c r="B11" s="30" t="s">
        <v>111</v>
      </c>
      <c r="C11" s="30"/>
      <c r="D11" s="30"/>
      <c r="E11" s="31"/>
      <c r="F11" s="32">
        <f>SUM(F9:F10)</f>
        <v>370.43</v>
      </c>
      <c r="G11" s="32">
        <f>SUM(G9:G10)</f>
        <v>11.79</v>
      </c>
      <c r="H11" s="48"/>
      <c r="I11" s="14"/>
      <c r="J11" s="14"/>
    </row>
    <row r="12" spans="2:10" x14ac:dyDescent="0.2">
      <c r="B12" s="34" t="s">
        <v>112</v>
      </c>
      <c r="C12" s="34"/>
      <c r="D12" s="34"/>
      <c r="E12" s="35"/>
      <c r="F12" s="36">
        <f>F11</f>
        <v>370.43</v>
      </c>
      <c r="G12" s="36">
        <f>G11</f>
        <v>11.79</v>
      </c>
      <c r="H12" s="36"/>
      <c r="I12" s="14"/>
      <c r="J12" s="14"/>
    </row>
    <row r="13" spans="2:10" x14ac:dyDescent="0.2">
      <c r="B13" s="44" t="s">
        <v>115</v>
      </c>
      <c r="C13" s="44"/>
      <c r="D13" s="44"/>
      <c r="E13" s="45"/>
      <c r="F13" s="16">
        <f>F14-(+F8+F12)</f>
        <v>86.7800000000002</v>
      </c>
      <c r="G13" s="16">
        <f>G14-(+G8+G12)</f>
        <v>2.7700000000000102</v>
      </c>
      <c r="H13" s="16"/>
      <c r="I13" s="14"/>
      <c r="J13" s="14"/>
    </row>
    <row r="14" spans="2:10" x14ac:dyDescent="0.2">
      <c r="B14" s="44" t="s">
        <v>114</v>
      </c>
      <c r="C14" s="44"/>
      <c r="D14" s="44"/>
      <c r="E14" s="45"/>
      <c r="F14" s="16">
        <v>3141.85</v>
      </c>
      <c r="G14" s="16">
        <v>100</v>
      </c>
      <c r="H14" s="16"/>
      <c r="I14" s="14"/>
      <c r="J14" s="14"/>
    </row>
    <row r="16" spans="2:10" x14ac:dyDescent="0.2">
      <c r="B16" s="14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8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71093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10" ht="21" customHeight="1" x14ac:dyDescent="0.2">
      <c r="B1" s="61" t="s">
        <v>22</v>
      </c>
      <c r="C1" s="62"/>
      <c r="D1" s="62"/>
      <c r="E1" s="62"/>
      <c r="F1" s="62"/>
      <c r="G1" s="62"/>
      <c r="H1" s="62"/>
    </row>
    <row r="3" spans="2:10" ht="16.5" thickBot="1" x14ac:dyDescent="0.25">
      <c r="B3" s="2" t="s">
        <v>7</v>
      </c>
      <c r="C3" s="3"/>
      <c r="D3" s="4"/>
      <c r="E3" s="5"/>
      <c r="F3" s="6"/>
      <c r="G3" s="6"/>
    </row>
    <row r="4" spans="2:10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0" x14ac:dyDescent="0.2">
      <c r="B5" s="58" t="s">
        <v>419</v>
      </c>
      <c r="C5" s="18"/>
      <c r="D5" s="18"/>
      <c r="E5" s="19"/>
      <c r="F5" s="20"/>
      <c r="G5" s="20"/>
      <c r="H5" s="20"/>
    </row>
    <row r="6" spans="2:10" x14ac:dyDescent="0.2">
      <c r="B6" s="47" t="s">
        <v>524</v>
      </c>
      <c r="C6" s="23"/>
      <c r="D6" s="23"/>
      <c r="E6" s="24"/>
      <c r="F6" s="25"/>
      <c r="G6" s="25"/>
      <c r="H6" s="25"/>
    </row>
    <row r="7" spans="2:10" x14ac:dyDescent="0.2">
      <c r="B7" s="23" t="s">
        <v>572</v>
      </c>
      <c r="C7" s="23" t="s">
        <v>573</v>
      </c>
      <c r="D7" s="23" t="s">
        <v>574</v>
      </c>
      <c r="E7" s="28">
        <v>7500</v>
      </c>
      <c r="F7" s="25">
        <v>7461.12</v>
      </c>
      <c r="G7" s="25">
        <v>5.43</v>
      </c>
      <c r="H7" s="25">
        <v>3.17</v>
      </c>
    </row>
    <row r="8" spans="2:10" x14ac:dyDescent="0.2">
      <c r="B8" s="23" t="s">
        <v>575</v>
      </c>
      <c r="C8" s="23" t="s">
        <v>576</v>
      </c>
      <c r="D8" s="23" t="s">
        <v>574</v>
      </c>
      <c r="E8" s="28">
        <v>5000</v>
      </c>
      <c r="F8" s="25">
        <v>4972.1000000000004</v>
      </c>
      <c r="G8" s="25">
        <v>3.62</v>
      </c>
      <c r="H8" s="25">
        <v>3.2</v>
      </c>
    </row>
    <row r="9" spans="2:10" x14ac:dyDescent="0.2">
      <c r="B9" s="23" t="s">
        <v>577</v>
      </c>
      <c r="C9" s="23" t="s">
        <v>578</v>
      </c>
      <c r="D9" s="23" t="s">
        <v>574</v>
      </c>
      <c r="E9" s="28">
        <v>2500</v>
      </c>
      <c r="F9" s="25">
        <v>2488.5500000000002</v>
      </c>
      <c r="G9" s="25">
        <v>1.81</v>
      </c>
      <c r="H9" s="25">
        <v>3.17</v>
      </c>
    </row>
    <row r="10" spans="2:10" x14ac:dyDescent="0.2">
      <c r="B10" s="47" t="s">
        <v>111</v>
      </c>
      <c r="C10" s="47"/>
      <c r="D10" s="47"/>
      <c r="E10" s="59"/>
      <c r="F10" s="57">
        <f>SUM(F6:F9)</f>
        <v>14921.77</v>
      </c>
      <c r="G10" s="57">
        <f>SUM(G6:G9)</f>
        <v>10.860000000000001</v>
      </c>
      <c r="H10" s="60"/>
      <c r="I10" s="14"/>
      <c r="J10" s="14"/>
    </row>
    <row r="11" spans="2:10" x14ac:dyDescent="0.2">
      <c r="B11" s="47" t="s">
        <v>542</v>
      </c>
      <c r="C11" s="23"/>
      <c r="D11" s="23"/>
      <c r="E11" s="24"/>
      <c r="F11" s="25"/>
      <c r="G11" s="25"/>
      <c r="H11" s="25"/>
    </row>
    <row r="12" spans="2:10" x14ac:dyDescent="0.2">
      <c r="B12" s="23" t="s">
        <v>579</v>
      </c>
      <c r="C12" s="23" t="s">
        <v>580</v>
      </c>
      <c r="D12" s="23" t="s">
        <v>532</v>
      </c>
      <c r="E12" s="28">
        <v>2000</v>
      </c>
      <c r="F12" s="25">
        <v>9948.6200000000008</v>
      </c>
      <c r="G12" s="25">
        <v>7.24</v>
      </c>
      <c r="H12" s="25">
        <v>3.25</v>
      </c>
    </row>
    <row r="13" spans="2:10" x14ac:dyDescent="0.2">
      <c r="B13" s="23" t="s">
        <v>581</v>
      </c>
      <c r="C13" s="23" t="s">
        <v>582</v>
      </c>
      <c r="D13" s="23" t="s">
        <v>532</v>
      </c>
      <c r="E13" s="28">
        <v>1000</v>
      </c>
      <c r="F13" s="25">
        <v>4999.1400000000003</v>
      </c>
      <c r="G13" s="25">
        <v>3.64</v>
      </c>
      <c r="H13" s="25">
        <v>3.14</v>
      </c>
    </row>
    <row r="14" spans="2:10" x14ac:dyDescent="0.2">
      <c r="B14" s="23" t="s">
        <v>583</v>
      </c>
      <c r="C14" s="23" t="s">
        <v>584</v>
      </c>
      <c r="D14" s="23" t="s">
        <v>532</v>
      </c>
      <c r="E14" s="28">
        <v>1000</v>
      </c>
      <c r="F14" s="25">
        <v>4999.13</v>
      </c>
      <c r="G14" s="25">
        <v>3.64</v>
      </c>
      <c r="H14" s="25">
        <v>3.19</v>
      </c>
    </row>
    <row r="15" spans="2:10" x14ac:dyDescent="0.2">
      <c r="B15" s="23" t="s">
        <v>585</v>
      </c>
      <c r="C15" s="23" t="s">
        <v>586</v>
      </c>
      <c r="D15" s="23" t="s">
        <v>574</v>
      </c>
      <c r="E15" s="28">
        <v>1000</v>
      </c>
      <c r="F15" s="25">
        <v>4996.13</v>
      </c>
      <c r="G15" s="25">
        <v>3.64</v>
      </c>
      <c r="H15" s="25">
        <v>3.15</v>
      </c>
    </row>
    <row r="16" spans="2:10" x14ac:dyDescent="0.2">
      <c r="B16" s="23" t="s">
        <v>587</v>
      </c>
      <c r="C16" s="23" t="s">
        <v>588</v>
      </c>
      <c r="D16" s="23" t="s">
        <v>532</v>
      </c>
      <c r="E16" s="28">
        <v>700</v>
      </c>
      <c r="F16" s="25">
        <v>3474.71</v>
      </c>
      <c r="G16" s="25">
        <v>2.5299999999999998</v>
      </c>
      <c r="H16" s="25">
        <v>3.24</v>
      </c>
    </row>
    <row r="17" spans="2:10" x14ac:dyDescent="0.2">
      <c r="B17" s="47" t="s">
        <v>111</v>
      </c>
      <c r="C17" s="47"/>
      <c r="D17" s="47"/>
      <c r="E17" s="59"/>
      <c r="F17" s="57">
        <f>SUM(F11:F16)</f>
        <v>28417.730000000003</v>
      </c>
      <c r="G17" s="57">
        <f>SUM(G11:G16)</f>
        <v>20.69</v>
      </c>
      <c r="H17" s="60"/>
      <c r="I17" s="14"/>
      <c r="J17" s="14"/>
    </row>
    <row r="18" spans="2:10" x14ac:dyDescent="0.2">
      <c r="B18" s="47" t="s">
        <v>420</v>
      </c>
      <c r="C18" s="23"/>
      <c r="D18" s="23"/>
      <c r="E18" s="24"/>
      <c r="F18" s="25"/>
      <c r="G18" s="25"/>
      <c r="H18" s="25"/>
    </row>
    <row r="19" spans="2:10" x14ac:dyDescent="0.2">
      <c r="B19" s="23" t="s">
        <v>589</v>
      </c>
      <c r="C19" s="23" t="s">
        <v>590</v>
      </c>
      <c r="D19" s="23" t="s">
        <v>423</v>
      </c>
      <c r="E19" s="28">
        <v>20000000</v>
      </c>
      <c r="F19" s="25">
        <v>19932.919999999998</v>
      </c>
      <c r="G19" s="25">
        <v>14.5</v>
      </c>
      <c r="H19" s="25">
        <v>3.15</v>
      </c>
    </row>
    <row r="20" spans="2:10" x14ac:dyDescent="0.2">
      <c r="B20" s="23" t="s">
        <v>553</v>
      </c>
      <c r="C20" s="23" t="s">
        <v>554</v>
      </c>
      <c r="D20" s="23" t="s">
        <v>423</v>
      </c>
      <c r="E20" s="28">
        <v>16500000</v>
      </c>
      <c r="F20" s="25">
        <v>16492.77</v>
      </c>
      <c r="G20" s="25">
        <v>12</v>
      </c>
      <c r="H20" s="25">
        <v>3.2</v>
      </c>
    </row>
    <row r="21" spans="2:10" x14ac:dyDescent="0.2">
      <c r="B21" s="23" t="s">
        <v>591</v>
      </c>
      <c r="C21" s="23" t="s">
        <v>592</v>
      </c>
      <c r="D21" s="23" t="s">
        <v>423</v>
      </c>
      <c r="E21" s="28">
        <v>16000000</v>
      </c>
      <c r="F21" s="25">
        <v>15984.8</v>
      </c>
      <c r="G21" s="25">
        <v>11.63</v>
      </c>
      <c r="H21" s="25">
        <v>3.16</v>
      </c>
    </row>
    <row r="22" spans="2:10" x14ac:dyDescent="0.2">
      <c r="B22" s="23" t="s">
        <v>593</v>
      </c>
      <c r="C22" s="23" t="s">
        <v>594</v>
      </c>
      <c r="D22" s="23" t="s">
        <v>423</v>
      </c>
      <c r="E22" s="28">
        <v>10000000</v>
      </c>
      <c r="F22" s="25">
        <v>9978.4699999999993</v>
      </c>
      <c r="G22" s="25">
        <v>7.26</v>
      </c>
      <c r="H22" s="25">
        <v>3.15</v>
      </c>
    </row>
    <row r="23" spans="2:10" x14ac:dyDescent="0.2">
      <c r="B23" s="23" t="s">
        <v>595</v>
      </c>
      <c r="C23" s="23" t="s">
        <v>596</v>
      </c>
      <c r="D23" s="23" t="s">
        <v>423</v>
      </c>
      <c r="E23" s="28">
        <v>10000000</v>
      </c>
      <c r="F23" s="25">
        <v>9936.0400000000009</v>
      </c>
      <c r="G23" s="25">
        <v>7.23</v>
      </c>
      <c r="H23" s="25">
        <v>3.18</v>
      </c>
    </row>
    <row r="24" spans="2:10" x14ac:dyDescent="0.2">
      <c r="B24" s="23" t="s">
        <v>597</v>
      </c>
      <c r="C24" s="23" t="s">
        <v>598</v>
      </c>
      <c r="D24" s="23" t="s">
        <v>423</v>
      </c>
      <c r="E24" s="28">
        <v>5000000</v>
      </c>
      <c r="F24" s="25">
        <v>4992.25</v>
      </c>
      <c r="G24" s="25">
        <v>3.63</v>
      </c>
      <c r="H24" s="25">
        <v>3.15</v>
      </c>
    </row>
    <row r="25" spans="2:10" x14ac:dyDescent="0.2">
      <c r="B25" s="23" t="s">
        <v>599</v>
      </c>
      <c r="C25" s="23" t="s">
        <v>600</v>
      </c>
      <c r="D25" s="23" t="s">
        <v>423</v>
      </c>
      <c r="E25" s="28">
        <v>5000000</v>
      </c>
      <c r="F25" s="25">
        <v>4986.2299999999996</v>
      </c>
      <c r="G25" s="25">
        <v>3.63</v>
      </c>
      <c r="H25" s="25">
        <v>3.15</v>
      </c>
    </row>
    <row r="26" spans="2:10" x14ac:dyDescent="0.2">
      <c r="B26" s="23" t="s">
        <v>601</v>
      </c>
      <c r="C26" s="23" t="s">
        <v>602</v>
      </c>
      <c r="D26" s="23" t="s">
        <v>423</v>
      </c>
      <c r="E26" s="28">
        <v>2500000</v>
      </c>
      <c r="F26" s="25">
        <v>2493.12</v>
      </c>
      <c r="G26" s="25">
        <v>1.81</v>
      </c>
      <c r="H26" s="25">
        <v>3.15</v>
      </c>
    </row>
    <row r="27" spans="2:10" x14ac:dyDescent="0.2">
      <c r="B27" s="23" t="s">
        <v>603</v>
      </c>
      <c r="C27" s="23" t="s">
        <v>604</v>
      </c>
      <c r="D27" s="23" t="s">
        <v>423</v>
      </c>
      <c r="E27" s="28">
        <v>2500000</v>
      </c>
      <c r="F27" s="25">
        <v>2484.0100000000002</v>
      </c>
      <c r="G27" s="25">
        <v>1.81</v>
      </c>
      <c r="H27" s="25">
        <v>3.18</v>
      </c>
    </row>
    <row r="28" spans="2:10" x14ac:dyDescent="0.2">
      <c r="B28" s="30" t="s">
        <v>111</v>
      </c>
      <c r="C28" s="30"/>
      <c r="D28" s="30"/>
      <c r="E28" s="31"/>
      <c r="F28" s="32">
        <f>SUM(F18:F27)</f>
        <v>87280.609999999986</v>
      </c>
      <c r="G28" s="32">
        <f>SUM(G18:G27)</f>
        <v>63.500000000000014</v>
      </c>
      <c r="H28" s="48"/>
      <c r="I28" s="14"/>
      <c r="J28" s="14"/>
    </row>
    <row r="29" spans="2:10" x14ac:dyDescent="0.2">
      <c r="B29" s="49" t="s">
        <v>112</v>
      </c>
      <c r="C29" s="49"/>
      <c r="D29" s="49"/>
      <c r="E29" s="50"/>
      <c r="F29" s="51">
        <f>F10+F17+F28</f>
        <v>130620.10999999999</v>
      </c>
      <c r="G29" s="51">
        <f>G10+G17+G28</f>
        <v>95.050000000000011</v>
      </c>
      <c r="H29" s="51"/>
      <c r="I29" s="14"/>
      <c r="J29" s="14"/>
    </row>
    <row r="30" spans="2:10" x14ac:dyDescent="0.2">
      <c r="B30" s="47" t="s">
        <v>113</v>
      </c>
      <c r="C30" s="23"/>
      <c r="D30" s="23"/>
      <c r="E30" s="24"/>
      <c r="F30" s="25"/>
      <c r="G30" s="25"/>
      <c r="H30" s="25"/>
    </row>
    <row r="31" spans="2:10" x14ac:dyDescent="0.2">
      <c r="B31" s="23" t="s">
        <v>113</v>
      </c>
      <c r="C31" s="23"/>
      <c r="D31" s="23"/>
      <c r="E31" s="24"/>
      <c r="F31" s="25">
        <v>6594.1</v>
      </c>
      <c r="G31" s="25">
        <v>4.8</v>
      </c>
      <c r="H31" s="25"/>
    </row>
    <row r="32" spans="2:10" x14ac:dyDescent="0.2">
      <c r="B32" s="30" t="s">
        <v>111</v>
      </c>
      <c r="C32" s="30"/>
      <c r="D32" s="30"/>
      <c r="E32" s="31"/>
      <c r="F32" s="32">
        <f>SUM(F30:F31)</f>
        <v>6594.1</v>
      </c>
      <c r="G32" s="32">
        <f>SUM(G30:G31)</f>
        <v>4.8</v>
      </c>
      <c r="H32" s="48"/>
      <c r="I32" s="14"/>
      <c r="J32" s="14"/>
    </row>
    <row r="33" spans="2:10" x14ac:dyDescent="0.2">
      <c r="B33" s="34" t="s">
        <v>112</v>
      </c>
      <c r="C33" s="34"/>
      <c r="D33" s="34"/>
      <c r="E33" s="35"/>
      <c r="F33" s="36">
        <f>F32</f>
        <v>6594.1</v>
      </c>
      <c r="G33" s="36">
        <f>G32</f>
        <v>4.8</v>
      </c>
      <c r="H33" s="36"/>
      <c r="I33" s="14"/>
      <c r="J33" s="14"/>
    </row>
    <row r="34" spans="2:10" x14ac:dyDescent="0.2">
      <c r="B34" s="44" t="s">
        <v>115</v>
      </c>
      <c r="C34" s="44"/>
      <c r="D34" s="44"/>
      <c r="E34" s="45"/>
      <c r="F34" s="16">
        <f>F35-(+F29+F33)</f>
        <v>210.96000000002095</v>
      </c>
      <c r="G34" s="16">
        <f>G35-(+G29+G33)</f>
        <v>0.14999999999999147</v>
      </c>
      <c r="H34" s="16"/>
      <c r="I34" s="14"/>
      <c r="J34" s="14"/>
    </row>
    <row r="35" spans="2:10" x14ac:dyDescent="0.2">
      <c r="B35" s="44" t="s">
        <v>114</v>
      </c>
      <c r="C35" s="44"/>
      <c r="D35" s="44"/>
      <c r="E35" s="45"/>
      <c r="F35" s="16">
        <v>137425.17000000001</v>
      </c>
      <c r="G35" s="16">
        <v>100</v>
      </c>
      <c r="H35" s="16"/>
      <c r="I35" s="14"/>
      <c r="J35" s="14"/>
    </row>
    <row r="37" spans="2:10" x14ac:dyDescent="0.2">
      <c r="B37" s="14" t="s">
        <v>792</v>
      </c>
    </row>
    <row r="38" spans="2:10" x14ac:dyDescent="0.2">
      <c r="B38" s="14" t="s">
        <v>563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9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23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345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605</v>
      </c>
      <c r="C7" s="23" t="s">
        <v>606</v>
      </c>
      <c r="D7" s="23" t="s">
        <v>348</v>
      </c>
      <c r="E7" s="28">
        <v>150</v>
      </c>
      <c r="F7" s="25">
        <v>1539.14</v>
      </c>
      <c r="G7" s="25">
        <v>4.5</v>
      </c>
      <c r="H7" s="25">
        <v>3.97</v>
      </c>
    </row>
    <row r="8" spans="2:8" x14ac:dyDescent="0.2">
      <c r="B8" s="23" t="s">
        <v>607</v>
      </c>
      <c r="C8" s="23" t="s">
        <v>608</v>
      </c>
      <c r="D8" s="23" t="s">
        <v>348</v>
      </c>
      <c r="E8" s="28">
        <v>150</v>
      </c>
      <c r="F8" s="25">
        <v>1511.63</v>
      </c>
      <c r="G8" s="25">
        <v>4.42</v>
      </c>
      <c r="H8" s="25">
        <v>3.29</v>
      </c>
    </row>
    <row r="9" spans="2:8" x14ac:dyDescent="0.2">
      <c r="B9" s="23" t="s">
        <v>609</v>
      </c>
      <c r="C9" s="23" t="s">
        <v>610</v>
      </c>
      <c r="D9" s="23" t="s">
        <v>348</v>
      </c>
      <c r="E9" s="28">
        <v>100</v>
      </c>
      <c r="F9" s="25">
        <v>1035.8399999999999</v>
      </c>
      <c r="G9" s="25">
        <v>3.03</v>
      </c>
      <c r="H9" s="25">
        <v>3.9</v>
      </c>
    </row>
    <row r="10" spans="2:8" x14ac:dyDescent="0.2">
      <c r="B10" s="23" t="s">
        <v>611</v>
      </c>
      <c r="C10" s="23" t="s">
        <v>612</v>
      </c>
      <c r="D10" s="23" t="s">
        <v>348</v>
      </c>
      <c r="E10" s="28">
        <v>100</v>
      </c>
      <c r="F10" s="25">
        <v>1031.07</v>
      </c>
      <c r="G10" s="25">
        <v>3.02</v>
      </c>
      <c r="H10" s="25">
        <v>4.1500000000000004</v>
      </c>
    </row>
    <row r="11" spans="2:8" x14ac:dyDescent="0.2">
      <c r="B11" s="23" t="s">
        <v>613</v>
      </c>
      <c r="C11" s="23" t="s">
        <v>614</v>
      </c>
      <c r="D11" s="23" t="s">
        <v>348</v>
      </c>
      <c r="E11" s="28">
        <v>50</v>
      </c>
      <c r="F11" s="25">
        <v>520.79</v>
      </c>
      <c r="G11" s="25">
        <v>1.52</v>
      </c>
      <c r="H11" s="25">
        <v>4.58</v>
      </c>
    </row>
    <row r="12" spans="2:8" x14ac:dyDescent="0.2">
      <c r="B12" s="23" t="s">
        <v>615</v>
      </c>
      <c r="C12" s="23" t="s">
        <v>616</v>
      </c>
      <c r="D12" s="23" t="s">
        <v>348</v>
      </c>
      <c r="E12" s="28">
        <v>50</v>
      </c>
      <c r="F12" s="25">
        <v>516.33000000000004</v>
      </c>
      <c r="G12" s="25">
        <v>1.51</v>
      </c>
      <c r="H12" s="25">
        <v>3.86</v>
      </c>
    </row>
    <row r="13" spans="2:8" x14ac:dyDescent="0.2">
      <c r="B13" s="23" t="s">
        <v>502</v>
      </c>
      <c r="C13" s="23" t="s">
        <v>503</v>
      </c>
      <c r="D13" s="23" t="s">
        <v>348</v>
      </c>
      <c r="E13" s="28">
        <v>50</v>
      </c>
      <c r="F13" s="25">
        <v>514.54999999999995</v>
      </c>
      <c r="G13" s="25">
        <v>1.5</v>
      </c>
      <c r="H13" s="25">
        <v>3.86</v>
      </c>
    </row>
    <row r="14" spans="2:8" x14ac:dyDescent="0.2">
      <c r="B14" s="23" t="s">
        <v>378</v>
      </c>
      <c r="C14" s="23" t="s">
        <v>379</v>
      </c>
      <c r="D14" s="23" t="s">
        <v>348</v>
      </c>
      <c r="E14" s="28">
        <v>50</v>
      </c>
      <c r="F14" s="25">
        <v>513.79</v>
      </c>
      <c r="G14" s="25">
        <v>1.5</v>
      </c>
      <c r="H14" s="25">
        <v>3.85</v>
      </c>
    </row>
    <row r="15" spans="2:8" x14ac:dyDescent="0.2">
      <c r="B15" s="23" t="s">
        <v>355</v>
      </c>
      <c r="C15" s="23" t="s">
        <v>356</v>
      </c>
      <c r="D15" s="23" t="s">
        <v>348</v>
      </c>
      <c r="E15" s="28">
        <v>50</v>
      </c>
      <c r="F15" s="25">
        <v>502.91</v>
      </c>
      <c r="G15" s="25">
        <v>1.47</v>
      </c>
      <c r="H15" s="25">
        <v>3.29</v>
      </c>
    </row>
    <row r="16" spans="2:8" x14ac:dyDescent="0.2">
      <c r="B16" s="23" t="s">
        <v>349</v>
      </c>
      <c r="C16" s="23" t="s">
        <v>350</v>
      </c>
      <c r="D16" s="23" t="s">
        <v>348</v>
      </c>
      <c r="E16" s="28">
        <v>50</v>
      </c>
      <c r="F16" s="25">
        <v>502.61</v>
      </c>
      <c r="G16" s="25">
        <v>1.47</v>
      </c>
      <c r="H16" s="25">
        <v>3.32</v>
      </c>
    </row>
    <row r="17" spans="2:10" x14ac:dyDescent="0.2">
      <c r="B17" s="23" t="s">
        <v>617</v>
      </c>
      <c r="C17" s="23" t="s">
        <v>618</v>
      </c>
      <c r="D17" s="23" t="s">
        <v>384</v>
      </c>
      <c r="E17" s="28">
        <v>20</v>
      </c>
      <c r="F17" s="25">
        <v>207.27</v>
      </c>
      <c r="G17" s="25">
        <v>0.61</v>
      </c>
      <c r="H17" s="25">
        <v>4.53</v>
      </c>
    </row>
    <row r="18" spans="2:10" x14ac:dyDescent="0.2">
      <c r="B18" s="30" t="s">
        <v>111</v>
      </c>
      <c r="C18" s="30"/>
      <c r="D18" s="30"/>
      <c r="E18" s="31"/>
      <c r="F18" s="32">
        <f>SUM(F6:F17)</f>
        <v>8395.93</v>
      </c>
      <c r="G18" s="32">
        <f>SUM(G6:G17)</f>
        <v>24.549999999999997</v>
      </c>
      <c r="H18" s="48"/>
      <c r="I18" s="14"/>
      <c r="J18" s="14"/>
    </row>
    <row r="19" spans="2:10" x14ac:dyDescent="0.2">
      <c r="B19" s="49" t="s">
        <v>112</v>
      </c>
      <c r="C19" s="49"/>
      <c r="D19" s="49"/>
      <c r="E19" s="50"/>
      <c r="F19" s="51">
        <f>F18</f>
        <v>8395.93</v>
      </c>
      <c r="G19" s="51">
        <f>G18</f>
        <v>24.549999999999997</v>
      </c>
      <c r="H19" s="51"/>
      <c r="I19" s="14"/>
      <c r="J19" s="14"/>
    </row>
    <row r="20" spans="2:10" x14ac:dyDescent="0.2">
      <c r="B20" s="47" t="s">
        <v>419</v>
      </c>
      <c r="C20" s="23"/>
      <c r="D20" s="23"/>
      <c r="E20" s="24"/>
      <c r="F20" s="25"/>
      <c r="G20" s="25"/>
      <c r="H20" s="25"/>
    </row>
    <row r="21" spans="2:10" x14ac:dyDescent="0.2">
      <c r="B21" s="47" t="s">
        <v>524</v>
      </c>
      <c r="C21" s="23"/>
      <c r="D21" s="23"/>
      <c r="E21" s="24"/>
      <c r="F21" s="25"/>
      <c r="G21" s="25"/>
      <c r="H21" s="25"/>
    </row>
    <row r="22" spans="2:10" x14ac:dyDescent="0.2">
      <c r="B22" s="23" t="s">
        <v>525</v>
      </c>
      <c r="C22" s="23" t="s">
        <v>526</v>
      </c>
      <c r="D22" s="23" t="s">
        <v>527</v>
      </c>
      <c r="E22" s="28">
        <v>2500</v>
      </c>
      <c r="F22" s="25">
        <v>2450.8200000000002</v>
      </c>
      <c r="G22" s="25">
        <v>7.17</v>
      </c>
      <c r="H22" s="25">
        <v>3.46</v>
      </c>
    </row>
    <row r="23" spans="2:10" x14ac:dyDescent="0.2">
      <c r="B23" s="23" t="s">
        <v>530</v>
      </c>
      <c r="C23" s="23" t="s">
        <v>531</v>
      </c>
      <c r="D23" s="23" t="s">
        <v>532</v>
      </c>
      <c r="E23" s="28">
        <v>2500</v>
      </c>
      <c r="F23" s="25">
        <v>2410.9</v>
      </c>
      <c r="G23" s="25">
        <v>7.05</v>
      </c>
      <c r="H23" s="25">
        <v>3.8</v>
      </c>
    </row>
    <row r="24" spans="2:10" x14ac:dyDescent="0.2">
      <c r="B24" s="47" t="s">
        <v>111</v>
      </c>
      <c r="C24" s="47"/>
      <c r="D24" s="47"/>
      <c r="E24" s="59"/>
      <c r="F24" s="57">
        <f>SUM(F21:F23)</f>
        <v>4861.72</v>
      </c>
      <c r="G24" s="57">
        <f>SUM(G21:G23)</f>
        <v>14.219999999999999</v>
      </c>
      <c r="H24" s="60"/>
      <c r="I24" s="14"/>
      <c r="J24" s="14"/>
    </row>
    <row r="25" spans="2:10" x14ac:dyDescent="0.2">
      <c r="B25" s="47" t="s">
        <v>542</v>
      </c>
      <c r="C25" s="23"/>
      <c r="D25" s="23"/>
      <c r="E25" s="24"/>
      <c r="F25" s="25"/>
      <c r="G25" s="25"/>
      <c r="H25" s="25"/>
    </row>
    <row r="26" spans="2:10" x14ac:dyDescent="0.2">
      <c r="B26" s="23" t="s">
        <v>587</v>
      </c>
      <c r="C26" s="23" t="s">
        <v>588</v>
      </c>
      <c r="D26" s="23" t="s">
        <v>532</v>
      </c>
      <c r="E26" s="28">
        <v>300</v>
      </c>
      <c r="F26" s="25">
        <v>1489.16</v>
      </c>
      <c r="G26" s="25">
        <v>4.3499999999999996</v>
      </c>
      <c r="H26" s="25">
        <v>3.24</v>
      </c>
    </row>
    <row r="27" spans="2:10" x14ac:dyDescent="0.2">
      <c r="B27" s="47" t="s">
        <v>111</v>
      </c>
      <c r="C27" s="47"/>
      <c r="D27" s="47"/>
      <c r="E27" s="59"/>
      <c r="F27" s="57">
        <f>SUM(F25:F26)</f>
        <v>1489.16</v>
      </c>
      <c r="G27" s="57">
        <f>SUM(G25:G26)</f>
        <v>4.3499999999999996</v>
      </c>
      <c r="H27" s="60"/>
      <c r="I27" s="14"/>
      <c r="J27" s="14"/>
    </row>
    <row r="28" spans="2:10" x14ac:dyDescent="0.2">
      <c r="B28" s="47" t="s">
        <v>420</v>
      </c>
      <c r="C28" s="23"/>
      <c r="D28" s="23"/>
      <c r="E28" s="24"/>
      <c r="F28" s="25"/>
      <c r="G28" s="25"/>
      <c r="H28" s="25"/>
    </row>
    <row r="29" spans="2:10" x14ac:dyDescent="0.2">
      <c r="B29" s="23" t="s">
        <v>549</v>
      </c>
      <c r="C29" s="23" t="s">
        <v>550</v>
      </c>
      <c r="D29" s="23" t="s">
        <v>423</v>
      </c>
      <c r="E29" s="28">
        <v>4000000</v>
      </c>
      <c r="F29" s="25">
        <v>3993.8</v>
      </c>
      <c r="G29" s="25">
        <v>11.68</v>
      </c>
      <c r="H29" s="25">
        <v>3.15</v>
      </c>
    </row>
    <row r="30" spans="2:10" x14ac:dyDescent="0.2">
      <c r="B30" s="23" t="s">
        <v>619</v>
      </c>
      <c r="C30" s="23" t="s">
        <v>620</v>
      </c>
      <c r="D30" s="23" t="s">
        <v>423</v>
      </c>
      <c r="E30" s="28">
        <v>3000000</v>
      </c>
      <c r="F30" s="25">
        <v>2984.52</v>
      </c>
      <c r="G30" s="25">
        <v>8.73</v>
      </c>
      <c r="H30" s="25">
        <v>3.15</v>
      </c>
    </row>
    <row r="31" spans="2:10" x14ac:dyDescent="0.2">
      <c r="B31" s="23" t="s">
        <v>547</v>
      </c>
      <c r="C31" s="23" t="s">
        <v>548</v>
      </c>
      <c r="D31" s="23" t="s">
        <v>423</v>
      </c>
      <c r="E31" s="28">
        <v>2500000</v>
      </c>
      <c r="F31" s="25">
        <v>2491.62</v>
      </c>
      <c r="G31" s="25">
        <v>7.29</v>
      </c>
      <c r="H31" s="25">
        <v>3.15</v>
      </c>
    </row>
    <row r="32" spans="2:10" x14ac:dyDescent="0.2">
      <c r="B32" s="23" t="s">
        <v>621</v>
      </c>
      <c r="C32" s="23" t="s">
        <v>622</v>
      </c>
      <c r="D32" s="23" t="s">
        <v>423</v>
      </c>
      <c r="E32" s="28">
        <v>2500000</v>
      </c>
      <c r="F32" s="25">
        <v>2475.9699999999998</v>
      </c>
      <c r="G32" s="25">
        <v>7.24</v>
      </c>
      <c r="H32" s="25">
        <v>3.25</v>
      </c>
    </row>
    <row r="33" spans="2:10" x14ac:dyDescent="0.2">
      <c r="B33" s="23" t="s">
        <v>551</v>
      </c>
      <c r="C33" s="23" t="s">
        <v>552</v>
      </c>
      <c r="D33" s="23" t="s">
        <v>423</v>
      </c>
      <c r="E33" s="28">
        <v>2500000</v>
      </c>
      <c r="F33" s="25">
        <v>2459.59</v>
      </c>
      <c r="G33" s="25">
        <v>7.19</v>
      </c>
      <c r="H33" s="25">
        <v>3.35</v>
      </c>
    </row>
    <row r="34" spans="2:10" x14ac:dyDescent="0.2">
      <c r="B34" s="23" t="s">
        <v>591</v>
      </c>
      <c r="C34" s="23" t="s">
        <v>592</v>
      </c>
      <c r="D34" s="23" t="s">
        <v>423</v>
      </c>
      <c r="E34" s="28">
        <v>2000000</v>
      </c>
      <c r="F34" s="25">
        <v>1998.1</v>
      </c>
      <c r="G34" s="25">
        <v>5.84</v>
      </c>
      <c r="H34" s="25">
        <v>3.16</v>
      </c>
    </row>
    <row r="35" spans="2:10" x14ac:dyDescent="0.2">
      <c r="B35" s="23" t="s">
        <v>421</v>
      </c>
      <c r="C35" s="23" t="s">
        <v>422</v>
      </c>
      <c r="D35" s="23" t="s">
        <v>423</v>
      </c>
      <c r="E35" s="28">
        <v>1000000</v>
      </c>
      <c r="F35" s="25">
        <v>999.66</v>
      </c>
      <c r="G35" s="25">
        <v>2.92</v>
      </c>
      <c r="H35" s="25">
        <v>3.15</v>
      </c>
    </row>
    <row r="36" spans="2:10" x14ac:dyDescent="0.2">
      <c r="B36" s="30" t="s">
        <v>111</v>
      </c>
      <c r="C36" s="30"/>
      <c r="D36" s="30"/>
      <c r="E36" s="31"/>
      <c r="F36" s="32">
        <f>SUM(F28:F35)</f>
        <v>17403.259999999998</v>
      </c>
      <c r="G36" s="32">
        <f>SUM(G28:G35)</f>
        <v>50.89</v>
      </c>
      <c r="H36" s="48"/>
      <c r="I36" s="14"/>
      <c r="J36" s="14"/>
    </row>
    <row r="37" spans="2:10" x14ac:dyDescent="0.2">
      <c r="B37" s="49" t="s">
        <v>112</v>
      </c>
      <c r="C37" s="49"/>
      <c r="D37" s="49"/>
      <c r="E37" s="50"/>
      <c r="F37" s="51">
        <f>F24+F27+F36</f>
        <v>23754.14</v>
      </c>
      <c r="G37" s="51">
        <f>G24+G27+G36</f>
        <v>69.460000000000008</v>
      </c>
      <c r="H37" s="51"/>
      <c r="I37" s="14"/>
      <c r="J37" s="14"/>
    </row>
    <row r="38" spans="2:10" x14ac:dyDescent="0.2">
      <c r="B38" s="47" t="s">
        <v>424</v>
      </c>
      <c r="C38" s="23"/>
      <c r="D38" s="23"/>
      <c r="E38" s="24"/>
      <c r="F38" s="25"/>
      <c r="G38" s="25"/>
      <c r="H38" s="25"/>
    </row>
    <row r="39" spans="2:10" x14ac:dyDescent="0.2">
      <c r="B39" s="52" t="s">
        <v>623</v>
      </c>
      <c r="C39" s="52" t="s">
        <v>624</v>
      </c>
      <c r="D39" s="52" t="s">
        <v>427</v>
      </c>
      <c r="E39" s="53">
        <v>500000</v>
      </c>
      <c r="F39" s="54">
        <v>509.29</v>
      </c>
      <c r="G39" s="54">
        <v>1.49</v>
      </c>
      <c r="H39" s="54">
        <v>3.48</v>
      </c>
    </row>
    <row r="40" spans="2:10" x14ac:dyDescent="0.2">
      <c r="B40" s="55" t="s">
        <v>112</v>
      </c>
      <c r="C40" s="55"/>
      <c r="D40" s="55"/>
      <c r="E40" s="56"/>
      <c r="F40" s="57">
        <f>SUM(F39:F39)</f>
        <v>509.29</v>
      </c>
      <c r="G40" s="57">
        <f>SUM(G39:G39)</f>
        <v>1.49</v>
      </c>
      <c r="H40" s="57"/>
      <c r="I40" s="14"/>
      <c r="J40" s="14"/>
    </row>
    <row r="41" spans="2:10" x14ac:dyDescent="0.2">
      <c r="B41" s="47" t="s">
        <v>113</v>
      </c>
      <c r="C41" s="23"/>
      <c r="D41" s="23"/>
      <c r="E41" s="24"/>
      <c r="F41" s="25"/>
      <c r="G41" s="25"/>
      <c r="H41" s="25"/>
    </row>
    <row r="42" spans="2:10" x14ac:dyDescent="0.2">
      <c r="B42" s="23" t="s">
        <v>113</v>
      </c>
      <c r="C42" s="23"/>
      <c r="D42" s="23"/>
      <c r="E42" s="24"/>
      <c r="F42" s="25">
        <v>1888.02</v>
      </c>
      <c r="G42" s="25">
        <v>5.52</v>
      </c>
      <c r="H42" s="25"/>
    </row>
    <row r="43" spans="2:10" x14ac:dyDescent="0.2">
      <c r="B43" s="30" t="s">
        <v>111</v>
      </c>
      <c r="C43" s="30"/>
      <c r="D43" s="30"/>
      <c r="E43" s="31"/>
      <c r="F43" s="32">
        <f>SUM(F41:F42)</f>
        <v>1888.02</v>
      </c>
      <c r="G43" s="32">
        <f>SUM(G41:G42)</f>
        <v>5.52</v>
      </c>
      <c r="H43" s="48"/>
      <c r="I43" s="14"/>
      <c r="J43" s="14"/>
    </row>
    <row r="44" spans="2:10" x14ac:dyDescent="0.2">
      <c r="B44" s="34" t="s">
        <v>112</v>
      </c>
      <c r="C44" s="34"/>
      <c r="D44" s="34"/>
      <c r="E44" s="35"/>
      <c r="F44" s="36">
        <f>F43</f>
        <v>1888.02</v>
      </c>
      <c r="G44" s="36">
        <f>G43</f>
        <v>5.52</v>
      </c>
      <c r="H44" s="36"/>
      <c r="I44" s="14"/>
      <c r="J44" s="14"/>
    </row>
    <row r="45" spans="2:10" x14ac:dyDescent="0.2">
      <c r="B45" s="44" t="s">
        <v>115</v>
      </c>
      <c r="C45" s="44"/>
      <c r="D45" s="44"/>
      <c r="E45" s="45"/>
      <c r="F45" s="16">
        <f>F46-(+F19+F37+F40+F44)</f>
        <v>-351.68999999999505</v>
      </c>
      <c r="G45" s="16">
        <f>G46-(+G19+G37+G40+G44)</f>
        <v>-1.019999999999996</v>
      </c>
      <c r="H45" s="16"/>
      <c r="I45" s="14"/>
      <c r="J45" s="14"/>
    </row>
    <row r="46" spans="2:10" x14ac:dyDescent="0.2">
      <c r="B46" s="44" t="s">
        <v>114</v>
      </c>
      <c r="C46" s="44"/>
      <c r="D46" s="44"/>
      <c r="E46" s="45"/>
      <c r="F46" s="16">
        <v>34195.69</v>
      </c>
      <c r="G46" s="16">
        <v>100</v>
      </c>
      <c r="H46" s="16"/>
      <c r="I46" s="14"/>
      <c r="J46" s="14"/>
    </row>
    <row r="48" spans="2:10" x14ac:dyDescent="0.2">
      <c r="B48" s="14" t="s">
        <v>792</v>
      </c>
    </row>
    <row r="49" spans="2:2" x14ac:dyDescent="0.2">
      <c r="B49" s="14" t="s">
        <v>563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workbookViewId="0">
      <selection activeCell="H2" sqref="H1:H1048576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16384" width="9.140625" style="1"/>
  </cols>
  <sheetData>
    <row r="1" spans="2:9" ht="21" customHeight="1" x14ac:dyDescent="0.2">
      <c r="B1" s="61" t="s">
        <v>24</v>
      </c>
      <c r="C1" s="62"/>
      <c r="D1" s="62"/>
      <c r="E1" s="62"/>
      <c r="F1" s="62"/>
      <c r="G1" s="62"/>
    </row>
    <row r="3" spans="2:9" ht="16.5" thickBot="1" x14ac:dyDescent="0.25">
      <c r="B3" s="2" t="s">
        <v>7</v>
      </c>
      <c r="C3" s="3"/>
      <c r="D3" s="4"/>
      <c r="E3" s="5"/>
      <c r="F3" s="6"/>
      <c r="G3" s="6"/>
    </row>
    <row r="4" spans="2:9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</row>
    <row r="5" spans="2:9" x14ac:dyDescent="0.2">
      <c r="B5" s="17" t="s">
        <v>113</v>
      </c>
      <c r="C5" s="18"/>
      <c r="D5" s="18"/>
      <c r="E5" s="19"/>
      <c r="F5" s="20"/>
      <c r="G5" s="20"/>
    </row>
    <row r="6" spans="2:9" x14ac:dyDescent="0.2">
      <c r="B6" s="27" t="s">
        <v>113</v>
      </c>
      <c r="C6" s="23"/>
      <c r="D6" s="23"/>
      <c r="E6" s="24"/>
      <c r="F6" s="25">
        <v>12986.53</v>
      </c>
      <c r="G6" s="25">
        <v>99.47</v>
      </c>
    </row>
    <row r="7" spans="2:9" x14ac:dyDescent="0.2">
      <c r="B7" s="29" t="s">
        <v>111</v>
      </c>
      <c r="C7" s="30"/>
      <c r="D7" s="30"/>
      <c r="E7" s="31"/>
      <c r="F7" s="32">
        <f>SUM(F5:F6)</f>
        <v>12986.53</v>
      </c>
      <c r="G7" s="32">
        <f>SUM(G5:G6)</f>
        <v>99.47</v>
      </c>
      <c r="H7" s="14"/>
      <c r="I7" s="14"/>
    </row>
    <row r="8" spans="2:9" x14ac:dyDescent="0.2">
      <c r="B8" s="34" t="s">
        <v>112</v>
      </c>
      <c r="C8" s="34"/>
      <c r="D8" s="34"/>
      <c r="E8" s="35"/>
      <c r="F8" s="36">
        <f>F7</f>
        <v>12986.53</v>
      </c>
      <c r="G8" s="36">
        <f>G7</f>
        <v>99.47</v>
      </c>
      <c r="H8" s="14"/>
      <c r="I8" s="14"/>
    </row>
    <row r="9" spans="2:9" x14ac:dyDescent="0.2">
      <c r="B9" s="44" t="s">
        <v>115</v>
      </c>
      <c r="C9" s="44"/>
      <c r="D9" s="44"/>
      <c r="E9" s="45"/>
      <c r="F9" s="16">
        <f>F10-(+F8)</f>
        <v>66.289999999999054</v>
      </c>
      <c r="G9" s="16">
        <f>G10-(+G8)</f>
        <v>0.53000000000000114</v>
      </c>
      <c r="H9" s="14"/>
      <c r="I9" s="14"/>
    </row>
    <row r="10" spans="2:9" x14ac:dyDescent="0.2">
      <c r="B10" s="44" t="s">
        <v>114</v>
      </c>
      <c r="C10" s="44"/>
      <c r="D10" s="44"/>
      <c r="E10" s="45"/>
      <c r="F10" s="16">
        <v>13052.82</v>
      </c>
      <c r="G10" s="16">
        <v>100</v>
      </c>
      <c r="H10" s="14"/>
      <c r="I10" s="14"/>
    </row>
    <row r="12" spans="2:9" x14ac:dyDescent="0.2">
      <c r="B12" s="14"/>
    </row>
  </sheetData>
  <mergeCells count="1">
    <mergeCell ref="B1:G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7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25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345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357</v>
      </c>
      <c r="C7" s="23" t="s">
        <v>358</v>
      </c>
      <c r="D7" s="23" t="s">
        <v>348</v>
      </c>
      <c r="E7" s="28">
        <v>350</v>
      </c>
      <c r="F7" s="25">
        <v>3668.27</v>
      </c>
      <c r="G7" s="25">
        <v>4</v>
      </c>
      <c r="H7" s="25">
        <v>4.62</v>
      </c>
    </row>
    <row r="8" spans="2:8" x14ac:dyDescent="0.2">
      <c r="B8" s="23" t="s">
        <v>625</v>
      </c>
      <c r="C8" s="23" t="s">
        <v>626</v>
      </c>
      <c r="D8" s="23" t="s">
        <v>361</v>
      </c>
      <c r="E8" s="28">
        <v>350</v>
      </c>
      <c r="F8" s="25">
        <v>3650.7</v>
      </c>
      <c r="G8" s="25">
        <v>3.98</v>
      </c>
      <c r="H8" s="25">
        <v>4.7</v>
      </c>
    </row>
    <row r="9" spans="2:8" x14ac:dyDescent="0.2">
      <c r="B9" s="23" t="s">
        <v>627</v>
      </c>
      <c r="C9" s="23" t="s">
        <v>628</v>
      </c>
      <c r="D9" s="23" t="s">
        <v>348</v>
      </c>
      <c r="E9" s="28">
        <v>250</v>
      </c>
      <c r="F9" s="25">
        <v>2658.33</v>
      </c>
      <c r="G9" s="25">
        <v>2.9</v>
      </c>
      <c r="H9" s="25">
        <v>5.63</v>
      </c>
    </row>
    <row r="10" spans="2:8" x14ac:dyDescent="0.2">
      <c r="B10" s="23" t="s">
        <v>629</v>
      </c>
      <c r="C10" s="23" t="s">
        <v>630</v>
      </c>
      <c r="D10" s="23" t="s">
        <v>348</v>
      </c>
      <c r="E10" s="28">
        <v>250</v>
      </c>
      <c r="F10" s="25">
        <v>2621.52</v>
      </c>
      <c r="G10" s="25">
        <v>2.86</v>
      </c>
      <c r="H10" s="25">
        <v>5.0199999999999996</v>
      </c>
    </row>
    <row r="11" spans="2:8" x14ac:dyDescent="0.2">
      <c r="B11" s="23" t="s">
        <v>520</v>
      </c>
      <c r="C11" s="23" t="s">
        <v>521</v>
      </c>
      <c r="D11" s="23" t="s">
        <v>348</v>
      </c>
      <c r="E11" s="28">
        <v>250</v>
      </c>
      <c r="F11" s="25">
        <v>2611.9</v>
      </c>
      <c r="G11" s="25">
        <v>2.85</v>
      </c>
      <c r="H11" s="25">
        <v>4.4400000000000004</v>
      </c>
    </row>
    <row r="12" spans="2:8" x14ac:dyDescent="0.2">
      <c r="B12" s="23" t="s">
        <v>362</v>
      </c>
      <c r="C12" s="23" t="s">
        <v>363</v>
      </c>
      <c r="D12" s="23" t="s">
        <v>348</v>
      </c>
      <c r="E12" s="28">
        <v>250</v>
      </c>
      <c r="F12" s="25">
        <v>2567.9299999999998</v>
      </c>
      <c r="G12" s="25">
        <v>2.8</v>
      </c>
      <c r="H12" s="25">
        <v>3.91</v>
      </c>
    </row>
    <row r="13" spans="2:8" x14ac:dyDescent="0.2">
      <c r="B13" s="23" t="s">
        <v>631</v>
      </c>
      <c r="C13" s="23" t="s">
        <v>632</v>
      </c>
      <c r="D13" s="23" t="s">
        <v>348</v>
      </c>
      <c r="E13" s="28">
        <v>200</v>
      </c>
      <c r="F13" s="25">
        <v>2099.62</v>
      </c>
      <c r="G13" s="25">
        <v>2.29</v>
      </c>
      <c r="H13" s="25">
        <v>5.85</v>
      </c>
    </row>
    <row r="14" spans="2:8" x14ac:dyDescent="0.2">
      <c r="B14" s="23" t="s">
        <v>395</v>
      </c>
      <c r="C14" s="23" t="s">
        <v>396</v>
      </c>
      <c r="D14" s="23" t="s">
        <v>348</v>
      </c>
      <c r="E14" s="28">
        <v>200</v>
      </c>
      <c r="F14" s="25">
        <v>2091.56</v>
      </c>
      <c r="G14" s="25">
        <v>2.2799999999999998</v>
      </c>
      <c r="H14" s="25">
        <v>4.76</v>
      </c>
    </row>
    <row r="15" spans="2:8" x14ac:dyDescent="0.2">
      <c r="B15" s="23" t="s">
        <v>393</v>
      </c>
      <c r="C15" s="23" t="s">
        <v>394</v>
      </c>
      <c r="D15" s="23" t="s">
        <v>348</v>
      </c>
      <c r="E15" s="28">
        <v>150</v>
      </c>
      <c r="F15" s="25">
        <v>1605.61</v>
      </c>
      <c r="G15" s="25">
        <v>1.75</v>
      </c>
      <c r="H15" s="25">
        <v>5.75</v>
      </c>
    </row>
    <row r="16" spans="2:8" x14ac:dyDescent="0.2">
      <c r="B16" s="23" t="s">
        <v>374</v>
      </c>
      <c r="C16" s="23" t="s">
        <v>375</v>
      </c>
      <c r="D16" s="23" t="s">
        <v>348</v>
      </c>
      <c r="E16" s="28">
        <v>150</v>
      </c>
      <c r="F16" s="25">
        <v>1597.59</v>
      </c>
      <c r="G16" s="25">
        <v>1.74</v>
      </c>
      <c r="H16" s="25">
        <v>5.75</v>
      </c>
    </row>
    <row r="17" spans="2:8" x14ac:dyDescent="0.2">
      <c r="B17" s="23" t="s">
        <v>633</v>
      </c>
      <c r="C17" s="23" t="s">
        <v>634</v>
      </c>
      <c r="D17" s="23" t="s">
        <v>348</v>
      </c>
      <c r="E17" s="28">
        <v>150</v>
      </c>
      <c r="F17" s="25">
        <v>1583.33</v>
      </c>
      <c r="G17" s="25">
        <v>1.73</v>
      </c>
      <c r="H17" s="25">
        <v>4.46</v>
      </c>
    </row>
    <row r="18" spans="2:8" x14ac:dyDescent="0.2">
      <c r="B18" s="23" t="s">
        <v>494</v>
      </c>
      <c r="C18" s="23" t="s">
        <v>495</v>
      </c>
      <c r="D18" s="23" t="s">
        <v>348</v>
      </c>
      <c r="E18" s="28">
        <v>150</v>
      </c>
      <c r="F18" s="25">
        <v>1578.27</v>
      </c>
      <c r="G18" s="25">
        <v>1.72</v>
      </c>
      <c r="H18" s="25">
        <v>4.18</v>
      </c>
    </row>
    <row r="19" spans="2:8" x14ac:dyDescent="0.2">
      <c r="B19" s="23" t="s">
        <v>376</v>
      </c>
      <c r="C19" s="23" t="s">
        <v>377</v>
      </c>
      <c r="D19" s="23" t="s">
        <v>348</v>
      </c>
      <c r="E19" s="28">
        <v>150</v>
      </c>
      <c r="F19" s="25">
        <v>1578.09</v>
      </c>
      <c r="G19" s="25">
        <v>1.72</v>
      </c>
      <c r="H19" s="25">
        <v>4.76</v>
      </c>
    </row>
    <row r="20" spans="2:8" x14ac:dyDescent="0.2">
      <c r="B20" s="23" t="s">
        <v>635</v>
      </c>
      <c r="C20" s="23" t="s">
        <v>636</v>
      </c>
      <c r="D20" s="23" t="s">
        <v>348</v>
      </c>
      <c r="E20" s="28">
        <v>150</v>
      </c>
      <c r="F20" s="25">
        <v>1573.86</v>
      </c>
      <c r="G20" s="25">
        <v>1.72</v>
      </c>
      <c r="H20" s="25">
        <v>4.29</v>
      </c>
    </row>
    <row r="21" spans="2:8" x14ac:dyDescent="0.2">
      <c r="B21" s="23" t="s">
        <v>637</v>
      </c>
      <c r="C21" s="23" t="s">
        <v>638</v>
      </c>
      <c r="D21" s="23" t="s">
        <v>361</v>
      </c>
      <c r="E21" s="28">
        <v>150</v>
      </c>
      <c r="F21" s="25">
        <v>1567.2</v>
      </c>
      <c r="G21" s="25">
        <v>1.71</v>
      </c>
      <c r="H21" s="25">
        <v>4.3</v>
      </c>
    </row>
    <row r="22" spans="2:8" x14ac:dyDescent="0.2">
      <c r="B22" s="23" t="s">
        <v>639</v>
      </c>
      <c r="C22" s="23" t="s">
        <v>640</v>
      </c>
      <c r="D22" s="23" t="s">
        <v>348</v>
      </c>
      <c r="E22" s="28">
        <v>150</v>
      </c>
      <c r="F22" s="25">
        <v>1557.28</v>
      </c>
      <c r="G22" s="25">
        <v>1.7</v>
      </c>
      <c r="H22" s="25">
        <v>5.0999999999999996</v>
      </c>
    </row>
    <row r="23" spans="2:8" x14ac:dyDescent="0.2">
      <c r="B23" s="23" t="s">
        <v>641</v>
      </c>
      <c r="C23" s="23" t="s">
        <v>642</v>
      </c>
      <c r="D23" s="23" t="s">
        <v>348</v>
      </c>
      <c r="E23" s="28">
        <v>150</v>
      </c>
      <c r="F23" s="25">
        <v>1510.26</v>
      </c>
      <c r="G23" s="25">
        <v>1.65</v>
      </c>
      <c r="H23" s="25">
        <v>5.12</v>
      </c>
    </row>
    <row r="24" spans="2:8" x14ac:dyDescent="0.2">
      <c r="B24" s="23" t="s">
        <v>366</v>
      </c>
      <c r="C24" s="23" t="s">
        <v>367</v>
      </c>
      <c r="D24" s="23" t="s">
        <v>348</v>
      </c>
      <c r="E24" s="28">
        <v>150</v>
      </c>
      <c r="F24" s="25">
        <v>1498.07</v>
      </c>
      <c r="G24" s="25">
        <v>1.63</v>
      </c>
      <c r="H24" s="25">
        <v>5.48</v>
      </c>
    </row>
    <row r="25" spans="2:8" x14ac:dyDescent="0.2">
      <c r="B25" s="23" t="s">
        <v>643</v>
      </c>
      <c r="C25" s="23" t="s">
        <v>644</v>
      </c>
      <c r="D25" s="23" t="s">
        <v>348</v>
      </c>
      <c r="E25" s="28">
        <v>100</v>
      </c>
      <c r="F25" s="25">
        <v>1060.68</v>
      </c>
      <c r="G25" s="25">
        <v>1.1599999999999999</v>
      </c>
      <c r="H25" s="25">
        <v>5.7</v>
      </c>
    </row>
    <row r="26" spans="2:8" x14ac:dyDescent="0.2">
      <c r="B26" s="23" t="s">
        <v>645</v>
      </c>
      <c r="C26" s="23" t="s">
        <v>646</v>
      </c>
      <c r="D26" s="23" t="s">
        <v>348</v>
      </c>
      <c r="E26" s="28">
        <v>100</v>
      </c>
      <c r="F26" s="25">
        <v>1055.46</v>
      </c>
      <c r="G26" s="25">
        <v>1.1499999999999999</v>
      </c>
      <c r="H26" s="25">
        <v>4.71</v>
      </c>
    </row>
    <row r="27" spans="2:8" x14ac:dyDescent="0.2">
      <c r="B27" s="23" t="s">
        <v>512</v>
      </c>
      <c r="C27" s="23" t="s">
        <v>513</v>
      </c>
      <c r="D27" s="23" t="s">
        <v>348</v>
      </c>
      <c r="E27" s="28">
        <v>100</v>
      </c>
      <c r="F27" s="25">
        <v>1054.51</v>
      </c>
      <c r="G27" s="25">
        <v>1.1499999999999999</v>
      </c>
      <c r="H27" s="25">
        <v>4.29</v>
      </c>
    </row>
    <row r="28" spans="2:8" x14ac:dyDescent="0.2">
      <c r="B28" s="23" t="s">
        <v>647</v>
      </c>
      <c r="C28" s="23" t="s">
        <v>648</v>
      </c>
      <c r="D28" s="23" t="s">
        <v>348</v>
      </c>
      <c r="E28" s="28">
        <v>100</v>
      </c>
      <c r="F28" s="25">
        <v>1051.72</v>
      </c>
      <c r="G28" s="25">
        <v>1.1499999999999999</v>
      </c>
      <c r="H28" s="25">
        <v>4.32</v>
      </c>
    </row>
    <row r="29" spans="2:8" x14ac:dyDescent="0.2">
      <c r="B29" s="23" t="s">
        <v>518</v>
      </c>
      <c r="C29" s="23" t="s">
        <v>519</v>
      </c>
      <c r="D29" s="23" t="s">
        <v>348</v>
      </c>
      <c r="E29" s="28">
        <v>100</v>
      </c>
      <c r="F29" s="25">
        <v>1049.74</v>
      </c>
      <c r="G29" s="25">
        <v>1.1399999999999999</v>
      </c>
      <c r="H29" s="25">
        <v>4.76</v>
      </c>
    </row>
    <row r="30" spans="2:8" x14ac:dyDescent="0.2">
      <c r="B30" s="23" t="s">
        <v>508</v>
      </c>
      <c r="C30" s="23" t="s">
        <v>509</v>
      </c>
      <c r="D30" s="23" t="s">
        <v>361</v>
      </c>
      <c r="E30" s="28">
        <v>100</v>
      </c>
      <c r="F30" s="25">
        <v>1044.5899999999999</v>
      </c>
      <c r="G30" s="25">
        <v>1.1399999999999999</v>
      </c>
      <c r="H30" s="25">
        <v>4.3</v>
      </c>
    </row>
    <row r="31" spans="2:8" x14ac:dyDescent="0.2">
      <c r="B31" s="23" t="s">
        <v>649</v>
      </c>
      <c r="C31" s="23" t="s">
        <v>650</v>
      </c>
      <c r="D31" s="23" t="s">
        <v>348</v>
      </c>
      <c r="E31" s="28">
        <v>100</v>
      </c>
      <c r="F31" s="25">
        <v>1042.3399999999999</v>
      </c>
      <c r="G31" s="25">
        <v>1.1399999999999999</v>
      </c>
      <c r="H31" s="25">
        <v>4.53</v>
      </c>
    </row>
    <row r="32" spans="2:8" x14ac:dyDescent="0.2">
      <c r="B32" s="23" t="s">
        <v>476</v>
      </c>
      <c r="C32" s="23" t="s">
        <v>477</v>
      </c>
      <c r="D32" s="23" t="s">
        <v>348</v>
      </c>
      <c r="E32" s="28">
        <v>100</v>
      </c>
      <c r="F32" s="25">
        <v>1031.3800000000001</v>
      </c>
      <c r="G32" s="25">
        <v>1.1200000000000001</v>
      </c>
      <c r="H32" s="25">
        <v>3.79</v>
      </c>
    </row>
    <row r="33" spans="2:8" x14ac:dyDescent="0.2">
      <c r="B33" s="23" t="s">
        <v>651</v>
      </c>
      <c r="C33" s="23" t="s">
        <v>652</v>
      </c>
      <c r="D33" s="23" t="s">
        <v>348</v>
      </c>
      <c r="E33" s="28">
        <v>100</v>
      </c>
      <c r="F33" s="25">
        <v>1028.8499999999999</v>
      </c>
      <c r="G33" s="25">
        <v>1.1200000000000001</v>
      </c>
      <c r="H33" s="25">
        <v>4.0999999999999996</v>
      </c>
    </row>
    <row r="34" spans="2:8" x14ac:dyDescent="0.2">
      <c r="B34" s="23" t="s">
        <v>653</v>
      </c>
      <c r="C34" s="23" t="s">
        <v>654</v>
      </c>
      <c r="D34" s="23" t="s">
        <v>348</v>
      </c>
      <c r="E34" s="28">
        <v>100</v>
      </c>
      <c r="F34" s="25">
        <v>1007.15</v>
      </c>
      <c r="G34" s="25">
        <v>1.1000000000000001</v>
      </c>
      <c r="H34" s="25">
        <v>3.52</v>
      </c>
    </row>
    <row r="35" spans="2:8" x14ac:dyDescent="0.2">
      <c r="B35" s="23" t="s">
        <v>655</v>
      </c>
      <c r="C35" s="23" t="s">
        <v>656</v>
      </c>
      <c r="D35" s="23" t="s">
        <v>348</v>
      </c>
      <c r="E35" s="28">
        <v>70</v>
      </c>
      <c r="F35" s="25">
        <v>727.69</v>
      </c>
      <c r="G35" s="25">
        <v>0.79</v>
      </c>
      <c r="H35" s="25">
        <v>3.67</v>
      </c>
    </row>
    <row r="36" spans="2:8" x14ac:dyDescent="0.2">
      <c r="B36" s="23" t="s">
        <v>353</v>
      </c>
      <c r="C36" s="23" t="s">
        <v>354</v>
      </c>
      <c r="D36" s="23" t="s">
        <v>348</v>
      </c>
      <c r="E36" s="28">
        <v>50</v>
      </c>
      <c r="F36" s="25">
        <v>565.34</v>
      </c>
      <c r="G36" s="25">
        <v>0.62</v>
      </c>
      <c r="H36" s="25">
        <v>6.52</v>
      </c>
    </row>
    <row r="37" spans="2:8" x14ac:dyDescent="0.2">
      <c r="B37" s="23" t="s">
        <v>657</v>
      </c>
      <c r="C37" s="23" t="s">
        <v>658</v>
      </c>
      <c r="D37" s="23" t="s">
        <v>348</v>
      </c>
      <c r="E37" s="28">
        <v>50</v>
      </c>
      <c r="F37" s="25">
        <v>564.15</v>
      </c>
      <c r="G37" s="25">
        <v>0.62</v>
      </c>
      <c r="H37" s="25">
        <v>5.97</v>
      </c>
    </row>
    <row r="38" spans="2:8" x14ac:dyDescent="0.2">
      <c r="B38" s="23" t="s">
        <v>659</v>
      </c>
      <c r="C38" s="23" t="s">
        <v>660</v>
      </c>
      <c r="D38" s="23" t="s">
        <v>348</v>
      </c>
      <c r="E38" s="28">
        <v>50</v>
      </c>
      <c r="F38" s="25">
        <v>561.72</v>
      </c>
      <c r="G38" s="25">
        <v>0.61</v>
      </c>
      <c r="H38" s="25">
        <v>5.74</v>
      </c>
    </row>
    <row r="39" spans="2:8" x14ac:dyDescent="0.2">
      <c r="B39" s="23" t="s">
        <v>407</v>
      </c>
      <c r="C39" s="23" t="s">
        <v>408</v>
      </c>
      <c r="D39" s="23" t="s">
        <v>348</v>
      </c>
      <c r="E39" s="28">
        <v>50</v>
      </c>
      <c r="F39" s="25">
        <v>560.52</v>
      </c>
      <c r="G39" s="25">
        <v>0.61</v>
      </c>
      <c r="H39" s="25">
        <v>6.35</v>
      </c>
    </row>
    <row r="40" spans="2:8" x14ac:dyDescent="0.2">
      <c r="B40" s="23" t="s">
        <v>389</v>
      </c>
      <c r="C40" s="23" t="s">
        <v>390</v>
      </c>
      <c r="D40" s="23" t="s">
        <v>348</v>
      </c>
      <c r="E40" s="28">
        <v>50</v>
      </c>
      <c r="F40" s="25">
        <v>559.05999999999995</v>
      </c>
      <c r="G40" s="25">
        <v>0.61</v>
      </c>
      <c r="H40" s="25">
        <v>6.48</v>
      </c>
    </row>
    <row r="41" spans="2:8" x14ac:dyDescent="0.2">
      <c r="B41" s="23" t="s">
        <v>661</v>
      </c>
      <c r="C41" s="23" t="s">
        <v>662</v>
      </c>
      <c r="D41" s="23" t="s">
        <v>348</v>
      </c>
      <c r="E41" s="28">
        <v>50</v>
      </c>
      <c r="F41" s="25">
        <v>538.92999999999995</v>
      </c>
      <c r="G41" s="25">
        <v>0.59</v>
      </c>
      <c r="H41" s="25">
        <v>4.75</v>
      </c>
    </row>
    <row r="42" spans="2:8" x14ac:dyDescent="0.2">
      <c r="B42" s="23" t="s">
        <v>368</v>
      </c>
      <c r="C42" s="23" t="s">
        <v>369</v>
      </c>
      <c r="D42" s="23" t="s">
        <v>348</v>
      </c>
      <c r="E42" s="28">
        <v>50</v>
      </c>
      <c r="F42" s="25">
        <v>538.9</v>
      </c>
      <c r="G42" s="25">
        <v>0.59</v>
      </c>
      <c r="H42" s="25">
        <v>5.59</v>
      </c>
    </row>
    <row r="43" spans="2:8" x14ac:dyDescent="0.2">
      <c r="B43" s="23" t="s">
        <v>663</v>
      </c>
      <c r="C43" s="23" t="s">
        <v>664</v>
      </c>
      <c r="D43" s="23" t="s">
        <v>361</v>
      </c>
      <c r="E43" s="28">
        <v>50</v>
      </c>
      <c r="F43" s="25">
        <v>538.13</v>
      </c>
      <c r="G43" s="25">
        <v>0.59</v>
      </c>
      <c r="H43" s="25">
        <v>6.45</v>
      </c>
    </row>
    <row r="44" spans="2:8" x14ac:dyDescent="0.2">
      <c r="B44" s="23" t="s">
        <v>468</v>
      </c>
      <c r="C44" s="23" t="s">
        <v>469</v>
      </c>
      <c r="D44" s="23" t="s">
        <v>348</v>
      </c>
      <c r="E44" s="28">
        <v>50</v>
      </c>
      <c r="F44" s="25">
        <v>533.59</v>
      </c>
      <c r="G44" s="25">
        <v>0.57999999999999996</v>
      </c>
      <c r="H44" s="25">
        <v>6.45</v>
      </c>
    </row>
    <row r="45" spans="2:8" x14ac:dyDescent="0.2">
      <c r="B45" s="23" t="s">
        <v>665</v>
      </c>
      <c r="C45" s="23" t="s">
        <v>666</v>
      </c>
      <c r="D45" s="23" t="s">
        <v>348</v>
      </c>
      <c r="E45" s="28">
        <v>50</v>
      </c>
      <c r="F45" s="25">
        <v>529.47</v>
      </c>
      <c r="G45" s="25">
        <v>0.57999999999999996</v>
      </c>
      <c r="H45" s="25">
        <v>4.6399999999999997</v>
      </c>
    </row>
    <row r="46" spans="2:8" x14ac:dyDescent="0.2">
      <c r="B46" s="23" t="s">
        <v>667</v>
      </c>
      <c r="C46" s="23" t="s">
        <v>668</v>
      </c>
      <c r="D46" s="23" t="s">
        <v>361</v>
      </c>
      <c r="E46" s="28">
        <v>50</v>
      </c>
      <c r="F46" s="25">
        <v>521.96</v>
      </c>
      <c r="G46" s="25">
        <v>0.56999999999999995</v>
      </c>
      <c r="H46" s="25">
        <v>5.03</v>
      </c>
    </row>
    <row r="47" spans="2:8" x14ac:dyDescent="0.2">
      <c r="B47" s="23" t="s">
        <v>669</v>
      </c>
      <c r="C47" s="23" t="s">
        <v>670</v>
      </c>
      <c r="D47" s="23" t="s">
        <v>348</v>
      </c>
      <c r="E47" s="28">
        <v>50</v>
      </c>
      <c r="F47" s="25">
        <v>515.74</v>
      </c>
      <c r="G47" s="25">
        <v>0.56000000000000005</v>
      </c>
      <c r="H47" s="25">
        <v>4.2</v>
      </c>
    </row>
    <row r="48" spans="2:8" x14ac:dyDescent="0.2">
      <c r="B48" s="23" t="s">
        <v>671</v>
      </c>
      <c r="C48" s="23" t="s">
        <v>672</v>
      </c>
      <c r="D48" s="23" t="s">
        <v>348</v>
      </c>
      <c r="E48" s="28">
        <v>50</v>
      </c>
      <c r="F48" s="25">
        <v>515.16</v>
      </c>
      <c r="G48" s="25">
        <v>0.56000000000000005</v>
      </c>
      <c r="H48" s="25">
        <v>3.75</v>
      </c>
    </row>
    <row r="49" spans="2:10" x14ac:dyDescent="0.2">
      <c r="B49" s="23" t="s">
        <v>673</v>
      </c>
      <c r="C49" s="23" t="s">
        <v>674</v>
      </c>
      <c r="D49" s="23" t="s">
        <v>348</v>
      </c>
      <c r="E49" s="28">
        <v>50</v>
      </c>
      <c r="F49" s="25">
        <v>512.17999999999995</v>
      </c>
      <c r="G49" s="25">
        <v>0.56000000000000005</v>
      </c>
      <c r="H49" s="25">
        <v>3.61</v>
      </c>
    </row>
    <row r="50" spans="2:10" x14ac:dyDescent="0.2">
      <c r="B50" s="23" t="s">
        <v>349</v>
      </c>
      <c r="C50" s="23" t="s">
        <v>350</v>
      </c>
      <c r="D50" s="23" t="s">
        <v>348</v>
      </c>
      <c r="E50" s="28">
        <v>50</v>
      </c>
      <c r="F50" s="25">
        <v>502.61</v>
      </c>
      <c r="G50" s="25">
        <v>0.55000000000000004</v>
      </c>
      <c r="H50" s="25">
        <v>3.32</v>
      </c>
    </row>
    <row r="51" spans="2:10" x14ac:dyDescent="0.2">
      <c r="B51" s="23" t="s">
        <v>675</v>
      </c>
      <c r="C51" s="23" t="s">
        <v>676</v>
      </c>
      <c r="D51" s="23" t="s">
        <v>348</v>
      </c>
      <c r="E51" s="28">
        <v>50</v>
      </c>
      <c r="F51" s="25">
        <v>500.9</v>
      </c>
      <c r="G51" s="25">
        <v>0.55000000000000004</v>
      </c>
      <c r="H51" s="25">
        <v>3.58</v>
      </c>
    </row>
    <row r="52" spans="2:10" x14ac:dyDescent="0.2">
      <c r="B52" s="23" t="s">
        <v>510</v>
      </c>
      <c r="C52" s="23" t="s">
        <v>511</v>
      </c>
      <c r="D52" s="23" t="s">
        <v>348</v>
      </c>
      <c r="E52" s="28">
        <v>100</v>
      </c>
      <c r="F52" s="25">
        <v>325.08</v>
      </c>
      <c r="G52" s="25">
        <v>0.35</v>
      </c>
      <c r="H52" s="25">
        <v>5.12</v>
      </c>
    </row>
    <row r="53" spans="2:10" x14ac:dyDescent="0.2">
      <c r="B53" s="23" t="s">
        <v>605</v>
      </c>
      <c r="C53" s="23" t="s">
        <v>606</v>
      </c>
      <c r="D53" s="23" t="s">
        <v>348</v>
      </c>
      <c r="E53" s="28">
        <v>20</v>
      </c>
      <c r="F53" s="25">
        <v>205.22</v>
      </c>
      <c r="G53" s="25">
        <v>0.22</v>
      </c>
      <c r="H53" s="25">
        <v>3.97</v>
      </c>
    </row>
    <row r="54" spans="2:10" x14ac:dyDescent="0.2">
      <c r="B54" s="23" t="s">
        <v>677</v>
      </c>
      <c r="C54" s="23" t="s">
        <v>678</v>
      </c>
      <c r="D54" s="23" t="s">
        <v>348</v>
      </c>
      <c r="E54" s="28">
        <v>10</v>
      </c>
      <c r="F54" s="25">
        <v>105.63</v>
      </c>
      <c r="G54" s="25">
        <v>0.12</v>
      </c>
      <c r="H54" s="25">
        <v>4.25</v>
      </c>
    </row>
    <row r="55" spans="2:10" x14ac:dyDescent="0.2">
      <c r="B55" s="30" t="s">
        <v>111</v>
      </c>
      <c r="C55" s="30"/>
      <c r="D55" s="30"/>
      <c r="E55" s="31"/>
      <c r="F55" s="32">
        <f>SUM(F6:F54)</f>
        <v>57967.789999999986</v>
      </c>
      <c r="G55" s="32">
        <f>SUM(G6:G54)</f>
        <v>63.22999999999999</v>
      </c>
      <c r="H55" s="48"/>
      <c r="I55" s="14"/>
      <c r="J55" s="14"/>
    </row>
    <row r="56" spans="2:10" x14ac:dyDescent="0.2">
      <c r="B56" s="49" t="s">
        <v>112</v>
      </c>
      <c r="C56" s="49"/>
      <c r="D56" s="49"/>
      <c r="E56" s="50"/>
      <c r="F56" s="51">
        <f>F55</f>
        <v>57967.789999999986</v>
      </c>
      <c r="G56" s="51">
        <f>G55</f>
        <v>63.22999999999999</v>
      </c>
      <c r="H56" s="51"/>
      <c r="I56" s="14"/>
      <c r="J56" s="14"/>
    </row>
    <row r="57" spans="2:10" x14ac:dyDescent="0.2">
      <c r="B57" s="47" t="s">
        <v>419</v>
      </c>
      <c r="C57" s="23"/>
      <c r="D57" s="23"/>
      <c r="E57" s="24"/>
      <c r="F57" s="25"/>
      <c r="G57" s="25"/>
      <c r="H57" s="25"/>
    </row>
    <row r="58" spans="2:10" x14ac:dyDescent="0.2">
      <c r="B58" s="47" t="s">
        <v>420</v>
      </c>
      <c r="C58" s="23"/>
      <c r="D58" s="23"/>
      <c r="E58" s="24"/>
      <c r="F58" s="25"/>
      <c r="G58" s="25"/>
      <c r="H58" s="25"/>
    </row>
    <row r="59" spans="2:10" x14ac:dyDescent="0.2">
      <c r="B59" s="23" t="s">
        <v>421</v>
      </c>
      <c r="C59" s="23" t="s">
        <v>422</v>
      </c>
      <c r="D59" s="23" t="s">
        <v>423</v>
      </c>
      <c r="E59" s="28">
        <v>5000000</v>
      </c>
      <c r="F59" s="25">
        <v>4998.28</v>
      </c>
      <c r="G59" s="25">
        <v>5.45</v>
      </c>
      <c r="H59" s="25">
        <v>3.15</v>
      </c>
    </row>
    <row r="60" spans="2:10" x14ac:dyDescent="0.2">
      <c r="B60" s="23" t="s">
        <v>679</v>
      </c>
      <c r="C60" s="23" t="s">
        <v>680</v>
      </c>
      <c r="D60" s="23" t="s">
        <v>423</v>
      </c>
      <c r="E60" s="28">
        <v>1000000</v>
      </c>
      <c r="F60" s="25">
        <v>974.63</v>
      </c>
      <c r="G60" s="25">
        <v>1.06</v>
      </c>
      <c r="H60" s="25">
        <v>3.43</v>
      </c>
    </row>
    <row r="61" spans="2:10" x14ac:dyDescent="0.2">
      <c r="B61" s="30" t="s">
        <v>111</v>
      </c>
      <c r="C61" s="30"/>
      <c r="D61" s="30"/>
      <c r="E61" s="31"/>
      <c r="F61" s="32">
        <f>SUM(F58:F60)</f>
        <v>5972.91</v>
      </c>
      <c r="G61" s="32">
        <f>SUM(G58:G60)</f>
        <v>6.51</v>
      </c>
      <c r="H61" s="48"/>
      <c r="I61" s="14"/>
      <c r="J61" s="14"/>
    </row>
    <row r="62" spans="2:10" x14ac:dyDescent="0.2">
      <c r="B62" s="49" t="s">
        <v>112</v>
      </c>
      <c r="C62" s="49"/>
      <c r="D62" s="49"/>
      <c r="E62" s="50"/>
      <c r="F62" s="51">
        <f>+F61</f>
        <v>5972.91</v>
      </c>
      <c r="G62" s="51">
        <f>+G61</f>
        <v>6.51</v>
      </c>
      <c r="H62" s="51"/>
      <c r="I62" s="14"/>
      <c r="J62" s="14"/>
    </row>
    <row r="63" spans="2:10" x14ac:dyDescent="0.2">
      <c r="B63" s="47" t="s">
        <v>424</v>
      </c>
      <c r="C63" s="23"/>
      <c r="D63" s="23"/>
      <c r="E63" s="24"/>
      <c r="F63" s="25"/>
      <c r="G63" s="25"/>
      <c r="H63" s="25"/>
    </row>
    <row r="64" spans="2:10" x14ac:dyDescent="0.2">
      <c r="B64" s="23" t="s">
        <v>430</v>
      </c>
      <c r="C64" s="23" t="s">
        <v>431</v>
      </c>
      <c r="D64" s="23" t="s">
        <v>427</v>
      </c>
      <c r="E64" s="28">
        <v>7000000</v>
      </c>
      <c r="F64" s="25">
        <v>7312.57</v>
      </c>
      <c r="G64" s="25">
        <v>7.98</v>
      </c>
      <c r="H64" s="25">
        <v>4.9400000000000004</v>
      </c>
    </row>
    <row r="65" spans="2:10" x14ac:dyDescent="0.2">
      <c r="B65" s="23" t="s">
        <v>432</v>
      </c>
      <c r="C65" s="23" t="s">
        <v>433</v>
      </c>
      <c r="D65" s="23" t="s">
        <v>427</v>
      </c>
      <c r="E65" s="28">
        <v>3500000</v>
      </c>
      <c r="F65" s="25">
        <v>3684.71</v>
      </c>
      <c r="G65" s="25">
        <v>4.0199999999999996</v>
      </c>
      <c r="H65" s="25">
        <v>4.22</v>
      </c>
    </row>
    <row r="66" spans="2:10" x14ac:dyDescent="0.2">
      <c r="B66" s="23" t="s">
        <v>425</v>
      </c>
      <c r="C66" s="23" t="s">
        <v>426</v>
      </c>
      <c r="D66" s="23" t="s">
        <v>427</v>
      </c>
      <c r="E66" s="28">
        <v>2500000</v>
      </c>
      <c r="F66" s="25">
        <v>2700.15</v>
      </c>
      <c r="G66" s="25">
        <v>2.94</v>
      </c>
      <c r="H66" s="25">
        <v>4.63</v>
      </c>
    </row>
    <row r="67" spans="2:10" x14ac:dyDescent="0.2">
      <c r="B67" s="23" t="s">
        <v>681</v>
      </c>
      <c r="C67" s="23" t="s">
        <v>682</v>
      </c>
      <c r="D67" s="23" t="s">
        <v>427</v>
      </c>
      <c r="E67" s="28">
        <v>2000000</v>
      </c>
      <c r="F67" s="25">
        <v>2108.38</v>
      </c>
      <c r="G67" s="25">
        <v>2.2999999999999998</v>
      </c>
      <c r="H67" s="25">
        <v>4.05</v>
      </c>
    </row>
    <row r="68" spans="2:10" x14ac:dyDescent="0.2">
      <c r="B68" s="23" t="s">
        <v>436</v>
      </c>
      <c r="C68" s="23" t="s">
        <v>437</v>
      </c>
      <c r="D68" s="23" t="s">
        <v>427</v>
      </c>
      <c r="E68" s="28">
        <v>1500000</v>
      </c>
      <c r="F68" s="25">
        <v>1602.99</v>
      </c>
      <c r="G68" s="25">
        <v>1.75</v>
      </c>
      <c r="H68" s="25">
        <v>4.3899999999999997</v>
      </c>
    </row>
    <row r="69" spans="2:10" x14ac:dyDescent="0.2">
      <c r="B69" s="23" t="s">
        <v>683</v>
      </c>
      <c r="C69" s="23" t="s">
        <v>684</v>
      </c>
      <c r="D69" s="23" t="s">
        <v>427</v>
      </c>
      <c r="E69" s="28">
        <v>1000000</v>
      </c>
      <c r="F69" s="25">
        <v>1088.23</v>
      </c>
      <c r="G69" s="25">
        <v>1.19</v>
      </c>
      <c r="H69" s="25">
        <v>4.6100000000000003</v>
      </c>
    </row>
    <row r="70" spans="2:10" x14ac:dyDescent="0.2">
      <c r="B70" s="23" t="s">
        <v>685</v>
      </c>
      <c r="C70" s="23" t="s">
        <v>686</v>
      </c>
      <c r="D70" s="23" t="s">
        <v>427</v>
      </c>
      <c r="E70" s="28">
        <v>500000</v>
      </c>
      <c r="F70" s="25">
        <v>540.22</v>
      </c>
      <c r="G70" s="25">
        <v>0.59</v>
      </c>
      <c r="H70" s="25">
        <v>4.91</v>
      </c>
    </row>
    <row r="71" spans="2:10" x14ac:dyDescent="0.2">
      <c r="B71" s="23" t="s">
        <v>687</v>
      </c>
      <c r="C71" s="23" t="s">
        <v>688</v>
      </c>
      <c r="D71" s="23" t="s">
        <v>427</v>
      </c>
      <c r="E71" s="28">
        <v>500000</v>
      </c>
      <c r="F71" s="25">
        <v>535.95000000000005</v>
      </c>
      <c r="G71" s="25">
        <v>0.57999999999999996</v>
      </c>
      <c r="H71" s="25">
        <v>4.4400000000000004</v>
      </c>
    </row>
    <row r="72" spans="2:10" x14ac:dyDescent="0.2">
      <c r="B72" s="23" t="s">
        <v>689</v>
      </c>
      <c r="C72" s="23" t="s">
        <v>690</v>
      </c>
      <c r="D72" s="23" t="s">
        <v>427</v>
      </c>
      <c r="E72" s="28">
        <v>500000</v>
      </c>
      <c r="F72" s="25">
        <v>535.80999999999995</v>
      </c>
      <c r="G72" s="25">
        <v>0.57999999999999996</v>
      </c>
      <c r="H72" s="25">
        <v>4.45</v>
      </c>
    </row>
    <row r="73" spans="2:10" x14ac:dyDescent="0.2">
      <c r="B73" s="23" t="s">
        <v>566</v>
      </c>
      <c r="C73" s="23" t="s">
        <v>567</v>
      </c>
      <c r="D73" s="23" t="s">
        <v>427</v>
      </c>
      <c r="E73" s="28">
        <v>500000</v>
      </c>
      <c r="F73" s="25">
        <v>528.14</v>
      </c>
      <c r="G73" s="25">
        <v>0.57999999999999996</v>
      </c>
      <c r="H73" s="25">
        <v>4.34</v>
      </c>
    </row>
    <row r="74" spans="2:10" x14ac:dyDescent="0.2">
      <c r="B74" s="23" t="s">
        <v>691</v>
      </c>
      <c r="C74" s="23" t="s">
        <v>692</v>
      </c>
      <c r="D74" s="23" t="s">
        <v>427</v>
      </c>
      <c r="E74" s="28">
        <v>500000</v>
      </c>
      <c r="F74" s="25">
        <v>527.66999999999996</v>
      </c>
      <c r="G74" s="25">
        <v>0.57999999999999996</v>
      </c>
      <c r="H74" s="25">
        <v>4.7300000000000004</v>
      </c>
    </row>
    <row r="75" spans="2:10" x14ac:dyDescent="0.2">
      <c r="B75" s="23" t="s">
        <v>693</v>
      </c>
      <c r="C75" s="23" t="s">
        <v>694</v>
      </c>
      <c r="D75" s="23" t="s">
        <v>427</v>
      </c>
      <c r="E75" s="28">
        <v>500000</v>
      </c>
      <c r="F75" s="25">
        <v>526.24</v>
      </c>
      <c r="G75" s="25">
        <v>0.56999999999999995</v>
      </c>
      <c r="H75" s="25">
        <v>4.34</v>
      </c>
    </row>
    <row r="76" spans="2:10" x14ac:dyDescent="0.2">
      <c r="B76" s="23" t="s">
        <v>695</v>
      </c>
      <c r="C76" s="23" t="s">
        <v>696</v>
      </c>
      <c r="D76" s="23" t="s">
        <v>427</v>
      </c>
      <c r="E76" s="28">
        <v>400000</v>
      </c>
      <c r="F76" s="25">
        <v>427.93</v>
      </c>
      <c r="G76" s="25">
        <v>0.47</v>
      </c>
      <c r="H76" s="25">
        <v>4.3099999999999996</v>
      </c>
    </row>
    <row r="77" spans="2:10" x14ac:dyDescent="0.2">
      <c r="B77" s="23" t="s">
        <v>697</v>
      </c>
      <c r="C77" s="23" t="s">
        <v>698</v>
      </c>
      <c r="D77" s="23" t="s">
        <v>427</v>
      </c>
      <c r="E77" s="28">
        <v>178000</v>
      </c>
      <c r="F77" s="25">
        <v>181.3</v>
      </c>
      <c r="G77" s="25">
        <v>0.2</v>
      </c>
      <c r="H77" s="25">
        <v>3.64</v>
      </c>
    </row>
    <row r="78" spans="2:10" x14ac:dyDescent="0.2">
      <c r="B78" s="52" t="s">
        <v>699</v>
      </c>
      <c r="C78" s="52" t="s">
        <v>700</v>
      </c>
      <c r="D78" s="52" t="s">
        <v>427</v>
      </c>
      <c r="E78" s="53">
        <v>28300</v>
      </c>
      <c r="F78" s="54">
        <v>30.77</v>
      </c>
      <c r="G78" s="54">
        <v>0.03</v>
      </c>
      <c r="H78" s="54">
        <v>6.18</v>
      </c>
    </row>
    <row r="79" spans="2:10" x14ac:dyDescent="0.2">
      <c r="B79" s="55" t="s">
        <v>112</v>
      </c>
      <c r="C79" s="55"/>
      <c r="D79" s="55"/>
      <c r="E79" s="56"/>
      <c r="F79" s="57">
        <f>SUM(F64:F78)</f>
        <v>22331.06</v>
      </c>
      <c r="G79" s="57">
        <f>SUM(G64:G78)</f>
        <v>24.359999999999992</v>
      </c>
      <c r="H79" s="57"/>
      <c r="I79" s="14"/>
      <c r="J79" s="14"/>
    </row>
    <row r="80" spans="2:10" x14ac:dyDescent="0.2">
      <c r="B80" s="47" t="s">
        <v>113</v>
      </c>
      <c r="C80" s="23"/>
      <c r="D80" s="23"/>
      <c r="E80" s="24"/>
      <c r="F80" s="25"/>
      <c r="G80" s="25"/>
      <c r="H80" s="25"/>
    </row>
    <row r="81" spans="2:10" x14ac:dyDescent="0.2">
      <c r="B81" s="23" t="s">
        <v>113</v>
      </c>
      <c r="C81" s="23"/>
      <c r="D81" s="23"/>
      <c r="E81" s="24"/>
      <c r="F81" s="25">
        <v>5624.65</v>
      </c>
      <c r="G81" s="25">
        <v>6.13</v>
      </c>
      <c r="H81" s="25"/>
    </row>
    <row r="82" spans="2:10" x14ac:dyDescent="0.2">
      <c r="B82" s="30" t="s">
        <v>111</v>
      </c>
      <c r="C82" s="30"/>
      <c r="D82" s="30"/>
      <c r="E82" s="31"/>
      <c r="F82" s="32">
        <f>SUM(F80:F81)</f>
        <v>5624.65</v>
      </c>
      <c r="G82" s="32">
        <f>SUM(G80:G81)</f>
        <v>6.13</v>
      </c>
      <c r="H82" s="48"/>
      <c r="I82" s="14"/>
      <c r="J82" s="14"/>
    </row>
    <row r="83" spans="2:10" x14ac:dyDescent="0.2">
      <c r="B83" s="34" t="s">
        <v>112</v>
      </c>
      <c r="C83" s="34"/>
      <c r="D83" s="34"/>
      <c r="E83" s="35"/>
      <c r="F83" s="36">
        <f>F82</f>
        <v>5624.65</v>
      </c>
      <c r="G83" s="36">
        <f>G82</f>
        <v>6.13</v>
      </c>
      <c r="H83" s="36"/>
      <c r="I83" s="14"/>
      <c r="J83" s="14"/>
    </row>
    <row r="84" spans="2:10" x14ac:dyDescent="0.2">
      <c r="B84" s="44" t="s">
        <v>115</v>
      </c>
      <c r="C84" s="44"/>
      <c r="D84" s="44"/>
      <c r="E84" s="45"/>
      <c r="F84" s="16">
        <f>F85-(+F56+F62+F79+F83)</f>
        <v>-203.47999999998137</v>
      </c>
      <c r="G84" s="16">
        <f>G85-(+G56+G62+G79+G83)</f>
        <v>-0.22999999999998977</v>
      </c>
      <c r="H84" s="16"/>
      <c r="I84" s="14"/>
      <c r="J84" s="14"/>
    </row>
    <row r="85" spans="2:10" x14ac:dyDescent="0.2">
      <c r="B85" s="44" t="s">
        <v>114</v>
      </c>
      <c r="C85" s="44"/>
      <c r="D85" s="44"/>
      <c r="E85" s="45"/>
      <c r="F85" s="16">
        <v>91692.93</v>
      </c>
      <c r="G85" s="16">
        <v>100</v>
      </c>
      <c r="H85" s="16"/>
      <c r="I85" s="14"/>
      <c r="J85" s="14"/>
    </row>
    <row r="87" spans="2:10" x14ac:dyDescent="0.2">
      <c r="B87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3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26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345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407</v>
      </c>
      <c r="C7" s="23" t="s">
        <v>408</v>
      </c>
      <c r="D7" s="23" t="s">
        <v>348</v>
      </c>
      <c r="E7" s="28">
        <v>150</v>
      </c>
      <c r="F7" s="25">
        <v>1681.55</v>
      </c>
      <c r="G7" s="25">
        <v>5.19</v>
      </c>
      <c r="H7" s="25">
        <v>6.35</v>
      </c>
    </row>
    <row r="8" spans="2:8" x14ac:dyDescent="0.2">
      <c r="B8" s="23" t="s">
        <v>395</v>
      </c>
      <c r="C8" s="23" t="s">
        <v>396</v>
      </c>
      <c r="D8" s="23" t="s">
        <v>348</v>
      </c>
      <c r="E8" s="28">
        <v>150</v>
      </c>
      <c r="F8" s="25">
        <v>1568.67</v>
      </c>
      <c r="G8" s="25">
        <v>4.84</v>
      </c>
      <c r="H8" s="25">
        <v>4.76</v>
      </c>
    </row>
    <row r="9" spans="2:8" x14ac:dyDescent="0.2">
      <c r="B9" s="23" t="s">
        <v>701</v>
      </c>
      <c r="C9" s="23" t="s">
        <v>702</v>
      </c>
      <c r="D9" s="23" t="s">
        <v>384</v>
      </c>
      <c r="E9" s="28">
        <v>120</v>
      </c>
      <c r="F9" s="25">
        <v>1491.82</v>
      </c>
      <c r="G9" s="25">
        <v>4.6100000000000003</v>
      </c>
      <c r="H9" s="25">
        <v>5.56</v>
      </c>
    </row>
    <row r="10" spans="2:8" x14ac:dyDescent="0.2">
      <c r="B10" s="23" t="s">
        <v>353</v>
      </c>
      <c r="C10" s="23" t="s">
        <v>354</v>
      </c>
      <c r="D10" s="23" t="s">
        <v>348</v>
      </c>
      <c r="E10" s="28">
        <v>100</v>
      </c>
      <c r="F10" s="25">
        <v>1130.69</v>
      </c>
      <c r="G10" s="25">
        <v>3.49</v>
      </c>
      <c r="H10" s="25">
        <v>6.52</v>
      </c>
    </row>
    <row r="11" spans="2:8" x14ac:dyDescent="0.2">
      <c r="B11" s="23" t="s">
        <v>703</v>
      </c>
      <c r="C11" s="23" t="s">
        <v>704</v>
      </c>
      <c r="D11" s="23" t="s">
        <v>348</v>
      </c>
      <c r="E11" s="28">
        <v>100</v>
      </c>
      <c r="F11" s="25">
        <v>1055.71</v>
      </c>
      <c r="G11" s="25">
        <v>3.26</v>
      </c>
      <c r="H11" s="25">
        <v>5.74</v>
      </c>
    </row>
    <row r="12" spans="2:8" x14ac:dyDescent="0.2">
      <c r="B12" s="23" t="s">
        <v>474</v>
      </c>
      <c r="C12" s="23" t="s">
        <v>475</v>
      </c>
      <c r="D12" s="23" t="s">
        <v>384</v>
      </c>
      <c r="E12" s="28">
        <v>100</v>
      </c>
      <c r="F12" s="25">
        <v>1038.27</v>
      </c>
      <c r="G12" s="25">
        <v>3.21</v>
      </c>
      <c r="H12" s="25">
        <v>6.42</v>
      </c>
    </row>
    <row r="13" spans="2:8" x14ac:dyDescent="0.2">
      <c r="B13" s="23" t="s">
        <v>639</v>
      </c>
      <c r="C13" s="23" t="s">
        <v>640</v>
      </c>
      <c r="D13" s="23" t="s">
        <v>348</v>
      </c>
      <c r="E13" s="28">
        <v>100</v>
      </c>
      <c r="F13" s="25">
        <v>1038.18</v>
      </c>
      <c r="G13" s="25">
        <v>3.21</v>
      </c>
      <c r="H13" s="25">
        <v>5.0999999999999996</v>
      </c>
    </row>
    <row r="14" spans="2:8" x14ac:dyDescent="0.2">
      <c r="B14" s="23" t="s">
        <v>669</v>
      </c>
      <c r="C14" s="23" t="s">
        <v>670</v>
      </c>
      <c r="D14" s="23" t="s">
        <v>348</v>
      </c>
      <c r="E14" s="28">
        <v>100</v>
      </c>
      <c r="F14" s="25">
        <v>1031.47</v>
      </c>
      <c r="G14" s="25">
        <v>3.18</v>
      </c>
      <c r="H14" s="25">
        <v>4.2</v>
      </c>
    </row>
    <row r="15" spans="2:8" x14ac:dyDescent="0.2">
      <c r="B15" s="23" t="s">
        <v>705</v>
      </c>
      <c r="C15" s="23" t="s">
        <v>706</v>
      </c>
      <c r="D15" s="23" t="s">
        <v>707</v>
      </c>
      <c r="E15" s="28">
        <v>100</v>
      </c>
      <c r="F15" s="25">
        <v>1017.67</v>
      </c>
      <c r="G15" s="25">
        <v>3.14</v>
      </c>
      <c r="H15" s="25">
        <v>4.0599999999999996</v>
      </c>
    </row>
    <row r="16" spans="2:8" x14ac:dyDescent="0.2">
      <c r="B16" s="23" t="s">
        <v>366</v>
      </c>
      <c r="C16" s="23" t="s">
        <v>367</v>
      </c>
      <c r="D16" s="23" t="s">
        <v>348</v>
      </c>
      <c r="E16" s="28">
        <v>100</v>
      </c>
      <c r="F16" s="25">
        <v>998.71</v>
      </c>
      <c r="G16" s="25">
        <v>3.08</v>
      </c>
      <c r="H16" s="25">
        <v>5.48</v>
      </c>
    </row>
    <row r="17" spans="2:8" x14ac:dyDescent="0.2">
      <c r="B17" s="23" t="s">
        <v>564</v>
      </c>
      <c r="C17" s="23" t="s">
        <v>565</v>
      </c>
      <c r="D17" s="23" t="s">
        <v>348</v>
      </c>
      <c r="E17" s="28">
        <v>50</v>
      </c>
      <c r="F17" s="25">
        <v>574.04999999999995</v>
      </c>
      <c r="G17" s="25">
        <v>1.77</v>
      </c>
      <c r="H17" s="25">
        <v>6.52</v>
      </c>
    </row>
    <row r="18" spans="2:8" x14ac:dyDescent="0.2">
      <c r="B18" s="23" t="s">
        <v>708</v>
      </c>
      <c r="C18" s="23" t="s">
        <v>709</v>
      </c>
      <c r="D18" s="23" t="s">
        <v>348</v>
      </c>
      <c r="E18" s="28">
        <v>50</v>
      </c>
      <c r="F18" s="25">
        <v>558.98</v>
      </c>
      <c r="G18" s="25">
        <v>1.73</v>
      </c>
      <c r="H18" s="25">
        <v>4.78</v>
      </c>
    </row>
    <row r="19" spans="2:8" x14ac:dyDescent="0.2">
      <c r="B19" s="23" t="s">
        <v>372</v>
      </c>
      <c r="C19" s="23" t="s">
        <v>373</v>
      </c>
      <c r="D19" s="23" t="s">
        <v>348</v>
      </c>
      <c r="E19" s="28">
        <v>50</v>
      </c>
      <c r="F19" s="25">
        <v>540.44000000000005</v>
      </c>
      <c r="G19" s="25">
        <v>1.67</v>
      </c>
      <c r="H19" s="25">
        <v>5.14</v>
      </c>
    </row>
    <row r="20" spans="2:8" x14ac:dyDescent="0.2">
      <c r="B20" s="23" t="s">
        <v>661</v>
      </c>
      <c r="C20" s="23" t="s">
        <v>662</v>
      </c>
      <c r="D20" s="23" t="s">
        <v>348</v>
      </c>
      <c r="E20" s="28">
        <v>50</v>
      </c>
      <c r="F20" s="25">
        <v>538.92999999999995</v>
      </c>
      <c r="G20" s="25">
        <v>1.66</v>
      </c>
      <c r="H20" s="25">
        <v>4.75</v>
      </c>
    </row>
    <row r="21" spans="2:8" x14ac:dyDescent="0.2">
      <c r="B21" s="23" t="s">
        <v>368</v>
      </c>
      <c r="C21" s="23" t="s">
        <v>369</v>
      </c>
      <c r="D21" s="23" t="s">
        <v>348</v>
      </c>
      <c r="E21" s="28">
        <v>50</v>
      </c>
      <c r="F21" s="25">
        <v>538.9</v>
      </c>
      <c r="G21" s="25">
        <v>1.66</v>
      </c>
      <c r="H21" s="25">
        <v>5.59</v>
      </c>
    </row>
    <row r="22" spans="2:8" x14ac:dyDescent="0.2">
      <c r="B22" s="23" t="s">
        <v>710</v>
      </c>
      <c r="C22" s="23" t="s">
        <v>711</v>
      </c>
      <c r="D22" s="23" t="s">
        <v>384</v>
      </c>
      <c r="E22" s="28">
        <v>50</v>
      </c>
      <c r="F22" s="25">
        <v>537.72</v>
      </c>
      <c r="G22" s="25">
        <v>1.66</v>
      </c>
      <c r="H22" s="25">
        <v>6.42</v>
      </c>
    </row>
    <row r="23" spans="2:8" x14ac:dyDescent="0.2">
      <c r="B23" s="23" t="s">
        <v>712</v>
      </c>
      <c r="C23" s="23" t="s">
        <v>713</v>
      </c>
      <c r="D23" s="23" t="s">
        <v>348</v>
      </c>
      <c r="E23" s="28">
        <v>50</v>
      </c>
      <c r="F23" s="25">
        <v>537.30999999999995</v>
      </c>
      <c r="G23" s="25">
        <v>1.66</v>
      </c>
      <c r="H23" s="25">
        <v>5.25</v>
      </c>
    </row>
    <row r="24" spans="2:8" x14ac:dyDescent="0.2">
      <c r="B24" s="23" t="s">
        <v>714</v>
      </c>
      <c r="C24" s="23" t="s">
        <v>715</v>
      </c>
      <c r="D24" s="23" t="s">
        <v>348</v>
      </c>
      <c r="E24" s="28">
        <v>50</v>
      </c>
      <c r="F24" s="25">
        <v>534.45000000000005</v>
      </c>
      <c r="G24" s="25">
        <v>1.65</v>
      </c>
      <c r="H24" s="25">
        <v>6.45</v>
      </c>
    </row>
    <row r="25" spans="2:8" x14ac:dyDescent="0.2">
      <c r="B25" s="23" t="s">
        <v>468</v>
      </c>
      <c r="C25" s="23" t="s">
        <v>469</v>
      </c>
      <c r="D25" s="23" t="s">
        <v>348</v>
      </c>
      <c r="E25" s="28">
        <v>50</v>
      </c>
      <c r="F25" s="25">
        <v>533.59</v>
      </c>
      <c r="G25" s="25">
        <v>1.65</v>
      </c>
      <c r="H25" s="25">
        <v>6.45</v>
      </c>
    </row>
    <row r="26" spans="2:8" x14ac:dyDescent="0.2">
      <c r="B26" s="23" t="s">
        <v>374</v>
      </c>
      <c r="C26" s="23" t="s">
        <v>375</v>
      </c>
      <c r="D26" s="23" t="s">
        <v>348</v>
      </c>
      <c r="E26" s="28">
        <v>50</v>
      </c>
      <c r="F26" s="25">
        <v>532.53</v>
      </c>
      <c r="G26" s="25">
        <v>1.64</v>
      </c>
      <c r="H26" s="25">
        <v>5.75</v>
      </c>
    </row>
    <row r="27" spans="2:8" x14ac:dyDescent="0.2">
      <c r="B27" s="23" t="s">
        <v>516</v>
      </c>
      <c r="C27" s="23" t="s">
        <v>517</v>
      </c>
      <c r="D27" s="23" t="s">
        <v>348</v>
      </c>
      <c r="E27" s="28">
        <v>50</v>
      </c>
      <c r="F27" s="25">
        <v>527.87</v>
      </c>
      <c r="G27" s="25">
        <v>1.63</v>
      </c>
      <c r="H27" s="25">
        <v>4.1399999999999997</v>
      </c>
    </row>
    <row r="28" spans="2:8" x14ac:dyDescent="0.2">
      <c r="B28" s="23" t="s">
        <v>346</v>
      </c>
      <c r="C28" s="23" t="s">
        <v>347</v>
      </c>
      <c r="D28" s="23" t="s">
        <v>348</v>
      </c>
      <c r="E28" s="28">
        <v>50</v>
      </c>
      <c r="F28" s="25">
        <v>525.89</v>
      </c>
      <c r="G28" s="25">
        <v>1.62</v>
      </c>
      <c r="H28" s="25">
        <v>4.63</v>
      </c>
    </row>
    <row r="29" spans="2:8" x14ac:dyDescent="0.2">
      <c r="B29" s="23" t="s">
        <v>631</v>
      </c>
      <c r="C29" s="23" t="s">
        <v>632</v>
      </c>
      <c r="D29" s="23" t="s">
        <v>348</v>
      </c>
      <c r="E29" s="28">
        <v>50</v>
      </c>
      <c r="F29" s="25">
        <v>524.91</v>
      </c>
      <c r="G29" s="25">
        <v>1.62</v>
      </c>
      <c r="H29" s="25">
        <v>5.85</v>
      </c>
    </row>
    <row r="30" spans="2:8" x14ac:dyDescent="0.2">
      <c r="B30" s="23" t="s">
        <v>357</v>
      </c>
      <c r="C30" s="23" t="s">
        <v>358</v>
      </c>
      <c r="D30" s="23" t="s">
        <v>348</v>
      </c>
      <c r="E30" s="28">
        <v>50</v>
      </c>
      <c r="F30" s="25">
        <v>524.04</v>
      </c>
      <c r="G30" s="25">
        <v>1.62</v>
      </c>
      <c r="H30" s="25">
        <v>4.62</v>
      </c>
    </row>
    <row r="31" spans="2:8" x14ac:dyDescent="0.2">
      <c r="B31" s="23" t="s">
        <v>716</v>
      </c>
      <c r="C31" s="23" t="s">
        <v>717</v>
      </c>
      <c r="D31" s="23" t="s">
        <v>348</v>
      </c>
      <c r="E31" s="28">
        <v>50</v>
      </c>
      <c r="F31" s="25">
        <v>523.54999999999995</v>
      </c>
      <c r="G31" s="25">
        <v>1.62</v>
      </c>
      <c r="H31" s="25">
        <v>4.63</v>
      </c>
    </row>
    <row r="32" spans="2:8" x14ac:dyDescent="0.2">
      <c r="B32" s="23" t="s">
        <v>718</v>
      </c>
      <c r="C32" s="23" t="s">
        <v>719</v>
      </c>
      <c r="D32" s="23" t="s">
        <v>348</v>
      </c>
      <c r="E32" s="28">
        <v>50</v>
      </c>
      <c r="F32" s="25">
        <v>522.20000000000005</v>
      </c>
      <c r="G32" s="25">
        <v>1.61</v>
      </c>
      <c r="H32" s="25">
        <v>4.6399999999999997</v>
      </c>
    </row>
    <row r="33" spans="2:10" x14ac:dyDescent="0.2">
      <c r="B33" s="23" t="s">
        <v>720</v>
      </c>
      <c r="C33" s="23" t="s">
        <v>721</v>
      </c>
      <c r="D33" s="23" t="s">
        <v>348</v>
      </c>
      <c r="E33" s="28">
        <v>50</v>
      </c>
      <c r="F33" s="25">
        <v>515.24</v>
      </c>
      <c r="G33" s="25">
        <v>1.59</v>
      </c>
      <c r="H33" s="25">
        <v>6.8</v>
      </c>
    </row>
    <row r="34" spans="2:10" x14ac:dyDescent="0.2">
      <c r="B34" s="23" t="s">
        <v>722</v>
      </c>
      <c r="C34" s="23" t="s">
        <v>723</v>
      </c>
      <c r="D34" s="23" t="s">
        <v>348</v>
      </c>
      <c r="E34" s="28">
        <v>50</v>
      </c>
      <c r="F34" s="25">
        <v>514.47</v>
      </c>
      <c r="G34" s="25">
        <v>1.59</v>
      </c>
      <c r="H34" s="25">
        <v>4.1500000000000004</v>
      </c>
    </row>
    <row r="35" spans="2:10" x14ac:dyDescent="0.2">
      <c r="B35" s="23" t="s">
        <v>378</v>
      </c>
      <c r="C35" s="23" t="s">
        <v>379</v>
      </c>
      <c r="D35" s="23" t="s">
        <v>348</v>
      </c>
      <c r="E35" s="28">
        <v>50</v>
      </c>
      <c r="F35" s="25">
        <v>513.79</v>
      </c>
      <c r="G35" s="25">
        <v>1.59</v>
      </c>
      <c r="H35" s="25">
        <v>3.85</v>
      </c>
    </row>
    <row r="36" spans="2:10" x14ac:dyDescent="0.2">
      <c r="B36" s="30" t="s">
        <v>111</v>
      </c>
      <c r="C36" s="30"/>
      <c r="D36" s="30"/>
      <c r="E36" s="31"/>
      <c r="F36" s="32">
        <f>SUM(F6:F35)</f>
        <v>22171.599999999999</v>
      </c>
      <c r="G36" s="32">
        <f>SUM(G6:G35)</f>
        <v>68.449999999999989</v>
      </c>
      <c r="H36" s="48"/>
      <c r="I36" s="14"/>
      <c r="J36" s="14"/>
    </row>
    <row r="37" spans="2:10" x14ac:dyDescent="0.2">
      <c r="B37" s="49" t="s">
        <v>112</v>
      </c>
      <c r="C37" s="49"/>
      <c r="D37" s="49"/>
      <c r="E37" s="50"/>
      <c r="F37" s="51">
        <f>F36</f>
        <v>22171.599999999999</v>
      </c>
      <c r="G37" s="51">
        <f>G36</f>
        <v>68.449999999999989</v>
      </c>
      <c r="H37" s="51"/>
      <c r="I37" s="14"/>
      <c r="J37" s="14"/>
    </row>
    <row r="38" spans="2:10" x14ac:dyDescent="0.2">
      <c r="B38" s="47" t="s">
        <v>419</v>
      </c>
      <c r="C38" s="23"/>
      <c r="D38" s="23"/>
      <c r="E38" s="24"/>
      <c r="F38" s="25"/>
      <c r="G38" s="25"/>
      <c r="H38" s="25"/>
    </row>
    <row r="39" spans="2:10" x14ac:dyDescent="0.2">
      <c r="B39" s="47" t="s">
        <v>420</v>
      </c>
      <c r="C39" s="23"/>
      <c r="D39" s="23"/>
      <c r="E39" s="24"/>
      <c r="F39" s="25"/>
      <c r="G39" s="25"/>
      <c r="H39" s="25"/>
    </row>
    <row r="40" spans="2:10" x14ac:dyDescent="0.2">
      <c r="B40" s="23" t="s">
        <v>421</v>
      </c>
      <c r="C40" s="23" t="s">
        <v>422</v>
      </c>
      <c r="D40" s="23" t="s">
        <v>423</v>
      </c>
      <c r="E40" s="28">
        <v>2000000</v>
      </c>
      <c r="F40" s="25">
        <v>1999.31</v>
      </c>
      <c r="G40" s="25">
        <v>6.17</v>
      </c>
      <c r="H40" s="25">
        <v>3.15</v>
      </c>
    </row>
    <row r="41" spans="2:10" x14ac:dyDescent="0.2">
      <c r="B41" s="30" t="s">
        <v>111</v>
      </c>
      <c r="C41" s="30"/>
      <c r="D41" s="30"/>
      <c r="E41" s="31"/>
      <c r="F41" s="32">
        <f>SUM(F39:F40)</f>
        <v>1999.31</v>
      </c>
      <c r="G41" s="32">
        <f>SUM(G39:G40)</f>
        <v>6.17</v>
      </c>
      <c r="H41" s="48"/>
      <c r="I41" s="14"/>
      <c r="J41" s="14"/>
    </row>
    <row r="42" spans="2:10" x14ac:dyDescent="0.2">
      <c r="B42" s="49" t="s">
        <v>112</v>
      </c>
      <c r="C42" s="49"/>
      <c r="D42" s="49"/>
      <c r="E42" s="50"/>
      <c r="F42" s="51">
        <f>+F41</f>
        <v>1999.31</v>
      </c>
      <c r="G42" s="51">
        <f>+G41</f>
        <v>6.17</v>
      </c>
      <c r="H42" s="51"/>
      <c r="I42" s="14"/>
      <c r="J42" s="14"/>
    </row>
    <row r="43" spans="2:10" x14ac:dyDescent="0.2">
      <c r="B43" s="47" t="s">
        <v>424</v>
      </c>
      <c r="C43" s="23"/>
      <c r="D43" s="23"/>
      <c r="E43" s="24"/>
      <c r="F43" s="25"/>
      <c r="G43" s="25"/>
      <c r="H43" s="25"/>
    </row>
    <row r="44" spans="2:10" x14ac:dyDescent="0.2">
      <c r="B44" s="23" t="s">
        <v>436</v>
      </c>
      <c r="C44" s="23" t="s">
        <v>437</v>
      </c>
      <c r="D44" s="23" t="s">
        <v>427</v>
      </c>
      <c r="E44" s="28">
        <v>1000000</v>
      </c>
      <c r="F44" s="25">
        <v>1068.6600000000001</v>
      </c>
      <c r="G44" s="25">
        <v>3.3</v>
      </c>
      <c r="H44" s="25">
        <v>4.3899999999999997</v>
      </c>
    </row>
    <row r="45" spans="2:10" x14ac:dyDescent="0.2">
      <c r="B45" s="23" t="s">
        <v>432</v>
      </c>
      <c r="C45" s="23" t="s">
        <v>433</v>
      </c>
      <c r="D45" s="23" t="s">
        <v>427</v>
      </c>
      <c r="E45" s="28">
        <v>1000000</v>
      </c>
      <c r="F45" s="25">
        <v>1052.77</v>
      </c>
      <c r="G45" s="25">
        <v>3.25</v>
      </c>
      <c r="H45" s="25">
        <v>4.22</v>
      </c>
    </row>
    <row r="46" spans="2:10" x14ac:dyDescent="0.2">
      <c r="B46" s="23" t="s">
        <v>430</v>
      </c>
      <c r="C46" s="23" t="s">
        <v>431</v>
      </c>
      <c r="D46" s="23" t="s">
        <v>427</v>
      </c>
      <c r="E46" s="28">
        <v>1000000</v>
      </c>
      <c r="F46" s="25">
        <v>1044.6500000000001</v>
      </c>
      <c r="G46" s="25">
        <v>3.23</v>
      </c>
      <c r="H46" s="25">
        <v>4.9400000000000004</v>
      </c>
    </row>
    <row r="47" spans="2:10" x14ac:dyDescent="0.2">
      <c r="B47" s="23" t="s">
        <v>428</v>
      </c>
      <c r="C47" s="23" t="s">
        <v>429</v>
      </c>
      <c r="D47" s="23" t="s">
        <v>427</v>
      </c>
      <c r="E47" s="28">
        <v>500000</v>
      </c>
      <c r="F47" s="25">
        <v>540.98</v>
      </c>
      <c r="G47" s="25">
        <v>1.67</v>
      </c>
      <c r="H47" s="25">
        <v>5.98</v>
      </c>
    </row>
    <row r="48" spans="2:10" x14ac:dyDescent="0.2">
      <c r="B48" s="23" t="s">
        <v>724</v>
      </c>
      <c r="C48" s="23" t="s">
        <v>725</v>
      </c>
      <c r="D48" s="23" t="s">
        <v>427</v>
      </c>
      <c r="E48" s="28">
        <v>500000</v>
      </c>
      <c r="F48" s="25">
        <v>540.58000000000004</v>
      </c>
      <c r="G48" s="25">
        <v>1.67</v>
      </c>
      <c r="H48" s="25">
        <v>4.47</v>
      </c>
    </row>
    <row r="49" spans="2:10" x14ac:dyDescent="0.2">
      <c r="B49" s="23" t="s">
        <v>726</v>
      </c>
      <c r="C49" s="23" t="s">
        <v>727</v>
      </c>
      <c r="D49" s="23" t="s">
        <v>427</v>
      </c>
      <c r="E49" s="28">
        <v>500000</v>
      </c>
      <c r="F49" s="25">
        <v>527.79999999999995</v>
      </c>
      <c r="G49" s="25">
        <v>1.63</v>
      </c>
      <c r="H49" s="25">
        <v>3.85</v>
      </c>
    </row>
    <row r="50" spans="2:10" x14ac:dyDescent="0.2">
      <c r="B50" s="23" t="s">
        <v>728</v>
      </c>
      <c r="C50" s="23" t="s">
        <v>729</v>
      </c>
      <c r="D50" s="23" t="s">
        <v>427</v>
      </c>
      <c r="E50" s="28">
        <v>500000</v>
      </c>
      <c r="F50" s="25">
        <v>527.09</v>
      </c>
      <c r="G50" s="25">
        <v>1.63</v>
      </c>
      <c r="H50" s="25">
        <v>4.0199999999999996</v>
      </c>
    </row>
    <row r="51" spans="2:10" x14ac:dyDescent="0.2">
      <c r="B51" s="23" t="s">
        <v>730</v>
      </c>
      <c r="C51" s="23" t="s">
        <v>731</v>
      </c>
      <c r="D51" s="23" t="s">
        <v>427</v>
      </c>
      <c r="E51" s="28">
        <v>500000</v>
      </c>
      <c r="F51" s="25">
        <v>510.9</v>
      </c>
      <c r="G51" s="25">
        <v>1.58</v>
      </c>
      <c r="H51" s="25">
        <v>6.4</v>
      </c>
    </row>
    <row r="52" spans="2:10" x14ac:dyDescent="0.2">
      <c r="B52" s="23" t="s">
        <v>464</v>
      </c>
      <c r="C52" s="23" t="s">
        <v>465</v>
      </c>
      <c r="D52" s="23" t="s">
        <v>427</v>
      </c>
      <c r="E52" s="28">
        <v>500000</v>
      </c>
      <c r="F52" s="25">
        <v>504.61</v>
      </c>
      <c r="G52" s="25">
        <v>1.56</v>
      </c>
      <c r="H52" s="25">
        <v>6.41</v>
      </c>
    </row>
    <row r="53" spans="2:10" x14ac:dyDescent="0.2">
      <c r="B53" s="23" t="s">
        <v>484</v>
      </c>
      <c r="C53" s="23" t="s">
        <v>485</v>
      </c>
      <c r="D53" s="23" t="s">
        <v>427</v>
      </c>
      <c r="E53" s="28">
        <v>320000</v>
      </c>
      <c r="F53" s="25">
        <v>325.04000000000002</v>
      </c>
      <c r="G53" s="25">
        <v>1</v>
      </c>
      <c r="H53" s="25">
        <v>6.41</v>
      </c>
    </row>
    <row r="54" spans="2:10" x14ac:dyDescent="0.2">
      <c r="B54" s="52" t="s">
        <v>691</v>
      </c>
      <c r="C54" s="52" t="s">
        <v>692</v>
      </c>
      <c r="D54" s="52" t="s">
        <v>427</v>
      </c>
      <c r="E54" s="53">
        <v>48000</v>
      </c>
      <c r="F54" s="54">
        <v>50.66</v>
      </c>
      <c r="G54" s="54">
        <v>0.16</v>
      </c>
      <c r="H54" s="54">
        <v>4.7300000000000004</v>
      </c>
    </row>
    <row r="55" spans="2:10" x14ac:dyDescent="0.2">
      <c r="B55" s="55" t="s">
        <v>112</v>
      </c>
      <c r="C55" s="55"/>
      <c r="D55" s="55"/>
      <c r="E55" s="56"/>
      <c r="F55" s="57">
        <f>SUM(F44:F54)</f>
        <v>6693.74</v>
      </c>
      <c r="G55" s="57">
        <f>SUM(G44:G54)</f>
        <v>20.68</v>
      </c>
      <c r="H55" s="57"/>
      <c r="I55" s="14"/>
      <c r="J55" s="14"/>
    </row>
    <row r="56" spans="2:10" x14ac:dyDescent="0.2">
      <c r="B56" s="47" t="s">
        <v>113</v>
      </c>
      <c r="C56" s="23"/>
      <c r="D56" s="23"/>
      <c r="E56" s="24"/>
      <c r="F56" s="25"/>
      <c r="G56" s="25"/>
      <c r="H56" s="25"/>
    </row>
    <row r="57" spans="2:10" x14ac:dyDescent="0.2">
      <c r="B57" s="23" t="s">
        <v>113</v>
      </c>
      <c r="C57" s="23"/>
      <c r="D57" s="23"/>
      <c r="E57" s="24"/>
      <c r="F57" s="25">
        <v>1001.51</v>
      </c>
      <c r="G57" s="25">
        <v>3.09</v>
      </c>
      <c r="H57" s="25"/>
    </row>
    <row r="58" spans="2:10" x14ac:dyDescent="0.2">
      <c r="B58" s="30" t="s">
        <v>111</v>
      </c>
      <c r="C58" s="30"/>
      <c r="D58" s="30"/>
      <c r="E58" s="31"/>
      <c r="F58" s="32">
        <f>SUM(F56:F57)</f>
        <v>1001.51</v>
      </c>
      <c r="G58" s="32">
        <f>SUM(G56:G57)</f>
        <v>3.09</v>
      </c>
      <c r="H58" s="48"/>
      <c r="I58" s="14"/>
      <c r="J58" s="14"/>
    </row>
    <row r="59" spans="2:10" x14ac:dyDescent="0.2">
      <c r="B59" s="34" t="s">
        <v>112</v>
      </c>
      <c r="C59" s="34"/>
      <c r="D59" s="34"/>
      <c r="E59" s="35"/>
      <c r="F59" s="36">
        <f>F58</f>
        <v>1001.51</v>
      </c>
      <c r="G59" s="36">
        <f>G58</f>
        <v>3.09</v>
      </c>
      <c r="H59" s="36"/>
      <c r="I59" s="14"/>
      <c r="J59" s="14"/>
    </row>
    <row r="60" spans="2:10" x14ac:dyDescent="0.2">
      <c r="B60" s="44" t="s">
        <v>115</v>
      </c>
      <c r="C60" s="44"/>
      <c r="D60" s="44"/>
      <c r="E60" s="45"/>
      <c r="F60" s="16">
        <f>F61-(+F37+F42+F55+F59)</f>
        <v>524.31999999999971</v>
      </c>
      <c r="G60" s="16">
        <f>G61-(+G37+G42+G55+G59)</f>
        <v>1.6100000000000136</v>
      </c>
      <c r="H60" s="16"/>
      <c r="I60" s="14"/>
      <c r="J60" s="14"/>
    </row>
    <row r="61" spans="2:10" x14ac:dyDescent="0.2">
      <c r="B61" s="44" t="s">
        <v>114</v>
      </c>
      <c r="C61" s="44"/>
      <c r="D61" s="44"/>
      <c r="E61" s="45"/>
      <c r="F61" s="16">
        <v>32390.48</v>
      </c>
      <c r="G61" s="16">
        <v>100</v>
      </c>
      <c r="H61" s="16"/>
      <c r="I61" s="14"/>
      <c r="J61" s="14"/>
    </row>
    <row r="63" spans="2:10" x14ac:dyDescent="0.2">
      <c r="B63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6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27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119</v>
      </c>
      <c r="C7" s="23" t="s">
        <v>120</v>
      </c>
      <c r="D7" s="23" t="s">
        <v>87</v>
      </c>
      <c r="E7" s="28">
        <v>69540</v>
      </c>
      <c r="F7" s="25">
        <v>823.04</v>
      </c>
      <c r="G7" s="25">
        <v>1.39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37280</v>
      </c>
      <c r="F8" s="25">
        <v>765.92</v>
      </c>
      <c r="G8" s="25">
        <v>1.29</v>
      </c>
      <c r="H8" s="26"/>
    </row>
    <row r="9" spans="2:8" x14ac:dyDescent="0.2">
      <c r="B9" s="27" t="s">
        <v>116</v>
      </c>
      <c r="C9" s="23" t="s">
        <v>117</v>
      </c>
      <c r="D9" s="23" t="s">
        <v>118</v>
      </c>
      <c r="E9" s="28">
        <v>57360</v>
      </c>
      <c r="F9" s="25">
        <v>608.36</v>
      </c>
      <c r="G9" s="25">
        <v>1.03</v>
      </c>
      <c r="H9" s="26"/>
    </row>
    <row r="10" spans="2:8" x14ac:dyDescent="0.2">
      <c r="B10" s="27" t="s">
        <v>121</v>
      </c>
      <c r="C10" s="23" t="s">
        <v>122</v>
      </c>
      <c r="D10" s="23" t="s">
        <v>118</v>
      </c>
      <c r="E10" s="28">
        <v>21000</v>
      </c>
      <c r="F10" s="25">
        <v>559.62</v>
      </c>
      <c r="G10" s="25">
        <v>0.95</v>
      </c>
      <c r="H10" s="26"/>
    </row>
    <row r="11" spans="2:8" x14ac:dyDescent="0.2">
      <c r="B11" s="27" t="s">
        <v>85</v>
      </c>
      <c r="C11" s="23" t="s">
        <v>86</v>
      </c>
      <c r="D11" s="23" t="s">
        <v>87</v>
      </c>
      <c r="E11" s="28">
        <v>109000</v>
      </c>
      <c r="F11" s="25">
        <v>427.93</v>
      </c>
      <c r="G11" s="25">
        <v>0.72</v>
      </c>
      <c r="H11" s="26"/>
    </row>
    <row r="12" spans="2:8" x14ac:dyDescent="0.2">
      <c r="B12" s="27" t="s">
        <v>123</v>
      </c>
      <c r="C12" s="23" t="s">
        <v>124</v>
      </c>
      <c r="D12" s="23" t="s">
        <v>87</v>
      </c>
      <c r="E12" s="28">
        <v>27040</v>
      </c>
      <c r="F12" s="25">
        <v>418.42</v>
      </c>
      <c r="G12" s="25">
        <v>0.71</v>
      </c>
      <c r="H12" s="26"/>
    </row>
    <row r="13" spans="2:8" x14ac:dyDescent="0.2">
      <c r="B13" s="27" t="s">
        <v>125</v>
      </c>
      <c r="C13" s="23" t="s">
        <v>126</v>
      </c>
      <c r="D13" s="23" t="s">
        <v>127</v>
      </c>
      <c r="E13" s="28">
        <v>17860</v>
      </c>
      <c r="F13" s="25">
        <v>369.93</v>
      </c>
      <c r="G13" s="25">
        <v>0.63</v>
      </c>
      <c r="H13" s="26"/>
    </row>
    <row r="14" spans="2:8" x14ac:dyDescent="0.2">
      <c r="B14" s="27" t="s">
        <v>134</v>
      </c>
      <c r="C14" s="23" t="s">
        <v>135</v>
      </c>
      <c r="D14" s="23" t="s">
        <v>130</v>
      </c>
      <c r="E14" s="28">
        <v>18080</v>
      </c>
      <c r="F14" s="25">
        <v>347.78</v>
      </c>
      <c r="G14" s="25">
        <v>0.59</v>
      </c>
      <c r="H14" s="26"/>
    </row>
    <row r="15" spans="2:8" x14ac:dyDescent="0.2">
      <c r="B15" s="27" t="s">
        <v>169</v>
      </c>
      <c r="C15" s="23" t="s">
        <v>170</v>
      </c>
      <c r="D15" s="23" t="s">
        <v>133</v>
      </c>
      <c r="E15" s="28">
        <v>9000</v>
      </c>
      <c r="F15" s="25">
        <v>237.09</v>
      </c>
      <c r="G15" s="25">
        <v>0.4</v>
      </c>
      <c r="H15" s="26"/>
    </row>
    <row r="16" spans="2:8" x14ac:dyDescent="0.2">
      <c r="B16" s="27" t="s">
        <v>50</v>
      </c>
      <c r="C16" s="23" t="s">
        <v>51</v>
      </c>
      <c r="D16" s="23" t="s">
        <v>52</v>
      </c>
      <c r="E16" s="28">
        <v>27500</v>
      </c>
      <c r="F16" s="25">
        <v>218.1</v>
      </c>
      <c r="G16" s="25">
        <v>0.37</v>
      </c>
      <c r="H16" s="26"/>
    </row>
    <row r="17" spans="2:8" x14ac:dyDescent="0.2">
      <c r="B17" s="27" t="s">
        <v>136</v>
      </c>
      <c r="C17" s="23" t="s">
        <v>137</v>
      </c>
      <c r="D17" s="23" t="s">
        <v>138</v>
      </c>
      <c r="E17" s="28">
        <v>2966</v>
      </c>
      <c r="F17" s="25">
        <v>206.59</v>
      </c>
      <c r="G17" s="25">
        <v>0.35</v>
      </c>
      <c r="H17" s="26"/>
    </row>
    <row r="18" spans="2:8" x14ac:dyDescent="0.2">
      <c r="B18" s="27" t="s">
        <v>83</v>
      </c>
      <c r="C18" s="23" t="s">
        <v>84</v>
      </c>
      <c r="D18" s="23" t="s">
        <v>66</v>
      </c>
      <c r="E18" s="28">
        <v>88660</v>
      </c>
      <c r="F18" s="25">
        <v>204.76</v>
      </c>
      <c r="G18" s="25">
        <v>0.35</v>
      </c>
      <c r="H18" s="26"/>
    </row>
    <row r="19" spans="2:8" x14ac:dyDescent="0.2">
      <c r="B19" s="27" t="s">
        <v>139</v>
      </c>
      <c r="C19" s="23" t="s">
        <v>140</v>
      </c>
      <c r="D19" s="23" t="s">
        <v>87</v>
      </c>
      <c r="E19" s="28">
        <v>41500</v>
      </c>
      <c r="F19" s="25">
        <v>204.39</v>
      </c>
      <c r="G19" s="25">
        <v>0.35</v>
      </c>
      <c r="H19" s="26"/>
    </row>
    <row r="20" spans="2:8" x14ac:dyDescent="0.2">
      <c r="B20" s="27" t="s">
        <v>77</v>
      </c>
      <c r="C20" s="23" t="s">
        <v>78</v>
      </c>
      <c r="D20" s="23" t="s">
        <v>44</v>
      </c>
      <c r="E20" s="28">
        <v>800</v>
      </c>
      <c r="F20" s="25">
        <v>173.56</v>
      </c>
      <c r="G20" s="25">
        <v>0.28999999999999998</v>
      </c>
      <c r="H20" s="26"/>
    </row>
    <row r="21" spans="2:8" x14ac:dyDescent="0.2">
      <c r="B21" s="27" t="s">
        <v>252</v>
      </c>
      <c r="C21" s="23" t="s">
        <v>253</v>
      </c>
      <c r="D21" s="23" t="s">
        <v>127</v>
      </c>
      <c r="E21" s="28">
        <v>32500</v>
      </c>
      <c r="F21" s="25">
        <v>167.26</v>
      </c>
      <c r="G21" s="25">
        <v>0.28000000000000003</v>
      </c>
      <c r="H21" s="26"/>
    </row>
    <row r="22" spans="2:8" x14ac:dyDescent="0.2">
      <c r="B22" s="27" t="s">
        <v>58</v>
      </c>
      <c r="C22" s="23" t="s">
        <v>59</v>
      </c>
      <c r="D22" s="23" t="s">
        <v>60</v>
      </c>
      <c r="E22" s="28">
        <v>23580</v>
      </c>
      <c r="F22" s="25">
        <v>166.37</v>
      </c>
      <c r="G22" s="25">
        <v>0.28000000000000003</v>
      </c>
      <c r="H22" s="26"/>
    </row>
    <row r="23" spans="2:8" x14ac:dyDescent="0.2">
      <c r="B23" s="27" t="s">
        <v>33</v>
      </c>
      <c r="C23" s="23" t="s">
        <v>34</v>
      </c>
      <c r="D23" s="23" t="s">
        <v>35</v>
      </c>
      <c r="E23" s="28">
        <v>17180</v>
      </c>
      <c r="F23" s="25">
        <v>159.69</v>
      </c>
      <c r="G23" s="25">
        <v>0.27</v>
      </c>
      <c r="H23" s="26"/>
    </row>
    <row r="24" spans="2:8" x14ac:dyDescent="0.2">
      <c r="B24" s="27" t="s">
        <v>100</v>
      </c>
      <c r="C24" s="23" t="s">
        <v>101</v>
      </c>
      <c r="D24" s="23" t="s">
        <v>102</v>
      </c>
      <c r="E24" s="28">
        <v>36600</v>
      </c>
      <c r="F24" s="25">
        <v>158.75</v>
      </c>
      <c r="G24" s="25">
        <v>0.27</v>
      </c>
      <c r="H24" s="26"/>
    </row>
    <row r="25" spans="2:8" x14ac:dyDescent="0.2">
      <c r="B25" s="27" t="s">
        <v>306</v>
      </c>
      <c r="C25" s="23" t="s">
        <v>307</v>
      </c>
      <c r="D25" s="23" t="s">
        <v>227</v>
      </c>
      <c r="E25" s="28">
        <v>8067</v>
      </c>
      <c r="F25" s="25">
        <v>155.83000000000001</v>
      </c>
      <c r="G25" s="25">
        <v>0.26</v>
      </c>
      <c r="H25" s="26"/>
    </row>
    <row r="26" spans="2:8" x14ac:dyDescent="0.2">
      <c r="B26" s="27" t="s">
        <v>128</v>
      </c>
      <c r="C26" s="23" t="s">
        <v>129</v>
      </c>
      <c r="D26" s="23" t="s">
        <v>130</v>
      </c>
      <c r="E26" s="28">
        <v>4500</v>
      </c>
      <c r="F26" s="25">
        <v>148.91</v>
      </c>
      <c r="G26" s="25">
        <v>0.25</v>
      </c>
      <c r="H26" s="26"/>
    </row>
    <row r="27" spans="2:8" x14ac:dyDescent="0.2">
      <c r="B27" s="27" t="s">
        <v>158</v>
      </c>
      <c r="C27" s="23" t="s">
        <v>159</v>
      </c>
      <c r="D27" s="23" t="s">
        <v>127</v>
      </c>
      <c r="E27" s="28">
        <v>3750</v>
      </c>
      <c r="F27" s="25">
        <v>130.25</v>
      </c>
      <c r="G27" s="25">
        <v>0.22</v>
      </c>
      <c r="H27" s="26"/>
    </row>
    <row r="28" spans="2:8" x14ac:dyDescent="0.2">
      <c r="B28" s="27" t="s">
        <v>174</v>
      </c>
      <c r="C28" s="23" t="s">
        <v>175</v>
      </c>
      <c r="D28" s="23" t="s">
        <v>173</v>
      </c>
      <c r="E28" s="28">
        <v>2000</v>
      </c>
      <c r="F28" s="25">
        <v>120.17</v>
      </c>
      <c r="G28" s="25">
        <v>0.2</v>
      </c>
      <c r="H28" s="26"/>
    </row>
    <row r="29" spans="2:8" x14ac:dyDescent="0.2">
      <c r="B29" s="27" t="s">
        <v>285</v>
      </c>
      <c r="C29" s="23" t="s">
        <v>286</v>
      </c>
      <c r="D29" s="23" t="s">
        <v>127</v>
      </c>
      <c r="E29" s="28">
        <v>72000</v>
      </c>
      <c r="F29" s="25">
        <v>118.98</v>
      </c>
      <c r="G29" s="25">
        <v>0.2</v>
      </c>
      <c r="H29" s="26"/>
    </row>
    <row r="30" spans="2:8" x14ac:dyDescent="0.2">
      <c r="B30" s="27" t="s">
        <v>146</v>
      </c>
      <c r="C30" s="23" t="s">
        <v>147</v>
      </c>
      <c r="D30" s="23" t="s">
        <v>138</v>
      </c>
      <c r="E30" s="28">
        <v>20000</v>
      </c>
      <c r="F30" s="25">
        <v>118.8</v>
      </c>
      <c r="G30" s="25">
        <v>0.2</v>
      </c>
      <c r="H30" s="26"/>
    </row>
    <row r="31" spans="2:8" x14ac:dyDescent="0.2">
      <c r="B31" s="27" t="s">
        <v>181</v>
      </c>
      <c r="C31" s="23" t="s">
        <v>182</v>
      </c>
      <c r="D31" s="23" t="s">
        <v>118</v>
      </c>
      <c r="E31" s="28">
        <v>8500</v>
      </c>
      <c r="F31" s="25">
        <v>112.85</v>
      </c>
      <c r="G31" s="25">
        <v>0.19</v>
      </c>
      <c r="H31" s="26"/>
    </row>
    <row r="32" spans="2:8" x14ac:dyDescent="0.2">
      <c r="B32" s="27" t="s">
        <v>228</v>
      </c>
      <c r="C32" s="23" t="s">
        <v>229</v>
      </c>
      <c r="D32" s="23" t="s">
        <v>133</v>
      </c>
      <c r="E32" s="28">
        <v>2200</v>
      </c>
      <c r="F32" s="25">
        <v>107.55</v>
      </c>
      <c r="G32" s="25">
        <v>0.18</v>
      </c>
      <c r="H32" s="26"/>
    </row>
    <row r="33" spans="2:10" x14ac:dyDescent="0.2">
      <c r="B33" s="27" t="s">
        <v>92</v>
      </c>
      <c r="C33" s="23" t="s">
        <v>93</v>
      </c>
      <c r="D33" s="23" t="s">
        <v>44</v>
      </c>
      <c r="E33" s="28">
        <v>2300</v>
      </c>
      <c r="F33" s="25">
        <v>105.2</v>
      </c>
      <c r="G33" s="25">
        <v>0.18</v>
      </c>
      <c r="H33" s="26"/>
    </row>
    <row r="34" spans="2:10" x14ac:dyDescent="0.2">
      <c r="B34" s="27" t="s">
        <v>67</v>
      </c>
      <c r="C34" s="23" t="s">
        <v>68</v>
      </c>
      <c r="D34" s="23" t="s">
        <v>66</v>
      </c>
      <c r="E34" s="28">
        <v>26000</v>
      </c>
      <c r="F34" s="25">
        <v>104.59</v>
      </c>
      <c r="G34" s="25">
        <v>0.18</v>
      </c>
      <c r="H34" s="26"/>
    </row>
    <row r="35" spans="2:10" x14ac:dyDescent="0.2">
      <c r="B35" s="27" t="s">
        <v>279</v>
      </c>
      <c r="C35" s="23" t="s">
        <v>280</v>
      </c>
      <c r="D35" s="23" t="s">
        <v>127</v>
      </c>
      <c r="E35" s="28">
        <v>18000</v>
      </c>
      <c r="F35" s="25">
        <v>92.06</v>
      </c>
      <c r="G35" s="25">
        <v>0.16</v>
      </c>
      <c r="H35" s="26"/>
    </row>
    <row r="36" spans="2:10" x14ac:dyDescent="0.2">
      <c r="B36" s="27" t="s">
        <v>207</v>
      </c>
      <c r="C36" s="23" t="s">
        <v>208</v>
      </c>
      <c r="D36" s="23" t="s">
        <v>63</v>
      </c>
      <c r="E36" s="28">
        <v>20000</v>
      </c>
      <c r="F36" s="25">
        <v>90.26</v>
      </c>
      <c r="G36" s="25">
        <v>0.15</v>
      </c>
      <c r="H36" s="26"/>
    </row>
    <row r="37" spans="2:10" x14ac:dyDescent="0.2">
      <c r="B37" s="27" t="s">
        <v>183</v>
      </c>
      <c r="C37" s="23" t="s">
        <v>184</v>
      </c>
      <c r="D37" s="23" t="s">
        <v>60</v>
      </c>
      <c r="E37" s="28">
        <v>4100</v>
      </c>
      <c r="F37" s="25">
        <v>86.94</v>
      </c>
      <c r="G37" s="25">
        <v>0.15</v>
      </c>
      <c r="H37" s="26"/>
    </row>
    <row r="38" spans="2:10" x14ac:dyDescent="0.2">
      <c r="B38" s="27" t="s">
        <v>141</v>
      </c>
      <c r="C38" s="23" t="s">
        <v>142</v>
      </c>
      <c r="D38" s="23" t="s">
        <v>118</v>
      </c>
      <c r="E38" s="28">
        <v>10000</v>
      </c>
      <c r="F38" s="25">
        <v>84.2</v>
      </c>
      <c r="G38" s="25">
        <v>0.14000000000000001</v>
      </c>
      <c r="H38" s="26"/>
    </row>
    <row r="39" spans="2:10" x14ac:dyDescent="0.2">
      <c r="B39" s="27" t="s">
        <v>250</v>
      </c>
      <c r="C39" s="23" t="s">
        <v>251</v>
      </c>
      <c r="D39" s="23" t="s">
        <v>127</v>
      </c>
      <c r="E39" s="28">
        <v>15000</v>
      </c>
      <c r="F39" s="25">
        <v>73.930000000000007</v>
      </c>
      <c r="G39" s="25">
        <v>0.12</v>
      </c>
      <c r="H39" s="26"/>
    </row>
    <row r="40" spans="2:10" x14ac:dyDescent="0.2">
      <c r="B40" s="27" t="s">
        <v>254</v>
      </c>
      <c r="C40" s="23" t="s">
        <v>255</v>
      </c>
      <c r="D40" s="23" t="s">
        <v>227</v>
      </c>
      <c r="E40" s="28">
        <v>3300</v>
      </c>
      <c r="F40" s="25">
        <v>73.92</v>
      </c>
      <c r="G40" s="25">
        <v>0.12</v>
      </c>
      <c r="H40" s="26"/>
    </row>
    <row r="41" spans="2:10" x14ac:dyDescent="0.2">
      <c r="B41" s="27" t="s">
        <v>154</v>
      </c>
      <c r="C41" s="23" t="s">
        <v>155</v>
      </c>
      <c r="D41" s="23" t="s">
        <v>60</v>
      </c>
      <c r="E41" s="28">
        <v>4760</v>
      </c>
      <c r="F41" s="25">
        <v>55.49</v>
      </c>
      <c r="G41" s="25">
        <v>0.09</v>
      </c>
      <c r="H41" s="26"/>
    </row>
    <row r="42" spans="2:10" x14ac:dyDescent="0.2">
      <c r="B42" s="27" t="s">
        <v>732</v>
      </c>
      <c r="C42" s="23" t="s">
        <v>733</v>
      </c>
      <c r="D42" s="23" t="s">
        <v>60</v>
      </c>
      <c r="E42" s="28">
        <v>7200</v>
      </c>
      <c r="F42" s="25">
        <v>52.41</v>
      </c>
      <c r="G42" s="25">
        <v>0.09</v>
      </c>
      <c r="H42" s="26"/>
    </row>
    <row r="43" spans="2:10" x14ac:dyDescent="0.2">
      <c r="B43" s="27" t="s">
        <v>103</v>
      </c>
      <c r="C43" s="23" t="s">
        <v>104</v>
      </c>
      <c r="D43" s="23" t="s">
        <v>63</v>
      </c>
      <c r="E43" s="28">
        <v>10000</v>
      </c>
      <c r="F43" s="25">
        <v>45.29</v>
      </c>
      <c r="G43" s="25">
        <v>0.08</v>
      </c>
      <c r="H43" s="26"/>
    </row>
    <row r="44" spans="2:10" x14ac:dyDescent="0.2">
      <c r="B44" s="27" t="s">
        <v>45</v>
      </c>
      <c r="C44" s="23" t="s">
        <v>46</v>
      </c>
      <c r="D44" s="23" t="s">
        <v>47</v>
      </c>
      <c r="E44" s="28">
        <v>150</v>
      </c>
      <c r="F44" s="25">
        <v>42.68</v>
      </c>
      <c r="G44" s="25">
        <v>7.0000000000000007E-2</v>
      </c>
      <c r="H44" s="26"/>
    </row>
    <row r="45" spans="2:10" x14ac:dyDescent="0.2">
      <c r="B45" s="29" t="s">
        <v>111</v>
      </c>
      <c r="C45" s="30"/>
      <c r="D45" s="30"/>
      <c r="E45" s="31"/>
      <c r="F45" s="32">
        <f>SUM(F7:F44)</f>
        <v>8137.8700000000017</v>
      </c>
      <c r="G45" s="32">
        <f>SUM(G7:G44)</f>
        <v>13.749999999999993</v>
      </c>
      <c r="H45" s="33"/>
      <c r="I45" s="14"/>
      <c r="J45" s="14"/>
    </row>
    <row r="46" spans="2:10" x14ac:dyDescent="0.2">
      <c r="B46" s="37" t="s">
        <v>112</v>
      </c>
      <c r="C46" s="37"/>
      <c r="D46" s="37"/>
      <c r="E46" s="38"/>
      <c r="F46" s="39">
        <f>F45</f>
        <v>8137.8700000000017</v>
      </c>
      <c r="G46" s="39">
        <f>G45</f>
        <v>13.749999999999993</v>
      </c>
      <c r="H46" s="15"/>
      <c r="I46" s="14"/>
      <c r="J46" s="14"/>
    </row>
    <row r="47" spans="2:10" x14ac:dyDescent="0.2">
      <c r="B47" s="46" t="s">
        <v>345</v>
      </c>
      <c r="C47" s="41"/>
      <c r="D47" s="41"/>
      <c r="E47" s="42"/>
      <c r="F47" s="43"/>
      <c r="G47" s="43"/>
      <c r="H47" s="43"/>
    </row>
    <row r="48" spans="2:10" x14ac:dyDescent="0.2">
      <c r="B48" s="47" t="s">
        <v>32</v>
      </c>
      <c r="C48" s="23"/>
      <c r="D48" s="23"/>
      <c r="E48" s="24"/>
      <c r="F48" s="25"/>
      <c r="G48" s="25"/>
      <c r="H48" s="25"/>
    </row>
    <row r="49" spans="2:10" x14ac:dyDescent="0.2">
      <c r="B49" s="23" t="s">
        <v>734</v>
      </c>
      <c r="C49" s="23" t="s">
        <v>735</v>
      </c>
      <c r="D49" s="23" t="s">
        <v>348</v>
      </c>
      <c r="E49" s="28">
        <v>485</v>
      </c>
      <c r="F49" s="25">
        <v>6111.05</v>
      </c>
      <c r="G49" s="25">
        <v>10.33</v>
      </c>
      <c r="H49" s="25">
        <v>3.58</v>
      </c>
    </row>
    <row r="50" spans="2:10" x14ac:dyDescent="0.2">
      <c r="B50" s="23" t="s">
        <v>736</v>
      </c>
      <c r="C50" s="23" t="s">
        <v>737</v>
      </c>
      <c r="D50" s="23" t="s">
        <v>348</v>
      </c>
      <c r="E50" s="28">
        <v>480</v>
      </c>
      <c r="F50" s="25">
        <v>6012.42</v>
      </c>
      <c r="G50" s="25">
        <v>10.16</v>
      </c>
      <c r="H50" s="25">
        <v>3.68</v>
      </c>
    </row>
    <row r="51" spans="2:10" x14ac:dyDescent="0.2">
      <c r="B51" s="23" t="s">
        <v>738</v>
      </c>
      <c r="C51" s="23" t="s">
        <v>739</v>
      </c>
      <c r="D51" s="23" t="s">
        <v>348</v>
      </c>
      <c r="E51" s="28">
        <v>500</v>
      </c>
      <c r="F51" s="25">
        <v>5075.6400000000003</v>
      </c>
      <c r="G51" s="25">
        <v>8.58</v>
      </c>
      <c r="H51" s="25">
        <v>3.5</v>
      </c>
    </row>
    <row r="52" spans="2:10" x14ac:dyDescent="0.2">
      <c r="B52" s="23" t="s">
        <v>403</v>
      </c>
      <c r="C52" s="23" t="s">
        <v>404</v>
      </c>
      <c r="D52" s="23" t="s">
        <v>348</v>
      </c>
      <c r="E52" s="28">
        <v>450</v>
      </c>
      <c r="F52" s="25">
        <v>4566.42</v>
      </c>
      <c r="G52" s="25">
        <v>7.72</v>
      </c>
      <c r="H52" s="25">
        <v>3.49</v>
      </c>
    </row>
    <row r="53" spans="2:10" x14ac:dyDescent="0.2">
      <c r="B53" s="23" t="s">
        <v>740</v>
      </c>
      <c r="C53" s="23" t="s">
        <v>741</v>
      </c>
      <c r="D53" s="23" t="s">
        <v>348</v>
      </c>
      <c r="E53" s="28">
        <v>400</v>
      </c>
      <c r="F53" s="25">
        <v>4059.07</v>
      </c>
      <c r="G53" s="25">
        <v>6.86</v>
      </c>
      <c r="H53" s="25">
        <v>3.41</v>
      </c>
    </row>
    <row r="54" spans="2:10" x14ac:dyDescent="0.2">
      <c r="B54" s="23" t="s">
        <v>742</v>
      </c>
      <c r="C54" s="23" t="s">
        <v>743</v>
      </c>
      <c r="D54" s="23" t="s">
        <v>707</v>
      </c>
      <c r="E54" s="28">
        <v>250</v>
      </c>
      <c r="F54" s="25">
        <v>3119.13</v>
      </c>
      <c r="G54" s="25">
        <v>5.27</v>
      </c>
      <c r="H54" s="25">
        <v>4.01</v>
      </c>
    </row>
    <row r="55" spans="2:10" x14ac:dyDescent="0.2">
      <c r="B55" s="23" t="s">
        <v>744</v>
      </c>
      <c r="C55" s="23" t="s">
        <v>745</v>
      </c>
      <c r="D55" s="23" t="s">
        <v>348</v>
      </c>
      <c r="E55" s="28">
        <v>250</v>
      </c>
      <c r="F55" s="25">
        <v>2537.35</v>
      </c>
      <c r="G55" s="25">
        <v>4.29</v>
      </c>
      <c r="H55" s="25">
        <v>3.39</v>
      </c>
    </row>
    <row r="56" spans="2:10" x14ac:dyDescent="0.2">
      <c r="B56" s="23" t="s">
        <v>746</v>
      </c>
      <c r="C56" s="23" t="s">
        <v>747</v>
      </c>
      <c r="D56" s="23" t="s">
        <v>348</v>
      </c>
      <c r="E56" s="28">
        <v>250</v>
      </c>
      <c r="F56" s="25">
        <v>2534.96</v>
      </c>
      <c r="G56" s="25">
        <v>4.28</v>
      </c>
      <c r="H56" s="25">
        <v>3.6</v>
      </c>
    </row>
    <row r="57" spans="2:10" x14ac:dyDescent="0.2">
      <c r="B57" s="23" t="s">
        <v>748</v>
      </c>
      <c r="C57" s="23" t="s">
        <v>749</v>
      </c>
      <c r="D57" s="23" t="s">
        <v>348</v>
      </c>
      <c r="E57" s="28">
        <v>15</v>
      </c>
      <c r="F57" s="25">
        <v>1525.16</v>
      </c>
      <c r="G57" s="25">
        <v>2.58</v>
      </c>
      <c r="H57" s="25">
        <v>3.55</v>
      </c>
    </row>
    <row r="58" spans="2:10" x14ac:dyDescent="0.2">
      <c r="B58" s="23" t="s">
        <v>750</v>
      </c>
      <c r="C58" s="23" t="s">
        <v>751</v>
      </c>
      <c r="D58" s="23" t="s">
        <v>348</v>
      </c>
      <c r="E58" s="28">
        <v>150</v>
      </c>
      <c r="F58" s="25">
        <v>1515.21</v>
      </c>
      <c r="G58" s="25">
        <v>2.56</v>
      </c>
      <c r="H58" s="25">
        <v>3.47</v>
      </c>
    </row>
    <row r="59" spans="2:10" x14ac:dyDescent="0.2">
      <c r="B59" s="23" t="s">
        <v>752</v>
      </c>
      <c r="C59" s="23" t="s">
        <v>753</v>
      </c>
      <c r="D59" s="23" t="s">
        <v>348</v>
      </c>
      <c r="E59" s="28">
        <v>80</v>
      </c>
      <c r="F59" s="25">
        <v>1002.12</v>
      </c>
      <c r="G59" s="25">
        <v>1.69</v>
      </c>
      <c r="H59" s="25">
        <v>3.53</v>
      </c>
    </row>
    <row r="60" spans="2:10" x14ac:dyDescent="0.2">
      <c r="B60" s="23" t="s">
        <v>754</v>
      </c>
      <c r="C60" s="23" t="s">
        <v>755</v>
      </c>
      <c r="D60" s="23" t="s">
        <v>348</v>
      </c>
      <c r="E60" s="28">
        <v>50</v>
      </c>
      <c r="F60" s="25">
        <v>508.23</v>
      </c>
      <c r="G60" s="25">
        <v>0.86</v>
      </c>
      <c r="H60" s="25">
        <v>3.62</v>
      </c>
    </row>
    <row r="61" spans="2:10" x14ac:dyDescent="0.2">
      <c r="B61" s="30" t="s">
        <v>111</v>
      </c>
      <c r="C61" s="30"/>
      <c r="D61" s="30"/>
      <c r="E61" s="31"/>
      <c r="F61" s="32">
        <f>SUM(F48:F60)</f>
        <v>38566.760000000009</v>
      </c>
      <c r="G61" s="32">
        <f>SUM(G48:G60)</f>
        <v>65.180000000000007</v>
      </c>
      <c r="H61" s="48"/>
      <c r="I61" s="14"/>
      <c r="J61" s="14"/>
    </row>
    <row r="62" spans="2:10" x14ac:dyDescent="0.2">
      <c r="B62" s="49" t="s">
        <v>112</v>
      </c>
      <c r="C62" s="49"/>
      <c r="D62" s="49"/>
      <c r="E62" s="50"/>
      <c r="F62" s="51">
        <f>F61</f>
        <v>38566.760000000009</v>
      </c>
      <c r="G62" s="51">
        <f>G61</f>
        <v>65.180000000000007</v>
      </c>
      <c r="H62" s="51"/>
      <c r="I62" s="14"/>
      <c r="J62" s="14"/>
    </row>
    <row r="63" spans="2:10" x14ac:dyDescent="0.2">
      <c r="B63" s="47" t="s">
        <v>424</v>
      </c>
      <c r="C63" s="23"/>
      <c r="D63" s="23"/>
      <c r="E63" s="24"/>
      <c r="F63" s="25"/>
      <c r="G63" s="25"/>
      <c r="H63" s="25"/>
    </row>
    <row r="64" spans="2:10" x14ac:dyDescent="0.2">
      <c r="B64" s="23" t="s">
        <v>756</v>
      </c>
      <c r="C64" s="23" t="s">
        <v>757</v>
      </c>
      <c r="D64" s="23" t="s">
        <v>427</v>
      </c>
      <c r="E64" s="28">
        <v>2575000</v>
      </c>
      <c r="F64" s="25">
        <v>2619.87</v>
      </c>
      <c r="G64" s="25">
        <v>4.43</v>
      </c>
      <c r="H64" s="25">
        <v>3.62</v>
      </c>
    </row>
    <row r="65" spans="2:10" x14ac:dyDescent="0.2">
      <c r="B65" s="23" t="s">
        <v>758</v>
      </c>
      <c r="C65" s="23" t="s">
        <v>759</v>
      </c>
      <c r="D65" s="23" t="s">
        <v>427</v>
      </c>
      <c r="E65" s="28">
        <v>2500000</v>
      </c>
      <c r="F65" s="25">
        <v>2548.58</v>
      </c>
      <c r="G65" s="25">
        <v>4.3099999999999996</v>
      </c>
      <c r="H65" s="25">
        <v>3.61</v>
      </c>
    </row>
    <row r="66" spans="2:10" x14ac:dyDescent="0.2">
      <c r="B66" s="23" t="s">
        <v>697</v>
      </c>
      <c r="C66" s="23" t="s">
        <v>698</v>
      </c>
      <c r="D66" s="23" t="s">
        <v>427</v>
      </c>
      <c r="E66" s="28">
        <v>1703000</v>
      </c>
      <c r="F66" s="25">
        <v>1734.62</v>
      </c>
      <c r="G66" s="25">
        <v>2.93</v>
      </c>
      <c r="H66" s="25">
        <v>3.64</v>
      </c>
    </row>
    <row r="67" spans="2:10" x14ac:dyDescent="0.2">
      <c r="B67" s="52" t="s">
        <v>760</v>
      </c>
      <c r="C67" s="52" t="s">
        <v>761</v>
      </c>
      <c r="D67" s="52" t="s">
        <v>427</v>
      </c>
      <c r="E67" s="53">
        <v>1500000</v>
      </c>
      <c r="F67" s="54">
        <v>1528.01</v>
      </c>
      <c r="G67" s="54">
        <v>2.58</v>
      </c>
      <c r="H67" s="54">
        <v>3.61</v>
      </c>
    </row>
    <row r="68" spans="2:10" x14ac:dyDescent="0.2">
      <c r="B68" s="55" t="s">
        <v>112</v>
      </c>
      <c r="C68" s="55"/>
      <c r="D68" s="55"/>
      <c r="E68" s="56"/>
      <c r="F68" s="57">
        <f>SUM(F64:F67)</f>
        <v>8431.08</v>
      </c>
      <c r="G68" s="57">
        <f>SUM(G64:G67)</f>
        <v>14.249999999999998</v>
      </c>
      <c r="H68" s="57"/>
      <c r="I68" s="14"/>
      <c r="J68" s="14"/>
    </row>
    <row r="69" spans="2:10" x14ac:dyDescent="0.2">
      <c r="B69" s="47" t="s">
        <v>113</v>
      </c>
      <c r="C69" s="23"/>
      <c r="D69" s="23"/>
      <c r="E69" s="24"/>
      <c r="F69" s="25"/>
      <c r="G69" s="25"/>
      <c r="H69" s="25"/>
    </row>
    <row r="70" spans="2:10" x14ac:dyDescent="0.2">
      <c r="B70" s="23" t="s">
        <v>113</v>
      </c>
      <c r="C70" s="23"/>
      <c r="D70" s="23"/>
      <c r="E70" s="24"/>
      <c r="F70" s="25">
        <v>3037.39</v>
      </c>
      <c r="G70" s="25">
        <v>5.13</v>
      </c>
      <c r="H70" s="25"/>
    </row>
    <row r="71" spans="2:10" x14ac:dyDescent="0.2">
      <c r="B71" s="30" t="s">
        <v>111</v>
      </c>
      <c r="C71" s="30"/>
      <c r="D71" s="30"/>
      <c r="E71" s="31"/>
      <c r="F71" s="32">
        <f>SUM(F69:F70)</f>
        <v>3037.39</v>
      </c>
      <c r="G71" s="32">
        <f>SUM(G69:G70)</f>
        <v>5.13</v>
      </c>
      <c r="H71" s="48"/>
      <c r="I71" s="14"/>
      <c r="J71" s="14"/>
    </row>
    <row r="72" spans="2:10" x14ac:dyDescent="0.2">
      <c r="B72" s="34" t="s">
        <v>112</v>
      </c>
      <c r="C72" s="34"/>
      <c r="D72" s="34"/>
      <c r="E72" s="35"/>
      <c r="F72" s="36">
        <f>F71</f>
        <v>3037.39</v>
      </c>
      <c r="G72" s="36">
        <f>G71</f>
        <v>5.13</v>
      </c>
      <c r="H72" s="36"/>
      <c r="I72" s="14"/>
      <c r="J72" s="14"/>
    </row>
    <row r="73" spans="2:10" x14ac:dyDescent="0.2">
      <c r="B73" s="44" t="s">
        <v>115</v>
      </c>
      <c r="C73" s="44"/>
      <c r="D73" s="44"/>
      <c r="E73" s="45"/>
      <c r="F73" s="16">
        <f>F74-(+F46+F62+F68+F72)</f>
        <v>1003.1499999999869</v>
      </c>
      <c r="G73" s="16">
        <f>G74-(+G46+G62+G68+G72)</f>
        <v>1.6899999999999977</v>
      </c>
      <c r="H73" s="16"/>
      <c r="I73" s="14"/>
      <c r="J73" s="14"/>
    </row>
    <row r="74" spans="2:10" x14ac:dyDescent="0.2">
      <c r="B74" s="44" t="s">
        <v>114</v>
      </c>
      <c r="C74" s="44"/>
      <c r="D74" s="44"/>
      <c r="E74" s="45"/>
      <c r="F74" s="16">
        <v>59176.25</v>
      </c>
      <c r="G74" s="16">
        <v>100</v>
      </c>
      <c r="H74" s="16"/>
      <c r="I74" s="14"/>
      <c r="J74" s="14"/>
    </row>
    <row r="76" spans="2:10" x14ac:dyDescent="0.2">
      <c r="B76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3"/>
  <sheetViews>
    <sheetView workbookViewId="0">
      <selection activeCell="B1" sqref="B1:H1"/>
    </sheetView>
  </sheetViews>
  <sheetFormatPr defaultRowHeight="12" x14ac:dyDescent="0.2"/>
  <cols>
    <col min="1" max="1" width="9.140625" style="1"/>
    <col min="2" max="2" width="58.28515625" style="1" bestFit="1" customWidth="1"/>
    <col min="3" max="3" width="13.710937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28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116</v>
      </c>
      <c r="C7" s="23" t="s">
        <v>117</v>
      </c>
      <c r="D7" s="23" t="s">
        <v>118</v>
      </c>
      <c r="E7" s="28">
        <v>100000</v>
      </c>
      <c r="F7" s="25">
        <v>1060.5999999999999</v>
      </c>
      <c r="G7" s="25">
        <v>2.42</v>
      </c>
      <c r="H7" s="26"/>
    </row>
    <row r="8" spans="2:8" x14ac:dyDescent="0.2">
      <c r="B8" s="27" t="s">
        <v>36</v>
      </c>
      <c r="C8" s="23" t="s">
        <v>37</v>
      </c>
      <c r="D8" s="23" t="s">
        <v>38</v>
      </c>
      <c r="E8" s="28">
        <v>51030</v>
      </c>
      <c r="F8" s="25">
        <v>1048.4100000000001</v>
      </c>
      <c r="G8" s="25">
        <v>2.39</v>
      </c>
      <c r="H8" s="26"/>
    </row>
    <row r="9" spans="2:8" x14ac:dyDescent="0.2">
      <c r="B9" s="27" t="s">
        <v>119</v>
      </c>
      <c r="C9" s="23" t="s">
        <v>120</v>
      </c>
      <c r="D9" s="23" t="s">
        <v>87</v>
      </c>
      <c r="E9" s="28">
        <v>74220</v>
      </c>
      <c r="F9" s="25">
        <v>878.43</v>
      </c>
      <c r="G9" s="25">
        <v>2</v>
      </c>
      <c r="H9" s="26"/>
    </row>
    <row r="10" spans="2:8" x14ac:dyDescent="0.2">
      <c r="B10" s="27" t="s">
        <v>85</v>
      </c>
      <c r="C10" s="23" t="s">
        <v>86</v>
      </c>
      <c r="D10" s="23" t="s">
        <v>87</v>
      </c>
      <c r="E10" s="28">
        <v>167300</v>
      </c>
      <c r="F10" s="25">
        <v>656.82</v>
      </c>
      <c r="G10" s="25">
        <v>1.5</v>
      </c>
      <c r="H10" s="26"/>
    </row>
    <row r="11" spans="2:8" x14ac:dyDescent="0.2">
      <c r="B11" s="27" t="s">
        <v>139</v>
      </c>
      <c r="C11" s="23" t="s">
        <v>140</v>
      </c>
      <c r="D11" s="23" t="s">
        <v>87</v>
      </c>
      <c r="E11" s="28">
        <v>126600</v>
      </c>
      <c r="F11" s="25">
        <v>623.51</v>
      </c>
      <c r="G11" s="25">
        <v>1.42</v>
      </c>
      <c r="H11" s="26"/>
    </row>
    <row r="12" spans="2:8" x14ac:dyDescent="0.2">
      <c r="B12" s="27" t="s">
        <v>125</v>
      </c>
      <c r="C12" s="23" t="s">
        <v>126</v>
      </c>
      <c r="D12" s="23" t="s">
        <v>127</v>
      </c>
      <c r="E12" s="28">
        <v>29525</v>
      </c>
      <c r="F12" s="25">
        <v>611.54999999999995</v>
      </c>
      <c r="G12" s="25">
        <v>1.4</v>
      </c>
      <c r="H12" s="26"/>
    </row>
    <row r="13" spans="2:8" x14ac:dyDescent="0.2">
      <c r="B13" s="27" t="s">
        <v>228</v>
      </c>
      <c r="C13" s="23" t="s">
        <v>229</v>
      </c>
      <c r="D13" s="23" t="s">
        <v>133</v>
      </c>
      <c r="E13" s="28">
        <v>10000</v>
      </c>
      <c r="F13" s="25">
        <v>488.87</v>
      </c>
      <c r="G13" s="25">
        <v>1.1200000000000001</v>
      </c>
      <c r="H13" s="26"/>
    </row>
    <row r="14" spans="2:8" x14ac:dyDescent="0.2">
      <c r="B14" s="27" t="s">
        <v>121</v>
      </c>
      <c r="C14" s="23" t="s">
        <v>122</v>
      </c>
      <c r="D14" s="23" t="s">
        <v>118</v>
      </c>
      <c r="E14" s="28">
        <v>17900</v>
      </c>
      <c r="F14" s="25">
        <v>477.01</v>
      </c>
      <c r="G14" s="25">
        <v>1.0900000000000001</v>
      </c>
      <c r="H14" s="26"/>
    </row>
    <row r="15" spans="2:8" x14ac:dyDescent="0.2">
      <c r="B15" s="27" t="s">
        <v>128</v>
      </c>
      <c r="C15" s="23" t="s">
        <v>129</v>
      </c>
      <c r="D15" s="23" t="s">
        <v>130</v>
      </c>
      <c r="E15" s="28">
        <v>13325</v>
      </c>
      <c r="F15" s="25">
        <v>440.92</v>
      </c>
      <c r="G15" s="25">
        <v>1.01</v>
      </c>
      <c r="H15" s="26"/>
    </row>
    <row r="16" spans="2:8" x14ac:dyDescent="0.2">
      <c r="B16" s="27" t="s">
        <v>143</v>
      </c>
      <c r="C16" s="23" t="s">
        <v>144</v>
      </c>
      <c r="D16" s="23" t="s">
        <v>145</v>
      </c>
      <c r="E16" s="28">
        <v>20000</v>
      </c>
      <c r="F16" s="25">
        <v>439.44</v>
      </c>
      <c r="G16" s="25">
        <v>1</v>
      </c>
      <c r="H16" s="26"/>
    </row>
    <row r="17" spans="2:8" x14ac:dyDescent="0.2">
      <c r="B17" s="27" t="s">
        <v>123</v>
      </c>
      <c r="C17" s="23" t="s">
        <v>124</v>
      </c>
      <c r="D17" s="23" t="s">
        <v>87</v>
      </c>
      <c r="E17" s="28">
        <v>27200</v>
      </c>
      <c r="F17" s="25">
        <v>420.89</v>
      </c>
      <c r="G17" s="25">
        <v>0.96</v>
      </c>
      <c r="H17" s="26"/>
    </row>
    <row r="18" spans="2:8" x14ac:dyDescent="0.2">
      <c r="B18" s="27" t="s">
        <v>279</v>
      </c>
      <c r="C18" s="23" t="s">
        <v>280</v>
      </c>
      <c r="D18" s="23" t="s">
        <v>127</v>
      </c>
      <c r="E18" s="28">
        <v>75160</v>
      </c>
      <c r="F18" s="25">
        <v>384.41</v>
      </c>
      <c r="G18" s="25">
        <v>0.88</v>
      </c>
      <c r="H18" s="26"/>
    </row>
    <row r="19" spans="2:8" x14ac:dyDescent="0.2">
      <c r="B19" s="27" t="s">
        <v>100</v>
      </c>
      <c r="C19" s="23" t="s">
        <v>101</v>
      </c>
      <c r="D19" s="23" t="s">
        <v>102</v>
      </c>
      <c r="E19" s="28">
        <v>80000</v>
      </c>
      <c r="F19" s="25">
        <v>347</v>
      </c>
      <c r="G19" s="25">
        <v>0.79</v>
      </c>
      <c r="H19" s="26"/>
    </row>
    <row r="20" spans="2:8" x14ac:dyDescent="0.2">
      <c r="B20" s="27" t="s">
        <v>254</v>
      </c>
      <c r="C20" s="23" t="s">
        <v>255</v>
      </c>
      <c r="D20" s="23" t="s">
        <v>227</v>
      </c>
      <c r="E20" s="28">
        <v>14450</v>
      </c>
      <c r="F20" s="25">
        <v>323.67</v>
      </c>
      <c r="G20" s="25">
        <v>0.74</v>
      </c>
      <c r="H20" s="26"/>
    </row>
    <row r="21" spans="2:8" x14ac:dyDescent="0.2">
      <c r="B21" s="27" t="s">
        <v>189</v>
      </c>
      <c r="C21" s="23" t="s">
        <v>190</v>
      </c>
      <c r="D21" s="23" t="s">
        <v>130</v>
      </c>
      <c r="E21" s="28">
        <v>25300</v>
      </c>
      <c r="F21" s="25">
        <v>312.70999999999998</v>
      </c>
      <c r="G21" s="25">
        <v>0.71</v>
      </c>
      <c r="H21" s="26"/>
    </row>
    <row r="22" spans="2:8" x14ac:dyDescent="0.2">
      <c r="B22" s="27" t="s">
        <v>762</v>
      </c>
      <c r="C22" s="23" t="s">
        <v>763</v>
      </c>
      <c r="D22" s="23" t="s">
        <v>130</v>
      </c>
      <c r="E22" s="28">
        <v>13300</v>
      </c>
      <c r="F22" s="25">
        <v>299.27999999999997</v>
      </c>
      <c r="G22" s="25">
        <v>0.68</v>
      </c>
      <c r="H22" s="26"/>
    </row>
    <row r="23" spans="2:8" x14ac:dyDescent="0.2">
      <c r="B23" s="27" t="s">
        <v>181</v>
      </c>
      <c r="C23" s="23" t="s">
        <v>182</v>
      </c>
      <c r="D23" s="23" t="s">
        <v>118</v>
      </c>
      <c r="E23" s="28">
        <v>20000</v>
      </c>
      <c r="F23" s="25">
        <v>265.52</v>
      </c>
      <c r="G23" s="25">
        <v>0.61</v>
      </c>
      <c r="H23" s="26"/>
    </row>
    <row r="24" spans="2:8" x14ac:dyDescent="0.2">
      <c r="B24" s="27" t="s">
        <v>167</v>
      </c>
      <c r="C24" s="23" t="s">
        <v>168</v>
      </c>
      <c r="D24" s="23" t="s">
        <v>130</v>
      </c>
      <c r="E24" s="28">
        <v>44150</v>
      </c>
      <c r="F24" s="25">
        <v>260.37</v>
      </c>
      <c r="G24" s="25">
        <v>0.59</v>
      </c>
      <c r="H24" s="26"/>
    </row>
    <row r="25" spans="2:8" x14ac:dyDescent="0.2">
      <c r="B25" s="27" t="s">
        <v>58</v>
      </c>
      <c r="C25" s="23" t="s">
        <v>59</v>
      </c>
      <c r="D25" s="23" t="s">
        <v>60</v>
      </c>
      <c r="E25" s="28">
        <v>36600</v>
      </c>
      <c r="F25" s="25">
        <v>258.23</v>
      </c>
      <c r="G25" s="25">
        <v>0.59</v>
      </c>
      <c r="H25" s="26"/>
    </row>
    <row r="26" spans="2:8" x14ac:dyDescent="0.2">
      <c r="B26" s="27" t="s">
        <v>252</v>
      </c>
      <c r="C26" s="23" t="s">
        <v>253</v>
      </c>
      <c r="D26" s="23" t="s">
        <v>127</v>
      </c>
      <c r="E26" s="28">
        <v>50000</v>
      </c>
      <c r="F26" s="25">
        <v>257.33</v>
      </c>
      <c r="G26" s="25">
        <v>0.59</v>
      </c>
      <c r="H26" s="26"/>
    </row>
    <row r="27" spans="2:8" x14ac:dyDescent="0.2">
      <c r="B27" s="27" t="s">
        <v>250</v>
      </c>
      <c r="C27" s="23" t="s">
        <v>251</v>
      </c>
      <c r="D27" s="23" t="s">
        <v>127</v>
      </c>
      <c r="E27" s="28">
        <v>50000</v>
      </c>
      <c r="F27" s="25">
        <v>246.43</v>
      </c>
      <c r="G27" s="25">
        <v>0.56000000000000005</v>
      </c>
      <c r="H27" s="26"/>
    </row>
    <row r="28" spans="2:8" x14ac:dyDescent="0.2">
      <c r="B28" s="27" t="s">
        <v>185</v>
      </c>
      <c r="C28" s="23" t="s">
        <v>186</v>
      </c>
      <c r="D28" s="23" t="s">
        <v>127</v>
      </c>
      <c r="E28" s="28">
        <v>10720</v>
      </c>
      <c r="F28" s="25">
        <v>237.07</v>
      </c>
      <c r="G28" s="25">
        <v>0.54</v>
      </c>
      <c r="H28" s="26"/>
    </row>
    <row r="29" spans="2:8" x14ac:dyDescent="0.2">
      <c r="B29" s="27" t="s">
        <v>134</v>
      </c>
      <c r="C29" s="23" t="s">
        <v>135</v>
      </c>
      <c r="D29" s="23" t="s">
        <v>130</v>
      </c>
      <c r="E29" s="28">
        <v>12020</v>
      </c>
      <c r="F29" s="25">
        <v>231.21</v>
      </c>
      <c r="G29" s="25">
        <v>0.53</v>
      </c>
      <c r="H29" s="26"/>
    </row>
    <row r="30" spans="2:8" x14ac:dyDescent="0.2">
      <c r="B30" s="27" t="s">
        <v>136</v>
      </c>
      <c r="C30" s="23" t="s">
        <v>137</v>
      </c>
      <c r="D30" s="23" t="s">
        <v>138</v>
      </c>
      <c r="E30" s="28">
        <v>3070</v>
      </c>
      <c r="F30" s="25">
        <v>213.83</v>
      </c>
      <c r="G30" s="25">
        <v>0.49</v>
      </c>
      <c r="H30" s="26"/>
    </row>
    <row r="31" spans="2:8" x14ac:dyDescent="0.2">
      <c r="B31" s="27" t="s">
        <v>146</v>
      </c>
      <c r="C31" s="23" t="s">
        <v>147</v>
      </c>
      <c r="D31" s="23" t="s">
        <v>138</v>
      </c>
      <c r="E31" s="28">
        <v>33000</v>
      </c>
      <c r="F31" s="25">
        <v>196.02</v>
      </c>
      <c r="G31" s="25">
        <v>0.45</v>
      </c>
      <c r="H31" s="26"/>
    </row>
    <row r="32" spans="2:8" x14ac:dyDescent="0.2">
      <c r="B32" s="27" t="s">
        <v>33</v>
      </c>
      <c r="C32" s="23" t="s">
        <v>34</v>
      </c>
      <c r="D32" s="23" t="s">
        <v>35</v>
      </c>
      <c r="E32" s="28">
        <v>20460</v>
      </c>
      <c r="F32" s="25">
        <v>190.18</v>
      </c>
      <c r="G32" s="25">
        <v>0.43</v>
      </c>
      <c r="H32" s="26"/>
    </row>
    <row r="33" spans="2:10" x14ac:dyDescent="0.2">
      <c r="B33" s="27" t="s">
        <v>77</v>
      </c>
      <c r="C33" s="23" t="s">
        <v>78</v>
      </c>
      <c r="D33" s="23" t="s">
        <v>44</v>
      </c>
      <c r="E33" s="28">
        <v>700</v>
      </c>
      <c r="F33" s="25">
        <v>151.86000000000001</v>
      </c>
      <c r="G33" s="25">
        <v>0.35</v>
      </c>
      <c r="H33" s="26"/>
    </row>
    <row r="34" spans="2:10" x14ac:dyDescent="0.2">
      <c r="B34" s="27" t="s">
        <v>92</v>
      </c>
      <c r="C34" s="23" t="s">
        <v>93</v>
      </c>
      <c r="D34" s="23" t="s">
        <v>44</v>
      </c>
      <c r="E34" s="28">
        <v>3200</v>
      </c>
      <c r="F34" s="25">
        <v>146.37</v>
      </c>
      <c r="G34" s="25">
        <v>0.33</v>
      </c>
      <c r="H34" s="26"/>
    </row>
    <row r="35" spans="2:10" x14ac:dyDescent="0.2">
      <c r="B35" s="27" t="s">
        <v>260</v>
      </c>
      <c r="C35" s="23" t="s">
        <v>261</v>
      </c>
      <c r="D35" s="23" t="s">
        <v>262</v>
      </c>
      <c r="E35" s="28">
        <v>11052</v>
      </c>
      <c r="F35" s="25">
        <v>145.36000000000001</v>
      </c>
      <c r="G35" s="25">
        <v>0.33</v>
      </c>
      <c r="H35" s="26"/>
    </row>
    <row r="36" spans="2:10" x14ac:dyDescent="0.2">
      <c r="B36" s="27" t="s">
        <v>141</v>
      </c>
      <c r="C36" s="23" t="s">
        <v>142</v>
      </c>
      <c r="D36" s="23" t="s">
        <v>118</v>
      </c>
      <c r="E36" s="28">
        <v>15500</v>
      </c>
      <c r="F36" s="25">
        <v>130.5</v>
      </c>
      <c r="G36" s="25">
        <v>0.3</v>
      </c>
      <c r="H36" s="26"/>
    </row>
    <row r="37" spans="2:10" x14ac:dyDescent="0.2">
      <c r="B37" s="27" t="s">
        <v>207</v>
      </c>
      <c r="C37" s="23" t="s">
        <v>208</v>
      </c>
      <c r="D37" s="23" t="s">
        <v>63</v>
      </c>
      <c r="E37" s="28">
        <v>27000</v>
      </c>
      <c r="F37" s="25">
        <v>121.85</v>
      </c>
      <c r="G37" s="25">
        <v>0.28000000000000003</v>
      </c>
      <c r="H37" s="26"/>
    </row>
    <row r="38" spans="2:10" x14ac:dyDescent="0.2">
      <c r="B38" s="27" t="s">
        <v>764</v>
      </c>
      <c r="C38" s="23" t="s">
        <v>765</v>
      </c>
      <c r="D38" s="23" t="s">
        <v>60</v>
      </c>
      <c r="E38" s="28">
        <v>40740</v>
      </c>
      <c r="F38" s="25">
        <v>110.77</v>
      </c>
      <c r="G38" s="25">
        <v>0.25</v>
      </c>
      <c r="H38" s="26"/>
    </row>
    <row r="39" spans="2:10" x14ac:dyDescent="0.2">
      <c r="B39" s="27" t="s">
        <v>285</v>
      </c>
      <c r="C39" s="23" t="s">
        <v>286</v>
      </c>
      <c r="D39" s="23" t="s">
        <v>127</v>
      </c>
      <c r="E39" s="28">
        <v>60000</v>
      </c>
      <c r="F39" s="25">
        <v>99.15</v>
      </c>
      <c r="G39" s="25">
        <v>0.23</v>
      </c>
      <c r="H39" s="26"/>
    </row>
    <row r="40" spans="2:10" x14ac:dyDescent="0.2">
      <c r="B40" s="27" t="s">
        <v>158</v>
      </c>
      <c r="C40" s="23" t="s">
        <v>159</v>
      </c>
      <c r="D40" s="23" t="s">
        <v>127</v>
      </c>
      <c r="E40" s="28">
        <v>2700</v>
      </c>
      <c r="F40" s="25">
        <v>93.78</v>
      </c>
      <c r="G40" s="25">
        <v>0.21</v>
      </c>
      <c r="H40" s="26"/>
    </row>
    <row r="41" spans="2:10" x14ac:dyDescent="0.2">
      <c r="B41" s="27" t="s">
        <v>766</v>
      </c>
      <c r="C41" s="23" t="s">
        <v>767</v>
      </c>
      <c r="D41" s="23" t="s">
        <v>301</v>
      </c>
      <c r="E41" s="28">
        <v>40000</v>
      </c>
      <c r="F41" s="25">
        <v>68.260000000000005</v>
      </c>
      <c r="G41" s="25">
        <v>0.16</v>
      </c>
      <c r="H41" s="26"/>
    </row>
    <row r="42" spans="2:10" x14ac:dyDescent="0.2">
      <c r="B42" s="27" t="s">
        <v>154</v>
      </c>
      <c r="C42" s="23" t="s">
        <v>155</v>
      </c>
      <c r="D42" s="23" t="s">
        <v>60</v>
      </c>
      <c r="E42" s="28">
        <v>5400</v>
      </c>
      <c r="F42" s="25">
        <v>62.95</v>
      </c>
      <c r="G42" s="25">
        <v>0.14000000000000001</v>
      </c>
      <c r="H42" s="26"/>
    </row>
    <row r="43" spans="2:10" x14ac:dyDescent="0.2">
      <c r="B43" s="27" t="s">
        <v>183</v>
      </c>
      <c r="C43" s="23" t="s">
        <v>184</v>
      </c>
      <c r="D43" s="23" t="s">
        <v>60</v>
      </c>
      <c r="E43" s="28">
        <v>1744</v>
      </c>
      <c r="F43" s="25">
        <v>36.979999999999997</v>
      </c>
      <c r="G43" s="25">
        <v>0.08</v>
      </c>
      <c r="H43" s="26"/>
    </row>
    <row r="44" spans="2:10" x14ac:dyDescent="0.2">
      <c r="B44" s="27" t="s">
        <v>193</v>
      </c>
      <c r="C44" s="23" t="s">
        <v>194</v>
      </c>
      <c r="D44" s="23" t="s">
        <v>130</v>
      </c>
      <c r="E44" s="28">
        <v>3475</v>
      </c>
      <c r="F44" s="25">
        <v>27.79</v>
      </c>
      <c r="G44" s="25">
        <v>0.06</v>
      </c>
      <c r="H44" s="26"/>
    </row>
    <row r="45" spans="2:10" x14ac:dyDescent="0.2">
      <c r="B45" s="29" t="s">
        <v>111</v>
      </c>
      <c r="C45" s="30"/>
      <c r="D45" s="30"/>
      <c r="E45" s="31"/>
      <c r="F45" s="32">
        <f>SUM(F7:F44)</f>
        <v>12365.330000000005</v>
      </c>
      <c r="G45" s="32">
        <f>SUM(G7:G44)</f>
        <v>28.20999999999999</v>
      </c>
      <c r="H45" s="33"/>
      <c r="I45" s="14"/>
      <c r="J45" s="14"/>
    </row>
    <row r="46" spans="2:10" x14ac:dyDescent="0.2">
      <c r="B46" s="37" t="s">
        <v>112</v>
      </c>
      <c r="C46" s="37"/>
      <c r="D46" s="37"/>
      <c r="E46" s="38"/>
      <c r="F46" s="39">
        <f>F45</f>
        <v>12365.330000000005</v>
      </c>
      <c r="G46" s="39">
        <f>G45</f>
        <v>28.20999999999999</v>
      </c>
      <c r="H46" s="15"/>
      <c r="I46" s="14"/>
      <c r="J46" s="14"/>
    </row>
    <row r="47" spans="2:10" x14ac:dyDescent="0.2">
      <c r="B47" s="46" t="s">
        <v>345</v>
      </c>
      <c r="C47" s="41"/>
      <c r="D47" s="41"/>
      <c r="E47" s="42"/>
      <c r="F47" s="43"/>
      <c r="G47" s="43"/>
      <c r="H47" s="43"/>
    </row>
    <row r="48" spans="2:10" x14ac:dyDescent="0.2">
      <c r="B48" s="47" t="s">
        <v>32</v>
      </c>
      <c r="C48" s="23"/>
      <c r="D48" s="23"/>
      <c r="E48" s="24"/>
      <c r="F48" s="25"/>
      <c r="G48" s="25"/>
      <c r="H48" s="25"/>
    </row>
    <row r="49" spans="2:10" x14ac:dyDescent="0.2">
      <c r="B49" s="23" t="s">
        <v>382</v>
      </c>
      <c r="C49" s="23" t="s">
        <v>383</v>
      </c>
      <c r="D49" s="23" t="s">
        <v>384</v>
      </c>
      <c r="E49" s="28">
        <v>400</v>
      </c>
      <c r="F49" s="25">
        <v>3909.83</v>
      </c>
      <c r="G49" s="25">
        <v>8.92</v>
      </c>
      <c r="H49" s="25">
        <v>3.71</v>
      </c>
    </row>
    <row r="50" spans="2:10" x14ac:dyDescent="0.2">
      <c r="B50" s="23" t="s">
        <v>768</v>
      </c>
      <c r="C50" s="23" t="s">
        <v>769</v>
      </c>
      <c r="D50" s="23" t="s">
        <v>348</v>
      </c>
      <c r="E50" s="28">
        <v>300</v>
      </c>
      <c r="F50" s="25">
        <v>3070.44</v>
      </c>
      <c r="G50" s="25">
        <v>7.01</v>
      </c>
      <c r="H50" s="25">
        <v>3.76</v>
      </c>
    </row>
    <row r="51" spans="2:10" x14ac:dyDescent="0.2">
      <c r="B51" s="23" t="s">
        <v>770</v>
      </c>
      <c r="C51" s="23" t="s">
        <v>771</v>
      </c>
      <c r="D51" s="23" t="s">
        <v>707</v>
      </c>
      <c r="E51" s="28">
        <v>300</v>
      </c>
      <c r="F51" s="25">
        <v>3027.02</v>
      </c>
      <c r="G51" s="25">
        <v>6.91</v>
      </c>
      <c r="H51" s="25">
        <v>3.58</v>
      </c>
    </row>
    <row r="52" spans="2:10" x14ac:dyDescent="0.2">
      <c r="B52" s="23" t="s">
        <v>738</v>
      </c>
      <c r="C52" s="23" t="s">
        <v>739</v>
      </c>
      <c r="D52" s="23" t="s">
        <v>348</v>
      </c>
      <c r="E52" s="28">
        <v>270</v>
      </c>
      <c r="F52" s="25">
        <v>2740.84</v>
      </c>
      <c r="G52" s="25">
        <v>6.25</v>
      </c>
      <c r="H52" s="25">
        <v>3.5</v>
      </c>
    </row>
    <row r="53" spans="2:10" x14ac:dyDescent="0.2">
      <c r="B53" s="23" t="s">
        <v>399</v>
      </c>
      <c r="C53" s="23" t="s">
        <v>400</v>
      </c>
      <c r="D53" s="23" t="s">
        <v>348</v>
      </c>
      <c r="E53" s="28">
        <v>250</v>
      </c>
      <c r="F53" s="25">
        <v>2574.0500000000002</v>
      </c>
      <c r="G53" s="25">
        <v>5.87</v>
      </c>
      <c r="H53" s="25">
        <v>3.71</v>
      </c>
    </row>
    <row r="54" spans="2:10" x14ac:dyDescent="0.2">
      <c r="B54" s="23" t="s">
        <v>380</v>
      </c>
      <c r="C54" s="23" t="s">
        <v>381</v>
      </c>
      <c r="D54" s="23" t="s">
        <v>361</v>
      </c>
      <c r="E54" s="28">
        <v>210</v>
      </c>
      <c r="F54" s="25">
        <v>2136.73</v>
      </c>
      <c r="G54" s="25">
        <v>4.88</v>
      </c>
      <c r="H54" s="25">
        <v>3.59</v>
      </c>
    </row>
    <row r="55" spans="2:10" x14ac:dyDescent="0.2">
      <c r="B55" s="23" t="s">
        <v>772</v>
      </c>
      <c r="C55" s="23" t="s">
        <v>773</v>
      </c>
      <c r="D55" s="23" t="s">
        <v>348</v>
      </c>
      <c r="E55" s="28">
        <v>200</v>
      </c>
      <c r="F55" s="25">
        <v>2045.89</v>
      </c>
      <c r="G55" s="25">
        <v>4.67</v>
      </c>
      <c r="H55" s="25">
        <v>3.56</v>
      </c>
    </row>
    <row r="56" spans="2:10" x14ac:dyDescent="0.2">
      <c r="B56" s="23" t="s">
        <v>774</v>
      </c>
      <c r="C56" s="23" t="s">
        <v>775</v>
      </c>
      <c r="D56" s="23" t="s">
        <v>348</v>
      </c>
      <c r="E56" s="28">
        <v>150</v>
      </c>
      <c r="F56" s="25">
        <v>1538.59</v>
      </c>
      <c r="G56" s="25">
        <v>3.51</v>
      </c>
      <c r="H56" s="25">
        <v>3.72</v>
      </c>
    </row>
    <row r="57" spans="2:10" x14ac:dyDescent="0.2">
      <c r="B57" s="23" t="s">
        <v>776</v>
      </c>
      <c r="C57" s="23" t="s">
        <v>777</v>
      </c>
      <c r="D57" s="23" t="s">
        <v>348</v>
      </c>
      <c r="E57" s="28">
        <v>150</v>
      </c>
      <c r="F57" s="25">
        <v>1512.68</v>
      </c>
      <c r="G57" s="25">
        <v>3.45</v>
      </c>
      <c r="H57" s="25">
        <v>3.55</v>
      </c>
    </row>
    <row r="58" spans="2:10" x14ac:dyDescent="0.2">
      <c r="B58" s="23" t="s">
        <v>778</v>
      </c>
      <c r="C58" s="23" t="s">
        <v>779</v>
      </c>
      <c r="D58" s="23" t="s">
        <v>348</v>
      </c>
      <c r="E58" s="28">
        <v>100</v>
      </c>
      <c r="F58" s="25">
        <v>1034.73</v>
      </c>
      <c r="G58" s="25">
        <v>2.36</v>
      </c>
      <c r="H58" s="25">
        <v>3.46</v>
      </c>
    </row>
    <row r="59" spans="2:10" x14ac:dyDescent="0.2">
      <c r="B59" s="23" t="s">
        <v>748</v>
      </c>
      <c r="C59" s="23" t="s">
        <v>749</v>
      </c>
      <c r="D59" s="23" t="s">
        <v>348</v>
      </c>
      <c r="E59" s="28">
        <v>9</v>
      </c>
      <c r="F59" s="25">
        <v>915.1</v>
      </c>
      <c r="G59" s="25">
        <v>2.09</v>
      </c>
      <c r="H59" s="25">
        <v>3.55</v>
      </c>
    </row>
    <row r="60" spans="2:10" x14ac:dyDescent="0.2">
      <c r="B60" s="23" t="s">
        <v>780</v>
      </c>
      <c r="C60" s="23" t="s">
        <v>781</v>
      </c>
      <c r="D60" s="23" t="s">
        <v>348</v>
      </c>
      <c r="E60" s="28">
        <v>40</v>
      </c>
      <c r="F60" s="25">
        <v>516.89</v>
      </c>
      <c r="G60" s="25">
        <v>1.18</v>
      </c>
      <c r="H60" s="25">
        <v>3.56</v>
      </c>
    </row>
    <row r="61" spans="2:10" x14ac:dyDescent="0.2">
      <c r="B61" s="23" t="s">
        <v>673</v>
      </c>
      <c r="C61" s="23" t="s">
        <v>674</v>
      </c>
      <c r="D61" s="23" t="s">
        <v>348</v>
      </c>
      <c r="E61" s="28">
        <v>50</v>
      </c>
      <c r="F61" s="25">
        <v>512.17999999999995</v>
      </c>
      <c r="G61" s="25">
        <v>1.17</v>
      </c>
      <c r="H61" s="25">
        <v>3.61</v>
      </c>
    </row>
    <row r="62" spans="2:10" x14ac:dyDescent="0.2">
      <c r="B62" s="23" t="s">
        <v>782</v>
      </c>
      <c r="C62" s="23" t="s">
        <v>783</v>
      </c>
      <c r="D62" s="23" t="s">
        <v>348</v>
      </c>
      <c r="E62" s="28">
        <v>50</v>
      </c>
      <c r="F62" s="25">
        <v>509.03</v>
      </c>
      <c r="G62" s="25">
        <v>1.1599999999999999</v>
      </c>
      <c r="H62" s="25">
        <v>3.73</v>
      </c>
    </row>
    <row r="63" spans="2:10" x14ac:dyDescent="0.2">
      <c r="B63" s="23" t="s">
        <v>744</v>
      </c>
      <c r="C63" s="23" t="s">
        <v>745</v>
      </c>
      <c r="D63" s="23" t="s">
        <v>348</v>
      </c>
      <c r="E63" s="28">
        <v>50</v>
      </c>
      <c r="F63" s="25">
        <v>507.47</v>
      </c>
      <c r="G63" s="25">
        <v>1.1599999999999999</v>
      </c>
      <c r="H63" s="25">
        <v>3.39</v>
      </c>
    </row>
    <row r="64" spans="2:10" x14ac:dyDescent="0.2">
      <c r="B64" s="30" t="s">
        <v>111</v>
      </c>
      <c r="C64" s="30"/>
      <c r="D64" s="30"/>
      <c r="E64" s="31"/>
      <c r="F64" s="32">
        <f>SUM(F48:F63)</f>
        <v>26551.469999999998</v>
      </c>
      <c r="G64" s="32">
        <f>SUM(G48:G63)</f>
        <v>60.589999999999996</v>
      </c>
      <c r="H64" s="48"/>
      <c r="I64" s="14"/>
      <c r="J64" s="14"/>
    </row>
    <row r="65" spans="2:10" x14ac:dyDescent="0.2">
      <c r="B65" s="49" t="s">
        <v>112</v>
      </c>
      <c r="C65" s="49"/>
      <c r="D65" s="49"/>
      <c r="E65" s="50"/>
      <c r="F65" s="51">
        <f>F64</f>
        <v>26551.469999999998</v>
      </c>
      <c r="G65" s="51">
        <f>G64</f>
        <v>60.589999999999996</v>
      </c>
      <c r="H65" s="51"/>
      <c r="I65" s="14"/>
      <c r="J65" s="14"/>
    </row>
    <row r="66" spans="2:10" x14ac:dyDescent="0.2">
      <c r="B66" s="47" t="s">
        <v>419</v>
      </c>
      <c r="C66" s="23"/>
      <c r="D66" s="23"/>
      <c r="E66" s="24"/>
      <c r="F66" s="25"/>
      <c r="G66" s="25"/>
      <c r="H66" s="25"/>
    </row>
    <row r="67" spans="2:10" x14ac:dyDescent="0.2">
      <c r="B67" s="47" t="s">
        <v>524</v>
      </c>
      <c r="C67" s="23"/>
      <c r="D67" s="23"/>
      <c r="E67" s="24"/>
      <c r="F67" s="25"/>
      <c r="G67" s="25"/>
      <c r="H67" s="25"/>
    </row>
    <row r="68" spans="2:10" x14ac:dyDescent="0.2">
      <c r="B68" s="23" t="s">
        <v>540</v>
      </c>
      <c r="C68" s="23" t="s">
        <v>541</v>
      </c>
      <c r="D68" s="23" t="s">
        <v>532</v>
      </c>
      <c r="E68" s="28">
        <v>2000</v>
      </c>
      <c r="F68" s="25">
        <v>1981.55</v>
      </c>
      <c r="G68" s="25">
        <v>4.5199999999999996</v>
      </c>
      <c r="H68" s="25">
        <v>3.3</v>
      </c>
    </row>
    <row r="69" spans="2:10" x14ac:dyDescent="0.2">
      <c r="B69" s="30" t="s">
        <v>111</v>
      </c>
      <c r="C69" s="30"/>
      <c r="D69" s="30"/>
      <c r="E69" s="31"/>
      <c r="F69" s="32">
        <f>SUM(F67:F68)</f>
        <v>1981.55</v>
      </c>
      <c r="G69" s="32">
        <f>SUM(G67:G68)</f>
        <v>4.5199999999999996</v>
      </c>
      <c r="H69" s="48"/>
      <c r="I69" s="14"/>
      <c r="J69" s="14"/>
    </row>
    <row r="70" spans="2:10" x14ac:dyDescent="0.2">
      <c r="B70" s="49" t="s">
        <v>112</v>
      </c>
      <c r="C70" s="49"/>
      <c r="D70" s="49"/>
      <c r="E70" s="50"/>
      <c r="F70" s="51">
        <f>F69</f>
        <v>1981.55</v>
      </c>
      <c r="G70" s="51">
        <f>G69</f>
        <v>4.5199999999999996</v>
      </c>
      <c r="H70" s="51"/>
      <c r="I70" s="14"/>
      <c r="J70" s="14"/>
    </row>
    <row r="71" spans="2:10" x14ac:dyDescent="0.2">
      <c r="B71" s="47" t="s">
        <v>424</v>
      </c>
      <c r="C71" s="23"/>
      <c r="D71" s="23"/>
      <c r="E71" s="24"/>
      <c r="F71" s="25"/>
      <c r="G71" s="25"/>
      <c r="H71" s="25"/>
    </row>
    <row r="72" spans="2:10" x14ac:dyDescent="0.2">
      <c r="B72" s="23" t="s">
        <v>784</v>
      </c>
      <c r="C72" s="23" t="s">
        <v>785</v>
      </c>
      <c r="D72" s="23" t="s">
        <v>427</v>
      </c>
      <c r="E72" s="28">
        <v>1000000</v>
      </c>
      <c r="F72" s="25">
        <v>1025</v>
      </c>
      <c r="G72" s="25">
        <v>2.34</v>
      </c>
      <c r="H72" s="25">
        <v>3.43</v>
      </c>
    </row>
    <row r="73" spans="2:10" x14ac:dyDescent="0.2">
      <c r="B73" s="52" t="s">
        <v>786</v>
      </c>
      <c r="C73" s="52" t="s">
        <v>787</v>
      </c>
      <c r="D73" s="52" t="s">
        <v>427</v>
      </c>
      <c r="E73" s="53">
        <v>33000</v>
      </c>
      <c r="F73" s="54">
        <v>34.26</v>
      </c>
      <c r="G73" s="54">
        <v>0.08</v>
      </c>
      <c r="H73" s="54">
        <v>3.54</v>
      </c>
    </row>
    <row r="74" spans="2:10" x14ac:dyDescent="0.2">
      <c r="B74" s="55" t="s">
        <v>112</v>
      </c>
      <c r="C74" s="55"/>
      <c r="D74" s="55"/>
      <c r="E74" s="56"/>
      <c r="F74" s="57">
        <f>SUM(F72:F73)</f>
        <v>1059.26</v>
      </c>
      <c r="G74" s="57">
        <f>SUM(G72:G73)</f>
        <v>2.42</v>
      </c>
      <c r="H74" s="57"/>
      <c r="I74" s="14"/>
      <c r="J74" s="14"/>
    </row>
    <row r="75" spans="2:10" x14ac:dyDescent="0.2">
      <c r="B75" s="47" t="s">
        <v>113</v>
      </c>
      <c r="C75" s="23"/>
      <c r="D75" s="23"/>
      <c r="E75" s="24"/>
      <c r="F75" s="25"/>
      <c r="G75" s="25"/>
      <c r="H75" s="25"/>
    </row>
    <row r="76" spans="2:10" x14ac:dyDescent="0.2">
      <c r="B76" s="23" t="s">
        <v>113</v>
      </c>
      <c r="C76" s="23"/>
      <c r="D76" s="23"/>
      <c r="E76" s="24"/>
      <c r="F76" s="25">
        <v>960.6</v>
      </c>
      <c r="G76" s="25">
        <v>2.19</v>
      </c>
      <c r="H76" s="25"/>
    </row>
    <row r="77" spans="2:10" x14ac:dyDescent="0.2">
      <c r="B77" s="30" t="s">
        <v>111</v>
      </c>
      <c r="C77" s="30"/>
      <c r="D77" s="30"/>
      <c r="E77" s="31"/>
      <c r="F77" s="32">
        <f>SUM(F75:F76)</f>
        <v>960.6</v>
      </c>
      <c r="G77" s="32">
        <f>SUM(G75:G76)</f>
        <v>2.19</v>
      </c>
      <c r="H77" s="48"/>
      <c r="I77" s="14"/>
      <c r="J77" s="14"/>
    </row>
    <row r="78" spans="2:10" x14ac:dyDescent="0.2">
      <c r="B78" s="34" t="s">
        <v>112</v>
      </c>
      <c r="C78" s="34"/>
      <c r="D78" s="34"/>
      <c r="E78" s="35"/>
      <c r="F78" s="36">
        <f>F77</f>
        <v>960.6</v>
      </c>
      <c r="G78" s="36">
        <f>G77</f>
        <v>2.19</v>
      </c>
      <c r="H78" s="36"/>
      <c r="I78" s="14"/>
      <c r="J78" s="14"/>
    </row>
    <row r="79" spans="2:10" x14ac:dyDescent="0.2">
      <c r="B79" s="44" t="s">
        <v>115</v>
      </c>
      <c r="C79" s="44"/>
      <c r="D79" s="44"/>
      <c r="E79" s="45"/>
      <c r="F79" s="16">
        <f>F80-(+F46+F65+F70+F74+F78)</f>
        <v>900.61999999999534</v>
      </c>
      <c r="G79" s="16">
        <f>G80-(+G46+G65+G70+G74+G78)</f>
        <v>2.0700000000000216</v>
      </c>
      <c r="H79" s="16"/>
      <c r="I79" s="14"/>
      <c r="J79" s="14"/>
    </row>
    <row r="80" spans="2:10" x14ac:dyDescent="0.2">
      <c r="B80" s="44" t="s">
        <v>114</v>
      </c>
      <c r="C80" s="44"/>
      <c r="D80" s="44"/>
      <c r="E80" s="45"/>
      <c r="F80" s="16">
        <v>43818.83</v>
      </c>
      <c r="G80" s="16">
        <v>100</v>
      </c>
      <c r="H80" s="16"/>
      <c r="I80" s="14"/>
      <c r="J80" s="14"/>
    </row>
    <row r="82" spans="2:2" x14ac:dyDescent="0.2">
      <c r="B82" s="14" t="s">
        <v>792</v>
      </c>
    </row>
    <row r="83" spans="2:2" x14ac:dyDescent="0.2">
      <c r="B83" s="14" t="s">
        <v>563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workbookViewId="0">
      <selection activeCell="B49" sqref="B49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29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58" t="s">
        <v>345</v>
      </c>
      <c r="C5" s="18"/>
      <c r="D5" s="18"/>
      <c r="E5" s="19"/>
      <c r="F5" s="20"/>
      <c r="G5" s="20"/>
      <c r="H5" s="20"/>
    </row>
    <row r="6" spans="2:8" x14ac:dyDescent="0.2">
      <c r="B6" s="47" t="s">
        <v>32</v>
      </c>
      <c r="C6" s="23"/>
      <c r="D6" s="23"/>
      <c r="E6" s="24"/>
      <c r="F6" s="25"/>
      <c r="G6" s="25"/>
      <c r="H6" s="25"/>
    </row>
    <row r="7" spans="2:8" x14ac:dyDescent="0.2">
      <c r="B7" s="23" t="s">
        <v>701</v>
      </c>
      <c r="C7" s="23" t="s">
        <v>702</v>
      </c>
      <c r="D7" s="23" t="s">
        <v>384</v>
      </c>
      <c r="E7" s="28">
        <v>30</v>
      </c>
      <c r="F7" s="25">
        <v>372.96</v>
      </c>
      <c r="G7" s="25">
        <v>10.15</v>
      </c>
      <c r="H7" s="25">
        <v>5.56</v>
      </c>
    </row>
    <row r="8" spans="2:8" x14ac:dyDescent="0.2">
      <c r="B8" s="23" t="s">
        <v>382</v>
      </c>
      <c r="C8" s="23" t="s">
        <v>383</v>
      </c>
      <c r="D8" s="23" t="s">
        <v>384</v>
      </c>
      <c r="E8" s="28">
        <v>38</v>
      </c>
      <c r="F8" s="25">
        <v>371.43</v>
      </c>
      <c r="G8" s="25">
        <v>10.1</v>
      </c>
      <c r="H8" s="25">
        <v>3.71</v>
      </c>
    </row>
    <row r="9" spans="2:8" x14ac:dyDescent="0.2">
      <c r="B9" s="23" t="s">
        <v>401</v>
      </c>
      <c r="C9" s="23" t="s">
        <v>402</v>
      </c>
      <c r="D9" s="23" t="s">
        <v>348</v>
      </c>
      <c r="E9" s="28">
        <v>31</v>
      </c>
      <c r="F9" s="25">
        <v>319.42</v>
      </c>
      <c r="G9" s="25">
        <v>8.69</v>
      </c>
      <c r="H9" s="25">
        <v>3.85</v>
      </c>
    </row>
    <row r="10" spans="2:8" x14ac:dyDescent="0.2">
      <c r="B10" s="23" t="s">
        <v>655</v>
      </c>
      <c r="C10" s="23" t="s">
        <v>656</v>
      </c>
      <c r="D10" s="23" t="s">
        <v>348</v>
      </c>
      <c r="E10" s="28">
        <v>30</v>
      </c>
      <c r="F10" s="25">
        <v>311.87</v>
      </c>
      <c r="G10" s="25">
        <v>8.48</v>
      </c>
      <c r="H10" s="25">
        <v>3.67</v>
      </c>
    </row>
    <row r="11" spans="2:8" x14ac:dyDescent="0.2">
      <c r="B11" s="23" t="s">
        <v>617</v>
      </c>
      <c r="C11" s="23" t="s">
        <v>618</v>
      </c>
      <c r="D11" s="23" t="s">
        <v>384</v>
      </c>
      <c r="E11" s="28">
        <v>30</v>
      </c>
      <c r="F11" s="25">
        <v>310.91000000000003</v>
      </c>
      <c r="G11" s="25">
        <v>8.4600000000000009</v>
      </c>
      <c r="H11" s="25">
        <v>4.53</v>
      </c>
    </row>
    <row r="12" spans="2:8" x14ac:dyDescent="0.2">
      <c r="B12" s="23" t="s">
        <v>476</v>
      </c>
      <c r="C12" s="23" t="s">
        <v>477</v>
      </c>
      <c r="D12" s="23" t="s">
        <v>348</v>
      </c>
      <c r="E12" s="28">
        <v>30</v>
      </c>
      <c r="F12" s="25">
        <v>309.41000000000003</v>
      </c>
      <c r="G12" s="25">
        <v>8.42</v>
      </c>
      <c r="H12" s="25">
        <v>3.79</v>
      </c>
    </row>
    <row r="13" spans="2:8" x14ac:dyDescent="0.2">
      <c r="B13" s="23" t="s">
        <v>605</v>
      </c>
      <c r="C13" s="23" t="s">
        <v>606</v>
      </c>
      <c r="D13" s="23" t="s">
        <v>348</v>
      </c>
      <c r="E13" s="28">
        <v>30</v>
      </c>
      <c r="F13" s="25">
        <v>307.83</v>
      </c>
      <c r="G13" s="25">
        <v>8.3699999999999992</v>
      </c>
      <c r="H13" s="25">
        <v>3.97</v>
      </c>
    </row>
    <row r="14" spans="2:8" x14ac:dyDescent="0.2">
      <c r="B14" s="23" t="s">
        <v>380</v>
      </c>
      <c r="C14" s="23" t="s">
        <v>381</v>
      </c>
      <c r="D14" s="23" t="s">
        <v>361</v>
      </c>
      <c r="E14" s="28">
        <v>30</v>
      </c>
      <c r="F14" s="25">
        <v>305.25</v>
      </c>
      <c r="G14" s="25">
        <v>8.3000000000000007</v>
      </c>
      <c r="H14" s="25">
        <v>3.59</v>
      </c>
    </row>
    <row r="15" spans="2:8" x14ac:dyDescent="0.2">
      <c r="B15" s="23" t="s">
        <v>403</v>
      </c>
      <c r="C15" s="23" t="s">
        <v>404</v>
      </c>
      <c r="D15" s="23" t="s">
        <v>348</v>
      </c>
      <c r="E15" s="28">
        <v>30</v>
      </c>
      <c r="F15" s="25">
        <v>304.43</v>
      </c>
      <c r="G15" s="25">
        <v>8.2799999999999994</v>
      </c>
      <c r="H15" s="25">
        <v>3.49</v>
      </c>
    </row>
    <row r="16" spans="2:8" x14ac:dyDescent="0.2">
      <c r="B16" s="23" t="s">
        <v>615</v>
      </c>
      <c r="C16" s="23" t="s">
        <v>616</v>
      </c>
      <c r="D16" s="23" t="s">
        <v>348</v>
      </c>
      <c r="E16" s="28">
        <v>23</v>
      </c>
      <c r="F16" s="25">
        <v>237.51</v>
      </c>
      <c r="G16" s="25">
        <v>6.46</v>
      </c>
      <c r="H16" s="25">
        <v>3.86</v>
      </c>
    </row>
    <row r="17" spans="2:10" x14ac:dyDescent="0.2">
      <c r="B17" s="23" t="s">
        <v>502</v>
      </c>
      <c r="C17" s="23" t="s">
        <v>503</v>
      </c>
      <c r="D17" s="23" t="s">
        <v>348</v>
      </c>
      <c r="E17" s="28">
        <v>7</v>
      </c>
      <c r="F17" s="25">
        <v>72.040000000000006</v>
      </c>
      <c r="G17" s="25">
        <v>1.96</v>
      </c>
      <c r="H17" s="25">
        <v>3.86</v>
      </c>
    </row>
    <row r="18" spans="2:10" x14ac:dyDescent="0.2">
      <c r="B18" s="30" t="s">
        <v>111</v>
      </c>
      <c r="C18" s="30"/>
      <c r="D18" s="30"/>
      <c r="E18" s="31"/>
      <c r="F18" s="32">
        <f>SUM(F6:F17)</f>
        <v>3223.0599999999995</v>
      </c>
      <c r="G18" s="32">
        <f>SUM(G6:G17)</f>
        <v>87.669999999999987</v>
      </c>
      <c r="H18" s="48"/>
      <c r="I18" s="14"/>
      <c r="J18" s="14"/>
    </row>
    <row r="19" spans="2:10" x14ac:dyDescent="0.2">
      <c r="B19" s="49" t="s">
        <v>112</v>
      </c>
      <c r="C19" s="49"/>
      <c r="D19" s="49"/>
      <c r="E19" s="50"/>
      <c r="F19" s="51">
        <f>F18</f>
        <v>3223.0599999999995</v>
      </c>
      <c r="G19" s="51">
        <f>G18</f>
        <v>87.669999999999987</v>
      </c>
      <c r="H19" s="51"/>
      <c r="I19" s="14"/>
      <c r="J19" s="14"/>
    </row>
    <row r="20" spans="2:10" x14ac:dyDescent="0.2">
      <c r="B20" s="47" t="s">
        <v>113</v>
      </c>
      <c r="C20" s="23"/>
      <c r="D20" s="23"/>
      <c r="E20" s="24"/>
      <c r="F20" s="25"/>
      <c r="G20" s="25"/>
      <c r="H20" s="25"/>
    </row>
    <row r="21" spans="2:10" x14ac:dyDescent="0.2">
      <c r="B21" s="23" t="s">
        <v>113</v>
      </c>
      <c r="C21" s="23"/>
      <c r="D21" s="23"/>
      <c r="E21" s="24"/>
      <c r="F21" s="25">
        <v>337.83</v>
      </c>
      <c r="G21" s="25">
        <v>9.19</v>
      </c>
      <c r="H21" s="25"/>
    </row>
    <row r="22" spans="2:10" x14ac:dyDescent="0.2">
      <c r="B22" s="30" t="s">
        <v>111</v>
      </c>
      <c r="C22" s="30"/>
      <c r="D22" s="30"/>
      <c r="E22" s="31"/>
      <c r="F22" s="32">
        <f>SUM(F20:F21)</f>
        <v>337.83</v>
      </c>
      <c r="G22" s="32">
        <f>SUM(G20:G21)</f>
        <v>9.19</v>
      </c>
      <c r="H22" s="48"/>
      <c r="I22" s="14"/>
      <c r="J22" s="14"/>
    </row>
    <row r="23" spans="2:10" x14ac:dyDescent="0.2">
      <c r="B23" s="34" t="s">
        <v>112</v>
      </c>
      <c r="C23" s="34"/>
      <c r="D23" s="34"/>
      <c r="E23" s="35"/>
      <c r="F23" s="36">
        <f>F22</f>
        <v>337.83</v>
      </c>
      <c r="G23" s="36">
        <f>G22</f>
        <v>9.19</v>
      </c>
      <c r="H23" s="36"/>
      <c r="I23" s="14"/>
      <c r="J23" s="14"/>
    </row>
    <row r="24" spans="2:10" x14ac:dyDescent="0.2">
      <c r="B24" s="44" t="s">
        <v>115</v>
      </c>
      <c r="C24" s="44"/>
      <c r="D24" s="44"/>
      <c r="E24" s="45"/>
      <c r="F24" s="16">
        <f>F25-(+F19+F23)</f>
        <v>115.32000000000062</v>
      </c>
      <c r="G24" s="16">
        <f>G25-(+G19+G23)</f>
        <v>3.1400000000000148</v>
      </c>
      <c r="H24" s="16"/>
      <c r="I24" s="14"/>
      <c r="J24" s="14"/>
    </row>
    <row r="25" spans="2:10" x14ac:dyDescent="0.2">
      <c r="B25" s="44" t="s">
        <v>114</v>
      </c>
      <c r="C25" s="44"/>
      <c r="D25" s="44"/>
      <c r="E25" s="45"/>
      <c r="F25" s="16">
        <v>3676.21</v>
      </c>
      <c r="G25" s="16">
        <v>100</v>
      </c>
      <c r="H25" s="16"/>
      <c r="I25" s="14"/>
      <c r="J25" s="14"/>
    </row>
    <row r="27" spans="2:10" x14ac:dyDescent="0.2">
      <c r="B27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1"/>
  <sheetViews>
    <sheetView workbookViewId="0">
      <selection activeCell="I13" sqref="I13"/>
    </sheetView>
  </sheetViews>
  <sheetFormatPr defaultRowHeight="12" x14ac:dyDescent="0.2"/>
  <cols>
    <col min="1" max="1" width="9.140625" style="1"/>
    <col min="2" max="2" width="60.28515625" style="1" bestFit="1" customWidth="1"/>
    <col min="3" max="3" width="13.5703125" style="1" bestFit="1" customWidth="1"/>
    <col min="4" max="4" width="21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16384" width="9.140625" style="1"/>
  </cols>
  <sheetData>
    <row r="1" spans="2:8" ht="21" customHeight="1" x14ac:dyDescent="0.2">
      <c r="B1" s="61" t="s">
        <v>30</v>
      </c>
      <c r="C1" s="62"/>
      <c r="D1" s="62"/>
      <c r="E1" s="62"/>
      <c r="F1" s="62"/>
      <c r="G1" s="62"/>
      <c r="H1" s="62"/>
    </row>
    <row r="3" spans="2:8" ht="16.5" thickBot="1" x14ac:dyDescent="0.25">
      <c r="B3" s="2" t="s">
        <v>7</v>
      </c>
      <c r="C3" s="3"/>
      <c r="D3" s="4"/>
      <c r="E3" s="5"/>
      <c r="F3" s="6"/>
      <c r="G3" s="6"/>
    </row>
    <row r="4" spans="2:8" ht="24" x14ac:dyDescent="0.2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8" x14ac:dyDescent="0.2">
      <c r="B5" s="17" t="s">
        <v>31</v>
      </c>
      <c r="C5" s="18"/>
      <c r="D5" s="18"/>
      <c r="E5" s="19"/>
      <c r="F5" s="20"/>
      <c r="G5" s="20"/>
      <c r="H5" s="21"/>
    </row>
    <row r="6" spans="2:8" x14ac:dyDescent="0.2">
      <c r="B6" s="22" t="s">
        <v>32</v>
      </c>
      <c r="C6" s="23"/>
      <c r="D6" s="23"/>
      <c r="E6" s="24"/>
      <c r="F6" s="25"/>
      <c r="G6" s="25"/>
      <c r="H6" s="26"/>
    </row>
    <row r="7" spans="2:8" x14ac:dyDescent="0.2">
      <c r="B7" s="27" t="s">
        <v>116</v>
      </c>
      <c r="C7" s="23" t="s">
        <v>117</v>
      </c>
      <c r="D7" s="23" t="s">
        <v>118</v>
      </c>
      <c r="E7" s="28">
        <v>29000</v>
      </c>
      <c r="F7" s="25">
        <v>307.57</v>
      </c>
      <c r="G7" s="25">
        <v>1.56</v>
      </c>
      <c r="H7" s="26"/>
    </row>
    <row r="8" spans="2:8" x14ac:dyDescent="0.2">
      <c r="B8" s="27" t="s">
        <v>119</v>
      </c>
      <c r="C8" s="23" t="s">
        <v>120</v>
      </c>
      <c r="D8" s="23" t="s">
        <v>87</v>
      </c>
      <c r="E8" s="28">
        <v>24240</v>
      </c>
      <c r="F8" s="25">
        <v>286.89</v>
      </c>
      <c r="G8" s="25">
        <v>1.46</v>
      </c>
      <c r="H8" s="26"/>
    </row>
    <row r="9" spans="2:8" x14ac:dyDescent="0.2">
      <c r="B9" s="27" t="s">
        <v>36</v>
      </c>
      <c r="C9" s="23" t="s">
        <v>37</v>
      </c>
      <c r="D9" s="23" t="s">
        <v>38</v>
      </c>
      <c r="E9" s="28">
        <v>13500</v>
      </c>
      <c r="F9" s="25">
        <v>277.36</v>
      </c>
      <c r="G9" s="25">
        <v>1.41</v>
      </c>
      <c r="H9" s="26"/>
    </row>
    <row r="10" spans="2:8" x14ac:dyDescent="0.2">
      <c r="B10" s="27" t="s">
        <v>85</v>
      </c>
      <c r="C10" s="23" t="s">
        <v>86</v>
      </c>
      <c r="D10" s="23" t="s">
        <v>87</v>
      </c>
      <c r="E10" s="28">
        <v>62500</v>
      </c>
      <c r="F10" s="25">
        <v>245.38</v>
      </c>
      <c r="G10" s="25">
        <v>1.25</v>
      </c>
      <c r="H10" s="26"/>
    </row>
    <row r="11" spans="2:8" x14ac:dyDescent="0.2">
      <c r="B11" s="27" t="s">
        <v>121</v>
      </c>
      <c r="C11" s="23" t="s">
        <v>122</v>
      </c>
      <c r="D11" s="23" t="s">
        <v>118</v>
      </c>
      <c r="E11" s="28">
        <v>6000</v>
      </c>
      <c r="F11" s="25">
        <v>159.88999999999999</v>
      </c>
      <c r="G11" s="25">
        <v>0.81</v>
      </c>
      <c r="H11" s="26"/>
    </row>
    <row r="12" spans="2:8" x14ac:dyDescent="0.2">
      <c r="B12" s="27" t="s">
        <v>128</v>
      </c>
      <c r="C12" s="23" t="s">
        <v>129</v>
      </c>
      <c r="D12" s="23" t="s">
        <v>130</v>
      </c>
      <c r="E12" s="28">
        <v>4250</v>
      </c>
      <c r="F12" s="25">
        <v>140.63</v>
      </c>
      <c r="G12" s="25">
        <v>0.72</v>
      </c>
      <c r="H12" s="26"/>
    </row>
    <row r="13" spans="2:8" x14ac:dyDescent="0.2">
      <c r="B13" s="27" t="s">
        <v>125</v>
      </c>
      <c r="C13" s="23" t="s">
        <v>126</v>
      </c>
      <c r="D13" s="23" t="s">
        <v>127</v>
      </c>
      <c r="E13" s="28">
        <v>6330</v>
      </c>
      <c r="F13" s="25">
        <v>131.11000000000001</v>
      </c>
      <c r="G13" s="25">
        <v>0.67</v>
      </c>
      <c r="H13" s="26"/>
    </row>
    <row r="14" spans="2:8" x14ac:dyDescent="0.2">
      <c r="B14" s="27" t="s">
        <v>139</v>
      </c>
      <c r="C14" s="23" t="s">
        <v>140</v>
      </c>
      <c r="D14" s="23" t="s">
        <v>87</v>
      </c>
      <c r="E14" s="28">
        <v>22330</v>
      </c>
      <c r="F14" s="25">
        <v>109.98</v>
      </c>
      <c r="G14" s="25">
        <v>0.56000000000000005</v>
      </c>
      <c r="H14" s="26"/>
    </row>
    <row r="15" spans="2:8" x14ac:dyDescent="0.2">
      <c r="B15" s="27" t="s">
        <v>33</v>
      </c>
      <c r="C15" s="23" t="s">
        <v>34</v>
      </c>
      <c r="D15" s="23" t="s">
        <v>35</v>
      </c>
      <c r="E15" s="28">
        <v>9670</v>
      </c>
      <c r="F15" s="25">
        <v>89.88</v>
      </c>
      <c r="G15" s="25">
        <v>0.46</v>
      </c>
      <c r="H15" s="26"/>
    </row>
    <row r="16" spans="2:8" x14ac:dyDescent="0.2">
      <c r="B16" s="27" t="s">
        <v>134</v>
      </c>
      <c r="C16" s="23" t="s">
        <v>135</v>
      </c>
      <c r="D16" s="23" t="s">
        <v>130</v>
      </c>
      <c r="E16" s="28">
        <v>4400</v>
      </c>
      <c r="F16" s="25">
        <v>84.64</v>
      </c>
      <c r="G16" s="25">
        <v>0.43</v>
      </c>
      <c r="H16" s="26"/>
    </row>
    <row r="17" spans="2:8" x14ac:dyDescent="0.2">
      <c r="B17" s="27" t="s">
        <v>146</v>
      </c>
      <c r="C17" s="23" t="s">
        <v>147</v>
      </c>
      <c r="D17" s="23" t="s">
        <v>138</v>
      </c>
      <c r="E17" s="28">
        <v>14000</v>
      </c>
      <c r="F17" s="25">
        <v>83.16</v>
      </c>
      <c r="G17" s="25">
        <v>0.42</v>
      </c>
      <c r="H17" s="26"/>
    </row>
    <row r="18" spans="2:8" x14ac:dyDescent="0.2">
      <c r="B18" s="27" t="s">
        <v>169</v>
      </c>
      <c r="C18" s="23" t="s">
        <v>170</v>
      </c>
      <c r="D18" s="23" t="s">
        <v>133</v>
      </c>
      <c r="E18" s="28">
        <v>3000</v>
      </c>
      <c r="F18" s="25">
        <v>79.03</v>
      </c>
      <c r="G18" s="25">
        <v>0.4</v>
      </c>
      <c r="H18" s="26"/>
    </row>
    <row r="19" spans="2:8" x14ac:dyDescent="0.2">
      <c r="B19" s="27" t="s">
        <v>250</v>
      </c>
      <c r="C19" s="23" t="s">
        <v>251</v>
      </c>
      <c r="D19" s="23" t="s">
        <v>127</v>
      </c>
      <c r="E19" s="28">
        <v>15000</v>
      </c>
      <c r="F19" s="25">
        <v>73.930000000000007</v>
      </c>
      <c r="G19" s="25">
        <v>0.38</v>
      </c>
      <c r="H19" s="26"/>
    </row>
    <row r="20" spans="2:8" x14ac:dyDescent="0.2">
      <c r="B20" s="27" t="s">
        <v>136</v>
      </c>
      <c r="C20" s="23" t="s">
        <v>137</v>
      </c>
      <c r="D20" s="23" t="s">
        <v>138</v>
      </c>
      <c r="E20" s="28">
        <v>1000</v>
      </c>
      <c r="F20" s="25">
        <v>69.650000000000006</v>
      </c>
      <c r="G20" s="25">
        <v>0.35</v>
      </c>
      <c r="H20" s="26"/>
    </row>
    <row r="21" spans="2:8" x14ac:dyDescent="0.2">
      <c r="B21" s="27" t="s">
        <v>291</v>
      </c>
      <c r="C21" s="23" t="s">
        <v>292</v>
      </c>
      <c r="D21" s="23" t="s">
        <v>173</v>
      </c>
      <c r="E21" s="28">
        <v>9330</v>
      </c>
      <c r="F21" s="25">
        <v>69.25</v>
      </c>
      <c r="G21" s="25">
        <v>0.35</v>
      </c>
      <c r="H21" s="26"/>
    </row>
    <row r="22" spans="2:8" x14ac:dyDescent="0.2">
      <c r="B22" s="27" t="s">
        <v>100</v>
      </c>
      <c r="C22" s="23" t="s">
        <v>101</v>
      </c>
      <c r="D22" s="23" t="s">
        <v>102</v>
      </c>
      <c r="E22" s="28">
        <v>15700</v>
      </c>
      <c r="F22" s="25">
        <v>68.099999999999994</v>
      </c>
      <c r="G22" s="25">
        <v>0.35</v>
      </c>
      <c r="H22" s="26"/>
    </row>
    <row r="23" spans="2:8" x14ac:dyDescent="0.2">
      <c r="B23" s="27" t="s">
        <v>58</v>
      </c>
      <c r="C23" s="23" t="s">
        <v>59</v>
      </c>
      <c r="D23" s="23" t="s">
        <v>60</v>
      </c>
      <c r="E23" s="28">
        <v>9400</v>
      </c>
      <c r="F23" s="25">
        <v>66.319999999999993</v>
      </c>
      <c r="G23" s="25">
        <v>0.34</v>
      </c>
      <c r="H23" s="26"/>
    </row>
    <row r="24" spans="2:8" x14ac:dyDescent="0.2">
      <c r="B24" s="27" t="s">
        <v>77</v>
      </c>
      <c r="C24" s="23" t="s">
        <v>78</v>
      </c>
      <c r="D24" s="23" t="s">
        <v>44</v>
      </c>
      <c r="E24" s="28">
        <v>300</v>
      </c>
      <c r="F24" s="25">
        <v>65.08</v>
      </c>
      <c r="G24" s="25">
        <v>0.33</v>
      </c>
      <c r="H24" s="26"/>
    </row>
    <row r="25" spans="2:8" x14ac:dyDescent="0.2">
      <c r="B25" s="27" t="s">
        <v>252</v>
      </c>
      <c r="C25" s="23" t="s">
        <v>253</v>
      </c>
      <c r="D25" s="23" t="s">
        <v>127</v>
      </c>
      <c r="E25" s="28">
        <v>12500</v>
      </c>
      <c r="F25" s="25">
        <v>64.33</v>
      </c>
      <c r="G25" s="25">
        <v>0.33</v>
      </c>
      <c r="H25" s="26"/>
    </row>
    <row r="26" spans="2:8" x14ac:dyDescent="0.2">
      <c r="B26" s="27" t="s">
        <v>123</v>
      </c>
      <c r="C26" s="23" t="s">
        <v>124</v>
      </c>
      <c r="D26" s="23" t="s">
        <v>87</v>
      </c>
      <c r="E26" s="28">
        <v>4000</v>
      </c>
      <c r="F26" s="25">
        <v>61.9</v>
      </c>
      <c r="G26" s="25">
        <v>0.31</v>
      </c>
      <c r="H26" s="26"/>
    </row>
    <row r="27" spans="2:8" x14ac:dyDescent="0.2">
      <c r="B27" s="27" t="s">
        <v>189</v>
      </c>
      <c r="C27" s="23" t="s">
        <v>190</v>
      </c>
      <c r="D27" s="23" t="s">
        <v>130</v>
      </c>
      <c r="E27" s="28">
        <v>5000</v>
      </c>
      <c r="F27" s="25">
        <v>61.8</v>
      </c>
      <c r="G27" s="25">
        <v>0.31</v>
      </c>
      <c r="H27" s="26"/>
    </row>
    <row r="28" spans="2:8" x14ac:dyDescent="0.2">
      <c r="B28" s="27" t="s">
        <v>53</v>
      </c>
      <c r="C28" s="23" t="s">
        <v>54</v>
      </c>
      <c r="D28" s="23" t="s">
        <v>55</v>
      </c>
      <c r="E28" s="28">
        <v>20330</v>
      </c>
      <c r="F28" s="25">
        <v>50.9</v>
      </c>
      <c r="G28" s="25">
        <v>0.26</v>
      </c>
      <c r="H28" s="26"/>
    </row>
    <row r="29" spans="2:8" x14ac:dyDescent="0.2">
      <c r="B29" s="27" t="s">
        <v>83</v>
      </c>
      <c r="C29" s="23" t="s">
        <v>84</v>
      </c>
      <c r="D29" s="23" t="s">
        <v>66</v>
      </c>
      <c r="E29" s="28">
        <v>22000</v>
      </c>
      <c r="F29" s="25">
        <v>50.81</v>
      </c>
      <c r="G29" s="25">
        <v>0.26</v>
      </c>
      <c r="H29" s="26"/>
    </row>
    <row r="30" spans="2:8" x14ac:dyDescent="0.2">
      <c r="B30" s="27" t="s">
        <v>45</v>
      </c>
      <c r="C30" s="23" t="s">
        <v>46</v>
      </c>
      <c r="D30" s="23" t="s">
        <v>47</v>
      </c>
      <c r="E30" s="28">
        <v>165</v>
      </c>
      <c r="F30" s="25">
        <v>46.95</v>
      </c>
      <c r="G30" s="25">
        <v>0.24</v>
      </c>
      <c r="H30" s="26"/>
    </row>
    <row r="31" spans="2:8" x14ac:dyDescent="0.2">
      <c r="B31" s="27" t="s">
        <v>285</v>
      </c>
      <c r="C31" s="23" t="s">
        <v>286</v>
      </c>
      <c r="D31" s="23" t="s">
        <v>127</v>
      </c>
      <c r="E31" s="28">
        <v>28000</v>
      </c>
      <c r="F31" s="25">
        <v>46.27</v>
      </c>
      <c r="G31" s="25">
        <v>0.24</v>
      </c>
      <c r="H31" s="26"/>
    </row>
    <row r="32" spans="2:8" x14ac:dyDescent="0.2">
      <c r="B32" s="27" t="s">
        <v>174</v>
      </c>
      <c r="C32" s="23" t="s">
        <v>175</v>
      </c>
      <c r="D32" s="23" t="s">
        <v>173</v>
      </c>
      <c r="E32" s="28">
        <v>750</v>
      </c>
      <c r="F32" s="25">
        <v>45.06</v>
      </c>
      <c r="G32" s="25">
        <v>0.23</v>
      </c>
      <c r="H32" s="26"/>
    </row>
    <row r="33" spans="2:10" x14ac:dyDescent="0.2">
      <c r="B33" s="27" t="s">
        <v>64</v>
      </c>
      <c r="C33" s="23" t="s">
        <v>65</v>
      </c>
      <c r="D33" s="23" t="s">
        <v>66</v>
      </c>
      <c r="E33" s="28">
        <v>15000</v>
      </c>
      <c r="F33" s="25">
        <v>44.49</v>
      </c>
      <c r="G33" s="25">
        <v>0.23</v>
      </c>
      <c r="H33" s="26"/>
    </row>
    <row r="34" spans="2:10" x14ac:dyDescent="0.2">
      <c r="B34" s="27" t="s">
        <v>181</v>
      </c>
      <c r="C34" s="23" t="s">
        <v>182</v>
      </c>
      <c r="D34" s="23" t="s">
        <v>118</v>
      </c>
      <c r="E34" s="28">
        <v>3200</v>
      </c>
      <c r="F34" s="25">
        <v>42.48</v>
      </c>
      <c r="G34" s="25">
        <v>0.22</v>
      </c>
      <c r="H34" s="26"/>
    </row>
    <row r="35" spans="2:10" x14ac:dyDescent="0.2">
      <c r="B35" s="27" t="s">
        <v>185</v>
      </c>
      <c r="C35" s="23" t="s">
        <v>186</v>
      </c>
      <c r="D35" s="23" t="s">
        <v>127</v>
      </c>
      <c r="E35" s="28">
        <v>1870</v>
      </c>
      <c r="F35" s="25">
        <v>41.36</v>
      </c>
      <c r="G35" s="25">
        <v>0.21</v>
      </c>
      <c r="H35" s="26"/>
    </row>
    <row r="36" spans="2:10" x14ac:dyDescent="0.2">
      <c r="B36" s="27" t="s">
        <v>92</v>
      </c>
      <c r="C36" s="23" t="s">
        <v>93</v>
      </c>
      <c r="D36" s="23" t="s">
        <v>44</v>
      </c>
      <c r="E36" s="28">
        <v>900</v>
      </c>
      <c r="F36" s="25">
        <v>41.17</v>
      </c>
      <c r="G36" s="25">
        <v>0.21</v>
      </c>
      <c r="H36" s="26"/>
    </row>
    <row r="37" spans="2:10" x14ac:dyDescent="0.2">
      <c r="B37" s="27" t="s">
        <v>67</v>
      </c>
      <c r="C37" s="23" t="s">
        <v>68</v>
      </c>
      <c r="D37" s="23" t="s">
        <v>66</v>
      </c>
      <c r="E37" s="28">
        <v>10000</v>
      </c>
      <c r="F37" s="25">
        <v>40.229999999999997</v>
      </c>
      <c r="G37" s="25">
        <v>0.2</v>
      </c>
      <c r="H37" s="26"/>
    </row>
    <row r="38" spans="2:10" x14ac:dyDescent="0.2">
      <c r="B38" s="27" t="s">
        <v>279</v>
      </c>
      <c r="C38" s="23" t="s">
        <v>280</v>
      </c>
      <c r="D38" s="23" t="s">
        <v>127</v>
      </c>
      <c r="E38" s="28">
        <v>7700</v>
      </c>
      <c r="F38" s="25">
        <v>39.380000000000003</v>
      </c>
      <c r="G38" s="25">
        <v>0.2</v>
      </c>
      <c r="H38" s="26"/>
    </row>
    <row r="39" spans="2:10" x14ac:dyDescent="0.2">
      <c r="B39" s="27" t="s">
        <v>228</v>
      </c>
      <c r="C39" s="23" t="s">
        <v>229</v>
      </c>
      <c r="D39" s="23" t="s">
        <v>133</v>
      </c>
      <c r="E39" s="28">
        <v>800</v>
      </c>
      <c r="F39" s="25">
        <v>39.11</v>
      </c>
      <c r="G39" s="25">
        <v>0.2</v>
      </c>
      <c r="H39" s="26"/>
    </row>
    <row r="40" spans="2:10" x14ac:dyDescent="0.2">
      <c r="B40" s="27" t="s">
        <v>207</v>
      </c>
      <c r="C40" s="23" t="s">
        <v>208</v>
      </c>
      <c r="D40" s="23" t="s">
        <v>63</v>
      </c>
      <c r="E40" s="28">
        <v>8000</v>
      </c>
      <c r="F40" s="25">
        <v>36.1</v>
      </c>
      <c r="G40" s="25">
        <v>0.18</v>
      </c>
      <c r="H40" s="26"/>
    </row>
    <row r="41" spans="2:10" x14ac:dyDescent="0.2">
      <c r="B41" s="27" t="s">
        <v>183</v>
      </c>
      <c r="C41" s="23" t="s">
        <v>184</v>
      </c>
      <c r="D41" s="23" t="s">
        <v>60</v>
      </c>
      <c r="E41" s="28">
        <v>1600</v>
      </c>
      <c r="F41" s="25">
        <v>33.93</v>
      </c>
      <c r="G41" s="25">
        <v>0.17</v>
      </c>
      <c r="H41" s="26"/>
    </row>
    <row r="42" spans="2:10" x14ac:dyDescent="0.2">
      <c r="B42" s="27" t="s">
        <v>306</v>
      </c>
      <c r="C42" s="23" t="s">
        <v>307</v>
      </c>
      <c r="D42" s="23" t="s">
        <v>227</v>
      </c>
      <c r="E42" s="28">
        <v>1500</v>
      </c>
      <c r="F42" s="25">
        <v>28.98</v>
      </c>
      <c r="G42" s="25">
        <v>0.15</v>
      </c>
      <c r="H42" s="26"/>
    </row>
    <row r="43" spans="2:10" x14ac:dyDescent="0.2">
      <c r="B43" s="27" t="s">
        <v>158</v>
      </c>
      <c r="C43" s="23" t="s">
        <v>159</v>
      </c>
      <c r="D43" s="23" t="s">
        <v>127</v>
      </c>
      <c r="E43" s="28">
        <v>620</v>
      </c>
      <c r="F43" s="25">
        <v>21.53</v>
      </c>
      <c r="G43" s="25">
        <v>0.11</v>
      </c>
      <c r="H43" s="26"/>
    </row>
    <row r="44" spans="2:10" x14ac:dyDescent="0.2">
      <c r="B44" s="27" t="s">
        <v>154</v>
      </c>
      <c r="C44" s="23" t="s">
        <v>155</v>
      </c>
      <c r="D44" s="23" t="s">
        <v>60</v>
      </c>
      <c r="E44" s="28">
        <v>1800</v>
      </c>
      <c r="F44" s="25">
        <v>20.98</v>
      </c>
      <c r="G44" s="25">
        <v>0.11</v>
      </c>
      <c r="H44" s="26"/>
    </row>
    <row r="45" spans="2:10" x14ac:dyDescent="0.2">
      <c r="B45" s="27" t="s">
        <v>254</v>
      </c>
      <c r="C45" s="23" t="s">
        <v>255</v>
      </c>
      <c r="D45" s="23" t="s">
        <v>227</v>
      </c>
      <c r="E45" s="28">
        <v>700</v>
      </c>
      <c r="F45" s="25">
        <v>15.68</v>
      </c>
      <c r="G45" s="25">
        <v>0.08</v>
      </c>
      <c r="H45" s="26"/>
    </row>
    <row r="46" spans="2:10" x14ac:dyDescent="0.2">
      <c r="B46" s="27" t="s">
        <v>193</v>
      </c>
      <c r="C46" s="23" t="s">
        <v>194</v>
      </c>
      <c r="D46" s="23" t="s">
        <v>130</v>
      </c>
      <c r="E46" s="28">
        <v>1121</v>
      </c>
      <c r="F46" s="25">
        <v>8.9700000000000006</v>
      </c>
      <c r="G46" s="25">
        <v>0.05</v>
      </c>
      <c r="H46" s="26"/>
    </row>
    <row r="47" spans="2:10" x14ac:dyDescent="0.2">
      <c r="B47" s="29" t="s">
        <v>111</v>
      </c>
      <c r="C47" s="30"/>
      <c r="D47" s="30"/>
      <c r="E47" s="31"/>
      <c r="F47" s="32">
        <f>SUM(F7:F46)</f>
        <v>3290.2600000000007</v>
      </c>
      <c r="G47" s="32">
        <f>SUM(G7:G46)</f>
        <v>16.75</v>
      </c>
      <c r="H47" s="33"/>
      <c r="I47" s="14"/>
      <c r="J47" s="14"/>
    </row>
    <row r="48" spans="2:10" x14ac:dyDescent="0.2">
      <c r="B48" s="37" t="s">
        <v>112</v>
      </c>
      <c r="C48" s="37"/>
      <c r="D48" s="37"/>
      <c r="E48" s="38"/>
      <c r="F48" s="39">
        <f>F47</f>
        <v>3290.2600000000007</v>
      </c>
      <c r="G48" s="39">
        <f>G47</f>
        <v>16.75</v>
      </c>
      <c r="H48" s="15"/>
      <c r="I48" s="14"/>
      <c r="J48" s="14"/>
    </row>
    <row r="49" spans="2:10" x14ac:dyDescent="0.2">
      <c r="B49" s="46" t="s">
        <v>345</v>
      </c>
      <c r="C49" s="41"/>
      <c r="D49" s="41"/>
      <c r="E49" s="42"/>
      <c r="F49" s="43"/>
      <c r="G49" s="43"/>
      <c r="H49" s="43"/>
    </row>
    <row r="50" spans="2:10" x14ac:dyDescent="0.2">
      <c r="B50" s="47" t="s">
        <v>32</v>
      </c>
      <c r="C50" s="23"/>
      <c r="D50" s="23"/>
      <c r="E50" s="24"/>
      <c r="F50" s="25"/>
      <c r="G50" s="25"/>
      <c r="H50" s="25"/>
    </row>
    <row r="51" spans="2:10" x14ac:dyDescent="0.2">
      <c r="B51" s="23" t="s">
        <v>405</v>
      </c>
      <c r="C51" s="23" t="s">
        <v>406</v>
      </c>
      <c r="D51" s="23" t="s">
        <v>348</v>
      </c>
      <c r="E51" s="28">
        <v>150</v>
      </c>
      <c r="F51" s="25">
        <v>1578.72</v>
      </c>
      <c r="G51" s="25">
        <v>8.0299999999999994</v>
      </c>
      <c r="H51" s="25">
        <v>4.1900000000000004</v>
      </c>
    </row>
    <row r="52" spans="2:10" x14ac:dyDescent="0.2">
      <c r="B52" s="23" t="s">
        <v>494</v>
      </c>
      <c r="C52" s="23" t="s">
        <v>495</v>
      </c>
      <c r="D52" s="23" t="s">
        <v>348</v>
      </c>
      <c r="E52" s="28">
        <v>150</v>
      </c>
      <c r="F52" s="25">
        <v>1578.27</v>
      </c>
      <c r="G52" s="25">
        <v>8.0299999999999994</v>
      </c>
      <c r="H52" s="25">
        <v>4.18</v>
      </c>
    </row>
    <row r="53" spans="2:10" x14ac:dyDescent="0.2">
      <c r="B53" s="23" t="s">
        <v>788</v>
      </c>
      <c r="C53" s="23" t="s">
        <v>789</v>
      </c>
      <c r="D53" s="23" t="s">
        <v>348</v>
      </c>
      <c r="E53" s="28">
        <v>150</v>
      </c>
      <c r="F53" s="25">
        <v>1572.39</v>
      </c>
      <c r="G53" s="25">
        <v>8</v>
      </c>
      <c r="H53" s="25">
        <v>4.28</v>
      </c>
    </row>
    <row r="54" spans="2:10" x14ac:dyDescent="0.2">
      <c r="B54" s="23" t="s">
        <v>417</v>
      </c>
      <c r="C54" s="23" t="s">
        <v>418</v>
      </c>
      <c r="D54" s="23" t="s">
        <v>348</v>
      </c>
      <c r="E54" s="28">
        <v>140</v>
      </c>
      <c r="F54" s="25">
        <v>1474.3</v>
      </c>
      <c r="G54" s="25">
        <v>7.5</v>
      </c>
      <c r="H54" s="25">
        <v>4.13</v>
      </c>
    </row>
    <row r="55" spans="2:10" x14ac:dyDescent="0.2">
      <c r="B55" s="23" t="s">
        <v>677</v>
      </c>
      <c r="C55" s="23" t="s">
        <v>678</v>
      </c>
      <c r="D55" s="23" t="s">
        <v>348</v>
      </c>
      <c r="E55" s="28">
        <v>100</v>
      </c>
      <c r="F55" s="25">
        <v>1056.26</v>
      </c>
      <c r="G55" s="25">
        <v>5.37</v>
      </c>
      <c r="H55" s="25">
        <v>4.25</v>
      </c>
    </row>
    <row r="56" spans="2:10" x14ac:dyDescent="0.2">
      <c r="B56" s="23" t="s">
        <v>669</v>
      </c>
      <c r="C56" s="23" t="s">
        <v>670</v>
      </c>
      <c r="D56" s="23" t="s">
        <v>348</v>
      </c>
      <c r="E56" s="28">
        <v>100</v>
      </c>
      <c r="F56" s="25">
        <v>1031.47</v>
      </c>
      <c r="G56" s="25">
        <v>5.25</v>
      </c>
      <c r="H56" s="25">
        <v>4.2</v>
      </c>
    </row>
    <row r="57" spans="2:10" x14ac:dyDescent="0.2">
      <c r="B57" s="30" t="s">
        <v>111</v>
      </c>
      <c r="C57" s="30"/>
      <c r="D57" s="30"/>
      <c r="E57" s="31"/>
      <c r="F57" s="32">
        <f>SUM(F50:F56)</f>
        <v>8291.41</v>
      </c>
      <c r="G57" s="32">
        <f>SUM(G50:G56)</f>
        <v>42.18</v>
      </c>
      <c r="H57" s="48"/>
      <c r="I57" s="14"/>
      <c r="J57" s="14"/>
    </row>
    <row r="58" spans="2:10" x14ac:dyDescent="0.2">
      <c r="B58" s="49" t="s">
        <v>112</v>
      </c>
      <c r="C58" s="49"/>
      <c r="D58" s="49"/>
      <c r="E58" s="50"/>
      <c r="F58" s="51">
        <f>F57</f>
        <v>8291.41</v>
      </c>
      <c r="G58" s="51">
        <f>G57</f>
        <v>42.18</v>
      </c>
      <c r="H58" s="51"/>
      <c r="I58" s="14"/>
      <c r="J58" s="14"/>
    </row>
    <row r="59" spans="2:10" x14ac:dyDescent="0.2">
      <c r="B59" s="47" t="s">
        <v>424</v>
      </c>
      <c r="C59" s="23"/>
      <c r="D59" s="23"/>
      <c r="E59" s="24"/>
      <c r="F59" s="25"/>
      <c r="G59" s="25"/>
      <c r="H59" s="25"/>
    </row>
    <row r="60" spans="2:10" x14ac:dyDescent="0.2">
      <c r="B60" s="23" t="s">
        <v>693</v>
      </c>
      <c r="C60" s="23" t="s">
        <v>694</v>
      </c>
      <c r="D60" s="23" t="s">
        <v>427</v>
      </c>
      <c r="E60" s="28">
        <v>4200000</v>
      </c>
      <c r="F60" s="25">
        <v>4420.41</v>
      </c>
      <c r="G60" s="25">
        <v>22.48</v>
      </c>
      <c r="H60" s="25">
        <v>4.34</v>
      </c>
    </row>
    <row r="61" spans="2:10" x14ac:dyDescent="0.2">
      <c r="B61" s="23" t="s">
        <v>566</v>
      </c>
      <c r="C61" s="23" t="s">
        <v>567</v>
      </c>
      <c r="D61" s="23" t="s">
        <v>427</v>
      </c>
      <c r="E61" s="28">
        <v>2200000</v>
      </c>
      <c r="F61" s="25">
        <v>2323.81</v>
      </c>
      <c r="G61" s="25">
        <v>11.82</v>
      </c>
      <c r="H61" s="25">
        <v>4.34</v>
      </c>
    </row>
    <row r="62" spans="2:10" x14ac:dyDescent="0.2">
      <c r="B62" s="52" t="s">
        <v>790</v>
      </c>
      <c r="C62" s="52" t="s">
        <v>791</v>
      </c>
      <c r="D62" s="52" t="s">
        <v>427</v>
      </c>
      <c r="E62" s="53">
        <v>220000</v>
      </c>
      <c r="F62" s="54">
        <v>234.27</v>
      </c>
      <c r="G62" s="54">
        <v>1.19</v>
      </c>
      <c r="H62" s="54">
        <v>4.07</v>
      </c>
    </row>
    <row r="63" spans="2:10" x14ac:dyDescent="0.2">
      <c r="B63" s="55" t="s">
        <v>112</v>
      </c>
      <c r="C63" s="55"/>
      <c r="D63" s="55"/>
      <c r="E63" s="56"/>
      <c r="F63" s="57">
        <f>SUM(F60:F62)</f>
        <v>6978.49</v>
      </c>
      <c r="G63" s="57">
        <f>SUM(G60:G62)</f>
        <v>35.489999999999995</v>
      </c>
      <c r="H63" s="57"/>
      <c r="I63" s="14"/>
      <c r="J63" s="14"/>
    </row>
    <row r="64" spans="2:10" x14ac:dyDescent="0.2">
      <c r="B64" s="47" t="s">
        <v>113</v>
      </c>
      <c r="C64" s="23"/>
      <c r="D64" s="23"/>
      <c r="E64" s="24"/>
      <c r="F64" s="25"/>
      <c r="G64" s="25"/>
      <c r="H64" s="25"/>
    </row>
    <row r="65" spans="2:10" x14ac:dyDescent="0.2">
      <c r="B65" s="23" t="s">
        <v>113</v>
      </c>
      <c r="C65" s="23"/>
      <c r="D65" s="23"/>
      <c r="E65" s="24"/>
      <c r="F65" s="25">
        <v>654.21</v>
      </c>
      <c r="G65" s="25">
        <v>3.33</v>
      </c>
      <c r="H65" s="25"/>
    </row>
    <row r="66" spans="2:10" x14ac:dyDescent="0.2">
      <c r="B66" s="30" t="s">
        <v>111</v>
      </c>
      <c r="C66" s="30"/>
      <c r="D66" s="30"/>
      <c r="E66" s="31"/>
      <c r="F66" s="32">
        <f>SUM(F64:F65)</f>
        <v>654.21</v>
      </c>
      <c r="G66" s="32">
        <f>SUM(G64:G65)</f>
        <v>3.33</v>
      </c>
      <c r="H66" s="48"/>
      <c r="I66" s="14"/>
      <c r="J66" s="14"/>
    </row>
    <row r="67" spans="2:10" x14ac:dyDescent="0.2">
      <c r="B67" s="34" t="s">
        <v>112</v>
      </c>
      <c r="C67" s="34"/>
      <c r="D67" s="34"/>
      <c r="E67" s="35"/>
      <c r="F67" s="36">
        <f>F66</f>
        <v>654.21</v>
      </c>
      <c r="G67" s="36">
        <f>G66</f>
        <v>3.33</v>
      </c>
      <c r="H67" s="36"/>
      <c r="I67" s="14"/>
      <c r="J67" s="14"/>
    </row>
    <row r="68" spans="2:10" x14ac:dyDescent="0.2">
      <c r="B68" s="44" t="s">
        <v>115</v>
      </c>
      <c r="C68" s="44"/>
      <c r="D68" s="44"/>
      <c r="E68" s="45"/>
      <c r="F68" s="16">
        <f>F69-(+F48+F58+F63+F67)</f>
        <v>450.95000000000073</v>
      </c>
      <c r="G68" s="16">
        <f>G69-(+G48+G58+G63+G67)</f>
        <v>2.2500000000000142</v>
      </c>
      <c r="H68" s="16"/>
      <c r="I68" s="14"/>
      <c r="J68" s="14"/>
    </row>
    <row r="69" spans="2:10" x14ac:dyDescent="0.2">
      <c r="B69" s="44" t="s">
        <v>114</v>
      </c>
      <c r="C69" s="44"/>
      <c r="D69" s="44"/>
      <c r="E69" s="45"/>
      <c r="F69" s="16">
        <v>19665.32</v>
      </c>
      <c r="G69" s="16">
        <v>100</v>
      </c>
      <c r="H69" s="16"/>
      <c r="I69" s="14"/>
      <c r="J69" s="14"/>
    </row>
    <row r="71" spans="2:10" x14ac:dyDescent="0.2">
      <c r="B71" s="14" t="s">
        <v>792</v>
      </c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CRI</vt:lpstr>
      <vt:lpstr>CREDF</vt:lpstr>
      <vt:lpstr>CRETSF</vt:lpstr>
      <vt:lpstr>CREE</vt:lpstr>
      <vt:lpstr>CRCTF</vt:lpstr>
      <vt:lpstr>CRBCEF</vt:lpstr>
      <vt:lpstr>CRSCF</vt:lpstr>
      <vt:lpstr>CREHF</vt:lpstr>
      <vt:lpstr>CRDBF</vt:lpstr>
      <vt:lpstr>CRGILT</vt:lpstr>
      <vt:lpstr>CRINC</vt:lpstr>
      <vt:lpstr>CRSF</vt:lpstr>
      <vt:lpstr>CRCHF</vt:lpstr>
      <vt:lpstr>CRG1988</vt:lpstr>
      <vt:lpstr>CRL</vt:lpstr>
      <vt:lpstr>CRUSTF</vt:lpstr>
      <vt:lpstr>CROF</vt:lpstr>
      <vt:lpstr>CRSDF</vt:lpstr>
      <vt:lpstr>CRCBF</vt:lpstr>
      <vt:lpstr>CRCPOF9</vt:lpstr>
      <vt:lpstr>CRDAF1</vt:lpstr>
      <vt:lpstr>CRFMP8</vt:lpstr>
      <vt:lpstr>CRCPOF10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2020-11-06T07:14:03Z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CLAPUBLIC</vt:lpwstr>
  </property>
</Properties>
</file>