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"/>
    </mc:Choice>
  </mc:AlternateContent>
  <xr:revisionPtr revIDLastSave="0" documentId="8_{6207565E-6364-4668-9DA8-45767EA3AB0D}" xr6:coauthVersionLast="47" xr6:coauthVersionMax="47" xr10:uidLastSave="{00000000-0000-0000-0000-000000000000}"/>
  <bookViews>
    <workbookView xWindow="-120" yWindow="-120" windowWidth="20730" windowHeight="11160" xr2:uid="{B1B3CAB5-859E-468A-93B1-A93170683E4C}"/>
  </bookViews>
  <sheets>
    <sheet name="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G42" i="1"/>
  <c r="G43" i="1" s="1"/>
  <c r="F42" i="1"/>
  <c r="G39" i="1"/>
  <c r="F39" i="1"/>
  <c r="G35" i="1"/>
  <c r="F35" i="1"/>
  <c r="G30" i="1"/>
  <c r="F30" i="1"/>
  <c r="G24" i="1"/>
  <c r="G36" i="1" s="1"/>
  <c r="F24" i="1"/>
  <c r="F36" i="1" s="1"/>
  <c r="G15" i="1"/>
  <c r="G16" i="1" s="1"/>
  <c r="F15" i="1"/>
  <c r="F16" i="1" s="1"/>
  <c r="F44" i="1" s="1"/>
  <c r="G44" i="1" l="1"/>
</calcChain>
</file>

<file path=xl/sharedStrings.xml><?xml version="1.0" encoding="utf-8"?>
<sst xmlns="http://schemas.openxmlformats.org/spreadsheetml/2006/main" count="111" uniqueCount="89">
  <si>
    <t>CANARA ROBECO ULTRA SHORT TERM FUND</t>
  </si>
  <si>
    <t>Monthly Portfolio Statement as on April 30,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</si>
  <si>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</si>
  <si>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</si>
  <si>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</si>
  <si>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</si>
  <si>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</si>
  <si>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</si>
  <si>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</si>
  <si>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Apr'24</t>
  </si>
  <si>
    <t>Benchmark Risk-o-meter Level- Apr'24</t>
  </si>
  <si>
    <t>Scheme Risk-o-meter Level- Mar'24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</si>
  <si>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</si>
  <si>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</si>
  <si>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</si>
  <si>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</si>
  <si>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</si>
  <si>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</si>
  <si>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</si>
  <si>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</si>
  <si>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5.27% National Bank For Agriculture &amp; Rural Development (23/07/2024)</t>
  </si>
  <si>
    <t>INE261F08DF7</t>
  </si>
  <si>
    <t>CRISIL AAA</t>
  </si>
  <si>
    <t>Relatively Low (Class I)</t>
  </si>
  <si>
    <t>B-I</t>
  </si>
  <si>
    <t>7.34% Power Grid Corporation of India Ltd (15/07/2024)</t>
  </si>
  <si>
    <t>INE752E08569</t>
  </si>
  <si>
    <t>7.8983% SUNDARAM FINANCE LTD 18-DEC-24 **</t>
  </si>
  <si>
    <t>INE660A07RJ5</t>
  </si>
  <si>
    <t>ICRA AAA</t>
  </si>
  <si>
    <t>Moderate 
(Class II)</t>
  </si>
  <si>
    <t>7.60% REC Ltd (28/02/2026) **</t>
  </si>
  <si>
    <t>INE020B08EF4</t>
  </si>
  <si>
    <t>7.34% National Housing Bank (07/08/2025) **</t>
  </si>
  <si>
    <t>INE557F08FN7</t>
  </si>
  <si>
    <t>Relatively High (Class III)</t>
  </si>
  <si>
    <t>7.17% Power Finance Corporation Ltd (22/05/2025) **</t>
  </si>
  <si>
    <t>INE134E08KT5</t>
  </si>
  <si>
    <t>5.74% Kotak Mahindra Prime Ltd (22/10/2024) **</t>
  </si>
  <si>
    <t>INE916DA7RI1</t>
  </si>
  <si>
    <t>Benchmark: CRISIL Ultra Short Duration Debt A-I Index</t>
  </si>
  <si>
    <t>5.5315% LIC HOUSING FINANCE LTD 20-DEC-24 **</t>
  </si>
  <si>
    <t>INE115A07OX8</t>
  </si>
  <si>
    <t>Sub Total</t>
  </si>
  <si>
    <t>Total</t>
  </si>
  <si>
    <t>Money Market Instruments</t>
  </si>
  <si>
    <t>Certificate of Deposit</t>
  </si>
  <si>
    <t>Bank of Baroda (17/05/2024) ** #</t>
  </si>
  <si>
    <t>INE028A16EJ4</t>
  </si>
  <si>
    <t>IND A1+</t>
  </si>
  <si>
    <t>Small Industries Development Bank of India (06/06/2024) ** #</t>
  </si>
  <si>
    <t>INE556F16AK9</t>
  </si>
  <si>
    <t>CARE A1+</t>
  </si>
  <si>
    <t>Axis Bank Ltd (20/06/2024) ** #</t>
  </si>
  <si>
    <t>INE238AD6447</t>
  </si>
  <si>
    <t>CRISIL A1+</t>
  </si>
  <si>
    <t>HDFC Bank Ltd (06/12/2024) ** #</t>
  </si>
  <si>
    <t>INE040A16EH3</t>
  </si>
  <si>
    <t>Kotak Mahindra Bank Ltd (03/01/2025) ** #</t>
  </si>
  <si>
    <t>INE237A162V1</t>
  </si>
  <si>
    <t>Commercial Paper</t>
  </si>
  <si>
    <t>Godrej Consumer Products Ltd (07/06/2024) **</t>
  </si>
  <si>
    <t>INE102D14948</t>
  </si>
  <si>
    <t>ICRA A1+</t>
  </si>
  <si>
    <t>ICICI Securities Ltd (21/06/2024) **</t>
  </si>
  <si>
    <t>INE763G14TT5</t>
  </si>
  <si>
    <t>Reliance Jio Infocomm Ltd (25/06/2024) **</t>
  </si>
  <si>
    <t>INE110L14RX5</t>
  </si>
  <si>
    <t>Bajaj Housing Finance Ltd (28/06/2024)</t>
  </si>
  <si>
    <t>INE377Y14AM2</t>
  </si>
  <si>
    <t>Treasury Bill</t>
  </si>
  <si>
    <t>182 DTB (09-MAY-2024)</t>
  </si>
  <si>
    <t>IN002023Y334</t>
  </si>
  <si>
    <t xml:space="preserve"> Sovereign</t>
  </si>
  <si>
    <t>182 DTB (05-SEP-2024)</t>
  </si>
  <si>
    <t>IN002023Y516</t>
  </si>
  <si>
    <t>364 DTB (05-DEC-2024)</t>
  </si>
  <si>
    <t>IN002023Z380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</si>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</sst>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4</xdr:row>
      <xdr:rowOff>85724</xdr:rowOff>
    </xdr:from>
    <xdr:ext cx="1863481" cy="1385661"/>
    <xdr:pic>
      <xdr:nvPicPr>
        <xdr:cNvPr id="2" name="Picture 1">
          <a:extLst>
            <a:ext uri="{FF2B5EF4-FFF2-40B4-BE49-F238E27FC236}">
              <a16:creationId xmlns:a16="http://schemas.microsoft.com/office/drawing/2014/main" id="{5B5F8244-A429-4F04-8AA4-819DC80F7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2225" y="1076324"/>
          <a:ext cx="1863481" cy="1385661"/>
        </a:xfrm>
        <a:prstGeom prst="rect">
          <a:avLst/>
        </a:prstGeom>
      </xdr:spPr>
    </xdr:pic>
    <xdr:clientData/>
  </xdr:oneCellAnchor>
  <xdr:oneCellAnchor>
    <xdr:from>
      <xdr:col>11</xdr:col>
      <xdr:colOff>152400</xdr:colOff>
      <xdr:row>4</xdr:row>
      <xdr:rowOff>133349</xdr:rowOff>
    </xdr:from>
    <xdr:ext cx="1863481" cy="1343025"/>
    <xdr:pic>
      <xdr:nvPicPr>
        <xdr:cNvPr id="3" name="Picture 2">
          <a:extLst>
            <a:ext uri="{FF2B5EF4-FFF2-40B4-BE49-F238E27FC236}">
              <a16:creationId xmlns:a16="http://schemas.microsoft.com/office/drawing/2014/main" id="{30626841-8C64-4FDD-91B6-7B2DE958B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44675" y="1123949"/>
          <a:ext cx="1863481" cy="1343025"/>
        </a:xfrm>
        <a:prstGeom prst="rect">
          <a:avLst/>
        </a:prstGeom>
      </xdr:spPr>
    </xdr:pic>
    <xdr:clientData/>
  </xdr:oneCellAnchor>
  <xdr:twoCellAnchor editAs="oneCell">
    <xdr:from>
      <xdr:col>10</xdr:col>
      <xdr:colOff>66675</xdr:colOff>
      <xdr:row>4</xdr:row>
      <xdr:rowOff>95250</xdr:rowOff>
    </xdr:from>
    <xdr:to>
      <xdr:col>10</xdr:col>
      <xdr:colOff>2114550</xdr:colOff>
      <xdr:row>10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E5EBED-812A-41A0-9443-B8F01162A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0100" y="1085850"/>
          <a:ext cx="2047875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1E84-0029-42F9-880E-809FBBF71B1B}">
  <dimension ref="B1:Q55"/>
  <sheetViews>
    <sheetView tabSelected="1" workbookViewId="0">
      <selection activeCell="B1" sqref="B1:H1"/>
    </sheetView>
  </sheetViews>
  <sheetFormatPr defaultRowHeight="12" x14ac:dyDescent="0.2"/>
  <cols>
    <col min="1" max="1" width="9.140625" style="4"/>
    <col min="2" max="2" width="58.28515625" style="4" bestFit="1" customWidth="1"/>
    <col min="3" max="3" width="13.42578125" style="4" bestFit="1" customWidth="1"/>
    <col min="4" max="4" width="22.85546875" style="4" bestFit="1" customWidth="1"/>
    <col min="5" max="5" width="8.85546875" style="4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4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8"/>
      <c r="P6" s="28"/>
      <c r="Q6" s="28"/>
    </row>
    <row r="7" spans="2:17" x14ac:dyDescent="0.2">
      <c r="B7" s="25" t="s">
        <v>20</v>
      </c>
      <c r="C7" s="25" t="s">
        <v>21</v>
      </c>
      <c r="D7" s="25" t="s">
        <v>22</v>
      </c>
      <c r="E7" s="29">
        <v>300</v>
      </c>
      <c r="F7" s="26">
        <v>2983.87</v>
      </c>
      <c r="G7" s="26">
        <v>5.67</v>
      </c>
      <c r="H7" s="26">
        <v>7.38</v>
      </c>
      <c r="J7" s="21"/>
      <c r="K7" s="21"/>
      <c r="L7" s="21"/>
      <c r="N7" s="30" t="s">
        <v>23</v>
      </c>
      <c r="O7" s="31"/>
      <c r="P7" s="32" t="s">
        <v>24</v>
      </c>
      <c r="Q7" s="31"/>
    </row>
    <row r="8" spans="2:17" x14ac:dyDescent="0.2">
      <c r="B8" s="25" t="s">
        <v>25</v>
      </c>
      <c r="C8" s="25" t="s">
        <v>26</v>
      </c>
      <c r="D8" s="25" t="s">
        <v>22</v>
      </c>
      <c r="E8" s="29">
        <v>250</v>
      </c>
      <c r="F8" s="26">
        <v>2497.79</v>
      </c>
      <c r="G8" s="26">
        <v>4.75</v>
      </c>
      <c r="H8" s="26">
        <v>7.35</v>
      </c>
      <c r="J8" s="21"/>
      <c r="K8" s="21"/>
      <c r="L8" s="21"/>
      <c r="N8" s="30"/>
      <c r="O8" s="33"/>
      <c r="P8" s="34"/>
      <c r="Q8" s="33"/>
    </row>
    <row r="9" spans="2:17" x14ac:dyDescent="0.2">
      <c r="B9" s="25" t="s">
        <v>27</v>
      </c>
      <c r="C9" s="25" t="s">
        <v>28</v>
      </c>
      <c r="D9" s="25" t="s">
        <v>29</v>
      </c>
      <c r="E9" s="29">
        <v>250</v>
      </c>
      <c r="F9" s="26">
        <v>2497.14</v>
      </c>
      <c r="G9" s="26">
        <v>4.75</v>
      </c>
      <c r="H9" s="26">
        <v>7.86</v>
      </c>
      <c r="J9" s="21"/>
      <c r="K9" s="21"/>
      <c r="L9" s="21"/>
      <c r="N9" s="30" t="s">
        <v>30</v>
      </c>
      <c r="O9" s="31"/>
      <c r="P9" s="31"/>
      <c r="Q9" s="31"/>
    </row>
    <row r="10" spans="2:17" x14ac:dyDescent="0.2">
      <c r="B10" s="25" t="s">
        <v>31</v>
      </c>
      <c r="C10" s="25" t="s">
        <v>32</v>
      </c>
      <c r="D10" s="25" t="s">
        <v>22</v>
      </c>
      <c r="E10" s="29">
        <v>2500</v>
      </c>
      <c r="F10" s="26">
        <v>2493.85</v>
      </c>
      <c r="G10" s="26">
        <v>4.74</v>
      </c>
      <c r="H10" s="26">
        <v>7.73</v>
      </c>
      <c r="J10" s="21"/>
      <c r="K10" s="21"/>
      <c r="L10" s="21"/>
      <c r="N10" s="30"/>
      <c r="O10" s="33"/>
      <c r="P10" s="33"/>
      <c r="Q10" s="33"/>
    </row>
    <row r="11" spans="2:17" x14ac:dyDescent="0.2">
      <c r="B11" s="25" t="s">
        <v>33</v>
      </c>
      <c r="C11" s="25" t="s">
        <v>34</v>
      </c>
      <c r="D11" s="25" t="s">
        <v>22</v>
      </c>
      <c r="E11" s="29">
        <v>250</v>
      </c>
      <c r="F11" s="26">
        <v>2491.33</v>
      </c>
      <c r="G11" s="26">
        <v>4.74</v>
      </c>
      <c r="H11" s="26">
        <v>7.65</v>
      </c>
      <c r="J11" s="21"/>
      <c r="K11" s="21"/>
      <c r="L11" s="21"/>
      <c r="N11" s="30" t="s">
        <v>35</v>
      </c>
      <c r="O11" s="31"/>
      <c r="P11" s="31"/>
      <c r="Q11" s="31"/>
    </row>
    <row r="12" spans="2:17" x14ac:dyDescent="0.2">
      <c r="B12" s="25" t="s">
        <v>36</v>
      </c>
      <c r="C12" s="25" t="s">
        <v>37</v>
      </c>
      <c r="D12" s="25" t="s">
        <v>22</v>
      </c>
      <c r="E12" s="29">
        <v>250</v>
      </c>
      <c r="F12" s="26">
        <v>2485.31</v>
      </c>
      <c r="G12" s="26">
        <v>4.7300000000000004</v>
      </c>
      <c r="H12" s="26">
        <v>7.76</v>
      </c>
      <c r="J12" s="21"/>
      <c r="K12" s="21"/>
      <c r="L12" s="21"/>
      <c r="N12" s="30"/>
      <c r="O12" s="33"/>
      <c r="P12" s="33"/>
      <c r="Q12" s="33"/>
    </row>
    <row r="13" spans="2:17" x14ac:dyDescent="0.2">
      <c r="B13" s="25" t="s">
        <v>38</v>
      </c>
      <c r="C13" s="25" t="s">
        <v>39</v>
      </c>
      <c r="D13" s="25" t="s">
        <v>22</v>
      </c>
      <c r="E13" s="29">
        <v>250</v>
      </c>
      <c r="F13" s="26">
        <v>2472.5300000000002</v>
      </c>
      <c r="G13" s="26">
        <v>4.7</v>
      </c>
      <c r="H13" s="26">
        <v>7.9</v>
      </c>
      <c r="J13" s="35"/>
      <c r="K13" s="35" t="s">
        <v>40</v>
      </c>
    </row>
    <row r="14" spans="2:17" x14ac:dyDescent="0.2">
      <c r="B14" s="25" t="s">
        <v>41</v>
      </c>
      <c r="C14" s="25" t="s">
        <v>42</v>
      </c>
      <c r="D14" s="25" t="s">
        <v>22</v>
      </c>
      <c r="E14" s="29">
        <v>250</v>
      </c>
      <c r="F14" s="26">
        <v>2462.9299999999998</v>
      </c>
      <c r="G14" s="26">
        <v>4.68</v>
      </c>
      <c r="H14" s="26">
        <v>7.82</v>
      </c>
    </row>
    <row r="15" spans="2:17" x14ac:dyDescent="0.2">
      <c r="B15" s="36" t="s">
        <v>43</v>
      </c>
      <c r="C15" s="36"/>
      <c r="D15" s="36"/>
      <c r="E15" s="36"/>
      <c r="F15" s="37">
        <f>SUM(F6:F14)</f>
        <v>20384.75</v>
      </c>
      <c r="G15" s="37">
        <f>SUM(G6:G14)</f>
        <v>38.76</v>
      </c>
      <c r="H15" s="38"/>
    </row>
    <row r="16" spans="2:17" x14ac:dyDescent="0.2">
      <c r="B16" s="39" t="s">
        <v>44</v>
      </c>
      <c r="C16" s="39"/>
      <c r="D16" s="39"/>
      <c r="E16" s="39"/>
      <c r="F16" s="40">
        <f>F15</f>
        <v>20384.75</v>
      </c>
      <c r="G16" s="40">
        <f>G15</f>
        <v>38.76</v>
      </c>
      <c r="H16" s="40"/>
    </row>
    <row r="17" spans="2:8" x14ac:dyDescent="0.2">
      <c r="B17" s="24" t="s">
        <v>45</v>
      </c>
      <c r="C17" s="25"/>
      <c r="D17" s="25"/>
      <c r="E17" s="25"/>
      <c r="F17" s="26"/>
      <c r="G17" s="26"/>
      <c r="H17" s="26"/>
    </row>
    <row r="18" spans="2:8" x14ac:dyDescent="0.2">
      <c r="B18" s="24" t="s">
        <v>46</v>
      </c>
      <c r="C18" s="25"/>
      <c r="D18" s="25"/>
      <c r="E18" s="25"/>
      <c r="F18" s="26"/>
      <c r="G18" s="26"/>
      <c r="H18" s="26"/>
    </row>
    <row r="19" spans="2:8" x14ac:dyDescent="0.2">
      <c r="B19" s="25" t="s">
        <v>47</v>
      </c>
      <c r="C19" s="25" t="s">
        <v>48</v>
      </c>
      <c r="D19" s="25" t="s">
        <v>49</v>
      </c>
      <c r="E19" s="29">
        <v>500</v>
      </c>
      <c r="F19" s="26">
        <v>2492.23</v>
      </c>
      <c r="G19" s="26">
        <v>4.74</v>
      </c>
      <c r="H19" s="26">
        <v>7.12</v>
      </c>
    </row>
    <row r="20" spans="2:8" x14ac:dyDescent="0.2">
      <c r="B20" s="25" t="s">
        <v>50</v>
      </c>
      <c r="C20" s="25" t="s">
        <v>51</v>
      </c>
      <c r="D20" s="25" t="s">
        <v>52</v>
      </c>
      <c r="E20" s="29">
        <v>500</v>
      </c>
      <c r="F20" s="26">
        <v>2482.4299999999998</v>
      </c>
      <c r="G20" s="26">
        <v>4.72</v>
      </c>
      <c r="H20" s="26">
        <v>7.18</v>
      </c>
    </row>
    <row r="21" spans="2:8" x14ac:dyDescent="0.2">
      <c r="B21" s="25" t="s">
        <v>53</v>
      </c>
      <c r="C21" s="25" t="s">
        <v>54</v>
      </c>
      <c r="D21" s="25" t="s">
        <v>55</v>
      </c>
      <c r="E21" s="29">
        <v>500</v>
      </c>
      <c r="F21" s="26">
        <v>2475.6999999999998</v>
      </c>
      <c r="G21" s="26">
        <v>4.71</v>
      </c>
      <c r="H21" s="26">
        <v>7.17</v>
      </c>
    </row>
    <row r="22" spans="2:8" x14ac:dyDescent="0.2">
      <c r="B22" s="25" t="s">
        <v>56</v>
      </c>
      <c r="C22" s="25" t="s">
        <v>57</v>
      </c>
      <c r="D22" s="25" t="s">
        <v>52</v>
      </c>
      <c r="E22" s="29">
        <v>500</v>
      </c>
      <c r="F22" s="26">
        <v>2391.79</v>
      </c>
      <c r="G22" s="26">
        <v>4.55</v>
      </c>
      <c r="H22" s="26">
        <v>7.54</v>
      </c>
    </row>
    <row r="23" spans="2:8" x14ac:dyDescent="0.2">
      <c r="B23" s="25" t="s">
        <v>58</v>
      </c>
      <c r="C23" s="25" t="s">
        <v>59</v>
      </c>
      <c r="D23" s="25" t="s">
        <v>55</v>
      </c>
      <c r="E23" s="29">
        <v>500</v>
      </c>
      <c r="F23" s="26">
        <v>2378.63</v>
      </c>
      <c r="G23" s="26">
        <v>4.5199999999999996</v>
      </c>
      <c r="H23" s="26">
        <v>7.54</v>
      </c>
    </row>
    <row r="24" spans="2:8" x14ac:dyDescent="0.2">
      <c r="B24" s="24" t="s">
        <v>43</v>
      </c>
      <c r="C24" s="24"/>
      <c r="D24" s="24"/>
      <c r="E24" s="24"/>
      <c r="F24" s="41">
        <f>SUM(F18:F23)</f>
        <v>12220.779999999999</v>
      </c>
      <c r="G24" s="41">
        <f>SUM(G18:G23)</f>
        <v>23.240000000000002</v>
      </c>
      <c r="H24" s="42"/>
    </row>
    <row r="25" spans="2:8" x14ac:dyDescent="0.2">
      <c r="B25" s="24" t="s">
        <v>60</v>
      </c>
      <c r="C25" s="25"/>
      <c r="D25" s="25"/>
      <c r="E25" s="25"/>
      <c r="F25" s="26"/>
      <c r="G25" s="26"/>
      <c r="H25" s="26"/>
    </row>
    <row r="26" spans="2:8" x14ac:dyDescent="0.2">
      <c r="B26" s="25" t="s">
        <v>61</v>
      </c>
      <c r="C26" s="25" t="s">
        <v>62</v>
      </c>
      <c r="D26" s="25" t="s">
        <v>63</v>
      </c>
      <c r="E26" s="29">
        <v>500</v>
      </c>
      <c r="F26" s="26">
        <v>2481.96</v>
      </c>
      <c r="G26" s="26">
        <v>4.72</v>
      </c>
      <c r="H26" s="26">
        <v>7.17</v>
      </c>
    </row>
    <row r="27" spans="2:8" x14ac:dyDescent="0.2">
      <c r="B27" s="25" t="s">
        <v>64</v>
      </c>
      <c r="C27" s="25" t="s">
        <v>65</v>
      </c>
      <c r="D27" s="25" t="s">
        <v>55</v>
      </c>
      <c r="E27" s="29">
        <v>500</v>
      </c>
      <c r="F27" s="26">
        <v>2474.0700000000002</v>
      </c>
      <c r="G27" s="26">
        <v>4.7</v>
      </c>
      <c r="H27" s="26">
        <v>7.5</v>
      </c>
    </row>
    <row r="28" spans="2:8" x14ac:dyDescent="0.2">
      <c r="B28" s="25" t="s">
        <v>66</v>
      </c>
      <c r="C28" s="25" t="s">
        <v>67</v>
      </c>
      <c r="D28" s="25" t="s">
        <v>55</v>
      </c>
      <c r="E28" s="29">
        <v>500</v>
      </c>
      <c r="F28" s="26">
        <v>2473.15</v>
      </c>
      <c r="G28" s="26">
        <v>4.7</v>
      </c>
      <c r="H28" s="26">
        <v>7.2</v>
      </c>
    </row>
    <row r="29" spans="2:8" x14ac:dyDescent="0.2">
      <c r="B29" s="25" t="s">
        <v>68</v>
      </c>
      <c r="C29" s="25" t="s">
        <v>69</v>
      </c>
      <c r="D29" s="25" t="s">
        <v>55</v>
      </c>
      <c r="E29" s="29">
        <v>500</v>
      </c>
      <c r="F29" s="26">
        <v>2471.4499999999998</v>
      </c>
      <c r="G29" s="26">
        <v>4.7</v>
      </c>
      <c r="H29" s="26">
        <v>7.27</v>
      </c>
    </row>
    <row r="30" spans="2:8" x14ac:dyDescent="0.2">
      <c r="B30" s="24" t="s">
        <v>43</v>
      </c>
      <c r="C30" s="24"/>
      <c r="D30" s="24"/>
      <c r="E30" s="24"/>
      <c r="F30" s="41">
        <f>SUM(F25:F29)</f>
        <v>9900.630000000001</v>
      </c>
      <c r="G30" s="41">
        <f>SUM(G25:G29)</f>
        <v>18.82</v>
      </c>
      <c r="H30" s="42"/>
    </row>
    <row r="31" spans="2:8" x14ac:dyDescent="0.2">
      <c r="B31" s="24" t="s">
        <v>70</v>
      </c>
      <c r="C31" s="25"/>
      <c r="D31" s="25"/>
      <c r="E31" s="25"/>
      <c r="F31" s="26"/>
      <c r="G31" s="26"/>
      <c r="H31" s="26"/>
    </row>
    <row r="32" spans="2:8" x14ac:dyDescent="0.2">
      <c r="B32" s="25" t="s">
        <v>71</v>
      </c>
      <c r="C32" s="25" t="s">
        <v>72</v>
      </c>
      <c r="D32" s="25" t="s">
        <v>73</v>
      </c>
      <c r="E32" s="29">
        <v>2500000</v>
      </c>
      <c r="F32" s="26">
        <v>2496.36</v>
      </c>
      <c r="G32" s="26">
        <v>4.75</v>
      </c>
      <c r="H32" s="26">
        <v>6.65</v>
      </c>
    </row>
    <row r="33" spans="2:8" x14ac:dyDescent="0.2">
      <c r="B33" s="25" t="s">
        <v>74</v>
      </c>
      <c r="C33" s="25" t="s">
        <v>75</v>
      </c>
      <c r="D33" s="25" t="s">
        <v>73</v>
      </c>
      <c r="E33" s="29">
        <v>2500000</v>
      </c>
      <c r="F33" s="26">
        <v>2440.48</v>
      </c>
      <c r="G33" s="26">
        <v>4.6399999999999997</v>
      </c>
      <c r="H33" s="26">
        <v>7.01</v>
      </c>
    </row>
    <row r="34" spans="2:8" x14ac:dyDescent="0.2">
      <c r="B34" s="25" t="s">
        <v>76</v>
      </c>
      <c r="C34" s="25" t="s">
        <v>77</v>
      </c>
      <c r="D34" s="25" t="s">
        <v>73</v>
      </c>
      <c r="E34" s="29">
        <v>500000</v>
      </c>
      <c r="F34" s="26">
        <v>479.88</v>
      </c>
      <c r="G34" s="26">
        <v>0.91</v>
      </c>
      <c r="H34" s="26">
        <v>7.02</v>
      </c>
    </row>
    <row r="35" spans="2:8" x14ac:dyDescent="0.2">
      <c r="B35" s="36" t="s">
        <v>43</v>
      </c>
      <c r="C35" s="36"/>
      <c r="D35" s="36"/>
      <c r="E35" s="36"/>
      <c r="F35" s="37">
        <f>SUM(F31:F34)</f>
        <v>5416.72</v>
      </c>
      <c r="G35" s="37">
        <f>SUM(G31:G34)</f>
        <v>10.3</v>
      </c>
      <c r="H35" s="38"/>
    </row>
    <row r="36" spans="2:8" x14ac:dyDescent="0.2">
      <c r="B36" s="39" t="s">
        <v>44</v>
      </c>
      <c r="C36" s="39"/>
      <c r="D36" s="39"/>
      <c r="E36" s="39"/>
      <c r="F36" s="40">
        <f>F24+F30+F35</f>
        <v>27538.13</v>
      </c>
      <c r="G36" s="40">
        <f>G24+G30+G35</f>
        <v>52.36</v>
      </c>
      <c r="H36" s="40"/>
    </row>
    <row r="37" spans="2:8" x14ac:dyDescent="0.2">
      <c r="B37" s="24" t="s">
        <v>78</v>
      </c>
      <c r="C37" s="25"/>
      <c r="D37" s="25"/>
      <c r="E37" s="25"/>
      <c r="F37" s="26"/>
      <c r="G37" s="26"/>
      <c r="H37" s="26"/>
    </row>
    <row r="38" spans="2:8" x14ac:dyDescent="0.2">
      <c r="B38" s="43" t="s">
        <v>79</v>
      </c>
      <c r="C38" s="43" t="s">
        <v>80</v>
      </c>
      <c r="D38" s="43" t="s">
        <v>78</v>
      </c>
      <c r="E38" s="44">
        <v>1529.0239999999999</v>
      </c>
      <c r="F38" s="45">
        <v>156.16</v>
      </c>
      <c r="G38" s="45">
        <v>0.3</v>
      </c>
      <c r="H38" s="45">
        <v>6.94</v>
      </c>
    </row>
    <row r="39" spans="2:8" x14ac:dyDescent="0.2">
      <c r="B39" s="46" t="s">
        <v>44</v>
      </c>
      <c r="C39" s="46"/>
      <c r="D39" s="46"/>
      <c r="E39" s="46"/>
      <c r="F39" s="41">
        <f>SUM(F38:F38)</f>
        <v>156.16</v>
      </c>
      <c r="G39" s="41">
        <f>SUM(G38:G38)</f>
        <v>0.3</v>
      </c>
      <c r="H39" s="41"/>
    </row>
    <row r="40" spans="2:8" x14ac:dyDescent="0.2">
      <c r="B40" s="24" t="s">
        <v>81</v>
      </c>
      <c r="C40" s="25"/>
      <c r="D40" s="25"/>
      <c r="E40" s="25"/>
      <c r="F40" s="26"/>
      <c r="G40" s="26"/>
      <c r="H40" s="26"/>
    </row>
    <row r="41" spans="2:8" x14ac:dyDescent="0.2">
      <c r="B41" s="25" t="s">
        <v>81</v>
      </c>
      <c r="C41" s="25"/>
      <c r="D41" s="25"/>
      <c r="E41" s="25"/>
      <c r="F41" s="26">
        <v>4270.88</v>
      </c>
      <c r="G41" s="26">
        <v>8.1199999999999992</v>
      </c>
      <c r="H41" s="26"/>
    </row>
    <row r="42" spans="2:8" x14ac:dyDescent="0.2">
      <c r="B42" s="36" t="s">
        <v>43</v>
      </c>
      <c r="C42" s="36"/>
      <c r="D42" s="36"/>
      <c r="E42" s="36"/>
      <c r="F42" s="37">
        <f>SUM(F40:F41)</f>
        <v>4270.88</v>
      </c>
      <c r="G42" s="37">
        <f>SUM(G40:G41)</f>
        <v>8.1199999999999992</v>
      </c>
      <c r="H42" s="38"/>
    </row>
    <row r="43" spans="2:8" x14ac:dyDescent="0.2">
      <c r="B43" s="47" t="s">
        <v>44</v>
      </c>
      <c r="C43" s="47"/>
      <c r="D43" s="47"/>
      <c r="E43" s="47"/>
      <c r="F43" s="48">
        <f>F42</f>
        <v>4270.88</v>
      </c>
      <c r="G43" s="48">
        <f>G42</f>
        <v>8.1199999999999992</v>
      </c>
      <c r="H43" s="48"/>
    </row>
    <row r="44" spans="2:8" x14ac:dyDescent="0.2">
      <c r="B44" s="49" t="s">
        <v>82</v>
      </c>
      <c r="C44" s="49"/>
      <c r="D44" s="49"/>
      <c r="E44" s="49"/>
      <c r="F44" s="50">
        <f>F45-(+F16+F36+F39+F43)</f>
        <v>234.7699999999968</v>
      </c>
      <c r="G44" s="50">
        <f>G45-(+G16+G36+G39+G43)</f>
        <v>0.45999999999999375</v>
      </c>
      <c r="H44" s="50"/>
    </row>
    <row r="45" spans="2:8" x14ac:dyDescent="0.2">
      <c r="B45" s="49" t="s">
        <v>83</v>
      </c>
      <c r="C45" s="49"/>
      <c r="D45" s="49"/>
      <c r="E45" s="49"/>
      <c r="F45" s="50">
        <v>52584.69</v>
      </c>
      <c r="G45" s="50">
        <v>100</v>
      </c>
      <c r="H45" s="50"/>
    </row>
    <row r="47" spans="2:8" x14ac:dyDescent="0.2">
      <c r="B47" s="51" t="s">
        <v>84</v>
      </c>
    </row>
    <row r="48" spans="2:8" x14ac:dyDescent="0.2">
      <c r="B48" s="51" t="s">
        <v>85</v>
      </c>
    </row>
    <row r="49" spans="2:3" ht="12.75" thickBot="1" x14ac:dyDescent="0.25"/>
    <row r="50" spans="2:3" ht="13.5" thickTop="1" thickBot="1" x14ac:dyDescent="0.25">
      <c r="B50" s="52" t="s">
        <v>86</v>
      </c>
      <c r="C50" s="53">
        <v>0.39400000000000002</v>
      </c>
    </row>
    <row r="51" spans="2:3" ht="13.5" thickTop="1" thickBot="1" x14ac:dyDescent="0.25"/>
    <row r="52" spans="2:3" ht="13.5" thickTop="1" thickBot="1" x14ac:dyDescent="0.25">
      <c r="B52" s="52" t="s">
        <v>87</v>
      </c>
      <c r="C52" s="54">
        <v>7.3300000000000004E-2</v>
      </c>
    </row>
    <row r="53" spans="2:3" ht="13.5" thickTop="1" thickBot="1" x14ac:dyDescent="0.25"/>
    <row r="54" spans="2:3" ht="13.5" thickTop="1" thickBot="1" x14ac:dyDescent="0.25">
      <c r="B54" s="52" t="s">
        <v>88</v>
      </c>
      <c r="C54" s="53">
        <v>0.42359999999999998</v>
      </c>
    </row>
    <row r="55" spans="2:3" ht="12.75" thickTop="1" x14ac:dyDescent="0.2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2024-05-07 12:23:18</KDate>
  <Classification>Public</Classification>
  <Subclassification/>
  <HostName>MUMCMP00935</HostName>
  <Domain_User>CANARAROBECOMF/628</Domain_User>
  <IPAdd>192.9.198.194</IPAdd>
  <FilePath>Book20</FilePath>
  <KID>C025A5607E97638506813986901023</KID>
  <UniqueName/>
  <Suggested/>
  <Justification/>
</Klassify>
</file>

<file path=customXml/itemProps1.xml><?xml version="1.0" encoding="utf-8"?>
<ds:datastoreItem xmlns:ds="http://schemas.openxmlformats.org/officeDocument/2006/customXml" ds:itemID="{DD96583A-F052-476B-908A-A5A3A6D3F6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2024-05-07T06:53:15Z</dcterms:created>
  <dcterms:modified xsi:type="dcterms:W3CDTF">2024-05-07T06:53:19Z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C025A5607E97638506813986901023</vt:lpwstr>
  </property>
</Properties>
</file>