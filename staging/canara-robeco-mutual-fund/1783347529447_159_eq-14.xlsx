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ly 2023\"/>
    </mc:Choice>
  </mc:AlternateContent>
  <bookViews>
    <workbookView xWindow="0" yWindow="0" windowWidth="20490" windowHeight="7620"/>
  </bookViews>
  <sheets>
    <sheet name="EQ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3" i="1" l="1"/>
  <c r="G74" i="1" s="1"/>
  <c r="F73" i="1"/>
  <c r="F74" i="1" s="1"/>
  <c r="G69" i="1"/>
  <c r="G70" i="1" s="1"/>
  <c r="G75" i="1" s="1"/>
  <c r="F69" i="1"/>
  <c r="F70" i="1" s="1"/>
  <c r="F75" i="1" s="1"/>
</calcChain>
</file>

<file path=xl/sharedStrings.xml><?xml version="1.0" encoding="utf-8"?>
<sst xmlns="http://schemas.openxmlformats.org/spreadsheetml/2006/main" count="273" uniqueCount="179">
  <si>
    <t>CANARA ROBECO EMERGING EQUITIES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</si>
  <si>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</si>
  <si>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</si>
  <si>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</si>
  <si>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</si>
  <si>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</si>
  <si>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</si>
  <si>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</si>
  <si>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</si>
  <si>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Jul'23</t>
  </si>
  <si>
    <t>Benchmark Risk-o-meter Level- Jul'23</t>
  </si>
  <si>
    <t>Scheme Risk-o-meter Level- Jun'23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</si>
  <si>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</si>
  <si>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</si>
  <si>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</si>
  <si>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</si>
  <si>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</si>
  <si>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</si>
  <si>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</si>
  <si>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</si>
  <si>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Reliance Industries Ltd</t>
  </si>
  <si>
    <t>INE002A01018</t>
  </si>
  <si>
    <t>Petroleum Products</t>
  </si>
  <si>
    <t>Infosys Ltd</t>
  </si>
  <si>
    <t>INE009A01021</t>
  </si>
  <si>
    <t>IT - Software</t>
  </si>
  <si>
    <t>Cholamandalam Investment and Finance Co Ltd</t>
  </si>
  <si>
    <t>INE121A01024</t>
  </si>
  <si>
    <t>Finance</t>
  </si>
  <si>
    <t>Uno Minda Ltd</t>
  </si>
  <si>
    <t>INE405E01023</t>
  </si>
  <si>
    <t>Auto Components</t>
  </si>
  <si>
    <t>Mid Cap</t>
  </si>
  <si>
    <t>State Bank of India</t>
  </si>
  <si>
    <t>INE062A01020</t>
  </si>
  <si>
    <t>Benchmark: Nifty Large Midcap 250 TRI</t>
  </si>
  <si>
    <t>Bharat Electronics Ltd</t>
  </si>
  <si>
    <t>INE263A01024</t>
  </si>
  <si>
    <t>Aerospace &amp; Defense</t>
  </si>
  <si>
    <t>Max Healthcare Institute Ltd</t>
  </si>
  <si>
    <t>INE027H01010</t>
  </si>
  <si>
    <t>Healthcare Services</t>
  </si>
  <si>
    <t>Bajaj Finance Ltd</t>
  </si>
  <si>
    <t>INE296A01024</t>
  </si>
  <si>
    <t>Axis Bank Ltd</t>
  </si>
  <si>
    <t>INE238A01034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</si>
  <si>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</si>
  <si>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</si>
  <si>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</si>
  <si>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</si>
  <si>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</si>
  <si>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</si>
  <si>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Indian Hotels Co Ltd</t>
  </si>
  <si>
    <t>INE053A01029</t>
  </si>
  <si>
    <t>Leisure Services</t>
  </si>
  <si>
    <t>Ultratech Cement Ltd</t>
  </si>
  <si>
    <t>INE481G01011</t>
  </si>
  <si>
    <t>Cement &amp; Cement Products</t>
  </si>
  <si>
    <t>Polycab India Ltd</t>
  </si>
  <si>
    <t>INE455K01017</t>
  </si>
  <si>
    <t>Industrial Products</t>
  </si>
  <si>
    <t>Hindustan Unilever Ltd</t>
  </si>
  <si>
    <t>INE030A01027</t>
  </si>
  <si>
    <t>Diversified Fmcg</t>
  </si>
  <si>
    <t>Ashok Leyland Ltd</t>
  </si>
  <si>
    <t>INE208A01029</t>
  </si>
  <si>
    <t>Agricultural, Commercial &amp; Construction Vehicles</t>
  </si>
  <si>
    <t>Sun Pharmaceutical Industries Ltd</t>
  </si>
  <si>
    <t>INE044A01036</t>
  </si>
  <si>
    <t>Pharmaceuticals &amp; Biotechnology</t>
  </si>
  <si>
    <t>Trent Ltd</t>
  </si>
  <si>
    <t>INE849A01020</t>
  </si>
  <si>
    <t>Retailing</t>
  </si>
  <si>
    <t>Max Financial Services Ltd</t>
  </si>
  <si>
    <t>INE180A01020</t>
  </si>
  <si>
    <t>Insurance</t>
  </si>
  <si>
    <t>TVS Motor Co Ltd</t>
  </si>
  <si>
    <t>INE494B01023</t>
  </si>
  <si>
    <t>Automobiles</t>
  </si>
  <si>
    <t>Federal Bank Ltd</t>
  </si>
  <si>
    <t>INE171A01029</t>
  </si>
  <si>
    <t>Oberoi Realty Ltd</t>
  </si>
  <si>
    <t>INE093I01010</t>
  </si>
  <si>
    <t>Realty</t>
  </si>
  <si>
    <t>Abbott India Ltd</t>
  </si>
  <si>
    <t>INE358A01014</t>
  </si>
  <si>
    <t>PI Industries Ltd</t>
  </si>
  <si>
    <t>INE603J01030</t>
  </si>
  <si>
    <t>Fertilizers &amp; Agrochemicals</t>
  </si>
  <si>
    <t>AIA Engineering Ltd</t>
  </si>
  <si>
    <t>INE212H01026</t>
  </si>
  <si>
    <t>Mphasis Ltd</t>
  </si>
  <si>
    <t>INE356A01018</t>
  </si>
  <si>
    <t>ABB India Ltd</t>
  </si>
  <si>
    <t>INE117A01022</t>
  </si>
  <si>
    <t>Electrical Equipment</t>
  </si>
  <si>
    <t>Tata Consultancy Services Ltd</t>
  </si>
  <si>
    <t>INE467B01029</t>
  </si>
  <si>
    <t>Navin Fluorine International Ltd</t>
  </si>
  <si>
    <t>INE048G01026</t>
  </si>
  <si>
    <t>Chemicals &amp; Petrochemicals</t>
  </si>
  <si>
    <t>Bharat Forge Ltd</t>
  </si>
  <si>
    <t>INE465A01025</t>
  </si>
  <si>
    <t>Titan Co Ltd</t>
  </si>
  <si>
    <t>INE280A01028</t>
  </si>
  <si>
    <t>Consumer Durables</t>
  </si>
  <si>
    <t>Gujarat Gas Ltd</t>
  </si>
  <si>
    <t>INE844O01030</t>
  </si>
  <si>
    <t>Gas</t>
  </si>
  <si>
    <t>Creditaccess Grameen Ltd</t>
  </si>
  <si>
    <t>INE741K01010</t>
  </si>
  <si>
    <t>Small Cap</t>
  </si>
  <si>
    <t>Vinati Organics Ltd</t>
  </si>
  <si>
    <t>INE410B01037</t>
  </si>
  <si>
    <t>Sona Blw Precision Forgings Ltd</t>
  </si>
  <si>
    <t>INE073K01018</t>
  </si>
  <si>
    <t>Atul Ltd</t>
  </si>
  <si>
    <t>INE100A01010</t>
  </si>
  <si>
    <t>Century Textile &amp; Industries Ltd</t>
  </si>
  <si>
    <t>INE055A01016</t>
  </si>
  <si>
    <t>Paper, Forest &amp; Jute Products</t>
  </si>
  <si>
    <t>APL Apollo Tubes Ltd</t>
  </si>
  <si>
    <t>INE702C01027</t>
  </si>
  <si>
    <t>Blue Dart Express Ltd</t>
  </si>
  <si>
    <t>INE233B01017</t>
  </si>
  <si>
    <t>Transport Services</t>
  </si>
  <si>
    <t>Maruti Suzuki India Ltd</t>
  </si>
  <si>
    <t>INE585B01010</t>
  </si>
  <si>
    <t>Tata Consumer Products Ltd</t>
  </si>
  <si>
    <t>INE192A01025</t>
  </si>
  <si>
    <t>Agricultural Food &amp; Other Products</t>
  </si>
  <si>
    <t>Kotak Mahindra Bank Ltd</t>
  </si>
  <si>
    <t>INE237A01028</t>
  </si>
  <si>
    <t>Schaeffler India Ltd</t>
  </si>
  <si>
    <t>INE513A01022</t>
  </si>
  <si>
    <t>City Union Bank Ltd</t>
  </si>
  <si>
    <t>INE491A01021</t>
  </si>
  <si>
    <t>Page Industries Ltd</t>
  </si>
  <si>
    <t>INE761H01022</t>
  </si>
  <si>
    <t>Textiles &amp; Apparels</t>
  </si>
  <si>
    <t>Sundram Fasteners Ltd</t>
  </si>
  <si>
    <t>INE387A01021</t>
  </si>
  <si>
    <t>The Ramco Cements Ltd</t>
  </si>
  <si>
    <t>INE331A01037</t>
  </si>
  <si>
    <t>Honeywell Automation India Ltd</t>
  </si>
  <si>
    <t>INE671A01010</t>
  </si>
  <si>
    <t>Industrial Manufacturing</t>
  </si>
  <si>
    <t>Kansai Nerolac Paints Ltd</t>
  </si>
  <si>
    <t>INE531A01024</t>
  </si>
  <si>
    <t>Avenue Supermarts Ltd</t>
  </si>
  <si>
    <t>INE192R01011</t>
  </si>
  <si>
    <t>Bharat Dynamics Ltd</t>
  </si>
  <si>
    <t>INE171Z01018</t>
  </si>
  <si>
    <t>TCI Express Ltd</t>
  </si>
  <si>
    <t>INE586V01016</t>
  </si>
  <si>
    <t>Kajaria Ceramics Ltd</t>
  </si>
  <si>
    <t>INE217B01036</t>
  </si>
  <si>
    <t>Voltas Ltd</t>
  </si>
  <si>
    <t>INE226A01021</t>
  </si>
  <si>
    <t>Jio Financial Services Ltd</t>
  </si>
  <si>
    <t>INE758E01017</t>
  </si>
  <si>
    <t>Whirlpool Of India Ltd</t>
  </si>
  <si>
    <t>INE716A01013</t>
  </si>
  <si>
    <t>Aditya Birla Fashion and Retail Ltd</t>
  </si>
  <si>
    <t>INE647O01011</t>
  </si>
  <si>
    <t>Jubilant Foodworks Ltd</t>
  </si>
  <si>
    <t>INE797F01020</t>
  </si>
  <si>
    <t>Dr. Lal Path Labs Ltd</t>
  </si>
  <si>
    <t>INE600L01024</t>
  </si>
  <si>
    <t>3M India Ltd</t>
  </si>
  <si>
    <t>INE470A01017</t>
  </si>
  <si>
    <t>Diversified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</si>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</sst>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90073" y="102870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37984" y="105727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2759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0"/>
  <sheetViews>
    <sheetView tabSelected="1" workbookViewId="0"/>
  </sheetViews>
  <sheetFormatPr defaultRowHeight="12"/>
  <cols>
    <col min="1" max="1" width="9.140625" style="3"/>
    <col min="2" max="2" width="54" style="3" bestFit="1" customWidth="1"/>
    <col min="3" max="3" width="13.28515625" style="3" bestFit="1" customWidth="1"/>
    <col min="4" max="4" width="40.42578125" style="3" bestFit="1" customWidth="1"/>
    <col min="5" max="5" width="9.85546875" style="48" bestFit="1" customWidth="1"/>
    <col min="6" max="6" width="15.28515625" style="49" bestFit="1" customWidth="1"/>
    <col min="7" max="7" width="7.42578125" style="49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>
      <c r="B7" s="25" t="s">
        <v>14</v>
      </c>
      <c r="C7" s="21" t="s">
        <v>15</v>
      </c>
      <c r="D7" s="21" t="s">
        <v>16</v>
      </c>
      <c r="E7" s="26">
        <v>11698000</v>
      </c>
      <c r="F7" s="23">
        <v>116781.13</v>
      </c>
      <c r="G7" s="23">
        <v>6.51</v>
      </c>
      <c r="H7" s="23" t="s">
        <v>17</v>
      </c>
      <c r="I7" s="27"/>
      <c r="J7" s="24"/>
      <c r="K7" s="24"/>
      <c r="L7" s="24"/>
    </row>
    <row r="8" spans="2:12">
      <c r="B8" s="25" t="s">
        <v>18</v>
      </c>
      <c r="C8" s="21" t="s">
        <v>19</v>
      </c>
      <c r="D8" s="21" t="s">
        <v>16</v>
      </c>
      <c r="E8" s="26">
        <v>6806000</v>
      </c>
      <c r="F8" s="23">
        <v>112380.67</v>
      </c>
      <c r="G8" s="23">
        <v>6.27</v>
      </c>
      <c r="H8" s="23" t="s">
        <v>17</v>
      </c>
      <c r="I8" s="27"/>
      <c r="J8" s="24"/>
      <c r="K8" s="24"/>
      <c r="L8" s="24"/>
    </row>
    <row r="9" spans="2:12">
      <c r="B9" s="25" t="s">
        <v>20</v>
      </c>
      <c r="C9" s="21" t="s">
        <v>21</v>
      </c>
      <c r="D9" s="21" t="s">
        <v>22</v>
      </c>
      <c r="E9" s="26">
        <v>2728000</v>
      </c>
      <c r="F9" s="23">
        <v>69543.539999999994</v>
      </c>
      <c r="G9" s="23">
        <v>3.88</v>
      </c>
      <c r="H9" s="23" t="s">
        <v>17</v>
      </c>
      <c r="I9" s="27"/>
      <c r="J9" s="24"/>
      <c r="K9" s="24"/>
      <c r="L9" s="24"/>
    </row>
    <row r="10" spans="2:12">
      <c r="B10" s="25" t="s">
        <v>23</v>
      </c>
      <c r="C10" s="21" t="s">
        <v>24</v>
      </c>
      <c r="D10" s="21" t="s">
        <v>25</v>
      </c>
      <c r="E10" s="26">
        <v>4052500</v>
      </c>
      <c r="F10" s="23">
        <v>54939.74</v>
      </c>
      <c r="G10" s="23">
        <v>3.06</v>
      </c>
      <c r="H10" s="23" t="s">
        <v>17</v>
      </c>
      <c r="I10" s="27"/>
      <c r="J10" s="24"/>
      <c r="K10" s="24"/>
      <c r="L10" s="24"/>
    </row>
    <row r="11" spans="2:12">
      <c r="B11" s="25" t="s">
        <v>26</v>
      </c>
      <c r="C11" s="21" t="s">
        <v>27</v>
      </c>
      <c r="D11" s="21" t="s">
        <v>28</v>
      </c>
      <c r="E11" s="26">
        <v>4798109</v>
      </c>
      <c r="F11" s="23">
        <v>54319.39</v>
      </c>
      <c r="G11" s="23">
        <v>3.03</v>
      </c>
      <c r="H11" s="23" t="s">
        <v>17</v>
      </c>
      <c r="I11" s="27"/>
      <c r="J11" s="24"/>
      <c r="K11" s="24"/>
      <c r="L11" s="24"/>
    </row>
    <row r="12" spans="2:12">
      <c r="B12" s="25" t="s">
        <v>29</v>
      </c>
      <c r="C12" s="21" t="s">
        <v>30</v>
      </c>
      <c r="D12" s="21" t="s">
        <v>31</v>
      </c>
      <c r="E12" s="26">
        <v>8592364</v>
      </c>
      <c r="F12" s="23">
        <v>51137.45</v>
      </c>
      <c r="G12" s="23">
        <v>2.85</v>
      </c>
      <c r="H12" s="23" t="s">
        <v>32</v>
      </c>
      <c r="I12" s="27"/>
      <c r="J12" s="28"/>
      <c r="K12" s="28"/>
      <c r="L12" s="28"/>
    </row>
    <row r="13" spans="2:12">
      <c r="B13" s="25" t="s">
        <v>33</v>
      </c>
      <c r="C13" s="21" t="s">
        <v>34</v>
      </c>
      <c r="D13" s="21" t="s">
        <v>16</v>
      </c>
      <c r="E13" s="26">
        <v>8064000</v>
      </c>
      <c r="F13" s="23">
        <v>50012.93</v>
      </c>
      <c r="G13" s="23">
        <v>2.79</v>
      </c>
      <c r="H13" s="23" t="s">
        <v>17</v>
      </c>
      <c r="I13" s="27"/>
      <c r="J13" s="27"/>
      <c r="K13" s="29" t="s">
        <v>35</v>
      </c>
      <c r="L13" s="27"/>
    </row>
    <row r="14" spans="2:12">
      <c r="B14" s="25" t="s">
        <v>36</v>
      </c>
      <c r="C14" s="21" t="s">
        <v>37</v>
      </c>
      <c r="D14" s="21" t="s">
        <v>38</v>
      </c>
      <c r="E14" s="26">
        <v>37700000</v>
      </c>
      <c r="F14" s="23">
        <v>49273.9</v>
      </c>
      <c r="G14" s="23">
        <v>2.75</v>
      </c>
      <c r="H14" s="23" t="s">
        <v>17</v>
      </c>
      <c r="I14" s="27"/>
      <c r="J14" s="27"/>
      <c r="K14" s="27"/>
      <c r="L14" s="27"/>
    </row>
    <row r="15" spans="2:12">
      <c r="B15" s="25" t="s">
        <v>39</v>
      </c>
      <c r="C15" s="21" t="s">
        <v>40</v>
      </c>
      <c r="D15" s="21" t="s">
        <v>41</v>
      </c>
      <c r="E15" s="26">
        <v>7951829</v>
      </c>
      <c r="F15" s="23">
        <v>47305.43</v>
      </c>
      <c r="G15" s="23">
        <v>2.64</v>
      </c>
      <c r="H15" s="23" t="s">
        <v>32</v>
      </c>
      <c r="I15" s="27"/>
      <c r="J15" s="27"/>
      <c r="K15" s="27"/>
      <c r="L15" s="27"/>
    </row>
    <row r="16" spans="2:12">
      <c r="B16" s="25" t="s">
        <v>42</v>
      </c>
      <c r="C16" s="21" t="s">
        <v>43</v>
      </c>
      <c r="D16" s="21" t="s">
        <v>28</v>
      </c>
      <c r="E16" s="26">
        <v>616500</v>
      </c>
      <c r="F16" s="23">
        <v>45006.35</v>
      </c>
      <c r="G16" s="23">
        <v>2.5099999999999998</v>
      </c>
      <c r="H16" s="23" t="s">
        <v>17</v>
      </c>
      <c r="I16" s="27"/>
      <c r="J16" s="27"/>
      <c r="K16" s="27"/>
      <c r="L16" s="27"/>
    </row>
    <row r="17" spans="2:12">
      <c r="B17" s="25" t="s">
        <v>44</v>
      </c>
      <c r="C17" s="21" t="s">
        <v>45</v>
      </c>
      <c r="D17" s="21" t="s">
        <v>16</v>
      </c>
      <c r="E17" s="26">
        <v>4387090</v>
      </c>
      <c r="F17" s="23">
        <v>41848.449999999997</v>
      </c>
      <c r="G17" s="23">
        <v>2.33</v>
      </c>
      <c r="H17" s="23" t="s">
        <v>17</v>
      </c>
      <c r="I17" s="27"/>
      <c r="J17" s="27"/>
      <c r="K17" s="27"/>
      <c r="L17" s="27"/>
    </row>
    <row r="18" spans="2:12">
      <c r="B18" s="25" t="s">
        <v>46</v>
      </c>
      <c r="C18" s="21" t="s">
        <v>47</v>
      </c>
      <c r="D18" s="21" t="s">
        <v>48</v>
      </c>
      <c r="E18" s="26">
        <v>1432000</v>
      </c>
      <c r="F18" s="23">
        <v>38396.93</v>
      </c>
      <c r="G18" s="23">
        <v>2.14</v>
      </c>
      <c r="H18" s="23" t="s">
        <v>17</v>
      </c>
      <c r="I18" s="27"/>
      <c r="J18" s="27"/>
      <c r="K18" s="27"/>
      <c r="L18" s="27"/>
    </row>
    <row r="19" spans="2:12">
      <c r="B19" s="25" t="s">
        <v>49</v>
      </c>
      <c r="C19" s="21" t="s">
        <v>50</v>
      </c>
      <c r="D19" s="21" t="s">
        <v>51</v>
      </c>
      <c r="E19" s="26">
        <v>4131000</v>
      </c>
      <c r="F19" s="23">
        <v>36761.769999999997</v>
      </c>
      <c r="G19" s="23">
        <v>2.0499999999999998</v>
      </c>
      <c r="H19" s="23" t="s">
        <v>17</v>
      </c>
      <c r="I19" s="27"/>
      <c r="J19" s="27"/>
      <c r="K19" s="27"/>
      <c r="L19" s="27"/>
    </row>
    <row r="20" spans="2:12">
      <c r="B20" s="25" t="s">
        <v>52</v>
      </c>
      <c r="C20" s="21" t="s">
        <v>53</v>
      </c>
      <c r="D20" s="21" t="s">
        <v>54</v>
      </c>
      <c r="E20" s="26">
        <v>9257567</v>
      </c>
      <c r="F20" s="23">
        <v>36576.65</v>
      </c>
      <c r="G20" s="23">
        <v>2.04</v>
      </c>
      <c r="H20" s="23" t="s">
        <v>32</v>
      </c>
      <c r="I20" s="27"/>
      <c r="J20" s="27"/>
      <c r="K20" s="27"/>
      <c r="L20" s="27"/>
    </row>
    <row r="21" spans="2:12">
      <c r="B21" s="25" t="s">
        <v>55</v>
      </c>
      <c r="C21" s="21" t="s">
        <v>56</v>
      </c>
      <c r="D21" s="21" t="s">
        <v>57</v>
      </c>
      <c r="E21" s="26">
        <v>425141</v>
      </c>
      <c r="F21" s="23">
        <v>35363.870000000003</v>
      </c>
      <c r="G21" s="23">
        <v>1.97</v>
      </c>
      <c r="H21" s="23" t="s">
        <v>17</v>
      </c>
      <c r="I21" s="27"/>
      <c r="J21" s="27"/>
      <c r="K21" s="27"/>
      <c r="L21" s="27"/>
    </row>
    <row r="22" spans="2:12">
      <c r="B22" s="25" t="s">
        <v>58</v>
      </c>
      <c r="C22" s="21" t="s">
        <v>59</v>
      </c>
      <c r="D22" s="21" t="s">
        <v>60</v>
      </c>
      <c r="E22" s="26">
        <v>732180</v>
      </c>
      <c r="F22" s="23">
        <v>35267.65</v>
      </c>
      <c r="G22" s="23">
        <v>1.97</v>
      </c>
      <c r="H22" s="23" t="s">
        <v>32</v>
      </c>
      <c r="I22" s="27"/>
      <c r="J22" s="27"/>
      <c r="K22" s="27"/>
      <c r="L22" s="27"/>
    </row>
    <row r="23" spans="2:12">
      <c r="B23" s="25" t="s">
        <v>61</v>
      </c>
      <c r="C23" s="21" t="s">
        <v>62</v>
      </c>
      <c r="D23" s="21" t="s">
        <v>63</v>
      </c>
      <c r="E23" s="26">
        <v>1327000</v>
      </c>
      <c r="F23" s="23">
        <v>33981.82</v>
      </c>
      <c r="G23" s="23">
        <v>1.9</v>
      </c>
      <c r="H23" s="23" t="s">
        <v>17</v>
      </c>
      <c r="I23" s="27"/>
      <c r="J23" s="27"/>
      <c r="K23" s="27"/>
      <c r="L23" s="27"/>
    </row>
    <row r="24" spans="2:12">
      <c r="B24" s="25" t="s">
        <v>64</v>
      </c>
      <c r="C24" s="21" t="s">
        <v>65</v>
      </c>
      <c r="D24" s="21" t="s">
        <v>66</v>
      </c>
      <c r="E24" s="26">
        <v>18100000</v>
      </c>
      <c r="F24" s="23">
        <v>33304</v>
      </c>
      <c r="G24" s="23">
        <v>1.86</v>
      </c>
      <c r="H24" s="23" t="s">
        <v>32</v>
      </c>
      <c r="I24" s="27"/>
      <c r="J24" s="27"/>
      <c r="K24" s="27"/>
      <c r="L24" s="27"/>
    </row>
    <row r="25" spans="2:12">
      <c r="B25" s="25" t="s">
        <v>67</v>
      </c>
      <c r="C25" s="21" t="s">
        <v>68</v>
      </c>
      <c r="D25" s="21" t="s">
        <v>69</v>
      </c>
      <c r="E25" s="26">
        <v>2775000</v>
      </c>
      <c r="F25" s="23">
        <v>31729.35</v>
      </c>
      <c r="G25" s="23">
        <v>1.77</v>
      </c>
      <c r="H25" s="23" t="s">
        <v>17</v>
      </c>
      <c r="I25" s="27"/>
      <c r="J25" s="27"/>
      <c r="K25" s="27"/>
      <c r="L25" s="27"/>
    </row>
    <row r="26" spans="2:12">
      <c r="B26" s="25" t="s">
        <v>70</v>
      </c>
      <c r="C26" s="21" t="s">
        <v>71</v>
      </c>
      <c r="D26" s="21" t="s">
        <v>72</v>
      </c>
      <c r="E26" s="26">
        <v>1669601</v>
      </c>
      <c r="F26" s="23">
        <v>29336.560000000001</v>
      </c>
      <c r="G26" s="23">
        <v>1.64</v>
      </c>
      <c r="H26" s="23" t="s">
        <v>17</v>
      </c>
      <c r="I26" s="27"/>
      <c r="J26" s="27"/>
      <c r="K26" s="27"/>
      <c r="L26" s="27"/>
    </row>
    <row r="27" spans="2:12">
      <c r="B27" s="25" t="s">
        <v>73</v>
      </c>
      <c r="C27" s="21" t="s">
        <v>74</v>
      </c>
      <c r="D27" s="21" t="s">
        <v>75</v>
      </c>
      <c r="E27" s="26">
        <v>3568502</v>
      </c>
      <c r="F27" s="23">
        <v>29074.37</v>
      </c>
      <c r="G27" s="23">
        <v>1.62</v>
      </c>
      <c r="H27" s="23" t="s">
        <v>32</v>
      </c>
      <c r="I27" s="27"/>
      <c r="J27" s="27"/>
      <c r="K27" s="27"/>
      <c r="L27" s="27"/>
    </row>
    <row r="28" spans="2:12">
      <c r="B28" s="25" t="s">
        <v>76</v>
      </c>
      <c r="C28" s="21" t="s">
        <v>77</v>
      </c>
      <c r="D28" s="21" t="s">
        <v>78</v>
      </c>
      <c r="E28" s="26">
        <v>2100000</v>
      </c>
      <c r="F28" s="23">
        <v>28910.7</v>
      </c>
      <c r="G28" s="23">
        <v>1.61</v>
      </c>
      <c r="H28" s="23" t="s">
        <v>17</v>
      </c>
      <c r="I28" s="27"/>
      <c r="J28" s="27"/>
      <c r="K28" s="27"/>
      <c r="L28" s="27"/>
    </row>
    <row r="29" spans="2:12">
      <c r="B29" s="25" t="s">
        <v>79</v>
      </c>
      <c r="C29" s="21" t="s">
        <v>80</v>
      </c>
      <c r="D29" s="21" t="s">
        <v>16</v>
      </c>
      <c r="E29" s="26">
        <v>20687885</v>
      </c>
      <c r="F29" s="23">
        <v>28063.119999999999</v>
      </c>
      <c r="G29" s="23">
        <v>1.57</v>
      </c>
      <c r="H29" s="23" t="s">
        <v>32</v>
      </c>
      <c r="I29" s="27"/>
      <c r="J29" s="27"/>
      <c r="K29" s="27"/>
      <c r="L29" s="27"/>
    </row>
    <row r="30" spans="2:12">
      <c r="B30" s="25" t="s">
        <v>81</v>
      </c>
      <c r="C30" s="21" t="s">
        <v>82</v>
      </c>
      <c r="D30" s="21" t="s">
        <v>83</v>
      </c>
      <c r="E30" s="26">
        <v>2435000</v>
      </c>
      <c r="F30" s="23">
        <v>27261.040000000001</v>
      </c>
      <c r="G30" s="23">
        <v>1.52</v>
      </c>
      <c r="H30" s="23" t="s">
        <v>32</v>
      </c>
      <c r="I30" s="27"/>
      <c r="J30" s="27"/>
      <c r="K30" s="27"/>
      <c r="L30" s="27"/>
    </row>
    <row r="31" spans="2:12">
      <c r="B31" s="25" t="s">
        <v>84</v>
      </c>
      <c r="C31" s="21" t="s">
        <v>85</v>
      </c>
      <c r="D31" s="21" t="s">
        <v>69</v>
      </c>
      <c r="E31" s="26">
        <v>112506</v>
      </c>
      <c r="F31" s="23">
        <v>27078.62</v>
      </c>
      <c r="G31" s="23">
        <v>1.51</v>
      </c>
      <c r="H31" s="23" t="s">
        <v>32</v>
      </c>
      <c r="I31" s="27"/>
      <c r="J31" s="27"/>
      <c r="K31" s="27"/>
      <c r="L31" s="27"/>
    </row>
    <row r="32" spans="2:12">
      <c r="B32" s="25" t="s">
        <v>86</v>
      </c>
      <c r="C32" s="21" t="s">
        <v>87</v>
      </c>
      <c r="D32" s="21" t="s">
        <v>88</v>
      </c>
      <c r="E32" s="26">
        <v>731383</v>
      </c>
      <c r="F32" s="23">
        <v>26444.62</v>
      </c>
      <c r="G32" s="23">
        <v>1.47</v>
      </c>
      <c r="H32" s="23" t="s">
        <v>17</v>
      </c>
      <c r="I32" s="27"/>
      <c r="J32" s="27"/>
      <c r="K32" s="27"/>
      <c r="L32" s="27"/>
    </row>
    <row r="33" spans="2:12">
      <c r="B33" s="25" t="s">
        <v>89</v>
      </c>
      <c r="C33" s="21" t="s">
        <v>90</v>
      </c>
      <c r="D33" s="21" t="s">
        <v>60</v>
      </c>
      <c r="E33" s="26">
        <v>740640</v>
      </c>
      <c r="F33" s="23">
        <v>25613.919999999998</v>
      </c>
      <c r="G33" s="23">
        <v>1.43</v>
      </c>
      <c r="H33" s="23" t="s">
        <v>32</v>
      </c>
      <c r="I33" s="27"/>
      <c r="J33" s="27"/>
      <c r="K33" s="27"/>
      <c r="L33" s="27"/>
    </row>
    <row r="34" spans="2:12">
      <c r="B34" s="25" t="s">
        <v>91</v>
      </c>
      <c r="C34" s="21" t="s">
        <v>92</v>
      </c>
      <c r="D34" s="21" t="s">
        <v>25</v>
      </c>
      <c r="E34" s="26">
        <v>1081087</v>
      </c>
      <c r="F34" s="23">
        <v>24810.41</v>
      </c>
      <c r="G34" s="23">
        <v>1.38</v>
      </c>
      <c r="H34" s="23" t="s">
        <v>32</v>
      </c>
      <c r="I34" s="27"/>
      <c r="J34" s="27"/>
      <c r="K34" s="27"/>
      <c r="L34" s="27"/>
    </row>
    <row r="35" spans="2:12">
      <c r="B35" s="25" t="s">
        <v>93</v>
      </c>
      <c r="C35" s="21" t="s">
        <v>94</v>
      </c>
      <c r="D35" s="21" t="s">
        <v>95</v>
      </c>
      <c r="E35" s="26">
        <v>537938</v>
      </c>
      <c r="F35" s="23">
        <v>24491.24</v>
      </c>
      <c r="G35" s="23">
        <v>1.37</v>
      </c>
      <c r="H35" s="23" t="s">
        <v>17</v>
      </c>
      <c r="I35" s="27"/>
      <c r="J35" s="27"/>
      <c r="K35" s="27"/>
      <c r="L35" s="27"/>
    </row>
    <row r="36" spans="2:12">
      <c r="B36" s="25" t="s">
        <v>96</v>
      </c>
      <c r="C36" s="21" t="s">
        <v>97</v>
      </c>
      <c r="D36" s="21" t="s">
        <v>25</v>
      </c>
      <c r="E36" s="26">
        <v>696911</v>
      </c>
      <c r="F36" s="23">
        <v>23844.46</v>
      </c>
      <c r="G36" s="23">
        <v>1.33</v>
      </c>
      <c r="H36" s="23" t="s">
        <v>17</v>
      </c>
      <c r="I36" s="27"/>
      <c r="J36" s="27"/>
      <c r="K36" s="27"/>
      <c r="L36" s="27"/>
    </row>
    <row r="37" spans="2:12">
      <c r="B37" s="25" t="s">
        <v>98</v>
      </c>
      <c r="C37" s="21" t="s">
        <v>99</v>
      </c>
      <c r="D37" s="21" t="s">
        <v>100</v>
      </c>
      <c r="E37" s="26">
        <v>549298</v>
      </c>
      <c r="F37" s="23">
        <v>23426.19</v>
      </c>
      <c r="G37" s="23">
        <v>1.31</v>
      </c>
      <c r="H37" s="23" t="s">
        <v>32</v>
      </c>
      <c r="I37" s="27"/>
      <c r="J37" s="27"/>
      <c r="K37" s="27"/>
      <c r="L37" s="27"/>
    </row>
    <row r="38" spans="2:12">
      <c r="B38" s="25" t="s">
        <v>101</v>
      </c>
      <c r="C38" s="21" t="s">
        <v>102</v>
      </c>
      <c r="D38" s="21" t="s">
        <v>60</v>
      </c>
      <c r="E38" s="26">
        <v>2306703</v>
      </c>
      <c r="F38" s="23">
        <v>21485.79</v>
      </c>
      <c r="G38" s="23">
        <v>1.2</v>
      </c>
      <c r="H38" s="23" t="s">
        <v>32</v>
      </c>
      <c r="I38" s="27"/>
      <c r="J38" s="27"/>
      <c r="K38" s="27"/>
      <c r="L38" s="27"/>
    </row>
    <row r="39" spans="2:12">
      <c r="B39" s="25" t="s">
        <v>103</v>
      </c>
      <c r="C39" s="21" t="s">
        <v>104</v>
      </c>
      <c r="D39" s="21" t="s">
        <v>105</v>
      </c>
      <c r="E39" s="26">
        <v>715000</v>
      </c>
      <c r="F39" s="23">
        <v>21478.959999999999</v>
      </c>
      <c r="G39" s="23">
        <v>1.2</v>
      </c>
      <c r="H39" s="23" t="s">
        <v>17</v>
      </c>
      <c r="I39" s="27"/>
      <c r="J39" s="27"/>
      <c r="K39" s="27"/>
      <c r="L39" s="27"/>
    </row>
    <row r="40" spans="2:12">
      <c r="B40" s="25" t="s">
        <v>106</v>
      </c>
      <c r="C40" s="21" t="s">
        <v>107</v>
      </c>
      <c r="D40" s="21" t="s">
        <v>108</v>
      </c>
      <c r="E40" s="26">
        <v>4375300</v>
      </c>
      <c r="F40" s="23">
        <v>21119.57</v>
      </c>
      <c r="G40" s="23">
        <v>1.18</v>
      </c>
      <c r="H40" s="23" t="s">
        <v>32</v>
      </c>
      <c r="I40" s="27"/>
      <c r="J40" s="27"/>
      <c r="K40" s="27"/>
      <c r="L40" s="27"/>
    </row>
    <row r="41" spans="2:12">
      <c r="B41" s="25" t="s">
        <v>109</v>
      </c>
      <c r="C41" s="21" t="s">
        <v>110</v>
      </c>
      <c r="D41" s="21" t="s">
        <v>28</v>
      </c>
      <c r="E41" s="26">
        <v>1430000</v>
      </c>
      <c r="F41" s="23">
        <v>20824.38</v>
      </c>
      <c r="G41" s="23">
        <v>1.1599999999999999</v>
      </c>
      <c r="H41" s="23" t="s">
        <v>111</v>
      </c>
      <c r="I41" s="27"/>
      <c r="J41" s="27"/>
      <c r="K41" s="27"/>
      <c r="L41" s="27"/>
    </row>
    <row r="42" spans="2:12">
      <c r="B42" s="25" t="s">
        <v>112</v>
      </c>
      <c r="C42" s="21" t="s">
        <v>113</v>
      </c>
      <c r="D42" s="21" t="s">
        <v>100</v>
      </c>
      <c r="E42" s="26">
        <v>1110938</v>
      </c>
      <c r="F42" s="23">
        <v>20341.27</v>
      </c>
      <c r="G42" s="23">
        <v>1.1299999999999999</v>
      </c>
      <c r="H42" s="23" t="s">
        <v>32</v>
      </c>
      <c r="I42" s="27"/>
      <c r="J42" s="27"/>
      <c r="K42" s="27"/>
      <c r="L42" s="27"/>
    </row>
    <row r="43" spans="2:12">
      <c r="B43" s="25" t="s">
        <v>114</v>
      </c>
      <c r="C43" s="21" t="s">
        <v>115</v>
      </c>
      <c r="D43" s="21" t="s">
        <v>31</v>
      </c>
      <c r="E43" s="26">
        <v>3561563</v>
      </c>
      <c r="F43" s="23">
        <v>20304.47</v>
      </c>
      <c r="G43" s="23">
        <v>1.1299999999999999</v>
      </c>
      <c r="H43" s="23" t="s">
        <v>32</v>
      </c>
      <c r="I43" s="27"/>
      <c r="J43" s="27"/>
      <c r="K43" s="27"/>
      <c r="L43" s="27"/>
    </row>
    <row r="44" spans="2:12">
      <c r="B44" s="25" t="s">
        <v>116</v>
      </c>
      <c r="C44" s="21" t="s">
        <v>117</v>
      </c>
      <c r="D44" s="21" t="s">
        <v>100</v>
      </c>
      <c r="E44" s="26">
        <v>295105</v>
      </c>
      <c r="F44" s="23">
        <v>20057.25</v>
      </c>
      <c r="G44" s="23">
        <v>1.1200000000000001</v>
      </c>
      <c r="H44" s="23" t="s">
        <v>32</v>
      </c>
      <c r="I44" s="27"/>
      <c r="J44" s="27"/>
      <c r="K44" s="27"/>
      <c r="L44" s="27"/>
    </row>
    <row r="45" spans="2:12">
      <c r="B45" s="25" t="s">
        <v>118</v>
      </c>
      <c r="C45" s="21" t="s">
        <v>119</v>
      </c>
      <c r="D45" s="21" t="s">
        <v>120</v>
      </c>
      <c r="E45" s="26">
        <v>1849805</v>
      </c>
      <c r="F45" s="23">
        <v>19907.599999999999</v>
      </c>
      <c r="G45" s="23">
        <v>1.1100000000000001</v>
      </c>
      <c r="H45" s="23" t="s">
        <v>111</v>
      </c>
      <c r="I45" s="27"/>
      <c r="J45" s="27"/>
      <c r="K45" s="27"/>
      <c r="L45" s="27"/>
    </row>
    <row r="46" spans="2:12">
      <c r="B46" s="25" t="s">
        <v>121</v>
      </c>
      <c r="C46" s="21" t="s">
        <v>122</v>
      </c>
      <c r="D46" s="21" t="s">
        <v>60</v>
      </c>
      <c r="E46" s="26">
        <v>1222000</v>
      </c>
      <c r="F46" s="23">
        <v>19478.07</v>
      </c>
      <c r="G46" s="23">
        <v>1.0900000000000001</v>
      </c>
      <c r="H46" s="23" t="s">
        <v>32</v>
      </c>
      <c r="I46" s="27"/>
      <c r="J46" s="27"/>
      <c r="K46" s="27"/>
      <c r="L46" s="27"/>
    </row>
    <row r="47" spans="2:12">
      <c r="B47" s="25" t="s">
        <v>123</v>
      </c>
      <c r="C47" s="21" t="s">
        <v>124</v>
      </c>
      <c r="D47" s="21" t="s">
        <v>125</v>
      </c>
      <c r="E47" s="26">
        <v>286510</v>
      </c>
      <c r="F47" s="23">
        <v>19276.82</v>
      </c>
      <c r="G47" s="23">
        <v>1.08</v>
      </c>
      <c r="H47" s="23" t="s">
        <v>111</v>
      </c>
      <c r="I47" s="27"/>
      <c r="J47" s="27"/>
      <c r="K47" s="27"/>
      <c r="L47" s="27"/>
    </row>
    <row r="48" spans="2:12">
      <c r="B48" s="25" t="s">
        <v>126</v>
      </c>
      <c r="C48" s="21" t="s">
        <v>127</v>
      </c>
      <c r="D48" s="21" t="s">
        <v>78</v>
      </c>
      <c r="E48" s="26">
        <v>185000</v>
      </c>
      <c r="F48" s="23">
        <v>18168.39</v>
      </c>
      <c r="G48" s="23">
        <v>1.01</v>
      </c>
      <c r="H48" s="23" t="s">
        <v>17</v>
      </c>
      <c r="I48" s="27"/>
      <c r="J48" s="27"/>
      <c r="K48" s="27"/>
      <c r="L48" s="27"/>
    </row>
    <row r="49" spans="2:12">
      <c r="B49" s="25" t="s">
        <v>128</v>
      </c>
      <c r="C49" s="21" t="s">
        <v>129</v>
      </c>
      <c r="D49" s="21" t="s">
        <v>130</v>
      </c>
      <c r="E49" s="26">
        <v>2055000</v>
      </c>
      <c r="F49" s="23">
        <v>17658.62</v>
      </c>
      <c r="G49" s="23">
        <v>0.98</v>
      </c>
      <c r="H49" s="23" t="s">
        <v>17</v>
      </c>
      <c r="I49" s="27"/>
      <c r="J49" s="27"/>
      <c r="K49" s="27"/>
      <c r="L49" s="27"/>
    </row>
    <row r="50" spans="2:12">
      <c r="B50" s="25" t="s">
        <v>131</v>
      </c>
      <c r="C50" s="21" t="s">
        <v>132</v>
      </c>
      <c r="D50" s="21" t="s">
        <v>16</v>
      </c>
      <c r="E50" s="26">
        <v>934657</v>
      </c>
      <c r="F50" s="23">
        <v>17352.37</v>
      </c>
      <c r="G50" s="23">
        <v>0.97</v>
      </c>
      <c r="H50" s="23" t="s">
        <v>17</v>
      </c>
      <c r="I50" s="27"/>
      <c r="J50" s="27"/>
      <c r="K50" s="27"/>
      <c r="L50" s="27"/>
    </row>
    <row r="51" spans="2:12">
      <c r="B51" s="25" t="s">
        <v>133</v>
      </c>
      <c r="C51" s="21" t="s">
        <v>134</v>
      </c>
      <c r="D51" s="21" t="s">
        <v>31</v>
      </c>
      <c r="E51" s="26">
        <v>554325</v>
      </c>
      <c r="F51" s="23">
        <v>17299.37</v>
      </c>
      <c r="G51" s="23">
        <v>0.96</v>
      </c>
      <c r="H51" s="23" t="s">
        <v>32</v>
      </c>
      <c r="I51" s="27"/>
      <c r="J51" s="27"/>
      <c r="K51" s="27"/>
      <c r="L51" s="27"/>
    </row>
    <row r="52" spans="2:12">
      <c r="B52" s="25" t="s">
        <v>135</v>
      </c>
      <c r="C52" s="21" t="s">
        <v>136</v>
      </c>
      <c r="D52" s="21" t="s">
        <v>16</v>
      </c>
      <c r="E52" s="26">
        <v>12098290</v>
      </c>
      <c r="F52" s="23">
        <v>16114.92</v>
      </c>
      <c r="G52" s="23">
        <v>0.9</v>
      </c>
      <c r="H52" s="23" t="s">
        <v>111</v>
      </c>
      <c r="I52" s="27"/>
      <c r="J52" s="27"/>
      <c r="K52" s="27"/>
      <c r="L52" s="27"/>
    </row>
    <row r="53" spans="2:12">
      <c r="B53" s="25" t="s">
        <v>137</v>
      </c>
      <c r="C53" s="21" t="s">
        <v>138</v>
      </c>
      <c r="D53" s="21" t="s">
        <v>139</v>
      </c>
      <c r="E53" s="26">
        <v>41000</v>
      </c>
      <c r="F53" s="23">
        <v>15500.07</v>
      </c>
      <c r="G53" s="23">
        <v>0.86</v>
      </c>
      <c r="H53" s="23" t="s">
        <v>32</v>
      </c>
      <c r="I53" s="27"/>
      <c r="J53" s="27"/>
      <c r="K53" s="27"/>
      <c r="L53" s="27"/>
    </row>
    <row r="54" spans="2:12">
      <c r="B54" s="25" t="s">
        <v>140</v>
      </c>
      <c r="C54" s="21" t="s">
        <v>141</v>
      </c>
      <c r="D54" s="21" t="s">
        <v>31</v>
      </c>
      <c r="E54" s="26">
        <v>1147000</v>
      </c>
      <c r="F54" s="23">
        <v>14532.49</v>
      </c>
      <c r="G54" s="23">
        <v>0.81</v>
      </c>
      <c r="H54" s="23" t="s">
        <v>32</v>
      </c>
      <c r="I54" s="27"/>
      <c r="J54" s="27"/>
      <c r="K54" s="27"/>
      <c r="L54" s="27"/>
    </row>
    <row r="55" spans="2:12">
      <c r="B55" s="25" t="s">
        <v>142</v>
      </c>
      <c r="C55" s="21" t="s">
        <v>143</v>
      </c>
      <c r="D55" s="21" t="s">
        <v>57</v>
      </c>
      <c r="E55" s="26">
        <v>1476143</v>
      </c>
      <c r="F55" s="23">
        <v>13081.58</v>
      </c>
      <c r="G55" s="23">
        <v>0.73</v>
      </c>
      <c r="H55" s="23" t="s">
        <v>32</v>
      </c>
      <c r="I55" s="27"/>
      <c r="J55" s="27"/>
      <c r="K55" s="27"/>
      <c r="L55" s="27"/>
    </row>
    <row r="56" spans="2:12">
      <c r="B56" s="25" t="s">
        <v>144</v>
      </c>
      <c r="C56" s="21" t="s">
        <v>145</v>
      </c>
      <c r="D56" s="21" t="s">
        <v>146</v>
      </c>
      <c r="E56" s="26">
        <v>29761</v>
      </c>
      <c r="F56" s="23">
        <v>12795.13</v>
      </c>
      <c r="G56" s="23">
        <v>0.71</v>
      </c>
      <c r="H56" s="23" t="s">
        <v>32</v>
      </c>
      <c r="I56" s="27"/>
      <c r="J56" s="27"/>
      <c r="K56" s="27"/>
      <c r="L56" s="27"/>
    </row>
    <row r="57" spans="2:12">
      <c r="B57" s="25" t="s">
        <v>147</v>
      </c>
      <c r="C57" s="21" t="s">
        <v>148</v>
      </c>
      <c r="D57" s="21" t="s">
        <v>105</v>
      </c>
      <c r="E57" s="26">
        <v>3724824</v>
      </c>
      <c r="F57" s="23">
        <v>12493.06</v>
      </c>
      <c r="G57" s="23">
        <v>0.7</v>
      </c>
      <c r="H57" s="23" t="s">
        <v>32</v>
      </c>
      <c r="I57" s="27"/>
      <c r="J57" s="27"/>
      <c r="K57" s="27"/>
      <c r="L57" s="27"/>
    </row>
    <row r="58" spans="2:12">
      <c r="B58" s="25" t="s">
        <v>149</v>
      </c>
      <c r="C58" s="21" t="s">
        <v>150</v>
      </c>
      <c r="D58" s="21" t="s">
        <v>72</v>
      </c>
      <c r="E58" s="26">
        <v>328656</v>
      </c>
      <c r="F58" s="23">
        <v>12333.8</v>
      </c>
      <c r="G58" s="23">
        <v>0.69</v>
      </c>
      <c r="H58" s="23" t="s">
        <v>17</v>
      </c>
      <c r="I58" s="27"/>
      <c r="J58" s="27"/>
      <c r="K58" s="27"/>
      <c r="L58" s="27"/>
    </row>
    <row r="59" spans="2:12">
      <c r="B59" s="25" t="s">
        <v>151</v>
      </c>
      <c r="C59" s="21" t="s">
        <v>152</v>
      </c>
      <c r="D59" s="21" t="s">
        <v>38</v>
      </c>
      <c r="E59" s="26">
        <v>1000000</v>
      </c>
      <c r="F59" s="23">
        <v>12275.5</v>
      </c>
      <c r="G59" s="23">
        <v>0.68</v>
      </c>
      <c r="H59" s="23" t="s">
        <v>32</v>
      </c>
      <c r="I59" s="27"/>
      <c r="J59" s="27"/>
      <c r="K59" s="27"/>
      <c r="L59" s="27"/>
    </row>
    <row r="60" spans="2:12">
      <c r="B60" s="25" t="s">
        <v>153</v>
      </c>
      <c r="C60" s="21" t="s">
        <v>154</v>
      </c>
      <c r="D60" s="21" t="s">
        <v>125</v>
      </c>
      <c r="E60" s="26">
        <v>740075</v>
      </c>
      <c r="F60" s="23">
        <v>11764.6</v>
      </c>
      <c r="G60" s="23">
        <v>0.66</v>
      </c>
      <c r="H60" s="23" t="s">
        <v>111</v>
      </c>
      <c r="I60" s="27"/>
      <c r="J60" s="27"/>
      <c r="K60" s="27"/>
      <c r="L60" s="27"/>
    </row>
    <row r="61" spans="2:12">
      <c r="B61" s="25" t="s">
        <v>155</v>
      </c>
      <c r="C61" s="21" t="s">
        <v>156</v>
      </c>
      <c r="D61" s="21" t="s">
        <v>105</v>
      </c>
      <c r="E61" s="26">
        <v>714000</v>
      </c>
      <c r="F61" s="23">
        <v>10264.459999999999</v>
      </c>
      <c r="G61" s="23">
        <v>0.56999999999999995</v>
      </c>
      <c r="H61" s="23" t="s">
        <v>32</v>
      </c>
      <c r="I61" s="27"/>
      <c r="J61" s="27"/>
      <c r="K61" s="27"/>
      <c r="L61" s="27"/>
    </row>
    <row r="62" spans="2:12">
      <c r="B62" s="25" t="s">
        <v>157</v>
      </c>
      <c r="C62" s="21" t="s">
        <v>158</v>
      </c>
      <c r="D62" s="21" t="s">
        <v>105</v>
      </c>
      <c r="E62" s="26">
        <v>1142175</v>
      </c>
      <c r="F62" s="23">
        <v>8910.11</v>
      </c>
      <c r="G62" s="23">
        <v>0.5</v>
      </c>
      <c r="H62" s="23" t="s">
        <v>32</v>
      </c>
      <c r="I62" s="27"/>
      <c r="J62" s="27"/>
      <c r="K62" s="27"/>
      <c r="L62" s="27"/>
    </row>
    <row r="63" spans="2:12">
      <c r="B63" s="25" t="s">
        <v>159</v>
      </c>
      <c r="C63" s="21" t="s">
        <v>160</v>
      </c>
      <c r="D63" s="21" t="s">
        <v>28</v>
      </c>
      <c r="E63" s="26">
        <v>2728000</v>
      </c>
      <c r="F63" s="23">
        <v>7143.27</v>
      </c>
      <c r="G63" s="23">
        <v>0.4</v>
      </c>
      <c r="H63" s="23" t="s">
        <v>17</v>
      </c>
      <c r="I63" s="27"/>
      <c r="J63" s="27"/>
      <c r="K63" s="27"/>
      <c r="L63" s="27"/>
    </row>
    <row r="64" spans="2:12">
      <c r="B64" s="25" t="s">
        <v>161</v>
      </c>
      <c r="C64" s="21" t="s">
        <v>162</v>
      </c>
      <c r="D64" s="21" t="s">
        <v>105</v>
      </c>
      <c r="E64" s="26">
        <v>374122</v>
      </c>
      <c r="F64" s="23">
        <v>5459.38</v>
      </c>
      <c r="G64" s="23">
        <v>0.3</v>
      </c>
      <c r="H64" s="23" t="s">
        <v>32</v>
      </c>
      <c r="L64" s="27"/>
    </row>
    <row r="65" spans="2:12">
      <c r="B65" s="25" t="s">
        <v>163</v>
      </c>
      <c r="C65" s="21" t="s">
        <v>164</v>
      </c>
      <c r="D65" s="21" t="s">
        <v>72</v>
      </c>
      <c r="E65" s="26">
        <v>2423869</v>
      </c>
      <c r="F65" s="23">
        <v>5408.86</v>
      </c>
      <c r="G65" s="23">
        <v>0.3</v>
      </c>
      <c r="H65" s="23" t="s">
        <v>32</v>
      </c>
      <c r="L65" s="27"/>
    </row>
    <row r="66" spans="2:12">
      <c r="B66" s="25" t="s">
        <v>165</v>
      </c>
      <c r="C66" s="21" t="s">
        <v>166</v>
      </c>
      <c r="D66" s="21" t="s">
        <v>54</v>
      </c>
      <c r="E66" s="26">
        <v>930872</v>
      </c>
      <c r="F66" s="23">
        <v>4454.22</v>
      </c>
      <c r="G66" s="23">
        <v>0.25</v>
      </c>
      <c r="H66" s="23" t="s">
        <v>32</v>
      </c>
      <c r="L66" s="27"/>
    </row>
    <row r="67" spans="2:12">
      <c r="B67" s="25" t="s">
        <v>167</v>
      </c>
      <c r="C67" s="21" t="s">
        <v>168</v>
      </c>
      <c r="D67" s="21" t="s">
        <v>41</v>
      </c>
      <c r="E67" s="26">
        <v>160000</v>
      </c>
      <c r="F67" s="23">
        <v>3722.08</v>
      </c>
      <c r="G67" s="23">
        <v>0.21</v>
      </c>
      <c r="H67" s="23" t="s">
        <v>111</v>
      </c>
      <c r="L67" s="27"/>
    </row>
    <row r="68" spans="2:12">
      <c r="B68" s="25" t="s">
        <v>169</v>
      </c>
      <c r="C68" s="21" t="s">
        <v>170</v>
      </c>
      <c r="D68" s="21" t="s">
        <v>171</v>
      </c>
      <c r="E68" s="26">
        <v>10000</v>
      </c>
      <c r="F68" s="23">
        <v>2892.26</v>
      </c>
      <c r="G68" s="23">
        <v>0.16</v>
      </c>
      <c r="H68" s="23" t="s">
        <v>32</v>
      </c>
      <c r="L68" s="27"/>
    </row>
    <row r="69" spans="2:12">
      <c r="B69" s="30" t="s">
        <v>172</v>
      </c>
      <c r="C69" s="31"/>
      <c r="D69" s="31"/>
      <c r="E69" s="32"/>
      <c r="F69" s="33">
        <f>SUM(F7:F68)</f>
        <v>1736184.9900000009</v>
      </c>
      <c r="G69" s="33">
        <f>SUM(G7:G68)</f>
        <v>96.83</v>
      </c>
      <c r="H69" s="33"/>
      <c r="L69" s="27"/>
    </row>
    <row r="70" spans="2:12">
      <c r="B70" s="34" t="s">
        <v>173</v>
      </c>
      <c r="C70" s="34"/>
      <c r="D70" s="34"/>
      <c r="E70" s="35"/>
      <c r="F70" s="36">
        <f>F69</f>
        <v>1736184.9900000009</v>
      </c>
      <c r="G70" s="36">
        <f>G69</f>
        <v>96.83</v>
      </c>
      <c r="H70" s="36"/>
      <c r="L70" s="27"/>
    </row>
    <row r="71" spans="2:12">
      <c r="B71" s="37" t="s">
        <v>174</v>
      </c>
      <c r="C71" s="38"/>
      <c r="D71" s="38"/>
      <c r="E71" s="39"/>
      <c r="F71" s="40"/>
      <c r="G71" s="40"/>
      <c r="H71" s="40"/>
      <c r="L71" s="27"/>
    </row>
    <row r="72" spans="2:12">
      <c r="B72" s="25" t="s">
        <v>174</v>
      </c>
      <c r="C72" s="25"/>
      <c r="D72" s="21"/>
      <c r="E72" s="22"/>
      <c r="F72" s="23">
        <v>56256.58</v>
      </c>
      <c r="G72" s="23">
        <v>3.14</v>
      </c>
      <c r="H72" s="23"/>
      <c r="L72" s="27"/>
    </row>
    <row r="73" spans="2:12">
      <c r="B73" s="30" t="s">
        <v>172</v>
      </c>
      <c r="C73" s="31"/>
      <c r="D73" s="31"/>
      <c r="E73" s="32"/>
      <c r="F73" s="33">
        <f>SUM(F71:F72)</f>
        <v>56256.58</v>
      </c>
      <c r="G73" s="33">
        <f>SUM(G71:G72)</f>
        <v>3.14</v>
      </c>
      <c r="H73" s="33"/>
      <c r="L73" s="27"/>
    </row>
    <row r="74" spans="2:12">
      <c r="B74" s="41" t="s">
        <v>173</v>
      </c>
      <c r="C74" s="41"/>
      <c r="D74" s="41"/>
      <c r="E74" s="42"/>
      <c r="F74" s="43">
        <f>F73</f>
        <v>56256.58</v>
      </c>
      <c r="G74" s="43">
        <f>G73</f>
        <v>3.14</v>
      </c>
      <c r="H74" s="43"/>
      <c r="L74" s="27"/>
    </row>
    <row r="75" spans="2:12">
      <c r="B75" s="44" t="s">
        <v>175</v>
      </c>
      <c r="C75" s="44"/>
      <c r="D75" s="44"/>
      <c r="E75" s="45"/>
      <c r="F75" s="46">
        <f>F76-(+F70+F74)</f>
        <v>632.71999999904074</v>
      </c>
      <c r="G75" s="46">
        <f>G76-(+G70+G74)</f>
        <v>3.0000000000001137E-2</v>
      </c>
      <c r="H75" s="46"/>
      <c r="L75" s="27"/>
    </row>
    <row r="76" spans="2:12">
      <c r="B76" s="44" t="s">
        <v>176</v>
      </c>
      <c r="C76" s="44"/>
      <c r="D76" s="44"/>
      <c r="E76" s="45"/>
      <c r="F76" s="46">
        <v>1793074.29</v>
      </c>
      <c r="G76" s="46">
        <v>100</v>
      </c>
      <c r="H76" s="46"/>
      <c r="L76" s="27"/>
    </row>
    <row r="78" spans="2:12" ht="12.75" thickBot="1">
      <c r="B78" s="47"/>
    </row>
    <row r="79" spans="2:12" ht="13.5" thickTop="1" thickBot="1">
      <c r="B79" s="50" t="s">
        <v>177</v>
      </c>
      <c r="C79" s="51" t="s">
        <v>178</v>
      </c>
    </row>
    <row r="80" spans="2:12" ht="12.75" thickTop="1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2023-08-08 11:32:24</KDate>
  <Classification>Public</Classification>
  <Subclassification/>
  <HostName>MUMCMP00935</HostName>
  <Domain_User>CANARAROBECOMF/628</Domain_User>
  <IPAdd>192.9.198.194</IPAdd>
  <FilePath>Book4</FilePath>
  <KID>C025A5607E97638270911445998366</KID>
  <UniqueName/>
  <Suggested/>
  <Justification/>
</Klassify>
</file>

<file path=customXml/itemProps1.xml><?xml version="1.0" encoding="utf-8"?>
<ds:datastoreItem xmlns:ds="http://schemas.openxmlformats.org/officeDocument/2006/customXml" ds:itemID="{20272E04-DACE-4457-8060-55FEC73205A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2023-08-08T06:02:19Z</dcterms:created>
  <dcterms:modified xsi:type="dcterms:W3CDTF">2023-08-08T06:02:24Z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C025A5607E97638270911445998366</vt:lpwstr>
  </property>
</Properties>
</file>