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79368606-B96A-46F8-BDBA-9D5BB7961850}" xr6:coauthVersionLast="47" xr6:coauthVersionMax="47" xr10:uidLastSave="{00000000-0000-0000-0000-000000000000}"/>
  <bookViews>
    <workbookView xWindow="-120" yWindow="-120" windowWidth="20730" windowHeight="11040" xr2:uid="{C3BA4C4C-38D0-4DDE-94A4-215F95401805}"/>
  </bookViews>
  <sheets>
    <sheet name="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1" l="1"/>
  <c r="G76" i="1"/>
  <c r="G74" i="1"/>
  <c r="G75" i="1" s="1"/>
  <c r="F74" i="1"/>
  <c r="F75" i="1" s="1"/>
  <c r="G71" i="1"/>
  <c r="F71" i="1"/>
  <c r="G66" i="1"/>
  <c r="F66" i="1"/>
  <c r="G61" i="1"/>
  <c r="G67" i="1" s="1"/>
  <c r="F61" i="1"/>
  <c r="F67" i="1" s="1"/>
  <c r="G56" i="1"/>
  <c r="G57" i="1" s="1"/>
  <c r="F56" i="1"/>
  <c r="F57" i="1" s="1"/>
  <c r="J47" i="1"/>
  <c r="J48" i="1" s="1"/>
  <c r="G47" i="1"/>
  <c r="G48" i="1" s="1"/>
  <c r="G77" i="1" s="1"/>
  <c r="F47" i="1"/>
  <c r="F48" i="1" s="1"/>
  <c r="F77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<sst xmlns="http://schemas.openxmlformats.org/spreadsheetml/2006/main" count="241" uniqueCount="169">
  <si>
    <t>CANARA ROBECO MULTI ASSET ALLOCATION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</si>
  <si>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</si>
  <si>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</si>
  <si>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</si>
  <si>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</si>
  <si>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</si>
  <si>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</si>
  <si>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</si>
  <si>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</si>
  <si>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</si>
  <si>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Outstanding derivative exposure as % to net assets Long / (Short)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</si>
  <si>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</si>
  <si>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</si>
  <si>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</si>
  <si>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</si>
  <si>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</si>
  <si>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</si>
  <si>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</si>
  <si>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</si>
  <si>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</si>
  <si>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</si>
  <si>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</si>
  <si>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</si>
  <si>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</si>
  <si>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</si>
  <si>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</si>
  <si>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</si>
  <si>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</si>
  <si>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</si>
  <si>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</si>
  <si>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</si>
  <si>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</si>
  <si>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Infosys Ltd</t>
  </si>
  <si>
    <t>INE009A01021</t>
  </si>
  <si>
    <t>IT - Software</t>
  </si>
  <si>
    <t>Bajaj Finance Ltd</t>
  </si>
  <si>
    <t>INE296A01032</t>
  </si>
  <si>
    <t>Finance</t>
  </si>
  <si>
    <t>Benchmark: 65% BSE 200 TRI + 20% NIFTY Short Duration Debt Index + 10% Domestic Price of Gold + 5% Domestic Price of Silver</t>
  </si>
  <si>
    <t>Mahindra &amp; Mahindra Ltd</t>
  </si>
  <si>
    <t>INE101A01026</t>
  </si>
  <si>
    <t>Automobiles</t>
  </si>
  <si>
    <t>Titan Co Ltd</t>
  </si>
  <si>
    <t>INE280A01028</t>
  </si>
  <si>
    <t>Consumer Durables</t>
  </si>
  <si>
    <t>State Bank of India</t>
  </si>
  <si>
    <t>INE062A01020</t>
  </si>
  <si>
    <t>Axis Bank Ltd</t>
  </si>
  <si>
    <t>INE238A01034</t>
  </si>
  <si>
    <t>Varun Beverages Ltd</t>
  </si>
  <si>
    <t>INE200M01039</t>
  </si>
  <si>
    <t>Beverages</t>
  </si>
  <si>
    <t>Torrent Pharmaceuticals Ltd</t>
  </si>
  <si>
    <t>INE685A01028</t>
  </si>
  <si>
    <t>Pharmaceuticals &amp; Biotechnology</t>
  </si>
  <si>
    <t>Max Healthcare Institute Ltd</t>
  </si>
  <si>
    <t>INE027H01010</t>
  </si>
  <si>
    <t>Healthcare Services</t>
  </si>
  <si>
    <t>Eternal Ltd</t>
  </si>
  <si>
    <t>INE758T01015</t>
  </si>
  <si>
    <t>Retailing</t>
  </si>
  <si>
    <t>Indian Hotels Co Ltd</t>
  </si>
  <si>
    <t>INE053A01029</t>
  </si>
  <si>
    <t>Leisure Services</t>
  </si>
  <si>
    <t>TVS Motor Co Ltd</t>
  </si>
  <si>
    <t>INE494B01023</t>
  </si>
  <si>
    <t>Max Financial Services Ltd</t>
  </si>
  <si>
    <t>INE180A01020</t>
  </si>
  <si>
    <t>Insurance</t>
  </si>
  <si>
    <t>Mid Cap</t>
  </si>
  <si>
    <t>Interglobe Aviation Ltd</t>
  </si>
  <si>
    <t>INE646L01027</t>
  </si>
  <si>
    <t>Transport Services</t>
  </si>
  <si>
    <t>Vishal Mega Mart Ltd</t>
  </si>
  <si>
    <t>INE01EA01019</t>
  </si>
  <si>
    <t>Kotak Mahindra Bank Ltd</t>
  </si>
  <si>
    <t>INE237A01028</t>
  </si>
  <si>
    <t>Mankind Pharma Ltd</t>
  </si>
  <si>
    <t>INE634S01028</t>
  </si>
  <si>
    <t>Ultratech Cement Ltd</t>
  </si>
  <si>
    <t>INE481G01011</t>
  </si>
  <si>
    <t>Cement &amp; Cement Products</t>
  </si>
  <si>
    <t>Jubilant Foodworks Ltd</t>
  </si>
  <si>
    <t>INE797F01020</t>
  </si>
  <si>
    <t>Hindustan Aeronautics Ltd</t>
  </si>
  <si>
    <t>INE066F01020</t>
  </si>
  <si>
    <t>Aerospace &amp; Defense</t>
  </si>
  <si>
    <t>Info Edge (India) Ltd</t>
  </si>
  <si>
    <t>INE663F01032</t>
  </si>
  <si>
    <t>Sun Pharmaceutical Industries Ltd</t>
  </si>
  <si>
    <t>INE044A01036</t>
  </si>
  <si>
    <t>Bharat Electronics Ltd</t>
  </si>
  <si>
    <t>INE263A01024</t>
  </si>
  <si>
    <t>Divi's Laboratories Ltd</t>
  </si>
  <si>
    <t>INE361B01024</t>
  </si>
  <si>
    <t>United Spirits Ltd</t>
  </si>
  <si>
    <t>INE854D01024</t>
  </si>
  <si>
    <t>Dr. Lal Path Labs Ltd</t>
  </si>
  <si>
    <t>INE600L01024</t>
  </si>
  <si>
    <t>Small Cap</t>
  </si>
  <si>
    <t>PB Fintech Ltd</t>
  </si>
  <si>
    <t>INE417T01026</t>
  </si>
  <si>
    <t>Financial Technology (Fintech)</t>
  </si>
  <si>
    <t>PI Industries Ltd</t>
  </si>
  <si>
    <t>INE603J01030</t>
  </si>
  <si>
    <t>Fertilizers &amp; Agrochemicals</t>
  </si>
  <si>
    <t>Trent Ltd</t>
  </si>
  <si>
    <t>INE849A01020</t>
  </si>
  <si>
    <t>KEI Industries Ltd</t>
  </si>
  <si>
    <t>INE878B01027</t>
  </si>
  <si>
    <t>Industrial Products</t>
  </si>
  <si>
    <t>Dixon Technologies (India) Ltd</t>
  </si>
  <si>
    <t>INE935N01020</t>
  </si>
  <si>
    <t>Persistent Systems Ltd</t>
  </si>
  <si>
    <t>INE262H01021</t>
  </si>
  <si>
    <t>Havells India Ltd</t>
  </si>
  <si>
    <t>INE176B01034</t>
  </si>
  <si>
    <t>Mrs Bectors Food Specialities Ltd</t>
  </si>
  <si>
    <t>INE495P01020</t>
  </si>
  <si>
    <t>Food Products</t>
  </si>
  <si>
    <t>HDFC Asset Management Co Ltd</t>
  </si>
  <si>
    <t>INE127D01025</t>
  </si>
  <si>
    <t>Capital Markets</t>
  </si>
  <si>
    <t>Sub Total</t>
  </si>
  <si>
    <t>Total</t>
  </si>
  <si>
    <t>Debt Instruments</t>
  </si>
  <si>
    <t>7.7951% BAJAJ FINANCE LTD 10-DEC-27 **</t>
  </si>
  <si>
    <t>INE296A07TF2</t>
  </si>
  <si>
    <t>CRISIL AAA</t>
  </si>
  <si>
    <t>7.58% National Bank For Agriculture &amp; Rural Development (31/07/2026)</t>
  </si>
  <si>
    <t>INE261F08DX0</t>
  </si>
  <si>
    <t>7.02% Bajaj Housing Finance Ltd (26/05/2028) **</t>
  </si>
  <si>
    <t>INE377Y07565</t>
  </si>
  <si>
    <t>8.00% Bajaj Housing Finance Ltd (16/02/2026) **</t>
  </si>
  <si>
    <t>INE377Y07466</t>
  </si>
  <si>
    <t>6.00% TVS Motor Co Ltd NCRPS **</t>
  </si>
  <si>
    <t>INE494B04019</t>
  </si>
  <si>
    <t>CARE A1+</t>
  </si>
  <si>
    <t>Money Market Instruments</t>
  </si>
  <si>
    <t>Certificate of Deposit</t>
  </si>
  <si>
    <t>National Bank For Agriculture &amp; Rural Development (25/03/2026) ** #</t>
  </si>
  <si>
    <t>INE261F16AA7</t>
  </si>
  <si>
    <t>CRISIL A1+</t>
  </si>
  <si>
    <t>Treasury Bill</t>
  </si>
  <si>
    <t>182 DTB (28-MAY-2026)</t>
  </si>
  <si>
    <t>IN002025Y354</t>
  </si>
  <si>
    <t xml:space="preserve"> Sovereign</t>
  </si>
  <si>
    <t>182 DTB (21-MAY-2026)</t>
  </si>
  <si>
    <t>IN002025Y347</t>
  </si>
  <si>
    <t>364 DTB (04-JUN-2026)</t>
  </si>
  <si>
    <t>IN002025Z104</t>
  </si>
  <si>
    <t>Exchange Traded Fund</t>
  </si>
  <si>
    <t>Nippon India ETF Gold Bees</t>
  </si>
  <si>
    <t>INF204KB17I5</t>
  </si>
  <si>
    <t>Nippon India Silver ETF</t>
  </si>
  <si>
    <t>INF204KC1402</t>
  </si>
  <si>
    <t>TREPS</t>
  </si>
  <si>
    <t>Margin on Derivatives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</si>
  <si>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</si>
  <si>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</si>
  <si>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</si>
  <si>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</si>
  <si>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</si>
  <si>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</si>
  <si>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</si>
  <si>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Outstanding Exposure In Derivative Instruments (Rs. In Lacs)</t>
  </si>
  <si>
    <t>Outstanding Derivative Exposure (%)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</si>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</sst>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6" xfId="0" applyFont="1" applyFill="1" applyBorder="1"/>
    <xf numFmtId="4" fontId="4" fillId="3" borderId="16" xfId="0" applyNumberFormat="1" applyFont="1" applyFill="1" applyBorder="1"/>
    <xf numFmtId="0" fontId="10" fillId="3" borderId="9" xfId="0" applyFont="1" applyFill="1" applyBorder="1"/>
    <xf numFmtId="4" fontId="10" fillId="3" borderId="13" xfId="0" applyNumberFormat="1" applyFont="1" applyFill="1" applyBorder="1"/>
    <xf numFmtId="0" fontId="10" fillId="3" borderId="17" xfId="0" applyFont="1" applyFill="1" applyBorder="1"/>
    <xf numFmtId="4" fontId="10" fillId="3" borderId="17" xfId="0" applyNumberFormat="1" applyFont="1" applyFill="1" applyBorder="1"/>
    <xf numFmtId="4" fontId="10" fillId="3" borderId="18" xfId="0" applyNumberFormat="1" applyFont="1" applyFill="1" applyBorder="1"/>
    <xf numFmtId="4" fontId="10" fillId="3" borderId="9" xfId="0" applyNumberFormat="1" applyFont="1" applyFill="1" applyBorder="1"/>
    <xf numFmtId="0" fontId="4" fillId="3" borderId="19" xfId="0" applyFont="1" applyFill="1" applyBorder="1"/>
    <xf numFmtId="3" fontId="4" fillId="3" borderId="19" xfId="0" applyNumberFormat="1" applyFont="1" applyFill="1" applyBorder="1"/>
    <xf numFmtId="4" fontId="4" fillId="3" borderId="19" xfId="0" applyNumberFormat="1" applyFont="1" applyFill="1" applyBorder="1"/>
    <xf numFmtId="0" fontId="10" fillId="3" borderId="18" xfId="0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1" fillId="4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D36B-B0F4-44E1-97EE-0BC143F495F6}">
  <dimension ref="B1:O95"/>
  <sheetViews>
    <sheetView tabSelected="1" workbookViewId="0">
      <selection activeCell="B1" sqref="B1:J1"/>
    </sheetView>
  </sheetViews>
  <sheetFormatPr defaultRowHeight="12" x14ac:dyDescent="0.2"/>
  <cols>
    <col min="1" max="1" width="9.140625" style="4"/>
    <col min="2" max="2" width="60.85546875" style="4" bestFit="1" customWidth="1"/>
    <col min="3" max="3" width="13.28515625" style="4" bestFit="1" customWidth="1"/>
    <col min="4" max="4" width="27.85546875" style="4" bestFit="1" customWidth="1"/>
    <col min="5" max="5" width="9.85546875" style="4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19.42578125" style="9" bestFit="1" customWidth="1"/>
    <col min="11" max="11" width="9.140625" style="4"/>
    <col min="12" max="12" width="31.5703125" style="4" customWidth="1"/>
    <col min="13" max="13" width="35.5703125" style="4" customWidth="1"/>
    <col min="14" max="14" width="31.42578125" style="4" customWidth="1"/>
    <col min="15" max="15" width="35.5703125" style="4" customWidth="1"/>
    <col min="16" max="16384" width="9.140625" style="4"/>
  </cols>
  <sheetData>
    <row r="1" spans="2:15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3"/>
    </row>
    <row r="3" spans="2:15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5" ht="36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L4" s="14" t="s">
        <v>11</v>
      </c>
      <c r="M4" s="14" t="s">
        <v>12</v>
      </c>
      <c r="N4" s="14" t="s">
        <v>13</v>
      </c>
      <c r="O4" s="14" t="s">
        <v>14</v>
      </c>
    </row>
    <row r="5" spans="2:15" x14ac:dyDescent="0.2">
      <c r="B5" s="15" t="s">
        <v>15</v>
      </c>
      <c r="C5" s="16"/>
      <c r="D5" s="16"/>
      <c r="E5" s="16"/>
      <c r="F5" s="17"/>
      <c r="G5" s="17"/>
      <c r="H5" s="17"/>
      <c r="I5" s="17"/>
      <c r="J5" s="17"/>
      <c r="L5" s="18" t="e" vm="1">
        <v>#VALUE!</v>
      </c>
      <c r="M5" s="18" t="e" vm="2">
        <v>#VALUE!</v>
      </c>
      <c r="N5" s="18" t="e" vm="1">
        <v>#VALUE!</v>
      </c>
      <c r="O5" s="18" t="e" vm="2">
        <v>#VALUE!</v>
      </c>
    </row>
    <row r="6" spans="2:15" x14ac:dyDescent="0.2">
      <c r="B6" s="19" t="s">
        <v>16</v>
      </c>
      <c r="C6" s="20"/>
      <c r="D6" s="20"/>
      <c r="E6" s="20"/>
      <c r="F6" s="21"/>
      <c r="G6" s="21"/>
      <c r="H6" s="21"/>
      <c r="I6" s="21"/>
      <c r="J6" s="21"/>
      <c r="L6" s="22"/>
      <c r="M6" s="22"/>
      <c r="N6" s="22"/>
      <c r="O6" s="22"/>
    </row>
    <row r="7" spans="2:15" x14ac:dyDescent="0.2">
      <c r="B7" s="23" t="s">
        <v>17</v>
      </c>
      <c r="C7" s="20" t="s">
        <v>18</v>
      </c>
      <c r="D7" s="20" t="s">
        <v>19</v>
      </c>
      <c r="E7" s="24">
        <v>782100</v>
      </c>
      <c r="F7" s="21">
        <v>7752.18</v>
      </c>
      <c r="G7" s="21">
        <v>6.5</v>
      </c>
      <c r="H7" s="21" t="s">
        <v>20</v>
      </c>
      <c r="I7" s="21"/>
      <c r="J7" s="21">
        <v>-1.5359087202761299</v>
      </c>
      <c r="L7" s="22"/>
      <c r="M7" s="22"/>
      <c r="N7" s="22"/>
      <c r="O7" s="22"/>
    </row>
    <row r="8" spans="2:15" x14ac:dyDescent="0.2">
      <c r="B8" s="23" t="s">
        <v>21</v>
      </c>
      <c r="C8" s="20" t="s">
        <v>22</v>
      </c>
      <c r="D8" s="20" t="s">
        <v>23</v>
      </c>
      <c r="E8" s="24">
        <v>390600</v>
      </c>
      <c r="F8" s="21">
        <v>6133.98</v>
      </c>
      <c r="G8" s="21">
        <v>5.14</v>
      </c>
      <c r="H8" s="21" t="s">
        <v>20</v>
      </c>
      <c r="I8" s="21"/>
      <c r="J8" s="21">
        <v>-2.0304965908173802</v>
      </c>
      <c r="L8" s="22"/>
      <c r="M8" s="22"/>
      <c r="N8" s="22"/>
      <c r="O8" s="22"/>
    </row>
    <row r="9" spans="2:15" x14ac:dyDescent="0.2">
      <c r="B9" s="23" t="s">
        <v>24</v>
      </c>
      <c r="C9" s="20" t="s">
        <v>25</v>
      </c>
      <c r="D9" s="20" t="s">
        <v>19</v>
      </c>
      <c r="E9" s="24">
        <v>454800</v>
      </c>
      <c r="F9" s="21">
        <v>6107.51</v>
      </c>
      <c r="G9" s="21">
        <v>5.12</v>
      </c>
      <c r="H9" s="21" t="s">
        <v>20</v>
      </c>
      <c r="I9" s="21"/>
      <c r="J9" s="21">
        <v>-2.1398110974616502</v>
      </c>
      <c r="L9" s="22"/>
      <c r="M9" s="22"/>
      <c r="N9" s="22"/>
      <c r="O9" s="22"/>
    </row>
    <row r="10" spans="2:15" x14ac:dyDescent="0.2">
      <c r="B10" s="23" t="s">
        <v>26</v>
      </c>
      <c r="C10" s="20" t="s">
        <v>27</v>
      </c>
      <c r="D10" s="20" t="s">
        <v>28</v>
      </c>
      <c r="E10" s="24">
        <v>269550</v>
      </c>
      <c r="F10" s="21">
        <v>5675.64</v>
      </c>
      <c r="G10" s="21">
        <v>4.76</v>
      </c>
      <c r="H10" s="21" t="s">
        <v>20</v>
      </c>
      <c r="I10" s="21"/>
      <c r="J10" s="21">
        <v>-2.8264139218087201</v>
      </c>
      <c r="L10" s="22"/>
      <c r="M10" s="22"/>
      <c r="N10" s="22"/>
      <c r="O10" s="22"/>
    </row>
    <row r="11" spans="2:15" x14ac:dyDescent="0.2">
      <c r="B11" s="23" t="s">
        <v>29</v>
      </c>
      <c r="C11" s="20" t="s">
        <v>30</v>
      </c>
      <c r="D11" s="20" t="s">
        <v>31</v>
      </c>
      <c r="E11" s="24">
        <v>115600</v>
      </c>
      <c r="F11" s="21">
        <v>4720.53</v>
      </c>
      <c r="G11" s="21">
        <v>3.96</v>
      </c>
      <c r="H11" s="21" t="s">
        <v>20</v>
      </c>
      <c r="I11" s="21"/>
      <c r="J11" s="21">
        <v>-1.68717657940136</v>
      </c>
      <c r="L11" s="22"/>
      <c r="M11" s="22"/>
      <c r="N11" s="22"/>
      <c r="O11" s="22"/>
    </row>
    <row r="12" spans="2:15" x14ac:dyDescent="0.2">
      <c r="B12" s="23" t="s">
        <v>32</v>
      </c>
      <c r="C12" s="20" t="s">
        <v>33</v>
      </c>
      <c r="D12" s="20" t="s">
        <v>34</v>
      </c>
      <c r="E12" s="24">
        <v>167205</v>
      </c>
      <c r="F12" s="21">
        <v>2701.03</v>
      </c>
      <c r="G12" s="21">
        <v>2.2599999999999998</v>
      </c>
      <c r="H12" s="21" t="s">
        <v>20</v>
      </c>
      <c r="I12" s="21"/>
      <c r="J12" s="21"/>
      <c r="L12" s="25"/>
      <c r="M12" s="25"/>
      <c r="N12" s="25"/>
      <c r="O12" s="25"/>
    </row>
    <row r="13" spans="2:15" x14ac:dyDescent="0.2">
      <c r="B13" s="23" t="s">
        <v>35</v>
      </c>
      <c r="C13" s="20" t="s">
        <v>36</v>
      </c>
      <c r="D13" s="20" t="s">
        <v>37</v>
      </c>
      <c r="E13" s="24">
        <v>267520</v>
      </c>
      <c r="F13" s="21">
        <v>2639.89</v>
      </c>
      <c r="G13" s="21">
        <v>2.21</v>
      </c>
      <c r="H13" s="21" t="s">
        <v>20</v>
      </c>
      <c r="I13" s="21"/>
      <c r="J13" s="21">
        <v>-0.349646478254794</v>
      </c>
      <c r="M13" s="4" t="s">
        <v>38</v>
      </c>
    </row>
    <row r="14" spans="2:15" x14ac:dyDescent="0.2">
      <c r="B14" s="23" t="s">
        <v>39</v>
      </c>
      <c r="C14" s="20" t="s">
        <v>40</v>
      </c>
      <c r="D14" s="20" t="s">
        <v>41</v>
      </c>
      <c r="E14" s="24">
        <v>58170</v>
      </c>
      <c r="F14" s="21">
        <v>2157.64</v>
      </c>
      <c r="G14" s="21">
        <v>1.81</v>
      </c>
      <c r="H14" s="21" t="s">
        <v>20</v>
      </c>
      <c r="I14" s="21"/>
      <c r="J14" s="21"/>
    </row>
    <row r="15" spans="2:15" x14ac:dyDescent="0.2">
      <c r="B15" s="23" t="s">
        <v>42</v>
      </c>
      <c r="C15" s="20" t="s">
        <v>43</v>
      </c>
      <c r="D15" s="20" t="s">
        <v>44</v>
      </c>
      <c r="E15" s="24">
        <v>52940</v>
      </c>
      <c r="F15" s="21">
        <v>2144.86</v>
      </c>
      <c r="G15" s="21">
        <v>1.8</v>
      </c>
      <c r="H15" s="21" t="s">
        <v>20</v>
      </c>
      <c r="I15" s="21"/>
      <c r="J15" s="21"/>
    </row>
    <row r="16" spans="2:15" x14ac:dyDescent="0.2">
      <c r="B16" s="23" t="s">
        <v>45</v>
      </c>
      <c r="C16" s="20" t="s">
        <v>46</v>
      </c>
      <c r="D16" s="20" t="s">
        <v>19</v>
      </c>
      <c r="E16" s="24">
        <v>216862</v>
      </c>
      <c r="F16" s="21">
        <v>2130.02</v>
      </c>
      <c r="G16" s="21">
        <v>1.79</v>
      </c>
      <c r="H16" s="21" t="s">
        <v>20</v>
      </c>
      <c r="I16" s="21"/>
      <c r="J16" s="21"/>
    </row>
    <row r="17" spans="2:10" x14ac:dyDescent="0.2">
      <c r="B17" s="23" t="s">
        <v>47</v>
      </c>
      <c r="C17" s="20" t="s">
        <v>48</v>
      </c>
      <c r="D17" s="20" t="s">
        <v>19</v>
      </c>
      <c r="E17" s="24">
        <v>160600</v>
      </c>
      <c r="F17" s="21">
        <v>2038.66</v>
      </c>
      <c r="G17" s="21">
        <v>1.71</v>
      </c>
      <c r="H17" s="21" t="s">
        <v>20</v>
      </c>
      <c r="I17" s="21"/>
      <c r="J17" s="21"/>
    </row>
    <row r="18" spans="2:10" x14ac:dyDescent="0.2">
      <c r="B18" s="23" t="s">
        <v>49</v>
      </c>
      <c r="C18" s="20" t="s">
        <v>50</v>
      </c>
      <c r="D18" s="20" t="s">
        <v>51</v>
      </c>
      <c r="E18" s="24">
        <v>405520</v>
      </c>
      <c r="F18" s="21">
        <v>1986.44</v>
      </c>
      <c r="G18" s="21">
        <v>1.67</v>
      </c>
      <c r="H18" s="21" t="s">
        <v>20</v>
      </c>
      <c r="I18" s="21"/>
      <c r="J18" s="21"/>
    </row>
    <row r="19" spans="2:10" x14ac:dyDescent="0.2">
      <c r="B19" s="23" t="s">
        <v>52</v>
      </c>
      <c r="C19" s="20" t="s">
        <v>53</v>
      </c>
      <c r="D19" s="20" t="s">
        <v>54</v>
      </c>
      <c r="E19" s="24">
        <v>48540</v>
      </c>
      <c r="F19" s="21">
        <v>1868.79</v>
      </c>
      <c r="G19" s="21">
        <v>1.57</v>
      </c>
      <c r="H19" s="21" t="s">
        <v>20</v>
      </c>
      <c r="I19" s="21"/>
      <c r="J19" s="21"/>
    </row>
    <row r="20" spans="2:10" x14ac:dyDescent="0.2">
      <c r="B20" s="23" t="s">
        <v>55</v>
      </c>
      <c r="C20" s="20" t="s">
        <v>56</v>
      </c>
      <c r="D20" s="20" t="s">
        <v>57</v>
      </c>
      <c r="E20" s="24">
        <v>175489</v>
      </c>
      <c r="F20" s="21">
        <v>1834.04</v>
      </c>
      <c r="G20" s="21">
        <v>1.54</v>
      </c>
      <c r="H20" s="21" t="s">
        <v>20</v>
      </c>
      <c r="I20" s="21"/>
      <c r="J20" s="21"/>
    </row>
    <row r="21" spans="2:10" x14ac:dyDescent="0.2">
      <c r="B21" s="23" t="s">
        <v>58</v>
      </c>
      <c r="C21" s="20" t="s">
        <v>59</v>
      </c>
      <c r="D21" s="20" t="s">
        <v>60</v>
      </c>
      <c r="E21" s="24">
        <v>631380</v>
      </c>
      <c r="F21" s="21">
        <v>1755.55</v>
      </c>
      <c r="G21" s="21">
        <v>1.47</v>
      </c>
      <c r="H21" s="21" t="s">
        <v>20</v>
      </c>
      <c r="I21" s="21"/>
      <c r="J21" s="21"/>
    </row>
    <row r="22" spans="2:10" x14ac:dyDescent="0.2">
      <c r="B22" s="23" t="s">
        <v>61</v>
      </c>
      <c r="C22" s="20" t="s">
        <v>62</v>
      </c>
      <c r="D22" s="20" t="s">
        <v>63</v>
      </c>
      <c r="E22" s="24">
        <v>204100</v>
      </c>
      <c r="F22" s="21">
        <v>1507.99</v>
      </c>
      <c r="G22" s="21">
        <v>1.26</v>
      </c>
      <c r="H22" s="21" t="s">
        <v>20</v>
      </c>
      <c r="I22" s="21"/>
      <c r="J22" s="21"/>
    </row>
    <row r="23" spans="2:10" x14ac:dyDescent="0.2">
      <c r="B23" s="23" t="s">
        <v>64</v>
      </c>
      <c r="C23" s="20" t="s">
        <v>65</v>
      </c>
      <c r="D23" s="20" t="s">
        <v>41</v>
      </c>
      <c r="E23" s="24">
        <v>40320</v>
      </c>
      <c r="F23" s="21">
        <v>1499.82</v>
      </c>
      <c r="G23" s="21">
        <v>1.26</v>
      </c>
      <c r="H23" s="21" t="s">
        <v>20</v>
      </c>
      <c r="I23" s="21"/>
      <c r="J23" s="21"/>
    </row>
    <row r="24" spans="2:10" x14ac:dyDescent="0.2">
      <c r="B24" s="23" t="s">
        <v>66</v>
      </c>
      <c r="C24" s="20" t="s">
        <v>67</v>
      </c>
      <c r="D24" s="20" t="s">
        <v>68</v>
      </c>
      <c r="E24" s="24">
        <v>87400</v>
      </c>
      <c r="F24" s="21">
        <v>1461.15</v>
      </c>
      <c r="G24" s="21">
        <v>1.22</v>
      </c>
      <c r="H24" s="21" t="s">
        <v>69</v>
      </c>
      <c r="I24" s="21"/>
      <c r="J24" s="21"/>
    </row>
    <row r="25" spans="2:10" x14ac:dyDescent="0.2">
      <c r="B25" s="23" t="s">
        <v>70</v>
      </c>
      <c r="C25" s="20" t="s">
        <v>71</v>
      </c>
      <c r="D25" s="20" t="s">
        <v>72</v>
      </c>
      <c r="E25" s="24">
        <v>28750</v>
      </c>
      <c r="F25" s="21">
        <v>1454.61</v>
      </c>
      <c r="G25" s="21">
        <v>1.22</v>
      </c>
      <c r="H25" s="21" t="s">
        <v>20</v>
      </c>
      <c r="I25" s="21"/>
      <c r="J25" s="21"/>
    </row>
    <row r="26" spans="2:10" x14ac:dyDescent="0.2">
      <c r="B26" s="23" t="s">
        <v>73</v>
      </c>
      <c r="C26" s="20" t="s">
        <v>74</v>
      </c>
      <c r="D26" s="20" t="s">
        <v>60</v>
      </c>
      <c r="E26" s="24">
        <v>1060500</v>
      </c>
      <c r="F26" s="21">
        <v>1446.2</v>
      </c>
      <c r="G26" s="21">
        <v>1.21</v>
      </c>
      <c r="H26" s="21" t="s">
        <v>69</v>
      </c>
      <c r="I26" s="21"/>
      <c r="J26" s="21"/>
    </row>
    <row r="27" spans="2:10" x14ac:dyDescent="0.2">
      <c r="B27" s="23" t="s">
        <v>75</v>
      </c>
      <c r="C27" s="20" t="s">
        <v>76</v>
      </c>
      <c r="D27" s="20" t="s">
        <v>19</v>
      </c>
      <c r="E27" s="24">
        <v>65500</v>
      </c>
      <c r="F27" s="21">
        <v>1441.72</v>
      </c>
      <c r="G27" s="21">
        <v>1.21</v>
      </c>
      <c r="H27" s="21" t="s">
        <v>20</v>
      </c>
      <c r="I27" s="21"/>
      <c r="J27" s="21"/>
    </row>
    <row r="28" spans="2:10" x14ac:dyDescent="0.2">
      <c r="B28" s="23" t="s">
        <v>77</v>
      </c>
      <c r="C28" s="20" t="s">
        <v>78</v>
      </c>
      <c r="D28" s="20" t="s">
        <v>54</v>
      </c>
      <c r="E28" s="24">
        <v>62610</v>
      </c>
      <c r="F28" s="21">
        <v>1375.23</v>
      </c>
      <c r="G28" s="21">
        <v>1.1499999999999999</v>
      </c>
      <c r="H28" s="21" t="s">
        <v>69</v>
      </c>
      <c r="I28" s="21"/>
      <c r="J28" s="21"/>
    </row>
    <row r="29" spans="2:10" x14ac:dyDescent="0.2">
      <c r="B29" s="23" t="s">
        <v>79</v>
      </c>
      <c r="C29" s="20" t="s">
        <v>80</v>
      </c>
      <c r="D29" s="20" t="s">
        <v>81</v>
      </c>
      <c r="E29" s="24">
        <v>11190</v>
      </c>
      <c r="F29" s="21">
        <v>1318.63</v>
      </c>
      <c r="G29" s="21">
        <v>1.1100000000000001</v>
      </c>
      <c r="H29" s="21" t="s">
        <v>20</v>
      </c>
      <c r="I29" s="21"/>
      <c r="J29" s="21"/>
    </row>
    <row r="30" spans="2:10" x14ac:dyDescent="0.2">
      <c r="B30" s="23" t="s">
        <v>82</v>
      </c>
      <c r="C30" s="20" t="s">
        <v>83</v>
      </c>
      <c r="D30" s="20" t="s">
        <v>63</v>
      </c>
      <c r="E30" s="24">
        <v>233000</v>
      </c>
      <c r="F30" s="21">
        <v>1301.54</v>
      </c>
      <c r="G30" s="21">
        <v>1.0900000000000001</v>
      </c>
      <c r="H30" s="21" t="s">
        <v>69</v>
      </c>
      <c r="I30" s="21"/>
      <c r="J30" s="21"/>
    </row>
    <row r="31" spans="2:10" x14ac:dyDescent="0.2">
      <c r="B31" s="23" t="s">
        <v>84</v>
      </c>
      <c r="C31" s="20" t="s">
        <v>85</v>
      </c>
      <c r="D31" s="20" t="s">
        <v>86</v>
      </c>
      <c r="E31" s="24">
        <v>29500</v>
      </c>
      <c r="F31" s="21">
        <v>1294.67</v>
      </c>
      <c r="G31" s="21">
        <v>1.0900000000000001</v>
      </c>
      <c r="H31" s="21" t="s">
        <v>20</v>
      </c>
      <c r="I31" s="21"/>
      <c r="J31" s="21"/>
    </row>
    <row r="32" spans="2:10" x14ac:dyDescent="0.2">
      <c r="B32" s="23" t="s">
        <v>87</v>
      </c>
      <c r="C32" s="20" t="s">
        <v>88</v>
      </c>
      <c r="D32" s="20" t="s">
        <v>60</v>
      </c>
      <c r="E32" s="24">
        <v>94030</v>
      </c>
      <c r="F32" s="21">
        <v>1253.98</v>
      </c>
      <c r="G32" s="21">
        <v>1.05</v>
      </c>
      <c r="H32" s="21" t="s">
        <v>69</v>
      </c>
      <c r="I32" s="21"/>
      <c r="J32" s="21"/>
    </row>
    <row r="33" spans="2:11" x14ac:dyDescent="0.2">
      <c r="B33" s="23" t="s">
        <v>89</v>
      </c>
      <c r="C33" s="20" t="s">
        <v>90</v>
      </c>
      <c r="D33" s="20" t="s">
        <v>54</v>
      </c>
      <c r="E33" s="24">
        <v>69160</v>
      </c>
      <c r="F33" s="21">
        <v>1189.3399999999999</v>
      </c>
      <c r="G33" s="21">
        <v>1</v>
      </c>
      <c r="H33" s="21" t="s">
        <v>20</v>
      </c>
      <c r="I33" s="21"/>
      <c r="J33" s="21"/>
    </row>
    <row r="34" spans="2:11" x14ac:dyDescent="0.2">
      <c r="B34" s="23" t="s">
        <v>91</v>
      </c>
      <c r="C34" s="20" t="s">
        <v>92</v>
      </c>
      <c r="D34" s="20" t="s">
        <v>86</v>
      </c>
      <c r="E34" s="24">
        <v>283560</v>
      </c>
      <c r="F34" s="21">
        <v>1133.1099999999999</v>
      </c>
      <c r="G34" s="21">
        <v>0.95</v>
      </c>
      <c r="H34" s="21" t="s">
        <v>20</v>
      </c>
      <c r="I34" s="21"/>
      <c r="J34" s="21"/>
    </row>
    <row r="35" spans="2:11" x14ac:dyDescent="0.2">
      <c r="B35" s="23" t="s">
        <v>93</v>
      </c>
      <c r="C35" s="20" t="s">
        <v>94</v>
      </c>
      <c r="D35" s="20" t="s">
        <v>54</v>
      </c>
      <c r="E35" s="24">
        <v>17360</v>
      </c>
      <c r="F35" s="21">
        <v>1109.74</v>
      </c>
      <c r="G35" s="21">
        <v>0.93</v>
      </c>
      <c r="H35" s="21" t="s">
        <v>20</v>
      </c>
      <c r="I35" s="21"/>
      <c r="J35" s="21"/>
    </row>
    <row r="36" spans="2:11" x14ac:dyDescent="0.2">
      <c r="B36" s="23" t="s">
        <v>95</v>
      </c>
      <c r="C36" s="20" t="s">
        <v>96</v>
      </c>
      <c r="D36" s="20" t="s">
        <v>51</v>
      </c>
      <c r="E36" s="24">
        <v>71240</v>
      </c>
      <c r="F36" s="21">
        <v>1028.49</v>
      </c>
      <c r="G36" s="21">
        <v>0.86</v>
      </c>
      <c r="H36" s="21" t="s">
        <v>69</v>
      </c>
      <c r="I36" s="21"/>
      <c r="J36" s="21"/>
    </row>
    <row r="37" spans="2:11" x14ac:dyDescent="0.2">
      <c r="B37" s="23" t="s">
        <v>97</v>
      </c>
      <c r="C37" s="20" t="s">
        <v>98</v>
      </c>
      <c r="D37" s="20" t="s">
        <v>57</v>
      </c>
      <c r="E37" s="24">
        <v>66734</v>
      </c>
      <c r="F37" s="21">
        <v>989.4</v>
      </c>
      <c r="G37" s="21">
        <v>0.83</v>
      </c>
      <c r="H37" s="21" t="s">
        <v>99</v>
      </c>
      <c r="I37" s="21"/>
      <c r="J37" s="21"/>
    </row>
    <row r="38" spans="2:11" x14ac:dyDescent="0.2">
      <c r="B38" s="23" t="s">
        <v>100</v>
      </c>
      <c r="C38" s="20" t="s">
        <v>101</v>
      </c>
      <c r="D38" s="20" t="s">
        <v>102</v>
      </c>
      <c r="E38" s="24">
        <v>45450</v>
      </c>
      <c r="F38" s="21">
        <v>829.74</v>
      </c>
      <c r="G38" s="21">
        <v>0.7</v>
      </c>
      <c r="H38" s="21" t="s">
        <v>69</v>
      </c>
      <c r="I38" s="21"/>
      <c r="J38" s="21"/>
    </row>
    <row r="39" spans="2:11" x14ac:dyDescent="0.2">
      <c r="B39" s="23" t="s">
        <v>103</v>
      </c>
      <c r="C39" s="20" t="s">
        <v>104</v>
      </c>
      <c r="D39" s="20" t="s">
        <v>105</v>
      </c>
      <c r="E39" s="24">
        <v>24670</v>
      </c>
      <c r="F39" s="21">
        <v>798.86</v>
      </c>
      <c r="G39" s="21">
        <v>0.67</v>
      </c>
      <c r="H39" s="21" t="s">
        <v>69</v>
      </c>
      <c r="I39" s="21"/>
      <c r="J39" s="21"/>
    </row>
    <row r="40" spans="2:11" x14ac:dyDescent="0.2">
      <c r="B40" s="23" t="s">
        <v>106</v>
      </c>
      <c r="C40" s="20" t="s">
        <v>107</v>
      </c>
      <c r="D40" s="20" t="s">
        <v>60</v>
      </c>
      <c r="E40" s="24">
        <v>18370</v>
      </c>
      <c r="F40" s="21">
        <v>786.05</v>
      </c>
      <c r="G40" s="21">
        <v>0.66</v>
      </c>
      <c r="H40" s="21" t="s">
        <v>20</v>
      </c>
      <c r="I40" s="21"/>
      <c r="J40" s="21"/>
    </row>
    <row r="41" spans="2:11" x14ac:dyDescent="0.2">
      <c r="B41" s="23" t="s">
        <v>108</v>
      </c>
      <c r="C41" s="20" t="s">
        <v>109</v>
      </c>
      <c r="D41" s="20" t="s">
        <v>110</v>
      </c>
      <c r="E41" s="24">
        <v>17100</v>
      </c>
      <c r="F41" s="21">
        <v>762.69</v>
      </c>
      <c r="G41" s="21">
        <v>0.64</v>
      </c>
      <c r="H41" s="21" t="s">
        <v>69</v>
      </c>
      <c r="I41" s="21"/>
      <c r="J41" s="21"/>
    </row>
    <row r="42" spans="2:11" x14ac:dyDescent="0.2">
      <c r="B42" s="23" t="s">
        <v>111</v>
      </c>
      <c r="C42" s="20" t="s">
        <v>112</v>
      </c>
      <c r="D42" s="20" t="s">
        <v>44</v>
      </c>
      <c r="E42" s="24">
        <v>6250</v>
      </c>
      <c r="F42" s="21">
        <v>756.38</v>
      </c>
      <c r="G42" s="21">
        <v>0.63</v>
      </c>
      <c r="H42" s="21" t="s">
        <v>69</v>
      </c>
      <c r="I42" s="21"/>
      <c r="J42" s="21"/>
    </row>
    <row r="43" spans="2:11" x14ac:dyDescent="0.2">
      <c r="B43" s="23" t="s">
        <v>113</v>
      </c>
      <c r="C43" s="20" t="s">
        <v>114</v>
      </c>
      <c r="D43" s="20" t="s">
        <v>34</v>
      </c>
      <c r="E43" s="24">
        <v>11050</v>
      </c>
      <c r="F43" s="21">
        <v>693.06</v>
      </c>
      <c r="G43" s="21">
        <v>0.57999999999999996</v>
      </c>
      <c r="H43" s="21" t="s">
        <v>69</v>
      </c>
      <c r="I43" s="21"/>
      <c r="J43" s="21"/>
    </row>
    <row r="44" spans="2:11" x14ac:dyDescent="0.2">
      <c r="B44" s="23" t="s">
        <v>115</v>
      </c>
      <c r="C44" s="20" t="s">
        <v>116</v>
      </c>
      <c r="D44" s="20" t="s">
        <v>44</v>
      </c>
      <c r="E44" s="24">
        <v>42270</v>
      </c>
      <c r="F44" s="21">
        <v>602.30999999999995</v>
      </c>
      <c r="G44" s="21">
        <v>0.5</v>
      </c>
      <c r="H44" s="21" t="s">
        <v>69</v>
      </c>
      <c r="I44" s="21"/>
      <c r="J44" s="21"/>
    </row>
    <row r="45" spans="2:11" x14ac:dyDescent="0.2">
      <c r="B45" s="23" t="s">
        <v>117</v>
      </c>
      <c r="C45" s="20" t="s">
        <v>118</v>
      </c>
      <c r="D45" s="20" t="s">
        <v>119</v>
      </c>
      <c r="E45" s="24">
        <v>174045</v>
      </c>
      <c r="F45" s="21">
        <v>401</v>
      </c>
      <c r="G45" s="21">
        <v>0.34</v>
      </c>
      <c r="H45" s="21" t="s">
        <v>99</v>
      </c>
      <c r="I45" s="21"/>
      <c r="J45" s="21"/>
    </row>
    <row r="46" spans="2:11" x14ac:dyDescent="0.2">
      <c r="B46" s="23" t="s">
        <v>120</v>
      </c>
      <c r="C46" s="20" t="s">
        <v>121</v>
      </c>
      <c r="D46" s="20" t="s">
        <v>122</v>
      </c>
      <c r="E46" s="24">
        <v>5880</v>
      </c>
      <c r="F46" s="21">
        <v>157.13</v>
      </c>
      <c r="G46" s="21">
        <v>0.13</v>
      </c>
      <c r="H46" s="21" t="s">
        <v>20</v>
      </c>
      <c r="I46" s="21"/>
      <c r="J46" s="21"/>
    </row>
    <row r="47" spans="2:11" x14ac:dyDescent="0.2">
      <c r="B47" s="26" t="s">
        <v>123</v>
      </c>
      <c r="C47" s="27"/>
      <c r="D47" s="27"/>
      <c r="E47" s="27"/>
      <c r="F47" s="28">
        <f>SUM(F7:F46)</f>
        <v>78239.60000000002</v>
      </c>
      <c r="G47" s="28">
        <f>SUM(G7:G46)</f>
        <v>65.599999999999994</v>
      </c>
      <c r="H47" s="28"/>
      <c r="I47" s="28"/>
      <c r="J47" s="28">
        <f>SUM(J7:J46)</f>
        <v>-10.569453388020035</v>
      </c>
      <c r="K47" s="29"/>
    </row>
    <row r="48" spans="2:11" x14ac:dyDescent="0.2">
      <c r="B48" s="30" t="s">
        <v>124</v>
      </c>
      <c r="C48" s="30"/>
      <c r="D48" s="30"/>
      <c r="E48" s="30"/>
      <c r="F48" s="31">
        <f>F47</f>
        <v>78239.60000000002</v>
      </c>
      <c r="G48" s="31">
        <f>G47</f>
        <v>65.599999999999994</v>
      </c>
      <c r="H48" s="32"/>
      <c r="I48" s="32"/>
      <c r="J48" s="32">
        <f>J47</f>
        <v>-10.569453388020035</v>
      </c>
      <c r="K48" s="29"/>
    </row>
    <row r="49" spans="2:11" x14ac:dyDescent="0.2">
      <c r="B49" s="33" t="s">
        <v>125</v>
      </c>
      <c r="C49" s="34"/>
      <c r="D49" s="34"/>
      <c r="E49" s="34"/>
      <c r="F49" s="35"/>
      <c r="G49" s="35"/>
      <c r="H49" s="35"/>
      <c r="I49" s="35"/>
      <c r="J49" s="35"/>
    </row>
    <row r="50" spans="2:11" x14ac:dyDescent="0.2">
      <c r="B50" s="36" t="s">
        <v>16</v>
      </c>
      <c r="C50" s="20"/>
      <c r="D50" s="20"/>
      <c r="E50" s="20"/>
      <c r="F50" s="21"/>
      <c r="G50" s="21"/>
      <c r="H50" s="21"/>
      <c r="I50" s="21"/>
      <c r="J50" s="21"/>
    </row>
    <row r="51" spans="2:11" x14ac:dyDescent="0.2">
      <c r="B51" s="20" t="s">
        <v>126</v>
      </c>
      <c r="C51" s="20" t="s">
        <v>127</v>
      </c>
      <c r="D51" s="20" t="s">
        <v>128</v>
      </c>
      <c r="E51" s="24">
        <v>2500</v>
      </c>
      <c r="F51" s="21">
        <v>2527.46</v>
      </c>
      <c r="G51" s="21">
        <v>2.12</v>
      </c>
      <c r="H51" s="21"/>
      <c r="I51" s="21">
        <v>7.16</v>
      </c>
      <c r="J51" s="21"/>
    </row>
    <row r="52" spans="2:11" x14ac:dyDescent="0.2">
      <c r="B52" s="20" t="s">
        <v>129</v>
      </c>
      <c r="C52" s="20" t="s">
        <v>130</v>
      </c>
      <c r="D52" s="20" t="s">
        <v>128</v>
      </c>
      <c r="E52" s="24">
        <v>2500</v>
      </c>
      <c r="F52" s="21">
        <v>2508.54</v>
      </c>
      <c r="G52" s="21">
        <v>2.1</v>
      </c>
      <c r="H52" s="21"/>
      <c r="I52" s="21">
        <v>6.75</v>
      </c>
      <c r="J52" s="21"/>
    </row>
    <row r="53" spans="2:11" x14ac:dyDescent="0.2">
      <c r="B53" s="20" t="s">
        <v>131</v>
      </c>
      <c r="C53" s="20" t="s">
        <v>132</v>
      </c>
      <c r="D53" s="20" t="s">
        <v>128</v>
      </c>
      <c r="E53" s="24">
        <v>2500</v>
      </c>
      <c r="F53" s="21">
        <v>2495.62</v>
      </c>
      <c r="G53" s="21">
        <v>2.09</v>
      </c>
      <c r="H53" s="21"/>
      <c r="I53" s="21">
        <v>7.08</v>
      </c>
      <c r="J53" s="21"/>
    </row>
    <row r="54" spans="2:11" x14ac:dyDescent="0.2">
      <c r="B54" s="20" t="s">
        <v>133</v>
      </c>
      <c r="C54" s="20" t="s">
        <v>134</v>
      </c>
      <c r="D54" s="20" t="s">
        <v>128</v>
      </c>
      <c r="E54" s="24">
        <v>500</v>
      </c>
      <c r="F54" s="21">
        <v>501.01</v>
      </c>
      <c r="G54" s="21">
        <v>0.42</v>
      </c>
      <c r="H54" s="21"/>
      <c r="I54" s="21">
        <v>5.97</v>
      </c>
      <c r="J54" s="21"/>
    </row>
    <row r="55" spans="2:11" x14ac:dyDescent="0.2">
      <c r="B55" s="20" t="s">
        <v>135</v>
      </c>
      <c r="C55" s="20" t="s">
        <v>136</v>
      </c>
      <c r="D55" s="20" t="s">
        <v>137</v>
      </c>
      <c r="E55" s="24">
        <v>183280</v>
      </c>
      <c r="F55" s="21">
        <v>18.670000000000002</v>
      </c>
      <c r="G55" s="21">
        <v>0.02</v>
      </c>
      <c r="H55" s="21"/>
      <c r="I55" s="21">
        <v>6.1050000000000004</v>
      </c>
      <c r="J55" s="21"/>
    </row>
    <row r="56" spans="2:11" x14ac:dyDescent="0.2">
      <c r="B56" s="27" t="s">
        <v>123</v>
      </c>
      <c r="C56" s="27"/>
      <c r="D56" s="27"/>
      <c r="E56" s="27"/>
      <c r="F56" s="28">
        <f>SUM(F50:F55)</f>
        <v>8051.3</v>
      </c>
      <c r="G56" s="28">
        <f>SUM(G50:G55)</f>
        <v>6.75</v>
      </c>
      <c r="H56" s="37"/>
      <c r="I56" s="37"/>
      <c r="J56" s="37"/>
      <c r="K56" s="29"/>
    </row>
    <row r="57" spans="2:11" x14ac:dyDescent="0.2">
      <c r="B57" s="38" t="s">
        <v>124</v>
      </c>
      <c r="C57" s="38"/>
      <c r="D57" s="38"/>
      <c r="E57" s="38"/>
      <c r="F57" s="39">
        <f>F56</f>
        <v>8051.3</v>
      </c>
      <c r="G57" s="39">
        <f>G56</f>
        <v>6.75</v>
      </c>
      <c r="H57" s="39"/>
      <c r="I57" s="39"/>
      <c r="J57" s="39"/>
      <c r="K57" s="29"/>
    </row>
    <row r="58" spans="2:11" x14ac:dyDescent="0.2">
      <c r="B58" s="36" t="s">
        <v>138</v>
      </c>
      <c r="C58" s="20"/>
      <c r="D58" s="20"/>
      <c r="E58" s="20"/>
      <c r="F58" s="21"/>
      <c r="G58" s="21"/>
      <c r="H58" s="21"/>
      <c r="I58" s="21"/>
      <c r="J58" s="21"/>
    </row>
    <row r="59" spans="2:11" x14ac:dyDescent="0.2">
      <c r="B59" s="36" t="s">
        <v>139</v>
      </c>
      <c r="C59" s="20"/>
      <c r="D59" s="20"/>
      <c r="E59" s="20"/>
      <c r="F59" s="21"/>
      <c r="G59" s="21"/>
      <c r="H59" s="21"/>
      <c r="I59" s="21"/>
      <c r="J59" s="21"/>
    </row>
    <row r="60" spans="2:11" x14ac:dyDescent="0.2">
      <c r="B60" s="20" t="s">
        <v>140</v>
      </c>
      <c r="C60" s="20" t="s">
        <v>141</v>
      </c>
      <c r="D60" s="20" t="s">
        <v>142</v>
      </c>
      <c r="E60" s="24">
        <v>500</v>
      </c>
      <c r="F60" s="21">
        <v>2466.41</v>
      </c>
      <c r="G60" s="21">
        <v>2.0699999999999998</v>
      </c>
      <c r="H60" s="21"/>
      <c r="I60" s="21">
        <v>5.99</v>
      </c>
      <c r="J60" s="21"/>
    </row>
    <row r="61" spans="2:11" x14ac:dyDescent="0.2">
      <c r="B61" s="36" t="s">
        <v>123</v>
      </c>
      <c r="C61" s="36"/>
      <c r="D61" s="36"/>
      <c r="E61" s="36"/>
      <c r="F61" s="40">
        <f>SUM(F59:F60)</f>
        <v>2466.41</v>
      </c>
      <c r="G61" s="40">
        <f>SUM(G59:G60)</f>
        <v>2.0699999999999998</v>
      </c>
      <c r="H61" s="41"/>
      <c r="I61" s="41"/>
      <c r="J61" s="41"/>
      <c r="K61" s="29"/>
    </row>
    <row r="62" spans="2:11" x14ac:dyDescent="0.2">
      <c r="B62" s="36" t="s">
        <v>143</v>
      </c>
      <c r="C62" s="20"/>
      <c r="D62" s="20"/>
      <c r="E62" s="20"/>
      <c r="F62" s="21"/>
      <c r="G62" s="21"/>
      <c r="H62" s="21"/>
      <c r="I62" s="21"/>
      <c r="J62" s="21"/>
    </row>
    <row r="63" spans="2:11" x14ac:dyDescent="0.2">
      <c r="B63" s="20" t="s">
        <v>144</v>
      </c>
      <c r="C63" s="20" t="s">
        <v>145</v>
      </c>
      <c r="D63" s="20" t="s">
        <v>146</v>
      </c>
      <c r="E63" s="24">
        <v>2500000</v>
      </c>
      <c r="F63" s="21">
        <v>2447.0300000000002</v>
      </c>
      <c r="G63" s="21">
        <v>2.0499999999999998</v>
      </c>
      <c r="H63" s="21"/>
      <c r="I63" s="21">
        <v>5.37</v>
      </c>
      <c r="J63" s="21"/>
    </row>
    <row r="64" spans="2:11" x14ac:dyDescent="0.2">
      <c r="B64" s="20" t="s">
        <v>147</v>
      </c>
      <c r="C64" s="20" t="s">
        <v>148</v>
      </c>
      <c r="D64" s="20" t="s">
        <v>146</v>
      </c>
      <c r="E64" s="24">
        <v>1000000</v>
      </c>
      <c r="F64" s="21">
        <v>979.83</v>
      </c>
      <c r="G64" s="21">
        <v>0.82</v>
      </c>
      <c r="H64" s="21"/>
      <c r="I64" s="21">
        <v>5.37</v>
      </c>
      <c r="J64" s="21"/>
    </row>
    <row r="65" spans="2:11" x14ac:dyDescent="0.2">
      <c r="B65" s="20" t="s">
        <v>149</v>
      </c>
      <c r="C65" s="20" t="s">
        <v>150</v>
      </c>
      <c r="D65" s="20" t="s">
        <v>146</v>
      </c>
      <c r="E65" s="24">
        <v>500000</v>
      </c>
      <c r="F65" s="21">
        <v>488.88</v>
      </c>
      <c r="G65" s="21">
        <v>0.41</v>
      </c>
      <c r="H65" s="21"/>
      <c r="I65" s="21">
        <v>5.39</v>
      </c>
      <c r="J65" s="21"/>
    </row>
    <row r="66" spans="2:11" x14ac:dyDescent="0.2">
      <c r="B66" s="27" t="s">
        <v>123</v>
      </c>
      <c r="C66" s="27"/>
      <c r="D66" s="27"/>
      <c r="E66" s="27"/>
      <c r="F66" s="28">
        <f>SUM(F62:F65)</f>
        <v>3915.7400000000002</v>
      </c>
      <c r="G66" s="28">
        <f>SUM(G62:G65)</f>
        <v>3.28</v>
      </c>
      <c r="H66" s="37"/>
      <c r="I66" s="37"/>
      <c r="J66" s="37"/>
      <c r="K66" s="29"/>
    </row>
    <row r="67" spans="2:11" x14ac:dyDescent="0.2">
      <c r="B67" s="38" t="s">
        <v>124</v>
      </c>
      <c r="C67" s="38"/>
      <c r="D67" s="38"/>
      <c r="E67" s="38"/>
      <c r="F67" s="39">
        <f>F61+F66</f>
        <v>6382.15</v>
      </c>
      <c r="G67" s="39">
        <f>G61+G66</f>
        <v>5.35</v>
      </c>
      <c r="H67" s="39"/>
      <c r="I67" s="39"/>
      <c r="J67" s="39"/>
      <c r="K67" s="29"/>
    </row>
    <row r="68" spans="2:11" x14ac:dyDescent="0.2">
      <c r="B68" s="36" t="s">
        <v>151</v>
      </c>
      <c r="C68" s="20"/>
      <c r="D68" s="20"/>
      <c r="E68" s="20"/>
      <c r="F68" s="21"/>
      <c r="G68" s="21"/>
      <c r="H68" s="21"/>
      <c r="I68" s="21"/>
      <c r="J68" s="21"/>
    </row>
    <row r="69" spans="2:11" x14ac:dyDescent="0.2">
      <c r="B69" s="20" t="s">
        <v>152</v>
      </c>
      <c r="C69" s="20" t="s">
        <v>153</v>
      </c>
      <c r="D69" s="20" t="s">
        <v>151</v>
      </c>
      <c r="E69" s="24">
        <v>12814507</v>
      </c>
      <c r="F69" s="21">
        <v>14110.05</v>
      </c>
      <c r="G69" s="21">
        <v>11.83</v>
      </c>
      <c r="H69" s="21"/>
      <c r="I69" s="21"/>
      <c r="J69" s="21"/>
    </row>
    <row r="70" spans="2:11" x14ac:dyDescent="0.2">
      <c r="B70" s="42" t="s">
        <v>154</v>
      </c>
      <c r="C70" s="42" t="s">
        <v>155</v>
      </c>
      <c r="D70" s="42" t="s">
        <v>151</v>
      </c>
      <c r="E70" s="43">
        <v>2016300</v>
      </c>
      <c r="F70" s="44">
        <v>4343.72</v>
      </c>
      <c r="G70" s="44">
        <v>3.64</v>
      </c>
      <c r="H70" s="44"/>
      <c r="I70" s="44"/>
      <c r="J70" s="44"/>
    </row>
    <row r="71" spans="2:11" x14ac:dyDescent="0.2">
      <c r="B71" s="45" t="s">
        <v>124</v>
      </c>
      <c r="C71" s="45"/>
      <c r="D71" s="45"/>
      <c r="E71" s="45"/>
      <c r="F71" s="40">
        <f>SUM(F69:F70)</f>
        <v>18453.77</v>
      </c>
      <c r="G71" s="40">
        <f>SUM(G69:G70)</f>
        <v>15.47</v>
      </c>
      <c r="H71" s="40"/>
      <c r="I71" s="40"/>
      <c r="J71" s="40"/>
      <c r="K71" s="29"/>
    </row>
    <row r="72" spans="2:11" x14ac:dyDescent="0.2">
      <c r="B72" s="36" t="s">
        <v>156</v>
      </c>
      <c r="C72" s="20"/>
      <c r="D72" s="20"/>
      <c r="E72" s="20"/>
      <c r="F72" s="21"/>
      <c r="G72" s="21"/>
      <c r="H72" s="21"/>
      <c r="I72" s="21"/>
      <c r="J72" s="21"/>
    </row>
    <row r="73" spans="2:11" x14ac:dyDescent="0.2">
      <c r="B73" s="20" t="s">
        <v>156</v>
      </c>
      <c r="C73" s="20"/>
      <c r="D73" s="20"/>
      <c r="E73" s="20"/>
      <c r="F73" s="21">
        <v>7552.06</v>
      </c>
      <c r="G73" s="21">
        <v>6.33</v>
      </c>
      <c r="H73" s="21"/>
      <c r="I73" s="21"/>
      <c r="J73" s="21"/>
    </row>
    <row r="74" spans="2:11" x14ac:dyDescent="0.2">
      <c r="B74" s="27" t="s">
        <v>123</v>
      </c>
      <c r="C74" s="27"/>
      <c r="D74" s="27"/>
      <c r="E74" s="27"/>
      <c r="F74" s="28">
        <f>SUM(F72:F73)</f>
        <v>7552.06</v>
      </c>
      <c r="G74" s="28">
        <f>SUM(G72:G73)</f>
        <v>6.33</v>
      </c>
      <c r="H74" s="37"/>
      <c r="I74" s="37"/>
      <c r="J74" s="37"/>
      <c r="K74" s="29"/>
    </row>
    <row r="75" spans="2:11" x14ac:dyDescent="0.2">
      <c r="B75" s="46" t="s">
        <v>124</v>
      </c>
      <c r="C75" s="46"/>
      <c r="D75" s="46"/>
      <c r="E75" s="46"/>
      <c r="F75" s="47">
        <f>F74</f>
        <v>7552.06</v>
      </c>
      <c r="G75" s="47">
        <f>G74</f>
        <v>6.33</v>
      </c>
      <c r="H75" s="47"/>
      <c r="I75" s="47"/>
      <c r="J75" s="47"/>
      <c r="K75" s="29"/>
    </row>
    <row r="76" spans="2:11" x14ac:dyDescent="0.2">
      <c r="B76" s="48" t="s">
        <v>157</v>
      </c>
      <c r="C76" s="48"/>
      <c r="D76" s="48"/>
      <c r="E76" s="48"/>
      <c r="F76" s="49">
        <v>-65.684049999999999</v>
      </c>
      <c r="G76" s="49">
        <f>F76/F78*100</f>
        <v>-5.5061345437587894E-2</v>
      </c>
      <c r="H76" s="49"/>
      <c r="I76" s="49"/>
      <c r="J76" s="49"/>
      <c r="K76" s="29"/>
    </row>
    <row r="77" spans="2:11" x14ac:dyDescent="0.2">
      <c r="B77" s="48" t="s">
        <v>158</v>
      </c>
      <c r="C77" s="48"/>
      <c r="D77" s="48"/>
      <c r="E77" s="48"/>
      <c r="F77" s="49">
        <f>F78-(+F48+F57+F67+F71+F75+F76)</f>
        <v>679.29404999998224</v>
      </c>
      <c r="G77" s="49">
        <f>G78-(+G48+G57+G67+G71+G75+G76)</f>
        <v>0.55506134543760766</v>
      </c>
      <c r="H77" s="49"/>
      <c r="I77" s="49"/>
      <c r="J77" s="49"/>
      <c r="K77" s="29"/>
    </row>
    <row r="78" spans="2:11" x14ac:dyDescent="0.2">
      <c r="B78" s="48" t="s">
        <v>159</v>
      </c>
      <c r="C78" s="48"/>
      <c r="D78" s="48"/>
      <c r="E78" s="48"/>
      <c r="F78" s="49">
        <v>119292.49</v>
      </c>
      <c r="G78" s="49">
        <v>100</v>
      </c>
      <c r="H78" s="49"/>
      <c r="I78" s="49"/>
      <c r="J78" s="49"/>
      <c r="K78" s="29"/>
    </row>
    <row r="80" spans="2:11" x14ac:dyDescent="0.2">
      <c r="B80" s="29" t="s">
        <v>160</v>
      </c>
    </row>
    <row r="81" spans="2:3" x14ac:dyDescent="0.2">
      <c r="B81" s="29" t="s">
        <v>161</v>
      </c>
    </row>
    <row r="82" spans="2:3" ht="12.75" thickBot="1" x14ac:dyDescent="0.25"/>
    <row r="83" spans="2:3" ht="13.5" thickTop="1" thickBot="1" x14ac:dyDescent="0.25">
      <c r="B83" s="50" t="s">
        <v>162</v>
      </c>
      <c r="C83" s="51">
        <v>0.50580000000000003</v>
      </c>
    </row>
    <row r="84" spans="2:3" ht="13.5" thickTop="1" thickBot="1" x14ac:dyDescent="0.25"/>
    <row r="85" spans="2:3" ht="13.5" thickTop="1" thickBot="1" x14ac:dyDescent="0.25">
      <c r="B85" s="50" t="s">
        <v>163</v>
      </c>
      <c r="C85" s="52">
        <v>5.91E-2</v>
      </c>
    </row>
    <row r="86" spans="2:3" ht="13.5" thickTop="1" thickBot="1" x14ac:dyDescent="0.25"/>
    <row r="87" spans="2:3" ht="13.5" thickTop="1" thickBot="1" x14ac:dyDescent="0.25">
      <c r="B87" s="50" t="s">
        <v>164</v>
      </c>
      <c r="C87" s="51">
        <v>0.53900000000000003</v>
      </c>
    </row>
    <row r="88" spans="2:3" ht="13.5" thickTop="1" thickBot="1" x14ac:dyDescent="0.25"/>
    <row r="89" spans="2:3" ht="13.5" thickTop="1" thickBot="1" x14ac:dyDescent="0.25">
      <c r="B89" s="50" t="s">
        <v>165</v>
      </c>
      <c r="C89" s="51">
        <v>12608.564425</v>
      </c>
    </row>
    <row r="90" spans="2:3" ht="13.5" thickTop="1" thickBot="1" x14ac:dyDescent="0.25"/>
    <row r="91" spans="2:3" ht="13.5" thickTop="1" thickBot="1" x14ac:dyDescent="0.25">
      <c r="B91" s="50" t="s">
        <v>166</v>
      </c>
      <c r="C91" s="51">
        <f>ROUND(C89/F78,4)*100</f>
        <v>10.57</v>
      </c>
    </row>
    <row r="92" spans="2:3" ht="12.75" thickTop="1" x14ac:dyDescent="0.2"/>
    <row r="93" spans="2:3" x14ac:dyDescent="0.2">
      <c r="B93" s="29" t="s">
        <v>167</v>
      </c>
    </row>
    <row r="95" spans="2:3" ht="15" x14ac:dyDescent="0.2">
      <c r="B95" s="53" t="s">
        <v>168</v>
      </c>
    </row>
  </sheetData>
  <mergeCells count="5">
    <mergeCell ref="B1:J1"/>
    <mergeCell ref="L5:L12"/>
    <mergeCell ref="M5:M12"/>
    <mergeCell ref="N5:N12"/>
    <mergeCell ref="O5:O12"/>
  </mergeCells>
  <hyperlinks>
    <hyperlink ref="B95" r:id="rId1" tooltip="Original URL: https://www.canararobeco.com/docs/default-source/default-document-library/Scheme_Performance_December_25.pdf. Click or tap if you trust this link." xr:uid="{D950BAD2-6999-4F98-BC6F-2CFADF518F06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15:15:08</KDate>
  <Classification>MIS INTERNAL</Classification>
  <Subclassification/>
  <HostName>MUMCMP01323</HostName>
  <Domain_User>CANARAROBECOMF/628</Domain_User>
  <IPAdd>192.9.198.196</IPAdd>
  <FilePath>Book14</FilePath>
  <KID>109819A0F0A5639034821082680573</KID>
  <UniqueName/>
  <Suggested/>
  <Justification/>
  <KlassifyGUID/>
</Klassify>
</file>

<file path=customXml/itemProps1.xml><?xml version="1.0" encoding="utf-8"?>
<ds:datastoreItem xmlns:ds="http://schemas.openxmlformats.org/officeDocument/2006/customXml" ds:itemID="{D90E6CC4-861D-420E-98CF-487B53369B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2026-01-08T09:45:01Z</dcterms:created>
  <dcterms:modified xsi:type="dcterms:W3CDTF">2026-01-08T09:45:08Z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109819A0F0A5639034821082680573</vt:lpwstr>
  </property>
</Properties>
</file>