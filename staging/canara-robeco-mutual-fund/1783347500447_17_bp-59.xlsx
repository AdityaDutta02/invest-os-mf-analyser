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December 2023\"/>
    </mc:Choice>
  </mc:AlternateContent>
  <bookViews>
    <workbookView xWindow="0" yWindow="0" windowWidth="20490" windowHeight="7020"/>
  </bookViews>
  <sheets>
    <sheet name="BP" sheetId="1" r:id="rId1"/>
  </sheets>
  <calcPr calcId="162913" calcMode="manual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1" l="1"/>
  <c r="G50" i="1" s="1"/>
  <c r="F49" i="1"/>
  <c r="F50" i="1" s="1"/>
  <c r="G46" i="1"/>
  <c r="F46" i="1"/>
  <c r="G43" i="1"/>
  <c r="F43" i="1"/>
  <c r="G35" i="1"/>
  <c r="F35" i="1"/>
  <c r="G32" i="1"/>
  <c r="G36" i="1" s="1"/>
  <c r="F32" i="1"/>
  <c r="F36" i="1" s="1"/>
  <c r="G27" i="1"/>
  <c r="G28" i="1" s="1"/>
  <c r="G51" i="1" s="1"/>
  <c r="F27" i="1"/>
  <c r="F28" i="1" s="1"/>
  <c r="F51" i="1" s="1"/>
</calcChain>
</file>

<file path=xl/sharedStrings.xml><?xml version="1.0" encoding="utf-8"?>
<sst xmlns="http://schemas.openxmlformats.org/spreadsheetml/2006/main" count="132" uniqueCount="103">
  <si>
    <t>CANARA ROBECO BANKING AND PSU DEBT FUND</t>
  </si>
  <si>
    <t>Monthly Portfolio Statement as on December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</si>
  <si>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</si>
  <si>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</si>
  <si>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</si>
  <si>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</si>
  <si>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</si>
  <si>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</si>
  <si>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</si>
  <si>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Dec'23</t>
  </si>
  <si>
    <t>Benchmark Risk-o-meter Level- Dec'23</t>
  </si>
  <si>
    <t>Scheme Risk-o-meter Level- Nov'23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</si>
  <si>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</si>
  <si>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</si>
  <si>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</si>
  <si>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</si>
  <si>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</si>
  <si>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</si>
  <si>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</si>
  <si>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</si>
  <si>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8.44% HDFC Bank Ltd (28/12/2028) **</t>
  </si>
  <si>
    <t>INE040A08393</t>
  </si>
  <si>
    <t>CRISIL AAA</t>
  </si>
  <si>
    <t>Relatively Low (Class I)</t>
  </si>
  <si>
    <t>8.85% Axis Bank Ltd (05/12/2024) **</t>
  </si>
  <si>
    <t>INE238A08351</t>
  </si>
  <si>
    <t>8.20% Power Grid Corporation of India Ltd (23/01/2025) **</t>
  </si>
  <si>
    <t>INE752E07MG9</t>
  </si>
  <si>
    <t>Moderate 
(Class II)</t>
  </si>
  <si>
    <t>7.35% NTPC Ltd (17/04/2026) **</t>
  </si>
  <si>
    <t>INE733E08247</t>
  </si>
  <si>
    <t>7.44% REC Ltd (30/04/2026) **</t>
  </si>
  <si>
    <t>INE020B08EL2</t>
  </si>
  <si>
    <t>IND AAA</t>
  </si>
  <si>
    <t>Relatively High (Class III)</t>
  </si>
  <si>
    <t>B-III</t>
  </si>
  <si>
    <t>7.35% NHPC Ltd (15/09/2026) **</t>
  </si>
  <si>
    <t>INE848E07AL0</t>
  </si>
  <si>
    <t>CARE AAA</t>
  </si>
  <si>
    <t>7.15% Small Industries Development Bank Of India (21/07/2025) **</t>
  </si>
  <si>
    <t>INE556F08JZ5</t>
  </si>
  <si>
    <t>ICRA AAA</t>
  </si>
  <si>
    <t>Benchmark: CRISIL Banking and PSU Debt Index</t>
  </si>
  <si>
    <t>8.45% Indian Railway Finance Corporation Ltd (04/12/2028) **</t>
  </si>
  <si>
    <t>INE053F07AY7</t>
  </si>
  <si>
    <t>7.65% Indian Railway Finance Corporation Ltd (30/12/2032) **</t>
  </si>
  <si>
    <t>INE053F08221</t>
  </si>
  <si>
    <t>7.63% Grasim industries Ltd (01/12/2027) **</t>
  </si>
  <si>
    <t>INE047A08208</t>
  </si>
  <si>
    <t>6.85% National Bank For Agriculture &amp; Rural Development (21/03/2031) **</t>
  </si>
  <si>
    <t>INE261F08DA8</t>
  </si>
  <si>
    <t>8.55% HDFC Bank Ltd (27/03/2029) **</t>
  </si>
  <si>
    <t>INE040A08724</t>
  </si>
  <si>
    <t>9.15% ICICI Bank Ltd (06/08/2024) **</t>
  </si>
  <si>
    <t>INE090A08TN1</t>
  </si>
  <si>
    <t>8.65% Power Finance Corporation Ltd (28/12/2024) **</t>
  </si>
  <si>
    <t>INE134E08GV9</t>
  </si>
  <si>
    <t>8.27% REC Ltd (06/02/2025) **</t>
  </si>
  <si>
    <t>INE020B08906</t>
  </si>
  <si>
    <t>7.70% Power Finance Corporation Ltd (15/04/2033) **</t>
  </si>
  <si>
    <t>INE134E08MI4</t>
  </si>
  <si>
    <t>7.71% LIC Housing Finance Ltd (09/05/2033)</t>
  </si>
  <si>
    <t>INE115A07QI4</t>
  </si>
  <si>
    <t>6.19% LIC Housing Finance Ltd (25/11/2024) **</t>
  </si>
  <si>
    <t>INE115A07OW0</t>
  </si>
  <si>
    <t>7.59% Small Industries Development Bank Of India (10/02/2026) **</t>
  </si>
  <si>
    <t>INE556F08KG3</t>
  </si>
  <si>
    <t>7.34% National Housing Bank (07/08/2025) **</t>
  </si>
  <si>
    <t>INE557F08FN7</t>
  </si>
  <si>
    <t>Sub Total</t>
  </si>
  <si>
    <t>Total</t>
  </si>
  <si>
    <t>Money Market Instruments</t>
  </si>
  <si>
    <t>Certificate of Deposit</t>
  </si>
  <si>
    <t>ICICI Bank Ltd (29/10/2024) ** #</t>
  </si>
  <si>
    <t>INE090AD6071</t>
  </si>
  <si>
    <t>ICRA A1+</t>
  </si>
  <si>
    <t>Treasury Bill</t>
  </si>
  <si>
    <t>364 DAYS TREASURY BILLS 01-FEB-24</t>
  </si>
  <si>
    <t>IN002022Z440</t>
  </si>
  <si>
    <t xml:space="preserve"> Sovereign</t>
  </si>
  <si>
    <t>Government Bonds</t>
  </si>
  <si>
    <t>7.17% GOI 2030 (17-APR-2030)</t>
  </si>
  <si>
    <t>IN0020230036</t>
  </si>
  <si>
    <t>Sovereign</t>
  </si>
  <si>
    <t>7.18% GOI 2037 (14-AUG-2033)</t>
  </si>
  <si>
    <t>IN0020230085</t>
  </si>
  <si>
    <t>GOI FRB 30-OCT-34</t>
  </si>
  <si>
    <t>IN0020210137</t>
  </si>
  <si>
    <t>7.39% TAMIL NADU SDL 10-MAY-33</t>
  </si>
  <si>
    <t>IN3120230021</t>
  </si>
  <si>
    <t>7.32% GOI 2073 (13-NOV-2030)</t>
  </si>
  <si>
    <t>IN0020230135</t>
  </si>
  <si>
    <t>Alternative Investment Fund</t>
  </si>
  <si>
    <t>CORPORATE DEBT MARKET DEVELOPMENT FUND - A2</t>
  </si>
  <si>
    <t>INF0RQ622028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</si>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</sst>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43" fontId="3" fillId="3" borderId="0" xfId="1" applyFont="1" applyFill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1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76201</xdr:colOff>
      <xdr:row>4</xdr:row>
      <xdr:rowOff>142875</xdr:rowOff>
    </xdr:from>
    <xdr:to>
      <xdr:col>10</xdr:col>
      <xdr:colOff>2133601</xdr:colOff>
      <xdr:row>10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9176" y="1133475"/>
          <a:ext cx="2057400" cy="1285875"/>
        </a:xfrm>
        <a:prstGeom prst="rect">
          <a:avLst/>
        </a:prstGeom>
      </xdr:spPr>
    </xdr:pic>
    <xdr:clientData/>
  </xdr:twoCellAnchor>
  <xdr:oneCellAnchor>
    <xdr:from>
      <xdr:col>9</xdr:col>
      <xdr:colOff>47625</xdr:colOff>
      <xdr:row>4</xdr:row>
      <xdr:rowOff>172187</xdr:rowOff>
    </xdr:from>
    <xdr:ext cx="2000250" cy="121846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15575" y="1162787"/>
          <a:ext cx="2000250" cy="121846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4</xdr:row>
      <xdr:rowOff>219075</xdr:rowOff>
    </xdr:from>
    <xdr:ext cx="1797502" cy="117701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35175" y="1209675"/>
          <a:ext cx="1797502" cy="11770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1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0.85546875" style="3" bestFit="1" customWidth="1"/>
    <col min="3" max="3" width="13.85546875" style="3" bestFit="1" customWidth="1"/>
    <col min="4" max="4" width="22.85546875" style="3" bestFit="1" customWidth="1"/>
    <col min="5" max="5" width="8.85546875" style="60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1.5703125" style="3" customWidth="1"/>
    <col min="11" max="11" width="33.42578125" style="3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4" t="s">
        <v>1</v>
      </c>
      <c r="C3" s="5"/>
      <c r="D3" s="6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customHeight="1" x14ac:dyDescent="0.2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 x14ac:dyDescent="0.2">
      <c r="B6" s="26" t="s">
        <v>18</v>
      </c>
      <c r="C6" s="27"/>
      <c r="D6" s="27"/>
      <c r="E6" s="28"/>
      <c r="F6" s="29"/>
      <c r="G6" s="29"/>
      <c r="H6" s="29"/>
      <c r="J6" s="23"/>
      <c r="K6" s="23"/>
      <c r="L6" s="23"/>
      <c r="N6" s="30" t="s">
        <v>19</v>
      </c>
      <c r="O6" s="25"/>
      <c r="P6" s="25"/>
      <c r="Q6" s="25"/>
    </row>
    <row r="7" spans="2:17" ht="12" customHeight="1" x14ac:dyDescent="0.2">
      <c r="B7" s="27" t="s">
        <v>20</v>
      </c>
      <c r="C7" s="27" t="s">
        <v>21</v>
      </c>
      <c r="D7" s="27" t="s">
        <v>22</v>
      </c>
      <c r="E7" s="31">
        <v>250</v>
      </c>
      <c r="F7" s="29">
        <v>2557.9299999999998</v>
      </c>
      <c r="G7" s="29">
        <v>6.03</v>
      </c>
      <c r="H7" s="29">
        <v>7.86</v>
      </c>
      <c r="J7" s="23"/>
      <c r="K7" s="23"/>
      <c r="L7" s="23"/>
      <c r="M7" s="32"/>
      <c r="N7" s="33" t="s">
        <v>23</v>
      </c>
      <c r="O7" s="34"/>
      <c r="P7" s="34"/>
      <c r="Q7" s="34"/>
    </row>
    <row r="8" spans="2:17" x14ac:dyDescent="0.2">
      <c r="B8" s="27" t="s">
        <v>24</v>
      </c>
      <c r="C8" s="27" t="s">
        <v>25</v>
      </c>
      <c r="D8" s="27" t="s">
        <v>22</v>
      </c>
      <c r="E8" s="31">
        <v>250</v>
      </c>
      <c r="F8" s="29">
        <v>2516.87</v>
      </c>
      <c r="G8" s="29">
        <v>5.93</v>
      </c>
      <c r="H8" s="29">
        <v>8.02</v>
      </c>
      <c r="J8" s="23"/>
      <c r="K8" s="23"/>
      <c r="L8" s="23"/>
      <c r="M8" s="32"/>
      <c r="N8" s="33"/>
      <c r="O8" s="35"/>
      <c r="P8" s="35"/>
      <c r="Q8" s="35"/>
    </row>
    <row r="9" spans="2:17" ht="12" customHeight="1" x14ac:dyDescent="0.2">
      <c r="B9" s="27" t="s">
        <v>26</v>
      </c>
      <c r="C9" s="27" t="s">
        <v>27</v>
      </c>
      <c r="D9" s="27" t="s">
        <v>22</v>
      </c>
      <c r="E9" s="31">
        <v>250</v>
      </c>
      <c r="F9" s="29">
        <v>2513.21</v>
      </c>
      <c r="G9" s="29">
        <v>5.92</v>
      </c>
      <c r="H9" s="29">
        <v>7.65</v>
      </c>
      <c r="J9" s="23"/>
      <c r="K9" s="23"/>
      <c r="L9" s="23"/>
      <c r="M9" s="32"/>
      <c r="N9" s="33" t="s">
        <v>28</v>
      </c>
      <c r="O9" s="34"/>
      <c r="P9" s="34"/>
      <c r="Q9" s="34"/>
    </row>
    <row r="10" spans="2:17" x14ac:dyDescent="0.2">
      <c r="B10" s="27" t="s">
        <v>29</v>
      </c>
      <c r="C10" s="27" t="s">
        <v>30</v>
      </c>
      <c r="D10" s="27" t="s">
        <v>22</v>
      </c>
      <c r="E10" s="31">
        <v>2500</v>
      </c>
      <c r="F10" s="29">
        <v>2485.38</v>
      </c>
      <c r="G10" s="29">
        <v>5.86</v>
      </c>
      <c r="H10" s="29">
        <v>7.61</v>
      </c>
      <c r="J10" s="23"/>
      <c r="K10" s="23"/>
      <c r="L10" s="23"/>
      <c r="M10" s="32"/>
      <c r="N10" s="33"/>
      <c r="O10" s="35"/>
      <c r="P10" s="35"/>
      <c r="Q10" s="35"/>
    </row>
    <row r="11" spans="2:17" ht="12" customHeight="1" x14ac:dyDescent="0.2">
      <c r="B11" s="27" t="s">
        <v>31</v>
      </c>
      <c r="C11" s="27" t="s">
        <v>32</v>
      </c>
      <c r="D11" s="27" t="s">
        <v>33</v>
      </c>
      <c r="E11" s="31">
        <v>2500</v>
      </c>
      <c r="F11" s="29">
        <v>2482.96</v>
      </c>
      <c r="G11" s="29">
        <v>5.85</v>
      </c>
      <c r="H11" s="29">
        <v>7.75</v>
      </c>
      <c r="J11" s="23"/>
      <c r="K11" s="23"/>
      <c r="L11" s="23"/>
      <c r="M11" s="32"/>
      <c r="N11" s="33" t="s">
        <v>34</v>
      </c>
      <c r="O11" s="34"/>
      <c r="P11" s="36" t="s">
        <v>35</v>
      </c>
      <c r="Q11" s="34"/>
    </row>
    <row r="12" spans="2:17" x14ac:dyDescent="0.2">
      <c r="B12" s="27" t="s">
        <v>36</v>
      </c>
      <c r="C12" s="27" t="s">
        <v>37</v>
      </c>
      <c r="D12" s="27" t="s">
        <v>38</v>
      </c>
      <c r="E12" s="31">
        <v>250</v>
      </c>
      <c r="F12" s="29">
        <v>2481.4699999999998</v>
      </c>
      <c r="G12" s="29">
        <v>5.85</v>
      </c>
      <c r="H12" s="29">
        <v>7.64</v>
      </c>
      <c r="J12" s="23"/>
      <c r="K12" s="23"/>
      <c r="L12" s="23"/>
      <c r="M12" s="32"/>
      <c r="N12" s="33"/>
      <c r="O12" s="35"/>
      <c r="P12" s="37"/>
      <c r="Q12" s="35"/>
    </row>
    <row r="13" spans="2:17" ht="15" x14ac:dyDescent="0.25">
      <c r="B13" s="27" t="s">
        <v>39</v>
      </c>
      <c r="C13" s="27" t="s">
        <v>40</v>
      </c>
      <c r="D13" s="27" t="s">
        <v>41</v>
      </c>
      <c r="E13" s="31">
        <v>250</v>
      </c>
      <c r="F13" s="29">
        <v>2477.71</v>
      </c>
      <c r="G13" s="29">
        <v>5.84</v>
      </c>
      <c r="H13" s="29">
        <v>7.74</v>
      </c>
      <c r="J13" s="32"/>
      <c r="K13" t="s">
        <v>42</v>
      </c>
      <c r="L13" s="32"/>
      <c r="M13" s="32"/>
    </row>
    <row r="14" spans="2:17" x14ac:dyDescent="0.2">
      <c r="B14" s="27" t="s">
        <v>43</v>
      </c>
      <c r="C14" s="27" t="s">
        <v>44</v>
      </c>
      <c r="D14" s="27" t="s">
        <v>22</v>
      </c>
      <c r="E14" s="31">
        <v>150</v>
      </c>
      <c r="F14" s="29">
        <v>1548.88</v>
      </c>
      <c r="G14" s="29">
        <v>3.65</v>
      </c>
      <c r="H14" s="29">
        <v>7.63</v>
      </c>
      <c r="J14" s="32"/>
      <c r="K14" s="32"/>
      <c r="L14" s="32"/>
      <c r="M14" s="32"/>
    </row>
    <row r="15" spans="2:17" x14ac:dyDescent="0.2">
      <c r="B15" s="27" t="s">
        <v>45</v>
      </c>
      <c r="C15" s="27" t="s">
        <v>46</v>
      </c>
      <c r="D15" s="27" t="s">
        <v>22</v>
      </c>
      <c r="E15" s="31">
        <v>150</v>
      </c>
      <c r="F15" s="29">
        <v>1502.51</v>
      </c>
      <c r="G15" s="29">
        <v>3.54</v>
      </c>
      <c r="H15" s="29">
        <v>7.62</v>
      </c>
      <c r="J15" s="32"/>
      <c r="K15" s="32"/>
      <c r="L15" s="32"/>
      <c r="M15" s="32"/>
    </row>
    <row r="16" spans="2:17" x14ac:dyDescent="0.2">
      <c r="B16" s="27" t="s">
        <v>47</v>
      </c>
      <c r="C16" s="27" t="s">
        <v>48</v>
      </c>
      <c r="D16" s="27" t="s">
        <v>22</v>
      </c>
      <c r="E16" s="31">
        <v>150</v>
      </c>
      <c r="F16" s="29">
        <v>1493.79</v>
      </c>
      <c r="G16" s="29">
        <v>3.52</v>
      </c>
      <c r="H16" s="29">
        <v>7.75</v>
      </c>
      <c r="J16" s="32"/>
      <c r="K16" s="32"/>
      <c r="L16" s="32"/>
      <c r="M16" s="32"/>
    </row>
    <row r="17" spans="2:13" x14ac:dyDescent="0.2">
      <c r="B17" s="27" t="s">
        <v>49</v>
      </c>
      <c r="C17" s="27" t="s">
        <v>50</v>
      </c>
      <c r="D17" s="27" t="s">
        <v>41</v>
      </c>
      <c r="E17" s="31">
        <v>150</v>
      </c>
      <c r="F17" s="29">
        <v>1441.97</v>
      </c>
      <c r="G17" s="29">
        <v>3.4</v>
      </c>
      <c r="H17" s="29">
        <v>7.7</v>
      </c>
      <c r="J17" s="32"/>
      <c r="K17" s="32"/>
      <c r="L17" s="32"/>
      <c r="M17" s="32"/>
    </row>
    <row r="18" spans="2:13" x14ac:dyDescent="0.2">
      <c r="B18" s="27" t="s">
        <v>51</v>
      </c>
      <c r="C18" s="27" t="s">
        <v>52</v>
      </c>
      <c r="D18" s="27" t="s">
        <v>22</v>
      </c>
      <c r="E18" s="31">
        <v>100</v>
      </c>
      <c r="F18" s="29">
        <v>1026.1099999999999</v>
      </c>
      <c r="G18" s="29">
        <v>2.42</v>
      </c>
      <c r="H18" s="29">
        <v>7.91</v>
      </c>
      <c r="J18" s="32"/>
      <c r="K18" s="32"/>
      <c r="L18" s="32"/>
      <c r="M18" s="32"/>
    </row>
    <row r="19" spans="2:13" x14ac:dyDescent="0.2">
      <c r="B19" s="27" t="s">
        <v>53</v>
      </c>
      <c r="C19" s="27" t="s">
        <v>54</v>
      </c>
      <c r="D19" s="27" t="s">
        <v>41</v>
      </c>
      <c r="E19" s="31">
        <v>100</v>
      </c>
      <c r="F19" s="29">
        <v>1008.2</v>
      </c>
      <c r="G19" s="29">
        <v>2.38</v>
      </c>
      <c r="H19" s="29">
        <v>7.84</v>
      </c>
      <c r="J19" s="32"/>
      <c r="K19" s="32"/>
      <c r="L19" s="32"/>
      <c r="M19" s="32"/>
    </row>
    <row r="20" spans="2:13" x14ac:dyDescent="0.2">
      <c r="B20" s="27" t="s">
        <v>55</v>
      </c>
      <c r="C20" s="27" t="s">
        <v>56</v>
      </c>
      <c r="D20" s="27" t="s">
        <v>22</v>
      </c>
      <c r="E20" s="31">
        <v>100</v>
      </c>
      <c r="F20" s="29">
        <v>1007.43</v>
      </c>
      <c r="G20" s="29">
        <v>2.37</v>
      </c>
      <c r="H20" s="29">
        <v>7.84</v>
      </c>
      <c r="J20" s="32"/>
      <c r="K20" s="32"/>
      <c r="L20" s="32"/>
      <c r="M20" s="32"/>
    </row>
    <row r="21" spans="2:13" x14ac:dyDescent="0.2">
      <c r="B21" s="27" t="s">
        <v>57</v>
      </c>
      <c r="C21" s="27" t="s">
        <v>58</v>
      </c>
      <c r="D21" s="27" t="s">
        <v>22</v>
      </c>
      <c r="E21" s="31">
        <v>100</v>
      </c>
      <c r="F21" s="29">
        <v>1004.72</v>
      </c>
      <c r="G21" s="29">
        <v>2.37</v>
      </c>
      <c r="H21" s="29">
        <v>7.79</v>
      </c>
      <c r="J21" s="32"/>
      <c r="K21" s="32"/>
      <c r="L21" s="32"/>
      <c r="M21" s="32"/>
    </row>
    <row r="22" spans="2:13" x14ac:dyDescent="0.2">
      <c r="B22" s="27" t="s">
        <v>59</v>
      </c>
      <c r="C22" s="27" t="s">
        <v>60</v>
      </c>
      <c r="D22" s="27" t="s">
        <v>22</v>
      </c>
      <c r="E22" s="31">
        <v>1000</v>
      </c>
      <c r="F22" s="29">
        <v>1002.8</v>
      </c>
      <c r="G22" s="29">
        <v>2.36</v>
      </c>
      <c r="H22" s="29">
        <v>7.65</v>
      </c>
      <c r="J22" s="32"/>
      <c r="K22" s="32"/>
      <c r="L22" s="32"/>
      <c r="M22" s="32"/>
    </row>
    <row r="23" spans="2:13" x14ac:dyDescent="0.2">
      <c r="B23" s="27" t="s">
        <v>61</v>
      </c>
      <c r="C23" s="27" t="s">
        <v>62</v>
      </c>
      <c r="D23" s="27" t="s">
        <v>22</v>
      </c>
      <c r="E23" s="31">
        <v>100</v>
      </c>
      <c r="F23" s="29">
        <v>993.51</v>
      </c>
      <c r="G23" s="29">
        <v>2.34</v>
      </c>
      <c r="H23" s="29">
        <v>7.8</v>
      </c>
      <c r="J23" s="32"/>
      <c r="K23" s="32"/>
      <c r="L23" s="32"/>
      <c r="M23" s="32"/>
    </row>
    <row r="24" spans="2:13" x14ac:dyDescent="0.2">
      <c r="B24" s="27" t="s">
        <v>63</v>
      </c>
      <c r="C24" s="27" t="s">
        <v>64</v>
      </c>
      <c r="D24" s="27" t="s">
        <v>22</v>
      </c>
      <c r="E24" s="31">
        <v>100</v>
      </c>
      <c r="F24" s="29">
        <v>985.03</v>
      </c>
      <c r="G24" s="29">
        <v>2.3199999999999998</v>
      </c>
      <c r="H24" s="29">
        <v>7.93</v>
      </c>
      <c r="J24" s="32"/>
      <c r="K24" s="32"/>
      <c r="L24" s="32"/>
      <c r="M24" s="32"/>
    </row>
    <row r="25" spans="2:13" x14ac:dyDescent="0.2">
      <c r="B25" s="27" t="s">
        <v>65</v>
      </c>
      <c r="C25" s="27" t="s">
        <v>66</v>
      </c>
      <c r="D25" s="27" t="s">
        <v>22</v>
      </c>
      <c r="E25" s="31">
        <v>500</v>
      </c>
      <c r="F25" s="29">
        <v>498.22</v>
      </c>
      <c r="G25" s="29">
        <v>1.17</v>
      </c>
      <c r="H25" s="29">
        <v>7.78</v>
      </c>
      <c r="J25" s="32"/>
      <c r="K25" s="32"/>
      <c r="L25" s="32"/>
      <c r="M25" s="32"/>
    </row>
    <row r="26" spans="2:13" x14ac:dyDescent="0.2">
      <c r="B26" s="27" t="s">
        <v>67</v>
      </c>
      <c r="C26" s="27" t="s">
        <v>68</v>
      </c>
      <c r="D26" s="27" t="s">
        <v>22</v>
      </c>
      <c r="E26" s="31">
        <v>50</v>
      </c>
      <c r="F26" s="29">
        <v>497.76</v>
      </c>
      <c r="G26" s="29">
        <v>1.17</v>
      </c>
      <c r="H26" s="29">
        <v>7.63</v>
      </c>
      <c r="J26" s="32"/>
      <c r="K26" s="32"/>
      <c r="L26" s="32"/>
      <c r="M26" s="32"/>
    </row>
    <row r="27" spans="2:13" x14ac:dyDescent="0.2">
      <c r="B27" s="38" t="s">
        <v>69</v>
      </c>
      <c r="C27" s="38"/>
      <c r="D27" s="38"/>
      <c r="E27" s="39"/>
      <c r="F27" s="40">
        <f>SUM(F6:F26)</f>
        <v>31526.46</v>
      </c>
      <c r="G27" s="40">
        <f>SUM(G6:G26)</f>
        <v>74.290000000000006</v>
      </c>
      <c r="H27" s="41"/>
      <c r="I27" s="42"/>
      <c r="J27" s="32"/>
      <c r="K27" s="32"/>
      <c r="L27" s="32"/>
      <c r="M27" s="32"/>
    </row>
    <row r="28" spans="2:13" x14ac:dyDescent="0.2">
      <c r="B28" s="43" t="s">
        <v>70</v>
      </c>
      <c r="C28" s="43"/>
      <c r="D28" s="43"/>
      <c r="E28" s="44"/>
      <c r="F28" s="45">
        <f>F27</f>
        <v>31526.46</v>
      </c>
      <c r="G28" s="45">
        <f>G27</f>
        <v>74.290000000000006</v>
      </c>
      <c r="H28" s="45"/>
      <c r="I28" s="42"/>
      <c r="J28" s="32"/>
      <c r="K28" s="32"/>
      <c r="L28" s="32"/>
      <c r="M28" s="32"/>
    </row>
    <row r="29" spans="2:13" x14ac:dyDescent="0.2">
      <c r="B29" s="26" t="s">
        <v>71</v>
      </c>
      <c r="C29" s="27"/>
      <c r="D29" s="27"/>
      <c r="E29" s="28"/>
      <c r="F29" s="29"/>
      <c r="G29" s="29"/>
      <c r="H29" s="29"/>
      <c r="J29" s="32"/>
      <c r="K29" s="32"/>
      <c r="L29" s="32"/>
      <c r="M29" s="32"/>
    </row>
    <row r="30" spans="2:13" x14ac:dyDescent="0.2">
      <c r="B30" s="26" t="s">
        <v>72</v>
      </c>
      <c r="C30" s="27"/>
      <c r="D30" s="27"/>
      <c r="E30" s="28"/>
      <c r="F30" s="29"/>
      <c r="G30" s="29"/>
      <c r="H30" s="29"/>
      <c r="J30" s="32"/>
      <c r="K30" s="32"/>
      <c r="L30" s="32"/>
      <c r="M30" s="32"/>
    </row>
    <row r="31" spans="2:13" x14ac:dyDescent="0.2">
      <c r="B31" s="27" t="s">
        <v>73</v>
      </c>
      <c r="C31" s="27" t="s">
        <v>74</v>
      </c>
      <c r="D31" s="27" t="s">
        <v>75</v>
      </c>
      <c r="E31" s="31">
        <v>500</v>
      </c>
      <c r="F31" s="29">
        <v>2348.17</v>
      </c>
      <c r="G31" s="29">
        <v>5.53</v>
      </c>
      <c r="H31" s="29">
        <v>7.81</v>
      </c>
      <c r="J31" s="32"/>
      <c r="K31" s="32"/>
      <c r="L31" s="32"/>
      <c r="M31" s="32"/>
    </row>
    <row r="32" spans="2:13" x14ac:dyDescent="0.2">
      <c r="B32" s="26" t="s">
        <v>69</v>
      </c>
      <c r="C32" s="26"/>
      <c r="D32" s="26"/>
      <c r="E32" s="46"/>
      <c r="F32" s="47">
        <f>SUM(F30:F31)</f>
        <v>2348.17</v>
      </c>
      <c r="G32" s="47">
        <f>SUM(G30:G31)</f>
        <v>5.53</v>
      </c>
      <c r="H32" s="48"/>
      <c r="I32" s="42"/>
      <c r="J32" s="32"/>
      <c r="K32" s="32"/>
      <c r="L32" s="32"/>
      <c r="M32" s="32"/>
    </row>
    <row r="33" spans="2:13" x14ac:dyDescent="0.2">
      <c r="B33" s="26" t="s">
        <v>76</v>
      </c>
      <c r="C33" s="27"/>
      <c r="D33" s="27"/>
      <c r="E33" s="28"/>
      <c r="F33" s="29"/>
      <c r="G33" s="29"/>
      <c r="H33" s="29"/>
      <c r="J33" s="32"/>
      <c r="K33" s="32"/>
      <c r="L33" s="32"/>
      <c r="M33" s="32"/>
    </row>
    <row r="34" spans="2:13" x14ac:dyDescent="0.2">
      <c r="B34" s="27" t="s">
        <v>77</v>
      </c>
      <c r="C34" s="27" t="s">
        <v>78</v>
      </c>
      <c r="D34" s="27" t="s">
        <v>79</v>
      </c>
      <c r="E34" s="31">
        <v>250000</v>
      </c>
      <c r="F34" s="29">
        <v>248.55</v>
      </c>
      <c r="G34" s="29">
        <v>0.59</v>
      </c>
      <c r="H34" s="29">
        <v>6.87</v>
      </c>
      <c r="J34" s="32"/>
      <c r="K34" s="32"/>
      <c r="L34" s="32"/>
      <c r="M34" s="32"/>
    </row>
    <row r="35" spans="2:13" x14ac:dyDescent="0.2">
      <c r="B35" s="38" t="s">
        <v>69</v>
      </c>
      <c r="C35" s="38"/>
      <c r="D35" s="38"/>
      <c r="E35" s="39"/>
      <c r="F35" s="40">
        <f>SUM(F33:F34)</f>
        <v>248.55</v>
      </c>
      <c r="G35" s="40">
        <f>SUM(G33:G34)</f>
        <v>0.59</v>
      </c>
      <c r="H35" s="41"/>
      <c r="I35" s="42"/>
      <c r="J35" s="32"/>
      <c r="K35" s="32"/>
      <c r="L35" s="32"/>
      <c r="M35" s="32"/>
    </row>
    <row r="36" spans="2:13" x14ac:dyDescent="0.2">
      <c r="B36" s="43" t="s">
        <v>70</v>
      </c>
      <c r="C36" s="43"/>
      <c r="D36" s="43"/>
      <c r="E36" s="44"/>
      <c r="F36" s="45">
        <f>F32+F35</f>
        <v>2596.7200000000003</v>
      </c>
      <c r="G36" s="45">
        <f>G32+G35</f>
        <v>6.12</v>
      </c>
      <c r="H36" s="45"/>
      <c r="I36" s="42"/>
      <c r="J36" s="32"/>
      <c r="K36" s="32"/>
      <c r="L36" s="32"/>
      <c r="M36" s="32"/>
    </row>
    <row r="37" spans="2:13" x14ac:dyDescent="0.2">
      <c r="B37" s="26" t="s">
        <v>80</v>
      </c>
      <c r="C37" s="27"/>
      <c r="D37" s="27"/>
      <c r="E37" s="28"/>
      <c r="F37" s="29"/>
      <c r="G37" s="29"/>
      <c r="H37" s="29"/>
      <c r="J37" s="32"/>
      <c r="K37" s="32"/>
      <c r="L37" s="32"/>
      <c r="M37" s="32"/>
    </row>
    <row r="38" spans="2:13" x14ac:dyDescent="0.2">
      <c r="B38" s="27" t="s">
        <v>81</v>
      </c>
      <c r="C38" s="27" t="s">
        <v>82</v>
      </c>
      <c r="D38" s="27" t="s">
        <v>83</v>
      </c>
      <c r="E38" s="31">
        <v>1000000</v>
      </c>
      <c r="F38" s="29">
        <v>1001.45</v>
      </c>
      <c r="G38" s="29">
        <v>2.36</v>
      </c>
      <c r="H38" s="29">
        <v>7.27</v>
      </c>
      <c r="J38" s="32"/>
      <c r="K38" s="32"/>
      <c r="L38" s="32"/>
      <c r="M38" s="32"/>
    </row>
    <row r="39" spans="2:13" x14ac:dyDescent="0.2">
      <c r="B39" s="27" t="s">
        <v>84</v>
      </c>
      <c r="C39" s="27" t="s">
        <v>85</v>
      </c>
      <c r="D39" s="27" t="s">
        <v>83</v>
      </c>
      <c r="E39" s="31">
        <v>1000000</v>
      </c>
      <c r="F39" s="29">
        <v>1000.16</v>
      </c>
      <c r="G39" s="29">
        <v>2.36</v>
      </c>
      <c r="H39" s="29">
        <v>7.3</v>
      </c>
      <c r="J39" s="32"/>
      <c r="K39" s="32"/>
      <c r="L39" s="32"/>
      <c r="M39" s="32"/>
    </row>
    <row r="40" spans="2:13" x14ac:dyDescent="0.2">
      <c r="B40" s="27" t="s">
        <v>86</v>
      </c>
      <c r="C40" s="27" t="s">
        <v>87</v>
      </c>
      <c r="D40" s="27" t="s">
        <v>83</v>
      </c>
      <c r="E40" s="31">
        <v>1000000</v>
      </c>
      <c r="F40" s="29">
        <v>994.55</v>
      </c>
      <c r="G40" s="29">
        <v>2.34</v>
      </c>
      <c r="H40" s="29">
        <v>8.17</v>
      </c>
      <c r="J40" s="32"/>
      <c r="K40" s="32"/>
      <c r="L40" s="32"/>
      <c r="M40" s="32"/>
    </row>
    <row r="41" spans="2:13" x14ac:dyDescent="0.2">
      <c r="B41" s="27" t="s">
        <v>88</v>
      </c>
      <c r="C41" s="27" t="s">
        <v>89</v>
      </c>
      <c r="D41" s="27" t="s">
        <v>83</v>
      </c>
      <c r="E41" s="31">
        <v>1000000</v>
      </c>
      <c r="F41" s="29">
        <v>984.87</v>
      </c>
      <c r="G41" s="29">
        <v>2.3199999999999998</v>
      </c>
      <c r="H41" s="29">
        <v>7.76</v>
      </c>
      <c r="J41" s="32"/>
      <c r="K41" s="32"/>
      <c r="L41" s="32"/>
      <c r="M41" s="32"/>
    </row>
    <row r="42" spans="2:13" x14ac:dyDescent="0.2">
      <c r="B42" s="49" t="s">
        <v>90</v>
      </c>
      <c r="C42" s="49" t="s">
        <v>91</v>
      </c>
      <c r="D42" s="49" t="s">
        <v>83</v>
      </c>
      <c r="E42" s="50">
        <v>500000</v>
      </c>
      <c r="F42" s="51">
        <v>504.81</v>
      </c>
      <c r="G42" s="51">
        <v>1.19</v>
      </c>
      <c r="H42" s="51">
        <v>7.27</v>
      </c>
      <c r="J42" s="32"/>
      <c r="K42" s="32"/>
      <c r="L42" s="32"/>
      <c r="M42" s="32"/>
    </row>
    <row r="43" spans="2:13" x14ac:dyDescent="0.2">
      <c r="B43" s="52" t="s">
        <v>70</v>
      </c>
      <c r="C43" s="52"/>
      <c r="D43" s="52"/>
      <c r="E43" s="53"/>
      <c r="F43" s="47">
        <f>SUM(F38:F42)</f>
        <v>4485.84</v>
      </c>
      <c r="G43" s="47">
        <f>SUM(G38:G42)</f>
        <v>10.569999999999999</v>
      </c>
      <c r="H43" s="47"/>
      <c r="I43" s="42"/>
      <c r="J43" s="32"/>
      <c r="K43" s="32"/>
      <c r="L43" s="32"/>
      <c r="M43" s="32"/>
    </row>
    <row r="44" spans="2:13" x14ac:dyDescent="0.2">
      <c r="B44" s="26" t="s">
        <v>92</v>
      </c>
      <c r="C44" s="27"/>
      <c r="D44" s="27"/>
      <c r="E44" s="28"/>
      <c r="F44" s="29"/>
      <c r="G44" s="29"/>
      <c r="H44" s="29"/>
      <c r="J44" s="32"/>
      <c r="K44" s="32"/>
      <c r="L44" s="32"/>
      <c r="M44" s="32"/>
    </row>
    <row r="45" spans="2:13" x14ac:dyDescent="0.2">
      <c r="B45" s="49" t="s">
        <v>93</v>
      </c>
      <c r="C45" s="49" t="s">
        <v>94</v>
      </c>
      <c r="D45" s="49" t="s">
        <v>92</v>
      </c>
      <c r="E45" s="50">
        <v>986.95100000000002</v>
      </c>
      <c r="F45" s="51">
        <v>99.52</v>
      </c>
      <c r="G45" s="51">
        <v>0.23</v>
      </c>
      <c r="H45" s="51">
        <v>7.1800000000000006</v>
      </c>
      <c r="J45" s="32"/>
      <c r="K45" s="32"/>
      <c r="L45" s="32"/>
      <c r="M45" s="32"/>
    </row>
    <row r="46" spans="2:13" x14ac:dyDescent="0.2">
      <c r="B46" s="52" t="s">
        <v>70</v>
      </c>
      <c r="C46" s="52"/>
      <c r="D46" s="52"/>
      <c r="E46" s="53"/>
      <c r="F46" s="47">
        <f>SUM(F45:F45)</f>
        <v>99.52</v>
      </c>
      <c r="G46" s="47">
        <f>SUM(G45:G45)</f>
        <v>0.23</v>
      </c>
      <c r="H46" s="47"/>
      <c r="I46" s="42"/>
      <c r="J46" s="32"/>
      <c r="K46" s="32"/>
      <c r="L46" s="32"/>
      <c r="M46" s="32"/>
    </row>
    <row r="47" spans="2:13" x14ac:dyDescent="0.2">
      <c r="B47" s="26" t="s">
        <v>95</v>
      </c>
      <c r="C47" s="27"/>
      <c r="D47" s="27"/>
      <c r="E47" s="28"/>
      <c r="F47" s="29"/>
      <c r="G47" s="29"/>
      <c r="H47" s="29"/>
      <c r="J47" s="32"/>
      <c r="K47" s="32"/>
      <c r="L47" s="32"/>
      <c r="M47" s="32"/>
    </row>
    <row r="48" spans="2:13" x14ac:dyDescent="0.2">
      <c r="B48" s="27" t="s">
        <v>95</v>
      </c>
      <c r="C48" s="27"/>
      <c r="D48" s="27"/>
      <c r="E48" s="28"/>
      <c r="F48" s="29">
        <v>2586.59</v>
      </c>
      <c r="G48" s="29">
        <v>6.09</v>
      </c>
      <c r="H48" s="29"/>
      <c r="J48" s="32"/>
      <c r="K48" s="32"/>
      <c r="L48" s="32"/>
      <c r="M48" s="32"/>
    </row>
    <row r="49" spans="2:13" x14ac:dyDescent="0.2">
      <c r="B49" s="38" t="s">
        <v>69</v>
      </c>
      <c r="C49" s="38"/>
      <c r="D49" s="38"/>
      <c r="E49" s="39"/>
      <c r="F49" s="40">
        <f>SUM(F47:F48)</f>
        <v>2586.59</v>
      </c>
      <c r="G49" s="40">
        <f>SUM(G47:G48)</f>
        <v>6.09</v>
      </c>
      <c r="H49" s="41"/>
      <c r="I49" s="42"/>
      <c r="J49" s="32"/>
      <c r="K49" s="32"/>
      <c r="L49" s="32"/>
      <c r="M49" s="32"/>
    </row>
    <row r="50" spans="2:13" x14ac:dyDescent="0.2">
      <c r="B50" s="54" t="s">
        <v>70</v>
      </c>
      <c r="C50" s="54"/>
      <c r="D50" s="54"/>
      <c r="E50" s="55"/>
      <c r="F50" s="56">
        <f>F49</f>
        <v>2586.59</v>
      </c>
      <c r="G50" s="56">
        <f>G49</f>
        <v>6.09</v>
      </c>
      <c r="H50" s="56"/>
      <c r="I50" s="42"/>
      <c r="J50" s="32"/>
      <c r="K50" s="32"/>
      <c r="L50" s="32"/>
      <c r="M50" s="32"/>
    </row>
    <row r="51" spans="2:13" x14ac:dyDescent="0.2">
      <c r="B51" s="57" t="s">
        <v>96</v>
      </c>
      <c r="C51" s="57"/>
      <c r="D51" s="57"/>
      <c r="E51" s="58"/>
      <c r="F51" s="59">
        <f>F52-(+F28+F36+F43+F46+F50)</f>
        <v>1145.3099999999977</v>
      </c>
      <c r="G51" s="59">
        <f>G52-(+G28+G36+G43+G46+G50)</f>
        <v>2.6999999999999886</v>
      </c>
      <c r="H51" s="59"/>
      <c r="I51" s="42"/>
      <c r="J51" s="32"/>
      <c r="K51" s="32"/>
      <c r="L51" s="32"/>
      <c r="M51" s="32"/>
    </row>
    <row r="52" spans="2:13" x14ac:dyDescent="0.2">
      <c r="B52" s="57" t="s">
        <v>97</v>
      </c>
      <c r="C52" s="57"/>
      <c r="D52" s="57"/>
      <c r="E52" s="58"/>
      <c r="F52" s="59">
        <v>42440.44</v>
      </c>
      <c r="G52" s="59">
        <v>100</v>
      </c>
      <c r="H52" s="59"/>
      <c r="I52" s="42"/>
      <c r="J52" s="32"/>
      <c r="K52" s="32"/>
      <c r="L52" s="32"/>
      <c r="M52" s="32"/>
    </row>
    <row r="53" spans="2:13" x14ac:dyDescent="0.2">
      <c r="J53" s="32"/>
      <c r="K53" s="32"/>
      <c r="L53" s="32"/>
      <c r="M53" s="32"/>
    </row>
    <row r="54" spans="2:13" x14ac:dyDescent="0.2">
      <c r="B54" s="42" t="s">
        <v>98</v>
      </c>
      <c r="J54" s="32"/>
      <c r="K54" s="32"/>
      <c r="L54" s="32"/>
      <c r="M54" s="32"/>
    </row>
    <row r="55" spans="2:13" x14ac:dyDescent="0.2">
      <c r="B55" s="42" t="s">
        <v>99</v>
      </c>
      <c r="J55" s="32"/>
      <c r="K55" s="32"/>
      <c r="L55" s="32"/>
      <c r="M55" s="32"/>
    </row>
    <row r="56" spans="2:13" ht="12.75" thickBot="1" x14ac:dyDescent="0.25">
      <c r="J56" s="32"/>
      <c r="K56" s="32"/>
      <c r="L56" s="32"/>
      <c r="M56" s="32"/>
    </row>
    <row r="57" spans="2:13" ht="13.5" thickTop="1" thickBot="1" x14ac:dyDescent="0.25">
      <c r="B57" s="61" t="s">
        <v>100</v>
      </c>
      <c r="C57" s="62">
        <v>2.5615000000000001</v>
      </c>
      <c r="J57" s="32"/>
      <c r="K57" s="32"/>
      <c r="L57" s="32"/>
      <c r="M57" s="32"/>
    </row>
    <row r="58" spans="2:13" ht="13.5" thickTop="1" thickBot="1" x14ac:dyDescent="0.25">
      <c r="J58" s="32"/>
      <c r="K58" s="32"/>
      <c r="L58" s="32"/>
      <c r="M58" s="32"/>
    </row>
    <row r="59" spans="2:13" ht="13.5" thickTop="1" thickBot="1" x14ac:dyDescent="0.25">
      <c r="B59" s="61" t="s">
        <v>101</v>
      </c>
      <c r="C59" s="63">
        <v>7.6399999999999996E-2</v>
      </c>
      <c r="J59" s="32"/>
      <c r="K59" s="32"/>
      <c r="L59" s="32"/>
      <c r="M59" s="32"/>
    </row>
    <row r="60" spans="2:13" ht="13.5" thickTop="1" thickBot="1" x14ac:dyDescent="0.25">
      <c r="J60" s="32"/>
      <c r="K60" s="32"/>
      <c r="L60" s="32"/>
      <c r="M60" s="32"/>
    </row>
    <row r="61" spans="2:13" ht="13.5" thickTop="1" thickBot="1" x14ac:dyDescent="0.25">
      <c r="B61" s="61" t="s">
        <v>102</v>
      </c>
      <c r="C61" s="62">
        <v>2.7263000000000002</v>
      </c>
      <c r="J61" s="32"/>
      <c r="K61" s="32"/>
      <c r="L61" s="32"/>
      <c r="M61" s="32"/>
    </row>
    <row r="62" spans="2:13" ht="12.75" thickTop="1" x14ac:dyDescent="0.2">
      <c r="J62" s="32"/>
      <c r="K62" s="32"/>
      <c r="L62" s="32"/>
      <c r="M62" s="32"/>
    </row>
    <row r="63" spans="2:13" x14ac:dyDescent="0.2">
      <c r="J63" s="32"/>
      <c r="K63" s="32"/>
      <c r="L63" s="32"/>
      <c r="M63" s="32"/>
    </row>
    <row r="64" spans="2:13" x14ac:dyDescent="0.2">
      <c r="J64" s="32"/>
      <c r="K64" s="32"/>
      <c r="L64" s="32"/>
      <c r="M64" s="32"/>
    </row>
    <row r="65" spans="10:13" x14ac:dyDescent="0.2">
      <c r="J65" s="32"/>
      <c r="K65" s="32"/>
      <c r="L65" s="32"/>
      <c r="M65" s="32"/>
    </row>
    <row r="66" spans="10:13" x14ac:dyDescent="0.2">
      <c r="J66" s="32"/>
      <c r="K66" s="32"/>
      <c r="L66" s="32"/>
      <c r="M66" s="32"/>
    </row>
    <row r="67" spans="10:13" x14ac:dyDescent="0.2">
      <c r="J67" s="32"/>
      <c r="K67" s="32"/>
      <c r="L67" s="32"/>
      <c r="M67" s="32"/>
    </row>
    <row r="68" spans="10:13" x14ac:dyDescent="0.2">
      <c r="J68" s="32"/>
      <c r="K68" s="32"/>
      <c r="L68" s="32"/>
      <c r="M68" s="32"/>
    </row>
    <row r="69" spans="10:13" x14ac:dyDescent="0.2">
      <c r="J69" s="32"/>
      <c r="K69" s="32"/>
      <c r="L69" s="32"/>
      <c r="M69" s="32"/>
    </row>
    <row r="70" spans="10:13" x14ac:dyDescent="0.2">
      <c r="J70" s="32"/>
      <c r="K70" s="32"/>
      <c r="L70" s="32"/>
      <c r="M70" s="32"/>
    </row>
    <row r="71" spans="10:13" x14ac:dyDescent="0.2">
      <c r="J71" s="32"/>
      <c r="K71" s="32"/>
      <c r="L71" s="32"/>
      <c r="M71" s="32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2024-01-04 15:56:16</KDate>
  <Classification>Public</Classification>
  <Subclassification/>
  <HostName>MUMCMP00935</HostName>
  <Domain_User>CANARAROBECOMF/628</Domain_User>
  <IPAdd>192.9.198.194</IPAdd>
  <FilePath>Book23</FilePath>
  <KID>C025A5607E97638399805763004416</KID>
  <UniqueName/>
  <Suggested/>
  <Justification/>
</Klassify>
</file>

<file path=customXml/itemProps1.xml><?xml version="1.0" encoding="utf-8"?>
<ds:datastoreItem xmlns:ds="http://schemas.openxmlformats.org/officeDocument/2006/customXml" ds:itemID="{FAC35389-DFA2-4ACE-ADC1-DA11475801D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2024-01-04T10:26:09Z</dcterms:created>
  <dcterms:modified xsi:type="dcterms:W3CDTF">2024-01-04T10:26:16Z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C025A5607E97638399805763004416</vt:lpwstr>
  </property>
</Properties>
</file>