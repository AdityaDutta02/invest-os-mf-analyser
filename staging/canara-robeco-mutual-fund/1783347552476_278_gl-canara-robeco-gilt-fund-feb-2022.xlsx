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G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 s="1"/>
  <c r="F19" i="1"/>
  <c r="F20" i="1" s="1"/>
  <c r="G16" i="1"/>
  <c r="G21" i="1" s="1"/>
  <c r="F16" i="1"/>
  <c r="F21" i="1" l="1"/>
</calcChain>
</file>

<file path=xl/sharedStrings.xml><?xml version="1.0" encoding="utf-8"?>
<sst xmlns="http://schemas.openxmlformats.org/spreadsheetml/2006/main" count="62" uniqueCount="49">
  <si>
    <t>CANARA ROBECO GILT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</si>
  <si>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</si>
  <si>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</si>
  <si>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</si>
  <si>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</si>
  <si>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</si>
  <si>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</si>
  <si>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</si>
  <si>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</si>
  <si>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Feb'22</t>
  </si>
  <si>
    <t>Benchmark Risk-o-meter Level- Feb'22</t>
  </si>
  <si>
    <t>Previous Scheme Risk-o-meter Level- Jan'22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</si>
  <si>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</si>
  <si>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</si>
  <si>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</si>
  <si>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</si>
  <si>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</si>
  <si>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</si>
  <si>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8.35% GOI (14/05/2022)</t>
  </si>
  <si>
    <t>IN0020020072</t>
  </si>
  <si>
    <t>Sovereign</t>
  </si>
  <si>
    <t>Interest Rate Risk ↓</t>
  </si>
  <si>
    <t>7.17% GOI (08/01/2028)</t>
  </si>
  <si>
    <t>IN0020170174</t>
  </si>
  <si>
    <t>Relatively Low (Class I)</t>
  </si>
  <si>
    <t>6.54% GOI 17-JAN-32</t>
  </si>
  <si>
    <t>IN0020210244</t>
  </si>
  <si>
    <t>8.34% UTTAR PRADESH SDL 13-JAN-26</t>
  </si>
  <si>
    <t>IN3320150359</t>
  </si>
  <si>
    <t>Moderate 
(Class II)</t>
  </si>
  <si>
    <t>7.26% INDIA GOVERNMENT 14-JAN-29</t>
  </si>
  <si>
    <t>IN0020180454</t>
  </si>
  <si>
    <t>Relatively High (Class III)</t>
  </si>
  <si>
    <t>A-III</t>
  </si>
  <si>
    <t>6.79% GOI (15/05/2027)</t>
  </si>
  <si>
    <t>IN0020170026</t>
  </si>
  <si>
    <t>6.10% INDIA GOVERNMENT 12-JUL-31</t>
  </si>
  <si>
    <t>IN0020210095</t>
  </si>
  <si>
    <t>Benchmark: CRISIL Dynamic Gilt Fund Index</t>
  </si>
  <si>
    <t>6.22% GOI (16/03/2035)</t>
  </si>
  <si>
    <t>IN0020200245</t>
  </si>
  <si>
    <t>8.13% GOI (22/06/2045)</t>
  </si>
  <si>
    <t>IN0020150044</t>
  </si>
  <si>
    <t>Note: The risk-o-meter level of the scheme is revised based on the Notice-cum-Addendum No. 58, dated 5th March, 2022. However, there is no change in the product labelling of the scheme.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</si>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</sst>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i/>
      <sz val="10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10" fillId="5" borderId="0" xfId="0" applyFont="1" applyFill="1" applyAlignment="1">
      <alignment horizontal="left" wrapText="1"/>
    </xf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88014</xdr:colOff>
      <xdr:row>5</xdr:row>
      <xdr:rowOff>30865</xdr:rowOff>
    </xdr:from>
    <xdr:ext cx="1624882" cy="956271"/>
    <xdr:pic>
      <xdr:nvPicPr>
        <xdr:cNvPr id="2" name="Picture 1">
          <a:extLst>
            <a:ext uri="{FF2B5EF4-FFF2-40B4-BE49-F238E27FC236}">
              <a16:creationId xmlns:a16="http://schemas.microsoft.com/office/drawing/2014/main" id="{51E7D9DC-1473-4195-8B4D-8D9A6B1FE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489" y="1345315"/>
          <a:ext cx="1624882" cy="956271"/>
        </a:xfrm>
        <a:prstGeom prst="rect">
          <a:avLst/>
        </a:prstGeom>
      </xdr:spPr>
    </xdr:pic>
    <xdr:clientData/>
  </xdr:oneCellAnchor>
  <xdr:oneCellAnchor>
    <xdr:from>
      <xdr:col>10</xdr:col>
      <xdr:colOff>98466</xdr:colOff>
      <xdr:row>4</xdr:row>
      <xdr:rowOff>279937</xdr:rowOff>
    </xdr:from>
    <xdr:ext cx="1816209" cy="1105518"/>
    <xdr:pic>
      <xdr:nvPicPr>
        <xdr:cNvPr id="3" name="Picture 2">
          <a:extLst>
            <a:ext uri="{FF2B5EF4-FFF2-40B4-BE49-F238E27FC236}">
              <a16:creationId xmlns:a16="http://schemas.microsoft.com/office/drawing/2014/main" id="{8B2F5003-BB3C-43BD-BCB3-50ACCE09D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3691" y="1289587"/>
          <a:ext cx="1816209" cy="1105518"/>
        </a:xfrm>
        <a:prstGeom prst="rect">
          <a:avLst/>
        </a:prstGeom>
      </xdr:spPr>
    </xdr:pic>
    <xdr:clientData/>
  </xdr:oneCellAnchor>
  <xdr:oneCellAnchor>
    <xdr:from>
      <xdr:col>11</xdr:col>
      <xdr:colOff>30060</xdr:colOff>
      <xdr:row>4</xdr:row>
      <xdr:rowOff>217097</xdr:rowOff>
    </xdr:from>
    <xdr:ext cx="1882589" cy="1151039"/>
    <xdr:pic>
      <xdr:nvPicPr>
        <xdr:cNvPr id="4" name="Picture 3">
          <a:extLst>
            <a:ext uri="{FF2B5EF4-FFF2-40B4-BE49-F238E27FC236}">
              <a16:creationId xmlns:a16="http://schemas.microsoft.com/office/drawing/2014/main" id="{CF481328-11BE-412A-881E-FC69B0ED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93635" y="1226747"/>
          <a:ext cx="1882589" cy="11510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"/>
  <sheetViews>
    <sheetView tabSelected="1" topLeftCell="F1" zoomScaleNormal="100" workbookViewId="0"/>
  </sheetViews>
  <sheetFormatPr defaultRowHeight="12"/>
  <cols>
    <col min="1" max="1" width="9.140625" style="4"/>
    <col min="2" max="2" width="59.5703125" style="4" bestFit="1" customWidth="1"/>
    <col min="3" max="3" width="12.7109375" style="4" bestFit="1" customWidth="1"/>
    <col min="4" max="4" width="14.140625" style="4" bestFit="1" customWidth="1"/>
    <col min="5" max="5" width="8.85546875" style="59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27.140625" style="3" customWidth="1"/>
    <col min="11" max="11" width="30.5703125" style="3" customWidth="1"/>
    <col min="12" max="12" width="29.42578125" style="3" customWidth="1"/>
    <col min="13" max="16384" width="9.140625" style="4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.5" thickBot="1">
      <c r="B3" s="5" t="s">
        <v>1</v>
      </c>
      <c r="C3" s="6"/>
      <c r="D3" s="7"/>
      <c r="E3" s="8"/>
      <c r="F3" s="9"/>
      <c r="G3" s="9"/>
    </row>
    <row r="4" spans="2:18" ht="30" customHeight="1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8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5"/>
      <c r="N5" s="26" t="s">
        <v>14</v>
      </c>
      <c r="O5" s="27" t="s">
        <v>15</v>
      </c>
      <c r="P5" s="27" t="s">
        <v>16</v>
      </c>
      <c r="Q5" s="27" t="s">
        <v>17</v>
      </c>
    </row>
    <row r="6" spans="2:18" ht="36">
      <c r="B6" s="28" t="s">
        <v>18</v>
      </c>
      <c r="C6" s="28" t="s">
        <v>19</v>
      </c>
      <c r="D6" s="28" t="s">
        <v>20</v>
      </c>
      <c r="E6" s="29">
        <v>2000000</v>
      </c>
      <c r="F6" s="30">
        <v>2018.15</v>
      </c>
      <c r="G6" s="30">
        <v>24.35</v>
      </c>
      <c r="H6" s="30">
        <v>3.84</v>
      </c>
      <c r="J6" s="24"/>
      <c r="K6" s="24"/>
      <c r="L6" s="31"/>
      <c r="N6" s="32" t="s">
        <v>21</v>
      </c>
      <c r="O6" s="27"/>
      <c r="P6" s="27"/>
      <c r="Q6" s="27"/>
    </row>
    <row r="7" spans="2:18">
      <c r="B7" s="28" t="s">
        <v>22</v>
      </c>
      <c r="C7" s="28" t="s">
        <v>23</v>
      </c>
      <c r="D7" s="28" t="s">
        <v>20</v>
      </c>
      <c r="E7" s="29">
        <v>1073300</v>
      </c>
      <c r="F7" s="30">
        <v>1108.73</v>
      </c>
      <c r="G7" s="30">
        <v>13.38</v>
      </c>
      <c r="H7" s="30">
        <v>6.48</v>
      </c>
      <c r="J7" s="24"/>
      <c r="K7" s="24"/>
      <c r="L7" s="31"/>
      <c r="N7" s="33" t="s">
        <v>24</v>
      </c>
      <c r="O7" s="34"/>
      <c r="P7" s="34"/>
      <c r="Q7" s="34"/>
    </row>
    <row r="8" spans="2:18">
      <c r="B8" s="28" t="s">
        <v>25</v>
      </c>
      <c r="C8" s="28" t="s">
        <v>26</v>
      </c>
      <c r="D8" s="28" t="s">
        <v>20</v>
      </c>
      <c r="E8" s="29">
        <v>1000000</v>
      </c>
      <c r="F8" s="30">
        <v>984</v>
      </c>
      <c r="G8" s="30">
        <v>11.87</v>
      </c>
      <c r="H8" s="30">
        <v>6.76</v>
      </c>
      <c r="J8" s="24"/>
      <c r="K8" s="24"/>
      <c r="L8" s="31"/>
      <c r="N8" s="33"/>
      <c r="O8" s="35"/>
      <c r="P8" s="35"/>
      <c r="Q8" s="35"/>
    </row>
    <row r="9" spans="2:18">
      <c r="B9" s="28" t="s">
        <v>27</v>
      </c>
      <c r="C9" s="28" t="s">
        <v>28</v>
      </c>
      <c r="D9" s="28" t="s">
        <v>20</v>
      </c>
      <c r="E9" s="29">
        <v>500000</v>
      </c>
      <c r="F9" s="30">
        <v>536.82000000000005</v>
      </c>
      <c r="G9" s="30">
        <v>6.48</v>
      </c>
      <c r="H9" s="30">
        <v>6.17</v>
      </c>
      <c r="J9" s="24"/>
      <c r="K9" s="24"/>
      <c r="L9" s="31"/>
      <c r="N9" s="33" t="s">
        <v>29</v>
      </c>
      <c r="O9" s="34"/>
      <c r="P9" s="34"/>
      <c r="Q9" s="34"/>
    </row>
    <row r="10" spans="2:18">
      <c r="B10" s="28" t="s">
        <v>30</v>
      </c>
      <c r="C10" s="28" t="s">
        <v>31</v>
      </c>
      <c r="D10" s="28" t="s">
        <v>20</v>
      </c>
      <c r="E10" s="29">
        <v>500000</v>
      </c>
      <c r="F10" s="30">
        <v>517.17999999999995</v>
      </c>
      <c r="G10" s="30">
        <v>6.24</v>
      </c>
      <c r="H10" s="30">
        <v>6.63</v>
      </c>
      <c r="J10" s="24"/>
      <c r="K10" s="24"/>
      <c r="L10" s="31"/>
      <c r="N10" s="33"/>
      <c r="O10" s="35"/>
      <c r="P10" s="35"/>
      <c r="Q10" s="35"/>
    </row>
    <row r="11" spans="2:18">
      <c r="B11" s="28" t="s">
        <v>30</v>
      </c>
      <c r="C11" s="28" t="s">
        <v>31</v>
      </c>
      <c r="D11" s="28" t="s">
        <v>20</v>
      </c>
      <c r="E11" s="29">
        <v>500000</v>
      </c>
      <c r="F11" s="30">
        <v>517.17999999999995</v>
      </c>
      <c r="G11" s="30">
        <v>6.24</v>
      </c>
      <c r="H11" s="30">
        <v>6.63</v>
      </c>
      <c r="J11" s="24"/>
      <c r="K11" s="24"/>
      <c r="L11" s="31"/>
      <c r="N11" s="33" t="s">
        <v>32</v>
      </c>
      <c r="O11" s="36" t="s">
        <v>33</v>
      </c>
      <c r="P11" s="34"/>
      <c r="Q11" s="34"/>
      <c r="R11" s="3"/>
    </row>
    <row r="12" spans="2:18">
      <c r="B12" s="28" t="s">
        <v>34</v>
      </c>
      <c r="C12" s="28" t="s">
        <v>35</v>
      </c>
      <c r="D12" s="28" t="s">
        <v>20</v>
      </c>
      <c r="E12" s="29">
        <v>500000</v>
      </c>
      <c r="F12" s="30">
        <v>510.53</v>
      </c>
      <c r="G12" s="30">
        <v>6.16</v>
      </c>
      <c r="H12" s="30">
        <v>6.31</v>
      </c>
      <c r="J12" s="24"/>
      <c r="K12" s="24"/>
      <c r="L12" s="37"/>
      <c r="N12" s="33"/>
      <c r="O12" s="38"/>
      <c r="P12" s="35"/>
      <c r="Q12" s="35"/>
    </row>
    <row r="13" spans="2:18">
      <c r="B13" s="28" t="s">
        <v>36</v>
      </c>
      <c r="C13" s="28" t="s">
        <v>37</v>
      </c>
      <c r="D13" s="28" t="s">
        <v>20</v>
      </c>
      <c r="E13" s="29">
        <v>500000</v>
      </c>
      <c r="F13" s="30">
        <v>476.93</v>
      </c>
      <c r="G13" s="30">
        <v>5.75</v>
      </c>
      <c r="H13" s="30">
        <v>6.77</v>
      </c>
      <c r="K13" s="3" t="s">
        <v>38</v>
      </c>
    </row>
    <row r="14" spans="2:18">
      <c r="B14" s="28" t="s">
        <v>39</v>
      </c>
      <c r="C14" s="28" t="s">
        <v>40</v>
      </c>
      <c r="D14" s="28" t="s">
        <v>20</v>
      </c>
      <c r="E14" s="29">
        <v>420100</v>
      </c>
      <c r="F14" s="30">
        <v>392.03</v>
      </c>
      <c r="G14" s="30">
        <v>4.7300000000000004</v>
      </c>
      <c r="H14" s="30">
        <v>7.01</v>
      </c>
    </row>
    <row r="15" spans="2:18" ht="12.75" customHeight="1">
      <c r="B15" s="39" t="s">
        <v>41</v>
      </c>
      <c r="C15" s="39" t="s">
        <v>42</v>
      </c>
      <c r="D15" s="39" t="s">
        <v>20</v>
      </c>
      <c r="E15" s="40">
        <v>10000</v>
      </c>
      <c r="F15" s="41">
        <v>11.2</v>
      </c>
      <c r="G15" s="41">
        <v>0.14000000000000001</v>
      </c>
      <c r="H15" s="41">
        <v>7.07</v>
      </c>
      <c r="J15" s="42" t="s">
        <v>43</v>
      </c>
      <c r="K15" s="42"/>
      <c r="L15" s="42"/>
    </row>
    <row r="16" spans="2:18">
      <c r="B16" s="43" t="s">
        <v>44</v>
      </c>
      <c r="C16" s="43"/>
      <c r="D16" s="43"/>
      <c r="E16" s="44"/>
      <c r="F16" s="45">
        <f>SUM(F6:F15)</f>
        <v>7072.75</v>
      </c>
      <c r="G16" s="45">
        <f>SUM(G6:G15)</f>
        <v>85.34</v>
      </c>
      <c r="H16" s="45"/>
      <c r="J16" s="42"/>
      <c r="K16" s="42"/>
      <c r="L16" s="42"/>
    </row>
    <row r="17" spans="2:8">
      <c r="B17" s="46" t="s">
        <v>45</v>
      </c>
      <c r="C17" s="28"/>
      <c r="D17" s="28"/>
      <c r="E17" s="47"/>
      <c r="F17" s="30"/>
      <c r="G17" s="30"/>
      <c r="H17" s="30"/>
    </row>
    <row r="18" spans="2:8">
      <c r="B18" s="28" t="s">
        <v>45</v>
      </c>
      <c r="C18" s="28"/>
      <c r="D18" s="28"/>
      <c r="E18" s="47"/>
      <c r="F18" s="30">
        <v>1325.06</v>
      </c>
      <c r="G18" s="30">
        <v>15.99</v>
      </c>
      <c r="H18" s="30"/>
    </row>
    <row r="19" spans="2:8">
      <c r="B19" s="48" t="s">
        <v>46</v>
      </c>
      <c r="C19" s="48"/>
      <c r="D19" s="48"/>
      <c r="E19" s="49"/>
      <c r="F19" s="50">
        <f>SUM(F17:F18)</f>
        <v>1325.06</v>
      </c>
      <c r="G19" s="50">
        <f>SUM(G17:G18)</f>
        <v>15.99</v>
      </c>
      <c r="H19" s="51"/>
    </row>
    <row r="20" spans="2:8">
      <c r="B20" s="52" t="s">
        <v>44</v>
      </c>
      <c r="C20" s="52"/>
      <c r="D20" s="52"/>
      <c r="E20" s="53"/>
      <c r="F20" s="54">
        <f>F19</f>
        <v>1325.06</v>
      </c>
      <c r="G20" s="54">
        <f>G19</f>
        <v>15.99</v>
      </c>
      <c r="H20" s="54"/>
    </row>
    <row r="21" spans="2:8">
      <c r="B21" s="55" t="s">
        <v>47</v>
      </c>
      <c r="C21" s="55"/>
      <c r="D21" s="55"/>
      <c r="E21" s="56"/>
      <c r="F21" s="57">
        <f>F22-(+F16+F20)</f>
        <v>-110.36999999999898</v>
      </c>
      <c r="G21" s="57">
        <f>G22-(+G16+G20)</f>
        <v>-1.3299999999999983</v>
      </c>
      <c r="H21" s="57"/>
    </row>
    <row r="22" spans="2:8">
      <c r="B22" s="55" t="s">
        <v>48</v>
      </c>
      <c r="C22" s="55"/>
      <c r="D22" s="55"/>
      <c r="E22" s="56"/>
      <c r="F22" s="57">
        <v>8287.44</v>
      </c>
      <c r="G22" s="57">
        <v>100</v>
      </c>
      <c r="H22" s="57"/>
    </row>
    <row r="24" spans="2:8">
      <c r="B24" s="58"/>
    </row>
  </sheetData>
  <mergeCells count="21">
    <mergeCell ref="N11:N12"/>
    <mergeCell ref="O11:O12"/>
    <mergeCell ref="P11:P12"/>
    <mergeCell ref="Q11:Q12"/>
    <mergeCell ref="J15:L16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2022-03-07T09:31:52Z</dcterms:created>
  <dcterms:modified xsi:type="dcterms:W3CDTF">2022-03-07T09:31:55Z</dcterms:modified>
</cp:coreProperties>
</file>