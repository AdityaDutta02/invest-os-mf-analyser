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EA8E4EA6-DB01-4058-AA11-6989DB41FB1D}" xr6:coauthVersionLast="47" xr6:coauthVersionMax="47" xr10:uidLastSave="{00000000-0000-0000-0000-000000000000}"/>
  <bookViews>
    <workbookView xWindow="-120" yWindow="-120" windowWidth="20730" windowHeight="11160" xr2:uid="{559C81D6-D682-4952-9CE1-78ADCB363D35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9" i="1" s="1"/>
  <c r="F38" i="1"/>
  <c r="F39" i="1" s="1"/>
  <c r="G35" i="1"/>
  <c r="F35" i="1"/>
  <c r="G32" i="1"/>
  <c r="F32" i="1"/>
  <c r="G25" i="1"/>
  <c r="G26" i="1" s="1"/>
  <c r="F25" i="1"/>
  <c r="F26" i="1" s="1"/>
  <c r="G20" i="1"/>
  <c r="G21" i="1" s="1"/>
  <c r="F20" i="1"/>
  <c r="F21" i="1" s="1"/>
  <c r="F40" i="1" s="1"/>
  <c r="G40" i="1" l="1"/>
</calcChain>
</file>

<file path=xl/sharedStrings.xml><?xml version="1.0" encoding="utf-8"?>
<sst xmlns="http://schemas.openxmlformats.org/spreadsheetml/2006/main" count="102" uniqueCount="80">
  <si>
    <t>CANARA ROBECO CORPORATE BOND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</si>
  <si>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</si>
  <si>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</si>
  <si>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</si>
  <si>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</si>
  <si>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</si>
  <si>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</si>
  <si>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</si>
  <si>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</si>
  <si>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Mar'24</t>
  </si>
  <si>
    <t>Benchmark Risk-o-meter Level- Mar'24</t>
  </si>
  <si>
    <t>Scheme Risk-o-meter Level- Feb'24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</si>
  <si>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</si>
  <si>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</si>
  <si>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</si>
  <si>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</si>
  <si>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</si>
  <si>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</si>
  <si>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</si>
  <si>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</si>
  <si>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</si>
  <si>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</si>
  <si>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</si>
  <si>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</si>
  <si>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8.23% Kotak Mahindra Prime Ltd (21/12/2026) **</t>
  </si>
  <si>
    <t>INE916DA7SP4</t>
  </si>
  <si>
    <t>7.95% HDFC Bank Ltd (21/09/2026) **</t>
  </si>
  <si>
    <t>INE040A08369</t>
  </si>
  <si>
    <t>Moderate 
(Class II)</t>
  </si>
  <si>
    <t>7.63% Grasim industries Ltd (01/12/2027) **</t>
  </si>
  <si>
    <t>INE047A08208</t>
  </si>
  <si>
    <t>7.69% National Bank For Agriculture &amp; Rural Development (29/05/2024) **</t>
  </si>
  <si>
    <t>INE261F08BK1</t>
  </si>
  <si>
    <t>Relatively High (Class III)</t>
  </si>
  <si>
    <t>B-III</t>
  </si>
  <si>
    <t>7.59% Small Industries Development Bank Of India (10/02/2026) **</t>
  </si>
  <si>
    <t>INE556F08KG3</t>
  </si>
  <si>
    <t>7.40% LIC Housing Finance Ltd (06/09/2024) **</t>
  </si>
  <si>
    <t>INE115A07ML7</t>
  </si>
  <si>
    <t>Benchmark: CRISIL Corporate Debt A-II Index</t>
  </si>
  <si>
    <t>7.51% REC Ltd (31/07/2026) **</t>
  </si>
  <si>
    <t>INE020B08EI8</t>
  </si>
  <si>
    <t>7.05% National Housing Bank (18/12/2024) **</t>
  </si>
  <si>
    <t>INE557F08FG1</t>
  </si>
  <si>
    <t>8.45% Indian Railway Finance Corporation Ltd (04/12/2028) **</t>
  </si>
  <si>
    <t>INE053F07AY7</t>
  </si>
  <si>
    <t>8.05% NTPC Ltd (05/05/2026) **</t>
  </si>
  <si>
    <t>INE733E07KA6</t>
  </si>
  <si>
    <t>7.75% Titan Co Ltd (05/05/2025) **</t>
  </si>
  <si>
    <t>INE280A08023</t>
  </si>
  <si>
    <t>7.96% HDB Financial Services Ltd (17/11/2025) **</t>
  </si>
  <si>
    <t>INE756I07EM6</t>
  </si>
  <si>
    <t>CARE AAA</t>
  </si>
  <si>
    <t>Sub Total</t>
  </si>
  <si>
    <t>Total</t>
  </si>
  <si>
    <t>Money Market Instruments</t>
  </si>
  <si>
    <t>Treasury Bill</t>
  </si>
  <si>
    <t>364 DTB (16-JAN-2025)</t>
  </si>
  <si>
    <t>IN002023Z448</t>
  </si>
  <si>
    <t xml:space="preserve"> Sovereign</t>
  </si>
  <si>
    <t>Government Bonds</t>
  </si>
  <si>
    <t>GOI FRB 30-OCT-34</t>
  </si>
  <si>
    <t>IN0020210137</t>
  </si>
  <si>
    <t>Sovereign</t>
  </si>
  <si>
    <t>7.18% GOI 2037 (14-AUG-2033)</t>
  </si>
  <si>
    <t>IN0020230085</t>
  </si>
  <si>
    <t>7.17% GOI 2030 (17-APR-2030)</t>
  </si>
  <si>
    <t>IN0020230036</t>
  </si>
  <si>
    <t>7.10% GOI 18-APR-29</t>
  </si>
  <si>
    <t>IN0020220011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</si>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</sst>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" fontId="3" fillId="3" borderId="0" xfId="1" applyNumberFormat="1" applyFont="1" applyFill="1"/>
    <xf numFmtId="0" fontId="9" fillId="0" borderId="10" xfId="0" applyFont="1" applyBorder="1" applyAlignment="1">
      <alignment horizontal="left" wrapText="1"/>
    </xf>
    <xf numFmtId="0" fontId="11" fillId="0" borderId="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10" fillId="3" borderId="17" xfId="0" applyFont="1" applyFill="1" applyBorder="1"/>
    <xf numFmtId="4" fontId="10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0" fillId="3" borderId="0" xfId="0" applyFont="1" applyFill="1"/>
    <xf numFmtId="0" fontId="12" fillId="5" borderId="19" xfId="0" applyFont="1" applyFill="1" applyBorder="1"/>
    <xf numFmtId="2" fontId="10" fillId="3" borderId="20" xfId="0" applyNumberFormat="1" applyFont="1" applyFill="1" applyBorder="1"/>
    <xf numFmtId="10" fontId="10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58306</xdr:colOff>
      <xdr:row>4</xdr:row>
      <xdr:rowOff>95250</xdr:rowOff>
    </xdr:from>
    <xdr:ext cx="1996134" cy="1266825"/>
    <xdr:pic>
      <xdr:nvPicPr>
        <xdr:cNvPr id="2" name="Picture 1">
          <a:extLst>
            <a:ext uri="{FF2B5EF4-FFF2-40B4-BE49-F238E27FC236}">
              <a16:creationId xmlns:a16="http://schemas.microsoft.com/office/drawing/2014/main" id="{56B235F6-49E3-47C9-81B9-2EA799AEA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9106" y="1085850"/>
          <a:ext cx="1996134" cy="1266825"/>
        </a:xfrm>
        <a:prstGeom prst="rect">
          <a:avLst/>
        </a:prstGeom>
      </xdr:spPr>
    </xdr:pic>
    <xdr:clientData/>
  </xdr:oneCellAnchor>
  <xdr:oneCellAnchor>
    <xdr:from>
      <xdr:col>11</xdr:col>
      <xdr:colOff>85725</xdr:colOff>
      <xdr:row>4</xdr:row>
      <xdr:rowOff>66675</xdr:rowOff>
    </xdr:from>
    <xdr:ext cx="192109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60270B06-1B5B-4D3E-BB2B-E23351884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1057275"/>
          <a:ext cx="1921090" cy="1295400"/>
        </a:xfrm>
        <a:prstGeom prst="rect">
          <a:avLst/>
        </a:prstGeom>
      </xdr:spPr>
    </xdr:pic>
    <xdr:clientData/>
  </xdr:oneCellAnchor>
  <xdr:twoCellAnchor editAs="oneCell">
    <xdr:from>
      <xdr:col>10</xdr:col>
      <xdr:colOff>133351</xdr:colOff>
      <xdr:row>4</xdr:row>
      <xdr:rowOff>38100</xdr:rowOff>
    </xdr:from>
    <xdr:to>
      <xdr:col>10</xdr:col>
      <xdr:colOff>2114551</xdr:colOff>
      <xdr:row>9</xdr:row>
      <xdr:rowOff>125953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9A6F30-85A4-47DC-B808-AACA9E8D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49176" y="1028700"/>
          <a:ext cx="1981200" cy="1307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B56E-FF24-4AE5-9C2C-CAE00F62BDEE}">
  <dimension ref="B1:Q161"/>
  <sheetViews>
    <sheetView tabSelected="1" topLeftCell="F1" workbookViewId="0">
      <selection activeCell="B1" sqref="B1:H1"/>
    </sheetView>
  </sheetViews>
  <sheetFormatPr defaultRowHeight="12" x14ac:dyDescent="0.2"/>
  <cols>
    <col min="1" max="1" width="9.140625" style="5"/>
    <col min="2" max="2" width="60.28515625" style="5" bestFit="1" customWidth="1"/>
    <col min="3" max="3" width="13.5703125" style="5" bestFit="1" customWidth="1"/>
    <col min="4" max="4" width="22.85546875" style="5" bestFit="1" customWidth="1"/>
    <col min="5" max="5" width="8.85546875" style="5" bestFit="1" customWidth="1"/>
    <col min="6" max="6" width="15.28515625" style="3" bestFit="1" customWidth="1"/>
    <col min="7" max="7" width="7.42578125" style="3" bestFit="1" customWidth="1"/>
    <col min="8" max="8" width="6.5703125" style="3" bestFit="1" customWidth="1"/>
    <col min="9" max="9" width="9.140625" style="3"/>
    <col min="10" max="10" width="31.5703125" style="4" customWidth="1"/>
    <col min="11" max="11" width="33.42578125" style="5" customWidth="1"/>
    <col min="12" max="12" width="31.42578125" style="5" customWidth="1"/>
    <col min="13" max="16384" width="9.140625" style="5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6" t="s">
        <v>1</v>
      </c>
      <c r="C3" s="7"/>
      <c r="D3" s="8"/>
      <c r="E3" s="8"/>
      <c r="F3" s="9"/>
      <c r="G3" s="9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8">
        <v>1000</v>
      </c>
      <c r="F7" s="26">
        <v>1016.4</v>
      </c>
      <c r="G7" s="26">
        <v>6.86</v>
      </c>
      <c r="H7" s="26">
        <v>7.44</v>
      </c>
      <c r="I7" s="29"/>
      <c r="J7" s="21"/>
      <c r="K7" s="21"/>
      <c r="L7" s="21"/>
      <c r="N7" s="30" t="s">
        <v>23</v>
      </c>
      <c r="O7" s="31"/>
      <c r="P7" s="31"/>
      <c r="Q7" s="31"/>
    </row>
    <row r="8" spans="2:17" x14ac:dyDescent="0.2">
      <c r="B8" s="25" t="s">
        <v>24</v>
      </c>
      <c r="C8" s="25" t="s">
        <v>25</v>
      </c>
      <c r="D8" s="25" t="s">
        <v>22</v>
      </c>
      <c r="E8" s="28">
        <v>1000</v>
      </c>
      <c r="F8" s="26">
        <v>1002.24</v>
      </c>
      <c r="G8" s="26">
        <v>6.77</v>
      </c>
      <c r="H8" s="26">
        <v>8.14</v>
      </c>
      <c r="I8" s="29"/>
      <c r="J8" s="21"/>
      <c r="K8" s="21"/>
      <c r="L8" s="21"/>
      <c r="N8" s="30"/>
      <c r="O8" s="32"/>
      <c r="P8" s="32"/>
      <c r="Q8" s="32"/>
    </row>
    <row r="9" spans="2:17" x14ac:dyDescent="0.2">
      <c r="B9" s="25" t="s">
        <v>26</v>
      </c>
      <c r="C9" s="25" t="s">
        <v>27</v>
      </c>
      <c r="D9" s="25" t="s">
        <v>22</v>
      </c>
      <c r="E9" s="28">
        <v>100</v>
      </c>
      <c r="F9" s="26">
        <v>1000.66</v>
      </c>
      <c r="G9" s="26">
        <v>6.76</v>
      </c>
      <c r="H9" s="26">
        <v>7.89</v>
      </c>
      <c r="I9" s="29"/>
      <c r="J9" s="21"/>
      <c r="K9" s="21"/>
      <c r="L9" s="21"/>
      <c r="N9" s="30" t="s">
        <v>28</v>
      </c>
      <c r="O9" s="31"/>
      <c r="P9" s="31"/>
      <c r="Q9" s="31"/>
    </row>
    <row r="10" spans="2:17" x14ac:dyDescent="0.2">
      <c r="B10" s="25" t="s">
        <v>29</v>
      </c>
      <c r="C10" s="25" t="s">
        <v>30</v>
      </c>
      <c r="D10" s="25" t="s">
        <v>22</v>
      </c>
      <c r="E10" s="28">
        <v>100</v>
      </c>
      <c r="F10" s="26">
        <v>999.69</v>
      </c>
      <c r="G10" s="26">
        <v>6.75</v>
      </c>
      <c r="H10" s="26">
        <v>7.62</v>
      </c>
      <c r="I10" s="29"/>
      <c r="J10" s="21"/>
      <c r="K10" s="21"/>
      <c r="L10" s="21"/>
      <c r="N10" s="30"/>
      <c r="O10" s="32"/>
      <c r="P10" s="32"/>
      <c r="Q10" s="32"/>
    </row>
    <row r="11" spans="2:17" x14ac:dyDescent="0.2">
      <c r="B11" s="25" t="s">
        <v>31</v>
      </c>
      <c r="C11" s="25" t="s">
        <v>32</v>
      </c>
      <c r="D11" s="25" t="s">
        <v>22</v>
      </c>
      <c r="E11" s="28">
        <v>100</v>
      </c>
      <c r="F11" s="26">
        <v>999.22</v>
      </c>
      <c r="G11" s="26">
        <v>6.75</v>
      </c>
      <c r="H11" s="26">
        <v>7.69</v>
      </c>
      <c r="I11" s="29"/>
      <c r="J11" s="21"/>
      <c r="K11" s="21"/>
      <c r="L11" s="21"/>
      <c r="N11" s="30" t="s">
        <v>33</v>
      </c>
      <c r="O11" s="31"/>
      <c r="P11" s="33" t="s">
        <v>34</v>
      </c>
      <c r="Q11" s="31"/>
    </row>
    <row r="12" spans="2:17" x14ac:dyDescent="0.2">
      <c r="B12" s="25" t="s">
        <v>35</v>
      </c>
      <c r="C12" s="25" t="s">
        <v>36</v>
      </c>
      <c r="D12" s="25" t="s">
        <v>22</v>
      </c>
      <c r="E12" s="28">
        <v>1000</v>
      </c>
      <c r="F12" s="26">
        <v>997.39</v>
      </c>
      <c r="G12" s="26">
        <v>6.74</v>
      </c>
      <c r="H12" s="26">
        <v>7.73</v>
      </c>
      <c r="I12" s="29"/>
      <c r="J12" s="21"/>
      <c r="K12" s="21"/>
      <c r="L12" s="21"/>
      <c r="N12" s="30"/>
      <c r="O12" s="32"/>
      <c r="P12" s="34"/>
      <c r="Q12" s="32"/>
    </row>
    <row r="13" spans="2:17" x14ac:dyDescent="0.2">
      <c r="B13" s="25" t="s">
        <v>37</v>
      </c>
      <c r="C13" s="25" t="s">
        <v>38</v>
      </c>
      <c r="D13" s="25" t="s">
        <v>22</v>
      </c>
      <c r="E13" s="28">
        <v>100</v>
      </c>
      <c r="F13" s="26">
        <v>996.58</v>
      </c>
      <c r="G13" s="26">
        <v>6.73</v>
      </c>
      <c r="H13" s="26">
        <v>7.89</v>
      </c>
      <c r="I13" s="29"/>
      <c r="K13" s="5" t="s">
        <v>39</v>
      </c>
      <c r="L13" s="4"/>
    </row>
    <row r="14" spans="2:17" x14ac:dyDescent="0.2">
      <c r="B14" s="25" t="s">
        <v>40</v>
      </c>
      <c r="C14" s="25" t="s">
        <v>41</v>
      </c>
      <c r="D14" s="25" t="s">
        <v>22</v>
      </c>
      <c r="E14" s="28">
        <v>1000</v>
      </c>
      <c r="F14" s="26">
        <v>996.29</v>
      </c>
      <c r="G14" s="26">
        <v>6.73</v>
      </c>
      <c r="H14" s="26">
        <v>7.66</v>
      </c>
      <c r="I14" s="29"/>
      <c r="K14" s="4"/>
      <c r="L14" s="4"/>
      <c r="M14" s="4"/>
    </row>
    <row r="15" spans="2:17" x14ac:dyDescent="0.2">
      <c r="B15" s="25" t="s">
        <v>42</v>
      </c>
      <c r="C15" s="25" t="s">
        <v>43</v>
      </c>
      <c r="D15" s="25" t="s">
        <v>22</v>
      </c>
      <c r="E15" s="28">
        <v>100</v>
      </c>
      <c r="F15" s="26">
        <v>995.76</v>
      </c>
      <c r="G15" s="26">
        <v>6.72</v>
      </c>
      <c r="H15" s="26">
        <v>7.53</v>
      </c>
      <c r="I15" s="29"/>
      <c r="K15" s="4"/>
      <c r="L15" s="4"/>
      <c r="M15" s="4"/>
    </row>
    <row r="16" spans="2:17" x14ac:dyDescent="0.2">
      <c r="B16" s="25" t="s">
        <v>44</v>
      </c>
      <c r="C16" s="25" t="s">
        <v>45</v>
      </c>
      <c r="D16" s="25" t="s">
        <v>22</v>
      </c>
      <c r="E16" s="28">
        <v>50</v>
      </c>
      <c r="F16" s="26">
        <v>518.14</v>
      </c>
      <c r="G16" s="26">
        <v>3.5</v>
      </c>
      <c r="H16" s="26">
        <v>7.49</v>
      </c>
      <c r="I16" s="29"/>
      <c r="K16" s="4"/>
      <c r="L16" s="4"/>
      <c r="M16" s="4"/>
    </row>
    <row r="17" spans="2:13" x14ac:dyDescent="0.2">
      <c r="B17" s="25" t="s">
        <v>46</v>
      </c>
      <c r="C17" s="25" t="s">
        <v>47</v>
      </c>
      <c r="D17" s="25" t="s">
        <v>22</v>
      </c>
      <c r="E17" s="28">
        <v>50</v>
      </c>
      <c r="F17" s="26">
        <v>505.7</v>
      </c>
      <c r="G17" s="26">
        <v>3.42</v>
      </c>
      <c r="H17" s="26">
        <v>7.43</v>
      </c>
      <c r="I17" s="29"/>
      <c r="K17" s="4"/>
      <c r="L17" s="4"/>
      <c r="M17" s="4"/>
    </row>
    <row r="18" spans="2:13" x14ac:dyDescent="0.2">
      <c r="B18" s="25" t="s">
        <v>48</v>
      </c>
      <c r="C18" s="25" t="s">
        <v>49</v>
      </c>
      <c r="D18" s="25" t="s">
        <v>22</v>
      </c>
      <c r="E18" s="28">
        <v>500</v>
      </c>
      <c r="F18" s="26">
        <v>500.29</v>
      </c>
      <c r="G18" s="26">
        <v>3.38</v>
      </c>
      <c r="H18" s="26">
        <v>7.69</v>
      </c>
      <c r="I18" s="29"/>
      <c r="K18" s="4"/>
      <c r="L18" s="4"/>
      <c r="M18" s="4"/>
    </row>
    <row r="19" spans="2:13" x14ac:dyDescent="0.2">
      <c r="B19" s="25" t="s">
        <v>50</v>
      </c>
      <c r="C19" s="25" t="s">
        <v>51</v>
      </c>
      <c r="D19" s="25" t="s">
        <v>52</v>
      </c>
      <c r="E19" s="28">
        <v>50</v>
      </c>
      <c r="F19" s="26">
        <v>497.82</v>
      </c>
      <c r="G19" s="26">
        <v>3.36</v>
      </c>
      <c r="H19" s="26">
        <v>8.2100000000000009</v>
      </c>
      <c r="I19" s="29"/>
      <c r="K19" s="4"/>
      <c r="L19" s="4"/>
      <c r="M19" s="4"/>
    </row>
    <row r="20" spans="2:13" x14ac:dyDescent="0.2">
      <c r="B20" s="35" t="s">
        <v>53</v>
      </c>
      <c r="C20" s="35"/>
      <c r="D20" s="35"/>
      <c r="E20" s="35"/>
      <c r="F20" s="36">
        <f>SUM(F6:F19)</f>
        <v>11026.18</v>
      </c>
      <c r="G20" s="36">
        <f>SUM(G6:G19)</f>
        <v>74.47</v>
      </c>
      <c r="H20" s="37"/>
      <c r="I20" s="29"/>
      <c r="K20" s="4"/>
      <c r="L20" s="4"/>
      <c r="M20" s="4"/>
    </row>
    <row r="21" spans="2:13" x14ac:dyDescent="0.2">
      <c r="B21" s="38" t="s">
        <v>54</v>
      </c>
      <c r="C21" s="38"/>
      <c r="D21" s="38"/>
      <c r="E21" s="38"/>
      <c r="F21" s="39">
        <f>F20</f>
        <v>11026.18</v>
      </c>
      <c r="G21" s="39">
        <f>G20</f>
        <v>74.47</v>
      </c>
      <c r="H21" s="39"/>
      <c r="I21" s="29"/>
      <c r="K21" s="4"/>
      <c r="L21" s="4"/>
      <c r="M21" s="4"/>
    </row>
    <row r="22" spans="2:13" x14ac:dyDescent="0.2">
      <c r="B22" s="24" t="s">
        <v>55</v>
      </c>
      <c r="C22" s="25"/>
      <c r="D22" s="25"/>
      <c r="E22" s="25"/>
      <c r="F22" s="26"/>
      <c r="G22" s="26"/>
      <c r="H22" s="26"/>
      <c r="I22" s="29"/>
      <c r="K22" s="4"/>
      <c r="L22" s="4"/>
      <c r="M22" s="4"/>
    </row>
    <row r="23" spans="2:13" x14ac:dyDescent="0.2">
      <c r="B23" s="24" t="s">
        <v>56</v>
      </c>
      <c r="C23" s="25"/>
      <c r="D23" s="25"/>
      <c r="E23" s="25"/>
      <c r="F23" s="26"/>
      <c r="G23" s="26"/>
      <c r="H23" s="26"/>
      <c r="I23" s="29"/>
      <c r="K23" s="4"/>
      <c r="L23" s="4"/>
      <c r="M23" s="4"/>
    </row>
    <row r="24" spans="2:13" x14ac:dyDescent="0.2">
      <c r="B24" s="25" t="s">
        <v>57</v>
      </c>
      <c r="C24" s="25" t="s">
        <v>58</v>
      </c>
      <c r="D24" s="25" t="s">
        <v>59</v>
      </c>
      <c r="E24" s="28">
        <v>250000</v>
      </c>
      <c r="F24" s="26">
        <v>236.72</v>
      </c>
      <c r="G24" s="26">
        <v>1.6</v>
      </c>
      <c r="H24" s="26">
        <v>7.06</v>
      </c>
      <c r="I24" s="29"/>
      <c r="K24" s="4"/>
      <c r="L24" s="4"/>
      <c r="M24" s="4"/>
    </row>
    <row r="25" spans="2:13" x14ac:dyDescent="0.2">
      <c r="B25" s="35" t="s">
        <v>53</v>
      </c>
      <c r="C25" s="35"/>
      <c r="D25" s="35"/>
      <c r="E25" s="35"/>
      <c r="F25" s="36">
        <f>SUM(F23:F24)</f>
        <v>236.72</v>
      </c>
      <c r="G25" s="36">
        <f>SUM(G23:G24)</f>
        <v>1.6</v>
      </c>
      <c r="H25" s="37"/>
      <c r="I25" s="29"/>
      <c r="K25" s="4"/>
      <c r="L25" s="4"/>
      <c r="M25" s="4"/>
    </row>
    <row r="26" spans="2:13" x14ac:dyDescent="0.2">
      <c r="B26" s="38" t="s">
        <v>54</v>
      </c>
      <c r="C26" s="38"/>
      <c r="D26" s="38"/>
      <c r="E26" s="38"/>
      <c r="F26" s="39">
        <f>+F25</f>
        <v>236.72</v>
      </c>
      <c r="G26" s="39">
        <f>+G25</f>
        <v>1.6</v>
      </c>
      <c r="H26" s="39"/>
      <c r="I26" s="29"/>
      <c r="K26" s="4"/>
      <c r="L26" s="4"/>
      <c r="M26" s="4"/>
    </row>
    <row r="27" spans="2:13" x14ac:dyDescent="0.2">
      <c r="B27" s="24" t="s">
        <v>60</v>
      </c>
      <c r="C27" s="25"/>
      <c r="D27" s="25"/>
      <c r="E27" s="25"/>
      <c r="F27" s="26"/>
      <c r="G27" s="26"/>
      <c r="H27" s="26"/>
      <c r="I27" s="29"/>
      <c r="K27" s="4"/>
      <c r="L27" s="4"/>
      <c r="M27" s="4"/>
    </row>
    <row r="28" spans="2:13" x14ac:dyDescent="0.2">
      <c r="B28" s="25" t="s">
        <v>61</v>
      </c>
      <c r="C28" s="25" t="s">
        <v>62</v>
      </c>
      <c r="D28" s="25" t="s">
        <v>63</v>
      </c>
      <c r="E28" s="28">
        <v>1000000</v>
      </c>
      <c r="F28" s="26">
        <v>996.51</v>
      </c>
      <c r="G28" s="26">
        <v>6.73</v>
      </c>
      <c r="H28" s="26">
        <v>8.15</v>
      </c>
      <c r="I28" s="29"/>
      <c r="K28" s="4"/>
      <c r="L28" s="4"/>
      <c r="M28" s="4"/>
    </row>
    <row r="29" spans="2:13" x14ac:dyDescent="0.2">
      <c r="B29" s="25" t="s">
        <v>64</v>
      </c>
      <c r="C29" s="25" t="s">
        <v>65</v>
      </c>
      <c r="D29" s="25" t="s">
        <v>63</v>
      </c>
      <c r="E29" s="28">
        <v>500000</v>
      </c>
      <c r="F29" s="26">
        <v>504.27</v>
      </c>
      <c r="G29" s="26">
        <v>3.41</v>
      </c>
      <c r="H29" s="26">
        <v>7.18</v>
      </c>
      <c r="I29" s="29"/>
      <c r="K29" s="4"/>
      <c r="L29" s="4"/>
      <c r="M29" s="4"/>
    </row>
    <row r="30" spans="2:13" x14ac:dyDescent="0.2">
      <c r="B30" s="25" t="s">
        <v>66</v>
      </c>
      <c r="C30" s="25" t="s">
        <v>67</v>
      </c>
      <c r="D30" s="25" t="s">
        <v>63</v>
      </c>
      <c r="E30" s="28">
        <v>500000</v>
      </c>
      <c r="F30" s="26">
        <v>502.45</v>
      </c>
      <c r="G30" s="26">
        <v>3.39</v>
      </c>
      <c r="H30" s="26">
        <v>7.19</v>
      </c>
      <c r="I30" s="29"/>
      <c r="K30" s="4"/>
      <c r="L30" s="4"/>
      <c r="M30" s="4"/>
    </row>
    <row r="31" spans="2:13" x14ac:dyDescent="0.2">
      <c r="B31" s="40" t="s">
        <v>68</v>
      </c>
      <c r="C31" s="40" t="s">
        <v>69</v>
      </c>
      <c r="D31" s="40" t="s">
        <v>63</v>
      </c>
      <c r="E31" s="41">
        <v>500000</v>
      </c>
      <c r="F31" s="42">
        <v>500.92</v>
      </c>
      <c r="G31" s="42">
        <v>3.38</v>
      </c>
      <c r="H31" s="42">
        <v>7.18</v>
      </c>
      <c r="I31" s="29"/>
      <c r="K31" s="4"/>
      <c r="L31" s="4"/>
      <c r="M31" s="4"/>
    </row>
    <row r="32" spans="2:13" x14ac:dyDescent="0.2">
      <c r="B32" s="43" t="s">
        <v>54</v>
      </c>
      <c r="C32" s="43"/>
      <c r="D32" s="43"/>
      <c r="E32" s="43"/>
      <c r="F32" s="44">
        <f>SUM(F28:F31)</f>
        <v>2504.15</v>
      </c>
      <c r="G32" s="44">
        <f>SUM(G28:G31)</f>
        <v>16.91</v>
      </c>
      <c r="H32" s="44"/>
      <c r="I32" s="29"/>
      <c r="K32" s="4"/>
      <c r="L32" s="4"/>
      <c r="M32" s="4"/>
    </row>
    <row r="33" spans="2:13" x14ac:dyDescent="0.2">
      <c r="B33" s="24" t="s">
        <v>70</v>
      </c>
      <c r="C33" s="25"/>
      <c r="D33" s="25"/>
      <c r="E33" s="25"/>
      <c r="F33" s="26"/>
      <c r="G33" s="26"/>
      <c r="H33" s="26"/>
      <c r="I33" s="29"/>
      <c r="K33" s="4"/>
      <c r="L33" s="4"/>
      <c r="M33" s="4"/>
    </row>
    <row r="34" spans="2:13" x14ac:dyDescent="0.2">
      <c r="B34" s="40" t="s">
        <v>71</v>
      </c>
      <c r="C34" s="40" t="s">
        <v>72</v>
      </c>
      <c r="D34" s="40" t="s">
        <v>70</v>
      </c>
      <c r="E34" s="41">
        <v>488.87599999999998</v>
      </c>
      <c r="F34" s="42">
        <v>49.79</v>
      </c>
      <c r="G34" s="42">
        <v>0.34</v>
      </c>
      <c r="H34" s="42">
        <v>6.95</v>
      </c>
      <c r="I34" s="29"/>
      <c r="K34" s="4"/>
      <c r="L34" s="4"/>
      <c r="M34" s="4"/>
    </row>
    <row r="35" spans="2:13" x14ac:dyDescent="0.2">
      <c r="B35" s="43" t="s">
        <v>54</v>
      </c>
      <c r="C35" s="43"/>
      <c r="D35" s="43"/>
      <c r="E35" s="43"/>
      <c r="F35" s="44">
        <f>SUM(F34:F34)</f>
        <v>49.79</v>
      </c>
      <c r="G35" s="44">
        <f>SUM(G34:G34)</f>
        <v>0.34</v>
      </c>
      <c r="H35" s="44"/>
      <c r="I35" s="29"/>
      <c r="K35" s="4"/>
      <c r="L35" s="4"/>
      <c r="M35" s="4"/>
    </row>
    <row r="36" spans="2:13" x14ac:dyDescent="0.2">
      <c r="B36" s="24" t="s">
        <v>73</v>
      </c>
      <c r="C36" s="25"/>
      <c r="D36" s="25"/>
      <c r="E36" s="25"/>
      <c r="F36" s="26"/>
      <c r="G36" s="26"/>
      <c r="H36" s="26"/>
      <c r="I36" s="29"/>
      <c r="K36" s="4"/>
      <c r="L36" s="4"/>
      <c r="M36" s="4"/>
    </row>
    <row r="37" spans="2:13" x14ac:dyDescent="0.2">
      <c r="B37" s="25" t="s">
        <v>73</v>
      </c>
      <c r="C37" s="25"/>
      <c r="D37" s="25"/>
      <c r="E37" s="25"/>
      <c r="F37" s="26">
        <v>553.67999999999995</v>
      </c>
      <c r="G37" s="26">
        <v>3.74</v>
      </c>
      <c r="H37" s="26"/>
      <c r="I37" s="29"/>
      <c r="K37" s="4"/>
      <c r="L37" s="4"/>
      <c r="M37" s="4"/>
    </row>
    <row r="38" spans="2:13" x14ac:dyDescent="0.2">
      <c r="B38" s="35" t="s">
        <v>53</v>
      </c>
      <c r="C38" s="35"/>
      <c r="D38" s="35"/>
      <c r="E38" s="35"/>
      <c r="F38" s="36">
        <f>SUM(F36:F37)</f>
        <v>553.67999999999995</v>
      </c>
      <c r="G38" s="36">
        <f>SUM(G36:G37)</f>
        <v>3.74</v>
      </c>
      <c r="H38" s="37"/>
      <c r="I38" s="29"/>
      <c r="K38" s="4"/>
      <c r="L38" s="4"/>
      <c r="M38" s="4"/>
    </row>
    <row r="39" spans="2:13" x14ac:dyDescent="0.2">
      <c r="B39" s="45" t="s">
        <v>54</v>
      </c>
      <c r="C39" s="45"/>
      <c r="D39" s="45"/>
      <c r="E39" s="45"/>
      <c r="F39" s="46">
        <f>F38</f>
        <v>553.67999999999995</v>
      </c>
      <c r="G39" s="46">
        <f>G38</f>
        <v>3.74</v>
      </c>
      <c r="H39" s="46"/>
      <c r="I39" s="29"/>
      <c r="K39" s="4"/>
      <c r="L39" s="4"/>
      <c r="M39" s="4"/>
    </row>
    <row r="40" spans="2:13" x14ac:dyDescent="0.2">
      <c r="B40" s="47" t="s">
        <v>74</v>
      </c>
      <c r="C40" s="47"/>
      <c r="D40" s="47"/>
      <c r="E40" s="47"/>
      <c r="F40" s="48">
        <f>F41-(+F21+F26+F32+F35+F39)</f>
        <v>437.47999999999956</v>
      </c>
      <c r="G40" s="48">
        <f>G41-(+G21+G26+G32+G35+G39)</f>
        <v>2.9400000000000119</v>
      </c>
      <c r="H40" s="48"/>
      <c r="I40" s="29"/>
      <c r="K40" s="4"/>
      <c r="L40" s="4"/>
      <c r="M40" s="4"/>
    </row>
    <row r="41" spans="2:13" x14ac:dyDescent="0.2">
      <c r="B41" s="47" t="s">
        <v>75</v>
      </c>
      <c r="C41" s="47"/>
      <c r="D41" s="47"/>
      <c r="E41" s="47"/>
      <c r="F41" s="48">
        <v>14808</v>
      </c>
      <c r="G41" s="48">
        <v>100</v>
      </c>
      <c r="H41" s="48"/>
      <c r="I41" s="29"/>
      <c r="K41" s="4"/>
      <c r="L41" s="4"/>
      <c r="M41" s="4"/>
    </row>
    <row r="42" spans="2:13" x14ac:dyDescent="0.2">
      <c r="I42" s="29"/>
      <c r="K42" s="4"/>
      <c r="L42" s="4"/>
      <c r="M42" s="4"/>
    </row>
    <row r="43" spans="2:13" x14ac:dyDescent="0.2">
      <c r="B43" s="49" t="s">
        <v>76</v>
      </c>
      <c r="I43" s="29"/>
      <c r="K43" s="4"/>
      <c r="L43" s="4"/>
      <c r="M43" s="4"/>
    </row>
    <row r="44" spans="2:13" ht="12.75" thickBot="1" x14ac:dyDescent="0.25">
      <c r="I44" s="29"/>
      <c r="K44" s="4"/>
      <c r="L44" s="4"/>
      <c r="M44" s="4"/>
    </row>
    <row r="45" spans="2:13" ht="13.5" thickTop="1" thickBot="1" x14ac:dyDescent="0.25">
      <c r="B45" s="50" t="s">
        <v>77</v>
      </c>
      <c r="C45" s="51">
        <v>2.0962000000000001</v>
      </c>
      <c r="I45" s="29"/>
      <c r="K45" s="4"/>
      <c r="L45" s="4"/>
      <c r="M45" s="4"/>
    </row>
    <row r="46" spans="2:13" ht="13.5" thickTop="1" thickBot="1" x14ac:dyDescent="0.25">
      <c r="I46" s="29"/>
      <c r="K46" s="4"/>
      <c r="L46" s="4"/>
      <c r="M46" s="4"/>
    </row>
    <row r="47" spans="2:13" ht="13.5" thickTop="1" thickBot="1" x14ac:dyDescent="0.25">
      <c r="B47" s="50" t="s">
        <v>78</v>
      </c>
      <c r="C47" s="52">
        <v>7.6399999999999996E-2</v>
      </c>
      <c r="I47" s="29"/>
      <c r="K47" s="4"/>
      <c r="L47" s="4"/>
      <c r="M47" s="4"/>
    </row>
    <row r="48" spans="2:13" ht="13.5" thickTop="1" thickBot="1" x14ac:dyDescent="0.25">
      <c r="I48" s="29"/>
      <c r="K48" s="4"/>
      <c r="L48" s="4"/>
      <c r="M48" s="4"/>
    </row>
    <row r="49" spans="2:13" ht="13.5" thickTop="1" thickBot="1" x14ac:dyDescent="0.25">
      <c r="B49" s="50" t="s">
        <v>79</v>
      </c>
      <c r="C49" s="51">
        <v>2.2658999999999998</v>
      </c>
      <c r="I49" s="29"/>
      <c r="K49" s="4"/>
      <c r="L49" s="4"/>
      <c r="M49" s="4"/>
    </row>
    <row r="50" spans="2:13" ht="12.75" thickTop="1" x14ac:dyDescent="0.2">
      <c r="I50" s="29"/>
      <c r="K50" s="4"/>
      <c r="L50" s="4"/>
      <c r="M50" s="4"/>
    </row>
    <row r="51" spans="2:13" x14ac:dyDescent="0.2">
      <c r="I51" s="29"/>
      <c r="K51" s="4"/>
      <c r="L51" s="4"/>
      <c r="M51" s="4"/>
    </row>
    <row r="52" spans="2:13" x14ac:dyDescent="0.2">
      <c r="I52" s="29"/>
      <c r="K52" s="4"/>
      <c r="L52" s="4"/>
      <c r="M52" s="4"/>
    </row>
    <row r="53" spans="2:13" x14ac:dyDescent="0.2">
      <c r="I53" s="29"/>
      <c r="K53" s="4"/>
      <c r="L53" s="4"/>
      <c r="M53" s="4"/>
    </row>
    <row r="54" spans="2:13" x14ac:dyDescent="0.2">
      <c r="I54" s="29"/>
      <c r="K54" s="4"/>
      <c r="L54" s="4"/>
      <c r="M54" s="4"/>
    </row>
    <row r="55" spans="2:13" x14ac:dyDescent="0.2">
      <c r="I55" s="29"/>
      <c r="K55" s="4"/>
      <c r="L55" s="4"/>
      <c r="M55" s="4"/>
    </row>
    <row r="56" spans="2:13" x14ac:dyDescent="0.2">
      <c r="I56" s="29"/>
      <c r="K56" s="4"/>
      <c r="L56" s="4"/>
      <c r="M56" s="4"/>
    </row>
    <row r="57" spans="2:13" x14ac:dyDescent="0.2">
      <c r="I57" s="29"/>
      <c r="K57" s="4"/>
      <c r="L57" s="4"/>
      <c r="M57" s="4"/>
    </row>
    <row r="58" spans="2:13" x14ac:dyDescent="0.2">
      <c r="I58" s="29"/>
      <c r="K58" s="4"/>
      <c r="L58" s="4"/>
      <c r="M58" s="4"/>
    </row>
    <row r="59" spans="2:13" x14ac:dyDescent="0.2">
      <c r="I59" s="29"/>
      <c r="K59" s="4"/>
      <c r="L59" s="4"/>
      <c r="M59" s="4"/>
    </row>
    <row r="60" spans="2:13" x14ac:dyDescent="0.2">
      <c r="I60" s="29"/>
      <c r="K60" s="4"/>
      <c r="L60" s="4"/>
      <c r="M60" s="4"/>
    </row>
    <row r="61" spans="2:13" x14ac:dyDescent="0.2">
      <c r="I61" s="29"/>
      <c r="K61" s="4"/>
      <c r="L61" s="4"/>
      <c r="M61" s="4"/>
    </row>
    <row r="62" spans="2:13" x14ac:dyDescent="0.2">
      <c r="I62" s="29"/>
      <c r="K62" s="4"/>
      <c r="L62" s="4"/>
      <c r="M62" s="4"/>
    </row>
    <row r="63" spans="2:13" x14ac:dyDescent="0.2">
      <c r="I63" s="29"/>
      <c r="K63" s="4"/>
      <c r="L63" s="4"/>
      <c r="M63" s="4"/>
    </row>
    <row r="64" spans="2:13" x14ac:dyDescent="0.2">
      <c r="I64" s="29"/>
      <c r="K64" s="4"/>
      <c r="L64" s="4"/>
      <c r="M64" s="4"/>
    </row>
    <row r="65" spans="9:13" x14ac:dyDescent="0.2">
      <c r="I65" s="29"/>
      <c r="K65" s="4"/>
      <c r="L65" s="4"/>
      <c r="M65" s="4"/>
    </row>
    <row r="66" spans="9:13" x14ac:dyDescent="0.2">
      <c r="I66" s="29"/>
      <c r="K66" s="4"/>
      <c r="L66" s="4"/>
      <c r="M66" s="4"/>
    </row>
    <row r="67" spans="9:13" x14ac:dyDescent="0.2">
      <c r="I67" s="29"/>
      <c r="K67" s="4"/>
      <c r="L67" s="4"/>
      <c r="M67" s="4"/>
    </row>
    <row r="68" spans="9:13" x14ac:dyDescent="0.2">
      <c r="I68" s="29"/>
      <c r="K68" s="4"/>
      <c r="L68" s="4"/>
      <c r="M68" s="4"/>
    </row>
    <row r="69" spans="9:13" x14ac:dyDescent="0.2">
      <c r="I69" s="29"/>
      <c r="K69" s="4"/>
      <c r="L69" s="4"/>
      <c r="M69" s="4"/>
    </row>
    <row r="70" spans="9:13" x14ac:dyDescent="0.2">
      <c r="I70" s="29"/>
      <c r="K70" s="4"/>
      <c r="L70" s="4"/>
      <c r="M70" s="4"/>
    </row>
    <row r="71" spans="9:13" x14ac:dyDescent="0.2">
      <c r="I71" s="29"/>
      <c r="K71" s="4"/>
      <c r="L71" s="4"/>
      <c r="M71" s="4"/>
    </row>
    <row r="72" spans="9:13" x14ac:dyDescent="0.2">
      <c r="I72" s="29"/>
      <c r="K72" s="4"/>
      <c r="L72" s="4"/>
      <c r="M72" s="4"/>
    </row>
    <row r="73" spans="9:13" x14ac:dyDescent="0.2">
      <c r="I73" s="29"/>
      <c r="K73" s="4"/>
      <c r="L73" s="4"/>
      <c r="M73" s="4"/>
    </row>
    <row r="74" spans="9:13" x14ac:dyDescent="0.2">
      <c r="I74" s="29"/>
      <c r="K74" s="4"/>
      <c r="L74" s="4"/>
      <c r="M74" s="4"/>
    </row>
    <row r="75" spans="9:13" x14ac:dyDescent="0.2">
      <c r="I75" s="29"/>
      <c r="K75" s="4"/>
      <c r="L75" s="4"/>
      <c r="M75" s="4"/>
    </row>
    <row r="76" spans="9:13" x14ac:dyDescent="0.2">
      <c r="I76" s="29"/>
      <c r="K76" s="4"/>
      <c r="L76" s="4"/>
      <c r="M76" s="4"/>
    </row>
    <row r="77" spans="9:13" x14ac:dyDescent="0.2">
      <c r="I77" s="29"/>
      <c r="K77" s="4"/>
      <c r="L77" s="4"/>
      <c r="M77" s="4"/>
    </row>
    <row r="78" spans="9:13" x14ac:dyDescent="0.2">
      <c r="I78" s="29"/>
      <c r="K78" s="4"/>
      <c r="L78" s="4"/>
      <c r="M78" s="4"/>
    </row>
    <row r="79" spans="9:13" x14ac:dyDescent="0.2">
      <c r="I79" s="29"/>
      <c r="K79" s="4"/>
      <c r="L79" s="4"/>
      <c r="M79" s="4"/>
    </row>
    <row r="80" spans="9:13" x14ac:dyDescent="0.2">
      <c r="I80" s="29"/>
      <c r="K80" s="4"/>
      <c r="L80" s="4"/>
      <c r="M80" s="4"/>
    </row>
    <row r="81" spans="9:13" x14ac:dyDescent="0.2">
      <c r="I81" s="29"/>
      <c r="K81" s="4"/>
      <c r="L81" s="4"/>
      <c r="M81" s="4"/>
    </row>
    <row r="82" spans="9:13" x14ac:dyDescent="0.2">
      <c r="I82" s="29"/>
      <c r="K82" s="4"/>
      <c r="L82" s="4"/>
      <c r="M82" s="4"/>
    </row>
    <row r="83" spans="9:13" x14ac:dyDescent="0.2">
      <c r="I83" s="29"/>
      <c r="K83" s="4"/>
      <c r="L83" s="4"/>
      <c r="M83" s="4"/>
    </row>
    <row r="84" spans="9:13" x14ac:dyDescent="0.2">
      <c r="I84" s="29"/>
    </row>
    <row r="85" spans="9:13" x14ac:dyDescent="0.2">
      <c r="I85" s="29"/>
    </row>
    <row r="86" spans="9:13" x14ac:dyDescent="0.2">
      <c r="I86" s="29"/>
    </row>
    <row r="87" spans="9:13" x14ac:dyDescent="0.2">
      <c r="I87" s="29"/>
    </row>
    <row r="88" spans="9:13" x14ac:dyDescent="0.2">
      <c r="I88" s="29"/>
    </row>
    <row r="89" spans="9:13" x14ac:dyDescent="0.2">
      <c r="I89" s="29"/>
    </row>
    <row r="90" spans="9:13" x14ac:dyDescent="0.2">
      <c r="I90" s="29"/>
    </row>
    <row r="91" spans="9:13" x14ac:dyDescent="0.2">
      <c r="I91" s="29"/>
    </row>
    <row r="92" spans="9:13" x14ac:dyDescent="0.2">
      <c r="I92" s="29"/>
    </row>
    <row r="93" spans="9:13" x14ac:dyDescent="0.2">
      <c r="I93" s="29"/>
    </row>
    <row r="94" spans="9:13" x14ac:dyDescent="0.2">
      <c r="I94" s="29"/>
    </row>
    <row r="95" spans="9:13" x14ac:dyDescent="0.2">
      <c r="I95" s="29"/>
    </row>
    <row r="96" spans="9:13" x14ac:dyDescent="0.2">
      <c r="I96" s="29"/>
    </row>
    <row r="97" spans="9:9" x14ac:dyDescent="0.2">
      <c r="I97" s="29"/>
    </row>
    <row r="98" spans="9:9" x14ac:dyDescent="0.2">
      <c r="I98" s="29"/>
    </row>
    <row r="99" spans="9:9" x14ac:dyDescent="0.2">
      <c r="I99" s="29"/>
    </row>
    <row r="100" spans="9:9" x14ac:dyDescent="0.2">
      <c r="I100" s="29"/>
    </row>
    <row r="101" spans="9:9" x14ac:dyDescent="0.2">
      <c r="I101" s="29"/>
    </row>
    <row r="102" spans="9:9" x14ac:dyDescent="0.2">
      <c r="I102" s="29"/>
    </row>
    <row r="103" spans="9:9" x14ac:dyDescent="0.2">
      <c r="I103" s="29"/>
    </row>
    <row r="104" spans="9:9" x14ac:dyDescent="0.2">
      <c r="I104" s="29"/>
    </row>
    <row r="105" spans="9:9" x14ac:dyDescent="0.2">
      <c r="I105" s="29"/>
    </row>
    <row r="106" spans="9:9" x14ac:dyDescent="0.2">
      <c r="I106" s="29"/>
    </row>
    <row r="107" spans="9:9" x14ac:dyDescent="0.2">
      <c r="I107" s="29"/>
    </row>
    <row r="108" spans="9:9" x14ac:dyDescent="0.2">
      <c r="I108" s="29"/>
    </row>
    <row r="109" spans="9:9" x14ac:dyDescent="0.2">
      <c r="I109" s="29"/>
    </row>
    <row r="110" spans="9:9" x14ac:dyDescent="0.2">
      <c r="I110" s="29"/>
    </row>
    <row r="111" spans="9:9" x14ac:dyDescent="0.2">
      <c r="I111" s="29"/>
    </row>
    <row r="112" spans="9:9" x14ac:dyDescent="0.2">
      <c r="I112" s="29"/>
    </row>
    <row r="113" spans="9:9" x14ac:dyDescent="0.2">
      <c r="I113" s="29"/>
    </row>
    <row r="114" spans="9:9" x14ac:dyDescent="0.2">
      <c r="I114" s="29"/>
    </row>
    <row r="115" spans="9:9" x14ac:dyDescent="0.2">
      <c r="I115" s="29"/>
    </row>
    <row r="116" spans="9:9" x14ac:dyDescent="0.2">
      <c r="I116" s="29"/>
    </row>
    <row r="117" spans="9:9" x14ac:dyDescent="0.2">
      <c r="I117" s="29"/>
    </row>
    <row r="118" spans="9:9" x14ac:dyDescent="0.2">
      <c r="I118" s="29"/>
    </row>
    <row r="119" spans="9:9" x14ac:dyDescent="0.2">
      <c r="I119" s="29"/>
    </row>
    <row r="120" spans="9:9" x14ac:dyDescent="0.2">
      <c r="I120" s="29"/>
    </row>
    <row r="121" spans="9:9" x14ac:dyDescent="0.2">
      <c r="I121" s="29"/>
    </row>
    <row r="122" spans="9:9" x14ac:dyDescent="0.2">
      <c r="I122" s="29"/>
    </row>
    <row r="123" spans="9:9" x14ac:dyDescent="0.2">
      <c r="I123" s="29"/>
    </row>
    <row r="124" spans="9:9" x14ac:dyDescent="0.2">
      <c r="I124" s="29"/>
    </row>
    <row r="125" spans="9:9" x14ac:dyDescent="0.2">
      <c r="I125" s="29"/>
    </row>
    <row r="126" spans="9:9" x14ac:dyDescent="0.2">
      <c r="I126" s="29"/>
    </row>
    <row r="127" spans="9:9" x14ac:dyDescent="0.2">
      <c r="I127" s="29"/>
    </row>
    <row r="128" spans="9:9" x14ac:dyDescent="0.2">
      <c r="I128" s="29"/>
    </row>
    <row r="129" spans="9:9" x14ac:dyDescent="0.2">
      <c r="I129" s="29"/>
    </row>
    <row r="130" spans="9:9" x14ac:dyDescent="0.2">
      <c r="I130" s="29"/>
    </row>
    <row r="131" spans="9:9" x14ac:dyDescent="0.2">
      <c r="I131" s="29"/>
    </row>
    <row r="132" spans="9:9" x14ac:dyDescent="0.2">
      <c r="I132" s="29"/>
    </row>
    <row r="133" spans="9:9" x14ac:dyDescent="0.2">
      <c r="I133" s="29"/>
    </row>
    <row r="134" spans="9:9" x14ac:dyDescent="0.2">
      <c r="I134" s="29"/>
    </row>
    <row r="135" spans="9:9" x14ac:dyDescent="0.2">
      <c r="I135" s="29"/>
    </row>
    <row r="136" spans="9:9" x14ac:dyDescent="0.2">
      <c r="I136" s="29"/>
    </row>
    <row r="137" spans="9:9" x14ac:dyDescent="0.2">
      <c r="I137" s="29"/>
    </row>
    <row r="138" spans="9:9" x14ac:dyDescent="0.2">
      <c r="I138" s="29"/>
    </row>
    <row r="139" spans="9:9" x14ac:dyDescent="0.2">
      <c r="I139" s="29"/>
    </row>
    <row r="140" spans="9:9" x14ac:dyDescent="0.2">
      <c r="I140" s="29"/>
    </row>
    <row r="141" spans="9:9" x14ac:dyDescent="0.2">
      <c r="I141" s="29"/>
    </row>
    <row r="142" spans="9:9" x14ac:dyDescent="0.2">
      <c r="I142" s="29"/>
    </row>
    <row r="143" spans="9:9" x14ac:dyDescent="0.2">
      <c r="I143" s="29"/>
    </row>
    <row r="144" spans="9:9" x14ac:dyDescent="0.2">
      <c r="I144" s="29"/>
    </row>
    <row r="145" spans="9:9" x14ac:dyDescent="0.2">
      <c r="I145" s="29"/>
    </row>
    <row r="146" spans="9:9" x14ac:dyDescent="0.2">
      <c r="I146" s="29"/>
    </row>
    <row r="147" spans="9:9" x14ac:dyDescent="0.2">
      <c r="I147" s="29"/>
    </row>
    <row r="148" spans="9:9" x14ac:dyDescent="0.2">
      <c r="I148" s="29"/>
    </row>
    <row r="149" spans="9:9" x14ac:dyDescent="0.2">
      <c r="I149" s="29"/>
    </row>
    <row r="150" spans="9:9" x14ac:dyDescent="0.2">
      <c r="I150" s="29"/>
    </row>
    <row r="151" spans="9:9" x14ac:dyDescent="0.2">
      <c r="I151" s="29"/>
    </row>
    <row r="152" spans="9:9" x14ac:dyDescent="0.2">
      <c r="I152" s="29"/>
    </row>
    <row r="153" spans="9:9" x14ac:dyDescent="0.2">
      <c r="I153" s="29"/>
    </row>
    <row r="154" spans="9:9" x14ac:dyDescent="0.2">
      <c r="I154" s="29"/>
    </row>
    <row r="155" spans="9:9" x14ac:dyDescent="0.2">
      <c r="I155" s="29"/>
    </row>
    <row r="156" spans="9:9" x14ac:dyDescent="0.2">
      <c r="I156" s="29"/>
    </row>
    <row r="157" spans="9:9" x14ac:dyDescent="0.2">
      <c r="I157" s="29"/>
    </row>
    <row r="158" spans="9:9" x14ac:dyDescent="0.2">
      <c r="I158" s="29"/>
    </row>
    <row r="159" spans="9:9" x14ac:dyDescent="0.2">
      <c r="I159" s="29"/>
    </row>
    <row r="160" spans="9:9" x14ac:dyDescent="0.2">
      <c r="I160" s="29"/>
    </row>
    <row r="161" spans="9:9" x14ac:dyDescent="0.2">
      <c r="I161" s="29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10:54:11</KDate>
  <Classification>Public</Classification>
  <Subclassification/>
  <HostName>MUMCMP00935</HostName>
  <Domain_User>CANARAROBECOMF/628</Domain_User>
  <IPAdd>192.9.198.194</IPAdd>
  <FilePath>Book23</FilePath>
  <KID>C025A5607E97638479112517555530</KID>
  <UniqueName/>
  <Suggested/>
  <Justification/>
</Klassify>
</file>

<file path=customXml/itemProps1.xml><?xml version="1.0" encoding="utf-8"?>
<ds:datastoreItem xmlns:ds="http://schemas.openxmlformats.org/officeDocument/2006/customXml" ds:itemID="{01C78D1C-986C-402F-B0BC-9A9AE1B9FD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2024-04-05T05:24:08Z</dcterms:created>
  <dcterms:modified xsi:type="dcterms:W3CDTF">2024-04-05T05:24:11Z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C025A5607E97638479112517555530</vt:lpwstr>
  </property>
</Properties>
</file>