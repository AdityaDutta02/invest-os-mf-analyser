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Oct 25\"/>
    </mc:Choice>
  </mc:AlternateContent>
  <xr:revisionPtr revIDLastSave="0" documentId="8_{0F2003C3-C781-462B-ABA2-8D0F0DC06243}" xr6:coauthVersionLast="47" xr6:coauthVersionMax="47" xr10:uidLastSave="{00000000-0000-0000-0000-000000000000}"/>
  <bookViews>
    <workbookView xWindow="-120" yWindow="-120" windowWidth="20730" windowHeight="11040" xr2:uid="{A230487C-8E75-4F4A-BE9F-3C4F65E38DD1}"/>
  </bookViews>
  <sheets>
    <sheet name="V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1" l="1"/>
  <c r="G67" i="1" s="1"/>
  <c r="F66" i="1"/>
  <c r="F67" i="1" s="1"/>
  <c r="G62" i="1"/>
  <c r="G63" i="1" s="1"/>
  <c r="G68" i="1" s="1"/>
  <c r="F62" i="1"/>
  <c r="F63" i="1" s="1"/>
  <c r="F6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<sst xmlns="http://schemas.openxmlformats.org/spreadsheetml/2006/main" count="248" uniqueCount="170">
  <si>
    <t>CANARA ROBECO VALUE FUND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</si>
  <si>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</si>
  <si>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</si>
  <si>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</si>
  <si>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</si>
  <si>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</si>
  <si>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</si>
  <si>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</si>
  <si>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</si>
  <si>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October'25</t>
  </si>
  <si>
    <t>Benchmark Risk-O-Meter Level- October'25</t>
  </si>
  <si>
    <t>Scheme Risk-O-Meter Level- September'25</t>
  </si>
  <si>
    <t>Benchmark Risk-O-Meter Level- September'25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</si>
  <si>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</si>
  <si>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</si>
  <si>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</si>
  <si>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</si>
  <si>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</si>
  <si>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</si>
  <si>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</si>
  <si>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</si>
  <si>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</si>
  <si>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</si>
  <si>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</si>
  <si>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Bharti Airtel Ltd</t>
  </si>
  <si>
    <t>INE397D01024</t>
  </si>
  <si>
    <t>Telecom - Services</t>
  </si>
  <si>
    <t>Infosys Ltd</t>
  </si>
  <si>
    <t>INE009A01021</t>
  </si>
  <si>
    <t>IT - Software</t>
  </si>
  <si>
    <t>Larsen &amp; Toubro Ltd</t>
  </si>
  <si>
    <t>INE018A01030</t>
  </si>
  <si>
    <t>Construction</t>
  </si>
  <si>
    <t>State Bank of India</t>
  </si>
  <si>
    <t>INE062A01020</t>
  </si>
  <si>
    <t>Benchmark: BSE 500 TRI</t>
  </si>
  <si>
    <t>NTPC Ltd</t>
  </si>
  <si>
    <t>INE733E01010</t>
  </si>
  <si>
    <t>Power</t>
  </si>
  <si>
    <t>Axis Bank Ltd</t>
  </si>
  <si>
    <t>INE238A01034</t>
  </si>
  <si>
    <t>ITC Ltd</t>
  </si>
  <si>
    <t>INE154A01025</t>
  </si>
  <si>
    <t>Diversified Fmcg</t>
  </si>
  <si>
    <t>Brigade Enterprises Ltd</t>
  </si>
  <si>
    <t>INE791I01019</t>
  </si>
  <si>
    <t>Realty</t>
  </si>
  <si>
    <t>Small Cap</t>
  </si>
  <si>
    <t>Varun Beverages Ltd</t>
  </si>
  <si>
    <t>INE200M01039</t>
  </si>
  <si>
    <t>Beverages</t>
  </si>
  <si>
    <t>Bharat Electronics Ltd</t>
  </si>
  <si>
    <t>INE263A01024</t>
  </si>
  <si>
    <t>Aerospace &amp; Defense</t>
  </si>
  <si>
    <t>Interglobe Aviation Ltd</t>
  </si>
  <si>
    <t>INE646L01027</t>
  </si>
  <si>
    <t>Transport Services</t>
  </si>
  <si>
    <t>Sun Pharmaceutical Industries Ltd</t>
  </si>
  <si>
    <t>INE044A01036</t>
  </si>
  <si>
    <t>Pharmaceuticals &amp; Biotechnology</t>
  </si>
  <si>
    <t>Indian Bank</t>
  </si>
  <si>
    <t>INE562A01011</t>
  </si>
  <si>
    <t>Mid Cap</t>
  </si>
  <si>
    <t>SBI Life Insurance Co Ltd</t>
  </si>
  <si>
    <t>INE123W01016</t>
  </si>
  <si>
    <t>Insurance</t>
  </si>
  <si>
    <t>Multi Commodity Exchange Of India Ltd</t>
  </si>
  <si>
    <t>INE745G01035</t>
  </si>
  <si>
    <t>Capital Markets</t>
  </si>
  <si>
    <t>Samvardhana Motherson International Ltd</t>
  </si>
  <si>
    <t>INE775A01035</t>
  </si>
  <si>
    <t>Auto Components</t>
  </si>
  <si>
    <t>KEI Industries Ltd</t>
  </si>
  <si>
    <t>INE878B01027</t>
  </si>
  <si>
    <t>Industrial Products</t>
  </si>
  <si>
    <t>Awfis Space Solutions Ltd</t>
  </si>
  <si>
    <t>INE108V01019</t>
  </si>
  <si>
    <t>Commercial Services &amp; Supplies</t>
  </si>
  <si>
    <t>Cholamandalam Financial Holdings Ltd</t>
  </si>
  <si>
    <t>INE149A01033</t>
  </si>
  <si>
    <t>Finance</t>
  </si>
  <si>
    <t>Hindustan Aeronautics Ltd</t>
  </si>
  <si>
    <t>INE066F01020</t>
  </si>
  <si>
    <t>Medi Assist Healthcare Services Ltd</t>
  </si>
  <si>
    <t>INE456Z01021</t>
  </si>
  <si>
    <t>J.B. Chemicals &amp; Pharmaceuticals Ltd</t>
  </si>
  <si>
    <t>INE572A01036</t>
  </si>
  <si>
    <t>Coal India Ltd</t>
  </si>
  <si>
    <t>INE522F01014</t>
  </si>
  <si>
    <t>Consumable Fuels</t>
  </si>
  <si>
    <t>Vijaya Diagnostic Centre Ltd</t>
  </si>
  <si>
    <t>INE043W01024</t>
  </si>
  <si>
    <t>Healthcare Services</t>
  </si>
  <si>
    <t>Arvind Fashions Ltd</t>
  </si>
  <si>
    <t>INE955V01021</t>
  </si>
  <si>
    <t>Retailing</t>
  </si>
  <si>
    <t>Maruti Suzuki India Ltd</t>
  </si>
  <si>
    <t>INE585B01010</t>
  </si>
  <si>
    <t>Automobiles</t>
  </si>
  <si>
    <t>Shriram Finance Ltd</t>
  </si>
  <si>
    <t>INE721A01047</t>
  </si>
  <si>
    <t>Bajaj Auto Ltd</t>
  </si>
  <si>
    <t>INE917I01010</t>
  </si>
  <si>
    <t>HCL Technologies Ltd</t>
  </si>
  <si>
    <t>INE860A01027</t>
  </si>
  <si>
    <t>Bharat Petroleum Corporation Ltd</t>
  </si>
  <si>
    <t>INE029A01011</t>
  </si>
  <si>
    <t>Mrs Bectors Food Specialities Ltd</t>
  </si>
  <si>
    <t>INE495P01012</t>
  </si>
  <si>
    <t>Food Products</t>
  </si>
  <si>
    <t>CCL Products (India) Ltd</t>
  </si>
  <si>
    <t>INE421D01022</t>
  </si>
  <si>
    <t>Agricultural Food &amp; Other Products</t>
  </si>
  <si>
    <t>Tech Mahindra Ltd</t>
  </si>
  <si>
    <t>INE669C01036</t>
  </si>
  <si>
    <t>Sumitomo Chemical India Ltd</t>
  </si>
  <si>
    <t>INE258G01013</t>
  </si>
  <si>
    <t>Fertilizers &amp; Agrochemicals</t>
  </si>
  <si>
    <t>PNB Housing Finance Ltd</t>
  </si>
  <si>
    <t>INE572E01012</t>
  </si>
  <si>
    <t>Global Health Ltd</t>
  </si>
  <si>
    <t>INE474Q01031</t>
  </si>
  <si>
    <t>Innova Captab Ltd</t>
  </si>
  <si>
    <t>INE0DUT01020</t>
  </si>
  <si>
    <t>Power Finance Corporation Ltd</t>
  </si>
  <si>
    <t>INE134E01011</t>
  </si>
  <si>
    <t>K.P.R. Mill Ltd</t>
  </si>
  <si>
    <t>INE930H01031</t>
  </si>
  <si>
    <t>Textiles &amp; Apparels</t>
  </si>
  <si>
    <t>Info Edge (India) Ltd</t>
  </si>
  <si>
    <t>INE663F01032</t>
  </si>
  <si>
    <t>EID Parry India Ltd</t>
  </si>
  <si>
    <t>INE126A01031</t>
  </si>
  <si>
    <t>Deepak Nitrite Ltd</t>
  </si>
  <si>
    <t>INE288B01029</t>
  </si>
  <si>
    <t>Chemicals &amp; Petrochemicals</t>
  </si>
  <si>
    <t>UTI Asset Management Co Ltd</t>
  </si>
  <si>
    <t>INE094J01016</t>
  </si>
  <si>
    <t>Birla Corporation Ltd</t>
  </si>
  <si>
    <t>INE340A01012</t>
  </si>
  <si>
    <t>Cement &amp; Cement Products</t>
  </si>
  <si>
    <t>Blue Star Ltd</t>
  </si>
  <si>
    <t>INE472A01039</t>
  </si>
  <si>
    <t>Consumer Durables</t>
  </si>
  <si>
    <t>NTPC Green Energy Ltd</t>
  </si>
  <si>
    <t>INE0ONG01011</t>
  </si>
  <si>
    <t>Crompton Greaves Consumer Electricals Ltd</t>
  </si>
  <si>
    <t>INE299U01018</t>
  </si>
  <si>
    <t>Ajanta Pharma Ltd</t>
  </si>
  <si>
    <t>INE031B01049</t>
  </si>
  <si>
    <t>Sonata Software Ltd</t>
  </si>
  <si>
    <t>INE269A01021</t>
  </si>
  <si>
    <t>Jyothy Labs Ltd</t>
  </si>
  <si>
    <t>INE668F01031</t>
  </si>
  <si>
    <t>Household Products</t>
  </si>
  <si>
    <t>Gujarat Gas Ltd</t>
  </si>
  <si>
    <t>INE844O01030</t>
  </si>
  <si>
    <t>Gas</t>
  </si>
  <si>
    <t>Jubilant Foodworks Ltd</t>
  </si>
  <si>
    <t>INE797F01020</t>
  </si>
  <si>
    <t>Leisure Services</t>
  </si>
  <si>
    <t>Sub Total</t>
  </si>
  <si>
    <t>Total</t>
  </si>
  <si>
    <t>TREPS</t>
  </si>
  <si>
    <t>Net Receivables / (Payables)</t>
  </si>
  <si>
    <t>Grand Total</t>
  </si>
  <si>
    <t>Residual Maturity</t>
  </si>
  <si>
    <t>0.0082 Years</t>
  </si>
  <si>
    <t>Please refer the below link for the performance of the Schemes managed by Canara Robeco Mutual Fund</t>
  </si>
  <si>
    <t>https://canararobeco.com/docs/default-source/default-document-library/Scheme_Performance_October_25.pdf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</si>
</sst>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164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0" xfId="0" applyFont="1" applyFill="1"/>
    <xf numFmtId="4" fontId="4" fillId="3" borderId="0" xfId="0" applyNumberFormat="1" applyFont="1" applyFill="1"/>
    <xf numFmtId="0" fontId="11" fillId="4" borderId="20" xfId="0" applyFont="1" applyFill="1" applyBorder="1"/>
    <xf numFmtId="165" fontId="10" fillId="3" borderId="21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ararobeco.com/docs/default-source/default-document-library/Scheme_Performance_October_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8500-1552-49C7-B601-1AEB4777AC17}">
  <dimension ref="B1:N76"/>
  <sheetViews>
    <sheetView tabSelected="1" workbookViewId="0">
      <selection activeCell="B10" sqref="B10"/>
    </sheetView>
  </sheetViews>
  <sheetFormatPr defaultRowHeight="12" x14ac:dyDescent="0.2"/>
  <cols>
    <col min="1" max="1" width="9.140625" style="3"/>
    <col min="2" max="2" width="58.28515625" style="3" bestFit="1" customWidth="1"/>
    <col min="3" max="3" width="13.85546875" style="3" bestFit="1" customWidth="1"/>
    <col min="4" max="4" width="28.42578125" style="3" bestFit="1" customWidth="1"/>
    <col min="5" max="5" width="8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</row>
    <row r="3" spans="2:14" ht="16.5" thickBot="1" x14ac:dyDescent="0.25">
      <c r="B3" s="4" t="s">
        <v>1</v>
      </c>
      <c r="C3" s="5"/>
      <c r="D3" s="6"/>
      <c r="E3" s="6"/>
      <c r="F3" s="7"/>
      <c r="G3" s="7"/>
    </row>
    <row r="4" spans="2:14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K4" s="12" t="s">
        <v>9</v>
      </c>
      <c r="L4" s="12" t="s">
        <v>10</v>
      </c>
      <c r="M4" s="12" t="s">
        <v>11</v>
      </c>
      <c r="N4" s="12" t="s">
        <v>12</v>
      </c>
    </row>
    <row r="5" spans="2:14" x14ac:dyDescent="0.2">
      <c r="B5" s="13" t="s">
        <v>13</v>
      </c>
      <c r="C5" s="14"/>
      <c r="D5" s="14"/>
      <c r="E5" s="14"/>
      <c r="F5" s="15"/>
      <c r="G5" s="15"/>
      <c r="H5" s="15"/>
      <c r="K5" s="16" t="e" vm="1">
        <v>#VALUE!</v>
      </c>
      <c r="L5" s="16" t="e" vm="2">
        <v>#VALUE!</v>
      </c>
      <c r="M5" s="16" t="e" vm="1">
        <v>#VALUE!</v>
      </c>
      <c r="N5" s="16" t="e" vm="2">
        <v>#VALUE!</v>
      </c>
    </row>
    <row r="6" spans="2:14" x14ac:dyDescent="0.2">
      <c r="B6" s="17" t="s">
        <v>14</v>
      </c>
      <c r="C6" s="18"/>
      <c r="D6" s="18"/>
      <c r="E6" s="18"/>
      <c r="F6" s="19"/>
      <c r="G6" s="19"/>
      <c r="H6" s="19"/>
      <c r="K6" s="20"/>
      <c r="L6" s="20"/>
      <c r="M6" s="20"/>
      <c r="N6" s="20"/>
    </row>
    <row r="7" spans="2:14" x14ac:dyDescent="0.2">
      <c r="B7" s="21" t="s">
        <v>15</v>
      </c>
      <c r="C7" s="18" t="s">
        <v>16</v>
      </c>
      <c r="D7" s="18" t="s">
        <v>17</v>
      </c>
      <c r="E7" s="22">
        <v>1058334</v>
      </c>
      <c r="F7" s="19">
        <v>10448.93</v>
      </c>
      <c r="G7" s="19">
        <v>7.84</v>
      </c>
      <c r="H7" s="19" t="s">
        <v>18</v>
      </c>
      <c r="K7" s="20"/>
      <c r="L7" s="20"/>
      <c r="M7" s="20"/>
      <c r="N7" s="20"/>
    </row>
    <row r="8" spans="2:14" x14ac:dyDescent="0.2">
      <c r="B8" s="21" t="s">
        <v>19</v>
      </c>
      <c r="C8" s="18" t="s">
        <v>20</v>
      </c>
      <c r="D8" s="18" t="s">
        <v>17</v>
      </c>
      <c r="E8" s="22">
        <v>683585</v>
      </c>
      <c r="F8" s="19">
        <v>9196.27</v>
      </c>
      <c r="G8" s="19">
        <v>6.9</v>
      </c>
      <c r="H8" s="19" t="s">
        <v>18</v>
      </c>
      <c r="K8" s="20"/>
      <c r="L8" s="20"/>
      <c r="M8" s="20"/>
      <c r="N8" s="20"/>
    </row>
    <row r="9" spans="2:14" x14ac:dyDescent="0.2">
      <c r="B9" s="21" t="s">
        <v>21</v>
      </c>
      <c r="C9" s="18" t="s">
        <v>22</v>
      </c>
      <c r="D9" s="18" t="s">
        <v>23</v>
      </c>
      <c r="E9" s="22">
        <v>440598</v>
      </c>
      <c r="F9" s="19">
        <v>6549.05</v>
      </c>
      <c r="G9" s="19">
        <v>4.92</v>
      </c>
      <c r="H9" s="19" t="s">
        <v>18</v>
      </c>
      <c r="K9" s="20"/>
      <c r="L9" s="20"/>
      <c r="M9" s="20"/>
      <c r="N9" s="20"/>
    </row>
    <row r="10" spans="2:14" x14ac:dyDescent="0.2">
      <c r="B10" s="21" t="s">
        <v>24</v>
      </c>
      <c r="C10" s="18" t="s">
        <v>25</v>
      </c>
      <c r="D10" s="18" t="s">
        <v>26</v>
      </c>
      <c r="E10" s="22">
        <v>253000</v>
      </c>
      <c r="F10" s="19">
        <v>5197.8900000000003</v>
      </c>
      <c r="G10" s="19">
        <v>3.9</v>
      </c>
      <c r="H10" s="19" t="s">
        <v>18</v>
      </c>
      <c r="K10" s="20"/>
      <c r="L10" s="20"/>
      <c r="M10" s="20"/>
      <c r="N10" s="20"/>
    </row>
    <row r="11" spans="2:14" x14ac:dyDescent="0.2">
      <c r="B11" s="21" t="s">
        <v>27</v>
      </c>
      <c r="C11" s="18" t="s">
        <v>28</v>
      </c>
      <c r="D11" s="18" t="s">
        <v>29</v>
      </c>
      <c r="E11" s="22">
        <v>336000</v>
      </c>
      <c r="F11" s="19">
        <v>4980.53</v>
      </c>
      <c r="G11" s="19">
        <v>3.74</v>
      </c>
      <c r="H11" s="19" t="s">
        <v>18</v>
      </c>
      <c r="K11" s="20"/>
      <c r="L11" s="20"/>
      <c r="M11" s="20"/>
      <c r="N11" s="20"/>
    </row>
    <row r="12" spans="2:14" x14ac:dyDescent="0.2">
      <c r="B12" s="21" t="s">
        <v>30</v>
      </c>
      <c r="C12" s="18" t="s">
        <v>31</v>
      </c>
      <c r="D12" s="18" t="s">
        <v>32</v>
      </c>
      <c r="E12" s="22">
        <v>111150</v>
      </c>
      <c r="F12" s="19">
        <v>4480.3500000000004</v>
      </c>
      <c r="G12" s="19">
        <v>3.36</v>
      </c>
      <c r="H12" s="19" t="s">
        <v>18</v>
      </c>
      <c r="K12" s="23"/>
      <c r="L12" s="23"/>
      <c r="M12" s="23"/>
      <c r="N12" s="23"/>
    </row>
    <row r="13" spans="2:14" x14ac:dyDescent="0.2">
      <c r="B13" s="21" t="s">
        <v>33</v>
      </c>
      <c r="C13" s="18" t="s">
        <v>34</v>
      </c>
      <c r="D13" s="18" t="s">
        <v>17</v>
      </c>
      <c r="E13" s="22">
        <v>476415</v>
      </c>
      <c r="F13" s="19">
        <v>4464.01</v>
      </c>
      <c r="G13" s="19">
        <v>3.35</v>
      </c>
      <c r="H13" s="19" t="s">
        <v>18</v>
      </c>
      <c r="L13" s="24" t="s">
        <v>35</v>
      </c>
    </row>
    <row r="14" spans="2:14" x14ac:dyDescent="0.2">
      <c r="B14" s="21" t="s">
        <v>36</v>
      </c>
      <c r="C14" s="18" t="s">
        <v>37</v>
      </c>
      <c r="D14" s="18" t="s">
        <v>38</v>
      </c>
      <c r="E14" s="22">
        <v>1102296</v>
      </c>
      <c r="F14" s="19">
        <v>3714.19</v>
      </c>
      <c r="G14" s="19">
        <v>2.79</v>
      </c>
      <c r="H14" s="19" t="s">
        <v>18</v>
      </c>
    </row>
    <row r="15" spans="2:14" x14ac:dyDescent="0.2">
      <c r="B15" s="21" t="s">
        <v>39</v>
      </c>
      <c r="C15" s="18" t="s">
        <v>40</v>
      </c>
      <c r="D15" s="18" t="s">
        <v>17</v>
      </c>
      <c r="E15" s="22">
        <v>245357</v>
      </c>
      <c r="F15" s="19">
        <v>3024.76</v>
      </c>
      <c r="G15" s="19">
        <v>2.27</v>
      </c>
      <c r="H15" s="19" t="s">
        <v>18</v>
      </c>
    </row>
    <row r="16" spans="2:14" x14ac:dyDescent="0.2">
      <c r="B16" s="21" t="s">
        <v>41</v>
      </c>
      <c r="C16" s="18" t="s">
        <v>42</v>
      </c>
      <c r="D16" s="18" t="s">
        <v>43</v>
      </c>
      <c r="E16" s="22">
        <v>651880</v>
      </c>
      <c r="F16" s="19">
        <v>2740.18</v>
      </c>
      <c r="G16" s="19">
        <v>2.06</v>
      </c>
      <c r="H16" s="19" t="s">
        <v>18</v>
      </c>
    </row>
    <row r="17" spans="2:8" x14ac:dyDescent="0.2">
      <c r="B17" s="21" t="s">
        <v>44</v>
      </c>
      <c r="C17" s="18" t="s">
        <v>45</v>
      </c>
      <c r="D17" s="18" t="s">
        <v>46</v>
      </c>
      <c r="E17" s="22">
        <v>263165</v>
      </c>
      <c r="F17" s="19">
        <v>2730.86</v>
      </c>
      <c r="G17" s="19">
        <v>2.0499999999999998</v>
      </c>
      <c r="H17" s="19" t="s">
        <v>47</v>
      </c>
    </row>
    <row r="18" spans="2:8" x14ac:dyDescent="0.2">
      <c r="B18" s="21" t="s">
        <v>48</v>
      </c>
      <c r="C18" s="18" t="s">
        <v>49</v>
      </c>
      <c r="D18" s="18" t="s">
        <v>50</v>
      </c>
      <c r="E18" s="22">
        <v>569715</v>
      </c>
      <c r="F18" s="19">
        <v>2675.67</v>
      </c>
      <c r="G18" s="19">
        <v>2.0099999999999998</v>
      </c>
      <c r="H18" s="19" t="s">
        <v>18</v>
      </c>
    </row>
    <row r="19" spans="2:8" x14ac:dyDescent="0.2">
      <c r="B19" s="21" t="s">
        <v>51</v>
      </c>
      <c r="C19" s="18" t="s">
        <v>52</v>
      </c>
      <c r="D19" s="18" t="s">
        <v>53</v>
      </c>
      <c r="E19" s="22">
        <v>625783</v>
      </c>
      <c r="F19" s="19">
        <v>2666.46</v>
      </c>
      <c r="G19" s="19">
        <v>2</v>
      </c>
      <c r="H19" s="19" t="s">
        <v>18</v>
      </c>
    </row>
    <row r="20" spans="2:8" x14ac:dyDescent="0.2">
      <c r="B20" s="21" t="s">
        <v>54</v>
      </c>
      <c r="C20" s="18" t="s">
        <v>55</v>
      </c>
      <c r="D20" s="18" t="s">
        <v>56</v>
      </c>
      <c r="E20" s="22">
        <v>46500</v>
      </c>
      <c r="F20" s="19">
        <v>2615.63</v>
      </c>
      <c r="G20" s="19">
        <v>1.96</v>
      </c>
      <c r="H20" s="19" t="s">
        <v>18</v>
      </c>
    </row>
    <row r="21" spans="2:8" x14ac:dyDescent="0.2">
      <c r="B21" s="21" t="s">
        <v>57</v>
      </c>
      <c r="C21" s="18" t="s">
        <v>58</v>
      </c>
      <c r="D21" s="18" t="s">
        <v>59</v>
      </c>
      <c r="E21" s="22">
        <v>154438</v>
      </c>
      <c r="F21" s="19">
        <v>2611.08</v>
      </c>
      <c r="G21" s="19">
        <v>1.96</v>
      </c>
      <c r="H21" s="19" t="s">
        <v>18</v>
      </c>
    </row>
    <row r="22" spans="2:8" x14ac:dyDescent="0.2">
      <c r="B22" s="21" t="s">
        <v>60</v>
      </c>
      <c r="C22" s="18" t="s">
        <v>61</v>
      </c>
      <c r="D22" s="18" t="s">
        <v>17</v>
      </c>
      <c r="E22" s="22">
        <v>274500</v>
      </c>
      <c r="F22" s="19">
        <v>2357.13</v>
      </c>
      <c r="G22" s="19">
        <v>1.77</v>
      </c>
      <c r="H22" s="19" t="s">
        <v>62</v>
      </c>
    </row>
    <row r="23" spans="2:8" x14ac:dyDescent="0.2">
      <c r="B23" s="21" t="s">
        <v>63</v>
      </c>
      <c r="C23" s="18" t="s">
        <v>64</v>
      </c>
      <c r="D23" s="18" t="s">
        <v>65</v>
      </c>
      <c r="E23" s="22">
        <v>115000</v>
      </c>
      <c r="F23" s="19">
        <v>2249.06</v>
      </c>
      <c r="G23" s="19">
        <v>1.69</v>
      </c>
      <c r="H23" s="19" t="s">
        <v>18</v>
      </c>
    </row>
    <row r="24" spans="2:8" x14ac:dyDescent="0.2">
      <c r="B24" s="21" t="s">
        <v>66</v>
      </c>
      <c r="C24" s="18" t="s">
        <v>67</v>
      </c>
      <c r="D24" s="18" t="s">
        <v>68</v>
      </c>
      <c r="E24" s="22">
        <v>22250</v>
      </c>
      <c r="F24" s="19">
        <v>2056.6799999999998</v>
      </c>
      <c r="G24" s="19">
        <v>1.54</v>
      </c>
      <c r="H24" s="19" t="s">
        <v>62</v>
      </c>
    </row>
    <row r="25" spans="2:8" x14ac:dyDescent="0.2">
      <c r="B25" s="21" t="s">
        <v>69</v>
      </c>
      <c r="C25" s="18" t="s">
        <v>70</v>
      </c>
      <c r="D25" s="18" t="s">
        <v>71</v>
      </c>
      <c r="E25" s="22">
        <v>1942500</v>
      </c>
      <c r="F25" s="19">
        <v>2047.2</v>
      </c>
      <c r="G25" s="19">
        <v>1.54</v>
      </c>
      <c r="H25" s="19" t="s">
        <v>18</v>
      </c>
    </row>
    <row r="26" spans="2:8" x14ac:dyDescent="0.2">
      <c r="B26" s="21" t="s">
        <v>72</v>
      </c>
      <c r="C26" s="18" t="s">
        <v>73</v>
      </c>
      <c r="D26" s="18" t="s">
        <v>74</v>
      </c>
      <c r="E26" s="22">
        <v>50500</v>
      </c>
      <c r="F26" s="19">
        <v>2036.16</v>
      </c>
      <c r="G26" s="19">
        <v>1.53</v>
      </c>
      <c r="H26" s="19" t="s">
        <v>62</v>
      </c>
    </row>
    <row r="27" spans="2:8" x14ac:dyDescent="0.2">
      <c r="B27" s="21" t="s">
        <v>75</v>
      </c>
      <c r="C27" s="18" t="s">
        <v>76</v>
      </c>
      <c r="D27" s="18" t="s">
        <v>77</v>
      </c>
      <c r="E27" s="22">
        <v>334843</v>
      </c>
      <c r="F27" s="19">
        <v>2009.39</v>
      </c>
      <c r="G27" s="19">
        <v>1.51</v>
      </c>
      <c r="H27" s="19" t="s">
        <v>47</v>
      </c>
    </row>
    <row r="28" spans="2:8" x14ac:dyDescent="0.2">
      <c r="B28" s="21" t="s">
        <v>78</v>
      </c>
      <c r="C28" s="18" t="s">
        <v>79</v>
      </c>
      <c r="D28" s="18" t="s">
        <v>80</v>
      </c>
      <c r="E28" s="22">
        <v>99500</v>
      </c>
      <c r="F28" s="19">
        <v>1903.04</v>
      </c>
      <c r="G28" s="19">
        <v>1.43</v>
      </c>
      <c r="H28" s="19" t="s">
        <v>62</v>
      </c>
    </row>
    <row r="29" spans="2:8" x14ac:dyDescent="0.2">
      <c r="B29" s="21" t="s">
        <v>81</v>
      </c>
      <c r="C29" s="18" t="s">
        <v>82</v>
      </c>
      <c r="D29" s="18" t="s">
        <v>53</v>
      </c>
      <c r="E29" s="22">
        <v>40500</v>
      </c>
      <c r="F29" s="19">
        <v>1895.32</v>
      </c>
      <c r="G29" s="19">
        <v>1.42</v>
      </c>
      <c r="H29" s="19" t="s">
        <v>18</v>
      </c>
    </row>
    <row r="30" spans="2:8" x14ac:dyDescent="0.2">
      <c r="B30" s="21" t="s">
        <v>83</v>
      </c>
      <c r="C30" s="18" t="s">
        <v>84</v>
      </c>
      <c r="D30" s="18" t="s">
        <v>65</v>
      </c>
      <c r="E30" s="22">
        <v>332500</v>
      </c>
      <c r="F30" s="19">
        <v>1893.26</v>
      </c>
      <c r="G30" s="19">
        <v>1.42</v>
      </c>
      <c r="H30" s="19" t="s">
        <v>47</v>
      </c>
    </row>
    <row r="31" spans="2:8" x14ac:dyDescent="0.2">
      <c r="B31" s="21" t="s">
        <v>85</v>
      </c>
      <c r="C31" s="18" t="s">
        <v>86</v>
      </c>
      <c r="D31" s="18" t="s">
        <v>59</v>
      </c>
      <c r="E31" s="22">
        <v>112254</v>
      </c>
      <c r="F31" s="19">
        <v>1888.45</v>
      </c>
      <c r="G31" s="19">
        <v>1.42</v>
      </c>
      <c r="H31" s="19" t="s">
        <v>47</v>
      </c>
    </row>
    <row r="32" spans="2:8" x14ac:dyDescent="0.2">
      <c r="B32" s="21" t="s">
        <v>87</v>
      </c>
      <c r="C32" s="18" t="s">
        <v>88</v>
      </c>
      <c r="D32" s="18" t="s">
        <v>89</v>
      </c>
      <c r="E32" s="22">
        <v>485000</v>
      </c>
      <c r="F32" s="19">
        <v>1884.95</v>
      </c>
      <c r="G32" s="19">
        <v>1.42</v>
      </c>
      <c r="H32" s="19" t="s">
        <v>18</v>
      </c>
    </row>
    <row r="33" spans="2:8" x14ac:dyDescent="0.2">
      <c r="B33" s="21" t="s">
        <v>90</v>
      </c>
      <c r="C33" s="18" t="s">
        <v>91</v>
      </c>
      <c r="D33" s="18" t="s">
        <v>92</v>
      </c>
      <c r="E33" s="22">
        <v>183402</v>
      </c>
      <c r="F33" s="19">
        <v>1813.2</v>
      </c>
      <c r="G33" s="19">
        <v>1.36</v>
      </c>
      <c r="H33" s="19" t="s">
        <v>47</v>
      </c>
    </row>
    <row r="34" spans="2:8" x14ac:dyDescent="0.2">
      <c r="B34" s="21" t="s">
        <v>93</v>
      </c>
      <c r="C34" s="18" t="s">
        <v>94</v>
      </c>
      <c r="D34" s="18" t="s">
        <v>95</v>
      </c>
      <c r="E34" s="22">
        <v>360532</v>
      </c>
      <c r="F34" s="19">
        <v>1812.94</v>
      </c>
      <c r="G34" s="19">
        <v>1.36</v>
      </c>
      <c r="H34" s="19" t="s">
        <v>47</v>
      </c>
    </row>
    <row r="35" spans="2:8" x14ac:dyDescent="0.2">
      <c r="B35" s="21" t="s">
        <v>96</v>
      </c>
      <c r="C35" s="18" t="s">
        <v>97</v>
      </c>
      <c r="D35" s="18" t="s">
        <v>98</v>
      </c>
      <c r="E35" s="22">
        <v>11000</v>
      </c>
      <c r="F35" s="19">
        <v>1780.46</v>
      </c>
      <c r="G35" s="19">
        <v>1.34</v>
      </c>
      <c r="H35" s="19" t="s">
        <v>18</v>
      </c>
    </row>
    <row r="36" spans="2:8" x14ac:dyDescent="0.2">
      <c r="B36" s="21" t="s">
        <v>99</v>
      </c>
      <c r="C36" s="18" t="s">
        <v>100</v>
      </c>
      <c r="D36" s="18" t="s">
        <v>80</v>
      </c>
      <c r="E36" s="22">
        <v>235000</v>
      </c>
      <c r="F36" s="19">
        <v>1759.92</v>
      </c>
      <c r="G36" s="19">
        <v>1.32</v>
      </c>
      <c r="H36" s="19" t="s">
        <v>18</v>
      </c>
    </row>
    <row r="37" spans="2:8" x14ac:dyDescent="0.2">
      <c r="B37" s="21" t="s">
        <v>101</v>
      </c>
      <c r="C37" s="18" t="s">
        <v>102</v>
      </c>
      <c r="D37" s="18" t="s">
        <v>98</v>
      </c>
      <c r="E37" s="22">
        <v>19689</v>
      </c>
      <c r="F37" s="19">
        <v>1750.84</v>
      </c>
      <c r="G37" s="19">
        <v>1.31</v>
      </c>
      <c r="H37" s="19" t="s">
        <v>18</v>
      </c>
    </row>
    <row r="38" spans="2:8" x14ac:dyDescent="0.2">
      <c r="B38" s="21" t="s">
        <v>103</v>
      </c>
      <c r="C38" s="18" t="s">
        <v>104</v>
      </c>
      <c r="D38" s="18" t="s">
        <v>29</v>
      </c>
      <c r="E38" s="22">
        <v>112430</v>
      </c>
      <c r="F38" s="19">
        <v>1733.11</v>
      </c>
      <c r="G38" s="19">
        <v>1.3</v>
      </c>
      <c r="H38" s="19" t="s">
        <v>18</v>
      </c>
    </row>
    <row r="39" spans="2:8" x14ac:dyDescent="0.2">
      <c r="B39" s="21" t="s">
        <v>105</v>
      </c>
      <c r="C39" s="18" t="s">
        <v>106</v>
      </c>
      <c r="D39" s="18" t="s">
        <v>23</v>
      </c>
      <c r="E39" s="22">
        <v>440000</v>
      </c>
      <c r="F39" s="19">
        <v>1569.92</v>
      </c>
      <c r="G39" s="19">
        <v>1.18</v>
      </c>
      <c r="H39" s="19" t="s">
        <v>18</v>
      </c>
    </row>
    <row r="40" spans="2:8" x14ac:dyDescent="0.2">
      <c r="B40" s="21" t="s">
        <v>107</v>
      </c>
      <c r="C40" s="18" t="s">
        <v>108</v>
      </c>
      <c r="D40" s="18" t="s">
        <v>109</v>
      </c>
      <c r="E40" s="22">
        <v>117000</v>
      </c>
      <c r="F40" s="19">
        <v>1567.22</v>
      </c>
      <c r="G40" s="19">
        <v>1.18</v>
      </c>
      <c r="H40" s="19" t="s">
        <v>47</v>
      </c>
    </row>
    <row r="41" spans="2:8" x14ac:dyDescent="0.2">
      <c r="B41" s="21" t="s">
        <v>110</v>
      </c>
      <c r="C41" s="18" t="s">
        <v>111</v>
      </c>
      <c r="D41" s="18" t="s">
        <v>112</v>
      </c>
      <c r="E41" s="22">
        <v>181645</v>
      </c>
      <c r="F41" s="19">
        <v>1561.69</v>
      </c>
      <c r="G41" s="19">
        <v>1.17</v>
      </c>
      <c r="H41" s="19" t="s">
        <v>47</v>
      </c>
    </row>
    <row r="42" spans="2:8" x14ac:dyDescent="0.2">
      <c r="B42" s="21" t="s">
        <v>113</v>
      </c>
      <c r="C42" s="18" t="s">
        <v>114</v>
      </c>
      <c r="D42" s="18" t="s">
        <v>29</v>
      </c>
      <c r="E42" s="22">
        <v>106500</v>
      </c>
      <c r="F42" s="19">
        <v>1516.99</v>
      </c>
      <c r="G42" s="19">
        <v>1.1399999999999999</v>
      </c>
      <c r="H42" s="19" t="s">
        <v>18</v>
      </c>
    </row>
    <row r="43" spans="2:8" x14ac:dyDescent="0.2">
      <c r="B43" s="21" t="s">
        <v>115</v>
      </c>
      <c r="C43" s="18" t="s">
        <v>116</v>
      </c>
      <c r="D43" s="18" t="s">
        <v>117</v>
      </c>
      <c r="E43" s="22">
        <v>301234</v>
      </c>
      <c r="F43" s="19">
        <v>1512.8</v>
      </c>
      <c r="G43" s="19">
        <v>1.1399999999999999</v>
      </c>
      <c r="H43" s="19" t="s">
        <v>47</v>
      </c>
    </row>
    <row r="44" spans="2:8" x14ac:dyDescent="0.2">
      <c r="B44" s="21" t="s">
        <v>118</v>
      </c>
      <c r="C44" s="18" t="s">
        <v>119</v>
      </c>
      <c r="D44" s="18" t="s">
        <v>80</v>
      </c>
      <c r="E44" s="22">
        <v>154407</v>
      </c>
      <c r="F44" s="19">
        <v>1433.98</v>
      </c>
      <c r="G44" s="19">
        <v>1.08</v>
      </c>
      <c r="H44" s="19" t="s">
        <v>47</v>
      </c>
    </row>
    <row r="45" spans="2:8" x14ac:dyDescent="0.2">
      <c r="B45" s="21" t="s">
        <v>120</v>
      </c>
      <c r="C45" s="18" t="s">
        <v>121</v>
      </c>
      <c r="D45" s="18" t="s">
        <v>92</v>
      </c>
      <c r="E45" s="22">
        <v>105000</v>
      </c>
      <c r="F45" s="19">
        <v>1377.08</v>
      </c>
      <c r="G45" s="19">
        <v>1.03</v>
      </c>
      <c r="H45" s="19" t="s">
        <v>62</v>
      </c>
    </row>
    <row r="46" spans="2:8" x14ac:dyDescent="0.2">
      <c r="B46" s="21" t="s">
        <v>122</v>
      </c>
      <c r="C46" s="18" t="s">
        <v>123</v>
      </c>
      <c r="D46" s="18" t="s">
        <v>59</v>
      </c>
      <c r="E46" s="22">
        <v>164500</v>
      </c>
      <c r="F46" s="19">
        <v>1367.16</v>
      </c>
      <c r="G46" s="19">
        <v>1.03</v>
      </c>
      <c r="H46" s="19" t="s">
        <v>47</v>
      </c>
    </row>
    <row r="47" spans="2:8" x14ac:dyDescent="0.2">
      <c r="B47" s="21" t="s">
        <v>124</v>
      </c>
      <c r="C47" s="18" t="s">
        <v>125</v>
      </c>
      <c r="D47" s="18" t="s">
        <v>80</v>
      </c>
      <c r="E47" s="22">
        <v>325000</v>
      </c>
      <c r="F47" s="19">
        <v>1310.56</v>
      </c>
      <c r="G47" s="19">
        <v>0.98</v>
      </c>
      <c r="H47" s="19" t="s">
        <v>18</v>
      </c>
    </row>
    <row r="48" spans="2:8" x14ac:dyDescent="0.2">
      <c r="B48" s="21" t="s">
        <v>126</v>
      </c>
      <c r="C48" s="18" t="s">
        <v>127</v>
      </c>
      <c r="D48" s="18" t="s">
        <v>128</v>
      </c>
      <c r="E48" s="22">
        <v>122165</v>
      </c>
      <c r="F48" s="19">
        <v>1306.43</v>
      </c>
      <c r="G48" s="19">
        <v>0.98</v>
      </c>
      <c r="H48" s="19" t="s">
        <v>62</v>
      </c>
    </row>
    <row r="49" spans="2:8" x14ac:dyDescent="0.2">
      <c r="B49" s="21" t="s">
        <v>129</v>
      </c>
      <c r="C49" s="18" t="s">
        <v>130</v>
      </c>
      <c r="D49" s="18" t="s">
        <v>95</v>
      </c>
      <c r="E49" s="22">
        <v>92876</v>
      </c>
      <c r="F49" s="19">
        <v>1280.1099999999999</v>
      </c>
      <c r="G49" s="19">
        <v>0.96</v>
      </c>
      <c r="H49" s="19" t="s">
        <v>18</v>
      </c>
    </row>
    <row r="50" spans="2:8" x14ac:dyDescent="0.2">
      <c r="B50" s="21" t="s">
        <v>131</v>
      </c>
      <c r="C50" s="18" t="s">
        <v>132</v>
      </c>
      <c r="D50" s="18" t="s">
        <v>109</v>
      </c>
      <c r="E50" s="22">
        <v>115000</v>
      </c>
      <c r="F50" s="19">
        <v>1233.26</v>
      </c>
      <c r="G50" s="19">
        <v>0.93</v>
      </c>
      <c r="H50" s="19" t="s">
        <v>47</v>
      </c>
    </row>
    <row r="51" spans="2:8" x14ac:dyDescent="0.2">
      <c r="B51" s="21" t="s">
        <v>133</v>
      </c>
      <c r="C51" s="18" t="s">
        <v>134</v>
      </c>
      <c r="D51" s="18" t="s">
        <v>135</v>
      </c>
      <c r="E51" s="22">
        <v>67500</v>
      </c>
      <c r="F51" s="19">
        <v>1166.67</v>
      </c>
      <c r="G51" s="19">
        <v>0.88</v>
      </c>
      <c r="H51" s="19" t="s">
        <v>47</v>
      </c>
    </row>
    <row r="52" spans="2:8" x14ac:dyDescent="0.2">
      <c r="B52" s="21" t="s">
        <v>136</v>
      </c>
      <c r="C52" s="18" t="s">
        <v>137</v>
      </c>
      <c r="D52" s="18" t="s">
        <v>68</v>
      </c>
      <c r="E52" s="22">
        <v>92500</v>
      </c>
      <c r="F52" s="19">
        <v>1154.03</v>
      </c>
      <c r="G52" s="19">
        <v>0.87</v>
      </c>
      <c r="H52" s="19" t="s">
        <v>47</v>
      </c>
    </row>
    <row r="53" spans="2:8" x14ac:dyDescent="0.2">
      <c r="B53" s="21" t="s">
        <v>138</v>
      </c>
      <c r="C53" s="18" t="s">
        <v>139</v>
      </c>
      <c r="D53" s="18" t="s">
        <v>140</v>
      </c>
      <c r="E53" s="22">
        <v>92543</v>
      </c>
      <c r="F53" s="19">
        <v>1090.9000000000001</v>
      </c>
      <c r="G53" s="19">
        <v>0.82</v>
      </c>
      <c r="H53" s="19" t="s">
        <v>47</v>
      </c>
    </row>
    <row r="54" spans="2:8" x14ac:dyDescent="0.2">
      <c r="B54" s="21" t="s">
        <v>141</v>
      </c>
      <c r="C54" s="18" t="s">
        <v>142</v>
      </c>
      <c r="D54" s="18" t="s">
        <v>143</v>
      </c>
      <c r="E54" s="22">
        <v>51000</v>
      </c>
      <c r="F54" s="19">
        <v>988.07</v>
      </c>
      <c r="G54" s="19">
        <v>0.74</v>
      </c>
      <c r="H54" s="19" t="s">
        <v>62</v>
      </c>
    </row>
    <row r="55" spans="2:8" x14ac:dyDescent="0.2">
      <c r="B55" s="21" t="s">
        <v>144</v>
      </c>
      <c r="C55" s="18" t="s">
        <v>145</v>
      </c>
      <c r="D55" s="18" t="s">
        <v>38</v>
      </c>
      <c r="E55" s="22">
        <v>914436</v>
      </c>
      <c r="F55" s="19">
        <v>943.15</v>
      </c>
      <c r="G55" s="19">
        <v>0.71</v>
      </c>
      <c r="H55" s="19" t="s">
        <v>62</v>
      </c>
    </row>
    <row r="56" spans="2:8" x14ac:dyDescent="0.2">
      <c r="B56" s="21" t="s">
        <v>146</v>
      </c>
      <c r="C56" s="18" t="s">
        <v>147</v>
      </c>
      <c r="D56" s="18" t="s">
        <v>143</v>
      </c>
      <c r="E56" s="22">
        <v>320000</v>
      </c>
      <c r="F56" s="19">
        <v>904.64</v>
      </c>
      <c r="G56" s="19">
        <v>0.68</v>
      </c>
      <c r="H56" s="19" t="s">
        <v>47</v>
      </c>
    </row>
    <row r="57" spans="2:8" x14ac:dyDescent="0.2">
      <c r="B57" s="21" t="s">
        <v>148</v>
      </c>
      <c r="C57" s="18" t="s">
        <v>149</v>
      </c>
      <c r="D57" s="18" t="s">
        <v>59</v>
      </c>
      <c r="E57" s="22">
        <v>35861</v>
      </c>
      <c r="F57" s="19">
        <v>884.08</v>
      </c>
      <c r="G57" s="19">
        <v>0.66</v>
      </c>
      <c r="H57" s="19" t="s">
        <v>62</v>
      </c>
    </row>
    <row r="58" spans="2:8" x14ac:dyDescent="0.2">
      <c r="B58" s="21" t="s">
        <v>150</v>
      </c>
      <c r="C58" s="18" t="s">
        <v>151</v>
      </c>
      <c r="D58" s="18" t="s">
        <v>29</v>
      </c>
      <c r="E58" s="22">
        <v>207500</v>
      </c>
      <c r="F58" s="19">
        <v>767.44</v>
      </c>
      <c r="G58" s="19">
        <v>0.57999999999999996</v>
      </c>
      <c r="H58" s="19" t="s">
        <v>47</v>
      </c>
    </row>
    <row r="59" spans="2:8" x14ac:dyDescent="0.2">
      <c r="B59" s="21" t="s">
        <v>152</v>
      </c>
      <c r="C59" s="18" t="s">
        <v>153</v>
      </c>
      <c r="D59" s="18" t="s">
        <v>154</v>
      </c>
      <c r="E59" s="22">
        <v>223780</v>
      </c>
      <c r="F59" s="19">
        <v>703.79</v>
      </c>
      <c r="G59" s="19">
        <v>0.53</v>
      </c>
      <c r="H59" s="19" t="s">
        <v>47</v>
      </c>
    </row>
    <row r="60" spans="2:8" x14ac:dyDescent="0.2">
      <c r="B60" s="21" t="s">
        <v>155</v>
      </c>
      <c r="C60" s="18" t="s">
        <v>156</v>
      </c>
      <c r="D60" s="18" t="s">
        <v>157</v>
      </c>
      <c r="E60" s="22">
        <v>105000</v>
      </c>
      <c r="F60" s="19">
        <v>427.77</v>
      </c>
      <c r="G60" s="19">
        <v>0.32</v>
      </c>
      <c r="H60" s="19" t="s">
        <v>62</v>
      </c>
    </row>
    <row r="61" spans="2:8" x14ac:dyDescent="0.2">
      <c r="B61" s="21" t="s">
        <v>158</v>
      </c>
      <c r="C61" s="18" t="s">
        <v>159</v>
      </c>
      <c r="D61" s="18" t="s">
        <v>160</v>
      </c>
      <c r="E61" s="22">
        <v>53785</v>
      </c>
      <c r="F61" s="19">
        <v>321.55</v>
      </c>
      <c r="G61" s="19">
        <v>0.24</v>
      </c>
      <c r="H61" s="19" t="s">
        <v>62</v>
      </c>
    </row>
    <row r="62" spans="2:8" x14ac:dyDescent="0.2">
      <c r="B62" s="25" t="s">
        <v>161</v>
      </c>
      <c r="C62" s="26"/>
      <c r="D62" s="26"/>
      <c r="E62" s="26"/>
      <c r="F62" s="27">
        <f>SUM(F7:F61)</f>
        <v>127356.25999999998</v>
      </c>
      <c r="G62" s="27">
        <f>SUM(G7:G61)</f>
        <v>95.61999999999999</v>
      </c>
      <c r="H62" s="27"/>
    </row>
    <row r="63" spans="2:8" x14ac:dyDescent="0.2">
      <c r="B63" s="28" t="s">
        <v>162</v>
      </c>
      <c r="C63" s="28"/>
      <c r="D63" s="28"/>
      <c r="E63" s="28"/>
      <c r="F63" s="29">
        <f>F62</f>
        <v>127356.25999999998</v>
      </c>
      <c r="G63" s="29">
        <f>G62</f>
        <v>95.61999999999999</v>
      </c>
      <c r="H63" s="29"/>
    </row>
    <row r="64" spans="2:8" x14ac:dyDescent="0.2">
      <c r="B64" s="30" t="s">
        <v>163</v>
      </c>
      <c r="C64" s="31"/>
      <c r="D64" s="31"/>
      <c r="E64" s="31"/>
      <c r="F64" s="32"/>
      <c r="G64" s="32"/>
      <c r="H64" s="32"/>
    </row>
    <row r="65" spans="2:8" x14ac:dyDescent="0.2">
      <c r="B65" s="21" t="s">
        <v>163</v>
      </c>
      <c r="C65" s="18"/>
      <c r="D65" s="18"/>
      <c r="E65" s="18"/>
      <c r="F65" s="19">
        <v>5931.86</v>
      </c>
      <c r="G65" s="19">
        <v>4.45</v>
      </c>
      <c r="H65" s="19"/>
    </row>
    <row r="66" spans="2:8" x14ac:dyDescent="0.2">
      <c r="B66" s="25" t="s">
        <v>161</v>
      </c>
      <c r="C66" s="26"/>
      <c r="D66" s="26"/>
      <c r="E66" s="26"/>
      <c r="F66" s="27">
        <f>SUM(F64:F65)</f>
        <v>5931.86</v>
      </c>
      <c r="G66" s="27">
        <f>SUM(G64:G65)</f>
        <v>4.45</v>
      </c>
      <c r="H66" s="27"/>
    </row>
    <row r="67" spans="2:8" x14ac:dyDescent="0.2">
      <c r="B67" s="33" t="s">
        <v>162</v>
      </c>
      <c r="C67" s="33"/>
      <c r="D67" s="33"/>
      <c r="E67" s="33"/>
      <c r="F67" s="34">
        <f>F66</f>
        <v>5931.86</v>
      </c>
      <c r="G67" s="34">
        <f>G66</f>
        <v>4.45</v>
      </c>
      <c r="H67" s="34"/>
    </row>
    <row r="68" spans="2:8" x14ac:dyDescent="0.2">
      <c r="B68" s="35" t="s">
        <v>164</v>
      </c>
      <c r="C68" s="35"/>
      <c r="D68" s="35"/>
      <c r="E68" s="35"/>
      <c r="F68" s="36">
        <f>F69-(+F63+F67)</f>
        <v>-87.589999999967404</v>
      </c>
      <c r="G68" s="36">
        <f>G69-(+G63+G67)</f>
        <v>-6.9999999999993179E-2</v>
      </c>
      <c r="H68" s="36"/>
    </row>
    <row r="69" spans="2:8" x14ac:dyDescent="0.2">
      <c r="B69" s="35" t="s">
        <v>165</v>
      </c>
      <c r="C69" s="35"/>
      <c r="D69" s="35"/>
      <c r="E69" s="35"/>
      <c r="F69" s="36">
        <v>133200.53</v>
      </c>
      <c r="G69" s="36">
        <v>100</v>
      </c>
      <c r="H69" s="36"/>
    </row>
    <row r="71" spans="2:8" ht="12.75" thickBot="1" x14ac:dyDescent="0.25">
      <c r="B71" s="37"/>
    </row>
    <row r="72" spans="2:8" ht="13.5" thickTop="1" thickBot="1" x14ac:dyDescent="0.25">
      <c r="B72" s="39" t="s">
        <v>166</v>
      </c>
      <c r="C72" s="40" t="s">
        <v>167</v>
      </c>
    </row>
    <row r="73" spans="2:8" ht="12.75" thickTop="1" x14ac:dyDescent="0.2"/>
    <row r="74" spans="2:8" x14ac:dyDescent="0.2">
      <c r="B74" s="37" t="s">
        <v>168</v>
      </c>
    </row>
    <row r="76" spans="2:8" ht="15" x14ac:dyDescent="0.25">
      <c r="B76" s="41" t="s">
        <v>169</v>
      </c>
    </row>
  </sheetData>
  <mergeCells count="5">
    <mergeCell ref="B1:G1"/>
    <mergeCell ref="K5:K12"/>
    <mergeCell ref="L5:L12"/>
    <mergeCell ref="M5:M12"/>
    <mergeCell ref="N5:N12"/>
  </mergeCells>
  <hyperlinks>
    <hyperlink ref="B76" r:id="rId1" xr:uid="{B607B4D3-E17C-4E42-B4B4-824AAF27D6D0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2025-11-07 16:39:21</KDate>
  <Classification>MIS Internal</Classification>
  <Subclassification/>
  <HostName>MUMCMP01323</HostName>
  <Domain_User>CANARAROBECOMF/628</Domain_User>
  <IPAdd>192.9.198.196</IPAdd>
  <FilePath>Book9</FilePath>
  <KID>109819A0F0A5638981303612477208</KID>
  <UniqueName/>
  <Suggested/>
  <Justification/>
</Klassify>
</file>

<file path=customXml/itemProps1.xml><?xml version="1.0" encoding="utf-8"?>
<ds:datastoreItem xmlns:ds="http://schemas.openxmlformats.org/officeDocument/2006/customXml" ds:itemID="{1356B3BA-7594-44A1-BEB5-760A95390AE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2025-11-07T11:09:19Z</dcterms:created>
  <dcterms:modified xsi:type="dcterms:W3CDTF">2025-11-07T11:09:21Z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109819A0F0A5638981303612477208</vt:lpwstr>
  </property>
</Properties>
</file>