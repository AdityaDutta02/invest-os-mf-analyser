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r 26\SPLIT MONTHLY PORTFOLIOS\"/>
    </mc:Choice>
  </mc:AlternateContent>
  <xr:revisionPtr revIDLastSave="0" documentId="8_{672ED690-733C-4BD6-8AC0-C2819DB972F4}" xr6:coauthVersionLast="47" xr6:coauthVersionMax="47" xr10:uidLastSave="{00000000-0000-0000-0000-000000000000}"/>
  <bookViews>
    <workbookView xWindow="-110" yWindow="-110" windowWidth="19420" windowHeight="10300" xr2:uid="{02E82C0C-2DA8-44C8-B34F-BA8AB305F28B}"/>
  </bookViews>
  <sheets>
    <sheet name="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1" l="1"/>
  <c r="G57" i="1" s="1"/>
  <c r="F56" i="1"/>
  <c r="F57" i="1" s="1"/>
  <c r="G53" i="1"/>
  <c r="G58" i="1" s="1"/>
  <c r="G52" i="1"/>
  <c r="F52" i="1"/>
  <c r="F53" i="1" s="1"/>
  <c r="F5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<sst xmlns="http://schemas.openxmlformats.org/spreadsheetml/2006/main" count="208" uniqueCount="138">
  <si>
    <t>CANARA ROBECO INFRASTRUCTURE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</si>
  <si>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</si>
  <si>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</si>
  <si>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</si>
  <si>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</si>
  <si>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</si>
  <si>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</si>
  <si>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</si>
  <si>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</si>
  <si>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 - March'26</t>
  </si>
  <si>
    <t>Benchmark Risk-O-Meter Level - March'26</t>
  </si>
  <si>
    <t>Scheme Risk-O-Meter Level - February'26</t>
  </si>
  <si>
    <t>Benchmark Risk-O-Meter Level - February'26</t>
  </si>
  <si>
    <t>Equity &amp; Equity related</t>
  </si>
  <si>
    <t>(a) Listed / awaiting listing on Stock Exchanges</t>
  </si>
  <si>
    <t>Larsen &amp; Toubro Ltd</t>
  </si>
  <si>
    <t>INE018A01030</t>
  </si>
  <si>
    <t>Construction</t>
  </si>
  <si>
    <t>Large Cap</t>
  </si>
  <si>
    <t>NTPC Ltd</t>
  </si>
  <si>
    <t>INE733E01010</t>
  </si>
  <si>
    <t>Power</t>
  </si>
  <si>
    <t>Reliance Industries Ltd</t>
  </si>
  <si>
    <t>INE002A01018</t>
  </si>
  <si>
    <t>Petroleum Products</t>
  </si>
  <si>
    <t>Bharat Electronics Ltd</t>
  </si>
  <si>
    <t>INE263A01024</t>
  </si>
  <si>
    <t>Aerospace &amp; Defense</t>
  </si>
  <si>
    <t>Tata Power Co Ltd</t>
  </si>
  <si>
    <t>INE245A01021</t>
  </si>
  <si>
    <t>State Bank of India</t>
  </si>
  <si>
    <t>INE062A01020</t>
  </si>
  <si>
    <t>Banks</t>
  </si>
  <si>
    <t>CG Power and Industrial Solutions Ltd</t>
  </si>
  <si>
    <t>INE067A01029</t>
  </si>
  <si>
    <t>Electrical Equipment</t>
  </si>
  <si>
    <t>Benchmark: BSE India Infrastructure TRI</t>
  </si>
  <si>
    <t>Power Grid Corporation of India Ltd</t>
  </si>
  <si>
    <t>INE752E01010</t>
  </si>
  <si>
    <t>Cummins India Ltd</t>
  </si>
  <si>
    <t>INE298A01020</t>
  </si>
  <si>
    <t>Industrial Products</t>
  </si>
  <si>
    <t>Bharti Airtel Ltd</t>
  </si>
  <si>
    <t>INE397D01024</t>
  </si>
  <si>
    <t>Telecom - Services</t>
  </si>
  <si>
    <t>Ge Vernova T&amp;D India Ltd</t>
  </si>
  <si>
    <t>INE200A01026</t>
  </si>
  <si>
    <t>Mid Cap</t>
  </si>
  <si>
    <t>Power Finance Corporation Ltd</t>
  </si>
  <si>
    <t>INE134E01011</t>
  </si>
  <si>
    <t>Finance</t>
  </si>
  <si>
    <t>Hitachi Energy India Ltd</t>
  </si>
  <si>
    <t>INE07Y701011</t>
  </si>
  <si>
    <t>Ultratech Cement Ltd</t>
  </si>
  <si>
    <t>INE481G01011</t>
  </si>
  <si>
    <t>Cement &amp; Cement Products</t>
  </si>
  <si>
    <t>Interglobe Aviation Ltd</t>
  </si>
  <si>
    <t>INE646L01027</t>
  </si>
  <si>
    <t>Transport Services</t>
  </si>
  <si>
    <t>Coal India Ltd</t>
  </si>
  <si>
    <t>INE522F01014</t>
  </si>
  <si>
    <t>Consumable Fuels</t>
  </si>
  <si>
    <t>Solar Industries India Ltd</t>
  </si>
  <si>
    <t>INE343H01029</t>
  </si>
  <si>
    <t>Chemicals &amp; Petrochemicals</t>
  </si>
  <si>
    <t>Dixon Technologies (India) Ltd</t>
  </si>
  <si>
    <t>INE935N01020</t>
  </si>
  <si>
    <t>Consumer Durables</t>
  </si>
  <si>
    <t>V-Guard Industries Ltd</t>
  </si>
  <si>
    <t>INE951I01027</t>
  </si>
  <si>
    <t>Small Cap</t>
  </si>
  <si>
    <t>Schaeffler India Ltd</t>
  </si>
  <si>
    <t>INE513A01022</t>
  </si>
  <si>
    <t>Auto Components</t>
  </si>
  <si>
    <t>Hindalco Industries Ltd</t>
  </si>
  <si>
    <t>INE038A01020</t>
  </si>
  <si>
    <t>Non - Ferrous Metals</t>
  </si>
  <si>
    <t>Linde India Ltd</t>
  </si>
  <si>
    <t>INE473A01011</t>
  </si>
  <si>
    <t>Hindustan Aeronautics Ltd</t>
  </si>
  <si>
    <t>INE066F01020</t>
  </si>
  <si>
    <t>J.K. Cement Ltd</t>
  </si>
  <si>
    <t>INE823G01014</t>
  </si>
  <si>
    <t>KEI Industries Ltd</t>
  </si>
  <si>
    <t>INE878B01027</t>
  </si>
  <si>
    <t>Blue Star Ltd</t>
  </si>
  <si>
    <t>INE472A01039</t>
  </si>
  <si>
    <t>Premier Energies Ltd</t>
  </si>
  <si>
    <t>INE0BS701011</t>
  </si>
  <si>
    <t>Oil India Ltd</t>
  </si>
  <si>
    <t>INE274J01014</t>
  </si>
  <si>
    <t>Oil</t>
  </si>
  <si>
    <t>KSB Ltd</t>
  </si>
  <si>
    <t>INE999A01023</t>
  </si>
  <si>
    <t>Delhivery Ltd</t>
  </si>
  <si>
    <t>INE148O01028</t>
  </si>
  <si>
    <t>Great Eastern Shipping Co Ltd</t>
  </si>
  <si>
    <t>INE017A01032</t>
  </si>
  <si>
    <t>Suzlon Energy Ltd</t>
  </si>
  <si>
    <t>INE040H01021</t>
  </si>
  <si>
    <t>NTPC Green Energy Ltd</t>
  </si>
  <si>
    <t>INE0ONG01011</t>
  </si>
  <si>
    <t>Timken India Ltd</t>
  </si>
  <si>
    <t>INE325A01013</t>
  </si>
  <si>
    <t>Brigade Enterprises Ltd</t>
  </si>
  <si>
    <t>INE791I01019</t>
  </si>
  <si>
    <t>Realty</t>
  </si>
  <si>
    <t>Voltas Ltd</t>
  </si>
  <si>
    <t>INE226A01021</t>
  </si>
  <si>
    <t>Bharat Petroleum Corporation Ltd</t>
  </si>
  <si>
    <t>INE029A01011</t>
  </si>
  <si>
    <t>GMM Pfaudler Ltd</t>
  </si>
  <si>
    <t>INE541A01023</t>
  </si>
  <si>
    <t>Industrial Manufacturing</t>
  </si>
  <si>
    <t>Jyoti CNC Automation Ltd</t>
  </si>
  <si>
    <t>INE980O01024</t>
  </si>
  <si>
    <t>Thermax Ltd</t>
  </si>
  <si>
    <t>INE152A01029</t>
  </si>
  <si>
    <t>KEC International Ltd</t>
  </si>
  <si>
    <t>INE389H01022</t>
  </si>
  <si>
    <t>Gujarat Gas Ltd</t>
  </si>
  <si>
    <t>INE844O01030</t>
  </si>
  <si>
    <t>Gas</t>
  </si>
  <si>
    <t>Siemens Ltd</t>
  </si>
  <si>
    <t>INE003A01024</t>
  </si>
  <si>
    <t>ABB India Ltd</t>
  </si>
  <si>
    <t>INE117A01022</t>
  </si>
  <si>
    <t>Praj Industries Ltd</t>
  </si>
  <si>
    <t>INE074A01025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</si>
  <si>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</si>
  <si>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</si>
  <si>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</si>
  <si>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</si>
  <si>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</si>
  <si>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</si>
  <si>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</si>
  <si>
    <t>Please refer the below link for the performance of the Schemes managed by Canara Robeco Mutual Fund</t>
  </si>
  <si>
    <t>https://www.canararobeco.com/docs/default-source/default-document-library/Scheme_Performance_March_2026.pdf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</si>
</sst>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4" fontId="4" fillId="3" borderId="0" xfId="0" applyNumberFormat="1" applyFont="1" applyFill="1"/>
    <xf numFmtId="0" fontId="11" fillId="4" borderId="20" xfId="0" applyFont="1" applyFill="1" applyBorder="1"/>
    <xf numFmtId="164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docs%2Fdefault-source%2Fdefault-document-library%2FScheme_Performance_March_2026.pdf&amp;data=05%7C02%7C%7C9cdc4551ddd04d39a0a708de90753a1d%7C6fa82c0314f040c8895a63736b6313f0%7C0%7C0%7C639107030342686728%7CUnknown%7CTWFpbGZsb3d8eyJFbXB0eU1hcGkiOnRydWUsIlYiOiIwLjAuMDAwMCIsIlAiOiJXaW4zMiIsIkFOIjoiTWFpbCIsIldUIjoyfQ%3D%3D%7C0%7C%7C%7C&amp;sdata=4h975lkPW7g1Zmz7N6JKsTgmFmw1PmZteqfVsPdnhSk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DF92-4E12-4924-8528-45CE0652BE25}">
  <dimension ref="B1:N66"/>
  <sheetViews>
    <sheetView tabSelected="1" workbookViewId="0">
      <selection activeCell="B1" sqref="B1:G1"/>
    </sheetView>
  </sheetViews>
  <sheetFormatPr defaultColWidth="9.1796875" defaultRowHeight="11.5"/>
  <cols>
    <col min="1" max="1" width="9.1796875" style="4"/>
    <col min="2" max="2" width="54.7265625" style="4" bestFit="1" customWidth="1"/>
    <col min="3" max="3" width="13.81640625" style="4" bestFit="1" customWidth="1"/>
    <col min="4" max="4" width="22.26953125" style="4" bestFit="1" customWidth="1"/>
    <col min="5" max="5" width="8.81640625" style="4" bestFit="1" customWidth="1"/>
    <col min="6" max="6" width="14.54296875" style="39" bestFit="1" customWidth="1"/>
    <col min="7" max="7" width="7.453125" style="39" bestFit="1" customWidth="1"/>
    <col min="8" max="8" width="13.54296875" style="39" customWidth="1"/>
    <col min="9" max="10" width="9.1796875" style="4"/>
    <col min="11" max="11" width="31.54296875" style="4" customWidth="1"/>
    <col min="12" max="12" width="35.54296875" style="4" customWidth="1"/>
    <col min="13" max="13" width="31.453125" style="4" customWidth="1"/>
    <col min="14" max="14" width="35.54296875" style="4" customWidth="1"/>
    <col min="15" max="16384" width="9.1796875" style="4"/>
  </cols>
  <sheetData>
    <row r="1" spans="2:14" ht="21" customHeight="1">
      <c r="B1" s="1" t="s">
        <v>0</v>
      </c>
      <c r="C1" s="2"/>
      <c r="D1" s="2"/>
      <c r="E1" s="2"/>
      <c r="F1" s="2"/>
      <c r="G1" s="2"/>
      <c r="H1" s="3"/>
    </row>
    <row r="3" spans="2:14" ht="16" thickBot="1">
      <c r="B3" s="5" t="s">
        <v>1</v>
      </c>
      <c r="C3" s="6"/>
      <c r="D3" s="7"/>
      <c r="E3" s="7"/>
      <c r="F3" s="8"/>
      <c r="G3" s="8"/>
      <c r="H3" s="8"/>
    </row>
    <row r="4" spans="2:14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</row>
    <row r="5" spans="2:14">
      <c r="B5" s="14" t="s">
        <v>13</v>
      </c>
      <c r="C5" s="15"/>
      <c r="D5" s="15"/>
      <c r="E5" s="15"/>
      <c r="F5" s="16"/>
      <c r="G5" s="16"/>
      <c r="H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>
      <c r="B6" s="18" t="s">
        <v>14</v>
      </c>
      <c r="C6" s="19"/>
      <c r="D6" s="19"/>
      <c r="E6" s="19"/>
      <c r="F6" s="20"/>
      <c r="G6" s="20"/>
      <c r="H6" s="20"/>
      <c r="K6" s="21"/>
      <c r="L6" s="21"/>
      <c r="M6" s="21"/>
      <c r="N6" s="21"/>
    </row>
    <row r="7" spans="2:14">
      <c r="B7" s="22" t="s">
        <v>15</v>
      </c>
      <c r="C7" s="19" t="s">
        <v>16</v>
      </c>
      <c r="D7" s="19" t="s">
        <v>17</v>
      </c>
      <c r="E7" s="23">
        <v>217901</v>
      </c>
      <c r="F7" s="20">
        <v>7635.47</v>
      </c>
      <c r="G7" s="20">
        <v>8.83</v>
      </c>
      <c r="H7" s="20" t="s">
        <v>18</v>
      </c>
      <c r="K7" s="21"/>
      <c r="L7" s="21"/>
      <c r="M7" s="21"/>
      <c r="N7" s="21"/>
    </row>
    <row r="8" spans="2:14">
      <c r="B8" s="22" t="s">
        <v>19</v>
      </c>
      <c r="C8" s="19" t="s">
        <v>20</v>
      </c>
      <c r="D8" s="19" t="s">
        <v>21</v>
      </c>
      <c r="E8" s="23">
        <v>1106480</v>
      </c>
      <c r="F8" s="20">
        <v>4101.17</v>
      </c>
      <c r="G8" s="20">
        <v>4.75</v>
      </c>
      <c r="H8" s="20" t="s">
        <v>18</v>
      </c>
      <c r="K8" s="21"/>
      <c r="L8" s="21"/>
      <c r="M8" s="21"/>
      <c r="N8" s="21"/>
    </row>
    <row r="9" spans="2:14">
      <c r="B9" s="22" t="s">
        <v>22</v>
      </c>
      <c r="C9" s="19" t="s">
        <v>23</v>
      </c>
      <c r="D9" s="19" t="s">
        <v>24</v>
      </c>
      <c r="E9" s="23">
        <v>294250</v>
      </c>
      <c r="F9" s="20">
        <v>3954.43</v>
      </c>
      <c r="G9" s="20">
        <v>4.58</v>
      </c>
      <c r="H9" s="20" t="s">
        <v>18</v>
      </c>
      <c r="K9" s="21"/>
      <c r="L9" s="21"/>
      <c r="M9" s="21"/>
      <c r="N9" s="21"/>
    </row>
    <row r="10" spans="2:14">
      <c r="B10" s="22" t="s">
        <v>25</v>
      </c>
      <c r="C10" s="19" t="s">
        <v>26</v>
      </c>
      <c r="D10" s="19" t="s">
        <v>27</v>
      </c>
      <c r="E10" s="23">
        <v>869000</v>
      </c>
      <c r="F10" s="20">
        <v>3481.65</v>
      </c>
      <c r="G10" s="20">
        <v>4.03</v>
      </c>
      <c r="H10" s="20" t="s">
        <v>18</v>
      </c>
      <c r="K10" s="21"/>
      <c r="L10" s="21"/>
      <c r="M10" s="21"/>
      <c r="N10" s="21"/>
    </row>
    <row r="11" spans="2:14">
      <c r="B11" s="22" t="s">
        <v>28</v>
      </c>
      <c r="C11" s="19" t="s">
        <v>29</v>
      </c>
      <c r="D11" s="19" t="s">
        <v>21</v>
      </c>
      <c r="E11" s="23">
        <v>870000</v>
      </c>
      <c r="F11" s="20">
        <v>3295.13</v>
      </c>
      <c r="G11" s="20">
        <v>3.81</v>
      </c>
      <c r="H11" s="20" t="s">
        <v>18</v>
      </c>
      <c r="K11" s="21"/>
      <c r="L11" s="21"/>
      <c r="M11" s="21"/>
      <c r="N11" s="21"/>
    </row>
    <row r="12" spans="2:14">
      <c r="B12" s="22" t="s">
        <v>30</v>
      </c>
      <c r="C12" s="19" t="s">
        <v>31</v>
      </c>
      <c r="D12" s="19" t="s">
        <v>32</v>
      </c>
      <c r="E12" s="23">
        <v>324000</v>
      </c>
      <c r="F12" s="20">
        <v>3173.26</v>
      </c>
      <c r="G12" s="20">
        <v>3.67</v>
      </c>
      <c r="H12" s="20" t="s">
        <v>18</v>
      </c>
      <c r="K12" s="24"/>
      <c r="L12" s="24"/>
      <c r="M12" s="24"/>
      <c r="N12" s="24"/>
    </row>
    <row r="13" spans="2:14">
      <c r="B13" s="22" t="s">
        <v>33</v>
      </c>
      <c r="C13" s="19" t="s">
        <v>34</v>
      </c>
      <c r="D13" s="19" t="s">
        <v>35</v>
      </c>
      <c r="E13" s="23">
        <v>475650</v>
      </c>
      <c r="F13" s="20">
        <v>3115.75</v>
      </c>
      <c r="G13" s="20">
        <v>3.61</v>
      </c>
      <c r="H13" s="20" t="s">
        <v>18</v>
      </c>
      <c r="L13" s="25" t="s">
        <v>36</v>
      </c>
    </row>
    <row r="14" spans="2:14">
      <c r="B14" s="22" t="s">
        <v>37</v>
      </c>
      <c r="C14" s="19" t="s">
        <v>38</v>
      </c>
      <c r="D14" s="19" t="s">
        <v>21</v>
      </c>
      <c r="E14" s="23">
        <v>1007546</v>
      </c>
      <c r="F14" s="20">
        <v>2983.34</v>
      </c>
      <c r="G14" s="20">
        <v>3.45</v>
      </c>
      <c r="H14" s="20" t="s">
        <v>18</v>
      </c>
    </row>
    <row r="15" spans="2:14">
      <c r="B15" s="22" t="s">
        <v>39</v>
      </c>
      <c r="C15" s="19" t="s">
        <v>40</v>
      </c>
      <c r="D15" s="19" t="s">
        <v>41</v>
      </c>
      <c r="E15" s="23">
        <v>58500</v>
      </c>
      <c r="F15" s="20">
        <v>2632.56</v>
      </c>
      <c r="G15" s="20">
        <v>3.05</v>
      </c>
      <c r="H15" s="20" t="s">
        <v>18</v>
      </c>
    </row>
    <row r="16" spans="2:14">
      <c r="B16" s="22" t="s">
        <v>42</v>
      </c>
      <c r="C16" s="19" t="s">
        <v>43</v>
      </c>
      <c r="D16" s="19" t="s">
        <v>44</v>
      </c>
      <c r="E16" s="23">
        <v>146600</v>
      </c>
      <c r="F16" s="20">
        <v>2613</v>
      </c>
      <c r="G16" s="20">
        <v>3.02</v>
      </c>
      <c r="H16" s="20" t="s">
        <v>18</v>
      </c>
    </row>
    <row r="17" spans="2:8">
      <c r="B17" s="22" t="s">
        <v>45</v>
      </c>
      <c r="C17" s="19" t="s">
        <v>46</v>
      </c>
      <c r="D17" s="19" t="s">
        <v>35</v>
      </c>
      <c r="E17" s="23">
        <v>70573</v>
      </c>
      <c r="F17" s="20">
        <v>2569.14</v>
      </c>
      <c r="G17" s="20">
        <v>2.97</v>
      </c>
      <c r="H17" s="20" t="s">
        <v>47</v>
      </c>
    </row>
    <row r="18" spans="2:8">
      <c r="B18" s="22" t="s">
        <v>48</v>
      </c>
      <c r="C18" s="19" t="s">
        <v>49</v>
      </c>
      <c r="D18" s="19" t="s">
        <v>50</v>
      </c>
      <c r="E18" s="23">
        <v>660000</v>
      </c>
      <c r="F18" s="20">
        <v>2504.6999999999998</v>
      </c>
      <c r="G18" s="20">
        <v>2.9</v>
      </c>
      <c r="H18" s="20" t="s">
        <v>18</v>
      </c>
    </row>
    <row r="19" spans="2:8">
      <c r="B19" s="22" t="s">
        <v>51</v>
      </c>
      <c r="C19" s="19" t="s">
        <v>52</v>
      </c>
      <c r="D19" s="19" t="s">
        <v>35</v>
      </c>
      <c r="E19" s="23">
        <v>9753</v>
      </c>
      <c r="F19" s="20">
        <v>2363.64</v>
      </c>
      <c r="G19" s="20">
        <v>2.73</v>
      </c>
      <c r="H19" s="20" t="s">
        <v>47</v>
      </c>
    </row>
    <row r="20" spans="2:8">
      <c r="B20" s="22" t="s">
        <v>53</v>
      </c>
      <c r="C20" s="19" t="s">
        <v>54</v>
      </c>
      <c r="D20" s="19" t="s">
        <v>55</v>
      </c>
      <c r="E20" s="23">
        <v>21850</v>
      </c>
      <c r="F20" s="20">
        <v>2347.7800000000002</v>
      </c>
      <c r="G20" s="20">
        <v>2.72</v>
      </c>
      <c r="H20" s="20" t="s">
        <v>18</v>
      </c>
    </row>
    <row r="21" spans="2:8">
      <c r="B21" s="22" t="s">
        <v>56</v>
      </c>
      <c r="C21" s="19" t="s">
        <v>57</v>
      </c>
      <c r="D21" s="19" t="s">
        <v>58</v>
      </c>
      <c r="E21" s="23">
        <v>59000</v>
      </c>
      <c r="F21" s="20">
        <v>2326.67</v>
      </c>
      <c r="G21" s="20">
        <v>2.69</v>
      </c>
      <c r="H21" s="20" t="s">
        <v>18</v>
      </c>
    </row>
    <row r="22" spans="2:8">
      <c r="B22" s="22" t="s">
        <v>59</v>
      </c>
      <c r="C22" s="19" t="s">
        <v>60</v>
      </c>
      <c r="D22" s="19" t="s">
        <v>61</v>
      </c>
      <c r="E22" s="23">
        <v>460000</v>
      </c>
      <c r="F22" s="20">
        <v>2072.0700000000002</v>
      </c>
      <c r="G22" s="20">
        <v>2.4</v>
      </c>
      <c r="H22" s="20" t="s">
        <v>18</v>
      </c>
    </row>
    <row r="23" spans="2:8">
      <c r="B23" s="22" t="s">
        <v>62</v>
      </c>
      <c r="C23" s="19" t="s">
        <v>63</v>
      </c>
      <c r="D23" s="19" t="s">
        <v>64</v>
      </c>
      <c r="E23" s="23">
        <v>16562</v>
      </c>
      <c r="F23" s="20">
        <v>2000.03</v>
      </c>
      <c r="G23" s="20">
        <v>2.31</v>
      </c>
      <c r="H23" s="20" t="s">
        <v>18</v>
      </c>
    </row>
    <row r="24" spans="2:8">
      <c r="B24" s="22" t="s">
        <v>65</v>
      </c>
      <c r="C24" s="19" t="s">
        <v>66</v>
      </c>
      <c r="D24" s="19" t="s">
        <v>67</v>
      </c>
      <c r="E24" s="23">
        <v>20450</v>
      </c>
      <c r="F24" s="20">
        <v>1978.13</v>
      </c>
      <c r="G24" s="20">
        <v>2.29</v>
      </c>
      <c r="H24" s="20" t="s">
        <v>47</v>
      </c>
    </row>
    <row r="25" spans="2:8">
      <c r="B25" s="22" t="s">
        <v>68</v>
      </c>
      <c r="C25" s="19" t="s">
        <v>69</v>
      </c>
      <c r="D25" s="19" t="s">
        <v>67</v>
      </c>
      <c r="E25" s="23">
        <v>587500</v>
      </c>
      <c r="F25" s="20">
        <v>1850.92</v>
      </c>
      <c r="G25" s="20">
        <v>2.14</v>
      </c>
      <c r="H25" s="20" t="s">
        <v>70</v>
      </c>
    </row>
    <row r="26" spans="2:8">
      <c r="B26" s="22" t="s">
        <v>71</v>
      </c>
      <c r="C26" s="19" t="s">
        <v>72</v>
      </c>
      <c r="D26" s="19" t="s">
        <v>73</v>
      </c>
      <c r="E26" s="23">
        <v>46863</v>
      </c>
      <c r="F26" s="20">
        <v>1801.79</v>
      </c>
      <c r="G26" s="20">
        <v>2.08</v>
      </c>
      <c r="H26" s="20" t="s">
        <v>47</v>
      </c>
    </row>
    <row r="27" spans="2:8">
      <c r="B27" s="22" t="s">
        <v>74</v>
      </c>
      <c r="C27" s="19" t="s">
        <v>75</v>
      </c>
      <c r="D27" s="19" t="s">
        <v>76</v>
      </c>
      <c r="E27" s="23">
        <v>190500</v>
      </c>
      <c r="F27" s="20">
        <v>1684.88</v>
      </c>
      <c r="G27" s="20">
        <v>1.95</v>
      </c>
      <c r="H27" s="20" t="s">
        <v>18</v>
      </c>
    </row>
    <row r="28" spans="2:8">
      <c r="B28" s="22" t="s">
        <v>77</v>
      </c>
      <c r="C28" s="19" t="s">
        <v>78</v>
      </c>
      <c r="D28" s="19" t="s">
        <v>64</v>
      </c>
      <c r="E28" s="23">
        <v>22103</v>
      </c>
      <c r="F28" s="20">
        <v>1512.73</v>
      </c>
      <c r="G28" s="20">
        <v>1.75</v>
      </c>
      <c r="H28" s="20" t="s">
        <v>47</v>
      </c>
    </row>
    <row r="29" spans="2:8">
      <c r="B29" s="22" t="s">
        <v>79</v>
      </c>
      <c r="C29" s="19" t="s">
        <v>80</v>
      </c>
      <c r="D29" s="19" t="s">
        <v>27</v>
      </c>
      <c r="E29" s="23">
        <v>40998</v>
      </c>
      <c r="F29" s="20">
        <v>1429.68</v>
      </c>
      <c r="G29" s="20">
        <v>1.65</v>
      </c>
      <c r="H29" s="20" t="s">
        <v>18</v>
      </c>
    </row>
    <row r="30" spans="2:8">
      <c r="B30" s="22" t="s">
        <v>81</v>
      </c>
      <c r="C30" s="19" t="s">
        <v>82</v>
      </c>
      <c r="D30" s="19" t="s">
        <v>55</v>
      </c>
      <c r="E30" s="23">
        <v>25000</v>
      </c>
      <c r="F30" s="20">
        <v>1270</v>
      </c>
      <c r="G30" s="20">
        <v>1.47</v>
      </c>
      <c r="H30" s="20" t="s">
        <v>47</v>
      </c>
    </row>
    <row r="31" spans="2:8">
      <c r="B31" s="22" t="s">
        <v>83</v>
      </c>
      <c r="C31" s="19" t="s">
        <v>84</v>
      </c>
      <c r="D31" s="19" t="s">
        <v>41</v>
      </c>
      <c r="E31" s="23">
        <v>31000</v>
      </c>
      <c r="F31" s="20">
        <v>1251.78</v>
      </c>
      <c r="G31" s="20">
        <v>1.45</v>
      </c>
      <c r="H31" s="20" t="s">
        <v>47</v>
      </c>
    </row>
    <row r="32" spans="2:8">
      <c r="B32" s="22" t="s">
        <v>85</v>
      </c>
      <c r="C32" s="19" t="s">
        <v>86</v>
      </c>
      <c r="D32" s="19" t="s">
        <v>67</v>
      </c>
      <c r="E32" s="23">
        <v>72500</v>
      </c>
      <c r="F32" s="20">
        <v>1167.76</v>
      </c>
      <c r="G32" s="20">
        <v>1.35</v>
      </c>
      <c r="H32" s="20" t="s">
        <v>47</v>
      </c>
    </row>
    <row r="33" spans="2:8">
      <c r="B33" s="22" t="s">
        <v>87</v>
      </c>
      <c r="C33" s="19" t="s">
        <v>88</v>
      </c>
      <c r="D33" s="19" t="s">
        <v>35</v>
      </c>
      <c r="E33" s="23">
        <v>120295</v>
      </c>
      <c r="F33" s="20">
        <v>1072.6099999999999</v>
      </c>
      <c r="G33" s="20">
        <v>1.24</v>
      </c>
      <c r="H33" s="20" t="s">
        <v>47</v>
      </c>
    </row>
    <row r="34" spans="2:8">
      <c r="B34" s="22" t="s">
        <v>89</v>
      </c>
      <c r="C34" s="19" t="s">
        <v>90</v>
      </c>
      <c r="D34" s="19" t="s">
        <v>91</v>
      </c>
      <c r="E34" s="23">
        <v>225000</v>
      </c>
      <c r="F34" s="20">
        <v>1069.76</v>
      </c>
      <c r="G34" s="20">
        <v>1.24</v>
      </c>
      <c r="H34" s="20" t="s">
        <v>47</v>
      </c>
    </row>
    <row r="35" spans="2:8">
      <c r="B35" s="22" t="s">
        <v>92</v>
      </c>
      <c r="C35" s="19" t="s">
        <v>93</v>
      </c>
      <c r="D35" s="19" t="s">
        <v>41</v>
      </c>
      <c r="E35" s="23">
        <v>130850</v>
      </c>
      <c r="F35" s="20">
        <v>1042.68</v>
      </c>
      <c r="G35" s="20">
        <v>1.21</v>
      </c>
      <c r="H35" s="20" t="s">
        <v>70</v>
      </c>
    </row>
    <row r="36" spans="2:8">
      <c r="B36" s="22" t="s">
        <v>94</v>
      </c>
      <c r="C36" s="19" t="s">
        <v>95</v>
      </c>
      <c r="D36" s="19" t="s">
        <v>58</v>
      </c>
      <c r="E36" s="23">
        <v>249000</v>
      </c>
      <c r="F36" s="20">
        <v>1037.58</v>
      </c>
      <c r="G36" s="20">
        <v>1.2</v>
      </c>
      <c r="H36" s="20" t="s">
        <v>70</v>
      </c>
    </row>
    <row r="37" spans="2:8">
      <c r="B37" s="22" t="s">
        <v>96</v>
      </c>
      <c r="C37" s="19" t="s">
        <v>97</v>
      </c>
      <c r="D37" s="19" t="s">
        <v>58</v>
      </c>
      <c r="E37" s="23">
        <v>70000</v>
      </c>
      <c r="F37" s="20">
        <v>990.29</v>
      </c>
      <c r="G37" s="20">
        <v>1.1499999999999999</v>
      </c>
      <c r="H37" s="20" t="s">
        <v>70</v>
      </c>
    </row>
    <row r="38" spans="2:8">
      <c r="B38" s="22" t="s">
        <v>98</v>
      </c>
      <c r="C38" s="19" t="s">
        <v>99</v>
      </c>
      <c r="D38" s="19" t="s">
        <v>35</v>
      </c>
      <c r="E38" s="23">
        <v>2439000</v>
      </c>
      <c r="F38" s="20">
        <v>964.87</v>
      </c>
      <c r="G38" s="20">
        <v>1.1200000000000001</v>
      </c>
      <c r="H38" s="20" t="s">
        <v>47</v>
      </c>
    </row>
    <row r="39" spans="2:8">
      <c r="B39" s="22" t="s">
        <v>100</v>
      </c>
      <c r="C39" s="19" t="s">
        <v>101</v>
      </c>
      <c r="D39" s="19" t="s">
        <v>21</v>
      </c>
      <c r="E39" s="23">
        <v>1036234</v>
      </c>
      <c r="F39" s="20">
        <v>956.65</v>
      </c>
      <c r="G39" s="20">
        <v>1.1100000000000001</v>
      </c>
      <c r="H39" s="20" t="s">
        <v>47</v>
      </c>
    </row>
    <row r="40" spans="2:8">
      <c r="B40" s="22" t="s">
        <v>102</v>
      </c>
      <c r="C40" s="19" t="s">
        <v>103</v>
      </c>
      <c r="D40" s="19" t="s">
        <v>41</v>
      </c>
      <c r="E40" s="23">
        <v>28000</v>
      </c>
      <c r="F40" s="20">
        <v>903.08</v>
      </c>
      <c r="G40" s="20">
        <v>1.04</v>
      </c>
      <c r="H40" s="20" t="s">
        <v>70</v>
      </c>
    </row>
    <row r="41" spans="2:8">
      <c r="B41" s="22" t="s">
        <v>104</v>
      </c>
      <c r="C41" s="19" t="s">
        <v>105</v>
      </c>
      <c r="D41" s="19" t="s">
        <v>106</v>
      </c>
      <c r="E41" s="23">
        <v>130000</v>
      </c>
      <c r="F41" s="20">
        <v>845.98</v>
      </c>
      <c r="G41" s="20">
        <v>0.98</v>
      </c>
      <c r="H41" s="20" t="s">
        <v>70</v>
      </c>
    </row>
    <row r="42" spans="2:8">
      <c r="B42" s="22" t="s">
        <v>107</v>
      </c>
      <c r="C42" s="19" t="s">
        <v>108</v>
      </c>
      <c r="D42" s="19" t="s">
        <v>67</v>
      </c>
      <c r="E42" s="23">
        <v>66100</v>
      </c>
      <c r="F42" s="20">
        <v>841.32</v>
      </c>
      <c r="G42" s="20">
        <v>0.97</v>
      </c>
      <c r="H42" s="20" t="s">
        <v>47</v>
      </c>
    </row>
    <row r="43" spans="2:8">
      <c r="B43" s="22" t="s">
        <v>109</v>
      </c>
      <c r="C43" s="19" t="s">
        <v>110</v>
      </c>
      <c r="D43" s="19" t="s">
        <v>24</v>
      </c>
      <c r="E43" s="23">
        <v>265000</v>
      </c>
      <c r="F43" s="20">
        <v>744.65</v>
      </c>
      <c r="G43" s="20">
        <v>0.86</v>
      </c>
      <c r="H43" s="20" t="s">
        <v>18</v>
      </c>
    </row>
    <row r="44" spans="2:8">
      <c r="B44" s="22" t="s">
        <v>111</v>
      </c>
      <c r="C44" s="19" t="s">
        <v>112</v>
      </c>
      <c r="D44" s="19" t="s">
        <v>113</v>
      </c>
      <c r="E44" s="23">
        <v>88000</v>
      </c>
      <c r="F44" s="20">
        <v>697.84</v>
      </c>
      <c r="G44" s="20">
        <v>0.81</v>
      </c>
      <c r="H44" s="20" t="s">
        <v>70</v>
      </c>
    </row>
    <row r="45" spans="2:8">
      <c r="B45" s="22" t="s">
        <v>114</v>
      </c>
      <c r="C45" s="19" t="s">
        <v>115</v>
      </c>
      <c r="D45" s="19" t="s">
        <v>113</v>
      </c>
      <c r="E45" s="23">
        <v>89768</v>
      </c>
      <c r="F45" s="20">
        <v>647.99</v>
      </c>
      <c r="G45" s="20">
        <v>0.75</v>
      </c>
      <c r="H45" s="20" t="s">
        <v>70</v>
      </c>
    </row>
    <row r="46" spans="2:8">
      <c r="B46" s="22" t="s">
        <v>116</v>
      </c>
      <c r="C46" s="19" t="s">
        <v>117</v>
      </c>
      <c r="D46" s="19" t="s">
        <v>35</v>
      </c>
      <c r="E46" s="23">
        <v>19067</v>
      </c>
      <c r="F46" s="20">
        <v>621.72</v>
      </c>
      <c r="G46" s="20">
        <v>0.72</v>
      </c>
      <c r="H46" s="20" t="s">
        <v>47</v>
      </c>
    </row>
    <row r="47" spans="2:8">
      <c r="B47" s="22" t="s">
        <v>118</v>
      </c>
      <c r="C47" s="19" t="s">
        <v>119</v>
      </c>
      <c r="D47" s="19" t="s">
        <v>17</v>
      </c>
      <c r="E47" s="23">
        <v>120667</v>
      </c>
      <c r="F47" s="20">
        <v>616.97</v>
      </c>
      <c r="G47" s="20">
        <v>0.71</v>
      </c>
      <c r="H47" s="20" t="s">
        <v>70</v>
      </c>
    </row>
    <row r="48" spans="2:8">
      <c r="B48" s="22" t="s">
        <v>120</v>
      </c>
      <c r="C48" s="19" t="s">
        <v>121</v>
      </c>
      <c r="D48" s="19" t="s">
        <v>122</v>
      </c>
      <c r="E48" s="23">
        <v>188010</v>
      </c>
      <c r="F48" s="20">
        <v>577.66</v>
      </c>
      <c r="G48" s="20">
        <v>0.67</v>
      </c>
      <c r="H48" s="20" t="s">
        <v>70</v>
      </c>
    </row>
    <row r="49" spans="2:9">
      <c r="B49" s="22" t="s">
        <v>123</v>
      </c>
      <c r="C49" s="19" t="s">
        <v>124</v>
      </c>
      <c r="D49" s="19" t="s">
        <v>35</v>
      </c>
      <c r="E49" s="23">
        <v>18550</v>
      </c>
      <c r="F49" s="20">
        <v>544.44000000000005</v>
      </c>
      <c r="G49" s="20">
        <v>0.63</v>
      </c>
      <c r="H49" s="20" t="s">
        <v>18</v>
      </c>
    </row>
    <row r="50" spans="2:9">
      <c r="B50" s="22" t="s">
        <v>125</v>
      </c>
      <c r="C50" s="19" t="s">
        <v>126</v>
      </c>
      <c r="D50" s="19" t="s">
        <v>35</v>
      </c>
      <c r="E50" s="23">
        <v>7845</v>
      </c>
      <c r="F50" s="20">
        <v>466.11</v>
      </c>
      <c r="G50" s="20">
        <v>0.54</v>
      </c>
      <c r="H50" s="20" t="s">
        <v>18</v>
      </c>
    </row>
    <row r="51" spans="2:9">
      <c r="B51" s="22" t="s">
        <v>127</v>
      </c>
      <c r="C51" s="19" t="s">
        <v>128</v>
      </c>
      <c r="D51" s="19" t="s">
        <v>113</v>
      </c>
      <c r="E51" s="23">
        <v>135000</v>
      </c>
      <c r="F51" s="20">
        <v>429.37</v>
      </c>
      <c r="G51" s="20">
        <v>0.5</v>
      </c>
      <c r="H51" s="20" t="s">
        <v>70</v>
      </c>
    </row>
    <row r="52" spans="2:9">
      <c r="B52" s="26" t="s">
        <v>129</v>
      </c>
      <c r="C52" s="27"/>
      <c r="D52" s="27"/>
      <c r="E52" s="27"/>
      <c r="F52" s="28">
        <f>SUM(F7:F51)</f>
        <v>82189.02999999997</v>
      </c>
      <c r="G52" s="28">
        <f>SUM(G7:G51)</f>
        <v>95.1</v>
      </c>
      <c r="H52" s="28"/>
      <c r="I52" s="29"/>
    </row>
    <row r="53" spans="2:9">
      <c r="B53" s="30" t="s">
        <v>130</v>
      </c>
      <c r="C53" s="30"/>
      <c r="D53" s="30"/>
      <c r="E53" s="30"/>
      <c r="F53" s="31">
        <f>F52</f>
        <v>82189.02999999997</v>
      </c>
      <c r="G53" s="31">
        <f>G52</f>
        <v>95.1</v>
      </c>
      <c r="H53" s="31"/>
      <c r="I53" s="29"/>
    </row>
    <row r="54" spans="2:9">
      <c r="B54" s="32" t="s">
        <v>131</v>
      </c>
      <c r="C54" s="33"/>
      <c r="D54" s="33"/>
      <c r="E54" s="33"/>
      <c r="F54" s="34"/>
      <c r="G54" s="34"/>
      <c r="H54" s="34"/>
    </row>
    <row r="55" spans="2:9">
      <c r="B55" s="22" t="s">
        <v>131</v>
      </c>
      <c r="C55" s="19"/>
      <c r="D55" s="19"/>
      <c r="E55" s="19"/>
      <c r="F55" s="20">
        <v>4413.79</v>
      </c>
      <c r="G55" s="20">
        <v>5.1100000000000003</v>
      </c>
      <c r="H55" s="20"/>
    </row>
    <row r="56" spans="2:9">
      <c r="B56" s="26" t="s">
        <v>129</v>
      </c>
      <c r="C56" s="27"/>
      <c r="D56" s="27"/>
      <c r="E56" s="27"/>
      <c r="F56" s="28">
        <f>SUM(F54:F55)</f>
        <v>4413.79</v>
      </c>
      <c r="G56" s="28">
        <f>SUM(G54:G55)</f>
        <v>5.1100000000000003</v>
      </c>
      <c r="H56" s="28"/>
      <c r="I56" s="29"/>
    </row>
    <row r="57" spans="2:9">
      <c r="B57" s="35" t="s">
        <v>130</v>
      </c>
      <c r="C57" s="35"/>
      <c r="D57" s="35"/>
      <c r="E57" s="35"/>
      <c r="F57" s="36">
        <f>F56</f>
        <v>4413.79</v>
      </c>
      <c r="G57" s="36">
        <f>G56</f>
        <v>5.1100000000000003</v>
      </c>
      <c r="H57" s="36"/>
      <c r="I57" s="29"/>
    </row>
    <row r="58" spans="2:9">
      <c r="B58" s="37" t="s">
        <v>132</v>
      </c>
      <c r="C58" s="37"/>
      <c r="D58" s="37"/>
      <c r="E58" s="37"/>
      <c r="F58" s="38">
        <f>F59-(+F53+F57)</f>
        <v>-177.51999999996042</v>
      </c>
      <c r="G58" s="38">
        <f>G59-(+G53+G57)</f>
        <v>-0.20999999999999375</v>
      </c>
      <c r="H58" s="38"/>
      <c r="I58" s="29"/>
    </row>
    <row r="59" spans="2:9">
      <c r="B59" s="37" t="s">
        <v>133</v>
      </c>
      <c r="C59" s="37"/>
      <c r="D59" s="37"/>
      <c r="E59" s="37"/>
      <c r="F59" s="38">
        <v>86425.3</v>
      </c>
      <c r="G59" s="38">
        <v>100</v>
      </c>
      <c r="H59" s="38"/>
      <c r="I59" s="29"/>
    </row>
    <row r="61" spans="2:9" ht="12" thickBot="1">
      <c r="B61" s="29"/>
    </row>
    <row r="62" spans="2:9" ht="12.5" thickTop="1" thickBot="1">
      <c r="B62" s="40" t="s">
        <v>134</v>
      </c>
      <c r="C62" s="41" t="s">
        <v>135</v>
      </c>
    </row>
    <row r="63" spans="2:9" ht="12" thickTop="1"/>
    <row r="64" spans="2:9">
      <c r="B64" s="29" t="s">
        <v>136</v>
      </c>
    </row>
    <row r="66" spans="2:2" ht="14.5">
      <c r="B66" s="42" t="s">
        <v>137</v>
      </c>
    </row>
  </sheetData>
  <mergeCells count="5">
    <mergeCell ref="B1:G1"/>
    <mergeCell ref="K5:K12"/>
    <mergeCell ref="L5:L12"/>
    <mergeCell ref="M5:M12"/>
    <mergeCell ref="N5:N12"/>
  </mergeCells>
  <hyperlinks>
    <hyperlink ref="B66" r:id="rId1" display="https://apc01.safelinks.protection.outlook.com/?url=https%3A%2F%2Fwww.canararobeco.com%2Fdocs%2Fdefault-source%2Fdefault-document-library%2FScheme_Performance_March_2026.pdf&amp;data=05%7C02%7C%7C9cdc4551ddd04d39a0a708de90753a1d%7C6fa82c0314f040c8895a63736b6313f0%7C0%7C0%7C639107030342686728%7CUnknown%7CTWFpbGZsb3d8eyJFbXB0eU1hcGkiOnRydWUsIlYiOiIwLjAuMDAwMCIsIlAiOiJXaW4zMiIsIkFOIjoiTWFpbCIsIldUIjoyfQ%3D%3D%7C0%7C%7C%7C&amp;sdata=4h975lkPW7g1Zmz7N6JKsTgmFmw1PmZteqfVsPdnhSk%3D&amp;reserved=0" xr:uid="{F34C20BD-92C4-4A6D-A714-DD5C516B4ECA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2026-04-09 14:25:10</KDate>
  <Classification>PUBLIC</Classification>
  <Subclassification/>
  <HostName>MUMCMP01346</HostName>
  <Domain_User>CANARAROBECOMF/396</Domain_User>
  <IPAdd>192.9.198.198</IPAdd>
  <FilePath>Book55</FilePath>
  <KID>1098191A8D7D639113415107509759</KID>
  <UniqueName/>
  <Suggested/>
  <Justification/>
  <KlassifyGUID/>
</Klassify>
</file>

<file path=customXml/itemProps1.xml><?xml version="1.0" encoding="utf-8"?>
<ds:datastoreItem xmlns:ds="http://schemas.openxmlformats.org/officeDocument/2006/customXml" ds:itemID="{91EC30B6-B690-434B-840F-44BF116D633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2026-04-09T08:54:52Z</dcterms:created>
  <dcterms:modified xsi:type="dcterms:W3CDTF">2026-04-09T08:55:10Z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KID">
    <vt:lpwstr>1098191A8D7D639113415107509759</vt:lpwstr>
  </property>
</Properties>
</file>