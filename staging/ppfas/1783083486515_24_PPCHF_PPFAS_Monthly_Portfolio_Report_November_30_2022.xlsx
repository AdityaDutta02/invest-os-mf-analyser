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pfasasset-my.sharepoint.com/personal/ketan_ppfasasset_onmicrosoft_com/Documents/Desktop/Monthly Portfolio_Nov 2022/"/>
    </mc:Choice>
  </mc:AlternateContent>
  <xr:revisionPtr revIDLastSave="12" documentId="8_{FC99DF06-A2B9-4D1B-891F-93B893560A52}" xr6:coauthVersionLast="47" xr6:coauthVersionMax="47" xr10:uidLastSave="{E0ABFF8C-5BCF-40EE-A29B-F0772BBEE027}"/>
  <bookViews>
    <workbookView xWindow="-120" yWindow="-120" windowWidth="20730" windowHeight="11160" xr2:uid="{F7ACEEC6-854A-4140-9BA2-F300EC680043}"/>
  </bookViews>
  <sheets>
    <sheet name="PPCHF" sheetId="3" r:id="rId1"/>
  </sheets>
  <externalReferences>
    <externalReference r:id="rId2"/>
  </externalReferences>
  <definedNames>
    <definedName name="JR_PAGE_ANCHOR_0_5" localSheetId="0">#REF!</definedName>
    <definedName name="JR_PAGE_ANCHOR_0_5">#REF!</definedName>
    <definedName name="JR_PAGE_ANCHOR_0_6" localSheetId="0">PPCHF!$A$1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4" i="3" l="1"/>
  <c r="F193" i="3"/>
  <c r="F192" i="3"/>
  <c r="F191" i="3"/>
  <c r="F187" i="3"/>
  <c r="F186" i="3"/>
  <c r="F185" i="3"/>
  <c r="F183" i="3"/>
  <c r="G21" i="3"/>
  <c r="F21" i="3"/>
  <c r="G20" i="3"/>
  <c r="F20" i="3"/>
</calcChain>
</file>

<file path=xl/sharedStrings.xml><?xml version="1.0" encoding="utf-8"?>
<sst xmlns="http://schemas.openxmlformats.org/spreadsheetml/2006/main" count="630" uniqueCount="464">
  <si>
    <t>Parag Parikh Conservative Hybrid Fund (An open-ended hybrid scheme investing predominantly in debt instruments)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</si>
  <si>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</si>
  <si>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</si>
  <si>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</si>
  <si>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</si>
  <si>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</si>
  <si>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</si>
  <si>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</si>
  <si>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</si>
  <si>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</si>
  <si>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</si>
  <si>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</si>
  <si>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</si>
  <si>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</si>
  <si>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IRLY01</t>
  </si>
  <si>
    <t>Indian Railway Finance Corporation Limited</t>
  </si>
  <si>
    <t>INE053F01010</t>
  </si>
  <si>
    <t>Finance</t>
  </si>
  <si>
    <t>PGCI01</t>
  </si>
  <si>
    <t>Power Grid Corporation of India Limited</t>
  </si>
  <si>
    <t>INE752E01010</t>
  </si>
  <si>
    <t>Power</t>
  </si>
  <si>
    <t>PLNG01</t>
  </si>
  <si>
    <t>Petronet LNG Limited</t>
  </si>
  <si>
    <t>INE347G01014</t>
  </si>
  <si>
    <t>Gas</t>
  </si>
  <si>
    <t>BALN01</t>
  </si>
  <si>
    <t>Bajaj Auto Limited</t>
  </si>
  <si>
    <t>INE917I01010</t>
  </si>
  <si>
    <t>Automobiles</t>
  </si>
  <si>
    <t>COAL01</t>
  </si>
  <si>
    <t>Coal India Limited</t>
  </si>
  <si>
    <t>INE522F01014</t>
  </si>
  <si>
    <t>Consumable Fuels</t>
  </si>
  <si>
    <t>ITCL02</t>
  </si>
  <si>
    <t>ITC Limited</t>
  </si>
  <si>
    <t>INE154A01025</t>
  </si>
  <si>
    <t>Diversified FMCG</t>
  </si>
  <si>
    <t>Sub Total</t>
  </si>
  <si>
    <t>(b) Unlisted</t>
  </si>
  <si>
    <t>NIL</t>
  </si>
  <si>
    <t>(c) ReITs</t>
  </si>
  <si>
    <t>Brookfield India Real Estate Trust</t>
  </si>
  <si>
    <t>INE0FDU25010</t>
  </si>
  <si>
    <t>Realty</t>
  </si>
  <si>
    <t>Embassy Office Parks REIT</t>
  </si>
  <si>
    <t>INE041025011</t>
  </si>
  <si>
    <t>Mindspace Business Parks REIT</t>
  </si>
  <si>
    <t>INE0CCU25019</t>
  </si>
  <si>
    <t>Total</t>
  </si>
  <si>
    <t>Debt Instruments</t>
  </si>
  <si>
    <t>(a) Listed / awaiting listing on Stock Exchange</t>
  </si>
  <si>
    <t>GOI2183</t>
  </si>
  <si>
    <t>8.08% Tamilnadu SDL (MD 26/12/2028)</t>
  </si>
  <si>
    <t>IN3120180200</t>
  </si>
  <si>
    <t>Sovereign</t>
  </si>
  <si>
    <t>GOI2039</t>
  </si>
  <si>
    <t>8% Kerala SDL (MD 11/04/2028)</t>
  </si>
  <si>
    <t>IN2020180013</t>
  </si>
  <si>
    <t>GOI2490</t>
  </si>
  <si>
    <t>6.99% Telangana SDL (MD 10/06/2028)</t>
  </si>
  <si>
    <t>IN4520200093</t>
  </si>
  <si>
    <t>GOI4096</t>
  </si>
  <si>
    <t>8.16% Rajasthan SDL (MD 09/05/2028)</t>
  </si>
  <si>
    <t>IN2920180030</t>
  </si>
  <si>
    <t>GOI3221</t>
  </si>
  <si>
    <t>7.92% Uttar Pradesh SDL (MD 24/01/2028)</t>
  </si>
  <si>
    <t>IN3320170175</t>
  </si>
  <si>
    <t>GOI2172</t>
  </si>
  <si>
    <t>8.34% Punjab SDL (MD 30/05/2028)</t>
  </si>
  <si>
    <t>IN2820180049</t>
  </si>
  <si>
    <t>GOI3899</t>
  </si>
  <si>
    <t>7.88% Madhya Pradesh SDL (MD 24/01/2028)</t>
  </si>
  <si>
    <t>IN2120170070</t>
  </si>
  <si>
    <t>GOI4640</t>
  </si>
  <si>
    <t>7.63% Haryana SDL (MD 01/06/2028)</t>
  </si>
  <si>
    <t>IN1620220070</t>
  </si>
  <si>
    <t>GOI3375</t>
  </si>
  <si>
    <t>8.43% Punjab SDL (MD 05/12/2028)</t>
  </si>
  <si>
    <t>IN2820180114</t>
  </si>
  <si>
    <t>GOI2164</t>
  </si>
  <si>
    <t>8.42% Madhya Pradesh SDL (MD 08/08/2028)</t>
  </si>
  <si>
    <t>IN2120180053</t>
  </si>
  <si>
    <t>GOI2058</t>
  </si>
  <si>
    <t>8.33% Kerala SDL (MD 30/05/2028)</t>
  </si>
  <si>
    <t>IN2020180039</t>
  </si>
  <si>
    <t>GOI1993</t>
  </si>
  <si>
    <t>8.29% West Bengal SDL (MD 21/02/2028)</t>
  </si>
  <si>
    <t>IN3420170182</t>
  </si>
  <si>
    <t>GOI2089</t>
  </si>
  <si>
    <t>8.15% Tamil Nadu SDL (MD 09/05/2028)</t>
  </si>
  <si>
    <t>IN3120180036</t>
  </si>
  <si>
    <t>GOI2167</t>
  </si>
  <si>
    <t>8.08% Maharashtra SDL (MD 26/12/2028)</t>
  </si>
  <si>
    <t>IN2220180052</t>
  </si>
  <si>
    <t>GOI2041</t>
  </si>
  <si>
    <t>8.05% Tamilnadu SDL (MD 18/04/2028)</t>
  </si>
  <si>
    <t>IN3120180010</t>
  </si>
  <si>
    <t>GOI4485</t>
  </si>
  <si>
    <t>7.38% Government of India (20/06/2027)</t>
  </si>
  <si>
    <t>IN0020220037</t>
  </si>
  <si>
    <t>GOI3648</t>
  </si>
  <si>
    <t>6.98% Telangana SDL (MD 22/04/2028)</t>
  </si>
  <si>
    <t>IN4520200044</t>
  </si>
  <si>
    <t>GOI3519</t>
  </si>
  <si>
    <t>6.79% West Bangal SDL (MD 30/06/2028)</t>
  </si>
  <si>
    <t>IN3420210046</t>
  </si>
  <si>
    <t>GOI2147</t>
  </si>
  <si>
    <t>8.5% Gujarat SDL (MD 28/11/2028)</t>
  </si>
  <si>
    <t>IN1520180200</t>
  </si>
  <si>
    <t>GOI2206</t>
  </si>
  <si>
    <t>8.45% Uttar Pradesh SDL (MD 27/02/2029)</t>
  </si>
  <si>
    <t>IN3320180166</t>
  </si>
  <si>
    <t>GOI2228</t>
  </si>
  <si>
    <t>8.43% Goa SDL (MD 13/03/2029)</t>
  </si>
  <si>
    <t>IN1420180151</t>
  </si>
  <si>
    <t>GOI2076</t>
  </si>
  <si>
    <t>8.45% Uttar Pradesh SDL (MD 27/06/2028)</t>
  </si>
  <si>
    <t>IN3320180034</t>
  </si>
  <si>
    <t>GOI2066</t>
  </si>
  <si>
    <t>8.41% Kerala SDL (MD 06/06/2028)</t>
  </si>
  <si>
    <t>IN2020180047</t>
  </si>
  <si>
    <t>GOI2197</t>
  </si>
  <si>
    <t>8.37% Madhya Pradesh SDL (MD 05/12/2028)</t>
  </si>
  <si>
    <t>IN2120180095</t>
  </si>
  <si>
    <t>GOI2161</t>
  </si>
  <si>
    <t>8.18% Tamilnadu SDL (MD 19/12/2028)</t>
  </si>
  <si>
    <t>IN3120180192</t>
  </si>
  <si>
    <t>GOI4101</t>
  </si>
  <si>
    <t>8.2% Uttarakhand SDL (MD 09/05/2028)</t>
  </si>
  <si>
    <t>IN3620180023</t>
  </si>
  <si>
    <t>GOI2025</t>
  </si>
  <si>
    <t>8.15% Chhattisgarh SDL (MD 27/03/2028)</t>
  </si>
  <si>
    <t>IN3520170090</t>
  </si>
  <si>
    <t>GOI2035</t>
  </si>
  <si>
    <t>7.99% Punjab SDL (MD 11/04/2028)</t>
  </si>
  <si>
    <t>IN2820180015</t>
  </si>
  <si>
    <t>GOI1958</t>
  </si>
  <si>
    <t>7.65% Tamil Nadu SDL (MD 06/12/2027)</t>
  </si>
  <si>
    <t>IN3120170094</t>
  </si>
  <si>
    <t>GOI4551</t>
  </si>
  <si>
    <t>7.69% Uttar Pradesh SDL (MD 27/07/2026)</t>
  </si>
  <si>
    <t>IN3320160192</t>
  </si>
  <si>
    <t>GOI3946</t>
  </si>
  <si>
    <t>7.64% Rajasthan SDL (MD 01/11/2027)</t>
  </si>
  <si>
    <t>IN2920170098</t>
  </si>
  <si>
    <t>GOI4103</t>
  </si>
  <si>
    <t>7.5% Telangana SDL (MD 15/04/2028)</t>
  </si>
  <si>
    <t>IN4520200010</t>
  </si>
  <si>
    <t>GOI2339</t>
  </si>
  <si>
    <t>7.15% Karnataka SDL (MD 09/10/2028)</t>
  </si>
  <si>
    <t>IN1920190056</t>
  </si>
  <si>
    <t>GOI3532</t>
  </si>
  <si>
    <t>6.82% Bihar SDL (MD 14/07/2028)</t>
  </si>
  <si>
    <t>IN1320210041</t>
  </si>
  <si>
    <t>GOI2627</t>
  </si>
  <si>
    <t>6.44% Maharashtra SDL (MD 12/08/2028)</t>
  </si>
  <si>
    <t>IN2220200124</t>
  </si>
  <si>
    <t>GOI2119</t>
  </si>
  <si>
    <t>8.84 % Rajasthan SDL 12/09/2028</t>
  </si>
  <si>
    <t>IN2920180196</t>
  </si>
  <si>
    <t>GOI2128</t>
  </si>
  <si>
    <t>8.73% Uttar Pradesh SDL (MD 10/10/2028)</t>
  </si>
  <si>
    <t>IN3320180042</t>
  </si>
  <si>
    <t>GOI2124</t>
  </si>
  <si>
    <t>8.65% Rajasthan SDL (MD 03/10/2028)</t>
  </si>
  <si>
    <t>IN2920180212</t>
  </si>
  <si>
    <t>GOI3409</t>
  </si>
  <si>
    <t>8.61% Punjab SDL (MD 14/11/2028)</t>
  </si>
  <si>
    <t>IN2820180106</t>
  </si>
  <si>
    <t>GOI2115</t>
  </si>
  <si>
    <t>8.63% Rajasthan SDL (MD 03/09/2028)</t>
  </si>
  <si>
    <t>IN2920180188</t>
  </si>
  <si>
    <t>GOI2143</t>
  </si>
  <si>
    <t>8.53% Gujarat SDL (MD 20/11/2028)</t>
  </si>
  <si>
    <t>IN1520180192</t>
  </si>
  <si>
    <t>GOI2087</t>
  </si>
  <si>
    <t>8.56% Maharashtra SDL (MD 11/07/2028)</t>
  </si>
  <si>
    <t>IN2220180037</t>
  </si>
  <si>
    <t>GOI2112</t>
  </si>
  <si>
    <t>8.61% Tamilnadu SDL (MD 03/09/2027)</t>
  </si>
  <si>
    <t>IN3120180119</t>
  </si>
  <si>
    <t>GOI4102</t>
  </si>
  <si>
    <t>8.49% Uttarakhand SDL (MD 21/08/2028)</t>
  </si>
  <si>
    <t>IN3620180106</t>
  </si>
  <si>
    <t>GOI4643</t>
  </si>
  <si>
    <t>8.44% West Bengal SDL (MD 27/06/2028)</t>
  </si>
  <si>
    <t>IN3420180017</t>
  </si>
  <si>
    <t>GOI2221</t>
  </si>
  <si>
    <t>8.43% Uttar Pradesh SDL (MD 06/03/2029)</t>
  </si>
  <si>
    <t>IN3320180174</t>
  </si>
  <si>
    <t>GOI4642</t>
  </si>
  <si>
    <t>8.4% Andhra Pradesh SDL (MD 20/06/2028)</t>
  </si>
  <si>
    <t>IN1020180130</t>
  </si>
  <si>
    <t>GOI2055</t>
  </si>
  <si>
    <t>8.39% Andhra Pradesh SDL (MD 23/05/2028)</t>
  </si>
  <si>
    <t>IN1020180080</t>
  </si>
  <si>
    <t>GOI2217</t>
  </si>
  <si>
    <t>8.39% Uttar Pradesh SDL (MD 13/03/2029)</t>
  </si>
  <si>
    <t>IN3320180182</t>
  </si>
  <si>
    <t>GOI4641</t>
  </si>
  <si>
    <t>8.4% Rajasthan SDL (MD 20/06/2028)</t>
  </si>
  <si>
    <t>IN2920180097</t>
  </si>
  <si>
    <t>GOI1706</t>
  </si>
  <si>
    <t>8.72% Andhra Pradesh SDL (MD 24/02/2026)</t>
  </si>
  <si>
    <t>IN1020150133</t>
  </si>
  <si>
    <t>GOI1999</t>
  </si>
  <si>
    <t>8.34% Tamil Nadu SDL (MD 28/02/2028)</t>
  </si>
  <si>
    <t>IN3120170136</t>
  </si>
  <si>
    <t>GOI2248</t>
  </si>
  <si>
    <t>8.34% Andhra Pradesh SDL (MD 30/05/2027)</t>
  </si>
  <si>
    <t>IN1020180098</t>
  </si>
  <si>
    <t>GOI2205</t>
  </si>
  <si>
    <t>8.28% Gujarat SDL (MD 20/02/2029)</t>
  </si>
  <si>
    <t>IN1520180291</t>
  </si>
  <si>
    <t>GOI3363</t>
  </si>
  <si>
    <t>8.34% Uttar Pradesh SDL (MD 28/02/2028)</t>
  </si>
  <si>
    <t>IN3320170191</t>
  </si>
  <si>
    <t>GOI3190</t>
  </si>
  <si>
    <t>8.31% Jharkhand SDL (MD 13/02/2029)</t>
  </si>
  <si>
    <t>IN3720180063</t>
  </si>
  <si>
    <t>GOI1992</t>
  </si>
  <si>
    <t>8.28% Tamil Nadu SDL (MD 21/02/2028)</t>
  </si>
  <si>
    <t>IN3120170128</t>
  </si>
  <si>
    <t>GOI4094</t>
  </si>
  <si>
    <t>8.29% Haryana SDL (MD 14/03/2028)</t>
  </si>
  <si>
    <t>IN1620170150</t>
  </si>
  <si>
    <t>GOI4097</t>
  </si>
  <si>
    <t>8.25% Tamilnadu SDL (MD 02/01/2029)</t>
  </si>
  <si>
    <t>IN3120180218</t>
  </si>
  <si>
    <t>GOI2163</t>
  </si>
  <si>
    <t>8.17% Gujarat SDL (MD 19/12/2028)</t>
  </si>
  <si>
    <t>IN1520180226</t>
  </si>
  <si>
    <t>GOI3259</t>
  </si>
  <si>
    <t>8.21% West Bengal SDL (MD 23/01/2029)</t>
  </si>
  <si>
    <t>IN3420180124</t>
  </si>
  <si>
    <t>GOI3932</t>
  </si>
  <si>
    <t>8.19% Odisha SDL (MD 09/05/2028)</t>
  </si>
  <si>
    <t>IN2720180032</t>
  </si>
  <si>
    <t>GOI3344</t>
  </si>
  <si>
    <t>8.2% Jammu and Kashmir SDL (MD 30/01/2029)</t>
  </si>
  <si>
    <t>IN1820180108</t>
  </si>
  <si>
    <t>GOI1642</t>
  </si>
  <si>
    <t>8.38% Haryana SDL (MD 27/01/2026)</t>
  </si>
  <si>
    <t>IN1620150129</t>
  </si>
  <si>
    <t>GOI2168</t>
  </si>
  <si>
    <t>8.08% Gujarat SDL (MD 26/12/2028)</t>
  </si>
  <si>
    <t>IN1520180234</t>
  </si>
  <si>
    <t>GOI2032</t>
  </si>
  <si>
    <t>8.13% Rajasthan SDL (MD 27/03/2028)</t>
  </si>
  <si>
    <t>IN2920170205</t>
  </si>
  <si>
    <t>GOI3329</t>
  </si>
  <si>
    <t>8.09% West Bengal SDL (MD 27/03/2028)</t>
  </si>
  <si>
    <t>IN3420170216</t>
  </si>
  <si>
    <t>GOI2027</t>
  </si>
  <si>
    <t>8.11% Chattisgarh SDL (MD 31/01/2028)</t>
  </si>
  <si>
    <t>IN3520170041</t>
  </si>
  <si>
    <t>GOI1594</t>
  </si>
  <si>
    <t>8.09% AndhraPradesh SDL(MD 15/06/2026)</t>
  </si>
  <si>
    <t>IN1020160025</t>
  </si>
  <si>
    <t>GOI1567</t>
  </si>
  <si>
    <t>8.09% West Bengal SDL (MD 15/06/2026)</t>
  </si>
  <si>
    <t>IN3420160019</t>
  </si>
  <si>
    <t>GOI1404</t>
  </si>
  <si>
    <t>8.15% Maharashtra SDL (MD 26/11/2025)</t>
  </si>
  <si>
    <t>IN2220150139</t>
  </si>
  <si>
    <t>GOI1565</t>
  </si>
  <si>
    <t>8.07% Rajasthan SDL (MD 15/06/2026)</t>
  </si>
  <si>
    <t>IN2920160032</t>
  </si>
  <si>
    <t>GOI2259</t>
  </si>
  <si>
    <t>7.98% Uttar Pradesh SDL (MD 11/04/2028)</t>
  </si>
  <si>
    <t>IN3320180018</t>
  </si>
  <si>
    <t>GOI4092</t>
  </si>
  <si>
    <t>7.97% Assam SDL (MD 18/04/2028)</t>
  </si>
  <si>
    <t>IN1220180021</t>
  </si>
  <si>
    <t>GOI4553</t>
  </si>
  <si>
    <t>8.02% Telangana SDL (MD 25/05/2026)</t>
  </si>
  <si>
    <t>IN4520160040</t>
  </si>
  <si>
    <t>GOI4552</t>
  </si>
  <si>
    <t>8.02% Telangana SDL (MD 11/05/2026)</t>
  </si>
  <si>
    <t>IN4520160032</t>
  </si>
  <si>
    <t>GOI1628</t>
  </si>
  <si>
    <t>7.99% Uttar Pradesh SDL (MD 29/06/2026)</t>
  </si>
  <si>
    <t>IN3320160176</t>
  </si>
  <si>
    <t>GOI3220</t>
  </si>
  <si>
    <t>7.86% Haryana SDL (MD 27/12/2027)</t>
  </si>
  <si>
    <t>IN1620170101</t>
  </si>
  <si>
    <t>GOI4550</t>
  </si>
  <si>
    <t>7.96% Gujarat SDL (MD 27/04/2026)</t>
  </si>
  <si>
    <t>IN1520160020</t>
  </si>
  <si>
    <t>GOI1954</t>
  </si>
  <si>
    <t>7.75% Gujarat SDL (MD 13/12/2027)</t>
  </si>
  <si>
    <t>IN1520170136</t>
  </si>
  <si>
    <t>GOI3768</t>
  </si>
  <si>
    <t>7.77% Andhra Pradesh SDL (MD 10/01/2028)</t>
  </si>
  <si>
    <t>IN1020170131</t>
  </si>
  <si>
    <t>GOI3593</t>
  </si>
  <si>
    <t>7.65% Karnataka SDL (MD 06/12/2027)</t>
  </si>
  <si>
    <t>IN1920170108</t>
  </si>
  <si>
    <t>GOI1942</t>
  </si>
  <si>
    <t>7.64% Karnataka SDL (MD 08/11/2027)</t>
  </si>
  <si>
    <t>IN1920170066</t>
  </si>
  <si>
    <t>GOI1933</t>
  </si>
  <si>
    <t>7.55% Karnataka SDL (MD 25/10/2027)</t>
  </si>
  <si>
    <t>IN1920170041</t>
  </si>
  <si>
    <t>GOI1872</t>
  </si>
  <si>
    <t>7.52% Tamilnadu SDL (MD 24/05/2027)</t>
  </si>
  <si>
    <t>IN3120170037</t>
  </si>
  <si>
    <t>GOI4098</t>
  </si>
  <si>
    <t>7.53% West Bengal SDL (MD 22/11/2027)</t>
  </si>
  <si>
    <t>IN3420170117</t>
  </si>
  <si>
    <t>GOI4280</t>
  </si>
  <si>
    <t>7.23% Rajasthan SDL (MD 14/06/2027)</t>
  </si>
  <si>
    <t>IN2920170023</t>
  </si>
  <si>
    <t>GOI1904</t>
  </si>
  <si>
    <t>7.2% Maharashtra SDL (MD 09/08/2027)</t>
  </si>
  <si>
    <t>IN2220170061</t>
  </si>
  <si>
    <t>IGIF29</t>
  </si>
  <si>
    <t>7.7% India Grid Trust InvIT Fund (06/05/2028) **</t>
  </si>
  <si>
    <t>INE219X07215</t>
  </si>
  <si>
    <t>CRISIL AAA</t>
  </si>
  <si>
    <t>GOI4099</t>
  </si>
  <si>
    <t>7.32% West Bengal SDL (MD 26/06/2029)</t>
  </si>
  <si>
    <t>IN3420190016</t>
  </si>
  <si>
    <t>GOI2438</t>
  </si>
  <si>
    <t>7.24% Haryana SDL (MD 18/03/2029)</t>
  </si>
  <si>
    <t>IN1620190190</t>
  </si>
  <si>
    <t>GOI4095</t>
  </si>
  <si>
    <t>7.13% Kerala SDL (MD 10/07/2029)</t>
  </si>
  <si>
    <t>IN2020190103</t>
  </si>
  <si>
    <t>GOI2458</t>
  </si>
  <si>
    <t>7.11% Tamilnadu SDL (MD 31/07/2029)</t>
  </si>
  <si>
    <t>IN3120190068</t>
  </si>
  <si>
    <t>GOI4093</t>
  </si>
  <si>
    <t>7.09% Goa SDL (MD 28/08/2029)</t>
  </si>
  <si>
    <t>IN1420190085</t>
  </si>
  <si>
    <t>GOI4100</t>
  </si>
  <si>
    <t>6.83% West Bengal SDL (MD 07/07/2028)</t>
  </si>
  <si>
    <t>IN3420210053</t>
  </si>
  <si>
    <t>GOI3649</t>
  </si>
  <si>
    <t>6.53% Chattisgarh SDL (MD 15/09/2028)</t>
  </si>
  <si>
    <t>IN3520210037</t>
  </si>
  <si>
    <t>(b) Privately placed / Unlisted</t>
  </si>
  <si>
    <t>Others</t>
  </si>
  <si>
    <t>Margin Fixed Deposit</t>
  </si>
  <si>
    <t xml:space="preserve">Duration (in Days) </t>
  </si>
  <si>
    <t>FDHD2007</t>
  </si>
  <si>
    <t>5.10% HDFC Bank Limited (29/05/2023)</t>
  </si>
  <si>
    <t>367</t>
  </si>
  <si>
    <t>FDHD2008</t>
  </si>
  <si>
    <t>5.10% HDFC Bank Limited (30/05/2023)</t>
  </si>
  <si>
    <t>365</t>
  </si>
  <si>
    <t>FDHD2009</t>
  </si>
  <si>
    <t>5.10% HDFC Bank Limited (01/06/2023)</t>
  </si>
  <si>
    <t>FDUT963</t>
  </si>
  <si>
    <t>5.25% Axis Bank Limited (30/05/2023)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</si>
  <si>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</si>
  <si>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</si>
  <si>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</si>
  <si>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</si>
  <si>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</si>
  <si>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</si>
  <si>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</si>
  <si>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November 30, 2022</t>
  </si>
  <si>
    <t>^ Pursuant to AMFI circular no. 135/BP/91/2020-21, Yield to Call (YTC) for AT-1 bonds and Tier-2 bonds as on November 30, 2022.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</si>
  <si>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</si>
  <si>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</si>
  <si>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</si>
  <si>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</si>
  <si>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</si>
  <si>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</si>
  <si>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</si>
  <si>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</si>
  <si>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Total  value  provided for securities classified as below investment grade or default and its percentage to NAV - NIL</t>
  </si>
  <si>
    <t>2.   Plan wise per unit Net Asset Value are as follows:</t>
  </si>
  <si>
    <t>Options</t>
  </si>
  <si>
    <t>October 31, 2022 (Rs.)</t>
  </si>
  <si>
    <t>November 30, 2022 (Rs.)</t>
  </si>
  <si>
    <t>Direct Plan</t>
  </si>
  <si>
    <t>Parag Parikh Conservative Hybrid Fund - Direct Plan - Growth</t>
  </si>
  <si>
    <t>Parag Parikh Conservative Hybrid Fund - Direct Plan - Monthly IDCW</t>
  </si>
  <si>
    <t>Regular Plan</t>
  </si>
  <si>
    <t>Parag Parikh Conservative Hybrid Fund - Regular Plan - Growth</t>
  </si>
  <si>
    <t>Parag Parikh Conservative Hybrid Fund - Regular Plan - Monthly IDCW</t>
  </si>
  <si>
    <t>3.   Total Dividend (Net) declared during the period ended November 30, 2022 :</t>
  </si>
  <si>
    <t>Record Date</t>
  </si>
  <si>
    <t>Monthly IDCW* (Direct)</t>
  </si>
  <si>
    <t>Dividend Per Unit
(Huf &amp; Individuals)</t>
  </si>
  <si>
    <t>Dividend Per Unit 
(Others)</t>
  </si>
  <si>
    <t>28/11/2022</t>
  </si>
  <si>
    <t>Direct Plan- Monthly IDCW*</t>
  </si>
  <si>
    <t>Regular Plan- Monthly IDCW*</t>
  </si>
  <si>
    <t>4.   Total Bonus declared during the period ended November 30, 2022 - Nil</t>
  </si>
  <si>
    <t>5.    Total outstanding exposure in derivative instruments as on November 30, 2022 - Nil</t>
  </si>
  <si>
    <t xml:space="preserve">       (Gross exposure means sum of all long and short positions in derivatives)</t>
  </si>
  <si>
    <t>6.    Total investment in Foreign Securities / ADRs / GDRs as on November 30, 2022 - Nil</t>
  </si>
  <si>
    <t>7.    Details of transactions of "Credit Default Swap" for the month ended November 30, 2022 - Nil</t>
  </si>
  <si>
    <t>8.   Average Portfolio Maturity is 1494 days.</t>
  </si>
  <si>
    <t>9.  Repo transactions in corporate debt securities during the period ending November 30, 2022 - Nil</t>
  </si>
  <si>
    <t>10.  Portfolio Classification by Asset Class(%) :</t>
  </si>
  <si>
    <t xml:space="preserve">        T Bills</t>
  </si>
  <si>
    <t xml:space="preserve">        Goverment Securities</t>
  </si>
  <si>
    <t xml:space="preserve">        Commercial Papers (CP) / Certificate Of Deposit (CD)</t>
  </si>
  <si>
    <t xml:space="preserve">        Equity &amp; Equity related</t>
  </si>
  <si>
    <t xml:space="preserve">        Debt Securities</t>
  </si>
  <si>
    <t xml:space="preserve">        Cash,Cash Equivalents and Net Current Assets including TREPS</t>
  </si>
  <si>
    <t>11.  Portfolio Classification by Rating Class(%) :</t>
  </si>
  <si>
    <t xml:space="preserve">        Sovereign</t>
  </si>
  <si>
    <t xml:space="preserve">        CRISIL AAA</t>
  </si>
  <si>
    <t xml:space="preserve">        Others</t>
  </si>
  <si>
    <t>12.  Deviation from the valuation prices given by valuation agencies: NIL</t>
  </si>
  <si>
    <t>13.  Disclosure for investments in derivative instruments</t>
  </si>
  <si>
    <t>A. Hedging Positions through Futures as on 30-November-2022 : Nil</t>
  </si>
  <si>
    <t>B. Other than Hedging Positions through Futures as on 30-November-2022 : Nil</t>
  </si>
  <si>
    <t>C. Hedging Position through Put Option as on 30-November-2022 : Nil</t>
  </si>
  <si>
    <t>D. Other than Hedging Positions through Options as on 30-November-2022 : Nil</t>
  </si>
  <si>
    <t>Underlying</t>
  </si>
  <si>
    <t>Call/Put</t>
  </si>
  <si>
    <t>Number of Contracts</t>
  </si>
  <si>
    <t>Option Price when purchased (Rs. Per unit)</t>
  </si>
  <si>
    <t>Current Option Price ( Rs. Per unit)</t>
  </si>
  <si>
    <t xml:space="preserve">Total exposure through options as a % of net assets : </t>
  </si>
  <si>
    <t>For the period 01-November-2022 to 30-November-2022, the following details specified for non-hedging transactions through options which have already been exercised/expired :</t>
  </si>
  <si>
    <t>Total Number of contracts entered into</t>
  </si>
  <si>
    <t>Gross Notional Value of contracts entered into Rs.</t>
  </si>
  <si>
    <t>Net Profit/Loss value on all contracts (treat premium paid as loss) Rs.</t>
  </si>
  <si>
    <t>E. Hedging Positions through swaps as on 30-November-2022: Nil</t>
  </si>
  <si>
    <t xml:space="preserve">Lumpsum Investment Performance </t>
  </si>
  <si>
    <t>Date</t>
  </si>
  <si>
    <t>Scheme</t>
  </si>
  <si>
    <t>Benchmark</t>
  </si>
  <si>
    <t>Index</t>
  </si>
  <si>
    <t>Value of Investment of Rs. 10,000/-</t>
  </si>
  <si>
    <t>CRISIL Hybrid 85+15 Conservative Index</t>
  </si>
  <si>
    <t>Crisil 10 year Gilt Index</t>
  </si>
  <si>
    <t>Since Inception (26 May, 2021)</t>
  </si>
  <si>
    <t>November 30, 2021 to November 30, 2022 (Last 1 year)</t>
  </si>
  <si>
    <t>SIP Investment Performance - Parag Parikh Conservative Hybrid Fund - Regular Plan - Growth</t>
  </si>
  <si>
    <t>November 29, 2019 to November 30, 2022 (Last 3 year)</t>
  </si>
  <si>
    <t>November 30, 2017 to November 30, 2022 (Last 5 year)</t>
  </si>
  <si>
    <t>Total Amount Invested</t>
  </si>
  <si>
    <t>NA</t>
  </si>
  <si>
    <t>Market value of Investment</t>
  </si>
  <si>
    <t>Returns (Annualised) (%)</t>
  </si>
  <si>
    <t>CRISIL Hybrid 85+15 - Conservative Index Returns (Annualised) (%)</t>
  </si>
  <si>
    <t>Crisil 10 year Gilt Index Returns (Annualised) (%)</t>
  </si>
  <si>
    <t>SIP Investment Performance - Parag Parikh Conservative Hybrid Fund - Direct Plan - Growth</t>
  </si>
  <si>
    <t>Net Asset Value (NAV) as on November 30, 2022</t>
  </si>
  <si>
    <t>Regular Plan : 11.1924</t>
  </si>
  <si>
    <t>Direct Plan : 11.2436</t>
  </si>
  <si>
    <t>Debt Quants as on  as on November 30, 2022</t>
  </si>
  <si>
    <t>Avg maturity of the fund (days)</t>
  </si>
  <si>
    <t>Modified duration (years)</t>
  </si>
  <si>
    <t>Macaulay Duration (years)</t>
  </si>
  <si>
    <t>YTM</t>
  </si>
  <si>
    <t>Riskometer</t>
  </si>
  <si>
    <t>Product Labelling of the Scheme</t>
  </si>
  <si>
    <t>This product is suitable for investors who are seeking*</t>
  </si>
  <si>
    <t>•	To generate regular income through investments predominantly in debt and money market instruments</t>
  </si>
  <si>
    <t>•	Long term capital appreciation from the portion of equity investments under the scheme</t>
  </si>
  <si>
    <t>*Investors should consult their financial advisers if in doubt about whether this product is suitable for them.</t>
  </si>
  <si>
    <t>Benchmark's Riskometer</t>
  </si>
  <si>
    <t xml:space="preserve">     CRISIL Hybrid 85+15 - Conservative Index TRI</t>
  </si>
  <si>
    <t>Particulars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</si>
</sst>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#,##0.00;\(#,##0.00\)"/>
    <numFmt numFmtId="165" formatCode="#,##0.00%;\(#,##0.00\)%"/>
    <numFmt numFmtId="166" formatCode="#,##0.00%"/>
    <numFmt numFmtId="167" formatCode="#,##0.0_);\(#,##0.0\)"/>
    <numFmt numFmtId="168" formatCode="_(* #,##0_);_(* \(#,##0\);_(* &quot;-&quot;??_);_(@_)"/>
    <numFmt numFmtId="169" formatCode="dd/mm/yyyy;@"/>
    <numFmt numFmtId="170" formatCode="0.0000"/>
    <numFmt numFmtId="171" formatCode="_(* #,##0.0000_);_(* \(#,##0.0000\);_(* &quot;-&quot;??_);_(@_)"/>
    <numFmt numFmtId="172" formatCode="[$-409]d/mmm/yy;@"/>
    <numFmt numFmtId="173" formatCode="0.00000000"/>
    <numFmt numFmtId="174" formatCode="#,##0.0000"/>
    <numFmt numFmtId="175" formatCode="_(* #,##0_);_(* \(#,##0\);_(* &quot;-&quot;_);_(* @_)"/>
    <numFmt numFmtId="176" formatCode="_(* #,##0.00_);_(* \(#,##0.00\);_(* &quot;-&quot;_);_(* 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b/>
      <sz val="9"/>
      <color indexed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8.25"/>
      <name val="Microsoft Sans Serif"/>
      <family val="2"/>
    </font>
    <font>
      <sz val="8.25"/>
      <color theme="1"/>
      <name val="Microsoft Sans Serif"/>
      <family val="2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sz val="10"/>
      <color theme="1"/>
      <name val="Franklin Gothic Book"/>
      <family val="2"/>
    </font>
    <font>
      <b/>
      <sz val="10"/>
      <color theme="1"/>
      <name val="Franklin Gothic Book"/>
      <family val="2"/>
    </font>
    <font>
      <b/>
      <sz val="9"/>
      <color theme="1"/>
      <name val="Franklin Gothic Book"/>
      <family val="2"/>
    </font>
    <font>
      <b/>
      <sz val="9"/>
      <color rgb="FF333333"/>
      <name val="Franklin Gothic Book"/>
      <family val="2"/>
    </font>
    <font>
      <sz val="9"/>
      <color rgb="FF000000"/>
      <name val="Franklin Gothic Book"/>
      <family val="2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197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3" fontId="4" fillId="0" borderId="12" xfId="0" applyNumberFormat="1" applyFont="1" applyBorder="1" applyAlignment="1">
      <alignment horizontal="right" vertical="top" wrapText="1"/>
    </xf>
    <xf numFmtId="4" fontId="4" fillId="0" borderId="8" xfId="0" applyNumberFormat="1" applyFont="1" applyBorder="1" applyAlignment="1">
      <alignment horizontal="right" vertical="top" wrapText="1"/>
    </xf>
    <xf numFmtId="10" fontId="4" fillId="0" borderId="9" xfId="2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Border="1" applyAlignment="1">
      <alignment horizontal="right" vertical="top" wrapText="1"/>
    </xf>
    <xf numFmtId="10" fontId="3" fillId="0" borderId="9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167" fontId="0" fillId="0" borderId="0" xfId="0" applyNumberFormat="1" applyAlignment="1" applyProtection="1">
      <alignment wrapText="1"/>
      <protection locked="0"/>
    </xf>
    <xf numFmtId="10" fontId="0" fillId="0" borderId="0" xfId="2" applyNumberFormat="1" applyFont="1" applyFill="1" applyBorder="1" applyAlignment="1" applyProtection="1">
      <alignment wrapText="1"/>
      <protection locked="0"/>
    </xf>
    <xf numFmtId="4" fontId="0" fillId="0" borderId="0" xfId="0" applyNumberFormat="1" applyAlignment="1" applyProtection="1">
      <alignment wrapText="1"/>
      <protection locked="0"/>
    </xf>
    <xf numFmtId="39" fontId="0" fillId="0" borderId="0" xfId="0" applyNumberFormat="1" applyAlignment="1" applyProtection="1">
      <alignment wrapText="1"/>
      <protection locked="0"/>
    </xf>
    <xf numFmtId="0" fontId="9" fillId="0" borderId="18" xfId="0" applyFont="1" applyBorder="1"/>
    <xf numFmtId="0" fontId="10" fillId="0" borderId="19" xfId="0" applyFont="1" applyBorder="1"/>
    <xf numFmtId="168" fontId="10" fillId="0" borderId="19" xfId="3" applyNumberFormat="1" applyFont="1" applyFill="1" applyBorder="1"/>
    <xf numFmtId="168" fontId="12" fillId="0" borderId="19" xfId="1" applyNumberFormat="1" applyFont="1" applyFill="1" applyBorder="1"/>
    <xf numFmtId="43" fontId="9" fillId="0" borderId="19" xfId="1" applyFont="1" applyFill="1" applyBorder="1" applyAlignment="1">
      <alignment horizontal="right"/>
    </xf>
    <xf numFmtId="169" fontId="12" fillId="0" borderId="20" xfId="0" applyNumberFormat="1" applyFont="1" applyBorder="1"/>
    <xf numFmtId="0" fontId="13" fillId="0" borderId="21" xfId="0" applyFont="1" applyBorder="1"/>
    <xf numFmtId="0" fontId="13" fillId="0" borderId="0" xfId="0" applyFont="1"/>
    <xf numFmtId="43" fontId="13" fillId="0" borderId="0" xfId="3" applyFont="1" applyFill="1" applyBorder="1" applyAlignment="1">
      <alignment horizontal="right"/>
    </xf>
    <xf numFmtId="43" fontId="12" fillId="0" borderId="0" xfId="1" applyFont="1" applyFill="1" applyBorder="1"/>
    <xf numFmtId="169" fontId="12" fillId="0" borderId="22" xfId="0" applyNumberFormat="1" applyFont="1" applyBorder="1"/>
    <xf numFmtId="0" fontId="12" fillId="0" borderId="2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left" vertical="top"/>
    </xf>
    <xf numFmtId="0" fontId="12" fillId="0" borderId="0" xfId="0" applyFont="1" applyAlignment="1">
      <alignment vertical="center"/>
    </xf>
    <xf numFmtId="0" fontId="13" fillId="0" borderId="21" xfId="0" applyFont="1" applyBorder="1" applyAlignment="1">
      <alignment vertical="top"/>
    </xf>
    <xf numFmtId="0" fontId="12" fillId="0" borderId="0" xfId="0" applyFont="1"/>
    <xf numFmtId="0" fontId="12" fillId="0" borderId="23" xfId="0" applyFont="1" applyBorder="1"/>
    <xf numFmtId="0" fontId="13" fillId="0" borderId="24" xfId="0" applyFont="1" applyBorder="1"/>
    <xf numFmtId="0" fontId="12" fillId="0" borderId="24" xfId="0" applyFont="1" applyBorder="1"/>
    <xf numFmtId="170" fontId="12" fillId="0" borderId="24" xfId="0" applyNumberFormat="1" applyFont="1" applyBorder="1"/>
    <xf numFmtId="171" fontId="12" fillId="0" borderId="0" xfId="1" applyNumberFormat="1" applyFont="1" applyFill="1" applyBorder="1"/>
    <xf numFmtId="0" fontId="12" fillId="0" borderId="21" xfId="0" applyFont="1" applyBorder="1"/>
    <xf numFmtId="0" fontId="13" fillId="0" borderId="0" xfId="0" applyFont="1" applyAlignment="1">
      <alignment vertical="top"/>
    </xf>
    <xf numFmtId="15" fontId="13" fillId="0" borderId="23" xfId="0" applyNumberFormat="1" applyFont="1" applyBorder="1" applyAlignment="1">
      <alignment horizontal="center" vertical="top"/>
    </xf>
    <xf numFmtId="0" fontId="13" fillId="0" borderId="24" xfId="0" applyFont="1" applyBorder="1" applyAlignment="1">
      <alignment horizontal="center" vertical="top" wrapText="1"/>
    </xf>
    <xf numFmtId="172" fontId="13" fillId="0" borderId="23" xfId="0" applyNumberFormat="1" applyFont="1" applyBorder="1" applyAlignment="1">
      <alignment horizontal="center" vertical="top"/>
    </xf>
    <xf numFmtId="0" fontId="13" fillId="0" borderId="24" xfId="0" applyFont="1" applyBorder="1" applyAlignment="1">
      <alignment vertical="top" wrapText="1"/>
    </xf>
    <xf numFmtId="173" fontId="12" fillId="0" borderId="24" xfId="0" applyNumberFormat="1" applyFont="1" applyBorder="1"/>
    <xf numFmtId="0" fontId="13" fillId="0" borderId="21" xfId="4" applyFont="1" applyBorder="1" applyAlignment="1">
      <alignment vertical="top"/>
    </xf>
    <xf numFmtId="0" fontId="13" fillId="0" borderId="21" xfId="0" applyFont="1" applyBorder="1" applyAlignment="1">
      <alignment horizontal="left" vertical="top" indent="3"/>
    </xf>
    <xf numFmtId="0" fontId="14" fillId="0" borderId="0" xfId="0" applyFont="1" applyAlignment="1">
      <alignment vertical="top"/>
    </xf>
    <xf numFmtId="0" fontId="13" fillId="0" borderId="25" xfId="0" applyFont="1" applyBorder="1" applyAlignment="1">
      <alignment vertical="top"/>
    </xf>
    <xf numFmtId="0" fontId="13" fillId="0" borderId="26" xfId="0" applyFont="1" applyBorder="1" applyAlignment="1">
      <alignment vertical="top"/>
    </xf>
    <xf numFmtId="43" fontId="12" fillId="0" borderId="24" xfId="2" applyNumberFormat="1" applyFont="1" applyFill="1" applyBorder="1"/>
    <xf numFmtId="0" fontId="13" fillId="0" borderId="27" xfId="0" applyFont="1" applyBorder="1" applyAlignment="1">
      <alignment vertical="top"/>
    </xf>
    <xf numFmtId="0" fontId="13" fillId="0" borderId="28" xfId="0" applyFont="1" applyBorder="1" applyAlignment="1">
      <alignment vertical="top"/>
    </xf>
    <xf numFmtId="4" fontId="12" fillId="0" borderId="24" xfId="2" applyNumberFormat="1" applyFont="1" applyFill="1" applyBorder="1"/>
    <xf numFmtId="43" fontId="12" fillId="0" borderId="0" xfId="2" applyNumberFormat="1" applyFont="1" applyFill="1" applyBorder="1"/>
    <xf numFmtId="0" fontId="13" fillId="0" borderId="29" xfId="4" applyFont="1" applyBorder="1"/>
    <xf numFmtId="0" fontId="13" fillId="0" borderId="30" xfId="4" applyFont="1" applyBorder="1"/>
    <xf numFmtId="0" fontId="13" fillId="0" borderId="0" xfId="4" applyFont="1"/>
    <xf numFmtId="169" fontId="12" fillId="0" borderId="0" xfId="0" applyNumberFormat="1" applyFont="1"/>
    <xf numFmtId="10" fontId="12" fillId="0" borderId="0" xfId="2" applyNumberFormat="1" applyFont="1" applyFill="1" applyBorder="1"/>
    <xf numFmtId="0" fontId="13" fillId="0" borderId="31" xfId="4" applyFont="1" applyBorder="1"/>
    <xf numFmtId="0" fontId="13" fillId="0" borderId="32" xfId="4" applyFont="1" applyBorder="1"/>
    <xf numFmtId="4" fontId="13" fillId="0" borderId="32" xfId="4" applyNumberFormat="1" applyFont="1" applyBorder="1"/>
    <xf numFmtId="0" fontId="10" fillId="0" borderId="32" xfId="4" applyFont="1" applyBorder="1"/>
    <xf numFmtId="169" fontId="12" fillId="0" borderId="33" xfId="0" applyNumberFormat="1" applyFont="1" applyBorder="1"/>
    <xf numFmtId="0" fontId="13" fillId="0" borderId="18" xfId="0" applyFont="1" applyBorder="1" applyAlignment="1">
      <alignment vertical="top"/>
    </xf>
    <xf numFmtId="0" fontId="13" fillId="0" borderId="19" xfId="4" applyFont="1" applyBorder="1"/>
    <xf numFmtId="10" fontId="12" fillId="0" borderId="19" xfId="2" applyNumberFormat="1" applyFont="1" applyFill="1" applyBorder="1"/>
    <xf numFmtId="43" fontId="12" fillId="0" borderId="19" xfId="1" applyFont="1" applyFill="1" applyBorder="1"/>
    <xf numFmtId="0" fontId="10" fillId="0" borderId="21" xfId="4" applyFont="1" applyBorder="1" applyAlignment="1">
      <alignment vertical="top"/>
    </xf>
    <xf numFmtId="0" fontId="13" fillId="0" borderId="0" xfId="4" applyFont="1" applyAlignment="1">
      <alignment vertical="top"/>
    </xf>
    <xf numFmtId="174" fontId="10" fillId="0" borderId="0" xfId="4" applyNumberFormat="1" applyFont="1"/>
    <xf numFmtId="175" fontId="13" fillId="0" borderId="0" xfId="3" applyNumberFormat="1" applyFont="1" applyFill="1" applyBorder="1"/>
    <xf numFmtId="168" fontId="13" fillId="0" borderId="0" xfId="3" applyNumberFormat="1" applyFont="1" applyFill="1" applyBorder="1"/>
    <xf numFmtId="0" fontId="10" fillId="0" borderId="21" xfId="0" applyFont="1" applyBorder="1"/>
    <xf numFmtId="0" fontId="10" fillId="0" borderId="0" xfId="0" applyFont="1"/>
    <xf numFmtId="0" fontId="9" fillId="0" borderId="0" xfId="0" applyFont="1"/>
    <xf numFmtId="4" fontId="13" fillId="0" borderId="0" xfId="0" applyNumberFormat="1" applyFont="1"/>
    <xf numFmtId="0" fontId="15" fillId="0" borderId="0" xfId="0" applyFont="1"/>
    <xf numFmtId="176" fontId="13" fillId="0" borderId="0" xfId="0" applyNumberFormat="1" applyFont="1"/>
    <xf numFmtId="0" fontId="13" fillId="0" borderId="21" xfId="3" applyNumberFormat="1" applyFont="1" applyFill="1" applyBorder="1" applyAlignment="1">
      <alignment horizontal="left"/>
    </xf>
    <xf numFmtId="0" fontId="13" fillId="0" borderId="0" xfId="3" applyNumberFormat="1" applyFont="1" applyFill="1" applyBorder="1" applyAlignment="1">
      <alignment horizontal="left"/>
    </xf>
    <xf numFmtId="0" fontId="15" fillId="0" borderId="21" xfId="0" applyFont="1" applyBorder="1"/>
    <xf numFmtId="0" fontId="10" fillId="0" borderId="24" xfId="0" applyFont="1" applyBorder="1" applyAlignment="1">
      <alignment vertical="top" wrapText="1"/>
    </xf>
    <xf numFmtId="0" fontId="10" fillId="0" borderId="24" xfId="0" applyFont="1" applyBorder="1" applyAlignment="1">
      <alignment horizontal="center" vertical="top" wrapText="1"/>
    </xf>
    <xf numFmtId="4" fontId="13" fillId="0" borderId="24" xfId="0" applyNumberFormat="1" applyFont="1" applyBorder="1" applyAlignment="1">
      <alignment vertical="top" wrapText="1"/>
    </xf>
    <xf numFmtId="0" fontId="9" fillId="0" borderId="21" xfId="0" applyFont="1" applyBorder="1"/>
    <xf numFmtId="0" fontId="13" fillId="0" borderId="23" xfId="0" applyFont="1" applyBorder="1"/>
    <xf numFmtId="168" fontId="13" fillId="0" borderId="24" xfId="1" applyNumberFormat="1" applyFont="1" applyFill="1" applyBorder="1"/>
    <xf numFmtId="3" fontId="13" fillId="0" borderId="24" xfId="1" applyNumberFormat="1" applyFont="1" applyFill="1" applyBorder="1"/>
    <xf numFmtId="43" fontId="13" fillId="0" borderId="0" xfId="0" applyNumberFormat="1" applyFont="1"/>
    <xf numFmtId="168" fontId="13" fillId="0" borderId="0" xfId="0" applyNumberFormat="1" applyFont="1"/>
    <xf numFmtId="0" fontId="15" fillId="0" borderId="31" xfId="0" applyFont="1" applyBorder="1"/>
    <xf numFmtId="0" fontId="12" fillId="0" borderId="32" xfId="0" applyFont="1" applyBorder="1"/>
    <xf numFmtId="0" fontId="16" fillId="0" borderId="0" xfId="0" applyFont="1"/>
    <xf numFmtId="0" fontId="21" fillId="0" borderId="0" xfId="0" applyFont="1"/>
    <xf numFmtId="10" fontId="16" fillId="0" borderId="0" xfId="5" applyNumberFormat="1" applyFont="1"/>
    <xf numFmtId="0" fontId="24" fillId="0" borderId="18" xfId="6" applyFont="1" applyBorder="1"/>
    <xf numFmtId="0" fontId="24" fillId="0" borderId="19" xfId="6" applyFont="1" applyBorder="1"/>
    <xf numFmtId="0" fontId="25" fillId="0" borderId="19" xfId="6" applyFont="1" applyBorder="1"/>
    <xf numFmtId="0" fontId="26" fillId="0" borderId="21" xfId="6" applyFont="1" applyBorder="1"/>
    <xf numFmtId="0" fontId="1" fillId="0" borderId="0" xfId="6"/>
    <xf numFmtId="168" fontId="24" fillId="0" borderId="0" xfId="7" applyNumberFormat="1" applyFont="1" applyBorder="1"/>
    <xf numFmtId="43" fontId="24" fillId="0" borderId="22" xfId="7" applyFont="1" applyBorder="1"/>
    <xf numFmtId="0" fontId="27" fillId="0" borderId="21" xfId="6" applyFont="1" applyBorder="1"/>
    <xf numFmtId="0" fontId="28" fillId="0" borderId="21" xfId="6" applyFont="1" applyBorder="1" applyAlignment="1">
      <alignment horizontal="left" vertical="center" indent="1"/>
    </xf>
    <xf numFmtId="0" fontId="24" fillId="0" borderId="21" xfId="6" applyFont="1" applyBorder="1"/>
    <xf numFmtId="0" fontId="24" fillId="0" borderId="31" xfId="6" applyFont="1" applyBorder="1"/>
    <xf numFmtId="0" fontId="24" fillId="0" borderId="32" xfId="6" applyFont="1" applyBorder="1"/>
    <xf numFmtId="168" fontId="24" fillId="0" borderId="32" xfId="7" applyNumberFormat="1" applyFont="1" applyBorder="1"/>
    <xf numFmtId="43" fontId="24" fillId="0" borderId="33" xfId="7" applyFont="1" applyBorder="1"/>
    <xf numFmtId="0" fontId="25" fillId="0" borderId="35" xfId="8" applyFont="1" applyBorder="1"/>
    <xf numFmtId="0" fontId="2" fillId="0" borderId="36" xfId="8" applyFont="1" applyBorder="1"/>
    <xf numFmtId="0" fontId="24" fillId="0" borderId="36" xfId="8" applyFont="1" applyBorder="1"/>
    <xf numFmtId="0" fontId="24" fillId="0" borderId="37" xfId="8" applyFont="1" applyBorder="1"/>
    <xf numFmtId="0" fontId="16" fillId="0" borderId="0" xfId="0" applyFont="1" applyAlignment="1">
      <alignment wrapText="1"/>
    </xf>
    <xf numFmtId="0" fontId="3" fillId="0" borderId="0" xfId="0" applyFont="1" applyAlignment="1">
      <alignment horizontal="left" vertical="top" wrapText="1"/>
    </xf>
    <xf numFmtId="0" fontId="12" fillId="0" borderId="2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25" fillId="0" borderId="19" xfId="6" applyFont="1" applyBorder="1" applyAlignment="1">
      <alignment horizontal="center"/>
    </xf>
    <xf numFmtId="0" fontId="25" fillId="0" borderId="20" xfId="6" applyFont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12" fillId="0" borderId="2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13" fillId="0" borderId="34" xfId="0" applyFont="1" applyBorder="1" applyAlignment="1">
      <alignment horizontal="left"/>
    </xf>
    <xf numFmtId="0" fontId="16" fillId="0" borderId="38" xfId="0" applyFont="1" applyBorder="1" applyAlignment="1">
      <alignment horizontal="left" vertical="top" wrapText="1"/>
    </xf>
    <xf numFmtId="0" fontId="16" fillId="0" borderId="39" xfId="0" applyFont="1" applyBorder="1" applyAlignment="1">
      <alignment horizontal="left" vertical="top" wrapText="1"/>
    </xf>
    <xf numFmtId="0" fontId="16" fillId="0" borderId="40" xfId="0" applyFont="1" applyBorder="1" applyAlignment="1">
      <alignment horizontal="left" vertical="top" wrapText="1"/>
    </xf>
    <xf numFmtId="0" fontId="17" fillId="0" borderId="23" xfId="0" applyFont="1" applyBorder="1" applyAlignment="1">
      <alignment wrapText="1"/>
    </xf>
    <xf numFmtId="0" fontId="17" fillId="0" borderId="24" xfId="0" applyFont="1" applyBorder="1" applyAlignment="1">
      <alignment horizontal="center" wrapText="1"/>
    </xf>
    <xf numFmtId="0" fontId="17" fillId="0" borderId="24" xfId="0" applyFont="1" applyBorder="1" applyAlignment="1">
      <alignment wrapText="1"/>
    </xf>
    <xf numFmtId="0" fontId="17" fillId="0" borderId="41" xfId="0" applyFont="1" applyBorder="1" applyAlignment="1">
      <alignment horizontal="center" wrapText="1"/>
    </xf>
    <xf numFmtId="0" fontId="17" fillId="0" borderId="41" xfId="0" applyFont="1" applyBorder="1" applyAlignment="1">
      <alignment wrapText="1"/>
    </xf>
    <xf numFmtId="0" fontId="18" fillId="0" borderId="23" xfId="0" applyFont="1" applyBorder="1" applyAlignment="1">
      <alignment wrapText="1"/>
    </xf>
    <xf numFmtId="10" fontId="19" fillId="0" borderId="24" xfId="5" applyNumberFormat="1" applyFont="1" applyFill="1" applyBorder="1" applyAlignment="1" applyProtection="1">
      <alignment vertical="top"/>
      <protection locked="0"/>
    </xf>
    <xf numFmtId="1" fontId="20" fillId="0" borderId="24" xfId="0" applyNumberFormat="1" applyFont="1" applyBorder="1" applyAlignment="1" applyProtection="1">
      <alignment vertical="top"/>
      <protection locked="0"/>
    </xf>
    <xf numFmtId="1" fontId="20" fillId="0" borderId="41" xfId="0" applyNumberFormat="1" applyFont="1" applyBorder="1" applyAlignment="1" applyProtection="1">
      <alignment vertical="top"/>
      <protection locked="0"/>
    </xf>
    <xf numFmtId="0" fontId="18" fillId="0" borderId="42" xfId="0" applyFont="1" applyBorder="1" applyAlignment="1">
      <alignment wrapText="1"/>
    </xf>
    <xf numFmtId="10" fontId="19" fillId="0" borderId="43" xfId="5" applyNumberFormat="1" applyFont="1" applyFill="1" applyBorder="1" applyAlignment="1" applyProtection="1">
      <alignment vertical="top"/>
      <protection locked="0"/>
    </xf>
    <xf numFmtId="1" fontId="20" fillId="0" borderId="43" xfId="0" applyNumberFormat="1" applyFont="1" applyBorder="1" applyAlignment="1" applyProtection="1">
      <alignment vertical="top"/>
      <protection locked="0"/>
    </xf>
    <xf numFmtId="1" fontId="20" fillId="0" borderId="44" xfId="0" applyNumberFormat="1" applyFont="1" applyBorder="1" applyAlignment="1" applyProtection="1">
      <alignment vertical="top"/>
      <protection locked="0"/>
    </xf>
    <xf numFmtId="0" fontId="16" fillId="0" borderId="45" xfId="0" applyFont="1" applyBorder="1" applyAlignment="1">
      <alignment wrapText="1"/>
    </xf>
    <xf numFmtId="0" fontId="16" fillId="0" borderId="46" xfId="0" applyFont="1" applyBorder="1" applyAlignment="1">
      <alignment wrapText="1"/>
    </xf>
    <xf numFmtId="0" fontId="16" fillId="0" borderId="47" xfId="0" applyFont="1" applyBorder="1" applyAlignment="1">
      <alignment wrapText="1"/>
    </xf>
    <xf numFmtId="0" fontId="17" fillId="0" borderId="23" xfId="0" applyFont="1" applyBorder="1"/>
    <xf numFmtId="0" fontId="22" fillId="0" borderId="24" xfId="0" applyFont="1" applyBorder="1" applyAlignment="1">
      <alignment wrapText="1"/>
    </xf>
    <xf numFmtId="0" fontId="22" fillId="0" borderId="41" xfId="0" applyFont="1" applyBorder="1" applyAlignment="1">
      <alignment wrapText="1"/>
    </xf>
    <xf numFmtId="0" fontId="16" fillId="0" borderId="23" xfId="0" applyFont="1" applyBorder="1" applyAlignment="1">
      <alignment wrapText="1"/>
    </xf>
    <xf numFmtId="168" fontId="16" fillId="0" borderId="24" xfId="1" applyNumberFormat="1" applyFont="1" applyFill="1" applyBorder="1" applyAlignment="1">
      <alignment horizontal="right" vertical="center" wrapText="1"/>
    </xf>
    <xf numFmtId="10" fontId="16" fillId="0" borderId="24" xfId="0" applyNumberFormat="1" applyFont="1" applyBorder="1" applyAlignment="1">
      <alignment horizontal="right" vertical="center" wrapText="1"/>
    </xf>
    <xf numFmtId="10" fontId="16" fillId="0" borderId="41" xfId="0" applyNumberFormat="1" applyFont="1" applyBorder="1" applyAlignment="1">
      <alignment horizontal="right" vertical="center" wrapText="1"/>
    </xf>
    <xf numFmtId="0" fontId="16" fillId="0" borderId="42" xfId="0" applyFont="1" applyBorder="1" applyAlignment="1">
      <alignment wrapText="1"/>
    </xf>
    <xf numFmtId="10" fontId="16" fillId="0" borderId="43" xfId="0" applyNumberFormat="1" applyFont="1" applyBorder="1" applyAlignment="1">
      <alignment horizontal="right" vertical="center" wrapText="1"/>
    </xf>
    <xf numFmtId="10" fontId="16" fillId="0" borderId="44" xfId="0" applyNumberFormat="1" applyFont="1" applyBorder="1" applyAlignment="1">
      <alignment horizontal="right" vertical="center" wrapText="1"/>
    </xf>
    <xf numFmtId="0" fontId="16" fillId="0" borderId="24" xfId="0" applyFont="1" applyBorder="1" applyAlignment="1">
      <alignment wrapText="1"/>
    </xf>
    <xf numFmtId="0" fontId="23" fillId="0" borderId="38" xfId="0" applyFont="1" applyBorder="1" applyAlignment="1">
      <alignment horizontal="left" wrapText="1"/>
    </xf>
    <xf numFmtId="0" fontId="23" fillId="0" borderId="40" xfId="0" applyFont="1" applyBorder="1" applyAlignment="1">
      <alignment horizontal="left" wrapText="1"/>
    </xf>
    <xf numFmtId="0" fontId="16" fillId="0" borderId="23" xfId="0" applyFont="1" applyBorder="1"/>
    <xf numFmtId="2" fontId="16" fillId="0" borderId="41" xfId="0" applyNumberFormat="1" applyFont="1" applyBorder="1"/>
    <xf numFmtId="170" fontId="16" fillId="0" borderId="41" xfId="0" applyNumberFormat="1" applyFont="1" applyBorder="1"/>
    <xf numFmtId="0" fontId="16" fillId="0" borderId="42" xfId="0" applyFont="1" applyBorder="1"/>
    <xf numFmtId="10" fontId="0" fillId="0" borderId="44" xfId="5" applyNumberFormat="1" applyFont="1" applyBorder="1"/>
  </cellXfs>
  <cellStyles count="9">
    <cellStyle name="Comma" xfId="1" builtinId="3"/>
    <cellStyle name="Comma 2" xfId="3" xr:uid="{7B82143A-E576-41FE-AA29-EF16C734CF38}"/>
    <cellStyle name="Comma 3" xfId="7" xr:uid="{95001235-240E-4C75-A457-00B350A9B666}"/>
    <cellStyle name="Normal" xfId="0" builtinId="0"/>
    <cellStyle name="Normal 11" xfId="6" xr:uid="{FA65D190-6E5D-4E37-8802-5A44FFF3B898}"/>
    <cellStyle name="Normal 12" xfId="8" xr:uid="{2FA8ECDF-DCB2-4EF0-B208-ECCB0ADD8E96}"/>
    <cellStyle name="Normal 2" xfId="4" xr:uid="{3ED1E52E-8700-4275-BDF2-199E1AF56CFE}"/>
    <cellStyle name="Percent" xfId="2" builtinId="5"/>
    <cellStyle name="Percent 2" xfId="5" xr:uid="{FDB88235-84A9-4908-A632-C4D1EE70A1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</xdr:colOff>
      <xdr:row>253</xdr:row>
      <xdr:rowOff>28576</xdr:rowOff>
    </xdr:from>
    <xdr:to>
      <xdr:col>5</xdr:col>
      <xdr:colOff>1114425</xdr:colOff>
      <xdr:row>261</xdr:row>
      <xdr:rowOff>139126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265ECC-202E-4C41-8CBD-3D85E1868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46262926"/>
          <a:ext cx="1952625" cy="163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190499</xdr:colOff>
      <xdr:row>265</xdr:row>
      <xdr:rowOff>57150</xdr:rowOff>
    </xdr:from>
    <xdr:to>
      <xdr:col>1</xdr:col>
      <xdr:colOff>2543175</xdr:colOff>
      <xdr:row>273</xdr:row>
      <xdr:rowOff>28575</xdr:rowOff>
    </xdr:to>
    <xdr:pic>
      <xdr:nvPicPr>
        <xdr:cNvPr id="3" name="Picture 9" descr="riskometer">
          <a:extLst>
            <a:ext uri="{FF2B5EF4-FFF2-40B4-BE49-F238E27FC236}">
              <a16:creationId xmlns:a16="http://schemas.microsoft.com/office/drawing/2014/main" id="{AD84D3E0-72DD-492C-86ED-E10E18EEF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4" y="48596550"/>
          <a:ext cx="2352676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tana\Downloads\MONTHLY_PORTFOLIO_PPFAS_NOV%2022_gop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PPFCF"/>
      <sheetName val="PPLF"/>
      <sheetName val="PPTSF"/>
      <sheetName val="PPCHF"/>
    </sheetNames>
    <sheetDataSet>
      <sheetData sheetId="0"/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2B871-37BB-4662-9307-BE1A224A2069}">
  <sheetPr>
    <outlinePr summaryBelow="0"/>
  </sheetPr>
  <dimension ref="A1:J274"/>
  <sheetViews>
    <sheetView tabSelected="1" zoomScaleNormal="100" workbookViewId="0">
      <selection activeCell="B235" sqref="B235"/>
    </sheetView>
  </sheetViews>
  <sheetFormatPr defaultRowHeight="15"/>
  <cols>
    <col min="1" max="1" width="3.28515625" customWidth="1"/>
    <col min="2" max="2" width="69.140625" customWidth="1"/>
    <col min="3" max="4" width="21" bestFit="1" customWidth="1"/>
    <col min="5" max="5" width="13.42578125" bestFit="1" customWidth="1"/>
    <col min="6" max="6" width="17.85546875" bestFit="1" customWidth="1"/>
    <col min="7" max="7" width="8.140625" bestFit="1" customWidth="1"/>
    <col min="8" max="8" width="8.85546875" customWidth="1"/>
    <col min="9" max="9" width="11.7109375" bestFit="1" customWidth="1"/>
    <col min="10" max="10" width="10.85546875" customWidth="1"/>
  </cols>
  <sheetData>
    <row r="1" spans="1:10" ht="15.95" customHeight="1">
      <c r="A1" s="1"/>
      <c r="B1" s="154" t="s">
        <v>0</v>
      </c>
      <c r="C1" s="154"/>
      <c r="D1" s="154"/>
      <c r="E1" s="154"/>
      <c r="F1" s="154"/>
      <c r="G1" s="1"/>
      <c r="H1" s="1"/>
      <c r="I1" s="1"/>
      <c r="J1" s="1"/>
    </row>
    <row r="2" spans="1:10" ht="12.95" customHeight="1">
      <c r="A2" s="1"/>
      <c r="B2" s="2"/>
      <c r="C2" s="1"/>
      <c r="D2" s="1"/>
      <c r="E2" s="1"/>
      <c r="F2" s="1"/>
      <c r="G2" s="1"/>
      <c r="H2" s="1"/>
      <c r="I2" s="1"/>
      <c r="J2" s="1"/>
    </row>
    <row r="3" spans="1:10" ht="12.95" customHeight="1" thickBot="1">
      <c r="A3" s="3" t="s">
        <v>1</v>
      </c>
      <c r="B3" s="4" t="s">
        <v>2</v>
      </c>
      <c r="C3" s="1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5" t="s">
        <v>3</v>
      </c>
      <c r="C4" s="6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8" t="s">
        <v>10</v>
      </c>
      <c r="J4" s="9" t="s">
        <v>11</v>
      </c>
    </row>
    <row r="5" spans="1:10" ht="12.95" customHeight="1">
      <c r="A5" s="1"/>
      <c r="B5" s="10" t="s">
        <v>12</v>
      </c>
      <c r="C5" s="11"/>
      <c r="D5" s="11"/>
      <c r="E5" s="11"/>
      <c r="F5" s="11"/>
      <c r="G5" s="11"/>
      <c r="H5" s="12"/>
      <c r="I5" s="13"/>
      <c r="J5" s="1"/>
    </row>
    <row r="6" spans="1:10" ht="12.95" customHeight="1">
      <c r="A6" s="1"/>
      <c r="B6" s="10" t="s">
        <v>13</v>
      </c>
      <c r="C6" s="11"/>
      <c r="D6" s="11"/>
      <c r="E6" s="11"/>
      <c r="F6" s="1"/>
      <c r="G6" s="12"/>
      <c r="H6" s="12"/>
      <c r="I6" s="13"/>
      <c r="J6" s="1"/>
    </row>
    <row r="7" spans="1:10" ht="12.95" customHeight="1">
      <c r="A7" s="14" t="s">
        <v>14</v>
      </c>
      <c r="B7" s="15" t="s">
        <v>15</v>
      </c>
      <c r="C7" s="11" t="s">
        <v>16</v>
      </c>
      <c r="D7" s="11" t="s">
        <v>17</v>
      </c>
      <c r="E7" s="16">
        <v>9976423</v>
      </c>
      <c r="F7" s="17">
        <v>3272.27</v>
      </c>
      <c r="G7" s="18">
        <v>2.9499999999999998E-2</v>
      </c>
      <c r="H7" s="19"/>
      <c r="I7" s="20"/>
      <c r="J7" s="1"/>
    </row>
    <row r="8" spans="1:10" ht="12.95" customHeight="1">
      <c r="A8" s="14" t="s">
        <v>18</v>
      </c>
      <c r="B8" s="15" t="s">
        <v>19</v>
      </c>
      <c r="C8" s="11" t="s">
        <v>20</v>
      </c>
      <c r="D8" s="11" t="s">
        <v>21</v>
      </c>
      <c r="E8" s="16">
        <v>1043670</v>
      </c>
      <c r="F8" s="17">
        <v>2337.8200000000002</v>
      </c>
      <c r="G8" s="18">
        <v>2.1100000000000001E-2</v>
      </c>
      <c r="H8" s="19"/>
      <c r="I8" s="20"/>
      <c r="J8" s="1"/>
    </row>
    <row r="9" spans="1:10" ht="12.95" customHeight="1">
      <c r="A9" s="14" t="s">
        <v>22</v>
      </c>
      <c r="B9" s="15" t="s">
        <v>23</v>
      </c>
      <c r="C9" s="11" t="s">
        <v>24</v>
      </c>
      <c r="D9" s="11" t="s">
        <v>25</v>
      </c>
      <c r="E9" s="16">
        <v>1089812</v>
      </c>
      <c r="F9" s="17">
        <v>2317.4899999999998</v>
      </c>
      <c r="G9" s="18">
        <v>2.0899999999999998E-2</v>
      </c>
      <c r="H9" s="19"/>
      <c r="I9" s="20"/>
      <c r="J9" s="1"/>
    </row>
    <row r="10" spans="1:10" ht="12.95" customHeight="1">
      <c r="A10" s="14" t="s">
        <v>26</v>
      </c>
      <c r="B10" s="15" t="s">
        <v>27</v>
      </c>
      <c r="C10" s="11" t="s">
        <v>28</v>
      </c>
      <c r="D10" s="11" t="s">
        <v>29</v>
      </c>
      <c r="E10" s="16">
        <v>61439</v>
      </c>
      <c r="F10" s="17">
        <v>2304.39</v>
      </c>
      <c r="G10" s="18">
        <v>2.0799999999999999E-2</v>
      </c>
      <c r="H10" s="19"/>
      <c r="I10" s="20"/>
      <c r="J10" s="1"/>
    </row>
    <row r="11" spans="1:10" ht="12.95" customHeight="1">
      <c r="A11" s="14" t="s">
        <v>30</v>
      </c>
      <c r="B11" s="15" t="s">
        <v>31</v>
      </c>
      <c r="C11" s="11" t="s">
        <v>32</v>
      </c>
      <c r="D11" s="11" t="s">
        <v>33</v>
      </c>
      <c r="E11" s="16">
        <v>1008630</v>
      </c>
      <c r="F11" s="17">
        <v>2292.11</v>
      </c>
      <c r="G11" s="18">
        <v>2.06E-2</v>
      </c>
      <c r="H11" s="19"/>
      <c r="I11" s="20"/>
      <c r="J11" s="1"/>
    </row>
    <row r="12" spans="1:10" ht="12.95" customHeight="1">
      <c r="A12" s="14" t="s">
        <v>34</v>
      </c>
      <c r="B12" s="15" t="s">
        <v>35</v>
      </c>
      <c r="C12" s="11" t="s">
        <v>36</v>
      </c>
      <c r="D12" s="11" t="s">
        <v>37</v>
      </c>
      <c r="E12" s="16">
        <v>626420</v>
      </c>
      <c r="F12" s="17">
        <v>2129.83</v>
      </c>
      <c r="G12" s="18">
        <v>1.9199999999999998E-2</v>
      </c>
      <c r="H12" s="19"/>
      <c r="I12" s="20"/>
      <c r="J12" s="1"/>
    </row>
    <row r="13" spans="1:10" ht="12.95" customHeight="1">
      <c r="A13" s="1"/>
      <c r="B13" s="10" t="s">
        <v>38</v>
      </c>
      <c r="C13" s="11"/>
      <c r="D13" s="11"/>
      <c r="E13" s="11"/>
      <c r="F13" s="21">
        <v>14653.91</v>
      </c>
      <c r="G13" s="22">
        <v>0.1321</v>
      </c>
      <c r="H13" s="23"/>
      <c r="I13" s="24"/>
      <c r="J13" s="1"/>
    </row>
    <row r="14" spans="1:10" ht="12.95" customHeight="1">
      <c r="A14" s="1"/>
      <c r="B14" s="25" t="s">
        <v>39</v>
      </c>
      <c r="C14" s="26"/>
      <c r="D14" s="26"/>
      <c r="E14" s="26"/>
      <c r="F14" s="23" t="s">
        <v>40</v>
      </c>
      <c r="G14" s="23" t="s">
        <v>40</v>
      </c>
      <c r="H14" s="23"/>
      <c r="I14" s="24"/>
      <c r="J14" s="1"/>
    </row>
    <row r="15" spans="1:10" ht="12.95" customHeight="1">
      <c r="A15" s="1"/>
      <c r="B15" s="25" t="s">
        <v>38</v>
      </c>
      <c r="C15" s="26"/>
      <c r="D15" s="26"/>
      <c r="E15" s="26"/>
      <c r="F15" s="23" t="s">
        <v>40</v>
      </c>
      <c r="G15" s="23" t="s">
        <v>40</v>
      </c>
      <c r="H15" s="23"/>
      <c r="I15" s="24"/>
      <c r="J15" s="1"/>
    </row>
    <row r="16" spans="1:10" ht="12.95" customHeight="1">
      <c r="A16" s="1"/>
      <c r="B16" s="25" t="s">
        <v>41</v>
      </c>
      <c r="C16" s="27"/>
      <c r="D16" s="26"/>
      <c r="E16" s="27"/>
      <c r="F16" s="28"/>
      <c r="G16" s="23"/>
      <c r="H16" s="23"/>
      <c r="I16" s="24"/>
      <c r="J16" s="1"/>
    </row>
    <row r="17" spans="1:10" ht="12.95" customHeight="1">
      <c r="A17" s="1"/>
      <c r="B17" s="29" t="s">
        <v>42</v>
      </c>
      <c r="C17" s="27" t="s">
        <v>43</v>
      </c>
      <c r="D17" s="26" t="s">
        <v>44</v>
      </c>
      <c r="E17" s="30">
        <v>1255823</v>
      </c>
      <c r="F17" s="31">
        <v>3659.34</v>
      </c>
      <c r="G17" s="32">
        <v>3.3000000000000002E-2</v>
      </c>
      <c r="H17" s="23"/>
      <c r="I17" s="24"/>
      <c r="J17" s="1"/>
    </row>
    <row r="18" spans="1:10" ht="12.95" customHeight="1">
      <c r="A18" s="1"/>
      <c r="B18" s="29" t="s">
        <v>45</v>
      </c>
      <c r="C18" s="27" t="s">
        <v>46</v>
      </c>
      <c r="D18" s="26" t="s">
        <v>44</v>
      </c>
      <c r="E18" s="30">
        <v>823865</v>
      </c>
      <c r="F18" s="31">
        <v>2825.12</v>
      </c>
      <c r="G18" s="32">
        <v>2.5399999999999999E-2</v>
      </c>
      <c r="H18" s="23"/>
      <c r="I18" s="24"/>
      <c r="J18" s="1"/>
    </row>
    <row r="19" spans="1:10" ht="12.95" customHeight="1">
      <c r="A19" s="1"/>
      <c r="B19" s="29" t="s">
        <v>47</v>
      </c>
      <c r="C19" s="27" t="s">
        <v>48</v>
      </c>
      <c r="D19" s="26" t="s">
        <v>44</v>
      </c>
      <c r="E19" s="30">
        <v>493139</v>
      </c>
      <c r="F19" s="31">
        <v>1650.78</v>
      </c>
      <c r="G19" s="32">
        <v>1.49E-2</v>
      </c>
      <c r="H19" s="23"/>
      <c r="I19" s="24"/>
      <c r="J19" s="1"/>
    </row>
    <row r="20" spans="1:10" ht="12.95" customHeight="1">
      <c r="A20" s="1"/>
      <c r="B20" s="25" t="s">
        <v>38</v>
      </c>
      <c r="C20" s="27"/>
      <c r="D20" s="26"/>
      <c r="E20" s="27"/>
      <c r="F20" s="33">
        <f>SUM(F17:F19)</f>
        <v>8135.24</v>
      </c>
      <c r="G20" s="34">
        <f>SUM(G17:G19)</f>
        <v>7.3300000000000004E-2</v>
      </c>
      <c r="H20" s="23"/>
      <c r="I20" s="24"/>
      <c r="J20" s="1"/>
    </row>
    <row r="21" spans="1:10" ht="12.95" customHeight="1">
      <c r="A21" s="1"/>
      <c r="B21" s="25" t="s">
        <v>49</v>
      </c>
      <c r="C21" s="27"/>
      <c r="D21" s="26"/>
      <c r="E21" s="27"/>
      <c r="F21" s="21">
        <f>F13+F20</f>
        <v>22789.15</v>
      </c>
      <c r="G21" s="22">
        <f>G13+G20</f>
        <v>0.2054</v>
      </c>
      <c r="H21" s="23"/>
      <c r="I21" s="24"/>
      <c r="J21" s="1"/>
    </row>
    <row r="22" spans="1:10" ht="12.95" customHeight="1">
      <c r="A22" s="1"/>
      <c r="B22" s="10" t="s">
        <v>50</v>
      </c>
      <c r="C22" s="11"/>
      <c r="D22" s="11"/>
      <c r="E22" s="11"/>
      <c r="F22" s="11"/>
      <c r="G22" s="11"/>
      <c r="H22" s="12"/>
      <c r="I22" s="13"/>
      <c r="J22" s="1"/>
    </row>
    <row r="23" spans="1:10" ht="12.95" customHeight="1">
      <c r="A23" s="1"/>
      <c r="B23" s="10" t="s">
        <v>51</v>
      </c>
      <c r="C23" s="11"/>
      <c r="D23" s="11"/>
      <c r="E23" s="11"/>
      <c r="F23" s="1"/>
      <c r="G23" s="12"/>
      <c r="H23" s="12"/>
      <c r="I23" s="13"/>
      <c r="J23" s="1"/>
    </row>
    <row r="24" spans="1:10" ht="12.95" customHeight="1">
      <c r="A24" s="14" t="s">
        <v>52</v>
      </c>
      <c r="B24" s="15" t="s">
        <v>53</v>
      </c>
      <c r="C24" s="11" t="s">
        <v>54</v>
      </c>
      <c r="D24" s="11" t="s">
        <v>55</v>
      </c>
      <c r="E24" s="16">
        <v>3000000</v>
      </c>
      <c r="F24" s="17">
        <v>3085.31</v>
      </c>
      <c r="G24" s="18">
        <v>2.7799999999999998E-2</v>
      </c>
      <c r="H24" s="35">
        <v>7.4866000000000002E-2</v>
      </c>
      <c r="I24" s="20"/>
      <c r="J24" s="1"/>
    </row>
    <row r="25" spans="1:10" ht="12.95" customHeight="1">
      <c r="A25" s="14" t="s">
        <v>56</v>
      </c>
      <c r="B25" s="15" t="s">
        <v>57</v>
      </c>
      <c r="C25" s="11" t="s">
        <v>58</v>
      </c>
      <c r="D25" s="11" t="s">
        <v>55</v>
      </c>
      <c r="E25" s="16">
        <v>3000000</v>
      </c>
      <c r="F25" s="17">
        <v>3067.3</v>
      </c>
      <c r="G25" s="18">
        <v>2.76E-2</v>
      </c>
      <c r="H25" s="35">
        <v>7.4810000000000001E-2</v>
      </c>
      <c r="I25" s="20"/>
      <c r="J25" s="1"/>
    </row>
    <row r="26" spans="1:10" ht="12.95" customHeight="1">
      <c r="A26" s="14" t="s">
        <v>59</v>
      </c>
      <c r="B26" s="15" t="s">
        <v>60</v>
      </c>
      <c r="C26" s="11" t="s">
        <v>61</v>
      </c>
      <c r="D26" s="11" t="s">
        <v>55</v>
      </c>
      <c r="E26" s="16">
        <v>3000000</v>
      </c>
      <c r="F26" s="17">
        <v>2930.45</v>
      </c>
      <c r="G26" s="18">
        <v>2.64E-2</v>
      </c>
      <c r="H26" s="35">
        <v>7.5096999999999997E-2</v>
      </c>
      <c r="I26" s="20"/>
      <c r="J26" s="1"/>
    </row>
    <row r="27" spans="1:10" ht="12.95" customHeight="1">
      <c r="A27" s="14" t="s">
        <v>62</v>
      </c>
      <c r="B27" s="15" t="s">
        <v>63</v>
      </c>
      <c r="C27" s="11" t="s">
        <v>64</v>
      </c>
      <c r="D27" s="11" t="s">
        <v>55</v>
      </c>
      <c r="E27" s="16">
        <v>2500000</v>
      </c>
      <c r="F27" s="17">
        <v>2570.83</v>
      </c>
      <c r="G27" s="18">
        <v>2.3199999999999998E-2</v>
      </c>
      <c r="H27" s="35">
        <v>7.5139999999999998E-2</v>
      </c>
      <c r="I27" s="20"/>
      <c r="J27" s="1"/>
    </row>
    <row r="28" spans="1:10" ht="12.95" customHeight="1">
      <c r="A28" s="14" t="s">
        <v>65</v>
      </c>
      <c r="B28" s="15" t="s">
        <v>66</v>
      </c>
      <c r="C28" s="11" t="s">
        <v>67</v>
      </c>
      <c r="D28" s="11" t="s">
        <v>55</v>
      </c>
      <c r="E28" s="16">
        <v>2500000</v>
      </c>
      <c r="F28" s="17">
        <v>2543.6999999999998</v>
      </c>
      <c r="G28" s="18">
        <v>2.29E-2</v>
      </c>
      <c r="H28" s="35">
        <v>7.5008000000000005E-2</v>
      </c>
      <c r="I28" s="20"/>
      <c r="J28" s="1"/>
    </row>
    <row r="29" spans="1:10" ht="12.95" customHeight="1">
      <c r="A29" s="14" t="s">
        <v>68</v>
      </c>
      <c r="B29" s="15" t="s">
        <v>69</v>
      </c>
      <c r="C29" s="11" t="s">
        <v>70</v>
      </c>
      <c r="D29" s="11" t="s">
        <v>55</v>
      </c>
      <c r="E29" s="16">
        <v>2000000</v>
      </c>
      <c r="F29" s="17">
        <v>2075.1999999999998</v>
      </c>
      <c r="G29" s="18">
        <v>1.8700000000000001E-2</v>
      </c>
      <c r="H29" s="35">
        <v>7.4927999999999995E-2</v>
      </c>
      <c r="I29" s="20"/>
      <c r="J29" s="1"/>
    </row>
    <row r="30" spans="1:10" ht="12.95" customHeight="1">
      <c r="A30" s="14" t="s">
        <v>71</v>
      </c>
      <c r="B30" s="15" t="s">
        <v>72</v>
      </c>
      <c r="C30" s="11" t="s">
        <v>73</v>
      </c>
      <c r="D30" s="11" t="s">
        <v>55</v>
      </c>
      <c r="E30" s="16">
        <v>2000000</v>
      </c>
      <c r="F30" s="17">
        <v>2033.84</v>
      </c>
      <c r="G30" s="18">
        <v>1.83E-2</v>
      </c>
      <c r="H30" s="35">
        <v>7.4744000000000005E-2</v>
      </c>
      <c r="I30" s="20"/>
      <c r="J30" s="1"/>
    </row>
    <row r="31" spans="1:10" ht="12.95" customHeight="1">
      <c r="A31" s="14" t="s">
        <v>74</v>
      </c>
      <c r="B31" s="15" t="s">
        <v>75</v>
      </c>
      <c r="C31" s="11" t="s">
        <v>76</v>
      </c>
      <c r="D31" s="11" t="s">
        <v>55</v>
      </c>
      <c r="E31" s="16">
        <v>2000000</v>
      </c>
      <c r="F31" s="17">
        <v>2011.77</v>
      </c>
      <c r="G31" s="18">
        <v>1.8100000000000002E-2</v>
      </c>
      <c r="H31" s="35">
        <v>7.4975E-2</v>
      </c>
      <c r="I31" s="20"/>
      <c r="J31" s="1"/>
    </row>
    <row r="32" spans="1:10" ht="12.95" customHeight="1">
      <c r="A32" s="14" t="s">
        <v>77</v>
      </c>
      <c r="B32" s="15" t="s">
        <v>78</v>
      </c>
      <c r="C32" s="11" t="s">
        <v>79</v>
      </c>
      <c r="D32" s="11" t="s">
        <v>55</v>
      </c>
      <c r="E32" s="16">
        <v>1500000</v>
      </c>
      <c r="F32" s="17">
        <v>1564.79</v>
      </c>
      <c r="G32" s="18">
        <v>1.41E-2</v>
      </c>
      <c r="H32" s="35">
        <v>7.5231999999999993E-2</v>
      </c>
      <c r="I32" s="20"/>
      <c r="J32" s="1"/>
    </row>
    <row r="33" spans="1:10" ht="12.95" customHeight="1">
      <c r="A33" s="14" t="s">
        <v>80</v>
      </c>
      <c r="B33" s="15" t="s">
        <v>81</v>
      </c>
      <c r="C33" s="11" t="s">
        <v>82</v>
      </c>
      <c r="D33" s="11" t="s">
        <v>55</v>
      </c>
      <c r="E33" s="16">
        <v>1500000</v>
      </c>
      <c r="F33" s="17">
        <v>1561.29</v>
      </c>
      <c r="G33" s="18">
        <v>1.41E-2</v>
      </c>
      <c r="H33" s="35">
        <v>7.5197E-2</v>
      </c>
      <c r="I33" s="20"/>
      <c r="J33" s="1"/>
    </row>
    <row r="34" spans="1:10" ht="12.95" customHeight="1">
      <c r="A34" s="14" t="s">
        <v>83</v>
      </c>
      <c r="B34" s="15" t="s">
        <v>84</v>
      </c>
      <c r="C34" s="11" t="s">
        <v>85</v>
      </c>
      <c r="D34" s="11" t="s">
        <v>55</v>
      </c>
      <c r="E34" s="16">
        <v>1500000</v>
      </c>
      <c r="F34" s="17">
        <v>1555.86</v>
      </c>
      <c r="G34" s="18">
        <v>1.4E-2</v>
      </c>
      <c r="H34" s="35">
        <v>7.4910000000000004E-2</v>
      </c>
      <c r="I34" s="20"/>
      <c r="J34" s="1"/>
    </row>
    <row r="35" spans="1:10" ht="12.95" customHeight="1">
      <c r="A35" s="14" t="s">
        <v>86</v>
      </c>
      <c r="B35" s="15" t="s">
        <v>87</v>
      </c>
      <c r="C35" s="11" t="s">
        <v>88</v>
      </c>
      <c r="D35" s="11" t="s">
        <v>55</v>
      </c>
      <c r="E35" s="16">
        <v>1500000</v>
      </c>
      <c r="F35" s="17">
        <v>1551.46</v>
      </c>
      <c r="G35" s="18">
        <v>1.4E-2</v>
      </c>
      <c r="H35" s="35">
        <v>7.4800000000000005E-2</v>
      </c>
      <c r="I35" s="20"/>
      <c r="J35" s="1"/>
    </row>
    <row r="36" spans="1:10" ht="12.95" customHeight="1">
      <c r="A36" s="14" t="s">
        <v>89</v>
      </c>
      <c r="B36" s="15" t="s">
        <v>90</v>
      </c>
      <c r="C36" s="11" t="s">
        <v>91</v>
      </c>
      <c r="D36" s="11" t="s">
        <v>55</v>
      </c>
      <c r="E36" s="16">
        <v>1500000</v>
      </c>
      <c r="F36" s="17">
        <v>1543.01</v>
      </c>
      <c r="G36" s="18">
        <v>1.3899999999999999E-2</v>
      </c>
      <c r="H36" s="35">
        <v>7.4966000000000005E-2</v>
      </c>
      <c r="I36" s="20"/>
      <c r="J36" s="1"/>
    </row>
    <row r="37" spans="1:10" ht="12.95" customHeight="1">
      <c r="A37" s="14" t="s">
        <v>92</v>
      </c>
      <c r="B37" s="15" t="s">
        <v>93</v>
      </c>
      <c r="C37" s="11" t="s">
        <v>94</v>
      </c>
      <c r="D37" s="11" t="s">
        <v>55</v>
      </c>
      <c r="E37" s="16">
        <v>1500000</v>
      </c>
      <c r="F37" s="17">
        <v>1542.77</v>
      </c>
      <c r="G37" s="18">
        <v>1.3899999999999999E-2</v>
      </c>
      <c r="H37" s="35">
        <v>7.485E-2</v>
      </c>
      <c r="I37" s="20"/>
      <c r="J37" s="1"/>
    </row>
    <row r="38" spans="1:10" ht="12.95" customHeight="1">
      <c r="A38" s="14" t="s">
        <v>95</v>
      </c>
      <c r="B38" s="15" t="s">
        <v>96</v>
      </c>
      <c r="C38" s="11" t="s">
        <v>97</v>
      </c>
      <c r="D38" s="11" t="s">
        <v>55</v>
      </c>
      <c r="E38" s="16">
        <v>1500000</v>
      </c>
      <c r="F38" s="17">
        <v>1536.67</v>
      </c>
      <c r="G38" s="18">
        <v>1.38E-2</v>
      </c>
      <c r="H38" s="35">
        <v>7.4866000000000002E-2</v>
      </c>
      <c r="I38" s="20"/>
      <c r="J38" s="1"/>
    </row>
    <row r="39" spans="1:10" ht="12.95" customHeight="1">
      <c r="A39" s="14" t="s">
        <v>98</v>
      </c>
      <c r="B39" s="15" t="s">
        <v>99</v>
      </c>
      <c r="C39" s="11" t="s">
        <v>100</v>
      </c>
      <c r="D39" s="11" t="s">
        <v>55</v>
      </c>
      <c r="E39" s="16">
        <v>1500000</v>
      </c>
      <c r="F39" s="17">
        <v>1513.79</v>
      </c>
      <c r="G39" s="18">
        <v>1.3599999999999999E-2</v>
      </c>
      <c r="H39" s="35">
        <v>7.1383000000000002E-2</v>
      </c>
      <c r="I39" s="20"/>
      <c r="J39" s="1"/>
    </row>
    <row r="40" spans="1:10" ht="12.95" customHeight="1">
      <c r="A40" s="14" t="s">
        <v>101</v>
      </c>
      <c r="B40" s="15" t="s">
        <v>102</v>
      </c>
      <c r="C40" s="11" t="s">
        <v>103</v>
      </c>
      <c r="D40" s="11" t="s">
        <v>55</v>
      </c>
      <c r="E40" s="16">
        <v>1500000</v>
      </c>
      <c r="F40" s="17">
        <v>1465.13</v>
      </c>
      <c r="G40" s="18">
        <v>1.32E-2</v>
      </c>
      <c r="H40" s="35">
        <v>7.5096999999999997E-2</v>
      </c>
      <c r="I40" s="20"/>
      <c r="J40" s="1"/>
    </row>
    <row r="41" spans="1:10" ht="12.95" customHeight="1">
      <c r="A41" s="14" t="s">
        <v>104</v>
      </c>
      <c r="B41" s="15" t="s">
        <v>105</v>
      </c>
      <c r="C41" s="11" t="s">
        <v>106</v>
      </c>
      <c r="D41" s="11" t="s">
        <v>55</v>
      </c>
      <c r="E41" s="16">
        <v>1500000</v>
      </c>
      <c r="F41" s="17">
        <v>1453.81</v>
      </c>
      <c r="G41" s="18">
        <v>1.3100000000000001E-2</v>
      </c>
      <c r="H41" s="35">
        <v>7.4731000000000006E-2</v>
      </c>
      <c r="I41" s="20"/>
      <c r="J41" s="1"/>
    </row>
    <row r="42" spans="1:10" ht="12.95" customHeight="1">
      <c r="A42" s="14" t="s">
        <v>107</v>
      </c>
      <c r="B42" s="15" t="s">
        <v>108</v>
      </c>
      <c r="C42" s="11" t="s">
        <v>109</v>
      </c>
      <c r="D42" s="11" t="s">
        <v>55</v>
      </c>
      <c r="E42" s="16">
        <v>1000000</v>
      </c>
      <c r="F42" s="17">
        <v>1047.79</v>
      </c>
      <c r="G42" s="18">
        <v>9.4000000000000004E-3</v>
      </c>
      <c r="H42" s="35">
        <v>7.4950000000000003E-2</v>
      </c>
      <c r="I42" s="20"/>
      <c r="J42" s="1"/>
    </row>
    <row r="43" spans="1:10" ht="12.95" customHeight="1">
      <c r="A43" s="14" t="s">
        <v>110</v>
      </c>
      <c r="B43" s="15" t="s">
        <v>111</v>
      </c>
      <c r="C43" s="11" t="s">
        <v>112</v>
      </c>
      <c r="D43" s="11" t="s">
        <v>55</v>
      </c>
      <c r="E43" s="16">
        <v>1000000</v>
      </c>
      <c r="F43" s="17">
        <v>1042.54</v>
      </c>
      <c r="G43" s="18">
        <v>9.4000000000000004E-3</v>
      </c>
      <c r="H43" s="35">
        <v>7.5776999999999997E-2</v>
      </c>
      <c r="I43" s="20"/>
      <c r="J43" s="1"/>
    </row>
    <row r="44" spans="1:10" ht="12.95" customHeight="1">
      <c r="A44" s="14" t="s">
        <v>113</v>
      </c>
      <c r="B44" s="15" t="s">
        <v>114</v>
      </c>
      <c r="C44" s="11" t="s">
        <v>115</v>
      </c>
      <c r="D44" s="11" t="s">
        <v>55</v>
      </c>
      <c r="E44" s="16">
        <v>1000000</v>
      </c>
      <c r="F44" s="17">
        <v>1041.52</v>
      </c>
      <c r="G44" s="18">
        <v>9.4000000000000004E-3</v>
      </c>
      <c r="H44" s="35">
        <v>7.5831999999999997E-2</v>
      </c>
      <c r="I44" s="20"/>
      <c r="J44" s="1"/>
    </row>
    <row r="45" spans="1:10" ht="12.95" customHeight="1">
      <c r="A45" s="14" t="s">
        <v>116</v>
      </c>
      <c r="B45" s="15" t="s">
        <v>117</v>
      </c>
      <c r="C45" s="11" t="s">
        <v>118</v>
      </c>
      <c r="D45" s="11" t="s">
        <v>55</v>
      </c>
      <c r="E45" s="16">
        <v>1000000</v>
      </c>
      <c r="F45" s="17">
        <v>1041.31</v>
      </c>
      <c r="G45" s="18">
        <v>9.4000000000000004E-3</v>
      </c>
      <c r="H45" s="35">
        <v>7.5264999999999999E-2</v>
      </c>
      <c r="I45" s="20"/>
      <c r="J45" s="1"/>
    </row>
    <row r="46" spans="1:10" ht="12.95" customHeight="1">
      <c r="A46" s="14" t="s">
        <v>119</v>
      </c>
      <c r="B46" s="15" t="s">
        <v>120</v>
      </c>
      <c r="C46" s="11" t="s">
        <v>121</v>
      </c>
      <c r="D46" s="11" t="s">
        <v>55</v>
      </c>
      <c r="E46" s="16">
        <v>1000000</v>
      </c>
      <c r="F46" s="17">
        <v>1040.8800000000001</v>
      </c>
      <c r="G46" s="18">
        <v>9.4000000000000004E-3</v>
      </c>
      <c r="H46" s="35">
        <v>7.4910000000000004E-2</v>
      </c>
      <c r="I46" s="20"/>
      <c r="J46" s="1"/>
    </row>
    <row r="47" spans="1:10" ht="12.95" customHeight="1">
      <c r="A47" s="14" t="s">
        <v>122</v>
      </c>
      <c r="B47" s="15" t="s">
        <v>123</v>
      </c>
      <c r="C47" s="11" t="s">
        <v>124</v>
      </c>
      <c r="D47" s="11" t="s">
        <v>55</v>
      </c>
      <c r="E47" s="16">
        <v>1000000</v>
      </c>
      <c r="F47" s="17">
        <v>1040.51</v>
      </c>
      <c r="G47" s="18">
        <v>9.4000000000000004E-3</v>
      </c>
      <c r="H47" s="35">
        <v>7.5197E-2</v>
      </c>
      <c r="I47" s="20"/>
      <c r="J47" s="1"/>
    </row>
    <row r="48" spans="1:10" ht="12.95" customHeight="1">
      <c r="A48" s="14" t="s">
        <v>125</v>
      </c>
      <c r="B48" s="15" t="s">
        <v>126</v>
      </c>
      <c r="C48" s="11" t="s">
        <v>127</v>
      </c>
      <c r="D48" s="11" t="s">
        <v>55</v>
      </c>
      <c r="E48" s="16">
        <v>1000000</v>
      </c>
      <c r="F48" s="17">
        <v>1032.69</v>
      </c>
      <c r="G48" s="18">
        <v>9.2999999999999992E-3</v>
      </c>
      <c r="H48" s="35">
        <v>7.4966000000000005E-2</v>
      </c>
      <c r="I48" s="20"/>
      <c r="J48" s="1"/>
    </row>
    <row r="49" spans="1:10" ht="12.95" customHeight="1">
      <c r="A49" s="14" t="s">
        <v>128</v>
      </c>
      <c r="B49" s="15" t="s">
        <v>129</v>
      </c>
      <c r="C49" s="11" t="s">
        <v>130</v>
      </c>
      <c r="D49" s="11" t="s">
        <v>55</v>
      </c>
      <c r="E49" s="16">
        <v>1000000</v>
      </c>
      <c r="F49" s="17">
        <v>1029.45</v>
      </c>
      <c r="G49" s="18">
        <v>9.2999999999999992E-3</v>
      </c>
      <c r="H49" s="35">
        <v>7.5283000000000003E-2</v>
      </c>
      <c r="I49" s="20"/>
      <c r="J49" s="1"/>
    </row>
    <row r="50" spans="1:10" ht="12.95" customHeight="1">
      <c r="A50" s="14" t="s">
        <v>131</v>
      </c>
      <c r="B50" s="15" t="s">
        <v>132</v>
      </c>
      <c r="C50" s="11" t="s">
        <v>133</v>
      </c>
      <c r="D50" s="11" t="s">
        <v>55</v>
      </c>
      <c r="E50" s="16">
        <v>1000000</v>
      </c>
      <c r="F50" s="17">
        <v>1027.74</v>
      </c>
      <c r="G50" s="18">
        <v>9.2999999999999992E-3</v>
      </c>
      <c r="H50" s="35">
        <v>7.5042999999999999E-2</v>
      </c>
      <c r="I50" s="20"/>
      <c r="J50" s="1"/>
    </row>
    <row r="51" spans="1:10" ht="12.95" customHeight="1">
      <c r="A51" s="14" t="s">
        <v>134</v>
      </c>
      <c r="B51" s="15" t="s">
        <v>135</v>
      </c>
      <c r="C51" s="11" t="s">
        <v>136</v>
      </c>
      <c r="D51" s="11" t="s">
        <v>55</v>
      </c>
      <c r="E51" s="16">
        <v>1000000</v>
      </c>
      <c r="F51" s="17">
        <v>1021.92</v>
      </c>
      <c r="G51" s="18">
        <v>9.1999999999999998E-3</v>
      </c>
      <c r="H51" s="35">
        <v>7.4829000000000007E-2</v>
      </c>
      <c r="I51" s="20"/>
      <c r="J51" s="1"/>
    </row>
    <row r="52" spans="1:10" ht="12.95" customHeight="1">
      <c r="A52" s="14" t="s">
        <v>137</v>
      </c>
      <c r="B52" s="15" t="s">
        <v>138</v>
      </c>
      <c r="C52" s="11" t="s">
        <v>139</v>
      </c>
      <c r="D52" s="11" t="s">
        <v>55</v>
      </c>
      <c r="E52" s="16">
        <v>1000000</v>
      </c>
      <c r="F52" s="17">
        <v>1009.85</v>
      </c>
      <c r="G52" s="18">
        <v>9.1000000000000004E-3</v>
      </c>
      <c r="H52" s="35">
        <v>7.4107999999999993E-2</v>
      </c>
      <c r="I52" s="20"/>
      <c r="J52" s="1"/>
    </row>
    <row r="53" spans="1:10" ht="12.95" customHeight="1">
      <c r="A53" s="14" t="s">
        <v>140</v>
      </c>
      <c r="B53" s="15" t="s">
        <v>141</v>
      </c>
      <c r="C53" s="11" t="s">
        <v>142</v>
      </c>
      <c r="D53" s="11" t="s">
        <v>55</v>
      </c>
      <c r="E53" s="16">
        <v>1000000</v>
      </c>
      <c r="F53" s="17">
        <v>1009.61</v>
      </c>
      <c r="G53" s="18">
        <v>9.1000000000000004E-3</v>
      </c>
      <c r="H53" s="35">
        <v>7.3805999999999997E-2</v>
      </c>
      <c r="I53" s="20"/>
      <c r="J53" s="1"/>
    </row>
    <row r="54" spans="1:10" ht="12.95" customHeight="1">
      <c r="A54" s="14" t="s">
        <v>143</v>
      </c>
      <c r="B54" s="15" t="s">
        <v>144</v>
      </c>
      <c r="C54" s="11" t="s">
        <v>145</v>
      </c>
      <c r="D54" s="11" t="s">
        <v>55</v>
      </c>
      <c r="E54" s="16">
        <v>1000000</v>
      </c>
      <c r="F54" s="17">
        <v>1007.34</v>
      </c>
      <c r="G54" s="18">
        <v>9.1000000000000004E-3</v>
      </c>
      <c r="H54" s="35">
        <v>7.4565999999999993E-2</v>
      </c>
      <c r="I54" s="20"/>
      <c r="J54" s="1"/>
    </row>
    <row r="55" spans="1:10" ht="12.95" customHeight="1">
      <c r="A55" s="14" t="s">
        <v>146</v>
      </c>
      <c r="B55" s="15" t="s">
        <v>147</v>
      </c>
      <c r="C55" s="11" t="s">
        <v>148</v>
      </c>
      <c r="D55" s="11" t="s">
        <v>55</v>
      </c>
      <c r="E55" s="16">
        <v>1000000</v>
      </c>
      <c r="F55" s="17">
        <v>998.57</v>
      </c>
      <c r="G55" s="18">
        <v>8.9999999999999993E-3</v>
      </c>
      <c r="H55" s="35">
        <v>7.5298000000000004E-2</v>
      </c>
      <c r="I55" s="20"/>
      <c r="J55" s="1"/>
    </row>
    <row r="56" spans="1:10" ht="12.95" customHeight="1">
      <c r="A56" s="14" t="s">
        <v>149</v>
      </c>
      <c r="B56" s="15" t="s">
        <v>150</v>
      </c>
      <c r="C56" s="11" t="s">
        <v>151</v>
      </c>
      <c r="D56" s="11" t="s">
        <v>55</v>
      </c>
      <c r="E56" s="16">
        <v>1000000</v>
      </c>
      <c r="F56" s="17">
        <v>985.35</v>
      </c>
      <c r="G56" s="18">
        <v>8.8999999999999999E-3</v>
      </c>
      <c r="H56" s="35">
        <v>7.4604000000000004E-2</v>
      </c>
      <c r="I56" s="20"/>
      <c r="J56" s="1"/>
    </row>
    <row r="57" spans="1:10" ht="12.95" customHeight="1">
      <c r="A57" s="14" t="s">
        <v>152</v>
      </c>
      <c r="B57" s="15" t="s">
        <v>153</v>
      </c>
      <c r="C57" s="11" t="s">
        <v>154</v>
      </c>
      <c r="D57" s="11" t="s">
        <v>55</v>
      </c>
      <c r="E57" s="16">
        <v>1000000</v>
      </c>
      <c r="F57" s="17">
        <v>970.24</v>
      </c>
      <c r="G57" s="18">
        <v>8.6999999999999994E-3</v>
      </c>
      <c r="H57" s="35">
        <v>7.4758000000000005E-2</v>
      </c>
      <c r="I57" s="20"/>
      <c r="J57" s="1"/>
    </row>
    <row r="58" spans="1:10" ht="12.95" customHeight="1">
      <c r="A58" s="14" t="s">
        <v>155</v>
      </c>
      <c r="B58" s="15" t="s">
        <v>156</v>
      </c>
      <c r="C58" s="11" t="s">
        <v>157</v>
      </c>
      <c r="D58" s="11" t="s">
        <v>55</v>
      </c>
      <c r="E58" s="16">
        <v>1000000</v>
      </c>
      <c r="F58" s="17">
        <v>952.99</v>
      </c>
      <c r="G58" s="18">
        <v>8.6E-3</v>
      </c>
      <c r="H58" s="35">
        <v>7.4648999999999993E-2</v>
      </c>
      <c r="I58" s="20"/>
      <c r="J58" s="1"/>
    </row>
    <row r="59" spans="1:10" ht="12.95" customHeight="1">
      <c r="A59" s="14" t="s">
        <v>158</v>
      </c>
      <c r="B59" s="15" t="s">
        <v>159</v>
      </c>
      <c r="C59" s="11" t="s">
        <v>160</v>
      </c>
      <c r="D59" s="11" t="s">
        <v>55</v>
      </c>
      <c r="E59" s="16">
        <v>500000</v>
      </c>
      <c r="F59" s="17">
        <v>530.53</v>
      </c>
      <c r="G59" s="18">
        <v>4.7999999999999996E-3</v>
      </c>
      <c r="H59" s="35">
        <v>7.5139999999999998E-2</v>
      </c>
      <c r="I59" s="20"/>
      <c r="J59" s="1"/>
    </row>
    <row r="60" spans="1:10" ht="12.95" customHeight="1">
      <c r="A60" s="14" t="s">
        <v>161</v>
      </c>
      <c r="B60" s="15" t="s">
        <v>162</v>
      </c>
      <c r="C60" s="11" t="s">
        <v>163</v>
      </c>
      <c r="D60" s="11" t="s">
        <v>55</v>
      </c>
      <c r="E60" s="16">
        <v>500000</v>
      </c>
      <c r="F60" s="17">
        <v>528.01</v>
      </c>
      <c r="G60" s="18">
        <v>4.7999999999999996E-3</v>
      </c>
      <c r="H60" s="35">
        <v>7.5264999999999999E-2</v>
      </c>
      <c r="I60" s="20"/>
      <c r="J60" s="1"/>
    </row>
    <row r="61" spans="1:10" ht="12.95" customHeight="1">
      <c r="A61" s="14" t="s">
        <v>164</v>
      </c>
      <c r="B61" s="15" t="s">
        <v>165</v>
      </c>
      <c r="C61" s="11" t="s">
        <v>166</v>
      </c>
      <c r="D61" s="11" t="s">
        <v>55</v>
      </c>
      <c r="E61" s="16">
        <v>500000</v>
      </c>
      <c r="F61" s="17">
        <v>526.37</v>
      </c>
      <c r="G61" s="18">
        <v>4.7000000000000002E-3</v>
      </c>
      <c r="H61" s="35">
        <v>7.5139999999999998E-2</v>
      </c>
      <c r="I61" s="20"/>
      <c r="J61" s="1"/>
    </row>
    <row r="62" spans="1:10" ht="12.95" customHeight="1">
      <c r="A62" s="14" t="s">
        <v>167</v>
      </c>
      <c r="B62" s="15" t="s">
        <v>168</v>
      </c>
      <c r="C62" s="11" t="s">
        <v>169</v>
      </c>
      <c r="D62" s="11" t="s">
        <v>55</v>
      </c>
      <c r="E62" s="16">
        <v>500000</v>
      </c>
      <c r="F62" s="17">
        <v>525.66</v>
      </c>
      <c r="G62" s="18">
        <v>4.7000000000000002E-3</v>
      </c>
      <c r="H62" s="35">
        <v>7.5231999999999993E-2</v>
      </c>
      <c r="I62" s="20"/>
      <c r="J62" s="1"/>
    </row>
    <row r="63" spans="1:10" ht="12.95" customHeight="1">
      <c r="A63" s="14" t="s">
        <v>170</v>
      </c>
      <c r="B63" s="15" t="s">
        <v>171</v>
      </c>
      <c r="C63" s="11" t="s">
        <v>172</v>
      </c>
      <c r="D63" s="11" t="s">
        <v>55</v>
      </c>
      <c r="E63" s="16">
        <v>500000</v>
      </c>
      <c r="F63" s="17">
        <v>525.59</v>
      </c>
      <c r="G63" s="18">
        <v>4.7000000000000002E-3</v>
      </c>
      <c r="H63" s="35">
        <v>7.5139999999999998E-2</v>
      </c>
      <c r="I63" s="20"/>
      <c r="J63" s="1"/>
    </row>
    <row r="64" spans="1:10" ht="12.95" customHeight="1">
      <c r="A64" s="14" t="s">
        <v>173</v>
      </c>
      <c r="B64" s="15" t="s">
        <v>174</v>
      </c>
      <c r="C64" s="11" t="s">
        <v>175</v>
      </c>
      <c r="D64" s="11" t="s">
        <v>55</v>
      </c>
      <c r="E64" s="16">
        <v>500000</v>
      </c>
      <c r="F64" s="17">
        <v>524.52</v>
      </c>
      <c r="G64" s="18">
        <v>4.7000000000000002E-3</v>
      </c>
      <c r="H64" s="35">
        <v>7.4950000000000003E-2</v>
      </c>
      <c r="I64" s="20"/>
      <c r="J64" s="1"/>
    </row>
    <row r="65" spans="1:10" ht="12.95" customHeight="1">
      <c r="A65" s="14" t="s">
        <v>176</v>
      </c>
      <c r="B65" s="15" t="s">
        <v>177</v>
      </c>
      <c r="C65" s="11" t="s">
        <v>178</v>
      </c>
      <c r="D65" s="11" t="s">
        <v>55</v>
      </c>
      <c r="E65" s="16">
        <v>500000</v>
      </c>
      <c r="F65" s="17">
        <v>523.96</v>
      </c>
      <c r="G65" s="18">
        <v>4.7000000000000002E-3</v>
      </c>
      <c r="H65" s="35">
        <v>7.4950000000000003E-2</v>
      </c>
      <c r="I65" s="20"/>
      <c r="J65" s="1"/>
    </row>
    <row r="66" spans="1:10" ht="12.95" customHeight="1">
      <c r="A66" s="14" t="s">
        <v>179</v>
      </c>
      <c r="B66" s="15" t="s">
        <v>180</v>
      </c>
      <c r="C66" s="11" t="s">
        <v>181</v>
      </c>
      <c r="D66" s="11" t="s">
        <v>55</v>
      </c>
      <c r="E66" s="16">
        <v>500000</v>
      </c>
      <c r="F66" s="17">
        <v>523.59</v>
      </c>
      <c r="G66" s="18">
        <v>4.7000000000000002E-3</v>
      </c>
      <c r="H66" s="35">
        <v>7.4095999999999995E-2</v>
      </c>
      <c r="I66" s="20"/>
      <c r="J66" s="1"/>
    </row>
    <row r="67" spans="1:10" ht="12.95" customHeight="1">
      <c r="A67" s="14" t="s">
        <v>182</v>
      </c>
      <c r="B67" s="15" t="s">
        <v>183</v>
      </c>
      <c r="C67" s="11" t="s">
        <v>184</v>
      </c>
      <c r="D67" s="11" t="s">
        <v>55</v>
      </c>
      <c r="E67" s="16">
        <v>500000</v>
      </c>
      <c r="F67" s="17">
        <v>521.92999999999995</v>
      </c>
      <c r="G67" s="18">
        <v>4.7000000000000002E-3</v>
      </c>
      <c r="H67" s="35">
        <v>7.5283000000000003E-2</v>
      </c>
      <c r="I67" s="20"/>
      <c r="J67" s="1"/>
    </row>
    <row r="68" spans="1:10" ht="12.95" customHeight="1">
      <c r="A68" s="14" t="s">
        <v>185</v>
      </c>
      <c r="B68" s="15" t="s">
        <v>186</v>
      </c>
      <c r="C68" s="11" t="s">
        <v>187</v>
      </c>
      <c r="D68" s="11" t="s">
        <v>55</v>
      </c>
      <c r="E68" s="16">
        <v>500000</v>
      </c>
      <c r="F68" s="17">
        <v>520.97</v>
      </c>
      <c r="G68" s="18">
        <v>4.7000000000000002E-3</v>
      </c>
      <c r="H68" s="35">
        <v>7.5031E-2</v>
      </c>
      <c r="I68" s="20"/>
      <c r="J68" s="1"/>
    </row>
    <row r="69" spans="1:10" ht="12.95" customHeight="1">
      <c r="A69" s="14" t="s">
        <v>188</v>
      </c>
      <c r="B69" s="15" t="s">
        <v>189</v>
      </c>
      <c r="C69" s="11" t="s">
        <v>190</v>
      </c>
      <c r="D69" s="11" t="s">
        <v>55</v>
      </c>
      <c r="E69" s="16">
        <v>500000</v>
      </c>
      <c r="F69" s="17">
        <v>520.85</v>
      </c>
      <c r="G69" s="18">
        <v>4.7000000000000002E-3</v>
      </c>
      <c r="H69" s="35">
        <v>7.5776999999999997E-2</v>
      </c>
      <c r="I69" s="20"/>
      <c r="J69" s="1"/>
    </row>
    <row r="70" spans="1:10" ht="12.95" customHeight="1">
      <c r="A70" s="14" t="s">
        <v>191</v>
      </c>
      <c r="B70" s="15" t="s">
        <v>192</v>
      </c>
      <c r="C70" s="11" t="s">
        <v>193</v>
      </c>
      <c r="D70" s="11" t="s">
        <v>55</v>
      </c>
      <c r="E70" s="16">
        <v>500000</v>
      </c>
      <c r="F70" s="17">
        <v>520.48</v>
      </c>
      <c r="G70" s="18">
        <v>4.7000000000000002E-3</v>
      </c>
      <c r="H70" s="35">
        <v>7.4833999999999998E-2</v>
      </c>
      <c r="I70" s="20"/>
      <c r="J70" s="1"/>
    </row>
    <row r="71" spans="1:10" ht="12.95" customHeight="1">
      <c r="A71" s="14" t="s">
        <v>194</v>
      </c>
      <c r="B71" s="15" t="s">
        <v>195</v>
      </c>
      <c r="C71" s="11" t="s">
        <v>196</v>
      </c>
      <c r="D71" s="11" t="s">
        <v>55</v>
      </c>
      <c r="E71" s="16">
        <v>500000</v>
      </c>
      <c r="F71" s="17">
        <v>520.04999999999995</v>
      </c>
      <c r="G71" s="18">
        <v>4.7000000000000002E-3</v>
      </c>
      <c r="H71" s="35">
        <v>7.4833999999999998E-2</v>
      </c>
      <c r="I71" s="20"/>
      <c r="J71" s="1"/>
    </row>
    <row r="72" spans="1:10" ht="12.95" customHeight="1">
      <c r="A72" s="14" t="s">
        <v>197</v>
      </c>
      <c r="B72" s="15" t="s">
        <v>198</v>
      </c>
      <c r="C72" s="11" t="s">
        <v>199</v>
      </c>
      <c r="D72" s="11" t="s">
        <v>55</v>
      </c>
      <c r="E72" s="16">
        <v>500000</v>
      </c>
      <c r="F72" s="17">
        <v>519.91999999999996</v>
      </c>
      <c r="G72" s="18">
        <v>4.7000000000000002E-3</v>
      </c>
      <c r="H72" s="35">
        <v>7.5776999999999997E-2</v>
      </c>
      <c r="I72" s="20"/>
      <c r="J72" s="1"/>
    </row>
    <row r="73" spans="1:10" ht="12.95" customHeight="1">
      <c r="A73" s="14" t="s">
        <v>200</v>
      </c>
      <c r="B73" s="15" t="s">
        <v>201</v>
      </c>
      <c r="C73" s="11" t="s">
        <v>202</v>
      </c>
      <c r="D73" s="11" t="s">
        <v>55</v>
      </c>
      <c r="E73" s="16">
        <v>500000</v>
      </c>
      <c r="F73" s="17">
        <v>519.78</v>
      </c>
      <c r="G73" s="18">
        <v>4.7000000000000002E-3</v>
      </c>
      <c r="H73" s="35">
        <v>7.5139999999999998E-2</v>
      </c>
      <c r="I73" s="20"/>
      <c r="J73" s="1"/>
    </row>
    <row r="74" spans="1:10" ht="12.95" customHeight="1">
      <c r="A74" s="14" t="s">
        <v>203</v>
      </c>
      <c r="B74" s="15" t="s">
        <v>204</v>
      </c>
      <c r="C74" s="11" t="s">
        <v>205</v>
      </c>
      <c r="D74" s="11" t="s">
        <v>55</v>
      </c>
      <c r="E74" s="16">
        <v>500000</v>
      </c>
      <c r="F74" s="17">
        <v>519.53</v>
      </c>
      <c r="G74" s="18">
        <v>4.7000000000000002E-3</v>
      </c>
      <c r="H74" s="35">
        <v>7.3330999999999993E-2</v>
      </c>
      <c r="I74" s="20"/>
      <c r="J74" s="1"/>
    </row>
    <row r="75" spans="1:10" ht="12.95" customHeight="1">
      <c r="A75" s="14" t="s">
        <v>206</v>
      </c>
      <c r="B75" s="15" t="s">
        <v>207</v>
      </c>
      <c r="C75" s="11" t="s">
        <v>208</v>
      </c>
      <c r="D75" s="11" t="s">
        <v>55</v>
      </c>
      <c r="E75" s="16">
        <v>500000</v>
      </c>
      <c r="F75" s="17">
        <v>518.71</v>
      </c>
      <c r="G75" s="18">
        <v>4.7000000000000002E-3</v>
      </c>
      <c r="H75" s="35">
        <v>7.46E-2</v>
      </c>
      <c r="I75" s="20"/>
      <c r="J75" s="1"/>
    </row>
    <row r="76" spans="1:10" ht="12.95" customHeight="1">
      <c r="A76" s="14" t="s">
        <v>209</v>
      </c>
      <c r="B76" s="15" t="s">
        <v>210</v>
      </c>
      <c r="C76" s="11" t="s">
        <v>211</v>
      </c>
      <c r="D76" s="11" t="s">
        <v>55</v>
      </c>
      <c r="E76" s="16">
        <v>500000</v>
      </c>
      <c r="F76" s="17">
        <v>517.79999999999995</v>
      </c>
      <c r="G76" s="18">
        <v>4.7000000000000002E-3</v>
      </c>
      <c r="H76" s="35">
        <v>7.3950000000000002E-2</v>
      </c>
      <c r="I76" s="20"/>
      <c r="J76" s="1"/>
    </row>
    <row r="77" spans="1:10" ht="12.95" customHeight="1">
      <c r="A77" s="14" t="s">
        <v>212</v>
      </c>
      <c r="B77" s="15" t="s">
        <v>213</v>
      </c>
      <c r="C77" s="11" t="s">
        <v>214</v>
      </c>
      <c r="D77" s="11" t="s">
        <v>55</v>
      </c>
      <c r="E77" s="16">
        <v>500000</v>
      </c>
      <c r="F77" s="17">
        <v>517.75</v>
      </c>
      <c r="G77" s="18">
        <v>4.7000000000000002E-3</v>
      </c>
      <c r="H77" s="35">
        <v>7.5503000000000001E-2</v>
      </c>
      <c r="I77" s="20"/>
      <c r="J77" s="1"/>
    </row>
    <row r="78" spans="1:10" ht="12.95" customHeight="1">
      <c r="A78" s="14" t="s">
        <v>215</v>
      </c>
      <c r="B78" s="15" t="s">
        <v>216</v>
      </c>
      <c r="C78" s="11" t="s">
        <v>217</v>
      </c>
      <c r="D78" s="11" t="s">
        <v>55</v>
      </c>
      <c r="E78" s="16">
        <v>500000</v>
      </c>
      <c r="F78" s="17">
        <v>517.6</v>
      </c>
      <c r="G78" s="18">
        <v>4.7000000000000002E-3</v>
      </c>
      <c r="H78" s="35">
        <v>7.5107999999999994E-2</v>
      </c>
      <c r="I78" s="20"/>
      <c r="J78" s="1"/>
    </row>
    <row r="79" spans="1:10" ht="12.95" customHeight="1">
      <c r="A79" s="14" t="s">
        <v>218</v>
      </c>
      <c r="B79" s="15" t="s">
        <v>219</v>
      </c>
      <c r="C79" s="11" t="s">
        <v>220</v>
      </c>
      <c r="D79" s="11" t="s">
        <v>55</v>
      </c>
      <c r="E79" s="16">
        <v>500000</v>
      </c>
      <c r="F79" s="17">
        <v>517.53</v>
      </c>
      <c r="G79" s="18">
        <v>4.7000000000000002E-3</v>
      </c>
      <c r="H79" s="35">
        <v>7.5867000000000004E-2</v>
      </c>
      <c r="I79" s="20"/>
      <c r="J79" s="1"/>
    </row>
    <row r="80" spans="1:10" ht="12.95" customHeight="1">
      <c r="A80" s="14" t="s">
        <v>221</v>
      </c>
      <c r="B80" s="15" t="s">
        <v>222</v>
      </c>
      <c r="C80" s="11" t="s">
        <v>223</v>
      </c>
      <c r="D80" s="11" t="s">
        <v>55</v>
      </c>
      <c r="E80" s="16">
        <v>500000</v>
      </c>
      <c r="F80" s="17">
        <v>517.37</v>
      </c>
      <c r="G80" s="18">
        <v>4.7000000000000002E-3</v>
      </c>
      <c r="H80" s="35">
        <v>7.46E-2</v>
      </c>
      <c r="I80" s="20"/>
      <c r="J80" s="1"/>
    </row>
    <row r="81" spans="1:10" ht="12.95" customHeight="1">
      <c r="A81" s="14" t="s">
        <v>224</v>
      </c>
      <c r="B81" s="15" t="s">
        <v>225</v>
      </c>
      <c r="C81" s="11" t="s">
        <v>226</v>
      </c>
      <c r="D81" s="11" t="s">
        <v>55</v>
      </c>
      <c r="E81" s="16">
        <v>500000</v>
      </c>
      <c r="F81" s="17">
        <v>517.1</v>
      </c>
      <c r="G81" s="18">
        <v>4.7000000000000002E-3</v>
      </c>
      <c r="H81" s="35">
        <v>7.4901999999999996E-2</v>
      </c>
      <c r="I81" s="20"/>
      <c r="J81" s="1"/>
    </row>
    <row r="82" spans="1:10" ht="12.95" customHeight="1">
      <c r="A82" s="14" t="s">
        <v>227</v>
      </c>
      <c r="B82" s="15" t="s">
        <v>228</v>
      </c>
      <c r="C82" s="11" t="s">
        <v>229</v>
      </c>
      <c r="D82" s="11" t="s">
        <v>55</v>
      </c>
      <c r="E82" s="16">
        <v>500000</v>
      </c>
      <c r="F82" s="17">
        <v>516.71</v>
      </c>
      <c r="G82" s="18">
        <v>4.7000000000000002E-3</v>
      </c>
      <c r="H82" s="35">
        <v>7.5525999999999996E-2</v>
      </c>
      <c r="I82" s="20"/>
      <c r="J82" s="1"/>
    </row>
    <row r="83" spans="1:10" ht="12.95" customHeight="1">
      <c r="A83" s="14" t="s">
        <v>230</v>
      </c>
      <c r="B83" s="15" t="s">
        <v>231</v>
      </c>
      <c r="C83" s="11" t="s">
        <v>232</v>
      </c>
      <c r="D83" s="11" t="s">
        <v>55</v>
      </c>
      <c r="E83" s="16">
        <v>500000</v>
      </c>
      <c r="F83" s="17">
        <v>516.14</v>
      </c>
      <c r="G83" s="18">
        <v>4.5999999999999999E-3</v>
      </c>
      <c r="H83" s="35">
        <v>7.4950000000000003E-2</v>
      </c>
      <c r="I83" s="20"/>
      <c r="J83" s="1"/>
    </row>
    <row r="84" spans="1:10" ht="12.95" customHeight="1">
      <c r="A84" s="14" t="s">
        <v>233</v>
      </c>
      <c r="B84" s="15" t="s">
        <v>234</v>
      </c>
      <c r="C84" s="11" t="s">
        <v>235</v>
      </c>
      <c r="D84" s="11" t="s">
        <v>55</v>
      </c>
      <c r="E84" s="16">
        <v>500000</v>
      </c>
      <c r="F84" s="17">
        <v>515.54999999999995</v>
      </c>
      <c r="G84" s="18">
        <v>4.5999999999999999E-3</v>
      </c>
      <c r="H84" s="35">
        <v>7.5646000000000005E-2</v>
      </c>
      <c r="I84" s="20"/>
      <c r="J84" s="1"/>
    </row>
    <row r="85" spans="1:10" ht="12.95" customHeight="1">
      <c r="A85" s="14" t="s">
        <v>236</v>
      </c>
      <c r="B85" s="15" t="s">
        <v>237</v>
      </c>
      <c r="C85" s="11" t="s">
        <v>238</v>
      </c>
      <c r="D85" s="11" t="s">
        <v>55</v>
      </c>
      <c r="E85" s="16">
        <v>500000</v>
      </c>
      <c r="F85" s="17">
        <v>515.23</v>
      </c>
      <c r="G85" s="18">
        <v>4.5999999999999999E-3</v>
      </c>
      <c r="H85" s="35">
        <v>7.4957999999999997E-2</v>
      </c>
      <c r="I85" s="20"/>
      <c r="J85" s="1"/>
    </row>
    <row r="86" spans="1:10" ht="12.95" customHeight="1">
      <c r="A86" s="14" t="s">
        <v>239</v>
      </c>
      <c r="B86" s="15" t="s">
        <v>240</v>
      </c>
      <c r="C86" s="11" t="s">
        <v>241</v>
      </c>
      <c r="D86" s="11" t="s">
        <v>55</v>
      </c>
      <c r="E86" s="16">
        <v>500000</v>
      </c>
      <c r="F86" s="17">
        <v>514.88</v>
      </c>
      <c r="G86" s="18">
        <v>4.5999999999999999E-3</v>
      </c>
      <c r="H86" s="35">
        <v>7.5831999999999997E-2</v>
      </c>
      <c r="I86" s="20"/>
      <c r="J86" s="1"/>
    </row>
    <row r="87" spans="1:10" ht="12.95" customHeight="1">
      <c r="A87" s="14" t="s">
        <v>242</v>
      </c>
      <c r="B87" s="15" t="s">
        <v>243</v>
      </c>
      <c r="C87" s="11" t="s">
        <v>244</v>
      </c>
      <c r="D87" s="11" t="s">
        <v>55</v>
      </c>
      <c r="E87" s="16">
        <v>500000</v>
      </c>
      <c r="F87" s="17">
        <v>514.34</v>
      </c>
      <c r="G87" s="18">
        <v>4.5999999999999999E-3</v>
      </c>
      <c r="H87" s="35">
        <v>7.3394000000000001E-2</v>
      </c>
      <c r="I87" s="20"/>
      <c r="J87" s="1"/>
    </row>
    <row r="88" spans="1:10" ht="12.95" customHeight="1">
      <c r="A88" s="14" t="s">
        <v>245</v>
      </c>
      <c r="B88" s="15" t="s">
        <v>246</v>
      </c>
      <c r="C88" s="11" t="s">
        <v>247</v>
      </c>
      <c r="D88" s="11" t="s">
        <v>55</v>
      </c>
      <c r="E88" s="16">
        <v>500000</v>
      </c>
      <c r="F88" s="17">
        <v>514.26</v>
      </c>
      <c r="G88" s="18">
        <v>4.5999999999999999E-3</v>
      </c>
      <c r="H88" s="35">
        <v>7.485E-2</v>
      </c>
      <c r="I88" s="20"/>
      <c r="J88" s="1"/>
    </row>
    <row r="89" spans="1:10" ht="12.95" customHeight="1">
      <c r="A89" s="14" t="s">
        <v>248</v>
      </c>
      <c r="B89" s="15" t="s">
        <v>249</v>
      </c>
      <c r="C89" s="11" t="s">
        <v>250</v>
      </c>
      <c r="D89" s="11" t="s">
        <v>55</v>
      </c>
      <c r="E89" s="16">
        <v>500000</v>
      </c>
      <c r="F89" s="17">
        <v>513.86</v>
      </c>
      <c r="G89" s="18">
        <v>4.5999999999999999E-3</v>
      </c>
      <c r="H89" s="35">
        <v>7.485E-2</v>
      </c>
      <c r="I89" s="20"/>
      <c r="J89" s="1"/>
    </row>
    <row r="90" spans="1:10" ht="12.95" customHeight="1">
      <c r="A90" s="14" t="s">
        <v>251</v>
      </c>
      <c r="B90" s="15" t="s">
        <v>252</v>
      </c>
      <c r="C90" s="11" t="s">
        <v>253</v>
      </c>
      <c r="D90" s="11" t="s">
        <v>55</v>
      </c>
      <c r="E90" s="16">
        <v>500000</v>
      </c>
      <c r="F90" s="17">
        <v>513.33000000000004</v>
      </c>
      <c r="G90" s="18">
        <v>4.5999999999999999E-3</v>
      </c>
      <c r="H90" s="35">
        <v>7.4700000000000003E-2</v>
      </c>
      <c r="I90" s="20"/>
      <c r="J90" s="1"/>
    </row>
    <row r="91" spans="1:10" ht="12.95" customHeight="1">
      <c r="A91" s="14" t="s">
        <v>254</v>
      </c>
      <c r="B91" s="15" t="s">
        <v>255</v>
      </c>
      <c r="C91" s="11" t="s">
        <v>256</v>
      </c>
      <c r="D91" s="11" t="s">
        <v>55</v>
      </c>
      <c r="E91" s="16">
        <v>500000</v>
      </c>
      <c r="F91" s="17">
        <v>512.69000000000005</v>
      </c>
      <c r="G91" s="18">
        <v>4.5999999999999999E-3</v>
      </c>
      <c r="H91" s="35">
        <v>7.5042999999999999E-2</v>
      </c>
      <c r="I91" s="20"/>
      <c r="J91" s="1"/>
    </row>
    <row r="92" spans="1:10" ht="12.95" customHeight="1">
      <c r="A92" s="14" t="s">
        <v>257</v>
      </c>
      <c r="B92" s="15" t="s">
        <v>258</v>
      </c>
      <c r="C92" s="11" t="s">
        <v>259</v>
      </c>
      <c r="D92" s="11" t="s">
        <v>55</v>
      </c>
      <c r="E92" s="16">
        <v>500000</v>
      </c>
      <c r="F92" s="17">
        <v>511.57</v>
      </c>
      <c r="G92" s="18">
        <v>4.5999999999999999E-3</v>
      </c>
      <c r="H92" s="35">
        <v>7.3338E-2</v>
      </c>
      <c r="I92" s="20"/>
      <c r="J92" s="1"/>
    </row>
    <row r="93" spans="1:10" ht="12.95" customHeight="1">
      <c r="A93" s="14" t="s">
        <v>260</v>
      </c>
      <c r="B93" s="15" t="s">
        <v>261</v>
      </c>
      <c r="C93" s="11" t="s">
        <v>262</v>
      </c>
      <c r="D93" s="11" t="s">
        <v>55</v>
      </c>
      <c r="E93" s="16">
        <v>500000</v>
      </c>
      <c r="F93" s="17">
        <v>511.12</v>
      </c>
      <c r="G93" s="18">
        <v>4.5999999999999999E-3</v>
      </c>
      <c r="H93" s="35">
        <v>7.3630000000000001E-2</v>
      </c>
      <c r="I93" s="20"/>
      <c r="J93" s="1"/>
    </row>
    <row r="94" spans="1:10" ht="12.95" customHeight="1">
      <c r="A94" s="14" t="s">
        <v>263</v>
      </c>
      <c r="B94" s="15" t="s">
        <v>264</v>
      </c>
      <c r="C94" s="11" t="s">
        <v>265</v>
      </c>
      <c r="D94" s="11" t="s">
        <v>55</v>
      </c>
      <c r="E94" s="16">
        <v>500000</v>
      </c>
      <c r="F94" s="17">
        <v>511.06</v>
      </c>
      <c r="G94" s="18">
        <v>4.5999999999999999E-3</v>
      </c>
      <c r="H94" s="35">
        <v>7.3109999999999994E-2</v>
      </c>
      <c r="I94" s="20"/>
      <c r="J94" s="1"/>
    </row>
    <row r="95" spans="1:10" ht="12.95" customHeight="1">
      <c r="A95" s="14" t="s">
        <v>266</v>
      </c>
      <c r="B95" s="15" t="s">
        <v>267</v>
      </c>
      <c r="C95" s="11" t="s">
        <v>268</v>
      </c>
      <c r="D95" s="11" t="s">
        <v>55</v>
      </c>
      <c r="E95" s="16">
        <v>500000</v>
      </c>
      <c r="F95" s="17">
        <v>510.82</v>
      </c>
      <c r="G95" s="18">
        <v>4.5999999999999999E-3</v>
      </c>
      <c r="H95" s="35">
        <v>7.3626999999999998E-2</v>
      </c>
      <c r="I95" s="20"/>
      <c r="J95" s="1"/>
    </row>
    <row r="96" spans="1:10" ht="12.95" customHeight="1">
      <c r="A96" s="14" t="s">
        <v>269</v>
      </c>
      <c r="B96" s="15" t="s">
        <v>270</v>
      </c>
      <c r="C96" s="11" t="s">
        <v>271</v>
      </c>
      <c r="D96" s="11" t="s">
        <v>55</v>
      </c>
      <c r="E96" s="16">
        <v>500000</v>
      </c>
      <c r="F96" s="17">
        <v>510</v>
      </c>
      <c r="G96" s="18">
        <v>4.5999999999999999E-3</v>
      </c>
      <c r="H96" s="35">
        <v>7.5164999999999996E-2</v>
      </c>
      <c r="I96" s="20"/>
      <c r="J96" s="1"/>
    </row>
    <row r="97" spans="1:10" ht="12.95" customHeight="1">
      <c r="A97" s="14" t="s">
        <v>272</v>
      </c>
      <c r="B97" s="15" t="s">
        <v>273</v>
      </c>
      <c r="C97" s="11" t="s">
        <v>274</v>
      </c>
      <c r="D97" s="11" t="s">
        <v>55</v>
      </c>
      <c r="E97" s="16">
        <v>500000</v>
      </c>
      <c r="F97" s="17">
        <v>509.99</v>
      </c>
      <c r="G97" s="18">
        <v>4.5999999999999999E-3</v>
      </c>
      <c r="H97" s="35">
        <v>7.5086E-2</v>
      </c>
      <c r="I97" s="20"/>
      <c r="J97" s="1"/>
    </row>
    <row r="98" spans="1:10" ht="12.95" customHeight="1">
      <c r="A98" s="14" t="s">
        <v>275</v>
      </c>
      <c r="B98" s="15" t="s">
        <v>276</v>
      </c>
      <c r="C98" s="11" t="s">
        <v>277</v>
      </c>
      <c r="D98" s="11" t="s">
        <v>55</v>
      </c>
      <c r="E98" s="16">
        <v>500000</v>
      </c>
      <c r="F98" s="17">
        <v>509.92</v>
      </c>
      <c r="G98" s="18">
        <v>4.5999999999999999E-3</v>
      </c>
      <c r="H98" s="35">
        <v>7.3631000000000002E-2</v>
      </c>
      <c r="I98" s="20"/>
      <c r="J98" s="1"/>
    </row>
    <row r="99" spans="1:10" ht="12.95" customHeight="1">
      <c r="A99" s="14" t="s">
        <v>278</v>
      </c>
      <c r="B99" s="15" t="s">
        <v>279</v>
      </c>
      <c r="C99" s="11" t="s">
        <v>280</v>
      </c>
      <c r="D99" s="11" t="s">
        <v>55</v>
      </c>
      <c r="E99" s="16">
        <v>500000</v>
      </c>
      <c r="F99" s="17">
        <v>509.8</v>
      </c>
      <c r="G99" s="18">
        <v>4.5999999999999999E-3</v>
      </c>
      <c r="H99" s="35">
        <v>7.3630000000000001E-2</v>
      </c>
      <c r="I99" s="20"/>
      <c r="J99" s="1"/>
    </row>
    <row r="100" spans="1:10" ht="12.95" customHeight="1">
      <c r="A100" s="14" t="s">
        <v>281</v>
      </c>
      <c r="B100" s="15" t="s">
        <v>282</v>
      </c>
      <c r="C100" s="11" t="s">
        <v>283</v>
      </c>
      <c r="D100" s="11" t="s">
        <v>55</v>
      </c>
      <c r="E100" s="16">
        <v>500000</v>
      </c>
      <c r="F100" s="17">
        <v>509.64</v>
      </c>
      <c r="G100" s="18">
        <v>4.5999999999999999E-3</v>
      </c>
      <c r="H100" s="35">
        <v>7.3644000000000001E-2</v>
      </c>
      <c r="I100" s="20"/>
      <c r="J100" s="1"/>
    </row>
    <row r="101" spans="1:10" ht="12.95" customHeight="1">
      <c r="A101" s="14" t="s">
        <v>284</v>
      </c>
      <c r="B101" s="15" t="s">
        <v>285</v>
      </c>
      <c r="C101" s="11" t="s">
        <v>286</v>
      </c>
      <c r="D101" s="11" t="s">
        <v>55</v>
      </c>
      <c r="E101" s="16">
        <v>500000</v>
      </c>
      <c r="F101" s="17">
        <v>509.42</v>
      </c>
      <c r="G101" s="18">
        <v>4.5999999999999999E-3</v>
      </c>
      <c r="H101" s="35">
        <v>7.4053999999999995E-2</v>
      </c>
      <c r="I101" s="20"/>
      <c r="J101" s="1"/>
    </row>
    <row r="102" spans="1:10" ht="12.95" customHeight="1">
      <c r="A102" s="14" t="s">
        <v>287</v>
      </c>
      <c r="B102" s="15" t="s">
        <v>288</v>
      </c>
      <c r="C102" s="11" t="s">
        <v>289</v>
      </c>
      <c r="D102" s="11" t="s">
        <v>55</v>
      </c>
      <c r="E102" s="16">
        <v>500000</v>
      </c>
      <c r="F102" s="17">
        <v>509.22</v>
      </c>
      <c r="G102" s="18">
        <v>4.5999999999999999E-3</v>
      </c>
      <c r="H102" s="35">
        <v>7.3347999999999997E-2</v>
      </c>
      <c r="I102" s="20"/>
      <c r="J102" s="1"/>
    </row>
    <row r="103" spans="1:10" ht="12.95" customHeight="1">
      <c r="A103" s="14" t="s">
        <v>290</v>
      </c>
      <c r="B103" s="15" t="s">
        <v>291</v>
      </c>
      <c r="C103" s="11" t="s">
        <v>292</v>
      </c>
      <c r="D103" s="11" t="s">
        <v>55</v>
      </c>
      <c r="E103" s="16">
        <v>500000</v>
      </c>
      <c r="F103" s="17">
        <v>507.08</v>
      </c>
      <c r="G103" s="18">
        <v>4.5999999999999999E-3</v>
      </c>
      <c r="H103" s="35">
        <v>7.4066999999999994E-2</v>
      </c>
      <c r="I103" s="20"/>
      <c r="J103" s="1"/>
    </row>
    <row r="104" spans="1:10" ht="12.95" customHeight="1">
      <c r="A104" s="14" t="s">
        <v>293</v>
      </c>
      <c r="B104" s="15" t="s">
        <v>294</v>
      </c>
      <c r="C104" s="11" t="s">
        <v>295</v>
      </c>
      <c r="D104" s="11" t="s">
        <v>55</v>
      </c>
      <c r="E104" s="16">
        <v>500000</v>
      </c>
      <c r="F104" s="17">
        <v>506.46</v>
      </c>
      <c r="G104" s="18">
        <v>4.5999999999999999E-3</v>
      </c>
      <c r="H104" s="35">
        <v>7.4581999999999996E-2</v>
      </c>
      <c r="I104" s="20"/>
      <c r="J104" s="1"/>
    </row>
    <row r="105" spans="1:10" ht="12.95" customHeight="1">
      <c r="A105" s="14" t="s">
        <v>296</v>
      </c>
      <c r="B105" s="15" t="s">
        <v>297</v>
      </c>
      <c r="C105" s="11" t="s">
        <v>298</v>
      </c>
      <c r="D105" s="11" t="s">
        <v>55</v>
      </c>
      <c r="E105" s="16">
        <v>500000</v>
      </c>
      <c r="F105" s="17">
        <v>504.83</v>
      </c>
      <c r="G105" s="18">
        <v>4.4999999999999997E-3</v>
      </c>
      <c r="H105" s="35">
        <v>7.4151999999999996E-2</v>
      </c>
      <c r="I105" s="20"/>
      <c r="J105" s="1"/>
    </row>
    <row r="106" spans="1:10" ht="12.95" customHeight="1">
      <c r="A106" s="14" t="s">
        <v>299</v>
      </c>
      <c r="B106" s="15" t="s">
        <v>300</v>
      </c>
      <c r="C106" s="11" t="s">
        <v>301</v>
      </c>
      <c r="D106" s="11" t="s">
        <v>55</v>
      </c>
      <c r="E106" s="16">
        <v>500000</v>
      </c>
      <c r="F106" s="17">
        <v>504.54</v>
      </c>
      <c r="G106" s="18">
        <v>4.4999999999999997E-3</v>
      </c>
      <c r="H106" s="35">
        <v>7.4151999999999996E-2</v>
      </c>
      <c r="I106" s="20"/>
      <c r="J106" s="1"/>
    </row>
    <row r="107" spans="1:10" ht="12.95" customHeight="1">
      <c r="A107" s="14" t="s">
        <v>302</v>
      </c>
      <c r="B107" s="15" t="s">
        <v>303</v>
      </c>
      <c r="C107" s="11" t="s">
        <v>304</v>
      </c>
      <c r="D107" s="11" t="s">
        <v>55</v>
      </c>
      <c r="E107" s="16">
        <v>500000</v>
      </c>
      <c r="F107" s="17">
        <v>502.67</v>
      </c>
      <c r="G107" s="18">
        <v>4.4999999999999997E-3</v>
      </c>
      <c r="H107" s="35">
        <v>7.4151999999999996E-2</v>
      </c>
      <c r="I107" s="20"/>
      <c r="J107" s="1"/>
    </row>
    <row r="108" spans="1:10" ht="12.95" customHeight="1">
      <c r="A108" s="14" t="s">
        <v>305</v>
      </c>
      <c r="B108" s="15" t="s">
        <v>306</v>
      </c>
      <c r="C108" s="11" t="s">
        <v>307</v>
      </c>
      <c r="D108" s="11" t="s">
        <v>55</v>
      </c>
      <c r="E108" s="16">
        <v>500000</v>
      </c>
      <c r="F108" s="17">
        <v>502.58</v>
      </c>
      <c r="G108" s="18">
        <v>4.4999999999999997E-3</v>
      </c>
      <c r="H108" s="35">
        <v>7.3820999999999998E-2</v>
      </c>
      <c r="I108" s="20"/>
      <c r="J108" s="1"/>
    </row>
    <row r="109" spans="1:10" ht="12.95" customHeight="1">
      <c r="A109" s="14" t="s">
        <v>308</v>
      </c>
      <c r="B109" s="15" t="s">
        <v>309</v>
      </c>
      <c r="C109" s="11" t="s">
        <v>310</v>
      </c>
      <c r="D109" s="11" t="s">
        <v>55</v>
      </c>
      <c r="E109" s="16">
        <v>500000</v>
      </c>
      <c r="F109" s="17">
        <v>501.7</v>
      </c>
      <c r="G109" s="18">
        <v>4.4999999999999997E-3</v>
      </c>
      <c r="H109" s="35">
        <v>7.4462E-2</v>
      </c>
      <c r="I109" s="20"/>
      <c r="J109" s="1"/>
    </row>
    <row r="110" spans="1:10" ht="12.95" customHeight="1">
      <c r="A110" s="14" t="s">
        <v>311</v>
      </c>
      <c r="B110" s="15" t="s">
        <v>312</v>
      </c>
      <c r="C110" s="11" t="s">
        <v>313</v>
      </c>
      <c r="D110" s="11" t="s">
        <v>55</v>
      </c>
      <c r="E110" s="16">
        <v>500000</v>
      </c>
      <c r="F110" s="17">
        <v>496.73</v>
      </c>
      <c r="G110" s="18">
        <v>4.4999999999999997E-3</v>
      </c>
      <c r="H110" s="35">
        <v>7.4013999999999996E-2</v>
      </c>
      <c r="I110" s="20"/>
      <c r="J110" s="1"/>
    </row>
    <row r="111" spans="1:10" ht="12.95" customHeight="1">
      <c r="A111" s="14" t="s">
        <v>314</v>
      </c>
      <c r="B111" s="15" t="s">
        <v>315</v>
      </c>
      <c r="C111" s="11" t="s">
        <v>316</v>
      </c>
      <c r="D111" s="11" t="s">
        <v>55</v>
      </c>
      <c r="E111" s="16">
        <v>500000</v>
      </c>
      <c r="F111" s="17">
        <v>496.09</v>
      </c>
      <c r="G111" s="18">
        <v>4.4999999999999997E-3</v>
      </c>
      <c r="H111" s="35">
        <v>7.3963000000000001E-2</v>
      </c>
      <c r="I111" s="20"/>
      <c r="J111" s="1"/>
    </row>
    <row r="112" spans="1:10" ht="12.95" customHeight="1">
      <c r="A112" s="14" t="s">
        <v>317</v>
      </c>
      <c r="B112" s="15" t="s">
        <v>318</v>
      </c>
      <c r="C112" s="11" t="s">
        <v>319</v>
      </c>
      <c r="D112" s="11" t="s">
        <v>320</v>
      </c>
      <c r="E112" s="16">
        <v>50000</v>
      </c>
      <c r="F112" s="17">
        <v>494.51</v>
      </c>
      <c r="G112" s="18">
        <v>4.4999999999999997E-3</v>
      </c>
      <c r="H112" s="35">
        <v>7.9398999999999997E-2</v>
      </c>
      <c r="I112" s="20"/>
      <c r="J112" s="1"/>
    </row>
    <row r="113" spans="1:10" ht="12.95" customHeight="1">
      <c r="A113" s="14" t="s">
        <v>321</v>
      </c>
      <c r="B113" s="15" t="s">
        <v>322</v>
      </c>
      <c r="C113" s="11" t="s">
        <v>323</v>
      </c>
      <c r="D113" s="11" t="s">
        <v>55</v>
      </c>
      <c r="E113" s="16">
        <v>500000</v>
      </c>
      <c r="F113" s="17">
        <v>494.35</v>
      </c>
      <c r="G113" s="18">
        <v>4.4999999999999997E-3</v>
      </c>
      <c r="H113" s="35">
        <v>7.5396000000000005E-2</v>
      </c>
      <c r="I113" s="20"/>
      <c r="J113" s="1"/>
    </row>
    <row r="114" spans="1:10" ht="12.95" customHeight="1">
      <c r="A114" s="14" t="s">
        <v>324</v>
      </c>
      <c r="B114" s="15" t="s">
        <v>325</v>
      </c>
      <c r="C114" s="11" t="s">
        <v>326</v>
      </c>
      <c r="D114" s="11" t="s">
        <v>55</v>
      </c>
      <c r="E114" s="16">
        <v>500000</v>
      </c>
      <c r="F114" s="17">
        <v>492.68</v>
      </c>
      <c r="G114" s="18">
        <v>4.4000000000000003E-3</v>
      </c>
      <c r="H114" s="35">
        <v>7.5329999999999994E-2</v>
      </c>
      <c r="I114" s="20"/>
      <c r="J114" s="1"/>
    </row>
    <row r="115" spans="1:10" ht="12.95" customHeight="1">
      <c r="A115" s="14" t="s">
        <v>327</v>
      </c>
      <c r="B115" s="15" t="s">
        <v>328</v>
      </c>
      <c r="C115" s="11" t="s">
        <v>329</v>
      </c>
      <c r="D115" s="11" t="s">
        <v>55</v>
      </c>
      <c r="E115" s="16">
        <v>500000</v>
      </c>
      <c r="F115" s="17">
        <v>489.82</v>
      </c>
      <c r="G115" s="18">
        <v>4.4000000000000003E-3</v>
      </c>
      <c r="H115" s="35">
        <v>7.5245999999999993E-2</v>
      </c>
      <c r="I115" s="20"/>
      <c r="J115" s="1"/>
    </row>
    <row r="116" spans="1:10" ht="12.95" customHeight="1">
      <c r="A116" s="14" t="s">
        <v>330</v>
      </c>
      <c r="B116" s="15" t="s">
        <v>331</v>
      </c>
      <c r="C116" s="11" t="s">
        <v>332</v>
      </c>
      <c r="D116" s="11" t="s">
        <v>55</v>
      </c>
      <c r="E116" s="16">
        <v>500000</v>
      </c>
      <c r="F116" s="17">
        <v>489.14</v>
      </c>
      <c r="G116" s="18">
        <v>4.4000000000000003E-3</v>
      </c>
      <c r="H116" s="35">
        <v>7.5275999999999996E-2</v>
      </c>
      <c r="I116" s="20"/>
      <c r="J116" s="1"/>
    </row>
    <row r="117" spans="1:10" ht="12.95" customHeight="1">
      <c r="A117" s="14" t="s">
        <v>333</v>
      </c>
      <c r="B117" s="15" t="s">
        <v>334</v>
      </c>
      <c r="C117" s="11" t="s">
        <v>335</v>
      </c>
      <c r="D117" s="11" t="s">
        <v>55</v>
      </c>
      <c r="E117" s="16">
        <v>500000</v>
      </c>
      <c r="F117" s="17">
        <v>487.73</v>
      </c>
      <c r="G117" s="18">
        <v>4.4000000000000003E-3</v>
      </c>
      <c r="H117" s="35">
        <v>7.5581999999999996E-2</v>
      </c>
      <c r="I117" s="20"/>
      <c r="J117" s="1"/>
    </row>
    <row r="118" spans="1:10" ht="12.95" customHeight="1">
      <c r="A118" s="14" t="s">
        <v>336</v>
      </c>
      <c r="B118" s="15" t="s">
        <v>337</v>
      </c>
      <c r="C118" s="11" t="s">
        <v>338</v>
      </c>
      <c r="D118" s="11" t="s">
        <v>55</v>
      </c>
      <c r="E118" s="16">
        <v>500000</v>
      </c>
      <c r="F118" s="17">
        <v>485.45</v>
      </c>
      <c r="G118" s="18">
        <v>4.4000000000000003E-3</v>
      </c>
      <c r="H118" s="35">
        <v>7.4731000000000006E-2</v>
      </c>
      <c r="I118" s="20"/>
      <c r="J118" s="1"/>
    </row>
    <row r="119" spans="1:10" ht="12.95" customHeight="1">
      <c r="A119" s="14" t="s">
        <v>339</v>
      </c>
      <c r="B119" s="15" t="s">
        <v>340</v>
      </c>
      <c r="C119" s="11" t="s">
        <v>341</v>
      </c>
      <c r="D119" s="11" t="s">
        <v>55</v>
      </c>
      <c r="E119" s="16">
        <v>500000</v>
      </c>
      <c r="F119" s="17">
        <v>477.76</v>
      </c>
      <c r="G119" s="18">
        <v>4.3E-3</v>
      </c>
      <c r="H119" s="35">
        <v>7.4878E-2</v>
      </c>
      <c r="I119" s="20"/>
      <c r="J119" s="1"/>
    </row>
    <row r="120" spans="1:10" ht="12.95" customHeight="1">
      <c r="A120" s="1"/>
      <c r="B120" s="10" t="s">
        <v>38</v>
      </c>
      <c r="C120" s="11"/>
      <c r="D120" s="11"/>
      <c r="E120" s="11"/>
      <c r="F120" s="21">
        <v>84096.55</v>
      </c>
      <c r="G120" s="22">
        <v>0.75770000000000004</v>
      </c>
      <c r="H120" s="23"/>
      <c r="I120" s="24"/>
      <c r="J120" s="1"/>
    </row>
    <row r="121" spans="1:10" ht="12.95" customHeight="1">
      <c r="A121" s="1"/>
      <c r="B121" s="25" t="s">
        <v>342</v>
      </c>
      <c r="C121" s="26"/>
      <c r="D121" s="26"/>
      <c r="E121" s="26"/>
      <c r="F121" s="23" t="s">
        <v>40</v>
      </c>
      <c r="G121" s="23" t="s">
        <v>40</v>
      </c>
      <c r="H121" s="23"/>
      <c r="I121" s="24"/>
      <c r="J121" s="1"/>
    </row>
    <row r="122" spans="1:10" ht="12.95" customHeight="1">
      <c r="A122" s="1"/>
      <c r="B122" s="25" t="s">
        <v>38</v>
      </c>
      <c r="C122" s="26"/>
      <c r="D122" s="26"/>
      <c r="E122" s="26"/>
      <c r="F122" s="23" t="s">
        <v>40</v>
      </c>
      <c r="G122" s="23" t="s">
        <v>40</v>
      </c>
      <c r="H122" s="23"/>
      <c r="I122" s="24"/>
      <c r="J122" s="1"/>
    </row>
    <row r="123" spans="1:10" ht="12.95" customHeight="1">
      <c r="A123" s="1"/>
      <c r="B123" s="25" t="s">
        <v>49</v>
      </c>
      <c r="C123" s="27"/>
      <c r="D123" s="26"/>
      <c r="E123" s="27"/>
      <c r="F123" s="21">
        <v>84096.55</v>
      </c>
      <c r="G123" s="22">
        <v>0.75770000000000004</v>
      </c>
      <c r="H123" s="23"/>
      <c r="I123" s="24"/>
      <c r="J123" s="1"/>
    </row>
    <row r="124" spans="1:10" ht="12.95" customHeight="1">
      <c r="A124" s="1"/>
      <c r="B124" s="10" t="s">
        <v>343</v>
      </c>
      <c r="C124" s="11"/>
      <c r="D124" s="11"/>
      <c r="E124" s="11"/>
      <c r="F124" s="11"/>
      <c r="G124" s="11"/>
      <c r="H124" s="12"/>
      <c r="I124" s="13"/>
      <c r="J124" s="1"/>
    </row>
    <row r="125" spans="1:10" ht="12.95" customHeight="1">
      <c r="A125" s="1"/>
      <c r="B125" s="10" t="s">
        <v>344</v>
      </c>
      <c r="C125" s="11"/>
      <c r="D125" s="36" t="s">
        <v>345</v>
      </c>
      <c r="E125" s="11"/>
      <c r="F125" s="1"/>
      <c r="G125" s="12"/>
      <c r="H125" s="12"/>
      <c r="I125" s="13"/>
      <c r="J125" s="1"/>
    </row>
    <row r="126" spans="1:10" ht="12.95" customHeight="1">
      <c r="A126" s="14" t="s">
        <v>346</v>
      </c>
      <c r="B126" s="15" t="s">
        <v>347</v>
      </c>
      <c r="C126" s="11"/>
      <c r="D126" s="37" t="s">
        <v>348</v>
      </c>
      <c r="E126" s="38"/>
      <c r="F126" s="17">
        <v>150</v>
      </c>
      <c r="G126" s="18">
        <v>1.4E-3</v>
      </c>
      <c r="H126" s="35">
        <v>5.2319616569999998E-2</v>
      </c>
      <c r="I126" s="20"/>
      <c r="J126" s="1"/>
    </row>
    <row r="127" spans="1:10" ht="12.95" customHeight="1">
      <c r="A127" s="14" t="s">
        <v>349</v>
      </c>
      <c r="B127" s="15" t="s">
        <v>350</v>
      </c>
      <c r="C127" s="11"/>
      <c r="D127" s="37" t="s">
        <v>351</v>
      </c>
      <c r="E127" s="38"/>
      <c r="F127" s="17">
        <v>100</v>
      </c>
      <c r="G127" s="18">
        <v>8.9999999999999998E-4</v>
      </c>
      <c r="H127" s="35">
        <v>5.2319616569999998E-2</v>
      </c>
      <c r="I127" s="20"/>
      <c r="J127" s="1"/>
    </row>
    <row r="128" spans="1:10" ht="12.95" customHeight="1">
      <c r="A128" s="14" t="s">
        <v>352</v>
      </c>
      <c r="B128" s="15" t="s">
        <v>353</v>
      </c>
      <c r="C128" s="11"/>
      <c r="D128" s="37" t="s">
        <v>351</v>
      </c>
      <c r="E128" s="38"/>
      <c r="F128" s="17">
        <v>100</v>
      </c>
      <c r="G128" s="18">
        <v>8.9999999999999998E-4</v>
      </c>
      <c r="H128" s="35">
        <v>5.1655594520000001E-2</v>
      </c>
      <c r="I128" s="20"/>
      <c r="J128" s="1"/>
    </row>
    <row r="129" spans="1:10" ht="12.95" customHeight="1">
      <c r="A129" s="14" t="s">
        <v>354</v>
      </c>
      <c r="B129" s="15" t="s">
        <v>355</v>
      </c>
      <c r="C129" s="11"/>
      <c r="D129" s="37" t="s">
        <v>351</v>
      </c>
      <c r="E129" s="38"/>
      <c r="F129" s="17">
        <v>100</v>
      </c>
      <c r="G129" s="18">
        <v>8.9999999999999998E-4</v>
      </c>
      <c r="H129" s="35">
        <v>5.3898645279999997E-2</v>
      </c>
      <c r="I129" s="20"/>
      <c r="J129" s="1"/>
    </row>
    <row r="130" spans="1:10" ht="12.95" customHeight="1">
      <c r="A130" s="1"/>
      <c r="B130" s="10" t="s">
        <v>38</v>
      </c>
      <c r="C130" s="11"/>
      <c r="D130" s="11"/>
      <c r="E130" s="11"/>
      <c r="F130" s="21">
        <v>450</v>
      </c>
      <c r="G130" s="22">
        <v>4.1000000000000003E-3</v>
      </c>
      <c r="H130" s="23"/>
      <c r="I130" s="24"/>
      <c r="J130" s="1"/>
    </row>
    <row r="131" spans="1:10" ht="12.95" customHeight="1">
      <c r="A131" s="1"/>
      <c r="B131" s="25" t="s">
        <v>49</v>
      </c>
      <c r="C131" s="27"/>
      <c r="D131" s="26"/>
      <c r="E131" s="27"/>
      <c r="F131" s="21">
        <v>450</v>
      </c>
      <c r="G131" s="22">
        <v>4.1000000000000003E-3</v>
      </c>
      <c r="H131" s="23"/>
      <c r="I131" s="24"/>
      <c r="J131" s="1"/>
    </row>
    <row r="132" spans="1:10" ht="12.95" customHeight="1">
      <c r="A132" s="1"/>
      <c r="B132" s="10" t="s">
        <v>356</v>
      </c>
      <c r="C132" s="11"/>
      <c r="D132" s="11"/>
      <c r="E132" s="11"/>
      <c r="F132" s="11"/>
      <c r="G132" s="11"/>
      <c r="H132" s="12"/>
      <c r="I132" s="13"/>
      <c r="J132" s="1"/>
    </row>
    <row r="133" spans="1:10" ht="12.95" customHeight="1">
      <c r="A133" s="14" t="s">
        <v>357</v>
      </c>
      <c r="B133" s="15" t="s">
        <v>358</v>
      </c>
      <c r="C133" s="11"/>
      <c r="D133" s="11"/>
      <c r="E133" s="16"/>
      <c r="F133" s="17">
        <v>1455</v>
      </c>
      <c r="G133" s="18">
        <v>1.3100000000000001E-2</v>
      </c>
      <c r="H133" s="35">
        <v>5.5573752292874826E-2</v>
      </c>
      <c r="I133" s="20"/>
      <c r="J133" s="1"/>
    </row>
    <row r="134" spans="1:10" ht="12.95" customHeight="1">
      <c r="A134" s="1"/>
      <c r="B134" s="10" t="s">
        <v>38</v>
      </c>
      <c r="C134" s="11"/>
      <c r="D134" s="11"/>
      <c r="E134" s="11"/>
      <c r="F134" s="21">
        <v>1455</v>
      </c>
      <c r="G134" s="22">
        <v>1.3100000000000001E-2</v>
      </c>
      <c r="H134" s="23"/>
      <c r="I134" s="24"/>
      <c r="J134" s="1"/>
    </row>
    <row r="135" spans="1:10" ht="12.95" customHeight="1">
      <c r="A135" s="1"/>
      <c r="B135" s="25" t="s">
        <v>342</v>
      </c>
      <c r="C135" s="26"/>
      <c r="D135" s="26"/>
      <c r="E135" s="26"/>
      <c r="F135" s="23" t="s">
        <v>40</v>
      </c>
      <c r="G135" s="23" t="s">
        <v>40</v>
      </c>
      <c r="H135" s="23"/>
      <c r="I135" s="24"/>
      <c r="J135" s="1"/>
    </row>
    <row r="136" spans="1:10" ht="12.95" customHeight="1">
      <c r="A136" s="1"/>
      <c r="B136" s="25" t="s">
        <v>38</v>
      </c>
      <c r="C136" s="26"/>
      <c r="D136" s="26"/>
      <c r="E136" s="26"/>
      <c r="F136" s="23" t="s">
        <v>40</v>
      </c>
      <c r="G136" s="23" t="s">
        <v>40</v>
      </c>
      <c r="H136" s="23"/>
      <c r="I136" s="24"/>
      <c r="J136" s="1"/>
    </row>
    <row r="137" spans="1:10" ht="12.95" customHeight="1">
      <c r="A137" s="1"/>
      <c r="B137" s="25" t="s">
        <v>49</v>
      </c>
      <c r="C137" s="27"/>
      <c r="D137" s="26"/>
      <c r="E137" s="27"/>
      <c r="F137" s="21">
        <v>1455</v>
      </c>
      <c r="G137" s="22">
        <v>1.3100000000000001E-2</v>
      </c>
      <c r="H137" s="23"/>
      <c r="I137" s="24"/>
      <c r="J137" s="1"/>
    </row>
    <row r="138" spans="1:10" ht="12.95" customHeight="1">
      <c r="A138" s="1"/>
      <c r="B138" s="25" t="s">
        <v>359</v>
      </c>
      <c r="C138" s="11"/>
      <c r="D138" s="26"/>
      <c r="E138" s="11"/>
      <c r="F138" s="39">
        <v>2252.4699999999998</v>
      </c>
      <c r="G138" s="22">
        <v>1.9699999999999999E-2</v>
      </c>
      <c r="H138" s="23"/>
      <c r="I138" s="24"/>
      <c r="J138" s="1"/>
    </row>
    <row r="139" spans="1:10" ht="12.95" customHeight="1" thickBot="1">
      <c r="A139" s="1"/>
      <c r="B139" s="40" t="s">
        <v>360</v>
      </c>
      <c r="C139" s="41"/>
      <c r="D139" s="41"/>
      <c r="E139" s="41"/>
      <c r="F139" s="42">
        <v>111043.17</v>
      </c>
      <c r="G139" s="43">
        <v>1</v>
      </c>
      <c r="H139" s="44"/>
      <c r="I139" s="45"/>
      <c r="J139" s="1"/>
    </row>
    <row r="140" spans="1:10" ht="12.95" customHeight="1">
      <c r="A140" s="1"/>
      <c r="B140" s="3"/>
      <c r="C140" s="1"/>
      <c r="D140" s="1"/>
      <c r="E140" s="1"/>
      <c r="F140" s="1"/>
      <c r="G140" s="1"/>
      <c r="H140" s="1"/>
      <c r="I140" s="1"/>
      <c r="J140" s="1"/>
    </row>
    <row r="141" spans="1:10" ht="12.95" customHeight="1">
      <c r="A141" s="1"/>
      <c r="B141" s="149" t="s">
        <v>361</v>
      </c>
      <c r="C141" s="1"/>
      <c r="D141" s="1"/>
      <c r="E141" s="1"/>
      <c r="F141" s="46"/>
      <c r="G141" s="47"/>
      <c r="H141" s="1"/>
      <c r="I141" s="1"/>
      <c r="J141" s="1"/>
    </row>
    <row r="142" spans="1:10" ht="12.95" customHeight="1">
      <c r="A142" s="1"/>
      <c r="B142" s="149" t="s">
        <v>362</v>
      </c>
      <c r="C142" s="1"/>
      <c r="D142" s="1"/>
      <c r="E142" s="1"/>
      <c r="F142" s="48"/>
      <c r="G142" s="47"/>
      <c r="H142" s="1"/>
      <c r="I142" s="1"/>
      <c r="J142" s="1"/>
    </row>
    <row r="143" spans="1:10" ht="12.95" customHeight="1">
      <c r="A143" s="1"/>
      <c r="B143" s="149" t="s">
        <v>363</v>
      </c>
      <c r="C143" s="1"/>
      <c r="D143" s="1"/>
      <c r="E143" s="1"/>
      <c r="F143" s="49"/>
      <c r="G143" s="47"/>
      <c r="H143" s="1"/>
      <c r="I143" s="1"/>
      <c r="J143" s="1"/>
    </row>
    <row r="144" spans="1:10" ht="12.95" customHeight="1">
      <c r="A144" s="1"/>
      <c r="B144" s="154" t="s">
        <v>364</v>
      </c>
      <c r="C144" s="154"/>
      <c r="D144" s="154"/>
      <c r="E144" s="1"/>
      <c r="F144" s="49"/>
      <c r="G144" s="47"/>
      <c r="H144" s="1"/>
      <c r="I144" s="1"/>
      <c r="J144" s="1"/>
    </row>
    <row r="145" spans="1:10" ht="12.95" customHeight="1" thickBot="1">
      <c r="A145" s="1"/>
      <c r="B145" s="149"/>
      <c r="C145" s="1"/>
      <c r="D145" s="1"/>
      <c r="E145" s="1"/>
      <c r="F145" s="1"/>
      <c r="G145" s="1"/>
      <c r="H145" s="1"/>
      <c r="I145" s="1"/>
      <c r="J145" s="1"/>
    </row>
    <row r="146" spans="1:10">
      <c r="B146" s="50" t="s">
        <v>365</v>
      </c>
      <c r="C146" s="51"/>
      <c r="D146" s="52"/>
      <c r="E146" s="53"/>
      <c r="F146" s="54"/>
      <c r="G146" s="54"/>
      <c r="H146" s="55"/>
    </row>
    <row r="147" spans="1:10">
      <c r="B147" s="56" t="s">
        <v>366</v>
      </c>
      <c r="C147" s="57"/>
      <c r="D147" s="58"/>
      <c r="E147" s="58"/>
      <c r="F147" s="57"/>
      <c r="G147" s="59"/>
      <c r="H147" s="60"/>
    </row>
    <row r="148" spans="1:10" ht="36">
      <c r="B148" s="155" t="s">
        <v>367</v>
      </c>
      <c r="C148" s="156" t="s">
        <v>368</v>
      </c>
      <c r="D148" s="61" t="s">
        <v>369</v>
      </c>
      <c r="E148" s="61" t="s">
        <v>369</v>
      </c>
      <c r="F148" s="61" t="s">
        <v>370</v>
      </c>
      <c r="G148" s="59"/>
      <c r="H148" s="60"/>
    </row>
    <row r="149" spans="1:10">
      <c r="B149" s="155"/>
      <c r="C149" s="156"/>
      <c r="D149" s="61" t="s">
        <v>371</v>
      </c>
      <c r="E149" s="61" t="s">
        <v>372</v>
      </c>
      <c r="F149" s="61" t="s">
        <v>371</v>
      </c>
      <c r="G149" s="59"/>
      <c r="H149" s="60"/>
    </row>
    <row r="150" spans="1:10">
      <c r="B150" s="150" t="s">
        <v>40</v>
      </c>
      <c r="C150" s="151" t="s">
        <v>40</v>
      </c>
      <c r="D150" s="151" t="s">
        <v>40</v>
      </c>
      <c r="E150" s="151" t="s">
        <v>40</v>
      </c>
      <c r="F150" s="151" t="s">
        <v>40</v>
      </c>
      <c r="G150" s="59"/>
      <c r="H150" s="60"/>
    </row>
    <row r="151" spans="1:10">
      <c r="B151" s="62" t="s">
        <v>373</v>
      </c>
      <c r="C151" s="63"/>
      <c r="D151" s="63"/>
      <c r="E151" s="63"/>
      <c r="F151" s="63"/>
      <c r="G151" s="59"/>
      <c r="H151" s="60"/>
    </row>
    <row r="152" spans="1:10">
      <c r="B152" s="64"/>
      <c r="C152" s="65"/>
      <c r="D152" s="65"/>
      <c r="E152" s="65"/>
      <c r="F152" s="65"/>
      <c r="G152" s="59"/>
      <c r="H152" s="60"/>
    </row>
    <row r="153" spans="1:10">
      <c r="B153" s="64" t="s">
        <v>374</v>
      </c>
      <c r="C153" s="65"/>
      <c r="D153" s="65"/>
      <c r="E153" s="65"/>
      <c r="F153" s="65"/>
      <c r="G153" s="59"/>
      <c r="H153" s="60"/>
    </row>
    <row r="154" spans="1:10">
      <c r="B154" s="66" t="s">
        <v>375</v>
      </c>
      <c r="C154" s="67" t="s">
        <v>376</v>
      </c>
      <c r="D154" s="67" t="s">
        <v>377</v>
      </c>
      <c r="E154" s="65"/>
      <c r="F154" s="65"/>
      <c r="G154" s="59"/>
      <c r="H154" s="60"/>
    </row>
    <row r="155" spans="1:10">
      <c r="B155" s="66" t="s">
        <v>378</v>
      </c>
      <c r="C155" s="68"/>
      <c r="D155" s="68"/>
      <c r="E155" s="65"/>
      <c r="F155" s="65"/>
      <c r="G155" s="59"/>
      <c r="H155" s="60"/>
    </row>
    <row r="156" spans="1:10">
      <c r="B156" s="66" t="s">
        <v>379</v>
      </c>
      <c r="C156" s="69">
        <v>11.0542</v>
      </c>
      <c r="D156" s="69">
        <v>11.243600000000001</v>
      </c>
      <c r="E156" s="65"/>
      <c r="F156" s="65"/>
      <c r="G156" s="59"/>
      <c r="H156" s="60"/>
    </row>
    <row r="157" spans="1:10">
      <c r="B157" s="66" t="s">
        <v>380</v>
      </c>
      <c r="C157" s="69">
        <v>10.0427</v>
      </c>
      <c r="D157" s="69">
        <v>10.083299999999999</v>
      </c>
      <c r="E157" s="65"/>
      <c r="F157" s="65"/>
      <c r="G157" s="70"/>
      <c r="H157" s="60"/>
    </row>
    <row r="158" spans="1:10">
      <c r="B158" s="66" t="s">
        <v>381</v>
      </c>
      <c r="C158" s="69"/>
      <c r="D158" s="69"/>
      <c r="E158" s="65"/>
      <c r="F158" s="65"/>
      <c r="G158" s="59"/>
      <c r="H158" s="60"/>
    </row>
    <row r="159" spans="1:10">
      <c r="B159" s="66" t="s">
        <v>382</v>
      </c>
      <c r="C159" s="69">
        <v>11.006600000000001</v>
      </c>
      <c r="D159" s="69">
        <v>11.192399999999999</v>
      </c>
      <c r="E159" s="65"/>
      <c r="F159" s="65"/>
      <c r="G159" s="70"/>
      <c r="H159" s="60"/>
    </row>
    <row r="160" spans="1:10">
      <c r="B160" s="66" t="s">
        <v>383</v>
      </c>
      <c r="C160" s="69">
        <v>10.1408</v>
      </c>
      <c r="D160" s="69">
        <v>10.181699999999999</v>
      </c>
      <c r="E160" s="65"/>
      <c r="F160" s="65"/>
      <c r="G160" s="70"/>
      <c r="H160" s="60"/>
    </row>
    <row r="161" spans="2:8">
      <c r="B161" s="71"/>
      <c r="C161" s="65"/>
      <c r="D161" s="65"/>
      <c r="E161" s="65"/>
      <c r="F161" s="65"/>
      <c r="G161" s="59"/>
      <c r="H161" s="60"/>
    </row>
    <row r="162" spans="2:8">
      <c r="B162" s="64" t="s">
        <v>384</v>
      </c>
      <c r="C162" s="72"/>
      <c r="D162" s="72"/>
      <c r="E162" s="72"/>
      <c r="F162" s="65"/>
      <c r="G162" s="59"/>
      <c r="H162" s="60"/>
    </row>
    <row r="163" spans="2:8" ht="36">
      <c r="B163" s="73" t="s">
        <v>385</v>
      </c>
      <c r="C163" s="74" t="s">
        <v>386</v>
      </c>
      <c r="D163" s="74" t="s">
        <v>387</v>
      </c>
      <c r="E163" s="74" t="s">
        <v>388</v>
      </c>
      <c r="F163" s="65"/>
      <c r="G163" s="59"/>
      <c r="H163" s="60"/>
    </row>
    <row r="164" spans="2:8" ht="24">
      <c r="B164" s="75" t="s">
        <v>389</v>
      </c>
      <c r="C164" s="76" t="s">
        <v>390</v>
      </c>
      <c r="D164" s="77">
        <v>0.1312314</v>
      </c>
      <c r="E164" s="77">
        <v>0.1312314</v>
      </c>
      <c r="F164" s="65"/>
      <c r="G164" s="59"/>
      <c r="H164" s="60"/>
    </row>
    <row r="165" spans="2:8" ht="24">
      <c r="B165" s="75" t="s">
        <v>389</v>
      </c>
      <c r="C165" s="76" t="s">
        <v>391</v>
      </c>
      <c r="D165" s="77">
        <v>0.13011598999999999</v>
      </c>
      <c r="E165" s="77">
        <v>0.13011598999999999</v>
      </c>
      <c r="F165" s="65"/>
      <c r="G165" s="59"/>
      <c r="H165" s="60"/>
    </row>
    <row r="166" spans="2:8">
      <c r="B166" s="64"/>
      <c r="C166" s="72"/>
      <c r="D166" s="72"/>
      <c r="E166" s="72"/>
      <c r="F166" s="65"/>
      <c r="G166" s="59"/>
      <c r="H166" s="60"/>
    </row>
    <row r="167" spans="2:8">
      <c r="B167" s="64"/>
      <c r="C167" s="72"/>
      <c r="D167" s="72"/>
      <c r="E167" s="72"/>
      <c r="F167" s="65"/>
      <c r="G167" s="59"/>
      <c r="H167" s="60"/>
    </row>
    <row r="168" spans="2:8">
      <c r="B168" s="64" t="s">
        <v>392</v>
      </c>
      <c r="C168" s="72"/>
      <c r="D168" s="72"/>
      <c r="E168" s="72"/>
      <c r="F168" s="65"/>
      <c r="G168" s="59"/>
      <c r="H168" s="60"/>
    </row>
    <row r="169" spans="2:8">
      <c r="B169" s="64"/>
      <c r="C169" s="72"/>
      <c r="D169" s="72"/>
      <c r="E169" s="72"/>
      <c r="F169" s="65"/>
      <c r="G169" s="59"/>
      <c r="H169" s="60"/>
    </row>
    <row r="170" spans="2:8">
      <c r="B170" s="64" t="s">
        <v>393</v>
      </c>
      <c r="C170" s="72"/>
      <c r="D170" s="72"/>
      <c r="E170" s="72"/>
      <c r="F170" s="65"/>
      <c r="G170" s="59"/>
      <c r="H170" s="60"/>
    </row>
    <row r="171" spans="2:8">
      <c r="B171" s="78" t="s">
        <v>394</v>
      </c>
      <c r="C171" s="72"/>
      <c r="D171" s="72"/>
      <c r="E171" s="72"/>
      <c r="F171" s="65"/>
      <c r="G171" s="59"/>
      <c r="H171" s="60"/>
    </row>
    <row r="172" spans="2:8">
      <c r="B172" s="78"/>
      <c r="C172" s="72"/>
      <c r="D172" s="72"/>
      <c r="E172" s="72"/>
      <c r="F172" s="65"/>
      <c r="G172" s="59"/>
      <c r="H172" s="60"/>
    </row>
    <row r="173" spans="2:8">
      <c r="B173" s="64" t="s">
        <v>395</v>
      </c>
      <c r="C173" s="72"/>
      <c r="D173" s="72"/>
      <c r="E173" s="72"/>
      <c r="F173" s="65"/>
      <c r="G173" s="59"/>
      <c r="H173" s="60"/>
    </row>
    <row r="174" spans="2:8">
      <c r="B174" s="64"/>
      <c r="C174" s="72"/>
      <c r="D174" s="72"/>
      <c r="E174" s="72"/>
      <c r="F174" s="65"/>
      <c r="G174" s="59"/>
      <c r="H174" s="60"/>
    </row>
    <row r="175" spans="2:8">
      <c r="B175" s="64" t="s">
        <v>396</v>
      </c>
      <c r="C175" s="72"/>
      <c r="D175" s="72"/>
      <c r="E175" s="72"/>
      <c r="F175" s="65"/>
      <c r="G175" s="59"/>
      <c r="H175" s="60"/>
    </row>
    <row r="176" spans="2:8">
      <c r="B176" s="79"/>
      <c r="C176" s="72"/>
      <c r="D176" s="72"/>
      <c r="E176" s="72"/>
      <c r="F176" s="65"/>
      <c r="G176" s="59"/>
      <c r="H176" s="60"/>
    </row>
    <row r="177" spans="2:8">
      <c r="B177" s="64" t="s">
        <v>397</v>
      </c>
      <c r="C177" s="72"/>
      <c r="D177" s="80"/>
      <c r="E177" s="72"/>
      <c r="F177" s="65"/>
      <c r="G177" s="59"/>
      <c r="H177" s="60"/>
    </row>
    <row r="178" spans="2:8">
      <c r="B178" s="64"/>
      <c r="C178" s="72"/>
      <c r="D178" s="72"/>
      <c r="E178" s="72"/>
      <c r="F178" s="65"/>
      <c r="G178" s="59"/>
      <c r="H178" s="60"/>
    </row>
    <row r="179" spans="2:8">
      <c r="B179" s="64" t="s">
        <v>398</v>
      </c>
      <c r="C179" s="72"/>
      <c r="D179" s="72"/>
      <c r="E179" s="72"/>
      <c r="F179" s="65"/>
      <c r="G179" s="59"/>
      <c r="H179" s="60"/>
    </row>
    <row r="180" spans="2:8">
      <c r="B180" s="64"/>
      <c r="C180" s="72"/>
      <c r="D180" s="72"/>
      <c r="E180" s="72"/>
      <c r="F180" s="65"/>
      <c r="G180" s="59"/>
      <c r="H180" s="60"/>
    </row>
    <row r="181" spans="2:8">
      <c r="B181" s="64" t="s">
        <v>399</v>
      </c>
      <c r="C181" s="72"/>
      <c r="D181" s="72"/>
      <c r="E181" s="72"/>
      <c r="F181" s="65"/>
      <c r="G181" s="59"/>
      <c r="H181" s="60"/>
    </row>
    <row r="182" spans="2:8">
      <c r="B182" s="81" t="s">
        <v>400</v>
      </c>
      <c r="C182" s="82"/>
      <c r="D182" s="82"/>
      <c r="E182" s="82"/>
      <c r="F182" s="83">
        <v>0</v>
      </c>
      <c r="G182" s="59"/>
      <c r="H182" s="60"/>
    </row>
    <row r="183" spans="2:8">
      <c r="B183" s="81" t="s">
        <v>401</v>
      </c>
      <c r="C183" s="82"/>
      <c r="D183" s="82"/>
      <c r="E183" s="82"/>
      <c r="F183" s="83">
        <f>(G120-G112)*100</f>
        <v>75.320000000000007</v>
      </c>
      <c r="G183" s="59"/>
      <c r="H183" s="60"/>
    </row>
    <row r="184" spans="2:8">
      <c r="B184" s="81" t="s">
        <v>402</v>
      </c>
      <c r="C184" s="82"/>
      <c r="D184" s="82"/>
      <c r="E184" s="82"/>
      <c r="F184" s="83">
        <v>0</v>
      </c>
      <c r="G184" s="59"/>
      <c r="H184" s="60"/>
    </row>
    <row r="185" spans="2:8">
      <c r="B185" s="84" t="s">
        <v>403</v>
      </c>
      <c r="C185" s="85"/>
      <c r="D185" s="85"/>
      <c r="E185" s="85"/>
      <c r="F185" s="86">
        <f>G21*100</f>
        <v>20.54</v>
      </c>
      <c r="G185" s="59"/>
      <c r="H185" s="60"/>
    </row>
    <row r="186" spans="2:8">
      <c r="B186" s="84" t="s">
        <v>404</v>
      </c>
      <c r="C186" s="85"/>
      <c r="D186" s="85"/>
      <c r="E186" s="85"/>
      <c r="F186" s="86">
        <f>G112*100</f>
        <v>0.44999999999999996</v>
      </c>
      <c r="G186" s="59"/>
      <c r="H186" s="60"/>
    </row>
    <row r="187" spans="2:8">
      <c r="B187" s="84" t="s">
        <v>405</v>
      </c>
      <c r="C187" s="85"/>
      <c r="D187" s="85"/>
      <c r="E187" s="85"/>
      <c r="F187" s="83">
        <f>(G131+G134+G138)*100</f>
        <v>3.6900000000000004</v>
      </c>
      <c r="G187" s="59"/>
      <c r="H187" s="60"/>
    </row>
    <row r="188" spans="2:8">
      <c r="B188" s="64"/>
      <c r="C188" s="72"/>
      <c r="D188" s="72"/>
      <c r="E188" s="72"/>
      <c r="F188" s="87"/>
      <c r="G188" s="59"/>
      <c r="H188" s="60"/>
    </row>
    <row r="189" spans="2:8">
      <c r="B189" s="64"/>
      <c r="C189" s="72"/>
      <c r="D189" s="72"/>
      <c r="E189" s="72"/>
      <c r="F189" s="65"/>
      <c r="G189" s="59"/>
      <c r="H189" s="60"/>
    </row>
    <row r="190" spans="2:8">
      <c r="B190" s="64" t="s">
        <v>406</v>
      </c>
      <c r="C190" s="72"/>
      <c r="D190" s="72"/>
      <c r="E190" s="72"/>
      <c r="F190" s="65"/>
      <c r="G190" s="59"/>
      <c r="H190" s="60"/>
    </row>
    <row r="191" spans="2:8">
      <c r="B191" s="81" t="s">
        <v>407</v>
      </c>
      <c r="C191" s="88"/>
      <c r="D191" s="88"/>
      <c r="E191" s="88"/>
      <c r="F191" s="83">
        <f>F182+F183</f>
        <v>75.320000000000007</v>
      </c>
      <c r="G191" s="59"/>
      <c r="H191" s="60"/>
    </row>
    <row r="192" spans="2:8">
      <c r="B192" s="81" t="s">
        <v>408</v>
      </c>
      <c r="C192" s="89"/>
      <c r="D192" s="89"/>
      <c r="E192" s="89"/>
      <c r="F192" s="83">
        <f>F186</f>
        <v>0.44999999999999996</v>
      </c>
      <c r="G192" s="59"/>
      <c r="H192" s="60"/>
    </row>
    <row r="193" spans="2:8">
      <c r="B193" s="81" t="s">
        <v>409</v>
      </c>
      <c r="C193" s="89"/>
      <c r="D193" s="89"/>
      <c r="E193" s="89"/>
      <c r="F193" s="83">
        <f>F185</f>
        <v>20.54</v>
      </c>
      <c r="G193" s="59"/>
      <c r="H193" s="60"/>
    </row>
    <row r="194" spans="2:8">
      <c r="B194" s="81" t="s">
        <v>405</v>
      </c>
      <c r="C194" s="89"/>
      <c r="D194" s="89"/>
      <c r="E194" s="89"/>
      <c r="F194" s="83">
        <f>F187</f>
        <v>3.6900000000000004</v>
      </c>
      <c r="G194" s="59"/>
      <c r="H194" s="60"/>
    </row>
    <row r="195" spans="2:8">
      <c r="B195" s="64"/>
      <c r="C195" s="90"/>
      <c r="D195" s="90"/>
      <c r="E195" s="90"/>
      <c r="F195" s="91"/>
      <c r="G195" s="59"/>
      <c r="H195" s="60"/>
    </row>
    <row r="196" spans="2:8">
      <c r="B196" s="64" t="s">
        <v>410</v>
      </c>
      <c r="C196" s="90"/>
      <c r="D196" s="90"/>
      <c r="E196" s="90"/>
      <c r="F196" s="92"/>
      <c r="G196" s="59"/>
      <c r="H196" s="60"/>
    </row>
    <row r="197" spans="2:8" ht="15.75" thickBot="1">
      <c r="B197" s="93"/>
      <c r="C197" s="94"/>
      <c r="D197" s="94"/>
      <c r="E197" s="95"/>
      <c r="F197" s="96"/>
      <c r="G197" s="95"/>
      <c r="H197" s="97"/>
    </row>
    <row r="198" spans="2:8">
      <c r="B198" s="98" t="s">
        <v>411</v>
      </c>
      <c r="C198" s="99"/>
      <c r="D198" s="99"/>
      <c r="E198" s="99"/>
      <c r="F198" s="100"/>
      <c r="G198" s="101"/>
      <c r="H198" s="55"/>
    </row>
    <row r="199" spans="2:8">
      <c r="B199" s="64"/>
      <c r="C199" s="90"/>
      <c r="D199" s="90"/>
      <c r="E199" s="90"/>
      <c r="F199" s="92"/>
      <c r="G199" s="59"/>
      <c r="H199" s="60"/>
    </row>
    <row r="200" spans="2:8">
      <c r="B200" s="102" t="s">
        <v>412</v>
      </c>
      <c r="C200" s="103"/>
      <c r="D200" s="103"/>
      <c r="E200" s="103"/>
      <c r="F200" s="104"/>
      <c r="G200" s="59"/>
      <c r="H200" s="60"/>
    </row>
    <row r="201" spans="2:8">
      <c r="B201" s="56"/>
      <c r="C201" s="57"/>
      <c r="D201" s="57"/>
      <c r="E201" s="105"/>
      <c r="F201" s="105"/>
      <c r="G201" s="106"/>
      <c r="H201" s="60"/>
    </row>
    <row r="202" spans="2:8">
      <c r="B202" s="107" t="s">
        <v>413</v>
      </c>
      <c r="C202" s="108"/>
      <c r="D202" s="109"/>
      <c r="E202" s="57"/>
      <c r="F202" s="57"/>
      <c r="G202" s="57"/>
      <c r="H202" s="60"/>
    </row>
    <row r="203" spans="2:8">
      <c r="B203" s="56"/>
      <c r="C203" s="57"/>
      <c r="D203" s="57"/>
      <c r="E203" s="57"/>
      <c r="F203" s="110"/>
      <c r="G203" s="110"/>
      <c r="H203" s="60"/>
    </row>
    <row r="204" spans="2:8">
      <c r="B204" s="107" t="s">
        <v>414</v>
      </c>
      <c r="C204" s="108"/>
      <c r="D204" s="111"/>
      <c r="E204" s="57"/>
      <c r="F204" s="112"/>
      <c r="G204" s="57"/>
      <c r="H204" s="60"/>
    </row>
    <row r="205" spans="2:8">
      <c r="B205" s="113"/>
      <c r="C205" s="114"/>
      <c r="D205" s="114"/>
      <c r="E205" s="57"/>
      <c r="F205" s="57"/>
      <c r="G205" s="57"/>
      <c r="H205" s="60"/>
    </row>
    <row r="206" spans="2:8">
      <c r="B206" s="115" t="s">
        <v>415</v>
      </c>
      <c r="C206" s="111"/>
      <c r="D206" s="111"/>
      <c r="E206" s="57"/>
      <c r="F206" s="112"/>
      <c r="G206" s="57"/>
      <c r="H206" s="60"/>
    </row>
    <row r="207" spans="2:8" ht="48" hidden="1">
      <c r="B207" s="116" t="s">
        <v>416</v>
      </c>
      <c r="C207" s="116" t="s">
        <v>417</v>
      </c>
      <c r="D207" s="116" t="s">
        <v>418</v>
      </c>
      <c r="E207" s="117" t="s">
        <v>419</v>
      </c>
      <c r="F207" s="117" t="s">
        <v>420</v>
      </c>
      <c r="G207" s="57"/>
      <c r="H207" s="60"/>
    </row>
    <row r="208" spans="2:8" hidden="1">
      <c r="B208" s="76"/>
      <c r="C208" s="76"/>
      <c r="D208" s="76"/>
      <c r="E208" s="118"/>
      <c r="F208" s="118"/>
      <c r="G208" s="57"/>
      <c r="H208" s="60"/>
    </row>
    <row r="209" spans="2:10" hidden="1">
      <c r="B209" s="76"/>
      <c r="C209" s="76"/>
      <c r="D209" s="76"/>
      <c r="E209" s="118"/>
      <c r="F209" s="118"/>
      <c r="G209" s="57"/>
      <c r="H209" s="60"/>
    </row>
    <row r="210" spans="2:10" hidden="1">
      <c r="B210" s="157" t="s">
        <v>421</v>
      </c>
      <c r="C210" s="158"/>
      <c r="D210" s="158"/>
      <c r="E210" s="158"/>
      <c r="F210" s="159"/>
      <c r="G210" s="57"/>
      <c r="H210" s="60"/>
    </row>
    <row r="211" spans="2:10">
      <c r="B211" s="115"/>
      <c r="C211" s="111"/>
      <c r="D211" s="111"/>
      <c r="E211" s="57"/>
      <c r="F211" s="112"/>
      <c r="G211" s="57"/>
      <c r="H211" s="60"/>
    </row>
    <row r="212" spans="2:10">
      <c r="B212" s="119" t="s">
        <v>422</v>
      </c>
      <c r="C212" s="109"/>
      <c r="D212" s="109"/>
      <c r="E212" s="57"/>
      <c r="F212" s="57"/>
      <c r="G212" s="57"/>
      <c r="H212" s="60"/>
    </row>
    <row r="213" spans="2:10">
      <c r="B213" s="120" t="s">
        <v>423</v>
      </c>
      <c r="C213" s="67"/>
      <c r="D213" s="67"/>
      <c r="E213" s="121">
        <v>149</v>
      </c>
      <c r="F213" s="57"/>
      <c r="G213" s="57"/>
      <c r="H213" s="60"/>
    </row>
    <row r="214" spans="2:10">
      <c r="B214" s="120" t="s">
        <v>424</v>
      </c>
      <c r="C214" s="67"/>
      <c r="D214" s="67"/>
      <c r="E214" s="122">
        <v>119466000</v>
      </c>
      <c r="F214" s="110"/>
      <c r="G214" s="123"/>
      <c r="H214" s="60"/>
    </row>
    <row r="215" spans="2:10">
      <c r="B215" s="120" t="s">
        <v>425</v>
      </c>
      <c r="C215" s="67"/>
      <c r="D215" s="67"/>
      <c r="E215" s="121">
        <v>961184.24</v>
      </c>
      <c r="F215" s="57"/>
      <c r="G215" s="124"/>
      <c r="H215" s="60"/>
    </row>
    <row r="216" spans="2:10">
      <c r="B216" s="71"/>
      <c r="C216" s="65"/>
      <c r="D216" s="65"/>
      <c r="E216" s="65"/>
      <c r="F216" s="65"/>
      <c r="G216" s="65"/>
      <c r="H216" s="60"/>
    </row>
    <row r="217" spans="2:10" ht="15.75" thickBot="1">
      <c r="B217" s="125" t="s">
        <v>426</v>
      </c>
      <c r="C217" s="126"/>
      <c r="D217" s="126"/>
      <c r="E217" s="126"/>
      <c r="F217" s="126"/>
      <c r="G217" s="126"/>
      <c r="H217" s="97"/>
    </row>
    <row r="218" spans="2:10" ht="15.75" thickBot="1">
      <c r="B218" s="111"/>
      <c r="C218" s="65"/>
      <c r="D218" s="65"/>
      <c r="E218" s="65"/>
      <c r="F218" s="65"/>
      <c r="G218" s="65"/>
      <c r="H218" s="91"/>
    </row>
    <row r="219" spans="2:10">
      <c r="B219" s="160" t="s">
        <v>427</v>
      </c>
      <c r="C219" s="161"/>
      <c r="D219" s="161"/>
      <c r="E219" s="161"/>
      <c r="F219" s="161"/>
      <c r="G219" s="161"/>
      <c r="H219" s="161"/>
      <c r="I219" s="161"/>
      <c r="J219" s="162"/>
    </row>
    <row r="220" spans="2:10" ht="15" customHeight="1">
      <c r="B220" s="163" t="s">
        <v>428</v>
      </c>
      <c r="C220" s="164" t="s">
        <v>429</v>
      </c>
      <c r="D220" s="164"/>
      <c r="E220" s="165" t="s">
        <v>430</v>
      </c>
      <c r="F220" s="165" t="s">
        <v>431</v>
      </c>
      <c r="G220" s="164" t="s">
        <v>432</v>
      </c>
      <c r="H220" s="164"/>
      <c r="I220" s="164"/>
      <c r="J220" s="166"/>
    </row>
    <row r="221" spans="2:10" ht="61.5" customHeight="1">
      <c r="B221" s="163"/>
      <c r="C221" s="165" t="s">
        <v>381</v>
      </c>
      <c r="D221" s="165" t="s">
        <v>378</v>
      </c>
      <c r="E221" s="165" t="s">
        <v>433</v>
      </c>
      <c r="F221" s="165" t="s">
        <v>434</v>
      </c>
      <c r="G221" s="165" t="s">
        <v>381</v>
      </c>
      <c r="H221" s="165" t="s">
        <v>378</v>
      </c>
      <c r="I221" s="165" t="s">
        <v>433</v>
      </c>
      <c r="J221" s="167" t="s">
        <v>434</v>
      </c>
    </row>
    <row r="222" spans="2:10">
      <c r="B222" s="168" t="s">
        <v>435</v>
      </c>
      <c r="C222" s="169">
        <v>7.7186982462426501E-2</v>
      </c>
      <c r="D222" s="169">
        <v>8.0436870677257799E-2</v>
      </c>
      <c r="E222" s="169">
        <v>4.8767612828735318E-2</v>
      </c>
      <c r="F222" s="169">
        <v>-5.6726025439046701E-5</v>
      </c>
      <c r="G222" s="170">
        <v>11192.4</v>
      </c>
      <c r="H222" s="170">
        <v>11243.6</v>
      </c>
      <c r="I222" s="170">
        <v>10748.070500098114</v>
      </c>
      <c r="J222" s="171">
        <v>9999.1405744167114</v>
      </c>
    </row>
    <row r="223" spans="2:10" ht="15.75" thickBot="1">
      <c r="B223" s="172" t="s">
        <v>436</v>
      </c>
      <c r="C223" s="173">
        <v>7.5592458052240019E-2</v>
      </c>
      <c r="D223" s="173">
        <v>7.8822885982671398E-2</v>
      </c>
      <c r="E223" s="173">
        <v>3.3591164774334326E-2</v>
      </c>
      <c r="F223" s="173">
        <v>-2.0904862719828277E-3</v>
      </c>
      <c r="G223" s="174">
        <v>10755.9245805224</v>
      </c>
      <c r="H223" s="174">
        <v>10788.228859826713</v>
      </c>
      <c r="I223" s="174">
        <v>10335.911647743344</v>
      </c>
      <c r="J223" s="175">
        <v>9979.0951372801719</v>
      </c>
    </row>
    <row r="224" spans="2:10">
      <c r="B224" s="128"/>
      <c r="C224" s="127"/>
      <c r="D224" s="129"/>
      <c r="E224" s="127"/>
      <c r="F224" s="127"/>
      <c r="G224" s="127"/>
      <c r="H224" s="127"/>
      <c r="I224" s="127"/>
      <c r="J224" s="127"/>
    </row>
    <row r="225" spans="2:10" ht="15.75" thickBot="1">
      <c r="B225" s="127"/>
      <c r="C225" s="127"/>
      <c r="D225" s="127"/>
      <c r="E225" s="127"/>
      <c r="F225" s="127"/>
      <c r="G225" s="127"/>
      <c r="H225" s="127"/>
      <c r="I225" s="127"/>
      <c r="J225" s="127"/>
    </row>
    <row r="226" spans="2:10" ht="15" customHeight="1">
      <c r="B226" s="176" t="s">
        <v>437</v>
      </c>
      <c r="C226" s="177"/>
      <c r="D226" s="177"/>
      <c r="E226" s="177"/>
      <c r="F226" s="178"/>
      <c r="G226" s="127"/>
      <c r="H226" s="127"/>
      <c r="I226" s="127"/>
      <c r="J226" s="127"/>
    </row>
    <row r="227" spans="2:10" ht="64.5">
      <c r="B227" s="179" t="s">
        <v>463</v>
      </c>
      <c r="C227" s="180" t="s">
        <v>435</v>
      </c>
      <c r="D227" s="180" t="s">
        <v>436</v>
      </c>
      <c r="E227" s="180" t="s">
        <v>438</v>
      </c>
      <c r="F227" s="181" t="s">
        <v>439</v>
      </c>
      <c r="G227" s="127"/>
      <c r="H227" s="127"/>
      <c r="I227" s="127"/>
      <c r="J227" s="127"/>
    </row>
    <row r="228" spans="2:10">
      <c r="B228" s="182" t="s">
        <v>440</v>
      </c>
      <c r="C228" s="183">
        <v>190000</v>
      </c>
      <c r="D228" s="183">
        <v>120000</v>
      </c>
      <c r="E228" s="184" t="s">
        <v>441</v>
      </c>
      <c r="F228" s="185" t="s">
        <v>441</v>
      </c>
      <c r="G228" s="127"/>
      <c r="H228" s="127"/>
      <c r="I228" s="127"/>
      <c r="J228" s="127"/>
    </row>
    <row r="229" spans="2:10">
      <c r="B229" s="182" t="s">
        <v>442</v>
      </c>
      <c r="C229" s="183">
        <v>202672.677840324</v>
      </c>
      <c r="D229" s="183">
        <v>125454.681665567</v>
      </c>
      <c r="E229" s="184" t="s">
        <v>441</v>
      </c>
      <c r="F229" s="185" t="s">
        <v>441</v>
      </c>
      <c r="G229" s="127"/>
      <c r="H229" s="127"/>
      <c r="I229" s="127"/>
      <c r="J229" s="127"/>
    </row>
    <row r="230" spans="2:10">
      <c r="B230" s="182" t="s">
        <v>443</v>
      </c>
      <c r="C230" s="184">
        <v>8.0500000000000002E-2</v>
      </c>
      <c r="D230" s="184">
        <v>8.5699999999999998E-2</v>
      </c>
      <c r="E230" s="184" t="s">
        <v>441</v>
      </c>
      <c r="F230" s="185" t="s">
        <v>441</v>
      </c>
      <c r="G230" s="127"/>
      <c r="H230" s="127"/>
      <c r="I230" s="127"/>
      <c r="J230" s="127"/>
    </row>
    <row r="231" spans="2:10">
      <c r="B231" s="182" t="s">
        <v>444</v>
      </c>
      <c r="C231" s="184">
        <v>5.1999999999999998E-2</v>
      </c>
      <c r="D231" s="184">
        <v>6.4500000000000002E-2</v>
      </c>
      <c r="E231" s="184" t="s">
        <v>441</v>
      </c>
      <c r="F231" s="185" t="s">
        <v>441</v>
      </c>
      <c r="G231" s="127"/>
      <c r="H231" s="127"/>
      <c r="I231" s="127"/>
      <c r="J231" s="127"/>
    </row>
    <row r="232" spans="2:10" ht="15.75" thickBot="1">
      <c r="B232" s="186" t="s">
        <v>445</v>
      </c>
      <c r="C232" s="187">
        <v>1.5800000000000002E-2</v>
      </c>
      <c r="D232" s="187">
        <v>3.5099999999999999E-2</v>
      </c>
      <c r="E232" s="187" t="s">
        <v>441</v>
      </c>
      <c r="F232" s="188" t="s">
        <v>441</v>
      </c>
      <c r="G232" s="127"/>
      <c r="H232" s="127"/>
      <c r="I232" s="127"/>
      <c r="J232" s="127"/>
    </row>
    <row r="233" spans="2:10" ht="15.75" thickBot="1">
      <c r="B233" s="127"/>
      <c r="C233" s="127"/>
      <c r="D233" s="127"/>
      <c r="E233" s="127"/>
      <c r="F233" s="127"/>
      <c r="G233" s="127"/>
      <c r="H233" s="127"/>
      <c r="I233" s="127"/>
      <c r="J233" s="127"/>
    </row>
    <row r="234" spans="2:10" ht="15" customHeight="1">
      <c r="B234" s="176" t="s">
        <v>446</v>
      </c>
      <c r="C234" s="177"/>
      <c r="D234" s="177"/>
      <c r="E234" s="177"/>
      <c r="F234" s="178"/>
      <c r="G234" s="127"/>
      <c r="H234" s="127"/>
      <c r="I234" s="127"/>
      <c r="J234" s="127"/>
    </row>
    <row r="235" spans="2:10" ht="64.5">
      <c r="B235" s="179" t="s">
        <v>463</v>
      </c>
      <c r="C235" s="180" t="s">
        <v>435</v>
      </c>
      <c r="D235" s="180" t="s">
        <v>436</v>
      </c>
      <c r="E235" s="180" t="s">
        <v>438</v>
      </c>
      <c r="F235" s="181" t="s">
        <v>439</v>
      </c>
      <c r="G235" s="127"/>
      <c r="H235" s="127"/>
      <c r="I235" s="127"/>
      <c r="J235" s="127"/>
    </row>
    <row r="236" spans="2:10">
      <c r="B236" s="182" t="s">
        <v>440</v>
      </c>
      <c r="C236" s="183">
        <v>190000</v>
      </c>
      <c r="D236" s="183">
        <v>120000</v>
      </c>
      <c r="E236" s="184" t="s">
        <v>441</v>
      </c>
      <c r="F236" s="185" t="s">
        <v>441</v>
      </c>
      <c r="G236" s="127"/>
      <c r="H236" s="127"/>
      <c r="I236" s="127"/>
      <c r="J236" s="127"/>
    </row>
    <row r="237" spans="2:10">
      <c r="B237" s="182" t="s">
        <v>442</v>
      </c>
      <c r="C237" s="183">
        <v>203183.99305675901</v>
      </c>
      <c r="D237" s="183">
        <v>125658.31218845501</v>
      </c>
      <c r="E237" s="184" t="s">
        <v>441</v>
      </c>
      <c r="F237" s="185" t="s">
        <v>441</v>
      </c>
      <c r="G237" s="127"/>
      <c r="H237" s="127"/>
      <c r="I237" s="127"/>
      <c r="J237" s="127"/>
    </row>
    <row r="238" spans="2:10">
      <c r="B238" s="182" t="s">
        <v>443</v>
      </c>
      <c r="C238" s="184">
        <v>8.3699999999999997E-2</v>
      </c>
      <c r="D238" s="184">
        <v>8.8900000000000007E-2</v>
      </c>
      <c r="E238" s="184" t="s">
        <v>441</v>
      </c>
      <c r="F238" s="185" t="s">
        <v>441</v>
      </c>
      <c r="G238" s="127"/>
      <c r="H238" s="127"/>
      <c r="I238" s="127"/>
      <c r="J238" s="127"/>
    </row>
    <row r="239" spans="2:10">
      <c r="B239" s="182" t="s">
        <v>444</v>
      </c>
      <c r="C239" s="184">
        <v>5.1999999999999998E-2</v>
      </c>
      <c r="D239" s="184">
        <v>6.4500000000000002E-2</v>
      </c>
      <c r="E239" s="184" t="s">
        <v>441</v>
      </c>
      <c r="F239" s="185" t="s">
        <v>441</v>
      </c>
      <c r="G239" s="127"/>
      <c r="H239" s="127"/>
      <c r="I239" s="127"/>
      <c r="J239" s="127"/>
    </row>
    <row r="240" spans="2:10" ht="15.75" thickBot="1">
      <c r="B240" s="186" t="s">
        <v>445</v>
      </c>
      <c r="C240" s="187">
        <v>1.5800000000000002E-2</v>
      </c>
      <c r="D240" s="187">
        <v>3.5099999999999999E-2</v>
      </c>
      <c r="E240" s="187" t="s">
        <v>441</v>
      </c>
      <c r="F240" s="188" t="s">
        <v>441</v>
      </c>
      <c r="G240" s="127"/>
      <c r="H240" s="127"/>
      <c r="I240" s="127"/>
      <c r="J240" s="127"/>
    </row>
    <row r="241" spans="2:10">
      <c r="B241" s="127"/>
      <c r="C241" s="127"/>
      <c r="D241" s="127"/>
      <c r="E241" s="127"/>
      <c r="F241" s="127"/>
      <c r="G241" s="127"/>
      <c r="H241" s="127"/>
      <c r="I241" s="127"/>
      <c r="J241" s="127"/>
    </row>
    <row r="242" spans="2:10">
      <c r="B242" s="165" t="s">
        <v>447</v>
      </c>
      <c r="C242" s="127"/>
      <c r="D242" s="127"/>
      <c r="E242" s="127"/>
      <c r="F242" s="127"/>
      <c r="G242" s="127"/>
      <c r="H242" s="127"/>
      <c r="I242" s="127"/>
      <c r="J242" s="127"/>
    </row>
    <row r="243" spans="2:10">
      <c r="B243" s="189" t="s">
        <v>448</v>
      </c>
      <c r="C243" s="148"/>
      <c r="D243" s="127"/>
      <c r="E243" s="127"/>
      <c r="F243" s="127"/>
      <c r="G243" s="127"/>
      <c r="H243" s="127"/>
      <c r="I243" s="127"/>
      <c r="J243" s="127"/>
    </row>
    <row r="244" spans="2:10">
      <c r="B244" s="189" t="s">
        <v>449</v>
      </c>
      <c r="C244" s="148"/>
      <c r="D244" s="127"/>
      <c r="E244" s="127"/>
      <c r="F244" s="127"/>
      <c r="G244" s="127"/>
      <c r="H244" s="127"/>
      <c r="I244" s="127"/>
      <c r="J244" s="127"/>
    </row>
    <row r="245" spans="2:10" ht="15.75" thickBot="1"/>
    <row r="246" spans="2:10">
      <c r="B246" s="190" t="s">
        <v>450</v>
      </c>
      <c r="C246" s="191"/>
    </row>
    <row r="247" spans="2:10">
      <c r="B247" s="192" t="s">
        <v>451</v>
      </c>
      <c r="C247" s="193">
        <v>1879.9329563656436</v>
      </c>
    </row>
    <row r="248" spans="2:10">
      <c r="B248" s="192" t="s">
        <v>452</v>
      </c>
      <c r="C248" s="194">
        <v>4.0426317318750629</v>
      </c>
    </row>
    <row r="249" spans="2:10">
      <c r="B249" s="192" t="s">
        <v>453</v>
      </c>
      <c r="C249" s="194">
        <v>4.1949105484515847</v>
      </c>
    </row>
    <row r="250" spans="2:10" ht="15.75" thickBot="1">
      <c r="B250" s="195" t="s">
        <v>454</v>
      </c>
      <c r="C250" s="196">
        <v>7.5233127154687468E-2</v>
      </c>
    </row>
    <row r="251" spans="2:10">
      <c r="B251" s="111"/>
      <c r="C251" s="65"/>
      <c r="D251" s="65"/>
      <c r="E251" s="65"/>
      <c r="F251" s="65"/>
      <c r="G251" s="65"/>
      <c r="H251" s="91"/>
    </row>
    <row r="252" spans="2:10" ht="15.75" thickBot="1"/>
    <row r="253" spans="2:10">
      <c r="B253" s="130"/>
      <c r="C253" s="131"/>
      <c r="D253" s="132"/>
      <c r="E253" s="152" t="s">
        <v>455</v>
      </c>
      <c r="F253" s="153"/>
    </row>
    <row r="254" spans="2:10">
      <c r="B254" s="133" t="s">
        <v>456</v>
      </c>
      <c r="C254" s="134"/>
      <c r="D254" s="134"/>
      <c r="E254" s="135"/>
      <c r="F254" s="136"/>
    </row>
    <row r="255" spans="2:10">
      <c r="B255" s="137" t="s">
        <v>457</v>
      </c>
      <c r="C255" s="134"/>
      <c r="D255" s="134"/>
      <c r="E255" s="135"/>
      <c r="F255" s="136"/>
    </row>
    <row r="256" spans="2:10">
      <c r="B256" s="138" t="s">
        <v>458</v>
      </c>
      <c r="C256" s="134"/>
      <c r="D256" s="134"/>
      <c r="E256" s="135"/>
      <c r="F256" s="136"/>
    </row>
    <row r="257" spans="2:6">
      <c r="B257" s="138" t="s">
        <v>459</v>
      </c>
      <c r="C257" s="134"/>
      <c r="D257" s="134"/>
      <c r="E257" s="135"/>
      <c r="F257" s="136"/>
    </row>
    <row r="258" spans="2:6">
      <c r="B258" s="139"/>
      <c r="C258" s="134"/>
      <c r="D258" s="134"/>
      <c r="E258" s="135"/>
      <c r="F258" s="136"/>
    </row>
    <row r="259" spans="2:6">
      <c r="B259" s="139"/>
      <c r="C259" s="134"/>
      <c r="D259" s="134"/>
      <c r="E259" s="135"/>
      <c r="F259" s="136"/>
    </row>
    <row r="260" spans="2:6">
      <c r="B260" s="139"/>
      <c r="C260" s="134"/>
      <c r="D260" s="134"/>
      <c r="E260" s="135"/>
      <c r="F260" s="136"/>
    </row>
    <row r="261" spans="2:6">
      <c r="B261" s="137" t="s">
        <v>460</v>
      </c>
      <c r="C261" s="134"/>
      <c r="D261" s="134"/>
      <c r="E261" s="135"/>
      <c r="F261" s="136"/>
    </row>
    <row r="262" spans="2:6" ht="15.75" thickBot="1">
      <c r="B262" s="140"/>
      <c r="C262" s="141"/>
      <c r="D262" s="141"/>
      <c r="E262" s="142"/>
      <c r="F262" s="143"/>
    </row>
    <row r="263" spans="2:6" ht="15.75" thickBot="1"/>
    <row r="264" spans="2:6">
      <c r="B264" s="144" t="s">
        <v>461</v>
      </c>
    </row>
    <row r="265" spans="2:6">
      <c r="B265" s="145" t="s">
        <v>462</v>
      </c>
    </row>
    <row r="266" spans="2:6">
      <c r="B266" s="146"/>
    </row>
    <row r="267" spans="2:6">
      <c r="B267" s="146"/>
    </row>
    <row r="268" spans="2:6">
      <c r="B268" s="146"/>
    </row>
    <row r="269" spans="2:6">
      <c r="B269" s="146"/>
    </row>
    <row r="270" spans="2:6">
      <c r="B270" s="146"/>
    </row>
    <row r="271" spans="2:6">
      <c r="B271" s="146"/>
    </row>
    <row r="272" spans="2:6">
      <c r="B272" s="146"/>
    </row>
    <row r="273" spans="2:2">
      <c r="B273" s="146"/>
    </row>
    <row r="274" spans="2:2" ht="15.75" thickBot="1">
      <c r="B274" s="147"/>
    </row>
  </sheetData>
  <mergeCells count="13">
    <mergeCell ref="E253:F253"/>
    <mergeCell ref="B220:B221"/>
    <mergeCell ref="C220:D220"/>
    <mergeCell ref="G220:J220"/>
    <mergeCell ref="B226:F226"/>
    <mergeCell ref="B234:F234"/>
    <mergeCell ref="B246:C246"/>
    <mergeCell ref="B1:F1"/>
    <mergeCell ref="B144:D144"/>
    <mergeCell ref="B148:B149"/>
    <mergeCell ref="C148:C149"/>
    <mergeCell ref="B210:F210"/>
    <mergeCell ref="B219:J219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PPCHF</vt:lpstr>
      <vt:lpstr>PPCHF!JR_PAGE_ANCHOR_0_6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 Avasare</dc:creator>
  <cp:lastModifiedBy>Ketan Avasare</cp:lastModifiedBy>
  <dcterms:created xsi:type="dcterms:W3CDTF">2022-12-08T10:09:24Z</dcterms:created>
  <dcterms:modified xsi:type="dcterms:W3CDTF">2022-12-08T12:38:19Z</dcterms:modified>
</cp:coreProperties>
</file>