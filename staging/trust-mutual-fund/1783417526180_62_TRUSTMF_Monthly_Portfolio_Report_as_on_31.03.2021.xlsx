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Project Chrysalis\Operations\Regulatory Statutory Reporting\1. Reports Filed with Regulators\2. March monthend\Monthly Portfolio\"/>
    </mc:Choice>
  </mc:AlternateContent>
  <bookViews>
    <workbookView xWindow="0" yWindow="0" windowWidth="20490" windowHeight="7020"/>
  </bookViews>
  <sheets>
    <sheet name="BP" sheetId="1" r:id="rId1"/>
  </sheets>
  <externalReferences>
    <externalReference r:id="rId2"/>
  </externalReferences>
  <definedNames>
    <definedName name="_xlnm.Print_Area" localSheetId="0">BP!$A$1:$G$86</definedName>
    <definedName name="Z_9AF54932_6149_43F7_990E_BAF2964B56BB_.wvu.Cols" localSheetId="0" hidden="1">BP!#REF!</definedName>
    <definedName name="Z_9AF54932_6149_43F7_990E_BAF2964B56BB_.wvu.PrintArea" localSheetId="0" hidden="1">BP!$A$1:$G$86</definedName>
    <definedName name="Z_E19AB337_85FD_4B6E_8054_0F2A4DE3F70F_.wvu.Cols" localSheetId="0" hidden="1">BP!#REF!</definedName>
    <definedName name="Z_E19AB337_85FD_4B6E_8054_0F2A4DE3F70F_.wvu.PrintArea" localSheetId="0" hidden="1">BP!$A$1:$G$86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" i="1" l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1" i="1"/>
  <c r="G10" i="1"/>
  <c r="E13" i="1"/>
  <c r="E37" i="1" l="1"/>
  <c r="E44" i="1" s="1"/>
</calcChain>
</file>

<file path=xl/sharedStrings.xml><?xml version="1.0" encoding="utf-8"?>
<sst xmlns="http://schemas.openxmlformats.org/spreadsheetml/2006/main" count="148" uniqueCount="112">
  <si>
    <t>[Pursuant to Regulation 59 A of Securities and Exchange Board of India (Mutual Funds)</t>
  </si>
  <si>
    <t>TRUSTMF Banking &amp; PSU Debt Fund
(An open-ended debt scheme predominantly investing in debt instruments of banks, Public Sector Undertakings,Public Financial Institutions and Municipal Bonds)</t>
  </si>
  <si>
    <t>Name of Instrument</t>
  </si>
  <si>
    <t>ISIN</t>
  </si>
  <si>
    <t>Rating</t>
  </si>
  <si>
    <t>Quantity</t>
  </si>
  <si>
    <t>Market/Fair Value (Rs. in Lacs)</t>
  </si>
  <si>
    <t>% to Net Assets</t>
  </si>
  <si>
    <t>Debt Instruments -</t>
  </si>
  <si>
    <t>(a) Listed/ Awaiting Listing on Stock Exchanges</t>
  </si>
  <si>
    <t>Government Securities</t>
  </si>
  <si>
    <t>IN0020190396</t>
  </si>
  <si>
    <t>IN0020200112</t>
  </si>
  <si>
    <t>Sub Total</t>
  </si>
  <si>
    <t>Non Convertible Debentures / Bonds</t>
  </si>
  <si>
    <t>INE238A08351</t>
  </si>
  <si>
    <t>INE053F07BB3</t>
  </si>
  <si>
    <t>INE557F08FG1</t>
  </si>
  <si>
    <t>INE134E08KH0</t>
  </si>
  <si>
    <t>INE020B08CF8</t>
  </si>
  <si>
    <t>INE242A08452</t>
  </si>
  <si>
    <t>INE094A08036</t>
  </si>
  <si>
    <t>INE153A08071</t>
  </si>
  <si>
    <t>INE115A07OL3</t>
  </si>
  <si>
    <t>INE062A08223</t>
  </si>
  <si>
    <t>INE261F08CI3</t>
  </si>
  <si>
    <t>INE040A08377</t>
  </si>
  <si>
    <t>INE752E07LY4</t>
  </si>
  <si>
    <t>INE090A08UC2</t>
  </si>
  <si>
    <t>INE261F08CK9</t>
  </si>
  <si>
    <t>INE062A08215</t>
  </si>
  <si>
    <t>INE090A08UB4</t>
  </si>
  <si>
    <t>INE556F08JS0</t>
  </si>
  <si>
    <t>INE752E07JK7</t>
  </si>
  <si>
    <t>INE001A07RV7</t>
  </si>
  <si>
    <t>Total</t>
  </si>
  <si>
    <t/>
  </si>
  <si>
    <t xml:space="preserve"> </t>
  </si>
  <si>
    <t>TREPS / Reverse Repo Investments / Corporate Debt Repo</t>
  </si>
  <si>
    <t>Net Receivable/Payable</t>
  </si>
  <si>
    <t>NET ASSETS</t>
  </si>
  <si>
    <t>**Thinly Traded/Non Traded Securities</t>
  </si>
  <si>
    <t>Notes :</t>
  </si>
  <si>
    <t>1) The provision made for investment in security below investment grade as on March 31, 2021 is Rs Nil and its percentage to Net Asset Value is Nil.</t>
  </si>
  <si>
    <t>2) Net Assets Value per unit (in Rs) are as follows :</t>
  </si>
  <si>
    <t xml:space="preserve">Plan/Option </t>
  </si>
  <si>
    <t>As on March 31, 2021</t>
  </si>
  <si>
    <t>Regular Plan - Growth Option</t>
  </si>
  <si>
    <t>Regular Plan - Daily Dividend Option</t>
  </si>
  <si>
    <t>Regular Plan - Weekly Dividend Option</t>
  </si>
  <si>
    <t>Regular Plan - Monthly Dividend Option</t>
  </si>
  <si>
    <t>Regular Plan - Quarterly Dividend Option</t>
  </si>
  <si>
    <t>Regular Plan - Yearly Dividend Option</t>
  </si>
  <si>
    <t>Direct Plan - Growth Option</t>
  </si>
  <si>
    <t>Direct Plan - Daily Dividend Option</t>
  </si>
  <si>
    <t>Direct Plan - Weekly Dividend Option</t>
  </si>
  <si>
    <t>Direct Plan - Monthly Dividend Option</t>
  </si>
  <si>
    <t>Direct Plan - Quarterly Dividend Option</t>
  </si>
  <si>
    <t>Direct Plan - Yearly Dividend Option</t>
  </si>
  <si>
    <t>Plan/Option</t>
  </si>
  <si>
    <t>Individuals/HUF</t>
  </si>
  <si>
    <t>Other than Individual/HUF</t>
  </si>
  <si>
    <t>5) Total outstanding exposure in derivative instruments as on March 31, 2021 : Nil.</t>
  </si>
  <si>
    <t>6) Total investments in Foreign Securities / Overseas ETFs as at March 31, 2021 and its percentage to NAV : Nil.</t>
  </si>
  <si>
    <t>8) Details of transactions of "Credit Default Swap" for half year ended March 31, 2021 : Nil.</t>
  </si>
  <si>
    <t>9) Average maturity of the portfolio : 3.30 Years</t>
  </si>
  <si>
    <t>6.18% GOI - 04-Nov-2024</t>
  </si>
  <si>
    <t>Sovereign</t>
  </si>
  <si>
    <t>5.22% GOI - 15-Jun-2025</t>
  </si>
  <si>
    <t xml:space="preserve">8.85% Axis Bank Ltd 05-Dec-2024 </t>
  </si>
  <si>
    <t>CRISIL AAA</t>
  </si>
  <si>
    <t>8.25% Indian Railway Finance Corporation Ltd 28-Feb-2024 **</t>
  </si>
  <si>
    <t>CARE AAA</t>
  </si>
  <si>
    <t xml:space="preserve">7.05% National Housing Bank 18-Dec-2024 </t>
  </si>
  <si>
    <t xml:space="preserve">7.42% Power Finance Corporation Ltd 19-Nov-2024 </t>
  </si>
  <si>
    <t xml:space="preserve">7.40% Rural Electrification Corporation Ltd 26-Nov-2024 </t>
  </si>
  <si>
    <t xml:space="preserve">6.39% Indian Oil Corporation Ltd 06-Mar-2025 </t>
  </si>
  <si>
    <t xml:space="preserve">7.00% Hindustan Petroleum Corporation Ltd 14-Aug-2024 </t>
  </si>
  <si>
    <t xml:space="preserve">8.29% Mahanagar Telephone Nigam Ltd. 28-Nov-2024 </t>
  </si>
  <si>
    <t>CARE AAA (CE)</t>
  </si>
  <si>
    <t xml:space="preserve">7.75% LIC Housing Finance Limited 23-Jul-2024 </t>
  </si>
  <si>
    <t xml:space="preserve">8.50% State Bank of India 22-Nov-2024 </t>
  </si>
  <si>
    <t>CRISIL AA+</t>
  </si>
  <si>
    <t xml:space="preserve">5.47% NABARD 11-Apr-2025 </t>
  </si>
  <si>
    <t>ICRA AAA</t>
  </si>
  <si>
    <t>8.85% HDFC Bank Ltd 12-May-2022 **</t>
  </si>
  <si>
    <t>CARE AA+</t>
  </si>
  <si>
    <t xml:space="preserve">8.93% Power Grid Corporation of India Ltd 19-Oct-2024 </t>
  </si>
  <si>
    <t xml:space="preserve">9.90% ICICI Bank Ltd 28-Dec-2023 </t>
  </si>
  <si>
    <t>5.14% NABARD 31-Jan-2024 **</t>
  </si>
  <si>
    <t xml:space="preserve">8.75% State Bank of India 30-Aug-2024 </t>
  </si>
  <si>
    <t xml:space="preserve">9.15% ICICI Bank Ltd 20-Jun-2023 </t>
  </si>
  <si>
    <t>5.24% SIDBI 26-Mar-2024 **</t>
  </si>
  <si>
    <t xml:space="preserve">9.25% Power Grid Corporation of India Ltd 26-Dec-2024 </t>
  </si>
  <si>
    <t xml:space="preserve">7.99% Housing Development Finance Corporation 11-Jul-2024 </t>
  </si>
  <si>
    <t>(b) Privately placed / Unlisted</t>
  </si>
  <si>
    <t>Subtotal</t>
  </si>
  <si>
    <t>(c) Securitised Debt</t>
  </si>
  <si>
    <t>Yield</t>
  </si>
  <si>
    <t>NIL</t>
  </si>
  <si>
    <t>Money Market Instruments</t>
  </si>
  <si>
    <t>10) Reverse Repo market value is considered as book cost plus accrued Interest.</t>
  </si>
  <si>
    <t>4) No Bonus declared during the month March 2021.</t>
  </si>
  <si>
    <t>7) Details of repo transactions in corporate debt securities for the month of March 2021 : Nil.</t>
  </si>
  <si>
    <t>3) Details of Dividend declared per unit (in Rs.) during the Month of March 2021</t>
  </si>
  <si>
    <t>As on February 26, 2021</t>
  </si>
  <si>
    <t>MONTHLY PORTFOLIO STATEMENT AS ON MARCH 31, 2021</t>
  </si>
  <si>
    <t>11) Whether any security is in default beyond its maturity date: NIL</t>
  </si>
  <si>
    <t>12) Whether during the period any investment is made in derivative instruments: NIL</t>
  </si>
  <si>
    <t>YTM of the Portfolio</t>
  </si>
  <si>
    <t>Macaulay Duration of the Portfolio</t>
  </si>
  <si>
    <t>3.03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</si>
</sst>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,##0.0000"/>
    <numFmt numFmtId="165" formatCode="_(* #,##0.000000000_);_(* \(#,##0.000000000\);_(* &quot;-&quot;??_);_(@_)"/>
  </numFmts>
  <fonts count="1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9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b/>
      <sz val="10"/>
      <color indexed="72"/>
      <name val="Tahoma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136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0" borderId="0" xfId="0" applyFont="1" applyFill="1" applyBorder="1"/>
    <xf numFmtId="0" fontId="3" fillId="0" borderId="0" xfId="0" applyFont="1" applyFill="1" applyBorder="1"/>
    <xf numFmtId="0" fontId="0" fillId="0" borderId="0" xfId="0" applyFont="1" applyFill="1"/>
    <xf numFmtId="4" fontId="0" fillId="0" borderId="0" xfId="2" applyNumberFormat="1" applyFont="1" applyFill="1" applyBorder="1"/>
    <xf numFmtId="4" fontId="0" fillId="0" borderId="0" xfId="2" applyNumberFormat="1" applyFont="1"/>
    <xf numFmtId="14" fontId="0" fillId="0" borderId="0" xfId="0" applyNumberFormat="1" applyFont="1" applyBorder="1"/>
    <xf numFmtId="0" fontId="5" fillId="0" borderId="4" xfId="0" applyFont="1" applyBorder="1"/>
    <xf numFmtId="0" fontId="5" fillId="0" borderId="0" xfId="0" applyFont="1" applyBorder="1"/>
    <xf numFmtId="0" fontId="6" fillId="0" borderId="0" xfId="0" applyFont="1" applyBorder="1"/>
    <xf numFmtId="4" fontId="6" fillId="0" borderId="5" xfId="2" applyNumberFormat="1" applyFont="1" applyBorder="1"/>
    <xf numFmtId="0" fontId="7" fillId="0" borderId="9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center" vertical="center"/>
    </xf>
    <xf numFmtId="39" fontId="7" fillId="0" borderId="10" xfId="0" applyNumberFormat="1" applyFont="1" applyFill="1" applyBorder="1" applyAlignment="1">
      <alignment horizontal="center" vertical="center"/>
    </xf>
    <xf numFmtId="39" fontId="7" fillId="0" borderId="10" xfId="0" applyNumberFormat="1" applyFont="1" applyFill="1" applyBorder="1" applyAlignment="1">
      <alignment horizontal="center" vertical="center" wrapText="1"/>
    </xf>
    <xf numFmtId="4" fontId="7" fillId="0" borderId="10" xfId="2" applyNumberFormat="1" applyFont="1" applyFill="1" applyBorder="1" applyAlignment="1">
      <alignment horizontal="center" vertical="center"/>
    </xf>
    <xf numFmtId="4" fontId="7" fillId="0" borderId="11" xfId="2" applyNumberFormat="1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left" vertical="center"/>
    </xf>
    <xf numFmtId="0" fontId="7" fillId="0" borderId="31" xfId="0" applyFont="1" applyFill="1" applyBorder="1" applyAlignment="1">
      <alignment horizontal="left" vertical="center"/>
    </xf>
    <xf numFmtId="0" fontId="7" fillId="0" borderId="31" xfId="0" applyFont="1" applyFill="1" applyBorder="1" applyAlignment="1">
      <alignment horizontal="center" vertical="center"/>
    </xf>
    <xf numFmtId="39" fontId="7" fillId="0" borderId="31" xfId="0" applyNumberFormat="1" applyFont="1" applyFill="1" applyBorder="1" applyAlignment="1">
      <alignment horizontal="center" vertical="center"/>
    </xf>
    <xf numFmtId="39" fontId="7" fillId="0" borderId="31" xfId="0" applyNumberFormat="1" applyFont="1" applyFill="1" applyBorder="1" applyAlignment="1">
      <alignment horizontal="center" vertical="center" wrapText="1"/>
    </xf>
    <xf numFmtId="4" fontId="7" fillId="0" borderId="31" xfId="2" applyNumberFormat="1" applyFont="1" applyFill="1" applyBorder="1" applyAlignment="1">
      <alignment horizontal="center" vertical="center"/>
    </xf>
    <xf numFmtId="4" fontId="7" fillId="0" borderId="32" xfId="2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center" vertical="center"/>
    </xf>
    <xf numFmtId="39" fontId="7" fillId="0" borderId="7" xfId="0" applyNumberFormat="1" applyFont="1" applyFill="1" applyBorder="1" applyAlignment="1">
      <alignment horizontal="center" vertical="center"/>
    </xf>
    <xf numFmtId="39" fontId="7" fillId="0" borderId="7" xfId="0" applyNumberFormat="1" applyFont="1" applyFill="1" applyBorder="1" applyAlignment="1">
      <alignment horizontal="center" vertical="center" wrapText="1"/>
    </xf>
    <xf numFmtId="4" fontId="7" fillId="0" borderId="7" xfId="2" applyNumberFormat="1" applyFont="1" applyFill="1" applyBorder="1" applyAlignment="1">
      <alignment horizontal="center" vertical="center"/>
    </xf>
    <xf numFmtId="4" fontId="7" fillId="0" borderId="8" xfId="2" applyNumberFormat="1" applyFont="1" applyFill="1" applyBorder="1" applyAlignment="1">
      <alignment horizontal="center" vertical="center"/>
    </xf>
    <xf numFmtId="4" fontId="8" fillId="0" borderId="6" xfId="0" applyNumberFormat="1" applyFont="1" applyFill="1" applyBorder="1" applyAlignment="1">
      <alignment horizontal="left" vertical="top"/>
    </xf>
    <xf numFmtId="4" fontId="8" fillId="0" borderId="7" xfId="0" applyNumberFormat="1" applyFont="1" applyFill="1" applyBorder="1" applyAlignment="1">
      <alignment horizontal="left" vertical="top"/>
    </xf>
    <xf numFmtId="4" fontId="9" fillId="0" borderId="7" xfId="0" applyNumberFormat="1" applyFont="1" applyFill="1" applyBorder="1" applyAlignment="1">
      <alignment horizontal="left" vertical="top"/>
    </xf>
    <xf numFmtId="0" fontId="9" fillId="0" borderId="7" xfId="0" applyNumberFormat="1" applyFont="1" applyFill="1" applyBorder="1" applyAlignment="1">
      <alignment horizontal="right" vertical="top"/>
    </xf>
    <xf numFmtId="4" fontId="9" fillId="0" borderId="7" xfId="0" applyNumberFormat="1" applyFont="1" applyFill="1" applyBorder="1" applyAlignment="1">
      <alignment horizontal="right" vertical="top"/>
    </xf>
    <xf numFmtId="4" fontId="9" fillId="0" borderId="8" xfId="0" applyNumberFormat="1" applyFont="1" applyFill="1" applyBorder="1" applyAlignment="1">
      <alignment horizontal="right" vertical="top"/>
    </xf>
    <xf numFmtId="0" fontId="9" fillId="0" borderId="6" xfId="0" applyFont="1" applyFill="1" applyBorder="1" applyAlignment="1">
      <alignment horizontal="left" vertical="top"/>
    </xf>
    <xf numFmtId="4" fontId="9" fillId="0" borderId="7" xfId="3" applyNumberFormat="1" applyFont="1" applyFill="1" applyBorder="1" applyAlignment="1">
      <alignment horizontal="left"/>
    </xf>
    <xf numFmtId="0" fontId="9" fillId="0" borderId="7" xfId="0" applyFont="1" applyFill="1" applyBorder="1" applyAlignment="1">
      <alignment horizontal="left" vertical="top"/>
    </xf>
    <xf numFmtId="43" fontId="9" fillId="0" borderId="7" xfId="1" applyFont="1" applyFill="1" applyBorder="1" applyAlignment="1">
      <alignment horizontal="right" vertical="top"/>
    </xf>
    <xf numFmtId="10" fontId="9" fillId="0" borderId="7" xfId="2" applyNumberFormat="1" applyFont="1" applyFill="1" applyBorder="1" applyAlignment="1">
      <alignment horizontal="right" vertical="top"/>
    </xf>
    <xf numFmtId="10" fontId="9" fillId="0" borderId="8" xfId="2" applyNumberFormat="1" applyFont="1" applyFill="1" applyBorder="1" applyAlignment="1">
      <alignment horizontal="right" vertical="top"/>
    </xf>
    <xf numFmtId="0" fontId="8" fillId="0" borderId="6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39" fontId="8" fillId="0" borderId="7" xfId="0" applyNumberFormat="1" applyFont="1" applyFill="1" applyBorder="1" applyAlignment="1">
      <alignment horizontal="right" vertical="center"/>
    </xf>
    <xf numFmtId="10" fontId="8" fillId="0" borderId="7" xfId="2" applyNumberFormat="1" applyFont="1" applyFill="1" applyBorder="1" applyAlignment="1">
      <alignment horizontal="right" vertical="top"/>
    </xf>
    <xf numFmtId="10" fontId="8" fillId="0" borderId="8" xfId="2" applyNumberFormat="1" applyFont="1" applyFill="1" applyBorder="1" applyAlignment="1">
      <alignment horizontal="right" vertical="top"/>
    </xf>
    <xf numFmtId="0" fontId="7" fillId="0" borderId="6" xfId="0" applyFont="1" applyFill="1" applyBorder="1"/>
    <xf numFmtId="43" fontId="8" fillId="0" borderId="7" xfId="1" applyFont="1" applyFill="1" applyBorder="1" applyAlignment="1">
      <alignment horizontal="right" vertical="top"/>
    </xf>
    <xf numFmtId="0" fontId="6" fillId="0" borderId="6" xfId="0" applyFont="1" applyFill="1" applyBorder="1"/>
    <xf numFmtId="0" fontId="8" fillId="0" borderId="6" xfId="0" applyFont="1" applyFill="1" applyBorder="1" applyAlignment="1">
      <alignment horizontal="left" vertical="top"/>
    </xf>
    <xf numFmtId="0" fontId="8" fillId="0" borderId="7" xfId="0" applyFont="1" applyFill="1" applyBorder="1" applyAlignment="1">
      <alignment horizontal="left" vertical="top"/>
    </xf>
    <xf numFmtId="39" fontId="8" fillId="0" borderId="7" xfId="0" applyNumberFormat="1" applyFont="1" applyFill="1" applyBorder="1" applyAlignment="1">
      <alignment horizontal="right"/>
    </xf>
    <xf numFmtId="4" fontId="9" fillId="0" borderId="7" xfId="2" applyNumberFormat="1" applyFont="1" applyFill="1" applyBorder="1" applyAlignment="1">
      <alignment horizontal="right" vertical="top"/>
    </xf>
    <xf numFmtId="4" fontId="9" fillId="0" borderId="8" xfId="2" applyNumberFormat="1" applyFont="1" applyFill="1" applyBorder="1" applyAlignment="1">
      <alignment horizontal="right" vertical="top"/>
    </xf>
    <xf numFmtId="39" fontId="8" fillId="0" borderId="7" xfId="0" applyNumberFormat="1" applyFont="1" applyFill="1" applyBorder="1" applyAlignment="1">
      <alignment horizontal="right" vertical="top"/>
    </xf>
    <xf numFmtId="39" fontId="4" fillId="0" borderId="7" xfId="0" applyNumberFormat="1" applyFont="1" applyFill="1" applyBorder="1" applyAlignment="1">
      <alignment horizontal="right" vertical="top"/>
    </xf>
    <xf numFmtId="4" fontId="8" fillId="0" borderId="7" xfId="2" applyNumberFormat="1" applyFont="1" applyFill="1" applyBorder="1" applyAlignment="1">
      <alignment horizontal="right"/>
    </xf>
    <xf numFmtId="4" fontId="8" fillId="0" borderId="8" xfId="2" applyNumberFormat="1" applyFont="1" applyFill="1" applyBorder="1" applyAlignment="1">
      <alignment horizontal="right"/>
    </xf>
    <xf numFmtId="10" fontId="9" fillId="0" borderId="7" xfId="2" applyNumberFormat="1" applyFont="1" applyFill="1" applyBorder="1" applyAlignment="1">
      <alignment horizontal="right"/>
    </xf>
    <xf numFmtId="10" fontId="9" fillId="0" borderId="8" xfId="2" applyNumberFormat="1" applyFont="1" applyFill="1" applyBorder="1" applyAlignment="1">
      <alignment horizontal="right"/>
    </xf>
    <xf numFmtId="0" fontId="7" fillId="0" borderId="24" xfId="0" applyFont="1" applyFill="1" applyBorder="1"/>
    <xf numFmtId="0" fontId="6" fillId="0" borderId="25" xfId="0" applyFont="1" applyFill="1" applyBorder="1"/>
    <xf numFmtId="0" fontId="9" fillId="0" borderId="25" xfId="3" applyFont="1" applyFill="1" applyBorder="1" applyAlignment="1">
      <alignment horizontal="left"/>
    </xf>
    <xf numFmtId="37" fontId="9" fillId="0" borderId="25" xfId="0" applyNumberFormat="1" applyFont="1" applyFill="1" applyBorder="1" applyAlignment="1">
      <alignment horizontal="right" vertical="top"/>
    </xf>
    <xf numFmtId="39" fontId="8" fillId="0" borderId="25" xfId="0" applyNumberFormat="1" applyFont="1" applyFill="1" applyBorder="1" applyAlignment="1">
      <alignment horizontal="right"/>
    </xf>
    <xf numFmtId="10" fontId="8" fillId="0" borderId="25" xfId="2" applyNumberFormat="1" applyFont="1" applyFill="1" applyBorder="1" applyAlignment="1">
      <alignment horizontal="right" vertical="top"/>
    </xf>
    <xf numFmtId="10" fontId="8" fillId="0" borderId="26" xfId="2" applyNumberFormat="1" applyFont="1" applyFill="1" applyBorder="1" applyAlignment="1">
      <alignment horizontal="right" vertical="top"/>
    </xf>
    <xf numFmtId="0" fontId="7" fillId="0" borderId="27" xfId="0" applyFont="1" applyFill="1" applyBorder="1"/>
    <xf numFmtId="0" fontId="6" fillId="0" borderId="28" xfId="0" applyFont="1" applyFill="1" applyBorder="1"/>
    <xf numFmtId="0" fontId="9" fillId="0" borderId="28" xfId="3" applyFont="1" applyFill="1" applyBorder="1" applyAlignment="1">
      <alignment horizontal="left"/>
    </xf>
    <xf numFmtId="37" fontId="9" fillId="0" borderId="28" xfId="0" applyNumberFormat="1" applyFont="1" applyFill="1" applyBorder="1" applyAlignment="1">
      <alignment horizontal="right" vertical="top"/>
    </xf>
    <xf numFmtId="39" fontId="8" fillId="0" borderId="28" xfId="0" applyNumberFormat="1" applyFont="1" applyFill="1" applyBorder="1" applyAlignment="1">
      <alignment horizontal="right"/>
    </xf>
    <xf numFmtId="10" fontId="8" fillId="0" borderId="28" xfId="2" applyNumberFormat="1" applyFont="1" applyFill="1" applyBorder="1" applyAlignment="1">
      <alignment horizontal="right" vertical="top"/>
    </xf>
    <xf numFmtId="10" fontId="8" fillId="0" borderId="29" xfId="2" applyNumberFormat="1" applyFont="1" applyFill="1" applyBorder="1" applyAlignment="1">
      <alignment horizontal="right" vertical="top"/>
    </xf>
    <xf numFmtId="0" fontId="6" fillId="0" borderId="4" xfId="0" applyFont="1" applyFill="1" applyBorder="1"/>
    <xf numFmtId="0" fontId="6" fillId="0" borderId="0" xfId="0" applyFont="1" applyFill="1" applyBorder="1"/>
    <xf numFmtId="0" fontId="9" fillId="0" borderId="0" xfId="3" applyFont="1" applyFill="1" applyBorder="1" applyAlignment="1">
      <alignment horizontal="left"/>
    </xf>
    <xf numFmtId="37" fontId="9" fillId="0" borderId="0" xfId="0" applyNumberFormat="1" applyFont="1" applyFill="1" applyBorder="1" applyAlignment="1">
      <alignment horizontal="right" vertical="top"/>
    </xf>
    <xf numFmtId="4" fontId="9" fillId="0" borderId="0" xfId="3" applyNumberFormat="1" applyFont="1" applyFill="1" applyBorder="1" applyAlignment="1">
      <alignment horizontal="right"/>
    </xf>
    <xf numFmtId="4" fontId="9" fillId="0" borderId="5" xfId="2" applyNumberFormat="1" applyFont="1" applyFill="1" applyBorder="1" applyAlignment="1">
      <alignment horizontal="right"/>
    </xf>
    <xf numFmtId="0" fontId="7" fillId="0" borderId="4" xfId="0" applyFont="1" applyFill="1" applyBorder="1"/>
    <xf numFmtId="0" fontId="7" fillId="0" borderId="0" xfId="0" applyFont="1" applyFill="1" applyBorder="1"/>
    <xf numFmtId="0" fontId="6" fillId="0" borderId="4" xfId="0" applyFont="1" applyFill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164" fontId="6" fillId="0" borderId="0" xfId="0" applyNumberFormat="1" applyFont="1" applyFill="1" applyBorder="1" applyAlignment="1">
      <alignment horizontal="right" vertical="center"/>
    </xf>
    <xf numFmtId="164" fontId="6" fillId="0" borderId="5" xfId="0" applyNumberFormat="1" applyFont="1" applyFill="1" applyBorder="1" applyAlignment="1">
      <alignment horizontal="right" vertical="center"/>
    </xf>
    <xf numFmtId="4" fontId="6" fillId="0" borderId="5" xfId="2" applyNumberFormat="1" applyFont="1" applyFill="1" applyBorder="1"/>
    <xf numFmtId="0" fontId="6" fillId="0" borderId="16" xfId="0" applyFont="1" applyFill="1" applyBorder="1" applyAlignment="1">
      <alignment horizontal="left"/>
    </xf>
    <xf numFmtId="0" fontId="6" fillId="0" borderId="17" xfId="0" applyFont="1" applyFill="1" applyBorder="1"/>
    <xf numFmtId="4" fontId="6" fillId="0" borderId="18" xfId="2" applyNumberFormat="1" applyFont="1" applyFill="1" applyBorder="1"/>
    <xf numFmtId="4" fontId="10" fillId="0" borderId="7" xfId="0" applyNumberFormat="1" applyFont="1" applyFill="1" applyBorder="1" applyAlignment="1" applyProtection="1">
      <alignment horizontal="right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right"/>
    </xf>
    <xf numFmtId="164" fontId="6" fillId="0" borderId="5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8" fillId="0" borderId="12" xfId="0" applyFont="1" applyFill="1" applyBorder="1" applyAlignment="1">
      <alignment horizontal="left" vertical="top"/>
    </xf>
    <xf numFmtId="0" fontId="8" fillId="0" borderId="13" xfId="0" applyFont="1" applyFill="1" applyBorder="1" applyAlignment="1">
      <alignment horizontal="left" vertical="top"/>
    </xf>
    <xf numFmtId="0" fontId="8" fillId="0" borderId="7" xfId="0" applyFont="1" applyFill="1" applyBorder="1" applyAlignment="1">
      <alignment horizontal="center" vertical="top"/>
    </xf>
    <xf numFmtId="0" fontId="8" fillId="0" borderId="14" xfId="0" applyFont="1" applyFill="1" applyBorder="1" applyAlignment="1">
      <alignment horizontal="center" vertical="top"/>
    </xf>
    <xf numFmtId="0" fontId="8" fillId="0" borderId="8" xfId="0" applyFont="1" applyFill="1" applyBorder="1" applyAlignment="1">
      <alignment horizontal="center" vertical="top"/>
    </xf>
    <xf numFmtId="0" fontId="9" fillId="0" borderId="12" xfId="0" applyFont="1" applyFill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164" fontId="6" fillId="0" borderId="7" xfId="0" applyNumberFormat="1" applyFont="1" applyFill="1" applyBorder="1" applyAlignment="1">
      <alignment horizontal="right" vertical="center"/>
    </xf>
    <xf numFmtId="164" fontId="6" fillId="0" borderId="14" xfId="0" applyNumberFormat="1" applyFont="1" applyFill="1" applyBorder="1" applyAlignment="1">
      <alignment horizontal="right" vertical="center"/>
    </xf>
    <xf numFmtId="164" fontId="6" fillId="0" borderId="19" xfId="0" applyNumberFormat="1" applyFont="1" applyFill="1" applyBorder="1" applyAlignment="1">
      <alignment horizontal="right" vertical="center"/>
    </xf>
    <xf numFmtId="164" fontId="6" fillId="0" borderId="15" xfId="0" applyNumberFormat="1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left" vertical="top"/>
    </xf>
    <xf numFmtId="165" fontId="6" fillId="0" borderId="7" xfId="1" applyNumberFormat="1" applyFont="1" applyFill="1" applyBorder="1" applyAlignment="1">
      <alignment horizontal="right" vertical="center"/>
    </xf>
    <xf numFmtId="165" fontId="6" fillId="0" borderId="14" xfId="1" applyNumberFormat="1" applyFont="1" applyFill="1" applyBorder="1" applyAlignment="1">
      <alignment horizontal="right" vertical="center"/>
    </xf>
    <xf numFmtId="165" fontId="6" fillId="0" borderId="8" xfId="1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center" vertical="top"/>
    </xf>
    <xf numFmtId="0" fontId="8" fillId="0" borderId="5" xfId="0" applyFont="1" applyFill="1" applyBorder="1" applyAlignment="1">
      <alignment horizontal="center" vertical="top"/>
    </xf>
    <xf numFmtId="0" fontId="7" fillId="0" borderId="12" xfId="0" applyFont="1" applyFill="1" applyBorder="1" applyAlignment="1">
      <alignment horizontal="left" vertical="top"/>
    </xf>
    <xf numFmtId="0" fontId="7" fillId="0" borderId="7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11" fillId="0" borderId="7" xfId="0" applyFont="1" applyBorder="1" applyAlignment="1"/>
    <xf numFmtId="10" fontId="11" fillId="0" borderId="7" xfId="0" applyNumberFormat="1" applyFont="1" applyBorder="1" applyAlignment="1">
      <alignment horizontal="left"/>
    </xf>
    <xf numFmtId="0" fontId="11" fillId="0" borderId="7" xfId="0" applyFont="1" applyBorder="1"/>
  </cellXfs>
  <cellStyles count="4">
    <cellStyle name="Comma" xfId="1" builtinId="3"/>
    <cellStyle name="Normal" xfId="0" builtinId="0"/>
    <cellStyle name="Normal_Sheet1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102</xdr:row>
      <xdr:rowOff>152400</xdr:rowOff>
    </xdr:from>
    <xdr:to>
      <xdr:col>7</xdr:col>
      <xdr:colOff>66675</xdr:colOff>
      <xdr:row>122</xdr:row>
      <xdr:rowOff>57150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68975"/>
          <a:ext cx="12106275" cy="3143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utual%20Fund\Trust%20MF\Fortnightly%20Reporting\31.03.2021\TRUSTMF%20Fortnightly%20Debt%20Portfolio%20Disclosures%2031.03.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01"/>
      <sheetName val="XDO_METADATA"/>
    </sheetNames>
    <sheetDataSet>
      <sheetData sheetId="0">
        <row r="6">
          <cell r="B6" t="str">
            <v>Debt Instruments</v>
          </cell>
        </row>
        <row r="7">
          <cell r="B7" t="str">
            <v>(a) Listed / awaiting listing on Stock Exchange</v>
          </cell>
        </row>
        <row r="8">
          <cell r="B8" t="str">
            <v>Govt Securities / SDL</v>
          </cell>
        </row>
        <row r="9">
          <cell r="A9" t="str">
            <v>IN0020190396</v>
          </cell>
          <cell r="B9" t="str">
            <v>6.18% GOI - 04-Nov-2024</v>
          </cell>
          <cell r="C9" t="str">
            <v>Sovereign</v>
          </cell>
          <cell r="D9">
            <v>5000000</v>
          </cell>
          <cell r="E9">
            <v>5145.51</v>
          </cell>
          <cell r="F9">
            <v>8.4099999999999994E-2</v>
          </cell>
          <cell r="G9">
            <v>5.28E-2</v>
          </cell>
        </row>
        <row r="10">
          <cell r="A10" t="str">
            <v>IN0020200112</v>
          </cell>
          <cell r="B10" t="str">
            <v>5.22% GOI - 15-Jun-2025</v>
          </cell>
          <cell r="C10" t="str">
            <v>Sovereign</v>
          </cell>
          <cell r="D10">
            <v>2500000</v>
          </cell>
          <cell r="E10">
            <v>2464.91</v>
          </cell>
          <cell r="F10">
            <v>4.0300000000000002E-2</v>
          </cell>
          <cell r="G10">
            <v>5.6000000000000001E-2</v>
          </cell>
        </row>
        <row r="11">
          <cell r="B11" t="str">
            <v>Total</v>
          </cell>
          <cell r="E11">
            <v>7610.42</v>
          </cell>
          <cell r="F11">
            <v>0.1244</v>
          </cell>
        </row>
        <row r="13">
          <cell r="B13" t="str">
            <v>Non Convertible Debentures</v>
          </cell>
        </row>
        <row r="14">
          <cell r="A14" t="str">
            <v>INE238A08351</v>
          </cell>
          <cell r="B14" t="str">
            <v>8.85%  Axis Bank Ltd 05-Dec-2024 **</v>
          </cell>
          <cell r="C14" t="str">
            <v>CRISIL AAA</v>
          </cell>
          <cell r="D14">
            <v>4500000</v>
          </cell>
          <cell r="E14">
            <v>4952.57</v>
          </cell>
          <cell r="F14">
            <v>8.1000000000000003E-2</v>
          </cell>
          <cell r="G14">
            <v>5.7299999999999997E-2</v>
          </cell>
        </row>
        <row r="15">
          <cell r="A15" t="str">
            <v>INE053F07BB3</v>
          </cell>
          <cell r="B15" t="str">
            <v>8.25%  Indian Railway Finance Corporation Ltd 28-Feb-2024</v>
          </cell>
          <cell r="C15" t="str">
            <v>CARE AAA</v>
          </cell>
          <cell r="D15">
            <v>4000000</v>
          </cell>
          <cell r="E15">
            <v>4321.62</v>
          </cell>
          <cell r="F15">
            <v>7.0699999999999999E-2</v>
          </cell>
          <cell r="G15">
            <v>5.1999999999999998E-2</v>
          </cell>
        </row>
        <row r="16">
          <cell r="A16" t="str">
            <v>INE557F08FG1</v>
          </cell>
          <cell r="B16" t="str">
            <v>7.05%  National Housing Bank 18-Dec-2024 **</v>
          </cell>
          <cell r="C16" t="str">
            <v>CRISIL AAA</v>
          </cell>
          <cell r="D16">
            <v>4000000</v>
          </cell>
          <cell r="E16">
            <v>4208.6099999999997</v>
          </cell>
          <cell r="F16">
            <v>6.88E-2</v>
          </cell>
          <cell r="G16">
            <v>5.45E-2</v>
          </cell>
        </row>
        <row r="17">
          <cell r="A17" t="str">
            <v>INE134E08KH0</v>
          </cell>
          <cell r="B17" t="str">
            <v>7.42%  Power Finance Corporation Ltd 19-Nov-2024 **</v>
          </cell>
          <cell r="C17" t="str">
            <v>CARE AAA</v>
          </cell>
          <cell r="D17">
            <v>4000000</v>
          </cell>
          <cell r="E17">
            <v>4197.1899999999996</v>
          </cell>
          <cell r="F17">
            <v>6.8599999999999994E-2</v>
          </cell>
          <cell r="G17">
            <v>5.8599999999999999E-2</v>
          </cell>
        </row>
        <row r="18">
          <cell r="A18" t="str">
            <v>INE020B08CF8</v>
          </cell>
          <cell r="B18" t="str">
            <v>7.40%  Rural Electrification Corporation Ltd 26-Nov-2024 **</v>
          </cell>
          <cell r="C18" t="str">
            <v>CARE AAA</v>
          </cell>
          <cell r="D18">
            <v>4000000</v>
          </cell>
          <cell r="E18">
            <v>4189.01</v>
          </cell>
          <cell r="F18">
            <v>6.8500000000000005E-2</v>
          </cell>
          <cell r="G18">
            <v>5.91E-2</v>
          </cell>
        </row>
        <row r="19">
          <cell r="A19" t="str">
            <v>INE242A08452</v>
          </cell>
          <cell r="B19" t="str">
            <v>6.39%  Indian Oil Corporation Ltd 06-Mar-2025 **</v>
          </cell>
          <cell r="C19" t="str">
            <v>CRISIL AAA</v>
          </cell>
          <cell r="D19">
            <v>4000000</v>
          </cell>
          <cell r="E19">
            <v>4086.15</v>
          </cell>
          <cell r="F19">
            <v>6.6799999999999998E-2</v>
          </cell>
          <cell r="G19">
            <v>5.7599999999999998E-2</v>
          </cell>
        </row>
        <row r="20">
          <cell r="A20" t="str">
            <v>INE094A08036</v>
          </cell>
          <cell r="B20" t="str">
            <v>7.00%  Hindustan Petroleum Corporation Ltd 14-Aug-2024 **</v>
          </cell>
          <cell r="C20" t="str">
            <v>CRISIL AAA</v>
          </cell>
          <cell r="D20">
            <v>3500000</v>
          </cell>
          <cell r="E20">
            <v>3657.69</v>
          </cell>
          <cell r="F20">
            <v>5.9799999999999999E-2</v>
          </cell>
          <cell r="G20">
            <v>5.4899999999999997E-2</v>
          </cell>
        </row>
        <row r="21">
          <cell r="A21" t="str">
            <v>INE153A08071</v>
          </cell>
          <cell r="B21" t="str">
            <v>8.29%  Mahanagar Telephone Nigam Ltd 28-Nov-2024 **</v>
          </cell>
          <cell r="C21" t="str">
            <v>CARE AAA (CE)</v>
          </cell>
          <cell r="D21">
            <v>2500000</v>
          </cell>
          <cell r="E21">
            <v>2701.3</v>
          </cell>
          <cell r="F21">
            <v>4.4200000000000003E-2</v>
          </cell>
          <cell r="G21">
            <v>5.8999999999999997E-2</v>
          </cell>
        </row>
        <row r="22">
          <cell r="A22" t="str">
            <v>INE115A07OL3</v>
          </cell>
          <cell r="B22" t="str">
            <v>7.75%  LIC Housing Finance Ltd 23-Jul-2024 **</v>
          </cell>
          <cell r="C22" t="str">
            <v>CRISIL AAA</v>
          </cell>
          <cell r="D22">
            <v>2500000</v>
          </cell>
          <cell r="E22">
            <v>2632.38</v>
          </cell>
          <cell r="F22">
            <v>4.2999999999999997E-2</v>
          </cell>
          <cell r="G22">
            <v>5.9299999999999999E-2</v>
          </cell>
        </row>
        <row r="23">
          <cell r="A23" t="str">
            <v>INE062A08223</v>
          </cell>
          <cell r="B23" t="str">
            <v>8.50%  State Bank of India 22-Nov-2024 **</v>
          </cell>
          <cell r="C23" t="str">
            <v>CRISIL AA+</v>
          </cell>
          <cell r="D23">
            <v>2500000</v>
          </cell>
          <cell r="E23">
            <v>2544.88</v>
          </cell>
          <cell r="F23">
            <v>4.1599999999999998E-2</v>
          </cell>
          <cell r="G23">
            <v>7.8899999999999998E-2</v>
          </cell>
        </row>
        <row r="24">
          <cell r="A24" t="str">
            <v>INE261F08CI3</v>
          </cell>
          <cell r="B24" t="str">
            <v>5.47%  NABARD 11-Apr-2025 **</v>
          </cell>
          <cell r="C24" t="str">
            <v>ICRA AAA</v>
          </cell>
          <cell r="D24">
            <v>2500000</v>
          </cell>
          <cell r="E24">
            <v>2468.9</v>
          </cell>
          <cell r="F24">
            <v>4.0399999999999998E-2</v>
          </cell>
          <cell r="G24">
            <v>5.8299999999999998E-2</v>
          </cell>
        </row>
        <row r="25">
          <cell r="A25" t="str">
            <v>INE040A08377</v>
          </cell>
          <cell r="B25" t="str">
            <v>8.85%  HDFC Bank Ltd 12-May-2022</v>
          </cell>
          <cell r="C25" t="str">
            <v>CARE AA+</v>
          </cell>
          <cell r="D25">
            <v>2000000</v>
          </cell>
          <cell r="E25">
            <v>2044.09</v>
          </cell>
          <cell r="F25">
            <v>3.3399999999999999E-2</v>
          </cell>
          <cell r="G25">
            <v>6.7000000000000004E-2</v>
          </cell>
        </row>
        <row r="26">
          <cell r="A26" t="str">
            <v>INE752E07LY4</v>
          </cell>
          <cell r="B26" t="str">
            <v>8.93%  Power Grid Corporation of India Ltd 19-Oct-2024 **</v>
          </cell>
          <cell r="C26" t="str">
            <v>CARE AAA</v>
          </cell>
          <cell r="D26">
            <v>1500000</v>
          </cell>
          <cell r="E26">
            <v>1664.92</v>
          </cell>
          <cell r="F26">
            <v>2.7199999999999998E-2</v>
          </cell>
          <cell r="G26">
            <v>5.4300000000000001E-2</v>
          </cell>
        </row>
        <row r="27">
          <cell r="A27" t="str">
            <v>INE090A08UC2</v>
          </cell>
          <cell r="B27" t="str">
            <v>9.90%  ICICI Bank Ltd 28-Dec-2023 **</v>
          </cell>
          <cell r="C27" t="str">
            <v>CRISIL AA+</v>
          </cell>
          <cell r="D27">
            <v>1500000</v>
          </cell>
          <cell r="E27">
            <v>1559.18</v>
          </cell>
          <cell r="F27">
            <v>2.5499999999999998E-2</v>
          </cell>
          <cell r="G27">
            <v>8.2100000000000006E-2</v>
          </cell>
        </row>
        <row r="28">
          <cell r="A28" t="str">
            <v>INE261F08CK9</v>
          </cell>
          <cell r="B28" t="str">
            <v>5.14%  NABARD 31-Jan-2024</v>
          </cell>
          <cell r="C28" t="str">
            <v>ICRA AAA</v>
          </cell>
          <cell r="D28">
            <v>1500000</v>
          </cell>
          <cell r="E28">
            <v>1490.48</v>
          </cell>
          <cell r="F28">
            <v>2.4400000000000002E-2</v>
          </cell>
          <cell r="G28">
            <v>5.3800000000000001E-2</v>
          </cell>
        </row>
        <row r="29">
          <cell r="A29" t="str">
            <v>INE062A08215</v>
          </cell>
          <cell r="B29" t="str">
            <v>8.75%  State Bank of India 30-Aug-2024 **</v>
          </cell>
          <cell r="C29" t="str">
            <v>CRISIL AA+</v>
          </cell>
          <cell r="D29">
            <v>1000000</v>
          </cell>
          <cell r="E29">
            <v>1024.0899999999999</v>
          </cell>
          <cell r="F29">
            <v>1.67E-2</v>
          </cell>
          <cell r="G29">
            <v>7.8899999999999998E-2</v>
          </cell>
        </row>
        <row r="30">
          <cell r="A30" t="str">
            <v>INE090A08UB4</v>
          </cell>
          <cell r="B30" t="str">
            <v>9.15%  ICICI Bank Ltd 20-Jun-2023 **</v>
          </cell>
          <cell r="C30" t="str">
            <v>CARE AA+</v>
          </cell>
          <cell r="D30">
            <v>1000000</v>
          </cell>
          <cell r="E30">
            <v>1019.39</v>
          </cell>
          <cell r="F30">
            <v>1.67E-2</v>
          </cell>
          <cell r="G30">
            <v>8.1299999999999997E-2</v>
          </cell>
        </row>
        <row r="31">
          <cell r="A31" t="str">
            <v>INE556F08JS0</v>
          </cell>
          <cell r="B31" t="str">
            <v>5.24% SIDBI 26-Mar-2024</v>
          </cell>
          <cell r="C31" t="str">
            <v>CARE AAA</v>
          </cell>
          <cell r="D31">
            <v>1000000</v>
          </cell>
          <cell r="E31">
            <v>1002.15</v>
          </cell>
          <cell r="F31">
            <v>1.6400000000000001E-2</v>
          </cell>
          <cell r="G31">
            <v>5.16E-2</v>
          </cell>
        </row>
        <row r="32">
          <cell r="A32" t="str">
            <v>INE752E07JK7</v>
          </cell>
          <cell r="B32" t="str">
            <v>9.25%  Power Grid Corporation of India Ltd 26-Dec-2024 **</v>
          </cell>
          <cell r="C32" t="str">
            <v>CARE AAA</v>
          </cell>
          <cell r="D32">
            <v>500000</v>
          </cell>
          <cell r="E32">
            <v>562.92999999999995</v>
          </cell>
          <cell r="F32">
            <v>9.1999999999999998E-3</v>
          </cell>
          <cell r="G32">
            <v>5.4300000000000001E-2</v>
          </cell>
        </row>
        <row r="33">
          <cell r="A33" t="str">
            <v>INE001A07RV7</v>
          </cell>
          <cell r="B33" t="str">
            <v>7.99%  Housing Development Finance Corporation 11-Jul-2024 **</v>
          </cell>
          <cell r="C33" t="str">
            <v>ICRA AAA</v>
          </cell>
          <cell r="D33">
            <v>500000</v>
          </cell>
          <cell r="E33">
            <v>531.54</v>
          </cell>
          <cell r="F33">
            <v>8.6999999999999994E-3</v>
          </cell>
          <cell r="G33">
            <v>5.8099999999999999E-2</v>
          </cell>
        </row>
        <row r="34">
          <cell r="B34" t="str">
            <v>Total</v>
          </cell>
          <cell r="E34">
            <v>50859.069999999992</v>
          </cell>
          <cell r="F34">
            <v>0.83160000000000001</v>
          </cell>
        </row>
        <row r="35">
          <cell r="B35" t="str">
            <v>Subtotal</v>
          </cell>
          <cell r="E35">
            <v>58469.489999999991</v>
          </cell>
          <cell r="F35">
            <v>0.95599999999999996</v>
          </cell>
        </row>
        <row r="37">
          <cell r="B37" t="str">
            <v>(b) Privately placed / Unlisted</v>
          </cell>
          <cell r="E37" t="str">
            <v>NIL</v>
          </cell>
        </row>
        <row r="38">
          <cell r="B38" t="str">
            <v>Subtotal</v>
          </cell>
          <cell r="E38" t="str">
            <v>NIL</v>
          </cell>
        </row>
        <row r="39">
          <cell r="B39" t="str">
            <v>(c) Securitised Debt</v>
          </cell>
          <cell r="E39" t="str">
            <v>NIL</v>
          </cell>
        </row>
        <row r="40">
          <cell r="B40" t="str">
            <v>Subtotal</v>
          </cell>
          <cell r="E40" t="str">
            <v>NIL</v>
          </cell>
        </row>
        <row r="42">
          <cell r="B42" t="str">
            <v>Money Market Instruments</v>
          </cell>
          <cell r="E42" t="str">
            <v>NIL</v>
          </cell>
        </row>
        <row r="43">
          <cell r="B43" t="str">
            <v>Subtotal</v>
          </cell>
          <cell r="E43" t="str">
            <v>NIL</v>
          </cell>
        </row>
        <row r="45">
          <cell r="B45" t="str">
            <v>Triparty Repo/ Reverse Repo Instrument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I100"/>
  <sheetViews>
    <sheetView tabSelected="1" zoomScaleNormal="100" zoomScaleSheetLayoutView="90" workbookViewId="0">
      <pane ySplit="4" topLeftCell="A93" activePane="bottomLeft" state="frozen"/>
      <selection activeCell="A62" sqref="A62"/>
      <selection pane="bottomLeft" activeCell="C99" sqref="C99"/>
    </sheetView>
  </sheetViews>
  <sheetFormatPr defaultColWidth="9.140625" defaultRowHeight="12.75" x14ac:dyDescent="0.2"/>
  <cols>
    <col min="1" max="1" width="70.28515625" style="1" customWidth="1"/>
    <col min="2" max="2" width="20.28515625" style="1" customWidth="1"/>
    <col min="3" max="3" width="23.140625" style="1" customWidth="1"/>
    <col min="4" max="4" width="19.140625" style="1" customWidth="1"/>
    <col min="5" max="5" width="19.28515625" style="1" customWidth="1"/>
    <col min="6" max="6" width="16.28515625" style="1" customWidth="1"/>
    <col min="7" max="7" width="12.140625" style="7" customWidth="1"/>
    <col min="8" max="8" width="9.140625" style="1"/>
    <col min="9" max="9" width="10.140625" style="1" bestFit="1" customWidth="1"/>
    <col min="10" max="16384" width="9.140625" style="1"/>
  </cols>
  <sheetData>
    <row r="1" spans="1:7" ht="13.5" thickBot="1" x14ac:dyDescent="0.25">
      <c r="A1" s="97" t="s">
        <v>106</v>
      </c>
      <c r="B1" s="98"/>
      <c r="C1" s="98"/>
      <c r="D1" s="98"/>
      <c r="E1" s="98"/>
      <c r="F1" s="98"/>
      <c r="G1" s="99"/>
    </row>
    <row r="2" spans="1:7" x14ac:dyDescent="0.2">
      <c r="A2" s="97" t="s">
        <v>0</v>
      </c>
      <c r="B2" s="98"/>
      <c r="C2" s="98"/>
      <c r="D2" s="98"/>
      <c r="E2" s="98"/>
      <c r="F2" s="98"/>
      <c r="G2" s="99"/>
    </row>
    <row r="3" spans="1:7" ht="13.5" thickBot="1" x14ac:dyDescent="0.25">
      <c r="A3" s="9"/>
      <c r="B3" s="10"/>
      <c r="C3" s="11"/>
      <c r="D3" s="11"/>
      <c r="E3" s="11"/>
      <c r="F3" s="11"/>
      <c r="G3" s="12"/>
    </row>
    <row r="4" spans="1:7" ht="39" customHeight="1" thickBot="1" x14ac:dyDescent="0.25">
      <c r="A4" s="100" t="s">
        <v>1</v>
      </c>
      <c r="B4" s="101"/>
      <c r="C4" s="101"/>
      <c r="D4" s="101"/>
      <c r="E4" s="101"/>
      <c r="F4" s="101"/>
      <c r="G4" s="102"/>
    </row>
    <row r="5" spans="1:7" s="2" customFormat="1" ht="13.5" thickBot="1" x14ac:dyDescent="0.25">
      <c r="A5" s="103"/>
      <c r="B5" s="104"/>
      <c r="C5" s="104"/>
      <c r="D5" s="104"/>
      <c r="E5" s="104"/>
      <c r="F5" s="105"/>
      <c r="G5" s="106"/>
    </row>
    <row r="6" spans="1:7" s="2" customFormat="1" ht="26.25" thickBot="1" x14ac:dyDescent="0.25">
      <c r="A6" s="13" t="s">
        <v>2</v>
      </c>
      <c r="B6" s="14" t="s">
        <v>3</v>
      </c>
      <c r="C6" s="15" t="s">
        <v>4</v>
      </c>
      <c r="D6" s="16" t="s">
        <v>5</v>
      </c>
      <c r="E6" s="17" t="s">
        <v>6</v>
      </c>
      <c r="F6" s="18" t="s">
        <v>7</v>
      </c>
      <c r="G6" s="19" t="s">
        <v>98</v>
      </c>
    </row>
    <row r="7" spans="1:7" s="2" customFormat="1" x14ac:dyDescent="0.2">
      <c r="A7" s="20" t="s">
        <v>8</v>
      </c>
      <c r="B7" s="21"/>
      <c r="C7" s="22"/>
      <c r="D7" s="23"/>
      <c r="E7" s="24"/>
      <c r="F7" s="25"/>
      <c r="G7" s="26"/>
    </row>
    <row r="8" spans="1:7" s="3" customFormat="1" x14ac:dyDescent="0.2">
      <c r="A8" s="27" t="s">
        <v>9</v>
      </c>
      <c r="B8" s="28"/>
      <c r="C8" s="29"/>
      <c r="D8" s="30"/>
      <c r="E8" s="31"/>
      <c r="F8" s="32"/>
      <c r="G8" s="33"/>
    </row>
    <row r="9" spans="1:7" s="3" customFormat="1" ht="15" customHeight="1" x14ac:dyDescent="0.2">
      <c r="A9" s="34" t="s">
        <v>10</v>
      </c>
      <c r="B9" s="35"/>
      <c r="C9" s="36"/>
      <c r="D9" s="37"/>
      <c r="E9" s="38"/>
      <c r="F9" s="38"/>
      <c r="G9" s="39"/>
    </row>
    <row r="10" spans="1:7" s="3" customFormat="1" ht="15" customHeight="1" x14ac:dyDescent="0.2">
      <c r="A10" s="40" t="s">
        <v>66</v>
      </c>
      <c r="B10" s="41" t="s">
        <v>11</v>
      </c>
      <c r="C10" s="42" t="s">
        <v>67</v>
      </c>
      <c r="D10" s="37">
        <v>5000000</v>
      </c>
      <c r="E10" s="43">
        <v>5145.51</v>
      </c>
      <c r="F10" s="44">
        <v>8.4129816853889414E-2</v>
      </c>
      <c r="G10" s="45">
        <f>VLOOKUP(B10,[1]TR01!$A$5:$G$45,7,0)</f>
        <v>5.28E-2</v>
      </c>
    </row>
    <row r="11" spans="1:7" s="3" customFormat="1" ht="15" customHeight="1" x14ac:dyDescent="0.2">
      <c r="A11" s="40" t="s">
        <v>68</v>
      </c>
      <c r="B11" s="41" t="s">
        <v>12</v>
      </c>
      <c r="C11" s="42" t="s">
        <v>67</v>
      </c>
      <c r="D11" s="37">
        <v>2500000</v>
      </c>
      <c r="E11" s="43">
        <v>2464.91</v>
      </c>
      <c r="F11" s="44">
        <v>4.0301627411339309E-2</v>
      </c>
      <c r="G11" s="45">
        <f>VLOOKUP(B11,[1]TR01!$A$5:$G$45,7,0)</f>
        <v>5.6000000000000001E-2</v>
      </c>
    </row>
    <row r="12" spans="1:7" s="3" customFormat="1" ht="15" customHeight="1" x14ac:dyDescent="0.2">
      <c r="A12" s="46"/>
      <c r="B12" s="47"/>
      <c r="C12" s="48"/>
      <c r="D12" s="37"/>
      <c r="E12" s="49"/>
      <c r="F12" s="50"/>
      <c r="G12" s="51"/>
    </row>
    <row r="13" spans="1:7" s="3" customFormat="1" ht="15" customHeight="1" x14ac:dyDescent="0.2">
      <c r="A13" s="46" t="s">
        <v>13</v>
      </c>
      <c r="B13" s="47"/>
      <c r="C13" s="48"/>
      <c r="D13" s="37"/>
      <c r="E13" s="49">
        <f>+SUM(E10:E12)</f>
        <v>7610.42</v>
      </c>
      <c r="F13" s="50">
        <v>0.12443144426522873</v>
      </c>
      <c r="G13" s="51"/>
    </row>
    <row r="14" spans="1:7" s="3" customFormat="1" x14ac:dyDescent="0.2">
      <c r="A14" s="27"/>
      <c r="B14" s="28"/>
      <c r="C14" s="29"/>
      <c r="D14" s="30"/>
      <c r="E14" s="31"/>
      <c r="F14" s="32"/>
      <c r="G14" s="33"/>
    </row>
    <row r="15" spans="1:7" s="3" customFormat="1" x14ac:dyDescent="0.2">
      <c r="A15" s="52" t="s">
        <v>14</v>
      </c>
      <c r="B15" s="42"/>
      <c r="C15" s="42"/>
      <c r="D15" s="37"/>
      <c r="E15" s="53"/>
      <c r="F15" s="50"/>
      <c r="G15" s="51"/>
    </row>
    <row r="16" spans="1:7" s="3" customFormat="1" x14ac:dyDescent="0.2">
      <c r="A16" s="40" t="s">
        <v>69</v>
      </c>
      <c r="B16" s="41" t="s">
        <v>15</v>
      </c>
      <c r="C16" s="42" t="s">
        <v>70</v>
      </c>
      <c r="D16" s="37">
        <v>4500000</v>
      </c>
      <c r="E16" s="43">
        <v>4952.57</v>
      </c>
      <c r="F16" s="44">
        <v>8.0975220542971849E-2</v>
      </c>
      <c r="G16" s="45">
        <f>VLOOKUP(B16,[1]TR01!$A$5:$G$45,7,0)</f>
        <v>5.7299999999999997E-2</v>
      </c>
    </row>
    <row r="17" spans="1:7" s="3" customFormat="1" x14ac:dyDescent="0.2">
      <c r="A17" s="40" t="s">
        <v>71</v>
      </c>
      <c r="B17" s="41" t="s">
        <v>16</v>
      </c>
      <c r="C17" s="42" t="s">
        <v>72</v>
      </c>
      <c r="D17" s="37">
        <v>4000000</v>
      </c>
      <c r="E17" s="43">
        <v>4321.62</v>
      </c>
      <c r="F17" s="44">
        <v>7.0659098731147257E-2</v>
      </c>
      <c r="G17" s="45">
        <f>VLOOKUP(B17,[1]TR01!$A$5:$G$45,7,0)</f>
        <v>5.1999999999999998E-2</v>
      </c>
    </row>
    <row r="18" spans="1:7" s="3" customFormat="1" x14ac:dyDescent="0.2">
      <c r="A18" s="40" t="s">
        <v>73</v>
      </c>
      <c r="B18" s="41" t="s">
        <v>17</v>
      </c>
      <c r="C18" s="42" t="s">
        <v>70</v>
      </c>
      <c r="D18" s="37">
        <v>4000000</v>
      </c>
      <c r="E18" s="43">
        <v>4208.6099999999997</v>
      </c>
      <c r="F18" s="44">
        <v>6.881136923442914E-2</v>
      </c>
      <c r="G18" s="45">
        <f>VLOOKUP(B18,[1]TR01!$A$5:$G$45,7,0)</f>
        <v>5.45E-2</v>
      </c>
    </row>
    <row r="19" spans="1:7" s="3" customFormat="1" x14ac:dyDescent="0.2">
      <c r="A19" s="40" t="s">
        <v>74</v>
      </c>
      <c r="B19" s="41" t="s">
        <v>18</v>
      </c>
      <c r="C19" s="42" t="s">
        <v>72</v>
      </c>
      <c r="D19" s="37">
        <v>4000000</v>
      </c>
      <c r="E19" s="43">
        <v>4197.1899999999996</v>
      </c>
      <c r="F19" s="44">
        <v>6.8624650617912716E-2</v>
      </c>
      <c r="G19" s="45">
        <f>VLOOKUP(B19,[1]TR01!$A$5:$G$45,7,0)</f>
        <v>5.8599999999999999E-2</v>
      </c>
    </row>
    <row r="20" spans="1:7" s="3" customFormat="1" x14ac:dyDescent="0.2">
      <c r="A20" s="40" t="s">
        <v>75</v>
      </c>
      <c r="B20" s="41" t="s">
        <v>19</v>
      </c>
      <c r="C20" s="42" t="s">
        <v>72</v>
      </c>
      <c r="D20" s="37">
        <v>4000000</v>
      </c>
      <c r="E20" s="43">
        <v>4189.01</v>
      </c>
      <c r="F20" s="44">
        <v>6.8490906460022677E-2</v>
      </c>
      <c r="G20" s="45">
        <f>VLOOKUP(B20,[1]TR01!$A$5:$G$45,7,0)</f>
        <v>5.91E-2</v>
      </c>
    </row>
    <row r="21" spans="1:7" s="3" customFormat="1" x14ac:dyDescent="0.2">
      <c r="A21" s="40" t="s">
        <v>76</v>
      </c>
      <c r="B21" s="41" t="s">
        <v>20</v>
      </c>
      <c r="C21" s="42" t="s">
        <v>70</v>
      </c>
      <c r="D21" s="37">
        <v>4000000</v>
      </c>
      <c r="E21" s="43">
        <v>4086.15</v>
      </c>
      <c r="F21" s="44">
        <v>6.6809130900050764E-2</v>
      </c>
      <c r="G21" s="45">
        <f>VLOOKUP(B21,[1]TR01!$A$5:$G$45,7,0)</f>
        <v>5.7599999999999998E-2</v>
      </c>
    </row>
    <row r="22" spans="1:7" s="3" customFormat="1" x14ac:dyDescent="0.2">
      <c r="A22" s="40" t="s">
        <v>77</v>
      </c>
      <c r="B22" s="41" t="s">
        <v>21</v>
      </c>
      <c r="C22" s="42" t="s">
        <v>70</v>
      </c>
      <c r="D22" s="37">
        <v>3500000</v>
      </c>
      <c r="E22" s="43">
        <v>3657.69</v>
      </c>
      <c r="F22" s="44">
        <v>5.9803749250959139E-2</v>
      </c>
      <c r="G22" s="45">
        <f>VLOOKUP(B22,[1]TR01!$A$5:$G$45,7,0)</f>
        <v>5.4899999999999997E-2</v>
      </c>
    </row>
    <row r="23" spans="1:7" s="3" customFormat="1" x14ac:dyDescent="0.2">
      <c r="A23" s="40" t="s">
        <v>78</v>
      </c>
      <c r="B23" s="41" t="s">
        <v>22</v>
      </c>
      <c r="C23" s="42" t="s">
        <v>79</v>
      </c>
      <c r="D23" s="37">
        <v>2500000</v>
      </c>
      <c r="E23" s="43">
        <v>2701.3</v>
      </c>
      <c r="F23" s="44">
        <v>4.4166637372663055E-2</v>
      </c>
      <c r="G23" s="45">
        <f>VLOOKUP(B23,[1]TR01!$A$5:$G$45,7,0)</f>
        <v>5.8999999999999997E-2</v>
      </c>
    </row>
    <row r="24" spans="1:7" s="3" customFormat="1" x14ac:dyDescent="0.2">
      <c r="A24" s="40" t="s">
        <v>80</v>
      </c>
      <c r="B24" s="41" t="s">
        <v>23</v>
      </c>
      <c r="C24" s="42" t="s">
        <v>70</v>
      </c>
      <c r="D24" s="37">
        <v>2500000</v>
      </c>
      <c r="E24" s="43">
        <v>2632.38</v>
      </c>
      <c r="F24" s="44">
        <v>4.3039785616943979E-2</v>
      </c>
      <c r="G24" s="45">
        <f>VLOOKUP(B24,[1]TR01!$A$5:$G$45,7,0)</f>
        <v>5.9299999999999999E-2</v>
      </c>
    </row>
    <row r="25" spans="1:7" s="3" customFormat="1" x14ac:dyDescent="0.2">
      <c r="A25" s="40" t="s">
        <v>81</v>
      </c>
      <c r="B25" s="41" t="s">
        <v>24</v>
      </c>
      <c r="C25" s="42" t="s">
        <v>82</v>
      </c>
      <c r="D25" s="37">
        <v>2500000</v>
      </c>
      <c r="E25" s="43">
        <v>2544.88</v>
      </c>
      <c r="F25" s="44">
        <v>4.1609148231200814E-2</v>
      </c>
      <c r="G25" s="45">
        <f>VLOOKUP(B25,[1]TR01!$A$5:$G$45,7,0)</f>
        <v>7.8899999999999998E-2</v>
      </c>
    </row>
    <row r="26" spans="1:7" s="3" customFormat="1" x14ac:dyDescent="0.2">
      <c r="A26" s="40" t="s">
        <v>83</v>
      </c>
      <c r="B26" s="41" t="s">
        <v>25</v>
      </c>
      <c r="C26" s="42" t="s">
        <v>84</v>
      </c>
      <c r="D26" s="37">
        <v>2500000</v>
      </c>
      <c r="E26" s="43">
        <v>2468.9</v>
      </c>
      <c r="F26" s="44">
        <v>4.0366864476129201E-2</v>
      </c>
      <c r="G26" s="45">
        <f>VLOOKUP(B26,[1]TR01!$A$5:$G$45,7,0)</f>
        <v>5.8299999999999998E-2</v>
      </c>
    </row>
    <row r="27" spans="1:7" s="3" customFormat="1" x14ac:dyDescent="0.2">
      <c r="A27" s="40" t="s">
        <v>85</v>
      </c>
      <c r="B27" s="41" t="s">
        <v>26</v>
      </c>
      <c r="C27" s="42" t="s">
        <v>86</v>
      </c>
      <c r="D27" s="37">
        <v>2000000</v>
      </c>
      <c r="E27" s="43">
        <v>2044.09</v>
      </c>
      <c r="F27" s="44">
        <v>3.3421160843700004E-2</v>
      </c>
      <c r="G27" s="45">
        <f>VLOOKUP(B27,[1]TR01!$A$5:$G$45,7,0)</f>
        <v>6.7000000000000004E-2</v>
      </c>
    </row>
    <row r="28" spans="1:7" s="3" customFormat="1" x14ac:dyDescent="0.2">
      <c r="A28" s="40" t="s">
        <v>87</v>
      </c>
      <c r="B28" s="41" t="s">
        <v>27</v>
      </c>
      <c r="C28" s="42" t="s">
        <v>72</v>
      </c>
      <c r="D28" s="37">
        <v>1500000</v>
      </c>
      <c r="E28" s="43">
        <v>1664.92</v>
      </c>
      <c r="F28" s="44">
        <v>2.7221677671674441E-2</v>
      </c>
      <c r="G28" s="45">
        <f>VLOOKUP(B28,[1]TR01!$A$5:$G$45,7,0)</f>
        <v>5.4300000000000001E-2</v>
      </c>
    </row>
    <row r="29" spans="1:7" s="3" customFormat="1" x14ac:dyDescent="0.2">
      <c r="A29" s="40" t="s">
        <v>88</v>
      </c>
      <c r="B29" s="41" t="s">
        <v>28</v>
      </c>
      <c r="C29" s="42" t="s">
        <v>82</v>
      </c>
      <c r="D29" s="37">
        <v>1500000</v>
      </c>
      <c r="E29" s="43">
        <v>1559.18</v>
      </c>
      <c r="F29" s="44">
        <v>2.5492813704034643E-2</v>
      </c>
      <c r="G29" s="45">
        <f>VLOOKUP(B29,[1]TR01!$A$5:$G$45,7,0)</f>
        <v>8.2100000000000006E-2</v>
      </c>
    </row>
    <row r="30" spans="1:7" s="3" customFormat="1" x14ac:dyDescent="0.2">
      <c r="A30" s="40" t="s">
        <v>89</v>
      </c>
      <c r="B30" s="41" t="s">
        <v>29</v>
      </c>
      <c r="C30" s="42" t="s">
        <v>84</v>
      </c>
      <c r="D30" s="37">
        <v>1500000</v>
      </c>
      <c r="E30" s="43">
        <v>1490.48</v>
      </c>
      <c r="F30" s="44">
        <v>2.4369558979456862E-2</v>
      </c>
      <c r="G30" s="45">
        <f>VLOOKUP(B30,[1]TR01!$A$5:$G$45,7,0)</f>
        <v>5.3800000000000001E-2</v>
      </c>
    </row>
    <row r="31" spans="1:7" s="3" customFormat="1" x14ac:dyDescent="0.2">
      <c r="A31" s="40" t="s">
        <v>90</v>
      </c>
      <c r="B31" s="41" t="s">
        <v>30</v>
      </c>
      <c r="C31" s="42" t="s">
        <v>82</v>
      </c>
      <c r="D31" s="37">
        <v>1000000</v>
      </c>
      <c r="E31" s="43">
        <v>1024.0899999999999</v>
      </c>
      <c r="F31" s="44">
        <v>1.6744016461322512E-2</v>
      </c>
      <c r="G31" s="45">
        <f>VLOOKUP(B31,[1]TR01!$A$5:$G$45,7,0)</f>
        <v>7.8899999999999998E-2</v>
      </c>
    </row>
    <row r="32" spans="1:7" s="3" customFormat="1" x14ac:dyDescent="0.2">
      <c r="A32" s="40" t="s">
        <v>91</v>
      </c>
      <c r="B32" s="41" t="s">
        <v>31</v>
      </c>
      <c r="C32" s="42" t="s">
        <v>86</v>
      </c>
      <c r="D32" s="37">
        <v>1000000</v>
      </c>
      <c r="E32" s="43">
        <v>1019.39</v>
      </c>
      <c r="F32" s="44">
        <v>1.6667170796031167E-2</v>
      </c>
      <c r="G32" s="45">
        <f>VLOOKUP(B32,[1]TR01!$A$5:$G$45,7,0)</f>
        <v>8.1299999999999997E-2</v>
      </c>
    </row>
    <row r="33" spans="1:7" s="3" customFormat="1" x14ac:dyDescent="0.2">
      <c r="A33" s="40" t="s">
        <v>92</v>
      </c>
      <c r="B33" s="41" t="s">
        <v>32</v>
      </c>
      <c r="C33" s="42" t="s">
        <v>72</v>
      </c>
      <c r="D33" s="37">
        <v>1000000</v>
      </c>
      <c r="E33" s="43">
        <v>1002.15</v>
      </c>
      <c r="F33" s="44">
        <v>1.6385294355685882E-2</v>
      </c>
      <c r="G33" s="45">
        <f>VLOOKUP(B33,[1]TR01!$A$5:$G$45,7,0)</f>
        <v>5.16E-2</v>
      </c>
    </row>
    <row r="34" spans="1:7" s="3" customFormat="1" x14ac:dyDescent="0.2">
      <c r="A34" s="40" t="s">
        <v>93</v>
      </c>
      <c r="B34" s="41" t="s">
        <v>33</v>
      </c>
      <c r="C34" s="42" t="s">
        <v>72</v>
      </c>
      <c r="D34" s="37">
        <v>500000</v>
      </c>
      <c r="E34" s="43">
        <v>562.92999999999995</v>
      </c>
      <c r="F34" s="44">
        <v>9.2039851835017256E-3</v>
      </c>
      <c r="G34" s="45">
        <f>VLOOKUP(B34,[1]TR01!$A$5:$G$45,7,0)</f>
        <v>5.4300000000000001E-2</v>
      </c>
    </row>
    <row r="35" spans="1:7" s="3" customFormat="1" x14ac:dyDescent="0.2">
      <c r="A35" s="40" t="s">
        <v>94</v>
      </c>
      <c r="B35" s="41" t="s">
        <v>34</v>
      </c>
      <c r="C35" s="42" t="s">
        <v>84</v>
      </c>
      <c r="D35" s="37">
        <v>500000</v>
      </c>
      <c r="E35" s="43">
        <v>531.54</v>
      </c>
      <c r="F35" s="44">
        <v>8.6907542402048336E-3</v>
      </c>
      <c r="G35" s="45">
        <f>VLOOKUP(B35,[1]TR01!$A$5:$G$45,7,0)</f>
        <v>5.8099999999999999E-2</v>
      </c>
    </row>
    <row r="36" spans="1:7" s="3" customFormat="1" x14ac:dyDescent="0.2">
      <c r="A36" s="54"/>
      <c r="B36" s="42"/>
      <c r="C36" s="42"/>
      <c r="D36" s="37"/>
      <c r="E36" s="43"/>
      <c r="F36" s="44"/>
      <c r="G36" s="45"/>
    </row>
    <row r="37" spans="1:7" s="3" customFormat="1" ht="15" customHeight="1" x14ac:dyDescent="0.2">
      <c r="A37" s="55" t="s">
        <v>13</v>
      </c>
      <c r="B37" s="56"/>
      <c r="C37" s="56"/>
      <c r="D37" s="37"/>
      <c r="E37" s="49">
        <f>+SUM(E16:E36)</f>
        <v>50859.069999999992</v>
      </c>
      <c r="F37" s="50">
        <v>0.83155299367004276</v>
      </c>
      <c r="G37" s="51"/>
    </row>
    <row r="38" spans="1:7" s="3" customFormat="1" ht="15" customHeight="1" x14ac:dyDescent="0.2">
      <c r="A38" s="55"/>
      <c r="B38" s="56"/>
      <c r="C38" s="56"/>
      <c r="D38" s="37"/>
      <c r="E38" s="49"/>
      <c r="F38" s="50"/>
      <c r="G38" s="51"/>
    </row>
    <row r="39" spans="1:7" s="3" customFormat="1" ht="15" customHeight="1" x14ac:dyDescent="0.2">
      <c r="A39" s="55" t="s">
        <v>95</v>
      </c>
      <c r="B39" s="56"/>
      <c r="C39" s="56"/>
      <c r="D39" s="37"/>
      <c r="E39" s="96" t="s">
        <v>99</v>
      </c>
      <c r="F39" s="50"/>
      <c r="G39" s="51"/>
    </row>
    <row r="40" spans="1:7" s="3" customFormat="1" ht="15" customHeight="1" x14ac:dyDescent="0.2">
      <c r="A40" s="55" t="s">
        <v>96</v>
      </c>
      <c r="B40" s="56"/>
      <c r="C40" s="56"/>
      <c r="D40" s="37"/>
      <c r="E40" s="96" t="s">
        <v>99</v>
      </c>
      <c r="F40" s="50"/>
      <c r="G40" s="51"/>
    </row>
    <row r="41" spans="1:7" s="3" customFormat="1" ht="15" customHeight="1" x14ac:dyDescent="0.2">
      <c r="A41" s="55" t="s">
        <v>97</v>
      </c>
      <c r="B41" s="56"/>
      <c r="C41" s="56"/>
      <c r="D41" s="37"/>
      <c r="E41" s="96" t="s">
        <v>99</v>
      </c>
      <c r="F41" s="50"/>
      <c r="G41" s="51"/>
    </row>
    <row r="42" spans="1:7" s="3" customFormat="1" ht="15" customHeight="1" x14ac:dyDescent="0.2">
      <c r="A42" s="55" t="s">
        <v>96</v>
      </c>
      <c r="B42" s="56"/>
      <c r="C42" s="56"/>
      <c r="D42" s="37"/>
      <c r="E42" s="96" t="s">
        <v>99</v>
      </c>
      <c r="F42" s="50"/>
      <c r="G42" s="51"/>
    </row>
    <row r="43" spans="1:7" s="3" customFormat="1" ht="15" customHeight="1" x14ac:dyDescent="0.2">
      <c r="A43" s="55"/>
      <c r="B43" s="56"/>
      <c r="C43" s="56"/>
      <c r="D43" s="37"/>
      <c r="E43" s="49"/>
      <c r="F43" s="50"/>
      <c r="G43" s="51"/>
    </row>
    <row r="44" spans="1:7" s="3" customFormat="1" ht="15" customHeight="1" x14ac:dyDescent="0.2">
      <c r="A44" s="55" t="s">
        <v>35</v>
      </c>
      <c r="B44" s="56"/>
      <c r="C44" s="56"/>
      <c r="D44" s="37"/>
      <c r="E44" s="57">
        <f>+E13+E37</f>
        <v>58469.489999999991</v>
      </c>
      <c r="F44" s="50">
        <v>0.95598443793527155</v>
      </c>
      <c r="G44" s="51"/>
    </row>
    <row r="45" spans="1:7" s="3" customFormat="1" x14ac:dyDescent="0.2">
      <c r="A45" s="27"/>
      <c r="B45" s="28"/>
      <c r="C45" s="29"/>
      <c r="D45" s="37"/>
      <c r="E45" s="31"/>
      <c r="F45" s="32"/>
      <c r="G45" s="33"/>
    </row>
    <row r="46" spans="1:7" s="3" customFormat="1" x14ac:dyDescent="0.2">
      <c r="A46" s="55" t="s">
        <v>100</v>
      </c>
      <c r="B46" s="56"/>
      <c r="C46" s="48"/>
      <c r="D46" s="37"/>
      <c r="E46" s="96" t="s">
        <v>99</v>
      </c>
      <c r="F46" s="58"/>
      <c r="G46" s="59"/>
    </row>
    <row r="47" spans="1:7" s="4" customFormat="1" x14ac:dyDescent="0.2">
      <c r="A47" s="55" t="s">
        <v>96</v>
      </c>
      <c r="B47" s="56"/>
      <c r="C47" s="56" t="s">
        <v>36</v>
      </c>
      <c r="D47" s="37"/>
      <c r="E47" s="96" t="s">
        <v>99</v>
      </c>
      <c r="F47" s="50"/>
      <c r="G47" s="51"/>
    </row>
    <row r="48" spans="1:7" s="4" customFormat="1" x14ac:dyDescent="0.2">
      <c r="A48" s="55"/>
      <c r="B48" s="56"/>
      <c r="C48" s="56"/>
      <c r="D48" s="37"/>
      <c r="E48" s="57"/>
      <c r="F48" s="50"/>
      <c r="G48" s="51"/>
    </row>
    <row r="49" spans="1:9" s="3" customFormat="1" x14ac:dyDescent="0.2">
      <c r="A49" s="55" t="s">
        <v>35</v>
      </c>
      <c r="B49" s="56"/>
      <c r="C49" s="56"/>
      <c r="D49" s="60"/>
      <c r="E49" s="96" t="s">
        <v>99</v>
      </c>
      <c r="F49" s="50"/>
      <c r="G49" s="51"/>
    </row>
    <row r="50" spans="1:9" s="3" customFormat="1" x14ac:dyDescent="0.2">
      <c r="A50" s="55"/>
      <c r="B50" s="56"/>
      <c r="C50" s="56" t="s">
        <v>37</v>
      </c>
      <c r="D50" s="61"/>
      <c r="E50" s="57"/>
      <c r="F50" s="62"/>
      <c r="G50" s="63"/>
    </row>
    <row r="51" spans="1:9" s="3" customFormat="1" ht="14.25" customHeight="1" x14ac:dyDescent="0.2">
      <c r="A51" s="55" t="s">
        <v>38</v>
      </c>
      <c r="B51" s="56"/>
      <c r="C51" s="56"/>
      <c r="D51" s="61"/>
      <c r="E51" s="43">
        <v>1999.34</v>
      </c>
      <c r="F51" s="64">
        <v>3.27E-2</v>
      </c>
      <c r="G51" s="65"/>
    </row>
    <row r="52" spans="1:9" s="3" customFormat="1" ht="14.25" customHeight="1" x14ac:dyDescent="0.2">
      <c r="A52" s="55" t="s">
        <v>35</v>
      </c>
      <c r="B52" s="56"/>
      <c r="C52" s="56"/>
      <c r="D52" s="60"/>
      <c r="E52" s="57">
        <v>1999.34</v>
      </c>
      <c r="F52" s="50">
        <v>3.27E-2</v>
      </c>
      <c r="G52" s="51"/>
    </row>
    <row r="53" spans="1:9" s="3" customFormat="1" ht="14.25" customHeight="1" thickBot="1" x14ac:dyDescent="0.25">
      <c r="A53" s="66" t="s">
        <v>39</v>
      </c>
      <c r="B53" s="67"/>
      <c r="C53" s="68"/>
      <c r="D53" s="69"/>
      <c r="E53" s="70">
        <v>692.72</v>
      </c>
      <c r="F53" s="71">
        <v>1.1299999999999999E-2</v>
      </c>
      <c r="G53" s="72"/>
    </row>
    <row r="54" spans="1:9" s="3" customFormat="1" ht="14.25" customHeight="1" thickBot="1" x14ac:dyDescent="0.25">
      <c r="A54" s="73" t="s">
        <v>40</v>
      </c>
      <c r="B54" s="74"/>
      <c r="C54" s="75"/>
      <c r="D54" s="76"/>
      <c r="E54" s="77">
        <v>61161.55</v>
      </c>
      <c r="F54" s="78">
        <v>1</v>
      </c>
      <c r="G54" s="79"/>
    </row>
    <row r="55" spans="1:9" s="3" customFormat="1" ht="14.25" customHeight="1" x14ac:dyDescent="0.2">
      <c r="A55" s="80"/>
      <c r="B55" s="81"/>
      <c r="C55" s="82"/>
      <c r="D55" s="83"/>
      <c r="E55" s="84"/>
      <c r="F55" s="84"/>
      <c r="G55" s="85"/>
    </row>
    <row r="56" spans="1:9" s="3" customFormat="1" ht="14.25" customHeight="1" x14ac:dyDescent="0.2">
      <c r="A56" s="86" t="s">
        <v>41</v>
      </c>
      <c r="B56" s="81"/>
      <c r="C56" s="82"/>
      <c r="D56" s="83"/>
      <c r="E56" s="84"/>
      <c r="F56" s="84"/>
      <c r="G56" s="85"/>
    </row>
    <row r="57" spans="1:9" s="3" customFormat="1" ht="14.25" customHeight="1" x14ac:dyDescent="0.2">
      <c r="A57" s="80"/>
      <c r="B57" s="81"/>
      <c r="C57" s="82"/>
      <c r="D57" s="83"/>
      <c r="E57" s="84"/>
      <c r="F57" s="84"/>
      <c r="G57" s="85"/>
    </row>
    <row r="58" spans="1:9" s="3" customFormat="1" ht="14.25" customHeight="1" x14ac:dyDescent="0.2">
      <c r="A58" s="86" t="s">
        <v>42</v>
      </c>
      <c r="B58" s="87"/>
      <c r="C58" s="107"/>
      <c r="D58" s="107"/>
      <c r="E58" s="107"/>
      <c r="F58" s="107"/>
      <c r="G58" s="108"/>
    </row>
    <row r="59" spans="1:9" s="2" customFormat="1" ht="14.25" customHeight="1" x14ac:dyDescent="0.2">
      <c r="A59" s="109" t="s">
        <v>43</v>
      </c>
      <c r="B59" s="110"/>
      <c r="C59" s="110"/>
      <c r="D59" s="110"/>
      <c r="E59" s="110"/>
      <c r="F59" s="110"/>
      <c r="G59" s="111"/>
    </row>
    <row r="60" spans="1:9" s="2" customFormat="1" ht="14.25" customHeight="1" x14ac:dyDescent="0.2">
      <c r="A60" s="80" t="s">
        <v>44</v>
      </c>
      <c r="B60" s="81"/>
      <c r="C60" s="107"/>
      <c r="D60" s="107"/>
      <c r="E60" s="107"/>
      <c r="F60" s="107"/>
      <c r="G60" s="108"/>
    </row>
    <row r="61" spans="1:9" s="2" customFormat="1" ht="14.25" customHeight="1" x14ac:dyDescent="0.2">
      <c r="A61" s="112" t="s">
        <v>45</v>
      </c>
      <c r="B61" s="113"/>
      <c r="C61" s="114" t="s">
        <v>46</v>
      </c>
      <c r="D61" s="114"/>
      <c r="E61" s="114" t="s">
        <v>105</v>
      </c>
      <c r="F61" s="115"/>
      <c r="G61" s="116"/>
      <c r="I61" s="8"/>
    </row>
    <row r="62" spans="1:9" s="2" customFormat="1" ht="14.25" customHeight="1" x14ac:dyDescent="0.2">
      <c r="A62" s="117" t="s">
        <v>47</v>
      </c>
      <c r="B62" s="118"/>
      <c r="C62" s="119">
        <v>1000.9206</v>
      </c>
      <c r="D62" s="119"/>
      <c r="E62" s="120">
        <v>993.54309999999998</v>
      </c>
      <c r="F62" s="121"/>
      <c r="G62" s="122"/>
    </row>
    <row r="63" spans="1:9" s="2" customFormat="1" ht="14.25" customHeight="1" x14ac:dyDescent="0.2">
      <c r="A63" s="123" t="s">
        <v>48</v>
      </c>
      <c r="B63" s="118"/>
      <c r="C63" s="119">
        <v>1000.888</v>
      </c>
      <c r="D63" s="119"/>
      <c r="E63" s="120">
        <v>993.49</v>
      </c>
      <c r="F63" s="121"/>
      <c r="G63" s="122"/>
    </row>
    <row r="64" spans="1:9" s="3" customFormat="1" ht="14.25" customHeight="1" x14ac:dyDescent="0.2">
      <c r="A64" s="123" t="s">
        <v>49</v>
      </c>
      <c r="B64" s="118"/>
      <c r="C64" s="119">
        <v>1000.888</v>
      </c>
      <c r="D64" s="119"/>
      <c r="E64" s="120">
        <v>993.49</v>
      </c>
      <c r="F64" s="121"/>
      <c r="G64" s="122"/>
      <c r="I64" s="2"/>
    </row>
    <row r="65" spans="1:9" s="2" customFormat="1" ht="14.25" customHeight="1" x14ac:dyDescent="0.2">
      <c r="A65" s="123" t="s">
        <v>50</v>
      </c>
      <c r="B65" s="118"/>
      <c r="C65" s="119">
        <v>1000.8049999999999</v>
      </c>
      <c r="D65" s="119"/>
      <c r="E65" s="120">
        <v>993.46400000000006</v>
      </c>
      <c r="F65" s="121"/>
      <c r="G65" s="122"/>
    </row>
    <row r="66" spans="1:9" s="2" customFormat="1" ht="14.25" customHeight="1" x14ac:dyDescent="0.2">
      <c r="A66" s="123" t="s">
        <v>51</v>
      </c>
      <c r="B66" s="118"/>
      <c r="C66" s="119">
        <v>1000.8049999999999</v>
      </c>
      <c r="D66" s="119"/>
      <c r="E66" s="120">
        <v>993.46400000000006</v>
      </c>
      <c r="F66" s="121"/>
      <c r="G66" s="122"/>
    </row>
    <row r="67" spans="1:9" s="2" customFormat="1" ht="14.25" customHeight="1" x14ac:dyDescent="0.2">
      <c r="A67" s="123" t="s">
        <v>52</v>
      </c>
      <c r="B67" s="118"/>
      <c r="C67" s="119">
        <v>1000.923</v>
      </c>
      <c r="D67" s="119"/>
      <c r="E67" s="120">
        <v>993.54330000000004</v>
      </c>
      <c r="F67" s="121"/>
      <c r="G67" s="122"/>
    </row>
    <row r="68" spans="1:9" s="2" customFormat="1" ht="14.25" customHeight="1" x14ac:dyDescent="0.2">
      <c r="A68" s="123" t="s">
        <v>53</v>
      </c>
      <c r="B68" s="118"/>
      <c r="C68" s="119">
        <v>1001.732</v>
      </c>
      <c r="D68" s="119"/>
      <c r="E68" s="120">
        <v>993.89710000000002</v>
      </c>
      <c r="F68" s="121"/>
      <c r="G68" s="122"/>
    </row>
    <row r="69" spans="1:9" s="2" customFormat="1" ht="14.25" customHeight="1" x14ac:dyDescent="0.2">
      <c r="A69" s="123" t="s">
        <v>54</v>
      </c>
      <c r="B69" s="118"/>
      <c r="C69" s="119">
        <v>1001.8556</v>
      </c>
      <c r="D69" s="119"/>
      <c r="E69" s="120">
        <v>993.92219999999998</v>
      </c>
      <c r="F69" s="121"/>
      <c r="G69" s="122"/>
    </row>
    <row r="70" spans="1:9" s="2" customFormat="1" ht="14.25" customHeight="1" x14ac:dyDescent="0.2">
      <c r="A70" s="123" t="s">
        <v>55</v>
      </c>
      <c r="B70" s="118"/>
      <c r="C70" s="119">
        <v>1001.712</v>
      </c>
      <c r="D70" s="119"/>
      <c r="E70" s="120">
        <v>993.84799999999996</v>
      </c>
      <c r="F70" s="121"/>
      <c r="G70" s="122"/>
    </row>
    <row r="71" spans="1:9" s="3" customFormat="1" ht="14.25" customHeight="1" x14ac:dyDescent="0.2">
      <c r="A71" s="123" t="s">
        <v>56</v>
      </c>
      <c r="B71" s="118"/>
      <c r="C71" s="119">
        <v>1001.7528</v>
      </c>
      <c r="D71" s="119"/>
      <c r="E71" s="120">
        <v>993.89570000000003</v>
      </c>
      <c r="F71" s="121"/>
      <c r="G71" s="122"/>
      <c r="I71" s="2"/>
    </row>
    <row r="72" spans="1:9" s="2" customFormat="1" ht="14.25" customHeight="1" x14ac:dyDescent="0.2">
      <c r="A72" s="123" t="s">
        <v>57</v>
      </c>
      <c r="B72" s="118"/>
      <c r="C72" s="119">
        <v>1001.7381</v>
      </c>
      <c r="D72" s="119"/>
      <c r="E72" s="120">
        <v>993.89700000000005</v>
      </c>
      <c r="F72" s="121"/>
      <c r="G72" s="122"/>
    </row>
    <row r="73" spans="1:9" s="2" customFormat="1" ht="14.25" customHeight="1" x14ac:dyDescent="0.2">
      <c r="A73" s="123" t="s">
        <v>58</v>
      </c>
      <c r="B73" s="118"/>
      <c r="C73" s="119">
        <v>1001.7317</v>
      </c>
      <c r="D73" s="119"/>
      <c r="E73" s="120">
        <v>993.89580000000001</v>
      </c>
      <c r="F73" s="121"/>
      <c r="G73" s="122"/>
    </row>
    <row r="74" spans="1:9" s="3" customFormat="1" ht="14.25" customHeight="1" x14ac:dyDescent="0.2">
      <c r="A74" s="88"/>
      <c r="B74" s="89"/>
      <c r="C74" s="90"/>
      <c r="D74" s="90"/>
      <c r="E74" s="90"/>
      <c r="F74" s="90"/>
      <c r="G74" s="91"/>
    </row>
    <row r="75" spans="1:9" s="3" customFormat="1" ht="14.25" customHeight="1" x14ac:dyDescent="0.2">
      <c r="A75" s="80" t="s">
        <v>104</v>
      </c>
      <c r="B75" s="81"/>
      <c r="C75" s="127"/>
      <c r="D75" s="127"/>
      <c r="E75" s="127"/>
      <c r="F75" s="127"/>
      <c r="G75" s="128"/>
    </row>
    <row r="76" spans="1:9" s="3" customFormat="1" ht="14.25" customHeight="1" x14ac:dyDescent="0.2">
      <c r="A76" s="129" t="s">
        <v>59</v>
      </c>
      <c r="B76" s="118"/>
      <c r="C76" s="130" t="s">
        <v>60</v>
      </c>
      <c r="D76" s="130"/>
      <c r="E76" s="130" t="s">
        <v>61</v>
      </c>
      <c r="F76" s="131"/>
      <c r="G76" s="132"/>
    </row>
    <row r="77" spans="1:9" s="3" customFormat="1" ht="14.25" customHeight="1" x14ac:dyDescent="0.2">
      <c r="A77" s="123" t="s">
        <v>48</v>
      </c>
      <c r="B77" s="118"/>
      <c r="C77" s="124">
        <v>0</v>
      </c>
      <c r="D77" s="124"/>
      <c r="E77" s="124">
        <v>0</v>
      </c>
      <c r="F77" s="125"/>
      <c r="G77" s="126"/>
    </row>
    <row r="78" spans="1:9" s="5" customFormat="1" ht="14.25" customHeight="1" x14ac:dyDescent="0.2">
      <c r="A78" s="123" t="s">
        <v>49</v>
      </c>
      <c r="B78" s="118"/>
      <c r="C78" s="124">
        <v>0</v>
      </c>
      <c r="D78" s="124"/>
      <c r="E78" s="124">
        <v>0</v>
      </c>
      <c r="F78" s="125"/>
      <c r="G78" s="126"/>
    </row>
    <row r="79" spans="1:9" s="5" customFormat="1" ht="14.25" customHeight="1" x14ac:dyDescent="0.2">
      <c r="A79" s="123" t="s">
        <v>50</v>
      </c>
      <c r="B79" s="118"/>
      <c r="C79" s="124">
        <v>0</v>
      </c>
      <c r="D79" s="124"/>
      <c r="E79" s="124">
        <v>0</v>
      </c>
      <c r="F79" s="125"/>
      <c r="G79" s="126"/>
    </row>
    <row r="80" spans="1:9" s="3" customFormat="1" ht="14.25" customHeight="1" x14ac:dyDescent="0.2">
      <c r="A80" s="123" t="s">
        <v>51</v>
      </c>
      <c r="B80" s="118"/>
      <c r="C80" s="124">
        <v>0</v>
      </c>
      <c r="D80" s="124"/>
      <c r="E80" s="124">
        <v>0</v>
      </c>
      <c r="F80" s="125"/>
      <c r="G80" s="126"/>
    </row>
    <row r="81" spans="1:7" s="5" customFormat="1" ht="14.25" customHeight="1" x14ac:dyDescent="0.2">
      <c r="A81" s="123" t="s">
        <v>52</v>
      </c>
      <c r="B81" s="118"/>
      <c r="C81" s="124">
        <v>0</v>
      </c>
      <c r="D81" s="124"/>
      <c r="E81" s="124">
        <v>0</v>
      </c>
      <c r="F81" s="125"/>
      <c r="G81" s="126"/>
    </row>
    <row r="82" spans="1:7" s="5" customFormat="1" ht="14.25" customHeight="1" x14ac:dyDescent="0.2">
      <c r="A82" s="123" t="s">
        <v>54</v>
      </c>
      <c r="B82" s="118"/>
      <c r="C82" s="124">
        <v>0</v>
      </c>
      <c r="D82" s="124"/>
      <c r="E82" s="124">
        <v>0</v>
      </c>
      <c r="F82" s="125"/>
      <c r="G82" s="126"/>
    </row>
    <row r="83" spans="1:7" s="5" customFormat="1" ht="14.25" customHeight="1" x14ac:dyDescent="0.2">
      <c r="A83" s="123" t="s">
        <v>55</v>
      </c>
      <c r="B83" s="118"/>
      <c r="C83" s="124">
        <v>0</v>
      </c>
      <c r="D83" s="124"/>
      <c r="E83" s="124">
        <v>0</v>
      </c>
      <c r="F83" s="125"/>
      <c r="G83" s="126"/>
    </row>
    <row r="84" spans="1:7" s="5" customFormat="1" ht="14.25" customHeight="1" x14ac:dyDescent="0.2">
      <c r="A84" s="123" t="s">
        <v>56</v>
      </c>
      <c r="B84" s="118"/>
      <c r="C84" s="124">
        <v>0</v>
      </c>
      <c r="D84" s="124"/>
      <c r="E84" s="124">
        <v>0</v>
      </c>
      <c r="F84" s="125"/>
      <c r="G84" s="126"/>
    </row>
    <row r="85" spans="1:7" s="5" customFormat="1" ht="14.25" customHeight="1" x14ac:dyDescent="0.2">
      <c r="A85" s="123" t="s">
        <v>57</v>
      </c>
      <c r="B85" s="118"/>
      <c r="C85" s="124">
        <v>0</v>
      </c>
      <c r="D85" s="124"/>
      <c r="E85" s="124">
        <v>0</v>
      </c>
      <c r="F85" s="125"/>
      <c r="G85" s="126"/>
    </row>
    <row r="86" spans="1:7" s="5" customFormat="1" ht="14.25" customHeight="1" x14ac:dyDescent="0.2">
      <c r="A86" s="123" t="s">
        <v>58</v>
      </c>
      <c r="B86" s="118"/>
      <c r="C86" s="124">
        <v>0</v>
      </c>
      <c r="D86" s="124"/>
      <c r="E86" s="124">
        <v>0</v>
      </c>
      <c r="F86" s="125"/>
      <c r="G86" s="126"/>
    </row>
    <row r="87" spans="1:7" ht="14.25" customHeight="1" x14ac:dyDescent="0.2">
      <c r="A87" s="80" t="s">
        <v>102</v>
      </c>
      <c r="B87" s="81"/>
      <c r="C87" s="81"/>
      <c r="D87" s="81"/>
      <c r="E87" s="81"/>
      <c r="F87" s="81"/>
      <c r="G87" s="92"/>
    </row>
    <row r="88" spans="1:7" ht="14.25" customHeight="1" x14ac:dyDescent="0.2">
      <c r="A88" s="80" t="s">
        <v>62</v>
      </c>
      <c r="B88" s="81"/>
      <c r="C88" s="81"/>
      <c r="D88" s="81"/>
      <c r="E88" s="81"/>
      <c r="F88" s="81"/>
      <c r="G88" s="92"/>
    </row>
    <row r="89" spans="1:7" ht="14.25" customHeight="1" x14ac:dyDescent="0.2">
      <c r="A89" s="80" t="s">
        <v>63</v>
      </c>
      <c r="B89" s="81"/>
      <c r="C89" s="81"/>
      <c r="D89" s="81"/>
      <c r="E89" s="81"/>
      <c r="F89" s="81"/>
      <c r="G89" s="92"/>
    </row>
    <row r="90" spans="1:7" ht="14.25" customHeight="1" x14ac:dyDescent="0.2">
      <c r="A90" s="80" t="s">
        <v>103</v>
      </c>
      <c r="B90" s="81"/>
      <c r="C90" s="81"/>
      <c r="D90" s="81"/>
      <c r="E90" s="81"/>
      <c r="F90" s="81"/>
      <c r="G90" s="92"/>
    </row>
    <row r="91" spans="1:7" ht="14.25" customHeight="1" x14ac:dyDescent="0.2">
      <c r="A91" s="80" t="s">
        <v>64</v>
      </c>
      <c r="B91" s="81"/>
      <c r="C91" s="81"/>
      <c r="D91" s="81"/>
      <c r="E91" s="81"/>
      <c r="F91" s="81"/>
      <c r="G91" s="92"/>
    </row>
    <row r="92" spans="1:7" s="5" customFormat="1" ht="14.25" customHeight="1" x14ac:dyDescent="0.2">
      <c r="A92" s="80" t="s">
        <v>65</v>
      </c>
      <c r="B92" s="81"/>
      <c r="C92" s="81"/>
      <c r="D92" s="81"/>
      <c r="E92" s="81"/>
      <c r="F92" s="81"/>
      <c r="G92" s="92"/>
    </row>
    <row r="93" spans="1:7" s="5" customFormat="1" ht="14.25" customHeight="1" x14ac:dyDescent="0.2">
      <c r="A93" s="80" t="s">
        <v>101</v>
      </c>
      <c r="B93" s="81"/>
      <c r="C93" s="81"/>
      <c r="D93" s="81"/>
      <c r="E93" s="81"/>
      <c r="F93" s="81"/>
      <c r="G93" s="92"/>
    </row>
    <row r="94" spans="1:7" s="5" customFormat="1" ht="14.25" customHeight="1" x14ac:dyDescent="0.2">
      <c r="A94" s="80" t="s">
        <v>107</v>
      </c>
      <c r="B94" s="81"/>
      <c r="C94" s="81"/>
      <c r="D94" s="81"/>
      <c r="E94" s="81"/>
      <c r="F94" s="81"/>
      <c r="G94" s="92"/>
    </row>
    <row r="95" spans="1:7" s="5" customFormat="1" ht="14.25" customHeight="1" x14ac:dyDescent="0.2">
      <c r="A95" s="80" t="s">
        <v>108</v>
      </c>
      <c r="B95" s="81"/>
      <c r="C95" s="81"/>
      <c r="D95" s="81"/>
      <c r="E95" s="81"/>
      <c r="F95" s="81"/>
      <c r="G95" s="92"/>
    </row>
    <row r="96" spans="1:7" s="5" customFormat="1" ht="14.25" customHeight="1" thickBot="1" x14ac:dyDescent="0.25">
      <c r="A96" s="93"/>
      <c r="B96" s="94"/>
      <c r="C96" s="94"/>
      <c r="D96" s="94"/>
      <c r="E96" s="94"/>
      <c r="F96" s="94"/>
      <c r="G96" s="95"/>
    </row>
    <row r="97" spans="1:7" s="5" customFormat="1" ht="14.25" customHeight="1" x14ac:dyDescent="0.2">
      <c r="A97" s="3"/>
      <c r="B97" s="3"/>
      <c r="C97" s="3"/>
      <c r="D97" s="3"/>
      <c r="E97" s="3"/>
      <c r="F97" s="3"/>
      <c r="G97" s="6"/>
    </row>
    <row r="99" spans="1:7" x14ac:dyDescent="0.2">
      <c r="A99" s="133" t="s">
        <v>109</v>
      </c>
      <c r="B99" s="134">
        <v>5.8700000000000002E-2</v>
      </c>
    </row>
    <row r="100" spans="1:7" x14ac:dyDescent="0.2">
      <c r="A100" s="133" t="s">
        <v>110</v>
      </c>
      <c r="B100" s="135" t="s">
        <v>111</v>
      </c>
    </row>
  </sheetData>
  <mergeCells count="83">
    <mergeCell ref="A86:B86"/>
    <mergeCell ref="C86:D86"/>
    <mergeCell ref="E86:G86"/>
    <mergeCell ref="A84:B84"/>
    <mergeCell ref="C84:D84"/>
    <mergeCell ref="E84:G84"/>
    <mergeCell ref="A85:B85"/>
    <mergeCell ref="C85:D85"/>
    <mergeCell ref="E85:G85"/>
    <mergeCell ref="A82:B82"/>
    <mergeCell ref="C82:D82"/>
    <mergeCell ref="E82:G82"/>
    <mergeCell ref="A83:B83"/>
    <mergeCell ref="C83:D83"/>
    <mergeCell ref="E83:G83"/>
    <mergeCell ref="A80:B80"/>
    <mergeCell ref="C80:D80"/>
    <mergeCell ref="E80:G80"/>
    <mergeCell ref="A81:B81"/>
    <mergeCell ref="C81:D81"/>
    <mergeCell ref="E81:G81"/>
    <mergeCell ref="A78:B78"/>
    <mergeCell ref="C78:D78"/>
    <mergeCell ref="E78:G78"/>
    <mergeCell ref="A79:B79"/>
    <mergeCell ref="C79:D79"/>
    <mergeCell ref="E79:G79"/>
    <mergeCell ref="A77:B77"/>
    <mergeCell ref="C77:D77"/>
    <mergeCell ref="E77:G77"/>
    <mergeCell ref="A72:B72"/>
    <mergeCell ref="C72:D72"/>
    <mergeCell ref="E72:G72"/>
    <mergeCell ref="A73:B73"/>
    <mergeCell ref="C73:D73"/>
    <mergeCell ref="E73:G73"/>
    <mergeCell ref="C75:D75"/>
    <mergeCell ref="E75:G75"/>
    <mergeCell ref="A76:B76"/>
    <mergeCell ref="C76:D76"/>
    <mergeCell ref="E76:G76"/>
    <mergeCell ref="A70:B70"/>
    <mergeCell ref="C70:D70"/>
    <mergeCell ref="E70:G70"/>
    <mergeCell ref="A71:B71"/>
    <mergeCell ref="C71:D71"/>
    <mergeCell ref="E71:G71"/>
    <mergeCell ref="A68:B68"/>
    <mergeCell ref="C68:D68"/>
    <mergeCell ref="E68:G68"/>
    <mergeCell ref="A69:B69"/>
    <mergeCell ref="C69:D69"/>
    <mergeCell ref="E69:G69"/>
    <mergeCell ref="A66:B66"/>
    <mergeCell ref="C66:D66"/>
    <mergeCell ref="E66:G66"/>
    <mergeCell ref="A67:B67"/>
    <mergeCell ref="C67:D67"/>
    <mergeCell ref="E67:G67"/>
    <mergeCell ref="A64:B64"/>
    <mergeCell ref="C64:D64"/>
    <mergeCell ref="E64:G64"/>
    <mergeCell ref="A65:B65"/>
    <mergeCell ref="C65:D65"/>
    <mergeCell ref="E65:G65"/>
    <mergeCell ref="A62:B62"/>
    <mergeCell ref="C62:D62"/>
    <mergeCell ref="E62:G62"/>
    <mergeCell ref="A63:B63"/>
    <mergeCell ref="C63:D63"/>
    <mergeCell ref="E63:G63"/>
    <mergeCell ref="A59:G59"/>
    <mergeCell ref="C60:D60"/>
    <mergeCell ref="E60:G60"/>
    <mergeCell ref="A61:B61"/>
    <mergeCell ref="C61:D61"/>
    <mergeCell ref="E61:G61"/>
    <mergeCell ref="A1:G1"/>
    <mergeCell ref="A2:G2"/>
    <mergeCell ref="A4:G4"/>
    <mergeCell ref="A5:G5"/>
    <mergeCell ref="C58:D58"/>
    <mergeCell ref="E58:G58"/>
  </mergeCells>
  <pageMargins left="3.937007874015748E-2" right="0.74803149606299213" top="3.937007874015748E-2" bottom="3.937007874015748E-2" header="0.51181102362204722" footer="0.51181102362204722"/>
  <pageSetup paperSize="9"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BP</vt:lpstr>
      <vt:lpstr>BP!Print_Area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Washindkar</dc:creator>
  <cp:lastModifiedBy>Sandhya Nair</cp:lastModifiedBy>
  <dcterms:created xsi:type="dcterms:W3CDTF">2021-04-02T15:20:55Z</dcterms:created>
  <dcterms:modified xsi:type="dcterms:W3CDTF">2021-04-09T14:45:00Z</dcterms:modified>
</cp:coreProperties>
</file>