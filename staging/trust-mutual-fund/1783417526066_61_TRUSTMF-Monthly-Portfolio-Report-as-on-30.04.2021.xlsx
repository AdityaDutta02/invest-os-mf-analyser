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Project Chrysalis\Operations\Regulatory Statutory Reporting\1. Reports Filed with Regulators\3. April monthend\2. Monthly Portfolio (10CD)\MPC signoff\"/>
    </mc:Choice>
  </mc:AlternateContent>
  <bookViews>
    <workbookView xWindow="0" yWindow="0" windowWidth="20490" windowHeight="7020" activeTab="1"/>
  </bookViews>
  <sheets>
    <sheet name="Banking &amp; PSU Debt Fund" sheetId="1" r:id="rId1"/>
    <sheet name="Liquid Fund" sheetId="2" r:id="rId2"/>
  </sheets>
  <definedNames>
    <definedName name="_xlnm._FilterDatabase" localSheetId="0" hidden="1">'Banking &amp; PSU Debt Fund'!$A$15:$J$35</definedName>
    <definedName name="_xlnm.Print_Area" localSheetId="0">'Banking &amp; PSU Debt Fund'!$A$1:$H$87</definedName>
    <definedName name="_xlnm.Print_Area" localSheetId="1">'Liquid Fund'!$A$1:$H$74</definedName>
    <definedName name="Z_9AF54932_6149_43F7_990E_BAF2964B56BB_.wvu.Cols" localSheetId="0" hidden="1">'Banking &amp; PSU Debt Fund'!#REF!</definedName>
    <definedName name="Z_9AF54932_6149_43F7_990E_BAF2964B56BB_.wvu.Cols" localSheetId="1" hidden="1">'Liquid Fund'!#REF!</definedName>
    <definedName name="Z_9AF54932_6149_43F7_990E_BAF2964B56BB_.wvu.PrintArea" localSheetId="0" hidden="1">'Banking &amp; PSU Debt Fund'!$A$1:$H$87</definedName>
    <definedName name="Z_9AF54932_6149_43F7_990E_BAF2964B56BB_.wvu.PrintArea" localSheetId="1" hidden="1">'Liquid Fund'!$A$1:$H$74</definedName>
    <definedName name="Z_E19AB337_85FD_4B6E_8054_0F2A4DE3F70F_.wvu.Cols" localSheetId="0" hidden="1">'Banking &amp; PSU Debt Fund'!#REF!</definedName>
    <definedName name="Z_E19AB337_85FD_4B6E_8054_0F2A4DE3F70F_.wvu.Cols" localSheetId="1" hidden="1">'Liquid Fund'!#REF!</definedName>
    <definedName name="Z_E19AB337_85FD_4B6E_8054_0F2A4DE3F70F_.wvu.PrintArea" localSheetId="0" hidden="1">'Banking &amp; PSU Debt Fund'!$A$1:$H$87</definedName>
    <definedName name="Z_E19AB337_85FD_4B6E_8054_0F2A4DE3F70F_.wvu.PrintArea" localSheetId="1" hidden="1">'Liquid Fund'!$A$1:$H$74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1" i="2" l="1"/>
  <c r="E21" i="2"/>
</calcChain>
</file>

<file path=xl/sharedStrings.xml><?xml version="1.0" encoding="utf-8"?>
<sst xmlns="http://schemas.openxmlformats.org/spreadsheetml/2006/main" count="290" uniqueCount="151">
  <si>
    <t>[Pursuant to Regulation 59 A of Securities and Exchange Board of India (Mutual Funds)</t>
  </si>
  <si>
    <t>TRUSTMF Banking &amp; PSU Debt Fund
(An open-ended debt scheme predominantly investing in debt instruments of banks, Public Sector Undertakings,Public Financial Institutions and Municipal Bonds)</t>
  </si>
  <si>
    <t>Name of Instrument</t>
  </si>
  <si>
    <t>ISIN</t>
  </si>
  <si>
    <t>Rating</t>
  </si>
  <si>
    <t>Quantity</t>
  </si>
  <si>
    <t>Market/Fair Value (Rs. in Lacs)</t>
  </si>
  <si>
    <t>% to Net Assets</t>
  </si>
  <si>
    <t>Debt Instruments -</t>
  </si>
  <si>
    <t>(a) Listed/ Awaiting Listing on Stock Exchanges</t>
  </si>
  <si>
    <t>Government Securities</t>
  </si>
  <si>
    <t>IN0020190396</t>
  </si>
  <si>
    <t>Sub Total</t>
  </si>
  <si>
    <t>Non Convertible Debentures / Bonds</t>
  </si>
  <si>
    <t>INE238A08351</t>
  </si>
  <si>
    <t>INE053F07BB3</t>
  </si>
  <si>
    <t>INE557F08FG1</t>
  </si>
  <si>
    <t>INE134E08KH0</t>
  </si>
  <si>
    <t>INE242A08452</t>
  </si>
  <si>
    <t>INE094A08036</t>
  </si>
  <si>
    <t>INE153A08071</t>
  </si>
  <si>
    <t>INE115A07OL3</t>
  </si>
  <si>
    <t>INE062A08223</t>
  </si>
  <si>
    <t>INE040A08377</t>
  </si>
  <si>
    <t>INE752E07LY4</t>
  </si>
  <si>
    <t>INE090A08UC2</t>
  </si>
  <si>
    <t>INE261F08CK9</t>
  </si>
  <si>
    <t>INE062A08215</t>
  </si>
  <si>
    <t>INE090A08UB4</t>
  </si>
  <si>
    <t>INE556F08JS0</t>
  </si>
  <si>
    <t>INE752E07JK7</t>
  </si>
  <si>
    <t>INE001A07RV7</t>
  </si>
  <si>
    <t>Total</t>
  </si>
  <si>
    <t/>
  </si>
  <si>
    <t xml:space="preserve"> </t>
  </si>
  <si>
    <t>TREPS / Reverse Repo Investments / Corporate Debt Repo</t>
  </si>
  <si>
    <t>Net Receivable/Payable</t>
  </si>
  <si>
    <t>NET ASSETS</t>
  </si>
  <si>
    <t>**Thinly Traded/Non Traded Securities</t>
  </si>
  <si>
    <t>Notes :</t>
  </si>
  <si>
    <t>2) Net Assets Value per unit (in Rs) are as follows :</t>
  </si>
  <si>
    <t xml:space="preserve">Plan/Option </t>
  </si>
  <si>
    <t>As on March 31, 2021</t>
  </si>
  <si>
    <t>Regular Plan - Growth Option</t>
  </si>
  <si>
    <t>Regular Plan - Daily Dividend Option</t>
  </si>
  <si>
    <t>Regular Plan - Weekly Dividend Option</t>
  </si>
  <si>
    <t>Regular Plan - Monthly Dividend Option</t>
  </si>
  <si>
    <t>Regular Plan - Quarterly Dividend Option</t>
  </si>
  <si>
    <t>Regular Plan - Yearly Dividend Option</t>
  </si>
  <si>
    <t>Direct Plan - Growth Option</t>
  </si>
  <si>
    <t>Direct Plan - Daily Dividend Option</t>
  </si>
  <si>
    <t>Direct Plan - Weekly Dividend Option</t>
  </si>
  <si>
    <t>Direct Plan - Monthly Dividend Option</t>
  </si>
  <si>
    <t>Direct Plan - Quarterly Dividend Option</t>
  </si>
  <si>
    <t>Direct Plan - Yearly Dividend Option</t>
  </si>
  <si>
    <t>Plan/Option</t>
  </si>
  <si>
    <t>Individuals/HUF</t>
  </si>
  <si>
    <t>Other than Individual/HUF</t>
  </si>
  <si>
    <t>6.18% GOI - 04-Nov-2024</t>
  </si>
  <si>
    <t>Sovereign</t>
  </si>
  <si>
    <t>CRISIL AAA</t>
  </si>
  <si>
    <t>CARE AAA</t>
  </si>
  <si>
    <t>CRISIL AA+</t>
  </si>
  <si>
    <t>ICRA AAA</t>
  </si>
  <si>
    <t>CARE AA+</t>
  </si>
  <si>
    <t>(b) Privately placed / Unlisted</t>
  </si>
  <si>
    <t>Subtotal</t>
  </si>
  <si>
    <t>(c) Securitised Debt</t>
  </si>
  <si>
    <t>NIL</t>
  </si>
  <si>
    <t>Money Market Instruments</t>
  </si>
  <si>
    <t>10) Reverse Repo market value is considered as book cost plus accrued Interest.</t>
  </si>
  <si>
    <t>11) Whether any security is in default beyond its maturity date: NIL</t>
  </si>
  <si>
    <t>12) Whether during the period any investment is made in derivative instruments: NIL</t>
  </si>
  <si>
    <t>MONTHLY PORTFOLIO STATEMENT AS ON APRIL 30, 2021</t>
  </si>
  <si>
    <t>TRUSTMF LIQUID Fund
(An Open Ended Liquid Scheme)</t>
  </si>
  <si>
    <t>As on April 30, 2021</t>
  </si>
  <si>
    <t>1) The provision made for investment in security below investment grade as on April 30, 2021 is Rs Nil and its percentage to Net Asset Value is Nil.</t>
  </si>
  <si>
    <t>3) Details of Dividend declared per unit (in Rs.) during the Month of April 2021</t>
  </si>
  <si>
    <t>5) Total outstanding exposure in derivative instruments as on April 30, 2021 : Nil.</t>
  </si>
  <si>
    <t>6) Total investments in Foreign Securities / Overseas ETFs as at April 30, 2021 and its percentage to NAV : Nil.</t>
  </si>
  <si>
    <t>8) Details of transactions of "Credit Default Swap" for half year ended April 30, 2021 : Nil.</t>
  </si>
  <si>
    <t>7) Details of repo transactions in corporate debt securities for the month of April 2021 : Nil.</t>
  </si>
  <si>
    <t>4) No Bonus declared during the month April 2021.</t>
  </si>
  <si>
    <t>IN2220140114</t>
  </si>
  <si>
    <t>8.90% Maharashtra SDL - 24-Sep-2024</t>
  </si>
  <si>
    <t>8.85 % Axis Bank Ltd. 05-Dec-2024 **</t>
  </si>
  <si>
    <t>8.25 % Indian Railway Finance Corporation Ltd. 28-Feb-2024 **</t>
  </si>
  <si>
    <t>7.05 % National Housing Bank 18-Dec-2024 **</t>
  </si>
  <si>
    <t>7.42 % Power Finance Corporation Ltd. 19-Nov-2024</t>
  </si>
  <si>
    <t>6.39 % Indian Oil Corporation Ltd. 06-Mar-2025 **</t>
  </si>
  <si>
    <t>5.74 % REC Ltd. 20-Jun-2024</t>
  </si>
  <si>
    <t>7.00 % Hindustan Petroleum Corporation Ltd. 14-Aug-2024 **</t>
  </si>
  <si>
    <t>5.24 % Small Industries Development Bank of India 26-Mar-2024 **</t>
  </si>
  <si>
    <t>8.29 % Mahanagar Telephone Nigam Ltd. 28-Nov-2024 **</t>
  </si>
  <si>
    <t>7.75 % LIC Housing Finance Ltd. 23-Jul-2024 **</t>
  </si>
  <si>
    <t>5.53 % National Bank for Agriculture and Rural Development 22-Feb-2024</t>
  </si>
  <si>
    <t>8.93 % Power Grid Corporation of India Ltd. 19-Oct-2024 **</t>
  </si>
  <si>
    <t>5.14 % National Bank for Agriculture and Rural Development 31-Jan-2024</t>
  </si>
  <si>
    <t>9.25 % Power Grid Corporation of India Ltd. 26-Dec-2024 **</t>
  </si>
  <si>
    <t>7.99 % Housing Development Finance Corporation Ltd, 11-Jul-2024 **</t>
  </si>
  <si>
    <t>INE020B08DR1</t>
  </si>
  <si>
    <t>INE261F08CX2</t>
  </si>
  <si>
    <t>CARE AAA(CE)</t>
  </si>
  <si>
    <t>INE556F08JL5</t>
  </si>
  <si>
    <t>INE756I07BY7</t>
  </si>
  <si>
    <t>INE110L07070</t>
  </si>
  <si>
    <t>7.89 % Small Industries Development Bank of India 14-May-2021 **</t>
  </si>
  <si>
    <t>8.81 % HDB Financial Services Ltd. 07-Jul-2021 **</t>
  </si>
  <si>
    <t>8.32 % Reliance Industries Ltd. 08-Jul-2021 **</t>
  </si>
  <si>
    <t>Commercial Papers</t>
  </si>
  <si>
    <t>INE094A14GR9</t>
  </si>
  <si>
    <t>INE261F14HE9</t>
  </si>
  <si>
    <t>INE115A14CQ3</t>
  </si>
  <si>
    <t>INE178A14GM1</t>
  </si>
  <si>
    <t>INE763G14KB2</t>
  </si>
  <si>
    <t>Hindustan Petroleum Corporation Ltd. 28-May-2021</t>
  </si>
  <si>
    <t>National Bank for Agriculture and Rural Development 28-May-2021 **</t>
  </si>
  <si>
    <t>LIC Housing Finance Ltd. 14-Jun-2021</t>
  </si>
  <si>
    <t>Chennai Petroleum Corporation Ltd. 18-Jun-2021 **</t>
  </si>
  <si>
    <t>ICICI Securities Ltd. 28-Jul-2021</t>
  </si>
  <si>
    <t>CRISIL A1+</t>
  </si>
  <si>
    <t>IND A1+</t>
  </si>
  <si>
    <t>Certificate of Deposits</t>
  </si>
  <si>
    <t>Axis Bank Ltd. 05-Jul-2021 **</t>
  </si>
  <si>
    <t>INE238A160W2</t>
  </si>
  <si>
    <t>Treasury Bills</t>
  </si>
  <si>
    <t>364 Days Treasury Bill 08-Jul-2021</t>
  </si>
  <si>
    <t>182 Days Treasury Bill 08-Jul-2021</t>
  </si>
  <si>
    <t>91 Days Treasury Bill 22-Jul-2021</t>
  </si>
  <si>
    <t>IN002020Z147</t>
  </si>
  <si>
    <t>IN002020Y405</t>
  </si>
  <si>
    <t>IN002021X033</t>
  </si>
  <si>
    <t>13) Since the date of allotment of the fund is 23-Apr-2021, the previous month figures are not provided.</t>
  </si>
  <si>
    <t>NA</t>
  </si>
  <si>
    <t>Yield to Maturity (YTM)</t>
  </si>
  <si>
    <t>Yield to Call 
(YTC) ^^</t>
  </si>
  <si>
    <t>8.85 % HDFC Bank Ltd. C 12-May-2022 M 30-Apr-2031**</t>
  </si>
  <si>
    <t>9.90 % ICICI Bank Ltd. C 28-Dec-2023 M 30-Apr-2031**</t>
  </si>
  <si>
    <t>9.15 % ICICI Bank Ltd. C 20-Jun-2023 M 30-Apr-2031</t>
  </si>
  <si>
    <t>8.50 % State Bank of India C 22-Nov-2024 M 30-Apr-2031</t>
  </si>
  <si>
    <t>8.75 % State Bank of India C 30-Aug-2024 M 30-Apr-2031</t>
  </si>
  <si>
    <t>9) Average maturity of the portfolio : 3.11 years</t>
  </si>
  <si>
    <t>9) Average maturity of the portfolio : 43.88 days</t>
  </si>
  <si>
    <t>^^  As per AMFI Best Practices Circular dated 24 March 2021, Yield to Call (YTC) to be disclosed for Perpetual Bonds issued by Banks.</t>
  </si>
  <si>
    <t>YTM</t>
  </si>
  <si>
    <t>YTC</t>
  </si>
  <si>
    <t>Avg Maturity</t>
  </si>
  <si>
    <t>3.11 yrs</t>
  </si>
  <si>
    <t>Macaulay Duration</t>
  </si>
  <si>
    <t>2.79 yrs</t>
  </si>
  <si>
    <t>44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</si>
</sst>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000"/>
    <numFmt numFmtId="165" formatCode="_(* #,##0.000000000_);_(* \(#,##0.000000000\);_(* &quot;-&quot;??_);_(@_)"/>
    <numFmt numFmtId="166" formatCode="0.000%"/>
    <numFmt numFmtId="167" formatCode="yyyy\-mm\-dd"/>
  </numFmts>
  <fonts count="12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9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sz val="10"/>
      <color indexed="8"/>
      <name val="Tahoma"/>
      <family val="2"/>
    </font>
    <font>
      <sz val="10"/>
      <color indexed="8"/>
      <name val="Tahoma"/>
      <family val="2"/>
    </font>
    <font>
      <b/>
      <sz val="10"/>
      <color indexed="72"/>
      <name val="Tahoma"/>
      <family val="2"/>
    </font>
    <font>
      <sz val="10"/>
      <name val="Mangal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9"/>
        <bgColor indexed="58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1" fillId="0" borderId="0" applyNumberFormat="0" applyFill="0" applyBorder="0" applyProtection="0"/>
  </cellStyleXfs>
  <cellXfs count="207">
    <xf numFmtId="0" fontId="0" fillId="0" borderId="0" xfId="0"/>
    <xf numFmtId="0" fontId="0" fillId="0" borderId="0" xfId="0" applyFont="1"/>
    <xf numFmtId="0" fontId="0" fillId="0" borderId="0" xfId="0" applyFont="1" applyBorder="1"/>
    <xf numFmtId="0" fontId="0" fillId="0" borderId="0" xfId="0" applyFont="1" applyFill="1" applyBorder="1"/>
    <xf numFmtId="0" fontId="3" fillId="0" borderId="0" xfId="0" applyFont="1" applyFill="1" applyBorder="1"/>
    <xf numFmtId="0" fontId="0" fillId="0" borderId="0" xfId="0" applyFont="1" applyFill="1"/>
    <xf numFmtId="4" fontId="0" fillId="0" borderId="0" xfId="2" applyNumberFormat="1" applyFont="1" applyFill="1" applyBorder="1"/>
    <xf numFmtId="4" fontId="0" fillId="0" borderId="0" xfId="0" applyNumberFormat="1" applyFont="1"/>
    <xf numFmtId="4" fontId="0" fillId="0" borderId="0" xfId="2" applyNumberFormat="1" applyFont="1"/>
    <xf numFmtId="14" fontId="0" fillId="0" borderId="0" xfId="0" applyNumberFormat="1" applyFont="1" applyBorder="1"/>
    <xf numFmtId="0" fontId="5" fillId="0" borderId="4" xfId="0" applyFont="1" applyBorder="1"/>
    <xf numFmtId="0" fontId="5" fillId="0" borderId="0" xfId="0" applyFont="1" applyBorder="1"/>
    <xf numFmtId="0" fontId="6" fillId="0" borderId="0" xfId="0" applyFont="1" applyBorder="1"/>
    <xf numFmtId="4" fontId="6" fillId="0" borderId="5" xfId="2" applyNumberFormat="1" applyFont="1" applyBorder="1"/>
    <xf numFmtId="0" fontId="7" fillId="0" borderId="9" xfId="0" applyFont="1" applyFill="1" applyBorder="1" applyAlignment="1">
      <alignment horizontal="left" vertical="center"/>
    </xf>
    <xf numFmtId="0" fontId="7" fillId="0" borderId="10" xfId="0" applyFont="1" applyFill="1" applyBorder="1" applyAlignment="1">
      <alignment horizontal="left" vertical="center"/>
    </xf>
    <xf numFmtId="0" fontId="7" fillId="0" borderId="10" xfId="0" applyFont="1" applyFill="1" applyBorder="1" applyAlignment="1">
      <alignment horizontal="center" vertical="center"/>
    </xf>
    <xf numFmtId="39" fontId="7" fillId="0" borderId="10" xfId="0" applyNumberFormat="1" applyFont="1" applyFill="1" applyBorder="1" applyAlignment="1">
      <alignment horizontal="center" vertical="center"/>
    </xf>
    <xf numFmtId="39" fontId="7" fillId="0" borderId="10" xfId="0" applyNumberFormat="1" applyFont="1" applyFill="1" applyBorder="1" applyAlignment="1">
      <alignment horizontal="center" vertical="center" wrapText="1"/>
    </xf>
    <xf numFmtId="4" fontId="7" fillId="0" borderId="10" xfId="2" applyNumberFormat="1" applyFont="1" applyFill="1" applyBorder="1" applyAlignment="1">
      <alignment horizontal="center" vertical="center"/>
    </xf>
    <xf numFmtId="0" fontId="7" fillId="0" borderId="30" xfId="0" applyFont="1" applyFill="1" applyBorder="1" applyAlignment="1">
      <alignment horizontal="left" vertical="center"/>
    </xf>
    <xf numFmtId="0" fontId="7" fillId="0" borderId="31" xfId="0" applyFont="1" applyFill="1" applyBorder="1" applyAlignment="1">
      <alignment horizontal="left" vertical="center"/>
    </xf>
    <xf numFmtId="0" fontId="7" fillId="0" borderId="31" xfId="0" applyFont="1" applyFill="1" applyBorder="1" applyAlignment="1">
      <alignment horizontal="center" vertical="center"/>
    </xf>
    <xf numFmtId="39" fontId="7" fillId="0" borderId="31" xfId="0" applyNumberFormat="1" applyFont="1" applyFill="1" applyBorder="1" applyAlignment="1">
      <alignment horizontal="center" vertical="center"/>
    </xf>
    <xf numFmtId="39" fontId="7" fillId="0" borderId="31" xfId="0" applyNumberFormat="1" applyFont="1" applyFill="1" applyBorder="1" applyAlignment="1">
      <alignment horizontal="center" vertical="center" wrapText="1"/>
    </xf>
    <xf numFmtId="4" fontId="7" fillId="0" borderId="31" xfId="2" applyNumberFormat="1" applyFont="1" applyFill="1" applyBorder="1" applyAlignment="1">
      <alignment horizontal="center" vertical="center"/>
    </xf>
    <xf numFmtId="4" fontId="7" fillId="0" borderId="32" xfId="2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left" vertical="center"/>
    </xf>
    <xf numFmtId="0" fontId="7" fillId="0" borderId="7" xfId="0" applyFont="1" applyFill="1" applyBorder="1" applyAlignment="1">
      <alignment horizontal="left" vertical="center"/>
    </xf>
    <xf numFmtId="0" fontId="7" fillId="0" borderId="7" xfId="0" applyFont="1" applyFill="1" applyBorder="1" applyAlignment="1">
      <alignment horizontal="center" vertical="center"/>
    </xf>
    <xf numFmtId="39" fontId="7" fillId="0" borderId="7" xfId="0" applyNumberFormat="1" applyFont="1" applyFill="1" applyBorder="1" applyAlignment="1">
      <alignment horizontal="center" vertical="center"/>
    </xf>
    <xf numFmtId="39" fontId="7" fillId="0" borderId="7" xfId="0" applyNumberFormat="1" applyFont="1" applyFill="1" applyBorder="1" applyAlignment="1">
      <alignment horizontal="center" vertical="center" wrapText="1"/>
    </xf>
    <xf numFmtId="4" fontId="7" fillId="0" borderId="7" xfId="2" applyNumberFormat="1" applyFont="1" applyFill="1" applyBorder="1" applyAlignment="1">
      <alignment horizontal="center" vertical="center"/>
    </xf>
    <xf numFmtId="4" fontId="7" fillId="0" borderId="8" xfId="2" applyNumberFormat="1" applyFont="1" applyFill="1" applyBorder="1" applyAlignment="1">
      <alignment horizontal="center" vertical="center"/>
    </xf>
    <xf numFmtId="4" fontId="8" fillId="0" borderId="6" xfId="0" applyNumberFormat="1" applyFont="1" applyFill="1" applyBorder="1" applyAlignment="1">
      <alignment horizontal="left" vertical="top"/>
    </xf>
    <xf numFmtId="4" fontId="8" fillId="0" borderId="7" xfId="0" applyNumberFormat="1" applyFont="1" applyFill="1" applyBorder="1" applyAlignment="1">
      <alignment horizontal="left" vertical="top"/>
    </xf>
    <xf numFmtId="4" fontId="9" fillId="0" borderId="7" xfId="0" applyNumberFormat="1" applyFont="1" applyFill="1" applyBorder="1" applyAlignment="1">
      <alignment horizontal="left" vertical="top"/>
    </xf>
    <xf numFmtId="0" fontId="9" fillId="0" borderId="7" xfId="0" applyNumberFormat="1" applyFont="1" applyFill="1" applyBorder="1" applyAlignment="1">
      <alignment horizontal="right" vertical="top"/>
    </xf>
    <xf numFmtId="4" fontId="9" fillId="0" borderId="7" xfId="0" applyNumberFormat="1" applyFont="1" applyFill="1" applyBorder="1" applyAlignment="1">
      <alignment horizontal="right" vertical="top"/>
    </xf>
    <xf numFmtId="4" fontId="9" fillId="0" borderId="8" xfId="0" applyNumberFormat="1" applyFont="1" applyFill="1" applyBorder="1" applyAlignment="1">
      <alignment horizontal="right" vertical="top"/>
    </xf>
    <xf numFmtId="0" fontId="9" fillId="0" borderId="6" xfId="0" applyFont="1" applyFill="1" applyBorder="1" applyAlignment="1">
      <alignment horizontal="left" vertical="top"/>
    </xf>
    <xf numFmtId="4" fontId="9" fillId="0" borderId="7" xfId="3" applyNumberFormat="1" applyFont="1" applyFill="1" applyBorder="1" applyAlignment="1">
      <alignment horizontal="left"/>
    </xf>
    <xf numFmtId="0" fontId="9" fillId="0" borderId="7" xfId="0" applyFont="1" applyFill="1" applyBorder="1" applyAlignment="1">
      <alignment horizontal="left" vertical="top"/>
    </xf>
    <xf numFmtId="43" fontId="9" fillId="0" borderId="7" xfId="1" applyFont="1" applyFill="1" applyBorder="1" applyAlignment="1">
      <alignment horizontal="right" vertical="top"/>
    </xf>
    <xf numFmtId="10" fontId="9" fillId="0" borderId="7" xfId="2" applyNumberFormat="1" applyFont="1" applyFill="1" applyBorder="1" applyAlignment="1">
      <alignment horizontal="right" vertical="top"/>
    </xf>
    <xf numFmtId="10" fontId="9" fillId="0" borderId="8" xfId="2" applyNumberFormat="1" applyFont="1" applyFill="1" applyBorder="1" applyAlignment="1">
      <alignment horizontal="right" vertical="top"/>
    </xf>
    <xf numFmtId="0" fontId="8" fillId="0" borderId="6" xfId="0" applyFont="1" applyFill="1" applyBorder="1" applyAlignment="1">
      <alignment horizontal="left" vertical="center"/>
    </xf>
    <xf numFmtId="0" fontId="8" fillId="0" borderId="7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39" fontId="8" fillId="0" borderId="7" xfId="0" applyNumberFormat="1" applyFont="1" applyFill="1" applyBorder="1" applyAlignment="1">
      <alignment horizontal="right" vertical="center"/>
    </xf>
    <xf numFmtId="10" fontId="8" fillId="0" borderId="7" xfId="2" applyNumberFormat="1" applyFont="1" applyFill="1" applyBorder="1" applyAlignment="1">
      <alignment horizontal="right" vertical="top"/>
    </xf>
    <xf numFmtId="10" fontId="8" fillId="0" borderId="8" xfId="2" applyNumberFormat="1" applyFont="1" applyFill="1" applyBorder="1" applyAlignment="1">
      <alignment horizontal="right" vertical="top"/>
    </xf>
    <xf numFmtId="0" fontId="7" fillId="0" borderId="6" xfId="0" applyFont="1" applyFill="1" applyBorder="1"/>
    <xf numFmtId="43" fontId="8" fillId="0" borderId="7" xfId="1" applyFont="1" applyFill="1" applyBorder="1" applyAlignment="1">
      <alignment horizontal="right" vertical="top"/>
    </xf>
    <xf numFmtId="0" fontId="6" fillId="0" borderId="6" xfId="0" applyFont="1" applyFill="1" applyBorder="1"/>
    <xf numFmtId="0" fontId="8" fillId="0" borderId="6" xfId="0" applyFont="1" applyFill="1" applyBorder="1" applyAlignment="1">
      <alignment horizontal="left" vertical="top"/>
    </xf>
    <xf numFmtId="0" fontId="8" fillId="0" borderId="7" xfId="0" applyFont="1" applyFill="1" applyBorder="1" applyAlignment="1">
      <alignment horizontal="left" vertical="top"/>
    </xf>
    <xf numFmtId="39" fontId="8" fillId="0" borderId="7" xfId="0" applyNumberFormat="1" applyFont="1" applyFill="1" applyBorder="1" applyAlignment="1">
      <alignment horizontal="right"/>
    </xf>
    <xf numFmtId="4" fontId="9" fillId="0" borderId="7" xfId="2" applyNumberFormat="1" applyFont="1" applyFill="1" applyBorder="1" applyAlignment="1">
      <alignment horizontal="right" vertical="top"/>
    </xf>
    <xf numFmtId="4" fontId="9" fillId="0" borderId="8" xfId="2" applyNumberFormat="1" applyFont="1" applyFill="1" applyBorder="1" applyAlignment="1">
      <alignment horizontal="right" vertical="top"/>
    </xf>
    <xf numFmtId="39" fontId="8" fillId="0" borderId="7" xfId="0" applyNumberFormat="1" applyFont="1" applyFill="1" applyBorder="1" applyAlignment="1">
      <alignment horizontal="right" vertical="top"/>
    </xf>
    <xf numFmtId="39" fontId="4" fillId="0" borderId="7" xfId="0" applyNumberFormat="1" applyFont="1" applyFill="1" applyBorder="1" applyAlignment="1">
      <alignment horizontal="right" vertical="top"/>
    </xf>
    <xf numFmtId="4" fontId="8" fillId="0" borderId="7" xfId="2" applyNumberFormat="1" applyFont="1" applyFill="1" applyBorder="1" applyAlignment="1">
      <alignment horizontal="right"/>
    </xf>
    <xf numFmtId="4" fontId="8" fillId="0" borderId="8" xfId="2" applyNumberFormat="1" applyFont="1" applyFill="1" applyBorder="1" applyAlignment="1">
      <alignment horizontal="right"/>
    </xf>
    <xf numFmtId="10" fontId="9" fillId="0" borderId="7" xfId="2" applyNumberFormat="1" applyFont="1" applyFill="1" applyBorder="1" applyAlignment="1">
      <alignment horizontal="right"/>
    </xf>
    <xf numFmtId="10" fontId="9" fillId="0" borderId="8" xfId="2" applyNumberFormat="1" applyFont="1" applyFill="1" applyBorder="1" applyAlignment="1">
      <alignment horizontal="right"/>
    </xf>
    <xf numFmtId="0" fontId="7" fillId="0" borderId="24" xfId="0" applyFont="1" applyFill="1" applyBorder="1"/>
    <xf numFmtId="0" fontId="6" fillId="0" borderId="25" xfId="0" applyFont="1" applyFill="1" applyBorder="1"/>
    <xf numFmtId="0" fontId="9" fillId="0" borderId="25" xfId="3" applyFont="1" applyFill="1" applyBorder="1" applyAlignment="1">
      <alignment horizontal="left"/>
    </xf>
    <xf numFmtId="37" fontId="9" fillId="0" borderId="25" xfId="0" applyNumberFormat="1" applyFont="1" applyFill="1" applyBorder="1" applyAlignment="1">
      <alignment horizontal="right" vertical="top"/>
    </xf>
    <xf numFmtId="39" fontId="8" fillId="0" borderId="25" xfId="0" applyNumberFormat="1" applyFont="1" applyFill="1" applyBorder="1" applyAlignment="1">
      <alignment horizontal="right"/>
    </xf>
    <xf numFmtId="10" fontId="8" fillId="0" borderId="25" xfId="2" applyNumberFormat="1" applyFont="1" applyFill="1" applyBorder="1" applyAlignment="1">
      <alignment horizontal="right" vertical="top"/>
    </xf>
    <xf numFmtId="10" fontId="8" fillId="0" borderId="26" xfId="2" applyNumberFormat="1" applyFont="1" applyFill="1" applyBorder="1" applyAlignment="1">
      <alignment horizontal="right" vertical="top"/>
    </xf>
    <xf numFmtId="0" fontId="7" fillId="0" borderId="27" xfId="0" applyFont="1" applyFill="1" applyBorder="1"/>
    <xf numFmtId="0" fontId="6" fillId="0" borderId="28" xfId="0" applyFont="1" applyFill="1" applyBorder="1"/>
    <xf numFmtId="0" fontId="9" fillId="0" borderId="28" xfId="3" applyFont="1" applyFill="1" applyBorder="1" applyAlignment="1">
      <alignment horizontal="left"/>
    </xf>
    <xf numFmtId="37" fontId="9" fillId="0" borderId="28" xfId="0" applyNumberFormat="1" applyFont="1" applyFill="1" applyBorder="1" applyAlignment="1">
      <alignment horizontal="right" vertical="top"/>
    </xf>
    <xf numFmtId="39" fontId="8" fillId="0" borderId="28" xfId="0" applyNumberFormat="1" applyFont="1" applyFill="1" applyBorder="1" applyAlignment="1">
      <alignment horizontal="right"/>
    </xf>
    <xf numFmtId="10" fontId="8" fillId="0" borderId="28" xfId="2" applyNumberFormat="1" applyFont="1" applyFill="1" applyBorder="1" applyAlignment="1">
      <alignment horizontal="right" vertical="top"/>
    </xf>
    <xf numFmtId="10" fontId="8" fillId="0" borderId="29" xfId="2" applyNumberFormat="1" applyFont="1" applyFill="1" applyBorder="1" applyAlignment="1">
      <alignment horizontal="right" vertical="top"/>
    </xf>
    <xf numFmtId="0" fontId="6" fillId="0" borderId="4" xfId="0" applyFont="1" applyFill="1" applyBorder="1"/>
    <xf numFmtId="0" fontId="6" fillId="0" borderId="0" xfId="0" applyFont="1" applyFill="1" applyBorder="1"/>
    <xf numFmtId="0" fontId="9" fillId="0" borderId="0" xfId="3" applyFont="1" applyFill="1" applyBorder="1" applyAlignment="1">
      <alignment horizontal="left"/>
    </xf>
    <xf numFmtId="37" fontId="9" fillId="0" borderId="0" xfId="0" applyNumberFormat="1" applyFont="1" applyFill="1" applyBorder="1" applyAlignment="1">
      <alignment horizontal="right" vertical="top"/>
    </xf>
    <xf numFmtId="4" fontId="9" fillId="0" borderId="0" xfId="3" applyNumberFormat="1" applyFont="1" applyFill="1" applyBorder="1" applyAlignment="1">
      <alignment horizontal="right"/>
    </xf>
    <xf numFmtId="4" fontId="9" fillId="0" borderId="5" xfId="2" applyNumberFormat="1" applyFont="1" applyFill="1" applyBorder="1" applyAlignment="1">
      <alignment horizontal="right"/>
    </xf>
    <xf numFmtId="0" fontId="7" fillId="0" borderId="4" xfId="0" applyFont="1" applyFill="1" applyBorder="1"/>
    <xf numFmtId="0" fontId="7" fillId="0" borderId="0" xfId="0" applyFont="1" applyFill="1" applyBorder="1"/>
    <xf numFmtId="0" fontId="6" fillId="0" borderId="4" xfId="0" applyFont="1" applyFill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164" fontId="6" fillId="0" borderId="0" xfId="0" applyNumberFormat="1" applyFont="1" applyFill="1" applyBorder="1" applyAlignment="1">
      <alignment horizontal="right" vertical="center"/>
    </xf>
    <xf numFmtId="164" fontId="6" fillId="0" borderId="5" xfId="0" applyNumberFormat="1" applyFont="1" applyFill="1" applyBorder="1" applyAlignment="1">
      <alignment horizontal="right" vertical="center"/>
    </xf>
    <xf numFmtId="4" fontId="6" fillId="0" borderId="5" xfId="2" applyNumberFormat="1" applyFont="1" applyFill="1" applyBorder="1"/>
    <xf numFmtId="0" fontId="6" fillId="0" borderId="16" xfId="0" applyFont="1" applyFill="1" applyBorder="1" applyAlignment="1">
      <alignment horizontal="left"/>
    </xf>
    <xf numFmtId="0" fontId="6" fillId="0" borderId="17" xfId="0" applyFont="1" applyFill="1" applyBorder="1"/>
    <xf numFmtId="4" fontId="6" fillId="0" borderId="18" xfId="2" applyNumberFormat="1" applyFont="1" applyFill="1" applyBorder="1"/>
    <xf numFmtId="4" fontId="10" fillId="0" borderId="7" xfId="0" applyNumberFormat="1" applyFont="1" applyFill="1" applyBorder="1" applyAlignment="1" applyProtection="1">
      <alignment horizontal="right" vertical="top" wrapText="1"/>
    </xf>
    <xf numFmtId="10" fontId="8" fillId="0" borderId="7" xfId="2" applyNumberFormat="1" applyFont="1" applyFill="1" applyBorder="1" applyAlignment="1">
      <alignment horizontal="right"/>
    </xf>
    <xf numFmtId="4" fontId="7" fillId="0" borderId="7" xfId="0" applyNumberFormat="1" applyFont="1" applyFill="1" applyBorder="1" applyAlignment="1">
      <alignment horizontal="right" wrapText="1"/>
    </xf>
    <xf numFmtId="10" fontId="7" fillId="0" borderId="7" xfId="2" applyNumberFormat="1" applyFont="1" applyFill="1" applyBorder="1" applyAlignment="1">
      <alignment horizontal="right" wrapText="1"/>
    </xf>
    <xf numFmtId="0" fontId="6" fillId="0" borderId="7" xfId="0" applyNumberFormat="1" applyFont="1" applyFill="1" applyBorder="1" applyAlignment="1">
      <alignment horizontal="left" wrapText="1"/>
    </xf>
    <xf numFmtId="4" fontId="6" fillId="0" borderId="7" xfId="0" applyNumberFormat="1" applyFont="1" applyFill="1" applyBorder="1" applyAlignment="1">
      <alignment horizontal="left" wrapText="1"/>
    </xf>
    <xf numFmtId="10" fontId="6" fillId="0" borderId="7" xfId="2" applyNumberFormat="1" applyFont="1" applyFill="1" applyBorder="1" applyAlignment="1">
      <alignment horizontal="left" wrapText="1"/>
    </xf>
    <xf numFmtId="10" fontId="6" fillId="0" borderId="14" xfId="2" applyNumberFormat="1" applyFont="1" applyFill="1" applyBorder="1" applyAlignment="1">
      <alignment horizontal="left" wrapText="1"/>
    </xf>
    <xf numFmtId="10" fontId="10" fillId="0" borderId="7" xfId="2" applyNumberFormat="1" applyFont="1" applyFill="1" applyBorder="1" applyAlignment="1" applyProtection="1">
      <alignment horizontal="right" vertical="top" wrapText="1"/>
    </xf>
    <xf numFmtId="10" fontId="9" fillId="0" borderId="0" xfId="2" applyNumberFormat="1" applyFont="1" applyFill="1" applyBorder="1" applyAlignment="1">
      <alignment horizontal="right"/>
    </xf>
    <xf numFmtId="166" fontId="9" fillId="0" borderId="0" xfId="2" applyNumberFormat="1" applyFont="1" applyFill="1" applyBorder="1" applyAlignment="1">
      <alignment horizontal="right"/>
    </xf>
    <xf numFmtId="4" fontId="9" fillId="0" borderId="0" xfId="2" applyNumberFormat="1" applyFont="1" applyFill="1" applyBorder="1" applyAlignment="1">
      <alignment horizontal="right"/>
    </xf>
    <xf numFmtId="4" fontId="7" fillId="0" borderId="34" xfId="2" applyNumberFormat="1" applyFont="1" applyFill="1" applyBorder="1" applyAlignment="1">
      <alignment horizontal="center" vertical="center"/>
    </xf>
    <xf numFmtId="4" fontId="7" fillId="0" borderId="14" xfId="2" applyNumberFormat="1" applyFont="1" applyFill="1" applyBorder="1" applyAlignment="1">
      <alignment horizontal="center" vertical="center"/>
    </xf>
    <xf numFmtId="4" fontId="9" fillId="0" borderId="14" xfId="0" applyNumberFormat="1" applyFont="1" applyFill="1" applyBorder="1" applyAlignment="1">
      <alignment horizontal="right" vertical="top"/>
    </xf>
    <xf numFmtId="10" fontId="9" fillId="0" borderId="14" xfId="2" applyNumberFormat="1" applyFont="1" applyFill="1" applyBorder="1" applyAlignment="1">
      <alignment horizontal="right" vertical="top"/>
    </xf>
    <xf numFmtId="10" fontId="8" fillId="0" borderId="14" xfId="2" applyNumberFormat="1" applyFont="1" applyFill="1" applyBorder="1" applyAlignment="1">
      <alignment horizontal="right" vertical="top"/>
    </xf>
    <xf numFmtId="4" fontId="9" fillId="0" borderId="14" xfId="2" applyNumberFormat="1" applyFont="1" applyFill="1" applyBorder="1" applyAlignment="1">
      <alignment horizontal="right" vertical="top"/>
    </xf>
    <xf numFmtId="4" fontId="8" fillId="0" borderId="14" xfId="2" applyNumberFormat="1" applyFont="1" applyFill="1" applyBorder="1" applyAlignment="1">
      <alignment horizontal="right"/>
    </xf>
    <xf numFmtId="10" fontId="9" fillId="0" borderId="14" xfId="2" applyNumberFormat="1" applyFont="1" applyFill="1" applyBorder="1" applyAlignment="1">
      <alignment horizontal="right"/>
    </xf>
    <xf numFmtId="10" fontId="8" fillId="0" borderId="14" xfId="2" applyNumberFormat="1" applyFont="1" applyFill="1" applyBorder="1" applyAlignment="1">
      <alignment horizontal="right"/>
    </xf>
    <xf numFmtId="10" fontId="8" fillId="0" borderId="35" xfId="2" applyNumberFormat="1" applyFont="1" applyFill="1" applyBorder="1" applyAlignment="1">
      <alignment horizontal="right" vertical="top"/>
    </xf>
    <xf numFmtId="10" fontId="8" fillId="0" borderId="36" xfId="2" applyNumberFormat="1" applyFont="1" applyFill="1" applyBorder="1" applyAlignment="1">
      <alignment horizontal="right" vertical="top"/>
    </xf>
    <xf numFmtId="10" fontId="7" fillId="0" borderId="14" xfId="2" applyNumberFormat="1" applyFont="1" applyFill="1" applyBorder="1" applyAlignment="1">
      <alignment horizontal="right" wrapText="1"/>
    </xf>
    <xf numFmtId="10" fontId="10" fillId="0" borderId="14" xfId="2" applyNumberFormat="1" applyFont="1" applyFill="1" applyBorder="1" applyAlignment="1" applyProtection="1">
      <alignment horizontal="right" vertical="top" wrapText="1"/>
    </xf>
    <xf numFmtId="49" fontId="7" fillId="3" borderId="6" xfId="4" applyNumberFormat="1" applyFont="1" applyFill="1" applyBorder="1" applyAlignment="1" applyProtection="1">
      <alignment horizontal="left"/>
    </xf>
    <xf numFmtId="0" fontId="7" fillId="0" borderId="6" xfId="0" applyNumberFormat="1" applyFont="1" applyFill="1" applyBorder="1" applyAlignment="1"/>
    <xf numFmtId="0" fontId="6" fillId="0" borderId="6" xfId="0" applyFont="1" applyFill="1" applyBorder="1" applyAlignment="1">
      <alignment horizontal="left"/>
    </xf>
    <xf numFmtId="10" fontId="6" fillId="0" borderId="8" xfId="2" applyNumberFormat="1" applyFont="1" applyFill="1" applyBorder="1" applyAlignment="1">
      <alignment horizontal="left" wrapText="1"/>
    </xf>
    <xf numFmtId="4" fontId="7" fillId="0" borderId="33" xfId="2" applyNumberFormat="1" applyFont="1" applyFill="1" applyBorder="1" applyAlignment="1">
      <alignment horizontal="center" vertical="center" wrapText="1"/>
    </xf>
    <xf numFmtId="4" fontId="7" fillId="0" borderId="11" xfId="2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/>
    <xf numFmtId="0" fontId="6" fillId="0" borderId="0" xfId="0" applyFont="1" applyAlignment="1"/>
    <xf numFmtId="10" fontId="6" fillId="0" borderId="0" xfId="0" applyNumberFormat="1" applyFont="1"/>
    <xf numFmtId="167" fontId="6" fillId="0" borderId="0" xfId="0" applyNumberFormat="1" applyFont="1" applyAlignment="1">
      <alignment horizontal="right"/>
    </xf>
    <xf numFmtId="0" fontId="6" fillId="0" borderId="12" xfId="0" applyFont="1" applyFill="1" applyBorder="1" applyAlignment="1">
      <alignment horizontal="left" vertical="top"/>
    </xf>
    <xf numFmtId="0" fontId="6" fillId="0" borderId="19" xfId="0" applyFont="1" applyFill="1" applyBorder="1" applyAlignment="1">
      <alignment horizontal="left" vertical="top"/>
    </xf>
    <xf numFmtId="0" fontId="6" fillId="0" borderId="13" xfId="0" applyFont="1" applyFill="1" applyBorder="1" applyAlignment="1">
      <alignment horizontal="left" vertical="top"/>
    </xf>
    <xf numFmtId="165" fontId="6" fillId="0" borderId="34" xfId="1" applyNumberFormat="1" applyFont="1" applyFill="1" applyBorder="1" applyAlignment="1">
      <alignment horizontal="center" vertical="center"/>
    </xf>
    <xf numFmtId="165" fontId="6" fillId="0" borderId="38" xfId="1" applyNumberFormat="1" applyFont="1" applyFill="1" applyBorder="1" applyAlignment="1">
      <alignment horizontal="center" vertical="center"/>
    </xf>
    <xf numFmtId="0" fontId="7" fillId="0" borderId="33" xfId="0" applyFont="1" applyFill="1" applyBorder="1" applyAlignment="1">
      <alignment horizontal="center"/>
    </xf>
    <xf numFmtId="0" fontId="7" fillId="0" borderId="47" xfId="0" applyFont="1" applyFill="1" applyBorder="1" applyAlignment="1">
      <alignment horizontal="center"/>
    </xf>
    <xf numFmtId="0" fontId="7" fillId="0" borderId="45" xfId="0" applyFont="1" applyFill="1" applyBorder="1" applyAlignment="1">
      <alignment horizontal="left" vertical="top"/>
    </xf>
    <xf numFmtId="0" fontId="7" fillId="0" borderId="46" xfId="0" applyFont="1" applyFill="1" applyBorder="1" applyAlignment="1">
      <alignment horizontal="left" vertical="top"/>
    </xf>
    <xf numFmtId="0" fontId="7" fillId="0" borderId="47" xfId="0" applyFont="1" applyFill="1" applyBorder="1" applyAlignment="1">
      <alignment horizontal="left" vertical="top"/>
    </xf>
    <xf numFmtId="0" fontId="6" fillId="0" borderId="37" xfId="0" applyFont="1" applyFill="1" applyBorder="1" applyAlignment="1">
      <alignment horizontal="left" vertical="top"/>
    </xf>
    <xf numFmtId="0" fontId="6" fillId="0" borderId="43" xfId="0" applyFont="1" applyFill="1" applyBorder="1" applyAlignment="1">
      <alignment horizontal="left" vertical="top"/>
    </xf>
    <xf numFmtId="0" fontId="6" fillId="0" borderId="38" xfId="0" applyFont="1" applyFill="1" applyBorder="1" applyAlignment="1">
      <alignment horizontal="left" vertical="top"/>
    </xf>
    <xf numFmtId="165" fontId="6" fillId="0" borderId="14" xfId="1" applyNumberFormat="1" applyFont="1" applyFill="1" applyBorder="1" applyAlignment="1">
      <alignment horizontal="center" vertical="center"/>
    </xf>
    <xf numFmtId="165" fontId="6" fillId="0" borderId="13" xfId="1" applyNumberFormat="1" applyFont="1" applyFill="1" applyBorder="1" applyAlignment="1">
      <alignment horizontal="center" vertical="center"/>
    </xf>
    <xf numFmtId="0" fontId="7" fillId="0" borderId="48" xfId="0" applyFont="1" applyFill="1" applyBorder="1" applyAlignment="1">
      <alignment horizontal="center"/>
    </xf>
    <xf numFmtId="165" fontId="6" fillId="0" borderId="44" xfId="1" applyNumberFormat="1" applyFont="1" applyFill="1" applyBorder="1" applyAlignment="1">
      <alignment horizontal="center" vertical="center"/>
    </xf>
    <xf numFmtId="165" fontId="6" fillId="0" borderId="15" xfId="1" applyNumberFormat="1" applyFont="1" applyFill="1" applyBorder="1" applyAlignment="1">
      <alignment horizontal="center" vertical="center"/>
    </xf>
    <xf numFmtId="0" fontId="9" fillId="0" borderId="37" xfId="0" applyFont="1" applyFill="1" applyBorder="1" applyAlignment="1">
      <alignment horizontal="left" vertical="top"/>
    </xf>
    <xf numFmtId="0" fontId="9" fillId="0" borderId="43" xfId="0" applyFont="1" applyFill="1" applyBorder="1" applyAlignment="1">
      <alignment horizontal="left" vertical="top"/>
    </xf>
    <xf numFmtId="0" fontId="9" fillId="0" borderId="38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horizontal="right"/>
    </xf>
    <xf numFmtId="164" fontId="6" fillId="0" borderId="5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6" fillId="0" borderId="5" xfId="0" applyFont="1" applyFill="1" applyBorder="1" applyAlignment="1">
      <alignment horizontal="left"/>
    </xf>
    <xf numFmtId="0" fontId="8" fillId="0" borderId="33" xfId="0" applyFont="1" applyFill="1" applyBorder="1" applyAlignment="1">
      <alignment horizontal="center" vertical="top"/>
    </xf>
    <xf numFmtId="0" fontId="8" fillId="0" borderId="48" xfId="0" applyFont="1" applyFill="1" applyBorder="1" applyAlignment="1">
      <alignment horizontal="center" vertical="top"/>
    </xf>
    <xf numFmtId="0" fontId="8" fillId="0" borderId="47" xfId="0" applyFont="1" applyFill="1" applyBorder="1" applyAlignment="1">
      <alignment horizontal="center" vertical="top"/>
    </xf>
    <xf numFmtId="0" fontId="8" fillId="0" borderId="45" xfId="0" applyFont="1" applyFill="1" applyBorder="1" applyAlignment="1">
      <alignment horizontal="left" vertical="top"/>
    </xf>
    <xf numFmtId="0" fontId="8" fillId="0" borderId="46" xfId="0" applyFont="1" applyFill="1" applyBorder="1" applyAlignment="1">
      <alignment horizontal="left" vertical="top"/>
    </xf>
    <xf numFmtId="0" fontId="8" fillId="0" borderId="47" xfId="0" applyFont="1" applyFill="1" applyBorder="1" applyAlignment="1">
      <alignment horizontal="left" vertical="top"/>
    </xf>
    <xf numFmtId="164" fontId="6" fillId="0" borderId="34" xfId="0" applyNumberFormat="1" applyFont="1" applyFill="1" applyBorder="1" applyAlignment="1">
      <alignment horizontal="center" vertical="center"/>
    </xf>
    <xf numFmtId="164" fontId="6" fillId="0" borderId="44" xfId="0" applyNumberFormat="1" applyFont="1" applyFill="1" applyBorder="1" applyAlignment="1">
      <alignment horizontal="center" vertical="center"/>
    </xf>
    <xf numFmtId="164" fontId="6" fillId="0" borderId="14" xfId="0" applyNumberFormat="1" applyFont="1" applyFill="1" applyBorder="1" applyAlignment="1">
      <alignment horizontal="center" vertical="center"/>
    </xf>
    <xf numFmtId="164" fontId="6" fillId="0" borderId="15" xfId="0" applyNumberFormat="1" applyFont="1" applyFill="1" applyBorder="1" applyAlignment="1">
      <alignment horizontal="center" vertical="center"/>
    </xf>
    <xf numFmtId="164" fontId="6" fillId="0" borderId="38" xfId="0" applyNumberFormat="1" applyFont="1" applyFill="1" applyBorder="1" applyAlignment="1">
      <alignment horizontal="center" vertical="center"/>
    </xf>
    <xf numFmtId="164" fontId="6" fillId="0" borderId="13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top"/>
    </xf>
    <xf numFmtId="0" fontId="8" fillId="0" borderId="5" xfId="0" applyFont="1" applyFill="1" applyBorder="1" applyAlignment="1">
      <alignment horizontal="center" vertical="top"/>
    </xf>
    <xf numFmtId="164" fontId="6" fillId="0" borderId="35" xfId="0" applyNumberFormat="1" applyFont="1" applyFill="1" applyBorder="1" applyAlignment="1">
      <alignment horizontal="center" vertical="center"/>
    </xf>
    <xf numFmtId="164" fontId="6" fillId="0" borderId="42" xfId="0" applyNumberFormat="1" applyFont="1" applyFill="1" applyBorder="1" applyAlignment="1">
      <alignment horizontal="center" vertical="center"/>
    </xf>
    <xf numFmtId="164" fontId="6" fillId="0" borderId="41" xfId="0" applyNumberFormat="1" applyFont="1" applyFill="1" applyBorder="1" applyAlignment="1">
      <alignment horizontal="center" vertical="center"/>
    </xf>
    <xf numFmtId="0" fontId="6" fillId="0" borderId="39" xfId="0" applyFont="1" applyFill="1" applyBorder="1" applyAlignment="1">
      <alignment horizontal="left" vertical="top"/>
    </xf>
    <xf numFmtId="0" fontId="6" fillId="0" borderId="40" xfId="0" applyFont="1" applyFill="1" applyBorder="1" applyAlignment="1">
      <alignment horizontal="left" vertical="top"/>
    </xf>
    <xf numFmtId="0" fontId="6" fillId="0" borderId="41" xfId="0" applyFont="1" applyFill="1" applyBorder="1" applyAlignment="1">
      <alignment horizontal="left" vertical="top"/>
    </xf>
    <xf numFmtId="0" fontId="7" fillId="0" borderId="12" xfId="0" applyFont="1" applyFill="1" applyBorder="1" applyAlignment="1">
      <alignment horizontal="left" vertical="top"/>
    </xf>
    <xf numFmtId="0" fontId="7" fillId="0" borderId="19" xfId="0" applyFont="1" applyFill="1" applyBorder="1" applyAlignment="1">
      <alignment horizontal="left" vertical="top"/>
    </xf>
    <xf numFmtId="0" fontId="7" fillId="0" borderId="13" xfId="0" applyFont="1" applyFill="1" applyBorder="1" applyAlignment="1">
      <alignment horizontal="left" vertical="top"/>
    </xf>
    <xf numFmtId="0" fontId="7" fillId="0" borderId="14" xfId="0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/>
    </xf>
    <xf numFmtId="0" fontId="7" fillId="0" borderId="15" xfId="0" applyFont="1" applyFill="1" applyBorder="1" applyAlignment="1">
      <alignment horizontal="center"/>
    </xf>
    <xf numFmtId="164" fontId="6" fillId="0" borderId="19" xfId="0" applyNumberFormat="1" applyFont="1" applyFill="1" applyBorder="1" applyAlignment="1">
      <alignment horizontal="center" vertical="center"/>
    </xf>
    <xf numFmtId="0" fontId="6" fillId="0" borderId="6" xfId="0" applyFont="1" applyFill="1" applyBorder="1" applyAlignment="1">
      <alignment vertical="top"/>
    </xf>
    <xf numFmtId="0" fontId="6" fillId="0" borderId="7" xfId="0" applyFont="1" applyFill="1" applyBorder="1" applyAlignment="1">
      <alignment vertical="top"/>
    </xf>
    <xf numFmtId="0" fontId="8" fillId="0" borderId="14" xfId="0" applyFont="1" applyFill="1" applyBorder="1" applyAlignment="1">
      <alignment horizontal="center" vertical="top"/>
    </xf>
    <xf numFmtId="0" fontId="8" fillId="0" borderId="15" xfId="0" applyFont="1" applyFill="1" applyBorder="1" applyAlignment="1">
      <alignment horizontal="center" vertical="top"/>
    </xf>
    <xf numFmtId="0" fontId="8" fillId="0" borderId="19" xfId="0" applyFont="1" applyFill="1" applyBorder="1" applyAlignment="1">
      <alignment horizontal="center" vertical="top"/>
    </xf>
    <xf numFmtId="0" fontId="8" fillId="0" borderId="13" xfId="0" applyFont="1" applyFill="1" applyBorder="1" applyAlignment="1">
      <alignment horizontal="center" vertical="top"/>
    </xf>
    <xf numFmtId="0" fontId="8" fillId="0" borderId="6" xfId="0" applyFont="1" applyFill="1" applyBorder="1" applyAlignment="1">
      <alignment vertical="top"/>
    </xf>
    <xf numFmtId="0" fontId="8" fillId="0" borderId="7" xfId="0" applyFont="1" applyFill="1" applyBorder="1" applyAlignment="1">
      <alignment vertical="top"/>
    </xf>
    <xf numFmtId="0" fontId="9" fillId="0" borderId="6" xfId="0" applyFont="1" applyFill="1" applyBorder="1" applyAlignment="1">
      <alignment vertical="top"/>
    </xf>
    <xf numFmtId="0" fontId="9" fillId="0" borderId="7" xfId="0" applyFont="1" applyFill="1" applyBorder="1" applyAlignment="1">
      <alignment vertical="top"/>
    </xf>
    <xf numFmtId="4" fontId="6" fillId="0" borderId="7" xfId="0" applyNumberFormat="1" applyFont="1" applyFill="1" applyBorder="1" applyAlignment="1">
      <alignment horizontal="right" wrapText="1"/>
    </xf>
    <xf numFmtId="10" fontId="6" fillId="0" borderId="7" xfId="2" applyNumberFormat="1" applyFont="1" applyFill="1" applyBorder="1" applyAlignment="1">
      <alignment horizontal="right" wrapText="1"/>
    </xf>
    <xf numFmtId="10" fontId="6" fillId="0" borderId="14" xfId="2" applyNumberFormat="1" applyFont="1" applyFill="1" applyBorder="1" applyAlignment="1">
      <alignment horizontal="right" wrapText="1"/>
    </xf>
  </cellXfs>
  <cellStyles count="5">
    <cellStyle name="Comma" xfId="1" builtinId="3"/>
    <cellStyle name="Normal" xfId="0" builtinId="0"/>
    <cellStyle name="Normal 3" xfId="4"/>
    <cellStyle name="Normal_Sheet1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104</xdr:row>
      <xdr:rowOff>0</xdr:rowOff>
    </xdr:from>
    <xdr:to>
      <xdr:col>4</xdr:col>
      <xdr:colOff>998982</xdr:colOff>
      <xdr:row>105</xdr:row>
      <xdr:rowOff>152572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716625"/>
          <a:ext cx="9857232" cy="3144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106</xdr:row>
      <xdr:rowOff>1</xdr:rowOff>
    </xdr:from>
    <xdr:to>
      <xdr:col>4</xdr:col>
      <xdr:colOff>990600</xdr:colOff>
      <xdr:row>116</xdr:row>
      <xdr:rowOff>95451</xdr:rowOff>
    </xdr:to>
    <xdr:pic>
      <xdr:nvPicPr>
        <xdr:cNvPr id="4" name="Picture 2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282"/>
        <a:stretch/>
      </xdr:blipFill>
      <xdr:spPr bwMode="auto">
        <a:xfrm>
          <a:off x="9525" y="19040476"/>
          <a:ext cx="9839325" cy="171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90</xdr:row>
      <xdr:rowOff>0</xdr:rowOff>
    </xdr:from>
    <xdr:to>
      <xdr:col>5</xdr:col>
      <xdr:colOff>1028700</xdr:colOff>
      <xdr:row>92</xdr:row>
      <xdr:rowOff>6350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78200"/>
          <a:ext cx="9858375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92</xdr:row>
      <xdr:rowOff>9525</xdr:rowOff>
    </xdr:from>
    <xdr:to>
      <xdr:col>5</xdr:col>
      <xdr:colOff>1000125</xdr:colOff>
      <xdr:row>106</xdr:row>
      <xdr:rowOff>9525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6411575"/>
          <a:ext cx="9801225" cy="2266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3"/>
  <sheetViews>
    <sheetView zoomScaleNormal="100" zoomScaleSheetLayoutView="90" workbookViewId="0">
      <pane ySplit="4" topLeftCell="A5" activePane="bottomLeft" state="frozen"/>
      <selection activeCell="A62" sqref="A62"/>
      <selection pane="bottomLeft" sqref="A1:H1"/>
    </sheetView>
  </sheetViews>
  <sheetFormatPr defaultColWidth="9.140625" defaultRowHeight="12.75"/>
  <cols>
    <col min="1" max="1" width="70.28515625" style="1" customWidth="1"/>
    <col min="2" max="2" width="20.28515625" style="1" customWidth="1"/>
    <col min="3" max="3" width="23.140625" style="1" customWidth="1"/>
    <col min="4" max="4" width="19.140625" style="1" customWidth="1"/>
    <col min="5" max="5" width="19.28515625" style="1" customWidth="1"/>
    <col min="6" max="6" width="19.42578125" style="1" customWidth="1"/>
    <col min="7" max="7" width="21" style="1" customWidth="1"/>
    <col min="8" max="8" width="19.5703125" style="8" customWidth="1"/>
    <col min="9" max="9" width="9.140625" style="1"/>
    <col min="10" max="10" width="10.140625" style="1" bestFit="1" customWidth="1"/>
    <col min="11" max="16384" width="9.140625" style="1"/>
  </cols>
  <sheetData>
    <row r="1" spans="1:8" ht="13.5" thickBot="1">
      <c r="A1" s="152" t="s">
        <v>73</v>
      </c>
      <c r="B1" s="153"/>
      <c r="C1" s="153"/>
      <c r="D1" s="153"/>
      <c r="E1" s="153"/>
      <c r="F1" s="153"/>
      <c r="G1" s="153"/>
      <c r="H1" s="154"/>
    </row>
    <row r="2" spans="1:8">
      <c r="A2" s="152" t="s">
        <v>0</v>
      </c>
      <c r="B2" s="153"/>
      <c r="C2" s="153"/>
      <c r="D2" s="153"/>
      <c r="E2" s="153"/>
      <c r="F2" s="153"/>
      <c r="G2" s="153"/>
      <c r="H2" s="154"/>
    </row>
    <row r="3" spans="1:8" ht="13.5" thickBot="1">
      <c r="A3" s="10"/>
      <c r="B3" s="11"/>
      <c r="C3" s="12"/>
      <c r="D3" s="12"/>
      <c r="E3" s="12"/>
      <c r="F3" s="12"/>
      <c r="G3" s="12"/>
      <c r="H3" s="13"/>
    </row>
    <row r="4" spans="1:8" ht="39" customHeight="1" thickBot="1">
      <c r="A4" s="155" t="s">
        <v>1</v>
      </c>
      <c r="B4" s="156"/>
      <c r="C4" s="156"/>
      <c r="D4" s="156"/>
      <c r="E4" s="156"/>
      <c r="F4" s="156"/>
      <c r="G4" s="156"/>
      <c r="H4" s="157"/>
    </row>
    <row r="5" spans="1:8" s="2" customFormat="1" ht="13.5" thickBot="1">
      <c r="A5" s="158"/>
      <c r="B5" s="159"/>
      <c r="C5" s="159"/>
      <c r="D5" s="159"/>
      <c r="E5" s="159"/>
      <c r="F5" s="160"/>
      <c r="G5" s="160"/>
      <c r="H5" s="161"/>
    </row>
    <row r="6" spans="1:8" s="2" customFormat="1" ht="26.25" thickBot="1">
      <c r="A6" s="14" t="s">
        <v>2</v>
      </c>
      <c r="B6" s="15" t="s">
        <v>3</v>
      </c>
      <c r="C6" s="16" t="s">
        <v>4</v>
      </c>
      <c r="D6" s="17" t="s">
        <v>5</v>
      </c>
      <c r="E6" s="18" t="s">
        <v>6</v>
      </c>
      <c r="F6" s="19" t="s">
        <v>7</v>
      </c>
      <c r="G6" s="125" t="s">
        <v>134</v>
      </c>
      <c r="H6" s="126" t="s">
        <v>135</v>
      </c>
    </row>
    <row r="7" spans="1:8" s="2" customFormat="1">
      <c r="A7" s="20" t="s">
        <v>8</v>
      </c>
      <c r="B7" s="21"/>
      <c r="C7" s="22"/>
      <c r="D7" s="23"/>
      <c r="E7" s="24"/>
      <c r="F7" s="25"/>
      <c r="G7" s="108"/>
      <c r="H7" s="26"/>
    </row>
    <row r="8" spans="1:8" s="3" customFormat="1">
      <c r="A8" s="27" t="s">
        <v>9</v>
      </c>
      <c r="B8" s="28"/>
      <c r="C8" s="29"/>
      <c r="D8" s="30"/>
      <c r="E8" s="31"/>
      <c r="F8" s="32"/>
      <c r="G8" s="109"/>
      <c r="H8" s="33"/>
    </row>
    <row r="9" spans="1:8" s="3" customFormat="1" ht="15" customHeight="1">
      <c r="A9" s="34" t="s">
        <v>10</v>
      </c>
      <c r="B9" s="35"/>
      <c r="C9" s="36"/>
      <c r="D9" s="37"/>
      <c r="E9" s="38"/>
      <c r="F9" s="38"/>
      <c r="G9" s="110"/>
      <c r="H9" s="39"/>
    </row>
    <row r="10" spans="1:8" s="3" customFormat="1" ht="15" customHeight="1">
      <c r="A10" s="40" t="s">
        <v>58</v>
      </c>
      <c r="B10" s="41" t="s">
        <v>11</v>
      </c>
      <c r="C10" s="42" t="s">
        <v>59</v>
      </c>
      <c r="D10" s="37">
        <v>5000000</v>
      </c>
      <c r="E10" s="43">
        <v>5176.45</v>
      </c>
      <c r="F10" s="44">
        <v>8.2285690000000009E-2</v>
      </c>
      <c r="G10" s="111">
        <v>5.0700000000000002E-2</v>
      </c>
      <c r="H10" s="45"/>
    </row>
    <row r="11" spans="1:8" s="3" customFormat="1" ht="15" customHeight="1">
      <c r="A11" s="40" t="s">
        <v>84</v>
      </c>
      <c r="B11" s="41" t="s">
        <v>83</v>
      </c>
      <c r="C11" s="42" t="s">
        <v>59</v>
      </c>
      <c r="D11" s="37">
        <v>2500000</v>
      </c>
      <c r="E11" s="43">
        <v>2764.8</v>
      </c>
      <c r="F11" s="44">
        <v>4.3949670000000003E-2</v>
      </c>
      <c r="G11" s="111">
        <v>5.4399999999999997E-2</v>
      </c>
      <c r="H11" s="45"/>
    </row>
    <row r="12" spans="1:8" s="3" customFormat="1" ht="15" customHeight="1">
      <c r="A12" s="46"/>
      <c r="B12" s="47"/>
      <c r="C12" s="48"/>
      <c r="D12" s="37"/>
      <c r="E12" s="49"/>
      <c r="F12" s="50"/>
      <c r="G12" s="112"/>
      <c r="H12" s="51"/>
    </row>
    <row r="13" spans="1:8" s="3" customFormat="1" ht="15" customHeight="1">
      <c r="A13" s="46" t="s">
        <v>12</v>
      </c>
      <c r="B13" s="47"/>
      <c r="C13" s="48"/>
      <c r="D13" s="37"/>
      <c r="E13" s="49">
        <v>7941.25</v>
      </c>
      <c r="F13" s="50">
        <v>0.12623536000000002</v>
      </c>
      <c r="G13" s="112"/>
      <c r="H13" s="51"/>
    </row>
    <row r="14" spans="1:8" s="3" customFormat="1">
      <c r="A14" s="27"/>
      <c r="B14" s="28"/>
      <c r="C14" s="29"/>
      <c r="D14" s="30"/>
      <c r="E14" s="31"/>
      <c r="F14" s="32"/>
      <c r="G14" s="109"/>
      <c r="H14" s="33"/>
    </row>
    <row r="15" spans="1:8" s="3" customFormat="1">
      <c r="A15" s="52" t="s">
        <v>13</v>
      </c>
      <c r="B15" s="42"/>
      <c r="C15" s="42"/>
      <c r="D15" s="37"/>
      <c r="E15" s="53"/>
      <c r="F15" s="50"/>
      <c r="G15" s="112"/>
      <c r="H15" s="51"/>
    </row>
    <row r="16" spans="1:8" s="3" customFormat="1">
      <c r="A16" s="40" t="s">
        <v>85</v>
      </c>
      <c r="B16" s="41" t="s">
        <v>14</v>
      </c>
      <c r="C16" s="42" t="s">
        <v>60</v>
      </c>
      <c r="D16" s="37">
        <v>4500000</v>
      </c>
      <c r="E16" s="43">
        <v>4978.3900000000003</v>
      </c>
      <c r="F16" s="44">
        <v>7.9137300000000008E-2</v>
      </c>
      <c r="G16" s="111">
        <v>5.5E-2</v>
      </c>
      <c r="H16" s="45"/>
    </row>
    <row r="17" spans="1:8" s="3" customFormat="1">
      <c r="A17" s="40" t="s">
        <v>86</v>
      </c>
      <c r="B17" s="41" t="s">
        <v>15</v>
      </c>
      <c r="C17" s="42" t="s">
        <v>61</v>
      </c>
      <c r="D17" s="37">
        <v>4000000</v>
      </c>
      <c r="E17" s="43">
        <v>4336.0600000000004</v>
      </c>
      <c r="F17" s="44">
        <v>6.8926840000000003E-2</v>
      </c>
      <c r="G17" s="111">
        <v>4.99E-2</v>
      </c>
      <c r="H17" s="45"/>
    </row>
    <row r="18" spans="1:8" s="3" customFormat="1">
      <c r="A18" s="40" t="s">
        <v>87</v>
      </c>
      <c r="B18" s="41" t="s">
        <v>16</v>
      </c>
      <c r="C18" s="42" t="s">
        <v>60</v>
      </c>
      <c r="D18" s="37">
        <v>4000000</v>
      </c>
      <c r="E18" s="43">
        <v>4237.71</v>
      </c>
      <c r="F18" s="44">
        <v>6.7363419999999993E-2</v>
      </c>
      <c r="G18" s="111">
        <v>5.1999999999999998E-2</v>
      </c>
      <c r="H18" s="45"/>
    </row>
    <row r="19" spans="1:8" s="3" customFormat="1">
      <c r="A19" s="40" t="s">
        <v>88</v>
      </c>
      <c r="B19" s="41" t="s">
        <v>17</v>
      </c>
      <c r="C19" s="42" t="s">
        <v>61</v>
      </c>
      <c r="D19" s="37">
        <v>4000000</v>
      </c>
      <c r="E19" s="43">
        <v>4227.99</v>
      </c>
      <c r="F19" s="44">
        <v>6.7208850000000001E-2</v>
      </c>
      <c r="G19" s="111">
        <v>5.5899999999999998E-2</v>
      </c>
      <c r="H19" s="45"/>
    </row>
    <row r="20" spans="1:8" s="3" customFormat="1">
      <c r="A20" s="40" t="s">
        <v>89</v>
      </c>
      <c r="B20" s="41" t="s">
        <v>18</v>
      </c>
      <c r="C20" s="42" t="s">
        <v>60</v>
      </c>
      <c r="D20" s="37">
        <v>4000000</v>
      </c>
      <c r="E20" s="43">
        <v>4094.83</v>
      </c>
      <c r="F20" s="44">
        <v>6.5092169999999991E-2</v>
      </c>
      <c r="G20" s="111">
        <v>5.6800000000000003E-2</v>
      </c>
      <c r="H20" s="45"/>
    </row>
    <row r="21" spans="1:8" s="3" customFormat="1">
      <c r="A21" s="40" t="s">
        <v>90</v>
      </c>
      <c r="B21" s="41" t="s">
        <v>100</v>
      </c>
      <c r="C21" s="42" t="s">
        <v>60</v>
      </c>
      <c r="D21" s="37">
        <v>4000000</v>
      </c>
      <c r="E21" s="43">
        <v>4032.31</v>
      </c>
      <c r="F21" s="44">
        <v>6.4098280000000007E-2</v>
      </c>
      <c r="G21" s="111">
        <v>5.4399999999999997E-2</v>
      </c>
      <c r="H21" s="45"/>
    </row>
    <row r="22" spans="1:8" s="3" customFormat="1">
      <c r="A22" s="40" t="s">
        <v>91</v>
      </c>
      <c r="B22" s="41" t="s">
        <v>19</v>
      </c>
      <c r="C22" s="42" t="s">
        <v>60</v>
      </c>
      <c r="D22" s="37">
        <v>3500000</v>
      </c>
      <c r="E22" s="43">
        <v>3684.18</v>
      </c>
      <c r="F22" s="44">
        <v>5.8564379999999999E-2</v>
      </c>
      <c r="G22" s="111">
        <v>5.21E-2</v>
      </c>
      <c r="H22" s="45"/>
    </row>
    <row r="23" spans="1:8" s="3" customFormat="1">
      <c r="A23" s="40" t="s">
        <v>92</v>
      </c>
      <c r="B23" s="41" t="s">
        <v>29</v>
      </c>
      <c r="C23" s="42" t="s">
        <v>61</v>
      </c>
      <c r="D23" s="37">
        <v>3000000</v>
      </c>
      <c r="E23" s="43">
        <v>3022.65</v>
      </c>
      <c r="F23" s="44">
        <v>4.8048630000000002E-2</v>
      </c>
      <c r="G23" s="111">
        <v>4.9500000000000002E-2</v>
      </c>
      <c r="H23" s="45"/>
    </row>
    <row r="24" spans="1:8" s="3" customFormat="1">
      <c r="A24" s="40" t="s">
        <v>93</v>
      </c>
      <c r="B24" s="41" t="s">
        <v>20</v>
      </c>
      <c r="C24" s="42" t="s">
        <v>102</v>
      </c>
      <c r="D24" s="37">
        <v>2500000</v>
      </c>
      <c r="E24" s="43">
        <v>2714.65</v>
      </c>
      <c r="F24" s="44">
        <v>4.3152480000000007E-2</v>
      </c>
      <c r="G24" s="111">
        <v>5.6899999999999999E-2</v>
      </c>
      <c r="H24" s="45"/>
    </row>
    <row r="25" spans="1:8" s="3" customFormat="1">
      <c r="A25" s="40" t="s">
        <v>94</v>
      </c>
      <c r="B25" s="41" t="s">
        <v>21</v>
      </c>
      <c r="C25" s="42" t="s">
        <v>60</v>
      </c>
      <c r="D25" s="37">
        <v>2500000</v>
      </c>
      <c r="E25" s="43">
        <v>2648.6</v>
      </c>
      <c r="F25" s="44">
        <v>4.2102529999999999E-2</v>
      </c>
      <c r="G25" s="111">
        <v>5.67E-2</v>
      </c>
      <c r="H25" s="45"/>
    </row>
    <row r="26" spans="1:8" s="3" customFormat="1">
      <c r="A26" s="40" t="s">
        <v>95</v>
      </c>
      <c r="B26" s="41" t="s">
        <v>101</v>
      </c>
      <c r="C26" s="42" t="s">
        <v>63</v>
      </c>
      <c r="D26" s="37">
        <v>2500000</v>
      </c>
      <c r="E26" s="43">
        <v>2523.69</v>
      </c>
      <c r="F26" s="44">
        <v>4.0117019999999996E-2</v>
      </c>
      <c r="G26" s="111">
        <v>5.1499999999999997E-2</v>
      </c>
      <c r="H26" s="45"/>
    </row>
    <row r="27" spans="1:8" s="3" customFormat="1">
      <c r="A27" s="40" t="s">
        <v>136</v>
      </c>
      <c r="B27" s="41" t="s">
        <v>23</v>
      </c>
      <c r="C27" s="42" t="s">
        <v>64</v>
      </c>
      <c r="D27" s="37">
        <v>2000000</v>
      </c>
      <c r="E27" s="43">
        <v>2061.86</v>
      </c>
      <c r="F27" s="44">
        <v>3.277563E-2</v>
      </c>
      <c r="G27" s="111">
        <v>8.3799999999999999E-2</v>
      </c>
      <c r="H27" s="45">
        <v>5.6675403205000002E-2</v>
      </c>
    </row>
    <row r="28" spans="1:8" s="3" customFormat="1">
      <c r="A28" s="40" t="s">
        <v>96</v>
      </c>
      <c r="B28" s="41" t="s">
        <v>24</v>
      </c>
      <c r="C28" s="42" t="s">
        <v>61</v>
      </c>
      <c r="D28" s="37">
        <v>1500000</v>
      </c>
      <c r="E28" s="43">
        <v>1666.88</v>
      </c>
      <c r="F28" s="44">
        <v>2.6497039999999999E-2</v>
      </c>
      <c r="G28" s="111">
        <v>5.3199999999999997E-2</v>
      </c>
      <c r="H28" s="45" t="s">
        <v>33</v>
      </c>
    </row>
    <row r="29" spans="1:8" s="3" customFormat="1">
      <c r="A29" s="40" t="s">
        <v>137</v>
      </c>
      <c r="B29" s="41" t="s">
        <v>25</v>
      </c>
      <c r="C29" s="42" t="s">
        <v>62</v>
      </c>
      <c r="D29" s="37">
        <v>1500000</v>
      </c>
      <c r="E29" s="43">
        <v>1576.82</v>
      </c>
      <c r="F29" s="44">
        <v>2.506535E-2</v>
      </c>
      <c r="G29" s="111">
        <v>9.0899999999999995E-2</v>
      </c>
      <c r="H29" s="45">
        <v>7.6643990820499996E-2</v>
      </c>
    </row>
    <row r="30" spans="1:8" s="3" customFormat="1">
      <c r="A30" s="40" t="s">
        <v>97</v>
      </c>
      <c r="B30" s="41" t="s">
        <v>26</v>
      </c>
      <c r="C30" s="42" t="s">
        <v>63</v>
      </c>
      <c r="D30" s="37">
        <v>1500000</v>
      </c>
      <c r="E30" s="43">
        <v>1498.51</v>
      </c>
      <c r="F30" s="44">
        <v>2.3820610000000002E-2</v>
      </c>
      <c r="G30" s="111">
        <v>5.1700000000000003E-2</v>
      </c>
      <c r="H30" s="45" t="s">
        <v>33</v>
      </c>
    </row>
    <row r="31" spans="1:8" s="3" customFormat="1">
      <c r="A31" s="40" t="s">
        <v>138</v>
      </c>
      <c r="B31" s="41" t="s">
        <v>28</v>
      </c>
      <c r="C31" s="42" t="s">
        <v>64</v>
      </c>
      <c r="D31" s="37">
        <v>1000000</v>
      </c>
      <c r="E31" s="43">
        <v>1031.81</v>
      </c>
      <c r="F31" s="44">
        <v>1.6401849999999999E-2</v>
      </c>
      <c r="G31" s="111">
        <v>8.6599999999999996E-2</v>
      </c>
      <c r="H31" s="45">
        <v>7.4642203165499993E-2</v>
      </c>
    </row>
    <row r="32" spans="1:8" s="3" customFormat="1">
      <c r="A32" s="40" t="s">
        <v>139</v>
      </c>
      <c r="B32" s="41" t="s">
        <v>22</v>
      </c>
      <c r="C32" s="42" t="s">
        <v>62</v>
      </c>
      <c r="D32" s="37">
        <v>1000000</v>
      </c>
      <c r="E32" s="43">
        <v>1022.02</v>
      </c>
      <c r="F32" s="44">
        <v>1.6246190000000001E-2</v>
      </c>
      <c r="G32" s="111">
        <v>8.1600000000000006E-2</v>
      </c>
      <c r="H32" s="45">
        <v>7.7432306539000004E-2</v>
      </c>
    </row>
    <row r="33" spans="1:8" s="3" customFormat="1">
      <c r="A33" s="40" t="s">
        <v>98</v>
      </c>
      <c r="B33" s="41" t="s">
        <v>30</v>
      </c>
      <c r="C33" s="42" t="s">
        <v>61</v>
      </c>
      <c r="D33" s="37">
        <v>500000</v>
      </c>
      <c r="E33" s="43">
        <v>563.55999999999995</v>
      </c>
      <c r="F33" s="44">
        <v>8.9584799999999996E-3</v>
      </c>
      <c r="G33" s="111">
        <v>5.3199999999999997E-2</v>
      </c>
      <c r="H33" s="45" t="s">
        <v>33</v>
      </c>
    </row>
    <row r="34" spans="1:8" s="3" customFormat="1">
      <c r="A34" s="40" t="s">
        <v>99</v>
      </c>
      <c r="B34" s="41" t="s">
        <v>31</v>
      </c>
      <c r="C34" s="42" t="s">
        <v>63</v>
      </c>
      <c r="D34" s="37">
        <v>500000</v>
      </c>
      <c r="E34" s="43">
        <v>534.44000000000005</v>
      </c>
      <c r="F34" s="44">
        <v>8.4956100000000007E-3</v>
      </c>
      <c r="G34" s="111">
        <v>5.57E-2</v>
      </c>
      <c r="H34" s="45" t="s">
        <v>33</v>
      </c>
    </row>
    <row r="35" spans="1:8" s="3" customFormat="1">
      <c r="A35" s="40" t="s">
        <v>140</v>
      </c>
      <c r="B35" s="41" t="s">
        <v>27</v>
      </c>
      <c r="C35" s="42" t="s">
        <v>62</v>
      </c>
      <c r="D35" s="37">
        <v>500000</v>
      </c>
      <c r="E35" s="43">
        <v>515.04999999999995</v>
      </c>
      <c r="F35" s="44">
        <v>8.1873099999999997E-3</v>
      </c>
      <c r="G35" s="111">
        <v>8.2900000000000001E-2</v>
      </c>
      <c r="H35" s="45">
        <v>7.6671534568999999E-2</v>
      </c>
    </row>
    <row r="36" spans="1:8" s="3" customFormat="1">
      <c r="A36" s="54"/>
      <c r="B36" s="42"/>
      <c r="C36" s="42"/>
      <c r="D36" s="37"/>
      <c r="E36" s="43"/>
      <c r="F36" s="44"/>
      <c r="G36" s="111"/>
      <c r="H36" s="45"/>
    </row>
    <row r="37" spans="1:8" s="3" customFormat="1" ht="15" customHeight="1">
      <c r="A37" s="55" t="s">
        <v>12</v>
      </c>
      <c r="B37" s="56"/>
      <c r="C37" s="56"/>
      <c r="D37" s="37"/>
      <c r="E37" s="49">
        <v>50972.01</v>
      </c>
      <c r="F37" s="50">
        <v>0.81025996999999994</v>
      </c>
      <c r="G37" s="112"/>
      <c r="H37" s="51"/>
    </row>
    <row r="38" spans="1:8" s="3" customFormat="1" ht="15" customHeight="1">
      <c r="A38" s="55"/>
      <c r="B38" s="56"/>
      <c r="C38" s="56"/>
      <c r="D38" s="37"/>
      <c r="E38" s="49"/>
      <c r="F38" s="50"/>
      <c r="G38" s="112"/>
      <c r="H38" s="51"/>
    </row>
    <row r="39" spans="1:8" s="3" customFormat="1" ht="15" customHeight="1">
      <c r="A39" s="55" t="s">
        <v>65</v>
      </c>
      <c r="B39" s="56"/>
      <c r="C39" s="56"/>
      <c r="D39" s="37"/>
      <c r="E39" s="96" t="s">
        <v>68</v>
      </c>
      <c r="F39" s="96" t="s">
        <v>68</v>
      </c>
      <c r="G39" s="112"/>
      <c r="H39" s="51"/>
    </row>
    <row r="40" spans="1:8" s="3" customFormat="1" ht="15" customHeight="1">
      <c r="A40" s="55" t="s">
        <v>66</v>
      </c>
      <c r="B40" s="56"/>
      <c r="C40" s="56"/>
      <c r="D40" s="37"/>
      <c r="E40" s="96" t="s">
        <v>68</v>
      </c>
      <c r="F40" s="96" t="s">
        <v>68</v>
      </c>
      <c r="G40" s="112"/>
      <c r="H40" s="51"/>
    </row>
    <row r="41" spans="1:8" s="3" customFormat="1" ht="15" customHeight="1">
      <c r="A41" s="55" t="s">
        <v>67</v>
      </c>
      <c r="B41" s="56"/>
      <c r="C41" s="56"/>
      <c r="D41" s="37"/>
      <c r="E41" s="96" t="s">
        <v>68</v>
      </c>
      <c r="F41" s="96" t="s">
        <v>68</v>
      </c>
      <c r="G41" s="112"/>
      <c r="H41" s="51"/>
    </row>
    <row r="42" spans="1:8" s="3" customFormat="1" ht="15" customHeight="1">
      <c r="A42" s="55" t="s">
        <v>66</v>
      </c>
      <c r="B42" s="56"/>
      <c r="C42" s="56"/>
      <c r="D42" s="37"/>
      <c r="E42" s="96" t="s">
        <v>68</v>
      </c>
      <c r="F42" s="96" t="s">
        <v>68</v>
      </c>
      <c r="G42" s="112"/>
      <c r="H42" s="51"/>
    </row>
    <row r="43" spans="1:8" s="3" customFormat="1" ht="15" customHeight="1">
      <c r="A43" s="55"/>
      <c r="B43" s="56"/>
      <c r="C43" s="56"/>
      <c r="D43" s="37"/>
      <c r="E43" s="49"/>
      <c r="F43" s="50"/>
      <c r="G43" s="112"/>
      <c r="H43" s="51"/>
    </row>
    <row r="44" spans="1:8" s="3" customFormat="1" ht="15" customHeight="1">
      <c r="A44" s="55" t="s">
        <v>32</v>
      </c>
      <c r="B44" s="56"/>
      <c r="C44" s="56"/>
      <c r="D44" s="37"/>
      <c r="E44" s="57">
        <v>58913.26</v>
      </c>
      <c r="F44" s="50">
        <v>0.93649532999999996</v>
      </c>
      <c r="G44" s="112"/>
      <c r="H44" s="51"/>
    </row>
    <row r="45" spans="1:8" s="3" customFormat="1">
      <c r="A45" s="27"/>
      <c r="B45" s="28"/>
      <c r="C45" s="29"/>
      <c r="D45" s="37"/>
      <c r="E45" s="31"/>
      <c r="F45" s="32"/>
      <c r="G45" s="109"/>
      <c r="H45" s="33"/>
    </row>
    <row r="46" spans="1:8" s="3" customFormat="1">
      <c r="A46" s="55" t="s">
        <v>69</v>
      </c>
      <c r="B46" s="56"/>
      <c r="C46" s="48"/>
      <c r="D46" s="37"/>
      <c r="E46" s="96" t="s">
        <v>68</v>
      </c>
      <c r="F46" s="96" t="s">
        <v>68</v>
      </c>
      <c r="G46" s="113"/>
      <c r="H46" s="59"/>
    </row>
    <row r="47" spans="1:8" s="4" customFormat="1">
      <c r="A47" s="55" t="s">
        <v>66</v>
      </c>
      <c r="B47" s="56"/>
      <c r="C47" s="56" t="s">
        <v>33</v>
      </c>
      <c r="D47" s="37"/>
      <c r="E47" s="96" t="s">
        <v>68</v>
      </c>
      <c r="F47" s="96" t="s">
        <v>68</v>
      </c>
      <c r="G47" s="112"/>
      <c r="H47" s="51"/>
    </row>
    <row r="48" spans="1:8" s="4" customFormat="1">
      <c r="A48" s="55"/>
      <c r="B48" s="56"/>
      <c r="C48" s="56"/>
      <c r="D48" s="37"/>
      <c r="E48" s="57"/>
      <c r="F48" s="57"/>
      <c r="G48" s="112"/>
      <c r="H48" s="51"/>
    </row>
    <row r="49" spans="1:10" s="3" customFormat="1">
      <c r="A49" s="55" t="s">
        <v>32</v>
      </c>
      <c r="B49" s="56"/>
      <c r="C49" s="56"/>
      <c r="D49" s="60"/>
      <c r="E49" s="96" t="s">
        <v>68</v>
      </c>
      <c r="F49" s="96" t="s">
        <v>68</v>
      </c>
      <c r="G49" s="112"/>
      <c r="H49" s="51"/>
    </row>
    <row r="50" spans="1:10" s="3" customFormat="1">
      <c r="A50" s="55"/>
      <c r="B50" s="56"/>
      <c r="C50" s="56" t="s">
        <v>34</v>
      </c>
      <c r="D50" s="61"/>
      <c r="E50" s="57"/>
      <c r="F50" s="62"/>
      <c r="G50" s="114"/>
      <c r="H50" s="63"/>
    </row>
    <row r="51" spans="1:10" s="3" customFormat="1" ht="14.25" customHeight="1">
      <c r="A51" s="55" t="s">
        <v>35</v>
      </c>
      <c r="B51" s="56"/>
      <c r="C51" s="56"/>
      <c r="D51" s="61"/>
      <c r="E51" s="43">
        <v>111.97</v>
      </c>
      <c r="F51" s="64">
        <v>1.7799599999999999E-3</v>
      </c>
      <c r="G51" s="115"/>
      <c r="H51" s="65"/>
    </row>
    <row r="52" spans="1:10" s="3" customFormat="1" ht="14.25" customHeight="1">
      <c r="A52" s="55" t="s">
        <v>32</v>
      </c>
      <c r="B52" s="56"/>
      <c r="C52" s="56"/>
      <c r="D52" s="60"/>
      <c r="E52" s="53">
        <v>111.97</v>
      </c>
      <c r="F52" s="97">
        <v>1.7799599999999999E-3</v>
      </c>
      <c r="G52" s="116"/>
      <c r="H52" s="51"/>
    </row>
    <row r="53" spans="1:10" s="3" customFormat="1" ht="14.25" customHeight="1" thickBot="1">
      <c r="A53" s="66" t="s">
        <v>36</v>
      </c>
      <c r="B53" s="67"/>
      <c r="C53" s="68"/>
      <c r="D53" s="69"/>
      <c r="E53" s="70">
        <v>3882.9778016000068</v>
      </c>
      <c r="F53" s="71">
        <v>6.1724710000000044E-2</v>
      </c>
      <c r="G53" s="117"/>
      <c r="H53" s="72"/>
    </row>
    <row r="54" spans="1:10" s="3" customFormat="1" ht="14.25" customHeight="1" thickBot="1">
      <c r="A54" s="73" t="s">
        <v>37</v>
      </c>
      <c r="B54" s="74"/>
      <c r="C54" s="75"/>
      <c r="D54" s="76"/>
      <c r="E54" s="77">
        <v>62908.207801600009</v>
      </c>
      <c r="F54" s="78">
        <v>1</v>
      </c>
      <c r="G54" s="118"/>
      <c r="H54" s="79"/>
    </row>
    <row r="55" spans="1:10" s="3" customFormat="1" ht="14.25" customHeight="1">
      <c r="A55" s="80"/>
      <c r="B55" s="81"/>
      <c r="C55" s="82"/>
      <c r="D55" s="83"/>
      <c r="E55" s="84"/>
      <c r="F55" s="84"/>
      <c r="G55" s="84"/>
      <c r="H55" s="85"/>
    </row>
    <row r="56" spans="1:10" s="3" customFormat="1" ht="14.25" customHeight="1">
      <c r="A56" s="86" t="s">
        <v>38</v>
      </c>
      <c r="B56" s="81"/>
      <c r="C56" s="82"/>
      <c r="D56" s="83"/>
      <c r="E56" s="84"/>
      <c r="F56" s="84"/>
      <c r="G56" s="84"/>
      <c r="H56" s="85"/>
    </row>
    <row r="57" spans="1:10" s="3" customFormat="1" ht="14.25" customHeight="1">
      <c r="A57" s="127" t="s">
        <v>143</v>
      </c>
      <c r="B57" s="81"/>
      <c r="C57" s="82"/>
      <c r="D57" s="83"/>
      <c r="E57" s="84"/>
      <c r="F57" s="84"/>
      <c r="G57" s="84"/>
      <c r="H57" s="85"/>
    </row>
    <row r="58" spans="1:10" s="3" customFormat="1" ht="14.25" customHeight="1">
      <c r="A58" s="127"/>
      <c r="B58" s="81"/>
      <c r="C58" s="82"/>
      <c r="D58" s="83"/>
      <c r="E58" s="84"/>
      <c r="F58" s="84"/>
      <c r="G58" s="84"/>
      <c r="H58" s="85"/>
    </row>
    <row r="59" spans="1:10" s="3" customFormat="1" ht="14.25" customHeight="1">
      <c r="A59" s="86" t="s">
        <v>39</v>
      </c>
      <c r="B59" s="87"/>
      <c r="C59" s="162"/>
      <c r="D59" s="162"/>
      <c r="E59" s="162"/>
      <c r="F59" s="162"/>
      <c r="G59" s="162"/>
      <c r="H59" s="163"/>
    </row>
    <row r="60" spans="1:10" s="2" customFormat="1" ht="14.25" customHeight="1">
      <c r="A60" s="164" t="s">
        <v>76</v>
      </c>
      <c r="B60" s="165"/>
      <c r="C60" s="165"/>
      <c r="D60" s="165"/>
      <c r="E60" s="165"/>
      <c r="F60" s="165"/>
      <c r="G60" s="165"/>
      <c r="H60" s="166"/>
    </row>
    <row r="61" spans="1:10" s="2" customFormat="1" ht="14.25" customHeight="1" thickBot="1">
      <c r="A61" s="80" t="s">
        <v>40</v>
      </c>
      <c r="B61" s="81"/>
      <c r="C61" s="162"/>
      <c r="D61" s="162"/>
      <c r="E61" s="162"/>
      <c r="F61" s="162"/>
      <c r="G61" s="162"/>
      <c r="H61" s="163"/>
    </row>
    <row r="62" spans="1:10" s="2" customFormat="1" ht="14.25" customHeight="1" thickBot="1">
      <c r="A62" s="170" t="s">
        <v>41</v>
      </c>
      <c r="B62" s="171"/>
      <c r="C62" s="171"/>
      <c r="D62" s="172"/>
      <c r="E62" s="167" t="s">
        <v>75</v>
      </c>
      <c r="F62" s="169"/>
      <c r="G62" s="167" t="s">
        <v>42</v>
      </c>
      <c r="H62" s="168"/>
      <c r="J62" s="9"/>
    </row>
    <row r="63" spans="1:10" s="2" customFormat="1" ht="14.25" customHeight="1">
      <c r="A63" s="149" t="s">
        <v>43</v>
      </c>
      <c r="B63" s="150"/>
      <c r="C63" s="150"/>
      <c r="D63" s="151"/>
      <c r="E63" s="173">
        <v>1011.2192</v>
      </c>
      <c r="F63" s="177"/>
      <c r="G63" s="173">
        <v>1000.9206</v>
      </c>
      <c r="H63" s="174"/>
    </row>
    <row r="64" spans="1:10" s="2" customFormat="1" ht="14.25" customHeight="1">
      <c r="A64" s="131" t="s">
        <v>44</v>
      </c>
      <c r="B64" s="132"/>
      <c r="C64" s="132"/>
      <c r="D64" s="133"/>
      <c r="E64" s="175">
        <v>1011.1</v>
      </c>
      <c r="F64" s="178"/>
      <c r="G64" s="175">
        <v>1000.888</v>
      </c>
      <c r="H64" s="176"/>
    </row>
    <row r="65" spans="1:10" s="3" customFormat="1" ht="14.25" customHeight="1">
      <c r="A65" s="131" t="s">
        <v>45</v>
      </c>
      <c r="B65" s="132"/>
      <c r="C65" s="132"/>
      <c r="D65" s="133"/>
      <c r="E65" s="175">
        <v>1009.455</v>
      </c>
      <c r="F65" s="178"/>
      <c r="G65" s="175">
        <v>1000.888</v>
      </c>
      <c r="H65" s="176"/>
      <c r="J65" s="2"/>
    </row>
    <row r="66" spans="1:10" s="2" customFormat="1" ht="14.25" customHeight="1">
      <c r="A66" s="131" t="s">
        <v>46</v>
      </c>
      <c r="B66" s="132"/>
      <c r="C66" s="132"/>
      <c r="D66" s="133"/>
      <c r="E66" s="175">
        <v>1008.2688000000001</v>
      </c>
      <c r="F66" s="178"/>
      <c r="G66" s="175">
        <v>1000.8049999999999</v>
      </c>
      <c r="H66" s="176"/>
    </row>
    <row r="67" spans="1:10" s="2" customFormat="1" ht="14.25" customHeight="1">
      <c r="A67" s="131" t="s">
        <v>47</v>
      </c>
      <c r="B67" s="132"/>
      <c r="C67" s="132"/>
      <c r="D67" s="133"/>
      <c r="E67" s="175">
        <v>1011.072</v>
      </c>
      <c r="F67" s="178"/>
      <c r="G67" s="175">
        <v>1000.8049999999999</v>
      </c>
      <c r="H67" s="176"/>
    </row>
    <row r="68" spans="1:10" s="2" customFormat="1" ht="14.25" customHeight="1">
      <c r="A68" s="131" t="s">
        <v>48</v>
      </c>
      <c r="B68" s="132"/>
      <c r="C68" s="132"/>
      <c r="D68" s="133"/>
      <c r="E68" s="175">
        <v>1011.222</v>
      </c>
      <c r="F68" s="178"/>
      <c r="G68" s="175">
        <v>1000.923</v>
      </c>
      <c r="H68" s="176"/>
    </row>
    <row r="69" spans="1:10" s="2" customFormat="1" ht="14.25" customHeight="1">
      <c r="A69" s="131" t="s">
        <v>49</v>
      </c>
      <c r="B69" s="132"/>
      <c r="C69" s="132"/>
      <c r="D69" s="133"/>
      <c r="E69" s="175">
        <v>1012.4551</v>
      </c>
      <c r="F69" s="178"/>
      <c r="G69" s="175">
        <v>1001.732</v>
      </c>
      <c r="H69" s="176"/>
    </row>
    <row r="70" spans="1:10" s="2" customFormat="1" ht="14.25" customHeight="1">
      <c r="A70" s="131" t="s">
        <v>50</v>
      </c>
      <c r="B70" s="132"/>
      <c r="C70" s="132"/>
      <c r="D70" s="133"/>
      <c r="E70" s="175">
        <v>1012.5733</v>
      </c>
      <c r="F70" s="178"/>
      <c r="G70" s="175">
        <v>1001.8556</v>
      </c>
      <c r="H70" s="176"/>
    </row>
    <row r="71" spans="1:10" s="2" customFormat="1" ht="14.25" customHeight="1">
      <c r="A71" s="131" t="s">
        <v>51</v>
      </c>
      <c r="B71" s="132"/>
      <c r="C71" s="132"/>
      <c r="D71" s="133"/>
      <c r="E71" s="175">
        <v>1010.5874</v>
      </c>
      <c r="F71" s="178"/>
      <c r="G71" s="175">
        <v>1001.712</v>
      </c>
      <c r="H71" s="176"/>
    </row>
    <row r="72" spans="1:10" s="3" customFormat="1" ht="14.25" customHeight="1">
      <c r="A72" s="131" t="s">
        <v>52</v>
      </c>
      <c r="B72" s="132"/>
      <c r="C72" s="132"/>
      <c r="D72" s="133"/>
      <c r="E72" s="175">
        <v>1009.674</v>
      </c>
      <c r="F72" s="178"/>
      <c r="G72" s="175">
        <v>1001.7528</v>
      </c>
      <c r="H72" s="176"/>
      <c r="J72" s="2"/>
    </row>
    <row r="73" spans="1:10" s="2" customFormat="1" ht="14.25" customHeight="1">
      <c r="A73" s="131" t="s">
        <v>53</v>
      </c>
      <c r="B73" s="132"/>
      <c r="C73" s="132"/>
      <c r="D73" s="133"/>
      <c r="E73" s="175">
        <v>1012.4637</v>
      </c>
      <c r="F73" s="178"/>
      <c r="G73" s="175">
        <v>1001.7381</v>
      </c>
      <c r="H73" s="176"/>
    </row>
    <row r="74" spans="1:10" s="2" customFormat="1" ht="14.25" customHeight="1" thickBot="1">
      <c r="A74" s="184" t="s">
        <v>54</v>
      </c>
      <c r="B74" s="185"/>
      <c r="C74" s="185"/>
      <c r="D74" s="186"/>
      <c r="E74" s="181">
        <v>1012.4558</v>
      </c>
      <c r="F74" s="183"/>
      <c r="G74" s="181">
        <v>1001.7317</v>
      </c>
      <c r="H74" s="182"/>
    </row>
    <row r="75" spans="1:10" s="3" customFormat="1" ht="14.25" customHeight="1">
      <c r="A75" s="88"/>
      <c r="B75" s="89"/>
      <c r="C75" s="90"/>
      <c r="D75" s="90"/>
      <c r="E75" s="90"/>
      <c r="F75" s="90"/>
      <c r="G75" s="90"/>
      <c r="H75" s="91"/>
    </row>
    <row r="76" spans="1:10" s="3" customFormat="1" ht="14.25" customHeight="1" thickBot="1">
      <c r="A76" s="80" t="s">
        <v>77</v>
      </c>
      <c r="B76" s="81"/>
      <c r="C76" s="179"/>
      <c r="D76" s="179"/>
      <c r="E76" s="179"/>
      <c r="F76" s="179"/>
      <c r="G76" s="179"/>
      <c r="H76" s="180"/>
    </row>
    <row r="77" spans="1:10" s="3" customFormat="1" ht="14.25" customHeight="1" thickBot="1">
      <c r="A77" s="138" t="s">
        <v>55</v>
      </c>
      <c r="B77" s="139"/>
      <c r="C77" s="139"/>
      <c r="D77" s="140"/>
      <c r="E77" s="136" t="s">
        <v>56</v>
      </c>
      <c r="F77" s="137"/>
      <c r="G77" s="136" t="s">
        <v>57</v>
      </c>
      <c r="H77" s="146"/>
    </row>
    <row r="78" spans="1:10" s="3" customFormat="1" ht="14.25" customHeight="1">
      <c r="A78" s="141" t="s">
        <v>44</v>
      </c>
      <c r="B78" s="142"/>
      <c r="C78" s="142"/>
      <c r="D78" s="143"/>
      <c r="E78" s="134">
        <v>0</v>
      </c>
      <c r="F78" s="135"/>
      <c r="G78" s="134">
        <v>0</v>
      </c>
      <c r="H78" s="147"/>
    </row>
    <row r="79" spans="1:10" s="5" customFormat="1" ht="14.25" customHeight="1">
      <c r="A79" s="131" t="s">
        <v>45</v>
      </c>
      <c r="B79" s="132"/>
      <c r="C79" s="132"/>
      <c r="D79" s="133"/>
      <c r="E79" s="144">
        <v>2.1</v>
      </c>
      <c r="F79" s="145"/>
      <c r="G79" s="144">
        <v>2.1</v>
      </c>
      <c r="H79" s="148"/>
    </row>
    <row r="80" spans="1:10" s="5" customFormat="1" ht="14.25" customHeight="1">
      <c r="A80" s="131" t="s">
        <v>46</v>
      </c>
      <c r="B80" s="132"/>
      <c r="C80" s="132"/>
      <c r="D80" s="133"/>
      <c r="E80" s="144">
        <v>2.8</v>
      </c>
      <c r="F80" s="145"/>
      <c r="G80" s="144">
        <v>2.8</v>
      </c>
      <c r="H80" s="148"/>
    </row>
    <row r="81" spans="1:8" s="3" customFormat="1" ht="14.25" customHeight="1">
      <c r="A81" s="131" t="s">
        <v>47</v>
      </c>
      <c r="B81" s="132"/>
      <c r="C81" s="132"/>
      <c r="D81" s="133"/>
      <c r="E81" s="144">
        <v>0</v>
      </c>
      <c r="F81" s="145"/>
      <c r="G81" s="144">
        <v>0</v>
      </c>
      <c r="H81" s="148"/>
    </row>
    <row r="82" spans="1:8" s="5" customFormat="1" ht="14.25" customHeight="1">
      <c r="A82" s="131" t="s">
        <v>48</v>
      </c>
      <c r="B82" s="132"/>
      <c r="C82" s="132"/>
      <c r="D82" s="133"/>
      <c r="E82" s="144">
        <v>0</v>
      </c>
      <c r="F82" s="145"/>
      <c r="G82" s="144">
        <v>0</v>
      </c>
      <c r="H82" s="148"/>
    </row>
    <row r="83" spans="1:8" s="5" customFormat="1" ht="14.25" customHeight="1">
      <c r="A83" s="131" t="s">
        <v>50</v>
      </c>
      <c r="B83" s="132"/>
      <c r="C83" s="132"/>
      <c r="D83" s="133"/>
      <c r="E83" s="144">
        <v>0</v>
      </c>
      <c r="F83" s="145"/>
      <c r="G83" s="144">
        <v>0</v>
      </c>
      <c r="H83" s="148"/>
    </row>
    <row r="84" spans="1:8" s="5" customFormat="1" ht="14.25" customHeight="1">
      <c r="A84" s="131" t="s">
        <v>51</v>
      </c>
      <c r="B84" s="132"/>
      <c r="C84" s="132"/>
      <c r="D84" s="133"/>
      <c r="E84" s="144">
        <v>2.1</v>
      </c>
      <c r="F84" s="145"/>
      <c r="G84" s="144">
        <v>2.1</v>
      </c>
      <c r="H84" s="148"/>
    </row>
    <row r="85" spans="1:8" s="5" customFormat="1" ht="14.25" customHeight="1">
      <c r="A85" s="131" t="s">
        <v>52</v>
      </c>
      <c r="B85" s="132"/>
      <c r="C85" s="132"/>
      <c r="D85" s="133"/>
      <c r="E85" s="144">
        <v>2.8</v>
      </c>
      <c r="F85" s="145"/>
      <c r="G85" s="144">
        <v>2.8</v>
      </c>
      <c r="H85" s="148"/>
    </row>
    <row r="86" spans="1:8" s="5" customFormat="1" ht="14.25" customHeight="1">
      <c r="A86" s="131" t="s">
        <v>53</v>
      </c>
      <c r="B86" s="132"/>
      <c r="C86" s="132"/>
      <c r="D86" s="133"/>
      <c r="E86" s="144">
        <v>0</v>
      </c>
      <c r="F86" s="145"/>
      <c r="G86" s="144">
        <v>0</v>
      </c>
      <c r="H86" s="148"/>
    </row>
    <row r="87" spans="1:8" s="5" customFormat="1" ht="14.25" customHeight="1">
      <c r="A87" s="131" t="s">
        <v>54</v>
      </c>
      <c r="B87" s="132"/>
      <c r="C87" s="132"/>
      <c r="D87" s="133"/>
      <c r="E87" s="144">
        <v>0</v>
      </c>
      <c r="F87" s="145"/>
      <c r="G87" s="144">
        <v>0</v>
      </c>
      <c r="H87" s="148"/>
    </row>
    <row r="88" spans="1:8" ht="14.25" customHeight="1">
      <c r="A88" s="80" t="s">
        <v>82</v>
      </c>
      <c r="B88" s="81"/>
      <c r="C88" s="81"/>
      <c r="D88" s="81"/>
      <c r="E88" s="81"/>
      <c r="F88" s="81"/>
      <c r="G88" s="81"/>
      <c r="H88" s="92"/>
    </row>
    <row r="89" spans="1:8" ht="14.25" customHeight="1">
      <c r="A89" s="80" t="s">
        <v>78</v>
      </c>
      <c r="B89" s="81"/>
      <c r="C89" s="81"/>
      <c r="D89" s="81"/>
      <c r="E89" s="81"/>
      <c r="F89" s="81"/>
      <c r="G89" s="81"/>
      <c r="H89" s="92"/>
    </row>
    <row r="90" spans="1:8" ht="14.25" customHeight="1">
      <c r="A90" s="80" t="s">
        <v>79</v>
      </c>
      <c r="B90" s="81"/>
      <c r="C90" s="81"/>
      <c r="D90" s="81"/>
      <c r="E90" s="81"/>
      <c r="F90" s="81"/>
      <c r="G90" s="81"/>
      <c r="H90" s="92"/>
    </row>
    <row r="91" spans="1:8" ht="14.25" customHeight="1">
      <c r="A91" s="80" t="s">
        <v>81</v>
      </c>
      <c r="B91" s="81"/>
      <c r="C91" s="81"/>
      <c r="D91" s="81"/>
      <c r="E91" s="81"/>
      <c r="F91" s="81"/>
      <c r="G91" s="81"/>
      <c r="H91" s="92"/>
    </row>
    <row r="92" spans="1:8" ht="14.25" customHeight="1">
      <c r="A92" s="80" t="s">
        <v>80</v>
      </c>
      <c r="B92" s="81"/>
      <c r="C92" s="81"/>
      <c r="D92" s="81"/>
      <c r="E92" s="81"/>
      <c r="F92" s="81"/>
      <c r="G92" s="81"/>
      <c r="H92" s="92"/>
    </row>
    <row r="93" spans="1:8" s="5" customFormat="1" ht="14.25" customHeight="1">
      <c r="A93" s="80" t="s">
        <v>141</v>
      </c>
      <c r="B93" s="81"/>
      <c r="C93" s="81"/>
      <c r="D93" s="81"/>
      <c r="E93" s="81"/>
      <c r="F93" s="81"/>
      <c r="G93" s="81"/>
      <c r="H93" s="92"/>
    </row>
    <row r="94" spans="1:8" s="5" customFormat="1" ht="14.25" customHeight="1">
      <c r="A94" s="80" t="s">
        <v>70</v>
      </c>
      <c r="B94" s="81"/>
      <c r="C94" s="81"/>
      <c r="D94" s="81"/>
      <c r="E94" s="81"/>
      <c r="F94" s="81"/>
      <c r="G94" s="81"/>
      <c r="H94" s="92"/>
    </row>
    <row r="95" spans="1:8" s="5" customFormat="1" ht="14.25" customHeight="1">
      <c r="A95" s="80" t="s">
        <v>71</v>
      </c>
      <c r="B95" s="81"/>
      <c r="C95" s="81"/>
      <c r="D95" s="81"/>
      <c r="E95" s="81"/>
      <c r="F95" s="81"/>
      <c r="G95" s="81"/>
      <c r="H95" s="92"/>
    </row>
    <row r="96" spans="1:8" s="5" customFormat="1" ht="14.25" customHeight="1">
      <c r="A96" s="80" t="s">
        <v>72</v>
      </c>
      <c r="B96" s="81"/>
      <c r="C96" s="81"/>
      <c r="D96" s="81"/>
      <c r="E96" s="81"/>
      <c r="F96" s="81"/>
      <c r="G96" s="81"/>
      <c r="H96" s="92"/>
    </row>
    <row r="97" spans="1:8" s="5" customFormat="1" ht="14.25" customHeight="1" thickBot="1">
      <c r="A97" s="93"/>
      <c r="B97" s="94"/>
      <c r="C97" s="94"/>
      <c r="D97" s="94"/>
      <c r="E97" s="94"/>
      <c r="F97" s="94"/>
      <c r="G97" s="94"/>
      <c r="H97" s="95"/>
    </row>
    <row r="98" spans="1:8" s="5" customFormat="1" ht="14.25" customHeight="1">
      <c r="A98" s="3"/>
      <c r="B98" s="3"/>
      <c r="C98" s="3"/>
      <c r="D98" s="3"/>
      <c r="E98" s="3"/>
      <c r="F98" s="3"/>
      <c r="G98" s="3"/>
      <c r="H98" s="6"/>
    </row>
    <row r="99" spans="1:8" s="5" customFormat="1" ht="14.25" customHeight="1">
      <c r="A99" s="128" t="s">
        <v>144</v>
      </c>
      <c r="B99" s="129">
        <v>5.6099999999999997E-2</v>
      </c>
      <c r="C99" s="3"/>
      <c r="D99" s="3"/>
      <c r="E99" s="3"/>
      <c r="F99" s="3"/>
      <c r="G99" s="3"/>
      <c r="H99" s="6"/>
    </row>
    <row r="100" spans="1:8" s="5" customFormat="1" ht="14.25" customHeight="1">
      <c r="A100" s="128" t="s">
        <v>145</v>
      </c>
      <c r="B100" s="129">
        <v>5.45E-2</v>
      </c>
      <c r="C100" s="3"/>
      <c r="D100" s="3"/>
      <c r="E100" s="3"/>
      <c r="F100" s="3"/>
      <c r="G100" s="3"/>
      <c r="H100" s="6"/>
    </row>
    <row r="101" spans="1:8" s="5" customFormat="1" ht="14.25" customHeight="1">
      <c r="A101" s="128" t="s">
        <v>146</v>
      </c>
      <c r="B101" s="130" t="s">
        <v>147</v>
      </c>
      <c r="C101" s="3"/>
      <c r="D101" s="3"/>
      <c r="E101" s="3"/>
      <c r="F101" s="3"/>
      <c r="G101" s="3"/>
      <c r="H101" s="6"/>
    </row>
    <row r="102" spans="1:8">
      <c r="A102" s="128" t="s">
        <v>148</v>
      </c>
      <c r="B102" s="130" t="s">
        <v>149</v>
      </c>
    </row>
    <row r="103" spans="1:8">
      <c r="A103" s="7"/>
      <c r="B103" s="7"/>
    </row>
  </sheetData>
  <mergeCells count="83">
    <mergeCell ref="G85:H85"/>
    <mergeCell ref="G86:H86"/>
    <mergeCell ref="G87:H87"/>
    <mergeCell ref="E87:F87"/>
    <mergeCell ref="E86:F86"/>
    <mergeCell ref="E85:F85"/>
    <mergeCell ref="G83:H83"/>
    <mergeCell ref="G84:H84"/>
    <mergeCell ref="E84:F84"/>
    <mergeCell ref="E83:F83"/>
    <mergeCell ref="A83:D83"/>
    <mergeCell ref="A84:D84"/>
    <mergeCell ref="G82:H82"/>
    <mergeCell ref="E82:F82"/>
    <mergeCell ref="E81:F81"/>
    <mergeCell ref="A81:D81"/>
    <mergeCell ref="A82:D82"/>
    <mergeCell ref="G72:H72"/>
    <mergeCell ref="E71:F71"/>
    <mergeCell ref="E72:F72"/>
    <mergeCell ref="C76:D76"/>
    <mergeCell ref="E76:H76"/>
    <mergeCell ref="G73:H73"/>
    <mergeCell ref="G74:H74"/>
    <mergeCell ref="E73:F73"/>
    <mergeCell ref="E74:F74"/>
    <mergeCell ref="A73:D73"/>
    <mergeCell ref="A74:D74"/>
    <mergeCell ref="G69:H69"/>
    <mergeCell ref="G70:H70"/>
    <mergeCell ref="E69:F69"/>
    <mergeCell ref="E70:F70"/>
    <mergeCell ref="G71:H71"/>
    <mergeCell ref="G66:H66"/>
    <mergeCell ref="E65:F65"/>
    <mergeCell ref="E66:F66"/>
    <mergeCell ref="G67:H67"/>
    <mergeCell ref="G68:H68"/>
    <mergeCell ref="E67:F67"/>
    <mergeCell ref="E68:F68"/>
    <mergeCell ref="G63:H63"/>
    <mergeCell ref="G64:H64"/>
    <mergeCell ref="E63:F63"/>
    <mergeCell ref="E64:F64"/>
    <mergeCell ref="G65:H65"/>
    <mergeCell ref="A60:H60"/>
    <mergeCell ref="C61:D61"/>
    <mergeCell ref="E61:H61"/>
    <mergeCell ref="G62:H62"/>
    <mergeCell ref="E62:F62"/>
    <mergeCell ref="A62:D62"/>
    <mergeCell ref="A1:H1"/>
    <mergeCell ref="A2:H2"/>
    <mergeCell ref="A4:H4"/>
    <mergeCell ref="A5:H5"/>
    <mergeCell ref="C59:D59"/>
    <mergeCell ref="E59:H59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G77:H77"/>
    <mergeCell ref="G78:H78"/>
    <mergeCell ref="G79:H79"/>
    <mergeCell ref="G80:H80"/>
    <mergeCell ref="G81:H81"/>
    <mergeCell ref="A86:D86"/>
    <mergeCell ref="A87:D87"/>
    <mergeCell ref="E78:F78"/>
    <mergeCell ref="E77:F77"/>
    <mergeCell ref="A77:D77"/>
    <mergeCell ref="A78:D78"/>
    <mergeCell ref="A79:D79"/>
    <mergeCell ref="E80:F80"/>
    <mergeCell ref="E79:F79"/>
    <mergeCell ref="A80:D80"/>
    <mergeCell ref="A85:D85"/>
  </mergeCells>
  <pageMargins left="3.937007874015748E-2" right="0.74803149606299213" top="3.937007874015748E-2" bottom="3.937007874015748E-2" header="0.51181102362204722" footer="0.51181102362204722"/>
  <pageSetup paperSize="9"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9"/>
  <sheetViews>
    <sheetView tabSelected="1" zoomScaleNormal="100" zoomScaleSheetLayoutView="90" workbookViewId="0">
      <pane ySplit="4" topLeftCell="A5" activePane="bottomLeft" state="frozen"/>
      <selection activeCell="A62" sqref="A62"/>
      <selection pane="bottomLeft" sqref="A1:H1"/>
    </sheetView>
  </sheetViews>
  <sheetFormatPr defaultColWidth="9.140625" defaultRowHeight="12.75"/>
  <cols>
    <col min="1" max="1" width="65.140625" style="1" customWidth="1"/>
    <col min="2" max="2" width="20.28515625" style="1" customWidth="1"/>
    <col min="3" max="3" width="16.42578125" style="1" customWidth="1"/>
    <col min="4" max="4" width="14.7109375" style="1" customWidth="1"/>
    <col min="5" max="5" width="15.85546875" style="1" customWidth="1"/>
    <col min="6" max="6" width="16.28515625" style="1" customWidth="1"/>
    <col min="7" max="7" width="16.7109375" style="1" customWidth="1"/>
    <col min="8" max="8" width="15.85546875" style="8" customWidth="1"/>
    <col min="9" max="16384" width="9.140625" style="1"/>
  </cols>
  <sheetData>
    <row r="1" spans="1:8" ht="13.5" thickBot="1">
      <c r="A1" s="152" t="s">
        <v>73</v>
      </c>
      <c r="B1" s="153"/>
      <c r="C1" s="153"/>
      <c r="D1" s="153"/>
      <c r="E1" s="153"/>
      <c r="F1" s="153"/>
      <c r="G1" s="153"/>
      <c r="H1" s="154"/>
    </row>
    <row r="2" spans="1:8">
      <c r="A2" s="152" t="s">
        <v>0</v>
      </c>
      <c r="B2" s="153"/>
      <c r="C2" s="153"/>
      <c r="D2" s="153"/>
      <c r="E2" s="153"/>
      <c r="F2" s="153"/>
      <c r="G2" s="153"/>
      <c r="H2" s="154"/>
    </row>
    <row r="3" spans="1:8" ht="13.5" thickBot="1">
      <c r="A3" s="10"/>
      <c r="B3" s="11"/>
      <c r="C3" s="12"/>
      <c r="D3" s="12"/>
      <c r="E3" s="12"/>
      <c r="F3" s="12"/>
      <c r="G3" s="12"/>
      <c r="H3" s="13"/>
    </row>
    <row r="4" spans="1:8" ht="39" customHeight="1" thickBot="1">
      <c r="A4" s="155" t="s">
        <v>74</v>
      </c>
      <c r="B4" s="156"/>
      <c r="C4" s="156"/>
      <c r="D4" s="156"/>
      <c r="E4" s="156"/>
      <c r="F4" s="156"/>
      <c r="G4" s="156"/>
      <c r="H4" s="157"/>
    </row>
    <row r="5" spans="1:8" s="2" customFormat="1" ht="13.5" thickBot="1">
      <c r="A5" s="158"/>
      <c r="B5" s="159"/>
      <c r="C5" s="159"/>
      <c r="D5" s="159"/>
      <c r="E5" s="159"/>
      <c r="F5" s="160"/>
      <c r="G5" s="160"/>
      <c r="H5" s="161"/>
    </row>
    <row r="6" spans="1:8" s="2" customFormat="1" ht="39" thickBot="1">
      <c r="A6" s="14" t="s">
        <v>2</v>
      </c>
      <c r="B6" s="15" t="s">
        <v>3</v>
      </c>
      <c r="C6" s="16" t="s">
        <v>4</v>
      </c>
      <c r="D6" s="17" t="s">
        <v>5</v>
      </c>
      <c r="E6" s="18" t="s">
        <v>6</v>
      </c>
      <c r="F6" s="19" t="s">
        <v>7</v>
      </c>
      <c r="G6" s="125" t="s">
        <v>134</v>
      </c>
      <c r="H6" s="126" t="s">
        <v>135</v>
      </c>
    </row>
    <row r="7" spans="1:8" s="2" customFormat="1">
      <c r="A7" s="20" t="s">
        <v>8</v>
      </c>
      <c r="B7" s="21"/>
      <c r="C7" s="22"/>
      <c r="D7" s="23"/>
      <c r="E7" s="24"/>
      <c r="F7" s="25"/>
      <c r="G7" s="108"/>
      <c r="H7" s="26"/>
    </row>
    <row r="8" spans="1:8" s="3" customFormat="1">
      <c r="A8" s="27" t="s">
        <v>9</v>
      </c>
      <c r="B8" s="28"/>
      <c r="C8" s="29"/>
      <c r="D8" s="30"/>
      <c r="E8" s="31"/>
      <c r="F8" s="32"/>
      <c r="G8" s="109"/>
      <c r="H8" s="33"/>
    </row>
    <row r="9" spans="1:8" s="3" customFormat="1">
      <c r="A9" s="52" t="s">
        <v>13</v>
      </c>
      <c r="B9" s="42"/>
      <c r="C9" s="42"/>
      <c r="D9" s="37"/>
      <c r="E9" s="53"/>
      <c r="F9" s="50"/>
      <c r="G9" s="112"/>
      <c r="H9" s="51"/>
    </row>
    <row r="10" spans="1:8" s="3" customFormat="1">
      <c r="A10" s="40" t="s">
        <v>106</v>
      </c>
      <c r="B10" s="41" t="s">
        <v>103</v>
      </c>
      <c r="C10" s="42" t="s">
        <v>61</v>
      </c>
      <c r="D10" s="37">
        <v>2500000</v>
      </c>
      <c r="E10" s="43">
        <v>2503.8000000000002</v>
      </c>
      <c r="F10" s="44">
        <v>6.6526970000000005E-2</v>
      </c>
      <c r="G10" s="111">
        <v>3.3599999999999998E-2</v>
      </c>
      <c r="H10" s="45"/>
    </row>
    <row r="11" spans="1:8" s="3" customFormat="1">
      <c r="A11" s="40" t="s">
        <v>107</v>
      </c>
      <c r="B11" s="41" t="s">
        <v>104</v>
      </c>
      <c r="C11" s="42" t="s">
        <v>61</v>
      </c>
      <c r="D11" s="37">
        <v>2000000</v>
      </c>
      <c r="E11" s="43">
        <v>2018.5</v>
      </c>
      <c r="F11" s="44">
        <v>5.3632189999999996E-2</v>
      </c>
      <c r="G11" s="111">
        <v>3.5799999999999998E-2</v>
      </c>
      <c r="H11" s="45"/>
    </row>
    <row r="12" spans="1:8" s="3" customFormat="1">
      <c r="A12" s="40" t="s">
        <v>108</v>
      </c>
      <c r="B12" s="41" t="s">
        <v>105</v>
      </c>
      <c r="C12" s="42" t="s">
        <v>60</v>
      </c>
      <c r="D12" s="37">
        <v>2000000</v>
      </c>
      <c r="E12" s="43">
        <v>2017.21</v>
      </c>
      <c r="F12" s="44">
        <v>5.3597919999999993E-2</v>
      </c>
      <c r="G12" s="111">
        <v>3.44E-2</v>
      </c>
      <c r="H12" s="45"/>
    </row>
    <row r="13" spans="1:8" s="3" customFormat="1">
      <c r="A13" s="40"/>
      <c r="B13" s="41"/>
      <c r="C13" s="42"/>
      <c r="D13" s="37"/>
      <c r="E13" s="43"/>
      <c r="F13" s="44"/>
      <c r="G13" s="111"/>
      <c r="H13" s="45"/>
    </row>
    <row r="14" spans="1:8" s="3" customFormat="1">
      <c r="A14" s="121" t="s">
        <v>66</v>
      </c>
      <c r="B14" s="41"/>
      <c r="C14" s="42"/>
      <c r="D14" s="37"/>
      <c r="E14" s="98">
        <v>6539.51</v>
      </c>
      <c r="F14" s="99">
        <v>0.17375708000000001</v>
      </c>
      <c r="G14" s="119"/>
      <c r="H14" s="45"/>
    </row>
    <row r="15" spans="1:8" s="3" customFormat="1">
      <c r="A15" s="40"/>
      <c r="B15" s="41"/>
      <c r="C15" s="42"/>
      <c r="D15" s="37"/>
      <c r="E15" s="43"/>
      <c r="F15" s="44"/>
      <c r="G15" s="111"/>
      <c r="H15" s="45"/>
    </row>
    <row r="16" spans="1:8" s="3" customFormat="1">
      <c r="A16" s="122" t="s">
        <v>65</v>
      </c>
      <c r="B16" s="41"/>
      <c r="C16" s="42"/>
      <c r="D16" s="37"/>
      <c r="E16" s="96" t="s">
        <v>68</v>
      </c>
      <c r="F16" s="96" t="s">
        <v>68</v>
      </c>
      <c r="G16" s="111"/>
      <c r="H16" s="45"/>
    </row>
    <row r="17" spans="1:8" s="3" customFormat="1">
      <c r="A17" s="122" t="s">
        <v>66</v>
      </c>
      <c r="B17" s="41"/>
      <c r="C17" s="42"/>
      <c r="D17" s="37"/>
      <c r="E17" s="96" t="s">
        <v>68</v>
      </c>
      <c r="F17" s="96" t="s">
        <v>68</v>
      </c>
      <c r="G17" s="111"/>
      <c r="H17" s="45"/>
    </row>
    <row r="18" spans="1:8" s="3" customFormat="1">
      <c r="A18" s="122" t="s">
        <v>67</v>
      </c>
      <c r="B18" s="41"/>
      <c r="C18" s="42"/>
      <c r="D18" s="37"/>
      <c r="E18" s="96" t="s">
        <v>68</v>
      </c>
      <c r="F18" s="96" t="s">
        <v>68</v>
      </c>
      <c r="G18" s="111"/>
      <c r="H18" s="45"/>
    </row>
    <row r="19" spans="1:8" s="3" customFormat="1">
      <c r="A19" s="122" t="s">
        <v>66</v>
      </c>
      <c r="B19" s="41"/>
      <c r="C19" s="42"/>
      <c r="D19" s="37"/>
      <c r="E19" s="96" t="s">
        <v>68</v>
      </c>
      <c r="F19" s="96" t="s">
        <v>68</v>
      </c>
      <c r="G19" s="111"/>
      <c r="H19" s="45"/>
    </row>
    <row r="20" spans="1:8" s="3" customFormat="1">
      <c r="A20" s="40"/>
      <c r="B20" s="41"/>
      <c r="C20" s="42"/>
      <c r="D20" s="37"/>
      <c r="E20" s="43"/>
      <c r="F20" s="44"/>
      <c r="G20" s="111"/>
      <c r="H20" s="45"/>
    </row>
    <row r="21" spans="1:8" s="3" customFormat="1" ht="15" customHeight="1">
      <c r="A21" s="55" t="s">
        <v>32</v>
      </c>
      <c r="B21" s="56"/>
      <c r="C21" s="56"/>
      <c r="D21" s="37"/>
      <c r="E21" s="57">
        <f>E14</f>
        <v>6539.51</v>
      </c>
      <c r="F21" s="97">
        <f>F14</f>
        <v>0.17375708000000001</v>
      </c>
      <c r="G21" s="116"/>
      <c r="H21" s="51"/>
    </row>
    <row r="22" spans="1:8" s="3" customFormat="1">
      <c r="A22" s="27"/>
      <c r="B22" s="28"/>
      <c r="C22" s="29"/>
      <c r="D22" s="37"/>
      <c r="E22" s="31"/>
      <c r="F22" s="32"/>
      <c r="G22" s="109"/>
      <c r="H22" s="33"/>
    </row>
    <row r="23" spans="1:8" s="3" customFormat="1">
      <c r="A23" s="121" t="s">
        <v>69</v>
      </c>
      <c r="B23" s="56"/>
      <c r="C23" s="48"/>
      <c r="D23" s="37"/>
      <c r="E23" s="96" t="s">
        <v>68</v>
      </c>
      <c r="F23" s="96" t="s">
        <v>68</v>
      </c>
      <c r="G23" s="113"/>
      <c r="H23" s="59"/>
    </row>
    <row r="24" spans="1:8" s="3" customFormat="1">
      <c r="A24" s="121" t="s">
        <v>109</v>
      </c>
      <c r="B24" s="56"/>
      <c r="C24" s="48"/>
      <c r="D24" s="37"/>
      <c r="E24" s="96"/>
      <c r="F24" s="58"/>
      <c r="G24" s="113"/>
      <c r="H24" s="59"/>
    </row>
    <row r="25" spans="1:8" s="3" customFormat="1">
      <c r="A25" s="40" t="s">
        <v>115</v>
      </c>
      <c r="B25" s="42" t="s">
        <v>110</v>
      </c>
      <c r="C25" s="100" t="s">
        <v>120</v>
      </c>
      <c r="D25" s="204">
        <v>2500000</v>
      </c>
      <c r="E25" s="204">
        <v>2494.02</v>
      </c>
      <c r="F25" s="205">
        <v>6.6267110000000004E-2</v>
      </c>
      <c r="G25" s="206">
        <v>3.2399999999999998E-2</v>
      </c>
      <c r="H25" s="45"/>
    </row>
    <row r="26" spans="1:8" s="3" customFormat="1">
      <c r="A26" s="40" t="s">
        <v>116</v>
      </c>
      <c r="B26" s="42" t="s">
        <v>111</v>
      </c>
      <c r="C26" s="100" t="s">
        <v>121</v>
      </c>
      <c r="D26" s="204">
        <v>2500000</v>
      </c>
      <c r="E26" s="204">
        <v>2494.0100000000002</v>
      </c>
      <c r="F26" s="205">
        <v>6.6266649999999996E-2</v>
      </c>
      <c r="G26" s="206">
        <v>3.2500000000000001E-2</v>
      </c>
      <c r="H26" s="45"/>
    </row>
    <row r="27" spans="1:8" s="3" customFormat="1">
      <c r="A27" s="40" t="s">
        <v>117</v>
      </c>
      <c r="B27" s="42" t="s">
        <v>112</v>
      </c>
      <c r="C27" s="100" t="s">
        <v>120</v>
      </c>
      <c r="D27" s="204">
        <v>2500000</v>
      </c>
      <c r="E27" s="204">
        <v>2490.1</v>
      </c>
      <c r="F27" s="205">
        <v>6.6162760000000001E-2</v>
      </c>
      <c r="G27" s="206">
        <v>3.3000000000000002E-2</v>
      </c>
      <c r="H27" s="45"/>
    </row>
    <row r="28" spans="1:8" s="3" customFormat="1">
      <c r="A28" s="40" t="s">
        <v>118</v>
      </c>
      <c r="B28" s="42" t="s">
        <v>113</v>
      </c>
      <c r="C28" s="100" t="s">
        <v>120</v>
      </c>
      <c r="D28" s="204">
        <v>2500000</v>
      </c>
      <c r="E28" s="204">
        <v>2489.15</v>
      </c>
      <c r="F28" s="205">
        <v>6.6137649999999992E-2</v>
      </c>
      <c r="G28" s="206">
        <v>3.32E-2</v>
      </c>
      <c r="H28" s="45"/>
    </row>
    <row r="29" spans="1:8" s="3" customFormat="1">
      <c r="A29" s="40" t="s">
        <v>119</v>
      </c>
      <c r="B29" s="42" t="s">
        <v>114</v>
      </c>
      <c r="C29" s="100" t="s">
        <v>120</v>
      </c>
      <c r="D29" s="204">
        <v>2500000</v>
      </c>
      <c r="E29" s="204">
        <v>2478.4899999999998</v>
      </c>
      <c r="F29" s="205">
        <v>6.5854339999999997E-2</v>
      </c>
      <c r="G29" s="206">
        <v>3.5999999999999997E-2</v>
      </c>
      <c r="H29" s="45"/>
    </row>
    <row r="30" spans="1:8" s="3" customFormat="1">
      <c r="A30" s="55"/>
      <c r="B30" s="56"/>
      <c r="C30" s="48"/>
      <c r="D30" s="37"/>
      <c r="E30" s="96"/>
      <c r="F30" s="58"/>
      <c r="G30" s="113"/>
      <c r="H30" s="59"/>
    </row>
    <row r="31" spans="1:8" s="3" customFormat="1">
      <c r="A31" s="122" t="s">
        <v>66</v>
      </c>
      <c r="B31" s="56"/>
      <c r="C31" s="48"/>
      <c r="D31" s="37"/>
      <c r="E31" s="96">
        <v>12445.77</v>
      </c>
      <c r="F31" s="99">
        <v>0.33068850999999999</v>
      </c>
      <c r="G31" s="119"/>
      <c r="H31" s="59"/>
    </row>
    <row r="32" spans="1:8" s="3" customFormat="1">
      <c r="A32" s="55"/>
      <c r="B32" s="56"/>
      <c r="C32" s="48"/>
      <c r="D32" s="37"/>
      <c r="E32" s="96"/>
      <c r="F32" s="58"/>
      <c r="G32" s="113"/>
      <c r="H32" s="59"/>
    </row>
    <row r="33" spans="1:8" s="3" customFormat="1">
      <c r="A33" s="122" t="s">
        <v>122</v>
      </c>
      <c r="B33" s="56"/>
      <c r="C33" s="48"/>
      <c r="D33" s="37"/>
      <c r="E33" s="96"/>
      <c r="F33" s="58"/>
      <c r="G33" s="113"/>
      <c r="H33" s="59"/>
    </row>
    <row r="34" spans="1:8" s="3" customFormat="1">
      <c r="A34" s="123" t="s">
        <v>123</v>
      </c>
      <c r="B34" s="42" t="s">
        <v>124</v>
      </c>
      <c r="C34" s="100" t="s">
        <v>120</v>
      </c>
      <c r="D34" s="204">
        <v>2500000</v>
      </c>
      <c r="E34" s="204">
        <v>2485.2600000000002</v>
      </c>
      <c r="F34" s="205">
        <v>6.603436E-2</v>
      </c>
      <c r="G34" s="206">
        <v>3.3300000000000003E-2</v>
      </c>
      <c r="H34" s="45"/>
    </row>
    <row r="35" spans="1:8" s="3" customFormat="1">
      <c r="A35" s="55"/>
      <c r="B35" s="56"/>
      <c r="C35" s="48"/>
      <c r="D35" s="37"/>
      <c r="E35" s="96"/>
      <c r="F35" s="58"/>
      <c r="G35" s="113"/>
      <c r="H35" s="59"/>
    </row>
    <row r="36" spans="1:8" s="4" customFormat="1">
      <c r="A36" s="122" t="s">
        <v>66</v>
      </c>
      <c r="B36" s="56"/>
      <c r="C36" s="56"/>
      <c r="D36" s="37"/>
      <c r="E36" s="96">
        <v>2485.2600000000002</v>
      </c>
      <c r="F36" s="99">
        <v>6.603436E-2</v>
      </c>
      <c r="G36" s="119"/>
      <c r="H36" s="51"/>
    </row>
    <row r="37" spans="1:8" s="4" customFormat="1">
      <c r="A37" s="55"/>
      <c r="B37" s="56"/>
      <c r="C37" s="56"/>
      <c r="D37" s="37"/>
      <c r="E37" s="96"/>
      <c r="F37" s="99"/>
      <c r="G37" s="119"/>
      <c r="H37" s="51"/>
    </row>
    <row r="38" spans="1:8" s="4" customFormat="1">
      <c r="A38" s="122" t="s">
        <v>125</v>
      </c>
      <c r="B38" s="56"/>
      <c r="C38" s="56"/>
      <c r="D38" s="37"/>
      <c r="E38" s="96"/>
      <c r="F38" s="99"/>
      <c r="G38" s="119"/>
      <c r="H38" s="51"/>
    </row>
    <row r="39" spans="1:8" s="4" customFormat="1">
      <c r="A39" s="123" t="s">
        <v>126</v>
      </c>
      <c r="B39" s="42" t="s">
        <v>129</v>
      </c>
      <c r="C39" s="100" t="s">
        <v>59</v>
      </c>
      <c r="D39" s="204">
        <v>2500000</v>
      </c>
      <c r="E39" s="204">
        <v>2484.77</v>
      </c>
      <c r="F39" s="205">
        <v>6.6021270000000007E-2</v>
      </c>
      <c r="G39" s="206">
        <v>3.2899999999999999E-2</v>
      </c>
      <c r="H39" s="45"/>
    </row>
    <row r="40" spans="1:8" s="4" customFormat="1">
      <c r="A40" s="123" t="s">
        <v>127</v>
      </c>
      <c r="B40" s="42" t="s">
        <v>130</v>
      </c>
      <c r="C40" s="100" t="s">
        <v>59</v>
      </c>
      <c r="D40" s="204">
        <v>2500000</v>
      </c>
      <c r="E40" s="204">
        <v>2484.77</v>
      </c>
      <c r="F40" s="205">
        <v>6.6021270000000007E-2</v>
      </c>
      <c r="G40" s="206">
        <v>3.2899999999999999E-2</v>
      </c>
      <c r="H40" s="45"/>
    </row>
    <row r="41" spans="1:8" s="4" customFormat="1">
      <c r="A41" s="123" t="s">
        <v>128</v>
      </c>
      <c r="B41" s="42" t="s">
        <v>131</v>
      </c>
      <c r="C41" s="100" t="s">
        <v>59</v>
      </c>
      <c r="D41" s="204">
        <v>2500000</v>
      </c>
      <c r="E41" s="204">
        <v>2481.6</v>
      </c>
      <c r="F41" s="205">
        <v>6.5937109999999993E-2</v>
      </c>
      <c r="G41" s="206">
        <v>3.3000000000000002E-2</v>
      </c>
      <c r="H41" s="45"/>
    </row>
    <row r="42" spans="1:8" s="4" customFormat="1">
      <c r="A42" s="123"/>
      <c r="B42" s="42"/>
      <c r="C42" s="100"/>
      <c r="D42" s="204"/>
      <c r="E42" s="101"/>
      <c r="F42" s="102"/>
      <c r="G42" s="103"/>
      <c r="H42" s="124"/>
    </row>
    <row r="43" spans="1:8" s="4" customFormat="1">
      <c r="A43" s="122" t="s">
        <v>66</v>
      </c>
      <c r="B43" s="56"/>
      <c r="C43" s="56"/>
      <c r="D43" s="37"/>
      <c r="E43" s="57">
        <v>7451.1399999999994</v>
      </c>
      <c r="F43" s="50">
        <v>0.19797965000000001</v>
      </c>
      <c r="G43" s="112"/>
      <c r="H43" s="51"/>
    </row>
    <row r="44" spans="1:8" s="3" customFormat="1">
      <c r="A44" s="55" t="s">
        <v>32</v>
      </c>
      <c r="B44" s="56"/>
      <c r="C44" s="56"/>
      <c r="D44" s="60"/>
      <c r="E44" s="96">
        <v>22382.17</v>
      </c>
      <c r="F44" s="104">
        <v>0.59470252000000001</v>
      </c>
      <c r="G44" s="120"/>
      <c r="H44" s="51"/>
    </row>
    <row r="45" spans="1:8" s="3" customFormat="1">
      <c r="A45" s="55"/>
      <c r="B45" s="56"/>
      <c r="C45" s="56" t="s">
        <v>34</v>
      </c>
      <c r="D45" s="61"/>
      <c r="E45" s="57"/>
      <c r="F45" s="62"/>
      <c r="G45" s="114"/>
      <c r="H45" s="63"/>
    </row>
    <row r="46" spans="1:8" s="3" customFormat="1" ht="14.25" customHeight="1">
      <c r="A46" s="55" t="s">
        <v>35</v>
      </c>
      <c r="B46" s="56"/>
      <c r="C46" s="56"/>
      <c r="D46" s="61"/>
      <c r="E46" s="43">
        <v>8187.57</v>
      </c>
      <c r="F46" s="64">
        <v>0.21754674999999998</v>
      </c>
      <c r="G46" s="115"/>
      <c r="H46" s="65"/>
    </row>
    <row r="47" spans="1:8" s="3" customFormat="1" ht="14.25" customHeight="1">
      <c r="A47" s="55" t="s">
        <v>32</v>
      </c>
      <c r="B47" s="56"/>
      <c r="C47" s="56"/>
      <c r="D47" s="60"/>
      <c r="E47" s="57">
        <v>8187.57</v>
      </c>
      <c r="F47" s="50">
        <v>0.21754674999999998</v>
      </c>
      <c r="G47" s="112"/>
      <c r="H47" s="51"/>
    </row>
    <row r="48" spans="1:8" s="3" customFormat="1" ht="14.25" customHeight="1" thickBot="1">
      <c r="A48" s="66" t="s">
        <v>36</v>
      </c>
      <c r="B48" s="67"/>
      <c r="C48" s="68"/>
      <c r="D48" s="69"/>
      <c r="E48" s="70">
        <v>526.65138899999874</v>
      </c>
      <c r="F48" s="71">
        <v>1.3993324712927571E-2</v>
      </c>
      <c r="G48" s="117"/>
      <c r="H48" s="72"/>
    </row>
    <row r="49" spans="1:8" s="3" customFormat="1" ht="14.25" customHeight="1" thickBot="1">
      <c r="A49" s="73" t="s">
        <v>37</v>
      </c>
      <c r="B49" s="74"/>
      <c r="C49" s="75"/>
      <c r="D49" s="76"/>
      <c r="E49" s="77">
        <v>37635.901388999999</v>
      </c>
      <c r="F49" s="78">
        <v>1</v>
      </c>
      <c r="G49" s="118"/>
      <c r="H49" s="79"/>
    </row>
    <row r="50" spans="1:8" s="3" customFormat="1" ht="14.25" customHeight="1">
      <c r="A50" s="80"/>
      <c r="B50" s="81"/>
      <c r="C50" s="82"/>
      <c r="D50" s="83"/>
      <c r="E50" s="84"/>
      <c r="F50" s="106"/>
      <c r="G50" s="106"/>
      <c r="H50" s="85"/>
    </row>
    <row r="51" spans="1:8" s="3" customFormat="1" ht="14.25" customHeight="1">
      <c r="A51" s="86" t="s">
        <v>38</v>
      </c>
      <c r="B51" s="81"/>
      <c r="C51" s="82"/>
      <c r="D51" s="83"/>
      <c r="E51" s="107"/>
      <c r="F51" s="105"/>
      <c r="G51" s="105"/>
      <c r="H51" s="85"/>
    </row>
    <row r="52" spans="1:8" s="3" customFormat="1" ht="14.25" customHeight="1">
      <c r="A52" s="127" t="s">
        <v>143</v>
      </c>
      <c r="B52" s="81"/>
      <c r="C52" s="82"/>
      <c r="D52" s="83"/>
      <c r="E52" s="84"/>
      <c r="F52" s="105"/>
      <c r="G52" s="105"/>
      <c r="H52" s="85"/>
    </row>
    <row r="53" spans="1:8" s="3" customFormat="1" ht="14.25" customHeight="1">
      <c r="A53" s="127"/>
      <c r="B53" s="81"/>
      <c r="C53" s="82"/>
      <c r="D53" s="83"/>
      <c r="E53" s="84"/>
      <c r="F53" s="105"/>
      <c r="G53" s="105"/>
      <c r="H53" s="85"/>
    </row>
    <row r="54" spans="1:8" s="3" customFormat="1" ht="14.25" customHeight="1">
      <c r="A54" s="86" t="s">
        <v>39</v>
      </c>
      <c r="B54" s="87"/>
      <c r="C54" s="162"/>
      <c r="D54" s="162"/>
      <c r="E54" s="162"/>
      <c r="F54" s="162"/>
      <c r="G54" s="162"/>
      <c r="H54" s="163"/>
    </row>
    <row r="55" spans="1:8" s="2" customFormat="1" ht="14.25" customHeight="1">
      <c r="A55" s="164" t="s">
        <v>76</v>
      </c>
      <c r="B55" s="165"/>
      <c r="C55" s="165"/>
      <c r="D55" s="165"/>
      <c r="E55" s="165"/>
      <c r="F55" s="165"/>
      <c r="G55" s="165"/>
      <c r="H55" s="166"/>
    </row>
    <row r="56" spans="1:8" s="2" customFormat="1" ht="14.25" customHeight="1">
      <c r="A56" s="80" t="s">
        <v>40</v>
      </c>
      <c r="B56" s="81"/>
      <c r="C56" s="162"/>
      <c r="D56" s="162"/>
      <c r="E56" s="162"/>
      <c r="F56" s="162"/>
      <c r="G56" s="162"/>
      <c r="H56" s="163"/>
    </row>
    <row r="57" spans="1:8" s="2" customFormat="1" ht="14.25" customHeight="1">
      <c r="A57" s="200" t="s">
        <v>41</v>
      </c>
      <c r="B57" s="201"/>
      <c r="C57" s="201"/>
      <c r="D57" s="201"/>
      <c r="E57" s="198" t="s">
        <v>75</v>
      </c>
      <c r="F57" s="199"/>
      <c r="G57" s="196" t="s">
        <v>42</v>
      </c>
      <c r="H57" s="197"/>
    </row>
    <row r="58" spans="1:8" s="2" customFormat="1" ht="14.25" customHeight="1">
      <c r="A58" s="202" t="s">
        <v>43</v>
      </c>
      <c r="B58" s="203"/>
      <c r="C58" s="203"/>
      <c r="D58" s="203"/>
      <c r="E58" s="193">
        <v>1000.6743</v>
      </c>
      <c r="F58" s="178"/>
      <c r="G58" s="175" t="s">
        <v>133</v>
      </c>
      <c r="H58" s="176"/>
    </row>
    <row r="59" spans="1:8" s="2" customFormat="1" ht="14.25" customHeight="1">
      <c r="A59" s="194" t="s">
        <v>44</v>
      </c>
      <c r="B59" s="195"/>
      <c r="C59" s="195"/>
      <c r="D59" s="195"/>
      <c r="E59" s="193">
        <v>1000.636</v>
      </c>
      <c r="F59" s="178"/>
      <c r="G59" s="175" t="s">
        <v>133</v>
      </c>
      <c r="H59" s="176"/>
    </row>
    <row r="60" spans="1:8" s="3" customFormat="1" ht="14.25" customHeight="1">
      <c r="A60" s="194" t="s">
        <v>45</v>
      </c>
      <c r="B60" s="195"/>
      <c r="C60" s="195"/>
      <c r="D60" s="195"/>
      <c r="E60" s="193">
        <v>1000.6267</v>
      </c>
      <c r="F60" s="178"/>
      <c r="G60" s="175" t="s">
        <v>133</v>
      </c>
      <c r="H60" s="176"/>
    </row>
    <row r="61" spans="1:8" s="2" customFormat="1" ht="14.25" customHeight="1">
      <c r="A61" s="194" t="s">
        <v>46</v>
      </c>
      <c r="B61" s="195"/>
      <c r="C61" s="195"/>
      <c r="D61" s="195"/>
      <c r="E61" s="193">
        <v>1000.6414</v>
      </c>
      <c r="F61" s="178"/>
      <c r="G61" s="175" t="s">
        <v>133</v>
      </c>
      <c r="H61" s="176"/>
    </row>
    <row r="62" spans="1:8" s="2" customFormat="1" ht="14.25" customHeight="1">
      <c r="A62" s="194" t="s">
        <v>49</v>
      </c>
      <c r="B62" s="195"/>
      <c r="C62" s="195"/>
      <c r="D62" s="195"/>
      <c r="E62" s="193">
        <v>1000.7071999999999</v>
      </c>
      <c r="F62" s="178"/>
      <c r="G62" s="175" t="s">
        <v>133</v>
      </c>
      <c r="H62" s="176"/>
    </row>
    <row r="63" spans="1:8" s="2" customFormat="1" ht="14.25" customHeight="1">
      <c r="A63" s="194" t="s">
        <v>50</v>
      </c>
      <c r="B63" s="195"/>
      <c r="C63" s="195"/>
      <c r="D63" s="195"/>
      <c r="E63" s="193">
        <v>1000.6729</v>
      </c>
      <c r="F63" s="178"/>
      <c r="G63" s="175" t="s">
        <v>133</v>
      </c>
      <c r="H63" s="176"/>
    </row>
    <row r="64" spans="1:8" s="2" customFormat="1" ht="14.25" customHeight="1">
      <c r="A64" s="194" t="s">
        <v>51</v>
      </c>
      <c r="B64" s="195"/>
      <c r="C64" s="195"/>
      <c r="D64" s="195"/>
      <c r="E64" s="193">
        <v>1000.5933</v>
      </c>
      <c r="F64" s="178"/>
      <c r="G64" s="175" t="s">
        <v>133</v>
      </c>
      <c r="H64" s="176"/>
    </row>
    <row r="65" spans="1:8" s="3" customFormat="1" ht="14.25" customHeight="1">
      <c r="A65" s="194" t="s">
        <v>52</v>
      </c>
      <c r="B65" s="195"/>
      <c r="C65" s="195"/>
      <c r="D65" s="195"/>
      <c r="E65" s="193">
        <v>1000.691</v>
      </c>
      <c r="F65" s="178"/>
      <c r="G65" s="175" t="s">
        <v>133</v>
      </c>
      <c r="H65" s="176"/>
    </row>
    <row r="66" spans="1:8" s="3" customFormat="1" ht="14.25" customHeight="1">
      <c r="A66" s="88"/>
      <c r="B66" s="89"/>
      <c r="C66" s="90"/>
      <c r="D66" s="90"/>
      <c r="E66" s="90"/>
      <c r="F66" s="90"/>
      <c r="G66" s="90"/>
      <c r="H66" s="91"/>
    </row>
    <row r="67" spans="1:8" s="3" customFormat="1" ht="14.25" customHeight="1">
      <c r="A67" s="80" t="s">
        <v>77</v>
      </c>
      <c r="B67" s="81"/>
      <c r="C67" s="179"/>
      <c r="D67" s="179"/>
      <c r="E67" s="179"/>
      <c r="F67" s="179"/>
      <c r="G67" s="179"/>
      <c r="H67" s="180"/>
    </row>
    <row r="68" spans="1:8" s="3" customFormat="1" ht="14.25" customHeight="1">
      <c r="A68" s="187" t="s">
        <v>55</v>
      </c>
      <c r="B68" s="188"/>
      <c r="C68" s="188"/>
      <c r="D68" s="189"/>
      <c r="E68" s="190" t="s">
        <v>56</v>
      </c>
      <c r="F68" s="191"/>
      <c r="G68" s="190" t="s">
        <v>57</v>
      </c>
      <c r="H68" s="192"/>
    </row>
    <row r="69" spans="1:8" s="3" customFormat="1" ht="14.25" customHeight="1">
      <c r="A69" s="131" t="s">
        <v>44</v>
      </c>
      <c r="B69" s="132"/>
      <c r="C69" s="132"/>
      <c r="D69" s="133"/>
      <c r="E69" s="144">
        <v>0</v>
      </c>
      <c r="F69" s="145"/>
      <c r="G69" s="144">
        <v>0</v>
      </c>
      <c r="H69" s="148"/>
    </row>
    <row r="70" spans="1:8" s="5" customFormat="1" ht="14.25" customHeight="1">
      <c r="A70" s="131" t="s">
        <v>45</v>
      </c>
      <c r="B70" s="132"/>
      <c r="C70" s="132"/>
      <c r="D70" s="133"/>
      <c r="E70" s="144">
        <v>0</v>
      </c>
      <c r="F70" s="145"/>
      <c r="G70" s="144">
        <v>0</v>
      </c>
      <c r="H70" s="148"/>
    </row>
    <row r="71" spans="1:8" s="5" customFormat="1" ht="14.25" customHeight="1">
      <c r="A71" s="131" t="s">
        <v>46</v>
      </c>
      <c r="B71" s="132"/>
      <c r="C71" s="132"/>
      <c r="D71" s="133"/>
      <c r="E71" s="144">
        <v>0</v>
      </c>
      <c r="F71" s="145"/>
      <c r="G71" s="144">
        <v>0</v>
      </c>
      <c r="H71" s="148"/>
    </row>
    <row r="72" spans="1:8" s="5" customFormat="1" ht="14.25" customHeight="1">
      <c r="A72" s="131" t="s">
        <v>50</v>
      </c>
      <c r="B72" s="132"/>
      <c r="C72" s="132"/>
      <c r="D72" s="133"/>
      <c r="E72" s="144">
        <v>0</v>
      </c>
      <c r="F72" s="145"/>
      <c r="G72" s="144">
        <v>0</v>
      </c>
      <c r="H72" s="148"/>
    </row>
    <row r="73" spans="1:8" s="5" customFormat="1" ht="14.25" customHeight="1">
      <c r="A73" s="131" t="s">
        <v>51</v>
      </c>
      <c r="B73" s="132"/>
      <c r="C73" s="132"/>
      <c r="D73" s="133"/>
      <c r="E73" s="144">
        <v>0</v>
      </c>
      <c r="F73" s="145"/>
      <c r="G73" s="144">
        <v>0</v>
      </c>
      <c r="H73" s="148"/>
    </row>
    <row r="74" spans="1:8" s="5" customFormat="1" ht="14.25" customHeight="1">
      <c r="A74" s="131" t="s">
        <v>52</v>
      </c>
      <c r="B74" s="132"/>
      <c r="C74" s="132"/>
      <c r="D74" s="133"/>
      <c r="E74" s="144">
        <v>0</v>
      </c>
      <c r="F74" s="145"/>
      <c r="G74" s="144">
        <v>0</v>
      </c>
      <c r="H74" s="148"/>
    </row>
    <row r="75" spans="1:8" ht="14.25" customHeight="1">
      <c r="A75" s="80" t="s">
        <v>82</v>
      </c>
      <c r="B75" s="81"/>
      <c r="C75" s="81"/>
      <c r="D75" s="81"/>
      <c r="E75" s="81"/>
      <c r="F75" s="81"/>
      <c r="G75" s="81"/>
      <c r="H75" s="92"/>
    </row>
    <row r="76" spans="1:8" ht="14.25" customHeight="1">
      <c r="A76" s="80" t="s">
        <v>78</v>
      </c>
      <c r="B76" s="81"/>
      <c r="C76" s="81"/>
      <c r="D76" s="81"/>
      <c r="E76" s="81"/>
      <c r="F76" s="81"/>
      <c r="G76" s="81"/>
      <c r="H76" s="92"/>
    </row>
    <row r="77" spans="1:8" ht="14.25" customHeight="1">
      <c r="A77" s="80" t="s">
        <v>79</v>
      </c>
      <c r="B77" s="81"/>
      <c r="C77" s="81"/>
      <c r="D77" s="81"/>
      <c r="E77" s="81"/>
      <c r="F77" s="81"/>
      <c r="G77" s="81"/>
      <c r="H77" s="92"/>
    </row>
    <row r="78" spans="1:8" ht="14.25" customHeight="1">
      <c r="A78" s="80" t="s">
        <v>81</v>
      </c>
      <c r="B78" s="81"/>
      <c r="C78" s="81"/>
      <c r="D78" s="81"/>
      <c r="E78" s="81"/>
      <c r="F78" s="81"/>
      <c r="G78" s="81"/>
      <c r="H78" s="92"/>
    </row>
    <row r="79" spans="1:8" ht="14.25" customHeight="1">
      <c r="A79" s="80" t="s">
        <v>80</v>
      </c>
      <c r="B79" s="81"/>
      <c r="C79" s="81"/>
      <c r="D79" s="81"/>
      <c r="E79" s="81"/>
      <c r="F79" s="81"/>
      <c r="G79" s="81"/>
      <c r="H79" s="92"/>
    </row>
    <row r="80" spans="1:8" s="5" customFormat="1" ht="14.25" customHeight="1">
      <c r="A80" s="80" t="s">
        <v>142</v>
      </c>
      <c r="B80" s="81"/>
      <c r="C80" s="81"/>
      <c r="D80" s="81"/>
      <c r="E80" s="81"/>
      <c r="F80" s="81"/>
      <c r="G80" s="81"/>
      <c r="H80" s="92"/>
    </row>
    <row r="81" spans="1:8" s="5" customFormat="1" ht="14.25" customHeight="1">
      <c r="A81" s="80" t="s">
        <v>70</v>
      </c>
      <c r="B81" s="81"/>
      <c r="C81" s="81"/>
      <c r="D81" s="81"/>
      <c r="E81" s="81"/>
      <c r="F81" s="81"/>
      <c r="G81" s="81"/>
      <c r="H81" s="92"/>
    </row>
    <row r="82" spans="1:8" s="5" customFormat="1" ht="14.25" customHeight="1">
      <c r="A82" s="80" t="s">
        <v>71</v>
      </c>
      <c r="B82" s="81"/>
      <c r="C82" s="81"/>
      <c r="D82" s="81"/>
      <c r="E82" s="81"/>
      <c r="F82" s="81"/>
      <c r="G82" s="81"/>
      <c r="H82" s="92"/>
    </row>
    <row r="83" spans="1:8" s="5" customFormat="1" ht="14.25" customHeight="1">
      <c r="A83" s="80" t="s">
        <v>72</v>
      </c>
      <c r="B83" s="81"/>
      <c r="C83" s="81"/>
      <c r="D83" s="81"/>
      <c r="E83" s="81"/>
      <c r="F83" s="81"/>
      <c r="G83" s="81"/>
      <c r="H83" s="92"/>
    </row>
    <row r="84" spans="1:8" s="5" customFormat="1" ht="14.25" customHeight="1">
      <c r="A84" s="80" t="s">
        <v>132</v>
      </c>
      <c r="B84" s="81"/>
      <c r="C84" s="81"/>
      <c r="D84" s="81"/>
      <c r="E84" s="81"/>
      <c r="F84" s="81"/>
      <c r="G84" s="81"/>
      <c r="H84" s="92"/>
    </row>
    <row r="85" spans="1:8" s="5" customFormat="1" ht="14.25" customHeight="1" thickBot="1">
      <c r="A85" s="93"/>
      <c r="B85" s="94"/>
      <c r="C85" s="94"/>
      <c r="D85" s="94"/>
      <c r="E85" s="94"/>
      <c r="F85" s="94"/>
      <c r="G85" s="94"/>
      <c r="H85" s="95"/>
    </row>
    <row r="86" spans="1:8" s="5" customFormat="1" ht="14.25" customHeight="1">
      <c r="A86" s="3"/>
      <c r="B86" s="3"/>
      <c r="C86" s="3"/>
      <c r="D86" s="3"/>
      <c r="E86" s="3"/>
      <c r="F86" s="3"/>
      <c r="G86" s="3"/>
      <c r="H86" s="6"/>
    </row>
    <row r="88" spans="1:8">
      <c r="A88" s="128" t="s">
        <v>144</v>
      </c>
      <c r="B88" s="129">
        <v>3.3500000000000002E-2</v>
      </c>
    </row>
    <row r="89" spans="1:8">
      <c r="A89" s="128" t="s">
        <v>146</v>
      </c>
      <c r="B89" s="130" t="s">
        <v>150</v>
      </c>
    </row>
  </sheetData>
  <mergeCells count="59">
    <mergeCell ref="A1:H1"/>
    <mergeCell ref="A2:H2"/>
    <mergeCell ref="A4:H4"/>
    <mergeCell ref="A5:H5"/>
    <mergeCell ref="C54:D54"/>
    <mergeCell ref="E54:H54"/>
    <mergeCell ref="G58:H58"/>
    <mergeCell ref="G59:H59"/>
    <mergeCell ref="E58:F58"/>
    <mergeCell ref="E59:F59"/>
    <mergeCell ref="A55:H55"/>
    <mergeCell ref="C56:D56"/>
    <mergeCell ref="E56:H56"/>
    <mergeCell ref="G57:H57"/>
    <mergeCell ref="E57:F57"/>
    <mergeCell ref="A57:D57"/>
    <mergeCell ref="A58:D58"/>
    <mergeCell ref="A59:D59"/>
    <mergeCell ref="E62:F62"/>
    <mergeCell ref="E63:F63"/>
    <mergeCell ref="G60:H60"/>
    <mergeCell ref="G61:H61"/>
    <mergeCell ref="E60:F60"/>
    <mergeCell ref="E61:F61"/>
    <mergeCell ref="A73:D73"/>
    <mergeCell ref="A74:D74"/>
    <mergeCell ref="G72:H72"/>
    <mergeCell ref="G73:H73"/>
    <mergeCell ref="G74:H74"/>
    <mergeCell ref="E74:F74"/>
    <mergeCell ref="E73:F73"/>
    <mergeCell ref="A72:D72"/>
    <mergeCell ref="E72:F72"/>
    <mergeCell ref="E64:F64"/>
    <mergeCell ref="E65:F65"/>
    <mergeCell ref="G69:H69"/>
    <mergeCell ref="G70:H70"/>
    <mergeCell ref="A60:D60"/>
    <mergeCell ref="A61:D61"/>
    <mergeCell ref="C67:D67"/>
    <mergeCell ref="E67:H67"/>
    <mergeCell ref="G64:H64"/>
    <mergeCell ref="G65:H65"/>
    <mergeCell ref="A62:D62"/>
    <mergeCell ref="A63:D63"/>
    <mergeCell ref="A64:D64"/>
    <mergeCell ref="A65:D65"/>
    <mergeCell ref="G62:H62"/>
    <mergeCell ref="G63:H63"/>
    <mergeCell ref="G71:H71"/>
    <mergeCell ref="A68:D68"/>
    <mergeCell ref="A69:D69"/>
    <mergeCell ref="A70:D70"/>
    <mergeCell ref="A71:D71"/>
    <mergeCell ref="E71:F71"/>
    <mergeCell ref="E70:F70"/>
    <mergeCell ref="E69:F69"/>
    <mergeCell ref="E68:F68"/>
    <mergeCell ref="G68:H68"/>
  </mergeCells>
  <pageMargins left="3.937007874015748E-2" right="0.74803149606299213" top="3.937007874015748E-2" bottom="3.937007874015748E-2" header="0.51181102362204722" footer="0.51181102362204722"/>
  <pageSetup paperSize="9"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&amp; PSU Debt Fund</vt:lpstr>
      <vt:lpstr>Liquid Fund</vt:lpstr>
      <vt:lpstr>'Banking &amp; PSU Debt Fund'!Print_Area</vt:lpstr>
      <vt:lpstr>'Liquid Fund'!Print_Area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Washindkar</dc:creator>
  <cp:lastModifiedBy>Sandhya Nair</cp:lastModifiedBy>
  <dcterms:created xsi:type="dcterms:W3CDTF">2021-04-02T15:20:55Z</dcterms:created>
  <dcterms:modified xsi:type="dcterms:W3CDTF">2021-05-07T06:11:48Z</dcterms:modified>
</cp:coreProperties>
</file>