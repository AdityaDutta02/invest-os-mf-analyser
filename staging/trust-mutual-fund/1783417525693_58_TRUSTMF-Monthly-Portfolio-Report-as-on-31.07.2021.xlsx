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tion Pro\"/>
    </mc:Choice>
  </mc:AlternateContent>
  <bookViews>
    <workbookView xWindow="0" yWindow="0" windowWidth="19180" windowHeight="7030"/>
  </bookViews>
  <sheets>
    <sheet name="Banking &amp; PSU Debt Fund" sheetId="1" r:id="rId1"/>
    <sheet name="Liquid Fund" sheetId="2" r:id="rId2"/>
  </sheets>
  <definedNames>
    <definedName name="_xlnm._FilterDatabase" localSheetId="0" hidden="1">'Banking &amp; PSU Debt Fund'!$A$16:$J$36</definedName>
    <definedName name="_xlnm.Print_Area" localSheetId="0">'Banking &amp; PSU Debt Fund'!$A$1:$H$88</definedName>
    <definedName name="_xlnm.Print_Area" localSheetId="1">'Liquid Fund'!$A$1:$H$61</definedName>
    <definedName name="Z_9AF54932_6149_43F7_990E_BAF2964B56BB_.wvu.Cols" localSheetId="0" hidden="1">'Banking &amp; PSU Debt Fund'!#REF!</definedName>
    <definedName name="Z_9AF54932_6149_43F7_990E_BAF2964B56BB_.wvu.Cols" localSheetId="1" hidden="1">'Liquid Fund'!#REF!</definedName>
    <definedName name="Z_9AF54932_6149_43F7_990E_BAF2964B56BB_.wvu.PrintArea" localSheetId="0" hidden="1">'Banking &amp; PSU Debt Fund'!$A$1:$H$88</definedName>
    <definedName name="Z_9AF54932_6149_43F7_990E_BAF2964B56BB_.wvu.PrintArea" localSheetId="1" hidden="1">'Liquid Fund'!$A$1:$H$61</definedName>
    <definedName name="Z_E19AB337_85FD_4B6E_8054_0F2A4DE3F70F_.wvu.Cols" localSheetId="0" hidden="1">'Banking &amp; PSU Debt Fund'!#REF!</definedName>
    <definedName name="Z_E19AB337_85FD_4B6E_8054_0F2A4DE3F70F_.wvu.Cols" localSheetId="1" hidden="1">'Liquid Fund'!#REF!</definedName>
    <definedName name="Z_E19AB337_85FD_4B6E_8054_0F2A4DE3F70F_.wvu.PrintArea" localSheetId="0" hidden="1">'Banking &amp; PSU Debt Fund'!$A$1:$H$88</definedName>
    <definedName name="Z_E19AB337_85FD_4B6E_8054_0F2A4DE3F70F_.wvu.PrintArea" localSheetId="1" hidden="1">'Liquid Fund'!$A$1:$H$61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2" l="1"/>
  <c r="E51" i="2"/>
  <c r="E50" i="2"/>
  <c r="E49" i="2"/>
  <c r="E48" i="2"/>
  <c r="E47" i="2"/>
  <c r="E46" i="2"/>
  <c r="E45" i="2"/>
  <c r="E75" i="1"/>
  <c r="E74" i="1"/>
  <c r="E73" i="1"/>
  <c r="E72" i="1"/>
  <c r="E71" i="1"/>
  <c r="E70" i="1"/>
  <c r="E69" i="1"/>
  <c r="E68" i="1"/>
  <c r="E67" i="1"/>
  <c r="E66" i="1"/>
  <c r="E65" i="1"/>
  <c r="E64" i="1"/>
  <c r="F30" i="2" l="1"/>
  <c r="E30" i="2"/>
  <c r="F24" i="2"/>
  <c r="F31" i="2" s="1"/>
  <c r="E24" i="2"/>
  <c r="E31" i="2" s="1"/>
  <c r="F38" i="1"/>
  <c r="E38" i="1"/>
  <c r="F14" i="1"/>
  <c r="E14" i="1"/>
  <c r="E45" i="1" l="1"/>
  <c r="F45" i="1"/>
  <c r="F14" i="2"/>
  <c r="E14" i="2"/>
</calcChain>
</file>

<file path=xl/sharedStrings.xml><?xml version="1.0" encoding="utf-8"?>
<sst xmlns="http://schemas.openxmlformats.org/spreadsheetml/2006/main" count="310" uniqueCount="155">
  <si>
    <t>[Pursuant to Regulation 59 A of Securities and Exchange Board of India (Mutual Funds)</t>
  </si>
  <si>
    <t>TRUSTMF Banking &amp; PSU Debt Fund
(An open-ended debt scheme predominantly investing in debt instruments of banks, Public Sector Undertakings,Public Financial Institutions and Municipal Bonds)</t>
  </si>
  <si>
    <t>Name of Instrument</t>
  </si>
  <si>
    <t>ISIN</t>
  </si>
  <si>
    <t>Rating</t>
  </si>
  <si>
    <t>Quantity</t>
  </si>
  <si>
    <t>Market/Fair Value (Rs. in Lacs)</t>
  </si>
  <si>
    <t>% to Net Assets</t>
  </si>
  <si>
    <t>Debt Instruments -</t>
  </si>
  <si>
    <t>(a) Listed/ Awaiting Listing on Stock Exchanges</t>
  </si>
  <si>
    <t>Government Securities</t>
  </si>
  <si>
    <t>IN0020190396</t>
  </si>
  <si>
    <t>Sub Total</t>
  </si>
  <si>
    <t>Non Convertible Debentures / Bonds</t>
  </si>
  <si>
    <t>INE238A08351</t>
  </si>
  <si>
    <t>INE053F07BB3</t>
  </si>
  <si>
    <t>INE557F08FG1</t>
  </si>
  <si>
    <t>INE134E08KH0</t>
  </si>
  <si>
    <t>INE242A08452</t>
  </si>
  <si>
    <t>INE094A08036</t>
  </si>
  <si>
    <t>INE153A08071</t>
  </si>
  <si>
    <t>INE115A07OL3</t>
  </si>
  <si>
    <t>INE062A08223</t>
  </si>
  <si>
    <t>INE040A08377</t>
  </si>
  <si>
    <t>INE752E07LY4</t>
  </si>
  <si>
    <t>INE090A08UC2</t>
  </si>
  <si>
    <t>INE062A08215</t>
  </si>
  <si>
    <t>INE090A08UB4</t>
  </si>
  <si>
    <t>INE556F08JS0</t>
  </si>
  <si>
    <t>INE752E07JK7</t>
  </si>
  <si>
    <t>INE001A07RV7</t>
  </si>
  <si>
    <t>Total</t>
  </si>
  <si>
    <t/>
  </si>
  <si>
    <t xml:space="preserve"> </t>
  </si>
  <si>
    <t>TREPS / Reverse Repo Investments / Corporate Debt Repo</t>
  </si>
  <si>
    <t>Net Receivable/Payable</t>
  </si>
  <si>
    <t>NET ASSETS</t>
  </si>
  <si>
    <t>Notes :</t>
  </si>
  <si>
    <t xml:space="preserve">Plan/Option </t>
  </si>
  <si>
    <t>Regular Plan - Growth Option</t>
  </si>
  <si>
    <t>Direct Plan - Growth Option</t>
  </si>
  <si>
    <t>Plan/Option</t>
  </si>
  <si>
    <t>Individuals/HUF</t>
  </si>
  <si>
    <t>Other than Individual/HUF</t>
  </si>
  <si>
    <t>6.18% GOI - 04-Nov-2024</t>
  </si>
  <si>
    <t>Sovereign</t>
  </si>
  <si>
    <t>CRISIL AAA</t>
  </si>
  <si>
    <t>CARE AAA</t>
  </si>
  <si>
    <t>CRISIL AA+</t>
  </si>
  <si>
    <t>ICRA AAA</t>
  </si>
  <si>
    <t>CARE AA+</t>
  </si>
  <si>
    <t>(b) Privately placed / Unlisted</t>
  </si>
  <si>
    <t>Subtotal</t>
  </si>
  <si>
    <t>(c) Securitised Debt</t>
  </si>
  <si>
    <t>NIL</t>
  </si>
  <si>
    <t>Money Market Instruments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</si>
  <si>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</si>
  <si>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</si>
  <si>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</si>
  <si>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>TRUSTMF LIQUID Fund
(An Open Ended Liquid Scheme)</t>
  </si>
  <si>
    <t>IN2220140114</t>
  </si>
  <si>
    <t>8.90% Maharashtra SDL - 24-Sep-2024</t>
  </si>
  <si>
    <t>INE020B08DR1</t>
  </si>
  <si>
    <t>CARE AAA(CE)</t>
  </si>
  <si>
    <t>Commercial Papers</t>
  </si>
  <si>
    <t>CRISIL A1+</t>
  </si>
  <si>
    <t>Treasury Bills</t>
  </si>
  <si>
    <t>Yield to Maturity (YTM)</t>
  </si>
  <si>
    <t>Yield to Call 
(YTC) ^^</t>
  </si>
  <si>
    <t>^^  As per AMFI Best Practices Circular dated 24 March 2021, Yield to Call (YTC) to be disclosed for Perpetual Bonds issued by Banks.</t>
  </si>
  <si>
    <t>**Non Traded Securities</t>
  </si>
  <si>
    <t>INE018A14IE2</t>
  </si>
  <si>
    <t>Larsen &amp; Toubro Ltd. 09-Aug-2021 **</t>
  </si>
  <si>
    <t>IN3120140121</t>
  </si>
  <si>
    <t>8.87% Tamilnadu SDL 16-Oct-2024</t>
  </si>
  <si>
    <t>8.85% Axis Bank Ltd. 05-Dec-2024 **</t>
  </si>
  <si>
    <t>8.25% Indian Railway Finance Corporation Ltd. 28-Feb-2024 **</t>
  </si>
  <si>
    <t>7.42% Power Finance Corporation Ltd. 19-Nov-2024 **</t>
  </si>
  <si>
    <t>6.39% Indian Oil Corporation Ltd. 06-Mar-2025 **</t>
  </si>
  <si>
    <t>5.24% Small Industries Development Bank of India 26-Mar-2024 **</t>
  </si>
  <si>
    <t>8.93% Power Grid Corporation of India Ltd. 19-Oct-2024 **</t>
  </si>
  <si>
    <t>8.29% Mahanagar Telephone Nigam Ltd. 28-Nov-2024 **</t>
  </si>
  <si>
    <t>7.75% LIC Housing Finance Ltd. 23-Jul-2024 **</t>
  </si>
  <si>
    <t>9.25% Power Grid Corporation of India Ltd. 26-Dec-2024 **</t>
  </si>
  <si>
    <t>182 Days Treasury Bill  02-Sep-2021</t>
  </si>
  <si>
    <t>IN002020Y488</t>
  </si>
  <si>
    <t>Regular Plan - Daily IDCW</t>
  </si>
  <si>
    <t>Regular Plan - Weekly IDCW</t>
  </si>
  <si>
    <t>Regular Plan - Monthly IDCW</t>
  </si>
  <si>
    <t>Regular Plan - Quarterly IDCW</t>
  </si>
  <si>
    <t>Direct Plan - Daily IDCW</t>
  </si>
  <si>
    <t>Direct Plan - Weekly IDCW</t>
  </si>
  <si>
    <t>Direct Plan - Monthly IDCW</t>
  </si>
  <si>
    <t>Direct Plan - Quarterly IDCW</t>
  </si>
  <si>
    <t>As on June 30, 2021</t>
  </si>
  <si>
    <t>MONTHLY PORTFOLIO STATEMENT AS ON JULY 31, 2021</t>
  </si>
  <si>
    <t>INE261F08DF7</t>
  </si>
  <si>
    <t>INE071G07413</t>
  </si>
  <si>
    <t>7.05% National Housing Bank 18-Dec-2024 **</t>
  </si>
  <si>
    <t>5.74% REC Ltd. 20-Jun-2024 **</t>
  </si>
  <si>
    <t>5.27% National Bank for Agriculture and Rural Development 23-Jul-2024</t>
  </si>
  <si>
    <t>7.00% Hindustan Petroleum Corporation Ltd. 14-Aug-2024 **</t>
  </si>
  <si>
    <t>8.85% HDFC Bank Ltd. C 12-May-2022 M 31-Jul-2031  **</t>
  </si>
  <si>
    <t>9.90% ICICI Bank Ltd. C 28-Dec-2023 M 31-Jul-2031  **</t>
  </si>
  <si>
    <t>5.89% ICICI Home Finance Company Ltd. 19-Jul-2024 **</t>
  </si>
  <si>
    <t>9.15% ICICI Bank Ltd. C 20-Jun-2023 M 31-Jul-2031  **</t>
  </si>
  <si>
    <t>8.50% State Bank of India C 22-Nov-2024 M 31-Jul-2031  **</t>
  </si>
  <si>
    <t>7.99% Housing Development Finance Corporation Ltd. 11-Jul-2024 **</t>
  </si>
  <si>
    <t xml:space="preserve">8.75% State Bank of India C 30-Aug-2024 M 31-Jul-2031 </t>
  </si>
  <si>
    <t>INE733E14AJ4</t>
  </si>
  <si>
    <t>INE514E14PM0</t>
  </si>
  <si>
    <t>INE849D14GT6</t>
  </si>
  <si>
    <t>National Thermal Power Corporation Ltd. 07-Sep-2021</t>
  </si>
  <si>
    <t>Export Import Bank of India 24-Sep-2021 **</t>
  </si>
  <si>
    <t>ICICI Securities Primary Dealership Ltd. 28-Sep-2021 **</t>
  </si>
  <si>
    <t>364 Days Treasury Bill  09-Sep-2021</t>
  </si>
  <si>
    <t>IN002020Z238</t>
  </si>
  <si>
    <t>1) The provision made for investment in security below investment grade as on July 31, 2021 is Rs Nil and its percentage to Net Asset Value is Nil.</t>
  </si>
  <si>
    <t>3) Details of Dividend declared per unit (in Rs.) during the Month of July 2021</t>
  </si>
  <si>
    <t>5) Total outstanding exposure in derivative instruments as on July 31, 2021 : Nil.</t>
  </si>
  <si>
    <t>6) Total investments in Foreign Securities / Overseas ETFs as at July 31, 2021 and its percentage to NAV : Nil.</t>
  </si>
  <si>
    <t>8) Details of transactions of "Credit Default Swap" for half year ended July 31, 2021 : Nil.</t>
  </si>
  <si>
    <t>4) No Bonus declared during the month July 2021.</t>
  </si>
  <si>
    <t>7) Details of repo transactions in corporate debt securities for the month of July 2021 : Nil.</t>
  </si>
  <si>
    <t>As on July 30, 2021</t>
  </si>
  <si>
    <t>RG</t>
  </si>
  <si>
    <t>RDD</t>
  </si>
  <si>
    <t>RWD</t>
  </si>
  <si>
    <t>RMD</t>
  </si>
  <si>
    <t>RQD</t>
  </si>
  <si>
    <t>RYD</t>
  </si>
  <si>
    <t>DG</t>
  </si>
  <si>
    <t>DDD</t>
  </si>
  <si>
    <t>DWD</t>
  </si>
  <si>
    <t>DMD</t>
  </si>
  <si>
    <t>DQD</t>
  </si>
  <si>
    <t>DYD</t>
  </si>
  <si>
    <t>Regular Plan - Annually IDCW</t>
  </si>
  <si>
    <t>Direct Plan - Annually IDCW</t>
  </si>
  <si>
    <t>2) Net Assets Value per unit (in Rs) are as follows : (Declared Nav of 30 Jul 2021)</t>
  </si>
  <si>
    <t>9) Average maturity of the portfolio : 3.70 years</t>
  </si>
  <si>
    <t>9) Average maturity of the portfolio : 33 days</t>
  </si>
  <si>
    <t>Average Maturity</t>
  </si>
  <si>
    <t>Portfolio Yield</t>
  </si>
  <si>
    <t>3.70 yrs</t>
  </si>
  <si>
    <t>Modified Duration</t>
  </si>
  <si>
    <t>2.97 yrs</t>
  </si>
  <si>
    <t>YTM</t>
  </si>
  <si>
    <t>Macaulay Duration</t>
  </si>
  <si>
    <t>3.14 yrs</t>
  </si>
  <si>
    <t>Maturity to Call</t>
  </si>
  <si>
    <t>2.93 yrs</t>
  </si>
  <si>
    <t>Macaulay Duration to call</t>
  </si>
  <si>
    <t>2.64 yrs</t>
  </si>
  <si>
    <t>YTC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</si>
</sst>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#,##0.0000"/>
    <numFmt numFmtId="166" formatCode="_(* #,##0.000000000_);_(* \(#,##0.000000000\);_(* &quot;-&quot;??_);_(@_)"/>
    <numFmt numFmtId="167" formatCode="0.000%"/>
  </numFmts>
  <fonts count="1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72"/>
      <name val="Tahoma"/>
      <family val="2"/>
    </font>
    <font>
      <sz val="10"/>
      <name val="Mangal"/>
      <family val="2"/>
    </font>
    <font>
      <sz val="10"/>
      <color theme="0"/>
      <name val="Arial"/>
      <family val="2"/>
    </font>
    <font>
      <sz val="10"/>
      <color theme="0" tint="-4.9989318521683403E-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2" fillId="0" borderId="0" applyNumberFormat="0" applyFill="0" applyBorder="0" applyProtection="0"/>
    <xf numFmtId="0" fontId="1" fillId="0" borderId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4" fillId="0" borderId="0" xfId="0" applyFont="1" applyFill="1" applyBorder="1"/>
    <xf numFmtId="0" fontId="0" fillId="0" borderId="0" xfId="0" applyFont="1" applyFill="1"/>
    <xf numFmtId="4" fontId="0" fillId="0" borderId="0" xfId="2" applyNumberFormat="1" applyFont="1" applyFill="1" applyBorder="1"/>
    <xf numFmtId="4" fontId="0" fillId="0" borderId="0" xfId="2" applyNumberFormat="1" applyFont="1"/>
    <xf numFmtId="14" fontId="0" fillId="0" borderId="0" xfId="0" applyNumberFormat="1" applyFont="1" applyBorder="1"/>
    <xf numFmtId="0" fontId="6" fillId="0" borderId="4" xfId="0" applyFont="1" applyBorder="1"/>
    <xf numFmtId="0" fontId="6" fillId="0" borderId="0" xfId="0" applyFont="1" applyBorder="1"/>
    <xf numFmtId="0" fontId="7" fillId="0" borderId="0" xfId="0" applyFont="1" applyBorder="1"/>
    <xf numFmtId="4" fontId="7" fillId="0" borderId="5" xfId="2" applyNumberFormat="1" applyFont="1" applyBorder="1"/>
    <xf numFmtId="0" fontId="8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center" vertical="center"/>
    </xf>
    <xf numFmtId="39" fontId="8" fillId="0" borderId="10" xfId="0" applyNumberFormat="1" applyFont="1" applyFill="1" applyBorder="1" applyAlignment="1">
      <alignment horizontal="center" vertical="center"/>
    </xf>
    <xf numFmtId="39" fontId="8" fillId="0" borderId="10" xfId="0" applyNumberFormat="1" applyFont="1" applyFill="1" applyBorder="1" applyAlignment="1">
      <alignment horizontal="center" vertical="center" wrapText="1"/>
    </xf>
    <xf numFmtId="4" fontId="8" fillId="0" borderId="10" xfId="2" applyNumberFormat="1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center" vertical="center"/>
    </xf>
    <xf numFmtId="39" fontId="8" fillId="0" borderId="31" xfId="0" applyNumberFormat="1" applyFont="1" applyFill="1" applyBorder="1" applyAlignment="1">
      <alignment horizontal="center" vertical="center"/>
    </xf>
    <xf numFmtId="39" fontId="8" fillId="0" borderId="31" xfId="0" applyNumberFormat="1" applyFont="1" applyFill="1" applyBorder="1" applyAlignment="1">
      <alignment horizontal="center" vertical="center" wrapText="1"/>
    </xf>
    <xf numFmtId="4" fontId="8" fillId="0" borderId="31" xfId="2" applyNumberFormat="1" applyFont="1" applyFill="1" applyBorder="1" applyAlignment="1">
      <alignment horizontal="center" vertical="center"/>
    </xf>
    <xf numFmtId="4" fontId="8" fillId="0" borderId="32" xfId="2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center"/>
    </xf>
    <xf numFmtId="39" fontId="8" fillId="0" borderId="7" xfId="0" applyNumberFormat="1" applyFont="1" applyFill="1" applyBorder="1" applyAlignment="1">
      <alignment horizontal="center" vertical="center"/>
    </xf>
    <xf numFmtId="39" fontId="8" fillId="0" borderId="7" xfId="0" applyNumberFormat="1" applyFont="1" applyFill="1" applyBorder="1" applyAlignment="1">
      <alignment horizontal="center" vertical="center" wrapText="1"/>
    </xf>
    <xf numFmtId="4" fontId="8" fillId="0" borderId="7" xfId="2" applyNumberFormat="1" applyFont="1" applyFill="1" applyBorder="1" applyAlignment="1">
      <alignment horizontal="center" vertical="center"/>
    </xf>
    <xf numFmtId="4" fontId="8" fillId="0" borderId="8" xfId="2" applyNumberFormat="1" applyFont="1" applyFill="1" applyBorder="1" applyAlignment="1">
      <alignment horizontal="center" vertical="center"/>
    </xf>
    <xf numFmtId="4" fontId="9" fillId="0" borderId="6" xfId="0" applyNumberFormat="1" applyFont="1" applyFill="1" applyBorder="1" applyAlignment="1">
      <alignment horizontal="left" vertical="top"/>
    </xf>
    <xf numFmtId="4" fontId="9" fillId="0" borderId="7" xfId="0" applyNumberFormat="1" applyFont="1" applyFill="1" applyBorder="1" applyAlignment="1">
      <alignment horizontal="left" vertical="top"/>
    </xf>
    <xf numFmtId="4" fontId="10" fillId="0" borderId="7" xfId="0" applyNumberFormat="1" applyFont="1" applyFill="1" applyBorder="1" applyAlignment="1">
      <alignment horizontal="left" vertical="top"/>
    </xf>
    <xf numFmtId="0" fontId="10" fillId="0" borderId="7" xfId="0" applyNumberFormat="1" applyFont="1" applyFill="1" applyBorder="1" applyAlignment="1">
      <alignment horizontal="right" vertical="top"/>
    </xf>
    <xf numFmtId="4" fontId="10" fillId="0" borderId="7" xfId="0" applyNumberFormat="1" applyFont="1" applyFill="1" applyBorder="1" applyAlignment="1">
      <alignment horizontal="right" vertical="top"/>
    </xf>
    <xf numFmtId="4" fontId="10" fillId="0" borderId="8" xfId="0" applyNumberFormat="1" applyFont="1" applyFill="1" applyBorder="1" applyAlignment="1">
      <alignment horizontal="right" vertical="top"/>
    </xf>
    <xf numFmtId="0" fontId="10" fillId="0" borderId="6" xfId="0" applyFont="1" applyFill="1" applyBorder="1" applyAlignment="1">
      <alignment horizontal="left" vertical="top"/>
    </xf>
    <xf numFmtId="4" fontId="10" fillId="0" borderId="7" xfId="3" applyNumberFormat="1" applyFont="1" applyFill="1" applyBorder="1" applyAlignment="1">
      <alignment horizontal="left"/>
    </xf>
    <xf numFmtId="0" fontId="10" fillId="0" borderId="7" xfId="0" applyFont="1" applyFill="1" applyBorder="1" applyAlignment="1">
      <alignment horizontal="left" vertical="top"/>
    </xf>
    <xf numFmtId="164" fontId="10" fillId="0" borderId="7" xfId="1" applyFont="1" applyFill="1" applyBorder="1" applyAlignment="1">
      <alignment horizontal="right" vertical="top"/>
    </xf>
    <xf numFmtId="10" fontId="10" fillId="0" borderId="7" xfId="2" applyNumberFormat="1" applyFont="1" applyFill="1" applyBorder="1" applyAlignment="1">
      <alignment horizontal="right" vertical="top"/>
    </xf>
    <xf numFmtId="10" fontId="10" fillId="0" borderId="8" xfId="2" applyNumberFormat="1" applyFont="1" applyFill="1" applyBorder="1" applyAlignment="1">
      <alignment horizontal="right" vertical="top"/>
    </xf>
    <xf numFmtId="0" fontId="9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39" fontId="9" fillId="0" borderId="7" xfId="0" applyNumberFormat="1" applyFont="1" applyFill="1" applyBorder="1" applyAlignment="1">
      <alignment horizontal="right" vertical="center"/>
    </xf>
    <xf numFmtId="10" fontId="9" fillId="0" borderId="7" xfId="2" applyNumberFormat="1" applyFont="1" applyFill="1" applyBorder="1" applyAlignment="1">
      <alignment horizontal="right" vertical="top"/>
    </xf>
    <xf numFmtId="10" fontId="9" fillId="0" borderId="8" xfId="2" applyNumberFormat="1" applyFont="1" applyFill="1" applyBorder="1" applyAlignment="1">
      <alignment horizontal="right" vertical="top"/>
    </xf>
    <xf numFmtId="0" fontId="8" fillId="0" borderId="6" xfId="0" applyFont="1" applyFill="1" applyBorder="1"/>
    <xf numFmtId="164" fontId="9" fillId="0" borderId="7" xfId="1" applyFont="1" applyFill="1" applyBorder="1" applyAlignment="1">
      <alignment horizontal="right" vertical="top"/>
    </xf>
    <xf numFmtId="0" fontId="7" fillId="0" borderId="6" xfId="0" applyFont="1" applyFill="1" applyBorder="1"/>
    <xf numFmtId="0" fontId="9" fillId="0" borderId="6" xfId="0" applyFont="1" applyFill="1" applyBorder="1" applyAlignment="1">
      <alignment horizontal="left" vertical="top"/>
    </xf>
    <xf numFmtId="0" fontId="9" fillId="0" borderId="7" xfId="0" applyFont="1" applyFill="1" applyBorder="1" applyAlignment="1">
      <alignment horizontal="left" vertical="top"/>
    </xf>
    <xf numFmtId="39" fontId="9" fillId="0" borderId="7" xfId="0" applyNumberFormat="1" applyFont="1" applyFill="1" applyBorder="1" applyAlignment="1">
      <alignment horizontal="right"/>
    </xf>
    <xf numFmtId="4" fontId="10" fillId="0" borderId="7" xfId="2" applyNumberFormat="1" applyFont="1" applyFill="1" applyBorder="1" applyAlignment="1">
      <alignment horizontal="right" vertical="top"/>
    </xf>
    <xf numFmtId="4" fontId="10" fillId="0" borderId="8" xfId="2" applyNumberFormat="1" applyFont="1" applyFill="1" applyBorder="1" applyAlignment="1">
      <alignment horizontal="right" vertical="top"/>
    </xf>
    <xf numFmtId="39" fontId="9" fillId="0" borderId="7" xfId="0" applyNumberFormat="1" applyFont="1" applyFill="1" applyBorder="1" applyAlignment="1">
      <alignment horizontal="right" vertical="top"/>
    </xf>
    <xf numFmtId="39" fontId="5" fillId="0" borderId="7" xfId="0" applyNumberFormat="1" applyFont="1" applyFill="1" applyBorder="1" applyAlignment="1">
      <alignment horizontal="right" vertical="top"/>
    </xf>
    <xf numFmtId="4" fontId="9" fillId="0" borderId="7" xfId="2" applyNumberFormat="1" applyFont="1" applyFill="1" applyBorder="1" applyAlignment="1">
      <alignment horizontal="right"/>
    </xf>
    <xf numFmtId="4" fontId="9" fillId="0" borderId="8" xfId="2" applyNumberFormat="1" applyFont="1" applyFill="1" applyBorder="1" applyAlignment="1">
      <alignment horizontal="right"/>
    </xf>
    <xf numFmtId="10" fontId="10" fillId="0" borderId="7" xfId="2" applyNumberFormat="1" applyFont="1" applyFill="1" applyBorder="1" applyAlignment="1">
      <alignment horizontal="right"/>
    </xf>
    <xf numFmtId="10" fontId="10" fillId="0" borderId="8" xfId="2" applyNumberFormat="1" applyFont="1" applyFill="1" applyBorder="1" applyAlignment="1">
      <alignment horizontal="right"/>
    </xf>
    <xf numFmtId="0" fontId="8" fillId="0" borderId="24" xfId="0" applyFont="1" applyFill="1" applyBorder="1"/>
    <xf numFmtId="0" fontId="7" fillId="0" borderId="25" xfId="0" applyFont="1" applyFill="1" applyBorder="1"/>
    <xf numFmtId="0" fontId="10" fillId="0" borderId="25" xfId="3" applyFont="1" applyFill="1" applyBorder="1" applyAlignment="1">
      <alignment horizontal="left"/>
    </xf>
    <xf numFmtId="37" fontId="10" fillId="0" borderId="25" xfId="0" applyNumberFormat="1" applyFont="1" applyFill="1" applyBorder="1" applyAlignment="1">
      <alignment horizontal="right" vertical="top"/>
    </xf>
    <xf numFmtId="39" fontId="9" fillId="0" borderId="25" xfId="0" applyNumberFormat="1" applyFont="1" applyFill="1" applyBorder="1" applyAlignment="1">
      <alignment horizontal="right"/>
    </xf>
    <xf numFmtId="10" fontId="9" fillId="0" borderId="25" xfId="2" applyNumberFormat="1" applyFont="1" applyFill="1" applyBorder="1" applyAlignment="1">
      <alignment horizontal="right" vertical="top"/>
    </xf>
    <xf numFmtId="10" fontId="9" fillId="0" borderId="26" xfId="2" applyNumberFormat="1" applyFont="1" applyFill="1" applyBorder="1" applyAlignment="1">
      <alignment horizontal="right" vertical="top"/>
    </xf>
    <xf numFmtId="0" fontId="8" fillId="0" borderId="27" xfId="0" applyFont="1" applyFill="1" applyBorder="1"/>
    <xf numFmtId="0" fontId="7" fillId="0" borderId="28" xfId="0" applyFont="1" applyFill="1" applyBorder="1"/>
    <xf numFmtId="0" fontId="10" fillId="0" borderId="28" xfId="3" applyFont="1" applyFill="1" applyBorder="1" applyAlignment="1">
      <alignment horizontal="left"/>
    </xf>
    <xf numFmtId="37" fontId="10" fillId="0" borderId="28" xfId="0" applyNumberFormat="1" applyFont="1" applyFill="1" applyBorder="1" applyAlignment="1">
      <alignment horizontal="right" vertical="top"/>
    </xf>
    <xf numFmtId="39" fontId="9" fillId="0" borderId="28" xfId="0" applyNumberFormat="1" applyFont="1" applyFill="1" applyBorder="1" applyAlignment="1">
      <alignment horizontal="right"/>
    </xf>
    <xf numFmtId="10" fontId="9" fillId="0" borderId="28" xfId="2" applyNumberFormat="1" applyFont="1" applyFill="1" applyBorder="1" applyAlignment="1">
      <alignment horizontal="right" vertical="top"/>
    </xf>
    <xf numFmtId="10" fontId="9" fillId="0" borderId="29" xfId="2" applyNumberFormat="1" applyFont="1" applyFill="1" applyBorder="1" applyAlignment="1">
      <alignment horizontal="right" vertical="top"/>
    </xf>
    <xf numFmtId="0" fontId="7" fillId="0" borderId="4" xfId="0" applyFont="1" applyFill="1" applyBorder="1"/>
    <xf numFmtId="0" fontId="7" fillId="0" borderId="0" xfId="0" applyFont="1" applyFill="1" applyBorder="1"/>
    <xf numFmtId="0" fontId="10" fillId="0" borderId="0" xfId="3" applyFont="1" applyFill="1" applyBorder="1" applyAlignment="1">
      <alignment horizontal="left"/>
    </xf>
    <xf numFmtId="37" fontId="10" fillId="0" borderId="0" xfId="0" applyNumberFormat="1" applyFont="1" applyFill="1" applyBorder="1" applyAlignment="1">
      <alignment horizontal="right" vertical="top"/>
    </xf>
    <xf numFmtId="4" fontId="10" fillId="0" borderId="0" xfId="3" applyNumberFormat="1" applyFont="1" applyFill="1" applyBorder="1" applyAlignment="1">
      <alignment horizontal="right"/>
    </xf>
    <xf numFmtId="4" fontId="10" fillId="0" borderId="5" xfId="2" applyNumberFormat="1" applyFont="1" applyFill="1" applyBorder="1" applyAlignment="1">
      <alignment horizontal="right"/>
    </xf>
    <xf numFmtId="0" fontId="8" fillId="0" borderId="4" xfId="0" applyFont="1" applyFill="1" applyBorder="1"/>
    <xf numFmtId="0" fontId="8" fillId="0" borderId="0" xfId="0" applyFont="1" applyFill="1" applyBorder="1"/>
    <xf numFmtId="0" fontId="7" fillId="0" borderId="4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165" fontId="7" fillId="0" borderId="0" xfId="0" applyNumberFormat="1" applyFont="1" applyFill="1" applyBorder="1" applyAlignment="1">
      <alignment horizontal="right" vertical="center"/>
    </xf>
    <xf numFmtId="165" fontId="7" fillId="0" borderId="5" xfId="0" applyNumberFormat="1" applyFont="1" applyFill="1" applyBorder="1" applyAlignment="1">
      <alignment horizontal="right" vertical="center"/>
    </xf>
    <xf numFmtId="4" fontId="7" fillId="0" borderId="5" xfId="2" applyNumberFormat="1" applyFont="1" applyFill="1" applyBorder="1"/>
    <xf numFmtId="0" fontId="7" fillId="0" borderId="16" xfId="0" applyFont="1" applyFill="1" applyBorder="1" applyAlignment="1">
      <alignment horizontal="left"/>
    </xf>
    <xf numFmtId="0" fontId="7" fillId="0" borderId="17" xfId="0" applyFont="1" applyFill="1" applyBorder="1"/>
    <xf numFmtId="4" fontId="7" fillId="0" borderId="18" xfId="2" applyNumberFormat="1" applyFont="1" applyFill="1" applyBorder="1"/>
    <xf numFmtId="4" fontId="11" fillId="0" borderId="7" xfId="0" applyNumberFormat="1" applyFont="1" applyFill="1" applyBorder="1" applyAlignment="1" applyProtection="1">
      <alignment horizontal="right" vertical="top" wrapText="1"/>
    </xf>
    <xf numFmtId="10" fontId="9" fillId="0" borderId="7" xfId="2" applyNumberFormat="1" applyFont="1" applyFill="1" applyBorder="1" applyAlignment="1">
      <alignment horizontal="right"/>
    </xf>
    <xf numFmtId="10" fontId="8" fillId="0" borderId="7" xfId="2" applyNumberFormat="1" applyFont="1" applyFill="1" applyBorder="1" applyAlignment="1">
      <alignment horizontal="right" wrapText="1"/>
    </xf>
    <xf numFmtId="0" fontId="7" fillId="0" borderId="7" xfId="0" applyNumberFormat="1" applyFont="1" applyFill="1" applyBorder="1" applyAlignment="1">
      <alignment horizontal="left" wrapText="1"/>
    </xf>
    <xf numFmtId="4" fontId="7" fillId="0" borderId="7" xfId="0" applyNumberFormat="1" applyFont="1" applyFill="1" applyBorder="1" applyAlignment="1">
      <alignment horizontal="left" wrapText="1"/>
    </xf>
    <xf numFmtId="10" fontId="7" fillId="0" borderId="7" xfId="2" applyNumberFormat="1" applyFont="1" applyFill="1" applyBorder="1" applyAlignment="1">
      <alignment horizontal="left" wrapText="1"/>
    </xf>
    <xf numFmtId="10" fontId="7" fillId="0" borderId="14" xfId="2" applyNumberFormat="1" applyFont="1" applyFill="1" applyBorder="1" applyAlignment="1">
      <alignment horizontal="left" wrapText="1"/>
    </xf>
    <xf numFmtId="10" fontId="11" fillId="0" borderId="7" xfId="2" applyNumberFormat="1" applyFont="1" applyFill="1" applyBorder="1" applyAlignment="1" applyProtection="1">
      <alignment horizontal="right" vertical="top" wrapText="1"/>
    </xf>
    <xf numFmtId="10" fontId="10" fillId="0" borderId="0" xfId="2" applyNumberFormat="1" applyFont="1" applyFill="1" applyBorder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4" fontId="8" fillId="0" borderId="34" xfId="2" applyNumberFormat="1" applyFont="1" applyFill="1" applyBorder="1" applyAlignment="1">
      <alignment horizontal="center" vertical="center"/>
    </xf>
    <xf numFmtId="4" fontId="8" fillId="0" borderId="14" xfId="2" applyNumberFormat="1" applyFont="1" applyFill="1" applyBorder="1" applyAlignment="1">
      <alignment horizontal="center" vertical="center"/>
    </xf>
    <xf numFmtId="4" fontId="10" fillId="0" borderId="14" xfId="0" applyNumberFormat="1" applyFont="1" applyFill="1" applyBorder="1" applyAlignment="1">
      <alignment horizontal="right" vertical="top"/>
    </xf>
    <xf numFmtId="10" fontId="10" fillId="0" borderId="14" xfId="2" applyNumberFormat="1" applyFont="1" applyFill="1" applyBorder="1" applyAlignment="1">
      <alignment horizontal="right" vertical="top"/>
    </xf>
    <xf numFmtId="10" fontId="9" fillId="0" borderId="14" xfId="2" applyNumberFormat="1" applyFont="1" applyFill="1" applyBorder="1" applyAlignment="1">
      <alignment horizontal="right" vertical="top"/>
    </xf>
    <xf numFmtId="4" fontId="10" fillId="0" borderId="14" xfId="2" applyNumberFormat="1" applyFont="1" applyFill="1" applyBorder="1" applyAlignment="1">
      <alignment horizontal="right" vertical="top"/>
    </xf>
    <xf numFmtId="4" fontId="9" fillId="0" borderId="14" xfId="2" applyNumberFormat="1" applyFont="1" applyFill="1" applyBorder="1" applyAlignment="1">
      <alignment horizontal="right"/>
    </xf>
    <xf numFmtId="10" fontId="10" fillId="0" borderId="14" xfId="2" applyNumberFormat="1" applyFont="1" applyFill="1" applyBorder="1" applyAlignment="1">
      <alignment horizontal="right"/>
    </xf>
    <xf numFmtId="10" fontId="9" fillId="0" borderId="14" xfId="2" applyNumberFormat="1" applyFont="1" applyFill="1" applyBorder="1" applyAlignment="1">
      <alignment horizontal="right"/>
    </xf>
    <xf numFmtId="10" fontId="9" fillId="0" borderId="35" xfId="2" applyNumberFormat="1" applyFont="1" applyFill="1" applyBorder="1" applyAlignment="1">
      <alignment horizontal="right" vertical="top"/>
    </xf>
    <xf numFmtId="10" fontId="9" fillId="0" borderId="36" xfId="2" applyNumberFormat="1" applyFont="1" applyFill="1" applyBorder="1" applyAlignment="1">
      <alignment horizontal="right" vertical="top"/>
    </xf>
    <xf numFmtId="10" fontId="8" fillId="0" borderId="14" xfId="2" applyNumberFormat="1" applyFont="1" applyFill="1" applyBorder="1" applyAlignment="1">
      <alignment horizontal="right" wrapText="1"/>
    </xf>
    <xf numFmtId="10" fontId="11" fillId="0" borderId="14" xfId="2" applyNumberFormat="1" applyFont="1" applyFill="1" applyBorder="1" applyAlignment="1" applyProtection="1">
      <alignment horizontal="right" vertical="top" wrapText="1"/>
    </xf>
    <xf numFmtId="0" fontId="8" fillId="0" borderId="6" xfId="0" applyNumberFormat="1" applyFont="1" applyFill="1" applyBorder="1" applyAlignment="1"/>
    <xf numFmtId="0" fontId="7" fillId="0" borderId="6" xfId="0" applyFont="1" applyFill="1" applyBorder="1" applyAlignment="1">
      <alignment horizontal="left"/>
    </xf>
    <xf numFmtId="10" fontId="7" fillId="0" borderId="8" xfId="2" applyNumberFormat="1" applyFont="1" applyFill="1" applyBorder="1" applyAlignment="1">
      <alignment horizontal="left" wrapText="1"/>
    </xf>
    <xf numFmtId="4" fontId="8" fillId="0" borderId="33" xfId="2" applyNumberFormat="1" applyFont="1" applyFill="1" applyBorder="1" applyAlignment="1">
      <alignment horizontal="center" vertical="center" wrapText="1"/>
    </xf>
    <xf numFmtId="4" fontId="8" fillId="0" borderId="11" xfId="2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/>
    <xf numFmtId="4" fontId="7" fillId="0" borderId="7" xfId="0" applyNumberFormat="1" applyFont="1" applyFill="1" applyBorder="1" applyAlignment="1">
      <alignment horizontal="right" wrapText="1"/>
    </xf>
    <xf numFmtId="10" fontId="7" fillId="0" borderId="7" xfId="2" applyNumberFormat="1" applyFont="1" applyFill="1" applyBorder="1" applyAlignment="1">
      <alignment horizontal="right" wrapText="1"/>
    </xf>
    <xf numFmtId="10" fontId="7" fillId="0" borderId="14" xfId="2" applyNumberFormat="1" applyFont="1" applyFill="1" applyBorder="1" applyAlignment="1">
      <alignment horizontal="right" wrapText="1"/>
    </xf>
    <xf numFmtId="49" fontId="8" fillId="0" borderId="6" xfId="4" applyNumberFormat="1" applyFont="1" applyFill="1" applyBorder="1" applyAlignment="1" applyProtection="1">
      <alignment horizontal="left"/>
    </xf>
    <xf numFmtId="0" fontId="13" fillId="0" borderId="0" xfId="0" applyFont="1" applyBorder="1"/>
    <xf numFmtId="0" fontId="7" fillId="0" borderId="1" xfId="0" applyFont="1" applyFill="1" applyBorder="1"/>
    <xf numFmtId="0" fontId="7" fillId="0" borderId="2" xfId="0" applyFont="1" applyFill="1" applyBorder="1"/>
    <xf numFmtId="0" fontId="10" fillId="0" borderId="2" xfId="3" applyFont="1" applyFill="1" applyBorder="1" applyAlignment="1">
      <alignment horizontal="left"/>
    </xf>
    <xf numFmtId="37" fontId="10" fillId="0" borderId="2" xfId="0" applyNumberFormat="1" applyFont="1" applyFill="1" applyBorder="1" applyAlignment="1">
      <alignment horizontal="right" vertical="top"/>
    </xf>
    <xf numFmtId="4" fontId="10" fillId="0" borderId="2" xfId="3" applyNumberFormat="1" applyFont="1" applyFill="1" applyBorder="1" applyAlignment="1">
      <alignment horizontal="right"/>
    </xf>
    <xf numFmtId="167" fontId="10" fillId="0" borderId="2" xfId="2" applyNumberFormat="1" applyFont="1" applyFill="1" applyBorder="1" applyAlignment="1">
      <alignment horizontal="right"/>
    </xf>
    <xf numFmtId="4" fontId="10" fillId="0" borderId="3" xfId="2" applyNumberFormat="1" applyFont="1" applyFill="1" applyBorder="1" applyAlignment="1">
      <alignment horizontal="right"/>
    </xf>
    <xf numFmtId="0" fontId="8" fillId="0" borderId="4" xfId="0" applyFont="1" applyBorder="1" applyAlignment="1"/>
    <xf numFmtId="0" fontId="8" fillId="0" borderId="7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right" wrapText="1"/>
    </xf>
    <xf numFmtId="0" fontId="14" fillId="0" borderId="0" xfId="0" applyFont="1" applyBorder="1"/>
    <xf numFmtId="0" fontId="14" fillId="0" borderId="0" xfId="0" applyFont="1" applyFill="1" applyBorder="1"/>
    <xf numFmtId="0" fontId="1" fillId="0" borderId="7" xfId="5" applyBorder="1"/>
    <xf numFmtId="10" fontId="1" fillId="0" borderId="7" xfId="5" applyNumberFormat="1" applyBorder="1" applyAlignment="1">
      <alignment horizontal="center"/>
    </xf>
    <xf numFmtId="0" fontId="1" fillId="0" borderId="7" xfId="5" applyBorder="1" applyAlignment="1">
      <alignment horizontal="center"/>
    </xf>
    <xf numFmtId="0" fontId="1" fillId="0" borderId="7" xfId="5" applyBorder="1"/>
    <xf numFmtId="2" fontId="1" fillId="0" borderId="7" xfId="5" applyNumberFormat="1" applyBorder="1" applyAlignment="1">
      <alignment horizontal="center"/>
    </xf>
    <xf numFmtId="10" fontId="1" fillId="0" borderId="7" xfId="5" applyNumberFormat="1" applyBorder="1" applyAlignment="1">
      <alignment horizontal="center"/>
    </xf>
    <xf numFmtId="0" fontId="1" fillId="0" borderId="49" xfId="5" applyFill="1" applyBorder="1"/>
    <xf numFmtId="0" fontId="1" fillId="0" borderId="0" xfId="5" applyAlignment="1">
      <alignment horizontal="center"/>
    </xf>
    <xf numFmtId="0" fontId="7" fillId="0" borderId="12" xfId="0" applyFont="1" applyFill="1" applyBorder="1" applyAlignment="1">
      <alignment horizontal="left" vertical="top"/>
    </xf>
    <xf numFmtId="0" fontId="7" fillId="0" borderId="19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/>
    </xf>
    <xf numFmtId="0" fontId="7" fillId="0" borderId="39" xfId="0" applyFont="1" applyFill="1" applyBorder="1" applyAlignment="1">
      <alignment horizontal="left" vertical="top"/>
    </xf>
    <xf numFmtId="0" fontId="7" fillId="0" borderId="40" xfId="0" applyFont="1" applyFill="1" applyBorder="1" applyAlignment="1">
      <alignment horizontal="left" vertical="top"/>
    </xf>
    <xf numFmtId="0" fontId="7" fillId="0" borderId="41" xfId="0" applyFont="1" applyFill="1" applyBorder="1" applyAlignment="1">
      <alignment horizontal="left" vertical="top"/>
    </xf>
    <xf numFmtId="166" fontId="7" fillId="0" borderId="34" xfId="1" applyNumberFormat="1" applyFont="1" applyFill="1" applyBorder="1" applyAlignment="1">
      <alignment horizontal="center" vertical="center"/>
    </xf>
    <xf numFmtId="166" fontId="7" fillId="0" borderId="38" xfId="1" applyNumberFormat="1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/>
    </xf>
    <xf numFmtId="0" fontId="8" fillId="0" borderId="47" xfId="0" applyFont="1" applyFill="1" applyBorder="1" applyAlignment="1">
      <alignment horizontal="center"/>
    </xf>
    <xf numFmtId="0" fontId="8" fillId="0" borderId="45" xfId="0" applyFont="1" applyFill="1" applyBorder="1" applyAlignment="1">
      <alignment horizontal="left" vertical="top"/>
    </xf>
    <xf numFmtId="0" fontId="8" fillId="0" borderId="46" xfId="0" applyFont="1" applyFill="1" applyBorder="1" applyAlignment="1">
      <alignment horizontal="left" vertical="top"/>
    </xf>
    <xf numFmtId="0" fontId="8" fillId="0" borderId="47" xfId="0" applyFont="1" applyFill="1" applyBorder="1" applyAlignment="1">
      <alignment horizontal="left" vertical="top"/>
    </xf>
    <xf numFmtId="0" fontId="7" fillId="0" borderId="37" xfId="0" applyFont="1" applyFill="1" applyBorder="1" applyAlignment="1">
      <alignment horizontal="left" vertical="top"/>
    </xf>
    <xf numFmtId="0" fontId="7" fillId="0" borderId="43" xfId="0" applyFont="1" applyFill="1" applyBorder="1" applyAlignment="1">
      <alignment horizontal="left" vertical="top"/>
    </xf>
    <xf numFmtId="0" fontId="7" fillId="0" borderId="38" xfId="0" applyFont="1" applyFill="1" applyBorder="1" applyAlignment="1">
      <alignment horizontal="left" vertical="top"/>
    </xf>
    <xf numFmtId="166" fontId="7" fillId="0" borderId="14" xfId="1" applyNumberFormat="1" applyFont="1" applyFill="1" applyBorder="1" applyAlignment="1">
      <alignment horizontal="center" vertical="center"/>
    </xf>
    <xf numFmtId="166" fontId="7" fillId="0" borderId="13" xfId="1" applyNumberFormat="1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/>
    </xf>
    <xf numFmtId="166" fontId="7" fillId="0" borderId="44" xfId="1" applyNumberFormat="1" applyFont="1" applyFill="1" applyBorder="1" applyAlignment="1">
      <alignment horizontal="center" vertical="center"/>
    </xf>
    <xf numFmtId="166" fontId="7" fillId="0" borderId="15" xfId="1" applyNumberFormat="1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horizontal="left" vertical="top"/>
    </xf>
    <xf numFmtId="0" fontId="10" fillId="0" borderId="43" xfId="0" applyFont="1" applyFill="1" applyBorder="1" applyAlignment="1">
      <alignment horizontal="left" vertical="top"/>
    </xf>
    <xf numFmtId="0" fontId="10" fillId="0" borderId="38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right"/>
    </xf>
    <xf numFmtId="165" fontId="7" fillId="0" borderId="5" xfId="0" applyNumberFormat="1" applyFont="1" applyFill="1" applyBorder="1" applyAlignment="1">
      <alignment horizontal="right"/>
    </xf>
    <xf numFmtId="0" fontId="7" fillId="0" borderId="4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9" fillId="0" borderId="33" xfId="0" applyFont="1" applyFill="1" applyBorder="1" applyAlignment="1">
      <alignment horizontal="center" vertical="top"/>
    </xf>
    <xf numFmtId="0" fontId="9" fillId="0" borderId="48" xfId="0" applyFont="1" applyFill="1" applyBorder="1" applyAlignment="1">
      <alignment horizontal="center" vertical="top"/>
    </xf>
    <xf numFmtId="0" fontId="9" fillId="0" borderId="46" xfId="0" applyFont="1" applyFill="1" applyBorder="1" applyAlignment="1">
      <alignment horizontal="center" vertical="top"/>
    </xf>
    <xf numFmtId="0" fontId="9" fillId="0" borderId="47" xfId="0" applyFont="1" applyFill="1" applyBorder="1" applyAlignment="1">
      <alignment horizontal="center" vertical="top"/>
    </xf>
    <xf numFmtId="0" fontId="9" fillId="0" borderId="45" xfId="0" applyFont="1" applyFill="1" applyBorder="1" applyAlignment="1">
      <alignment horizontal="left" vertical="top"/>
    </xf>
    <xf numFmtId="0" fontId="9" fillId="0" borderId="46" xfId="0" applyFont="1" applyFill="1" applyBorder="1" applyAlignment="1">
      <alignment horizontal="left" vertical="top"/>
    </xf>
    <xf numFmtId="0" fontId="9" fillId="0" borderId="47" xfId="0" applyFont="1" applyFill="1" applyBorder="1" applyAlignment="1">
      <alignment horizontal="left" vertical="top"/>
    </xf>
    <xf numFmtId="165" fontId="7" fillId="0" borderId="34" xfId="0" applyNumberFormat="1" applyFont="1" applyFill="1" applyBorder="1" applyAlignment="1">
      <alignment horizontal="center" vertical="center"/>
    </xf>
    <xf numFmtId="165" fontId="7" fillId="0" borderId="44" xfId="0" applyNumberFormat="1" applyFont="1" applyFill="1" applyBorder="1" applyAlignment="1">
      <alignment horizontal="center" vertical="center"/>
    </xf>
    <xf numFmtId="165" fontId="7" fillId="0" borderId="14" xfId="0" applyNumberFormat="1" applyFont="1" applyFill="1" applyBorder="1" applyAlignment="1">
      <alignment horizontal="center" vertical="center"/>
    </xf>
    <xf numFmtId="165" fontId="7" fillId="0" borderId="15" xfId="0" applyNumberFormat="1" applyFont="1" applyFill="1" applyBorder="1" applyAlignment="1">
      <alignment horizontal="center" vertical="center"/>
    </xf>
    <xf numFmtId="165" fontId="7" fillId="0" borderId="38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top"/>
    </xf>
    <xf numFmtId="0" fontId="9" fillId="0" borderId="5" xfId="0" applyFont="1" applyFill="1" applyBorder="1" applyAlignment="1">
      <alignment horizontal="center" vertical="top"/>
    </xf>
    <xf numFmtId="165" fontId="7" fillId="0" borderId="35" xfId="0" applyNumberFormat="1" applyFont="1" applyFill="1" applyBorder="1" applyAlignment="1">
      <alignment horizontal="center" vertical="center"/>
    </xf>
    <xf numFmtId="165" fontId="7" fillId="0" borderId="42" xfId="0" applyNumberFormat="1" applyFont="1" applyFill="1" applyBorder="1" applyAlignment="1">
      <alignment horizontal="center" vertical="center"/>
    </xf>
    <xf numFmtId="165" fontId="7" fillId="0" borderId="41" xfId="0" applyNumberFormat="1" applyFont="1" applyFill="1" applyBorder="1" applyAlignment="1">
      <alignment horizontal="center" vertical="center"/>
    </xf>
    <xf numFmtId="166" fontId="7" fillId="0" borderId="35" xfId="1" applyNumberFormat="1" applyFont="1" applyFill="1" applyBorder="1" applyAlignment="1">
      <alignment horizontal="center" vertical="center"/>
    </xf>
    <xf numFmtId="166" fontId="7" fillId="0" borderId="42" xfId="1" applyNumberFormat="1" applyFont="1" applyFill="1" applyBorder="1" applyAlignment="1">
      <alignment horizontal="center" vertical="center"/>
    </xf>
    <xf numFmtId="166" fontId="7" fillId="0" borderId="41" xfId="1" applyNumberFormat="1" applyFont="1" applyFill="1" applyBorder="1" applyAlignment="1">
      <alignment horizontal="center" vertical="center"/>
    </xf>
    <xf numFmtId="165" fontId="7" fillId="0" borderId="13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0" fontId="7" fillId="0" borderId="24" xfId="0" applyFont="1" applyFill="1" applyBorder="1" applyAlignment="1">
      <alignment vertical="top"/>
    </xf>
    <xf numFmtId="0" fontId="7" fillId="0" borderId="25" xfId="0" applyFont="1" applyFill="1" applyBorder="1" applyAlignment="1">
      <alignment vertical="top"/>
    </xf>
    <xf numFmtId="0" fontId="9" fillId="0" borderId="9" xfId="0" applyFont="1" applyFill="1" applyBorder="1" applyAlignment="1">
      <alignment vertical="top"/>
    </xf>
    <xf numFmtId="0" fontId="9" fillId="0" borderId="10" xfId="0" applyFont="1" applyFill="1" applyBorder="1" applyAlignment="1">
      <alignment vertical="top"/>
    </xf>
    <xf numFmtId="0" fontId="10" fillId="0" borderId="30" xfId="0" applyFont="1" applyFill="1" applyBorder="1" applyAlignment="1">
      <alignment vertical="top"/>
    </xf>
    <xf numFmtId="0" fontId="10" fillId="0" borderId="31" xfId="0" applyFont="1" applyFill="1" applyBorder="1" applyAlignment="1">
      <alignment vertical="top"/>
    </xf>
  </cellXfs>
  <cellStyles count="7">
    <cellStyle name="Comma" xfId="1" builtinId="3"/>
    <cellStyle name="Normal" xfId="0" builtinId="0"/>
    <cellStyle name="Normal 2" xfId="5"/>
    <cellStyle name="Normal 3" xfId="4"/>
    <cellStyle name="Normal_Sheet1" xfId="3"/>
    <cellStyle name="Percent" xfId="2" builtin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112</xdr:row>
      <xdr:rowOff>0</xdr:rowOff>
    </xdr:from>
    <xdr:to>
      <xdr:col>4</xdr:col>
      <xdr:colOff>723900</xdr:colOff>
      <xdr:row>114</xdr:row>
      <xdr:rowOff>9525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73825"/>
          <a:ext cx="85629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9524</xdr:colOff>
      <xdr:row>114</xdr:row>
      <xdr:rowOff>0</xdr:rowOff>
    </xdr:from>
    <xdr:to>
      <xdr:col>4</xdr:col>
      <xdr:colOff>714374</xdr:colOff>
      <xdr:row>126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19497675"/>
          <a:ext cx="854392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81</xdr:row>
      <xdr:rowOff>0</xdr:rowOff>
    </xdr:from>
    <xdr:to>
      <xdr:col>5</xdr:col>
      <xdr:colOff>28576</xdr:colOff>
      <xdr:row>92</xdr:row>
      <xdr:rowOff>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4620875"/>
          <a:ext cx="88582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8930</xdr:rowOff>
    </xdr:from>
    <xdr:to>
      <xdr:col>5</xdr:col>
      <xdr:colOff>28575</xdr:colOff>
      <xdr:row>81</xdr:row>
      <xdr:rowOff>9525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05955"/>
          <a:ext cx="8858250" cy="324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8"/>
  <sheetViews>
    <sheetView tabSelected="1" zoomScaleNormal="100" zoomScaleSheetLayoutView="90" workbookViewId="0">
      <pane ySplit="4" topLeftCell="A5" activePane="bottomLeft" state="frozen"/>
      <selection activeCell="A62" sqref="A62"/>
      <selection pane="bottomLeft" activeCell="A111" sqref="A111:XFD111"/>
    </sheetView>
  </sheetViews>
  <sheetFormatPr defaultColWidth="9.1796875" defaultRowHeight="12.5"/>
  <cols>
    <col min="1" max="1" width="63.81640625" style="1" customWidth="1"/>
    <col min="2" max="2" width="16.7265625" style="1" customWidth="1"/>
    <col min="3" max="3" width="17.81640625" style="1" customWidth="1"/>
    <col min="4" max="4" width="19.1796875" style="1" customWidth="1"/>
    <col min="5" max="5" width="19.26953125" style="1" customWidth="1"/>
    <col min="6" max="6" width="19.453125" style="1" customWidth="1"/>
    <col min="7" max="7" width="21" style="1" customWidth="1"/>
    <col min="8" max="8" width="19.54296875" style="7" customWidth="1"/>
    <col min="9" max="9" width="9.1796875" style="1"/>
    <col min="10" max="10" width="10.1796875" style="1" bestFit="1" customWidth="1"/>
    <col min="11" max="11" width="26.81640625" style="1" bestFit="1" customWidth="1"/>
    <col min="12" max="16384" width="9.1796875" style="1"/>
  </cols>
  <sheetData>
    <row r="1" spans="1:8" ht="13" thickBot="1">
      <c r="A1" s="173" t="s">
        <v>95</v>
      </c>
      <c r="B1" s="174"/>
      <c r="C1" s="174"/>
      <c r="D1" s="174"/>
      <c r="E1" s="174"/>
      <c r="F1" s="174"/>
      <c r="G1" s="174"/>
      <c r="H1" s="175"/>
    </row>
    <row r="2" spans="1:8">
      <c r="A2" s="173" t="s">
        <v>0</v>
      </c>
      <c r="B2" s="174"/>
      <c r="C2" s="174"/>
      <c r="D2" s="174"/>
      <c r="E2" s="174"/>
      <c r="F2" s="174"/>
      <c r="G2" s="174"/>
      <c r="H2" s="175"/>
    </row>
    <row r="3" spans="1:8" ht="13" thickBot="1">
      <c r="A3" s="9"/>
      <c r="B3" s="10"/>
      <c r="C3" s="11"/>
      <c r="D3" s="11"/>
      <c r="E3" s="11"/>
      <c r="F3" s="11"/>
      <c r="G3" s="11"/>
      <c r="H3" s="12"/>
    </row>
    <row r="4" spans="1:8" ht="39" customHeight="1" thickBot="1">
      <c r="A4" s="176" t="s">
        <v>1</v>
      </c>
      <c r="B4" s="177"/>
      <c r="C4" s="177"/>
      <c r="D4" s="177"/>
      <c r="E4" s="177"/>
      <c r="F4" s="177"/>
      <c r="G4" s="177"/>
      <c r="H4" s="178"/>
    </row>
    <row r="5" spans="1:8" s="2" customFormat="1" ht="13" thickBot="1">
      <c r="A5" s="179"/>
      <c r="B5" s="180"/>
      <c r="C5" s="180"/>
      <c r="D5" s="180"/>
      <c r="E5" s="180"/>
      <c r="F5" s="181"/>
      <c r="G5" s="181"/>
      <c r="H5" s="182"/>
    </row>
    <row r="6" spans="1:8" s="2" customFormat="1" ht="25.5" thickBot="1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21" t="s">
        <v>67</v>
      </c>
      <c r="H6" s="122" t="s">
        <v>68</v>
      </c>
    </row>
    <row r="7" spans="1:8" s="2" customFormat="1">
      <c r="A7" s="19" t="s">
        <v>8</v>
      </c>
      <c r="B7" s="20"/>
      <c r="C7" s="21"/>
      <c r="D7" s="22"/>
      <c r="E7" s="23"/>
      <c r="F7" s="24"/>
      <c r="G7" s="105"/>
      <c r="H7" s="25"/>
    </row>
    <row r="8" spans="1:8" s="3" customFormat="1">
      <c r="A8" s="26" t="s">
        <v>9</v>
      </c>
      <c r="B8" s="27"/>
      <c r="C8" s="28"/>
      <c r="D8" s="29"/>
      <c r="E8" s="30"/>
      <c r="F8" s="31"/>
      <c r="G8" s="106"/>
      <c r="H8" s="32"/>
    </row>
    <row r="9" spans="1:8" s="3" customFormat="1" ht="15" customHeight="1">
      <c r="A9" s="33" t="s">
        <v>10</v>
      </c>
      <c r="B9" s="34"/>
      <c r="C9" s="35"/>
      <c r="D9" s="36"/>
      <c r="E9" s="37"/>
      <c r="F9" s="37"/>
      <c r="G9" s="107"/>
      <c r="H9" s="38"/>
    </row>
    <row r="10" spans="1:8" s="3" customFormat="1" ht="15" customHeight="1">
      <c r="A10" s="39" t="s">
        <v>44</v>
      </c>
      <c r="B10" s="40" t="s">
        <v>11</v>
      </c>
      <c r="C10" s="41" t="s">
        <v>45</v>
      </c>
      <c r="D10" s="36">
        <v>5000000</v>
      </c>
      <c r="E10" s="42">
        <v>5172.6400000000003</v>
      </c>
      <c r="F10" s="43">
        <v>7.649338E-2</v>
      </c>
      <c r="G10" s="108">
        <v>5.015E-2</v>
      </c>
      <c r="H10" s="44" t="s">
        <v>32</v>
      </c>
    </row>
    <row r="11" spans="1:8" s="3" customFormat="1" ht="15" customHeight="1">
      <c r="A11" s="39" t="s">
        <v>61</v>
      </c>
      <c r="B11" s="40" t="s">
        <v>60</v>
      </c>
      <c r="C11" s="41" t="s">
        <v>45</v>
      </c>
      <c r="D11" s="36">
        <v>2500000</v>
      </c>
      <c r="E11" s="42">
        <v>2753.28</v>
      </c>
      <c r="F11" s="43">
        <v>4.0715709999999995E-2</v>
      </c>
      <c r="G11" s="108">
        <v>5.355E-2</v>
      </c>
      <c r="H11" s="44" t="s">
        <v>32</v>
      </c>
    </row>
    <row r="12" spans="1:8" s="3" customFormat="1" ht="15" customHeight="1">
      <c r="A12" s="39" t="s">
        <v>74</v>
      </c>
      <c r="B12" s="40" t="s">
        <v>73</v>
      </c>
      <c r="C12" s="41" t="s">
        <v>45</v>
      </c>
      <c r="D12" s="36">
        <v>2000000</v>
      </c>
      <c r="E12" s="42">
        <v>2203.5300000000002</v>
      </c>
      <c r="F12" s="43">
        <v>3.2586030000000002E-2</v>
      </c>
      <c r="G12" s="108">
        <v>5.3698000000000003E-2</v>
      </c>
      <c r="H12" s="44" t="s">
        <v>32</v>
      </c>
    </row>
    <row r="13" spans="1:8" s="3" customFormat="1" ht="15" customHeight="1">
      <c r="A13" s="45"/>
      <c r="B13" s="46"/>
      <c r="C13" s="47"/>
      <c r="D13" s="36"/>
      <c r="E13" s="48"/>
      <c r="F13" s="49"/>
      <c r="G13" s="109"/>
      <c r="H13" s="50"/>
    </row>
    <row r="14" spans="1:8" s="3" customFormat="1" ht="15" customHeight="1">
      <c r="A14" s="45" t="s">
        <v>12</v>
      </c>
      <c r="B14" s="46"/>
      <c r="C14" s="47"/>
      <c r="D14" s="36"/>
      <c r="E14" s="48">
        <f>SUM(E10:E13)</f>
        <v>10129.450000000001</v>
      </c>
      <c r="F14" s="49">
        <f>SUM(F10:F13)</f>
        <v>0.14979512</v>
      </c>
      <c r="G14" s="109"/>
      <c r="H14" s="50"/>
    </row>
    <row r="15" spans="1:8" s="3" customFormat="1">
      <c r="A15" s="26"/>
      <c r="B15" s="27"/>
      <c r="C15" s="28"/>
      <c r="D15" s="29"/>
      <c r="E15" s="30"/>
      <c r="F15" s="31"/>
      <c r="G15" s="106"/>
      <c r="H15" s="32"/>
    </row>
    <row r="16" spans="1:8" s="3" customFormat="1">
      <c r="A16" s="51" t="s">
        <v>13</v>
      </c>
      <c r="B16" s="41"/>
      <c r="C16" s="41"/>
      <c r="D16" s="36"/>
      <c r="E16" s="52"/>
      <c r="F16" s="49"/>
      <c r="G16" s="109"/>
      <c r="H16" s="50"/>
    </row>
    <row r="17" spans="1:8" s="3" customFormat="1">
      <c r="A17" s="39" t="s">
        <v>75</v>
      </c>
      <c r="B17" s="40" t="s">
        <v>14</v>
      </c>
      <c r="C17" s="41" t="s">
        <v>46</v>
      </c>
      <c r="D17" s="36">
        <v>4500000</v>
      </c>
      <c r="E17" s="42">
        <v>4957.1099999999997</v>
      </c>
      <c r="F17" s="43">
        <v>7.3306179999999999E-2</v>
      </c>
      <c r="G17" s="108">
        <v>5.4300000000000001E-2</v>
      </c>
      <c r="H17" s="44" t="s">
        <v>32</v>
      </c>
    </row>
    <row r="18" spans="1:8" s="3" customFormat="1">
      <c r="A18" s="39" t="s">
        <v>76</v>
      </c>
      <c r="B18" s="40" t="s">
        <v>15</v>
      </c>
      <c r="C18" s="41" t="s">
        <v>47</v>
      </c>
      <c r="D18" s="36">
        <v>4000000</v>
      </c>
      <c r="E18" s="42">
        <v>4309.1400000000003</v>
      </c>
      <c r="F18" s="43">
        <v>6.3724000000000003E-2</v>
      </c>
      <c r="G18" s="108">
        <v>4.9849999999999998E-2</v>
      </c>
      <c r="H18" s="44" t="s">
        <v>32</v>
      </c>
    </row>
    <row r="19" spans="1:8" s="3" customFormat="1">
      <c r="A19" s="39" t="s">
        <v>98</v>
      </c>
      <c r="B19" s="40" t="s">
        <v>16</v>
      </c>
      <c r="C19" s="41" t="s">
        <v>46</v>
      </c>
      <c r="D19" s="36">
        <v>4000000</v>
      </c>
      <c r="E19" s="42">
        <v>4213.6400000000003</v>
      </c>
      <c r="F19" s="43">
        <v>6.2311680000000001E-2</v>
      </c>
      <c r="G19" s="108">
        <v>5.2699999999999997E-2</v>
      </c>
      <c r="H19" s="44" t="s">
        <v>32</v>
      </c>
    </row>
    <row r="20" spans="1:8" s="3" customFormat="1">
      <c r="A20" s="39" t="s">
        <v>77</v>
      </c>
      <c r="B20" s="40" t="s">
        <v>17</v>
      </c>
      <c r="C20" s="41" t="s">
        <v>47</v>
      </c>
      <c r="D20" s="36">
        <v>4000000</v>
      </c>
      <c r="E20" s="42">
        <v>4200.12</v>
      </c>
      <c r="F20" s="43">
        <v>6.2111809999999996E-2</v>
      </c>
      <c r="G20" s="108">
        <v>5.7000000000000002E-2</v>
      </c>
      <c r="H20" s="44" t="s">
        <v>32</v>
      </c>
    </row>
    <row r="21" spans="1:8" s="3" customFormat="1">
      <c r="A21" s="39" t="s">
        <v>78</v>
      </c>
      <c r="B21" s="40" t="s">
        <v>18</v>
      </c>
      <c r="C21" s="41" t="s">
        <v>46</v>
      </c>
      <c r="D21" s="36">
        <v>4000000</v>
      </c>
      <c r="E21" s="42">
        <v>4092.23</v>
      </c>
      <c r="F21" s="43">
        <v>6.0516230000000004E-2</v>
      </c>
      <c r="G21" s="108">
        <v>5.6500000000000002E-2</v>
      </c>
      <c r="H21" s="44" t="s">
        <v>32</v>
      </c>
    </row>
    <row r="22" spans="1:8" s="3" customFormat="1">
      <c r="A22" s="39" t="s">
        <v>99</v>
      </c>
      <c r="B22" s="40" t="s">
        <v>62</v>
      </c>
      <c r="C22" s="41" t="s">
        <v>46</v>
      </c>
      <c r="D22" s="36">
        <v>4000000</v>
      </c>
      <c r="E22" s="42">
        <v>4032.63</v>
      </c>
      <c r="F22" s="43">
        <v>5.9634919999999994E-2</v>
      </c>
      <c r="G22" s="108">
        <v>5.4050000000000001E-2</v>
      </c>
      <c r="H22" s="44" t="s">
        <v>32</v>
      </c>
    </row>
    <row r="23" spans="1:8" s="3" customFormat="1">
      <c r="A23" s="39" t="s">
        <v>100</v>
      </c>
      <c r="B23" s="40" t="s">
        <v>96</v>
      </c>
      <c r="C23" s="41" t="s">
        <v>46</v>
      </c>
      <c r="D23" s="36">
        <v>4000000</v>
      </c>
      <c r="E23" s="42">
        <v>4002.52</v>
      </c>
      <c r="F23" s="43">
        <v>5.9189619999999998E-2</v>
      </c>
      <c r="G23" s="108">
        <v>5.2454000000000001E-2</v>
      </c>
      <c r="H23" s="44" t="s">
        <v>32</v>
      </c>
    </row>
    <row r="24" spans="1:8" s="3" customFormat="1">
      <c r="A24" s="39" t="s">
        <v>101</v>
      </c>
      <c r="B24" s="40" t="s">
        <v>19</v>
      </c>
      <c r="C24" s="41" t="s">
        <v>46</v>
      </c>
      <c r="D24" s="36">
        <v>3500000</v>
      </c>
      <c r="E24" s="42">
        <v>3677.56</v>
      </c>
      <c r="F24" s="43">
        <v>5.4384110000000006E-2</v>
      </c>
      <c r="G24" s="108">
        <v>5.1499999999999997E-2</v>
      </c>
      <c r="H24" s="44" t="s">
        <v>32</v>
      </c>
    </row>
    <row r="25" spans="1:8" s="3" customFormat="1">
      <c r="A25" s="39" t="s">
        <v>79</v>
      </c>
      <c r="B25" s="40" t="s">
        <v>28</v>
      </c>
      <c r="C25" s="41" t="s">
        <v>47</v>
      </c>
      <c r="D25" s="36">
        <v>3000000</v>
      </c>
      <c r="E25" s="42">
        <v>3023.56</v>
      </c>
      <c r="F25" s="43">
        <v>4.4712660000000001E-2</v>
      </c>
      <c r="G25" s="108">
        <v>4.9050000000000003E-2</v>
      </c>
      <c r="H25" s="44" t="s">
        <v>32</v>
      </c>
    </row>
    <row r="26" spans="1:8" s="3" customFormat="1">
      <c r="A26" s="39" t="s">
        <v>80</v>
      </c>
      <c r="B26" s="40" t="s">
        <v>24</v>
      </c>
      <c r="C26" s="41" t="s">
        <v>47</v>
      </c>
      <c r="D26" s="36">
        <v>2500000</v>
      </c>
      <c r="E26" s="42">
        <v>2764.96</v>
      </c>
      <c r="F26" s="43">
        <v>4.0888470000000003E-2</v>
      </c>
      <c r="G26" s="108">
        <v>5.2499999999999998E-2</v>
      </c>
      <c r="H26" s="44" t="s">
        <v>32</v>
      </c>
    </row>
    <row r="27" spans="1:8" s="3" customFormat="1">
      <c r="A27" s="39" t="s">
        <v>81</v>
      </c>
      <c r="B27" s="40" t="s">
        <v>20</v>
      </c>
      <c r="C27" s="41" t="s">
        <v>63</v>
      </c>
      <c r="D27" s="36">
        <v>2500000</v>
      </c>
      <c r="E27" s="42">
        <v>2688.25</v>
      </c>
      <c r="F27" s="43">
        <v>3.9754040000000004E-2</v>
      </c>
      <c r="G27" s="108">
        <v>5.8479999999999997E-2</v>
      </c>
      <c r="H27" s="44" t="s">
        <v>32</v>
      </c>
    </row>
    <row r="28" spans="1:8" s="3" customFormat="1">
      <c r="A28" s="39" t="s">
        <v>82</v>
      </c>
      <c r="B28" s="40" t="s">
        <v>21</v>
      </c>
      <c r="C28" s="41" t="s">
        <v>46</v>
      </c>
      <c r="D28" s="36">
        <v>2500000</v>
      </c>
      <c r="E28" s="42">
        <v>2647.35</v>
      </c>
      <c r="F28" s="43">
        <v>3.9149250000000003E-2</v>
      </c>
      <c r="G28" s="108">
        <v>5.5449999999999999E-2</v>
      </c>
      <c r="H28" s="44" t="s">
        <v>32</v>
      </c>
    </row>
    <row r="29" spans="1:8" s="3" customFormat="1">
      <c r="A29" s="39" t="s">
        <v>102</v>
      </c>
      <c r="B29" s="40" t="s">
        <v>23</v>
      </c>
      <c r="C29" s="41" t="s">
        <v>50</v>
      </c>
      <c r="D29" s="36">
        <v>2000000</v>
      </c>
      <c r="E29" s="42">
        <v>2054.4899999999998</v>
      </c>
      <c r="F29" s="43">
        <v>3.038192E-2</v>
      </c>
      <c r="G29" s="108">
        <v>8.4339999999999998E-2</v>
      </c>
      <c r="H29" s="44">
        <v>5.1096438484000001E-2</v>
      </c>
    </row>
    <row r="30" spans="1:8" s="3" customFormat="1">
      <c r="A30" s="39" t="s">
        <v>103</v>
      </c>
      <c r="B30" s="40" t="s">
        <v>25</v>
      </c>
      <c r="C30" s="41" t="s">
        <v>48</v>
      </c>
      <c r="D30" s="36">
        <v>1500000</v>
      </c>
      <c r="E30" s="42">
        <v>1606.4</v>
      </c>
      <c r="F30" s="43">
        <v>2.3755639999999998E-2</v>
      </c>
      <c r="G30" s="108">
        <v>8.8006000000000001E-2</v>
      </c>
      <c r="H30" s="44">
        <v>6.5839039862500004E-2</v>
      </c>
    </row>
    <row r="31" spans="1:8" s="3" customFormat="1">
      <c r="A31" s="39" t="s">
        <v>104</v>
      </c>
      <c r="B31" s="40" t="s">
        <v>97</v>
      </c>
      <c r="C31" s="41" t="s">
        <v>46</v>
      </c>
      <c r="D31" s="36">
        <v>1500000</v>
      </c>
      <c r="E31" s="42">
        <v>1503.51</v>
      </c>
      <c r="F31" s="43">
        <v>2.223408E-2</v>
      </c>
      <c r="G31" s="108">
        <v>5.8000000000000003E-2</v>
      </c>
      <c r="H31" s="44" t="s">
        <v>32</v>
      </c>
    </row>
    <row r="32" spans="1:8" s="3" customFormat="1">
      <c r="A32" s="39" t="s">
        <v>105</v>
      </c>
      <c r="B32" s="40" t="s">
        <v>27</v>
      </c>
      <c r="C32" s="41" t="s">
        <v>50</v>
      </c>
      <c r="D32" s="36">
        <v>1000000</v>
      </c>
      <c r="E32" s="42">
        <v>1047.4100000000001</v>
      </c>
      <c r="F32" s="43">
        <v>1.548921E-2</v>
      </c>
      <c r="G32" s="108">
        <v>8.4317000000000003E-2</v>
      </c>
      <c r="H32" s="44">
        <v>6.3847001455499999E-2</v>
      </c>
    </row>
    <row r="33" spans="1:8" s="3" customFormat="1">
      <c r="A33" s="39" t="s">
        <v>106</v>
      </c>
      <c r="B33" s="40" t="s">
        <v>22</v>
      </c>
      <c r="C33" s="41" t="s">
        <v>48</v>
      </c>
      <c r="D33" s="36">
        <v>1000000</v>
      </c>
      <c r="E33" s="42">
        <v>1030.1199999999999</v>
      </c>
      <c r="F33" s="43">
        <v>1.5233429999999999E-2</v>
      </c>
      <c r="G33" s="108">
        <v>8.0462000000000006E-2</v>
      </c>
      <c r="H33" s="44">
        <v>7.4177216188500011E-2</v>
      </c>
    </row>
    <row r="34" spans="1:8" s="3" customFormat="1">
      <c r="A34" s="39" t="s">
        <v>83</v>
      </c>
      <c r="B34" s="40" t="s">
        <v>29</v>
      </c>
      <c r="C34" s="41" t="s">
        <v>47</v>
      </c>
      <c r="D34" s="36">
        <v>500000</v>
      </c>
      <c r="E34" s="42">
        <v>560.59</v>
      </c>
      <c r="F34" s="43">
        <v>8.2900700000000001E-3</v>
      </c>
      <c r="G34" s="108">
        <v>5.2499999999999998E-2</v>
      </c>
      <c r="H34" s="44" t="s">
        <v>32</v>
      </c>
    </row>
    <row r="35" spans="1:8" s="3" customFormat="1">
      <c r="A35" s="39" t="s">
        <v>107</v>
      </c>
      <c r="B35" s="40" t="s">
        <v>30</v>
      </c>
      <c r="C35" s="41" t="s">
        <v>49</v>
      </c>
      <c r="D35" s="36">
        <v>500000</v>
      </c>
      <c r="E35" s="42">
        <v>533.22</v>
      </c>
      <c r="F35" s="43">
        <v>7.88523E-3</v>
      </c>
      <c r="G35" s="108">
        <v>5.4800000000000001E-2</v>
      </c>
      <c r="H35" s="44" t="s">
        <v>32</v>
      </c>
    </row>
    <row r="36" spans="1:8" s="3" customFormat="1">
      <c r="A36" s="39" t="s">
        <v>108</v>
      </c>
      <c r="B36" s="40" t="s">
        <v>26</v>
      </c>
      <c r="C36" s="41" t="s">
        <v>48</v>
      </c>
      <c r="D36" s="36">
        <v>500000</v>
      </c>
      <c r="E36" s="42">
        <v>520.30999999999995</v>
      </c>
      <c r="F36" s="43">
        <v>7.6944100000000005E-3</v>
      </c>
      <c r="G36" s="108">
        <v>8.1403000000000003E-2</v>
      </c>
      <c r="H36" s="44">
        <v>7.2233856307499997E-2</v>
      </c>
    </row>
    <row r="37" spans="1:8" s="3" customFormat="1">
      <c r="A37" s="53"/>
      <c r="B37" s="41"/>
      <c r="C37" s="41"/>
      <c r="D37" s="36"/>
      <c r="E37" s="42"/>
      <c r="F37" s="43"/>
      <c r="G37" s="108"/>
      <c r="H37" s="44"/>
    </row>
    <row r="38" spans="1:8" s="3" customFormat="1" ht="15" customHeight="1">
      <c r="A38" s="54" t="s">
        <v>12</v>
      </c>
      <c r="B38" s="55"/>
      <c r="C38" s="55"/>
      <c r="D38" s="36"/>
      <c r="E38" s="48">
        <f>SUM(E17:E37)</f>
        <v>53465.119999999995</v>
      </c>
      <c r="F38" s="49">
        <f>SUM(F17:F37)</f>
        <v>0.79064696000000001</v>
      </c>
      <c r="G38" s="109"/>
      <c r="H38" s="50"/>
    </row>
    <row r="39" spans="1:8" s="3" customFormat="1" ht="15" customHeight="1">
      <c r="A39" s="54"/>
      <c r="B39" s="55"/>
      <c r="C39" s="55"/>
      <c r="D39" s="36"/>
      <c r="E39" s="48"/>
      <c r="F39" s="49"/>
      <c r="G39" s="109"/>
      <c r="H39" s="50"/>
    </row>
    <row r="40" spans="1:8" s="3" customFormat="1" ht="15" customHeight="1">
      <c r="A40" s="54" t="s">
        <v>51</v>
      </c>
      <c r="B40" s="55"/>
      <c r="C40" s="55"/>
      <c r="D40" s="36"/>
      <c r="E40" s="95" t="s">
        <v>54</v>
      </c>
      <c r="F40" s="95" t="s">
        <v>54</v>
      </c>
      <c r="G40" s="109"/>
      <c r="H40" s="50"/>
    </row>
    <row r="41" spans="1:8" s="3" customFormat="1" ht="15" customHeight="1">
      <c r="A41" s="54" t="s">
        <v>52</v>
      </c>
      <c r="B41" s="55"/>
      <c r="C41" s="55"/>
      <c r="D41" s="36"/>
      <c r="E41" s="95" t="s">
        <v>54</v>
      </c>
      <c r="F41" s="95" t="s">
        <v>54</v>
      </c>
      <c r="G41" s="109"/>
      <c r="H41" s="50"/>
    </row>
    <row r="42" spans="1:8" s="3" customFormat="1" ht="15" customHeight="1">
      <c r="A42" s="54" t="s">
        <v>53</v>
      </c>
      <c r="B42" s="55"/>
      <c r="C42" s="55"/>
      <c r="D42" s="36"/>
      <c r="E42" s="95" t="s">
        <v>54</v>
      </c>
      <c r="F42" s="95" t="s">
        <v>54</v>
      </c>
      <c r="G42" s="109"/>
      <c r="H42" s="50"/>
    </row>
    <row r="43" spans="1:8" s="3" customFormat="1" ht="15" customHeight="1">
      <c r="A43" s="54" t="s">
        <v>52</v>
      </c>
      <c r="B43" s="55"/>
      <c r="C43" s="55"/>
      <c r="D43" s="36"/>
      <c r="E43" s="95" t="s">
        <v>54</v>
      </c>
      <c r="F43" s="95" t="s">
        <v>54</v>
      </c>
      <c r="G43" s="109"/>
      <c r="H43" s="50"/>
    </row>
    <row r="44" spans="1:8" s="3" customFormat="1" ht="15" customHeight="1">
      <c r="A44" s="54"/>
      <c r="B44" s="55"/>
      <c r="C44" s="55"/>
      <c r="D44" s="36"/>
      <c r="E44" s="48"/>
      <c r="F44" s="49"/>
      <c r="G44" s="109"/>
      <c r="H44" s="50"/>
    </row>
    <row r="45" spans="1:8" s="3" customFormat="1" ht="15" customHeight="1">
      <c r="A45" s="54" t="s">
        <v>31</v>
      </c>
      <c r="B45" s="55"/>
      <c r="C45" s="55"/>
      <c r="D45" s="36"/>
      <c r="E45" s="56">
        <f>E38+E14</f>
        <v>63594.569999999992</v>
      </c>
      <c r="F45" s="49">
        <f>F38+F14</f>
        <v>0.94044207999999996</v>
      </c>
      <c r="G45" s="109"/>
      <c r="H45" s="50"/>
    </row>
    <row r="46" spans="1:8" s="3" customFormat="1">
      <c r="A46" s="26"/>
      <c r="B46" s="27"/>
      <c r="C46" s="28"/>
      <c r="D46" s="36"/>
      <c r="E46" s="30"/>
      <c r="F46" s="31"/>
      <c r="G46" s="106"/>
      <c r="H46" s="32"/>
    </row>
    <row r="47" spans="1:8" s="3" customFormat="1">
      <c r="A47" s="54" t="s">
        <v>55</v>
      </c>
      <c r="B47" s="55"/>
      <c r="C47" s="47"/>
      <c r="D47" s="36"/>
      <c r="E47" s="95" t="s">
        <v>54</v>
      </c>
      <c r="F47" s="95" t="s">
        <v>54</v>
      </c>
      <c r="G47" s="110"/>
      <c r="H47" s="58"/>
    </row>
    <row r="48" spans="1:8" s="4" customFormat="1" ht="13">
      <c r="A48" s="54" t="s">
        <v>52</v>
      </c>
      <c r="B48" s="55"/>
      <c r="C48" s="55" t="s">
        <v>32</v>
      </c>
      <c r="D48" s="36"/>
      <c r="E48" s="95" t="s">
        <v>54</v>
      </c>
      <c r="F48" s="95" t="s">
        <v>54</v>
      </c>
      <c r="G48" s="109"/>
      <c r="H48" s="50"/>
    </row>
    <row r="49" spans="1:10" s="4" customFormat="1" ht="13">
      <c r="A49" s="54"/>
      <c r="B49" s="55"/>
      <c r="C49" s="55"/>
      <c r="D49" s="36"/>
      <c r="E49" s="56"/>
      <c r="F49" s="56"/>
      <c r="G49" s="109"/>
      <c r="H49" s="50"/>
    </row>
    <row r="50" spans="1:10" s="3" customFormat="1">
      <c r="A50" s="54" t="s">
        <v>31</v>
      </c>
      <c r="B50" s="55"/>
      <c r="C50" s="55"/>
      <c r="D50" s="59"/>
      <c r="E50" s="95" t="s">
        <v>54</v>
      </c>
      <c r="F50" s="95" t="s">
        <v>54</v>
      </c>
      <c r="G50" s="109"/>
      <c r="H50" s="50"/>
    </row>
    <row r="51" spans="1:10" s="3" customFormat="1">
      <c r="A51" s="54"/>
      <c r="B51" s="55"/>
      <c r="C51" s="55" t="s">
        <v>33</v>
      </c>
      <c r="D51" s="60"/>
      <c r="E51" s="56"/>
      <c r="F51" s="61"/>
      <c r="G51" s="111"/>
      <c r="H51" s="62"/>
    </row>
    <row r="52" spans="1:10" s="3" customFormat="1" ht="14.25" customHeight="1">
      <c r="A52" s="54" t="s">
        <v>34</v>
      </c>
      <c r="B52" s="55"/>
      <c r="C52" s="55"/>
      <c r="D52" s="60"/>
      <c r="E52" s="42">
        <v>2104.79</v>
      </c>
      <c r="F52" s="63">
        <v>3.1125770000000001E-2</v>
      </c>
      <c r="G52" s="112"/>
      <c r="H52" s="64"/>
    </row>
    <row r="53" spans="1:10" s="3" customFormat="1" ht="14.25" customHeight="1">
      <c r="A53" s="54" t="s">
        <v>31</v>
      </c>
      <c r="B53" s="55"/>
      <c r="C53" s="55"/>
      <c r="D53" s="59"/>
      <c r="E53" s="52">
        <v>2104.79</v>
      </c>
      <c r="F53" s="96">
        <v>3.1125770000000001E-2</v>
      </c>
      <c r="G53" s="113"/>
      <c r="H53" s="50"/>
    </row>
    <row r="54" spans="1:10" s="3" customFormat="1" ht="14.25" customHeight="1" thickBot="1">
      <c r="A54" s="65" t="s">
        <v>35</v>
      </c>
      <c r="B54" s="66"/>
      <c r="C54" s="67"/>
      <c r="D54" s="68"/>
      <c r="E54" s="69">
        <v>1922.632005800021</v>
      </c>
      <c r="F54" s="70">
        <v>2.8432150000000041E-2</v>
      </c>
      <c r="G54" s="114"/>
      <c r="H54" s="71"/>
    </row>
    <row r="55" spans="1:10" s="3" customFormat="1" ht="14.25" customHeight="1" thickBot="1">
      <c r="A55" s="72" t="s">
        <v>36</v>
      </c>
      <c r="B55" s="73"/>
      <c r="C55" s="74"/>
      <c r="D55" s="75"/>
      <c r="E55" s="76">
        <v>67621.992005800013</v>
      </c>
      <c r="F55" s="77">
        <v>1</v>
      </c>
      <c r="G55" s="115"/>
      <c r="H55" s="78"/>
    </row>
    <row r="56" spans="1:10" s="3" customFormat="1" ht="14.25" customHeight="1">
      <c r="A56" s="79"/>
      <c r="B56" s="80"/>
      <c r="C56" s="81"/>
      <c r="D56" s="82"/>
      <c r="E56" s="83"/>
      <c r="F56" s="83"/>
      <c r="G56" s="83"/>
      <c r="H56" s="84"/>
    </row>
    <row r="57" spans="1:10" s="3" customFormat="1" ht="14.25" customHeight="1">
      <c r="A57" s="85" t="s">
        <v>70</v>
      </c>
      <c r="B57" s="80"/>
      <c r="C57" s="81"/>
      <c r="D57" s="82"/>
      <c r="E57" s="83"/>
      <c r="F57" s="83"/>
      <c r="G57" s="83"/>
      <c r="H57" s="84"/>
    </row>
    <row r="58" spans="1:10" s="3" customFormat="1" ht="14.25" customHeight="1">
      <c r="A58" s="123" t="s">
        <v>69</v>
      </c>
      <c r="B58" s="80"/>
      <c r="C58" s="81"/>
      <c r="D58" s="82"/>
      <c r="E58" s="83"/>
      <c r="F58" s="83"/>
      <c r="G58" s="83"/>
      <c r="H58" s="84"/>
    </row>
    <row r="59" spans="1:10" s="3" customFormat="1" ht="14.25" customHeight="1">
      <c r="A59" s="123"/>
      <c r="B59" s="80"/>
      <c r="C59" s="81"/>
      <c r="D59" s="82"/>
      <c r="E59" s="83"/>
      <c r="F59" s="83"/>
      <c r="G59" s="83"/>
      <c r="H59" s="84"/>
    </row>
    <row r="60" spans="1:10" s="3" customFormat="1" ht="14.25" customHeight="1">
      <c r="A60" s="85" t="s">
        <v>37</v>
      </c>
      <c r="B60" s="86"/>
      <c r="C60" s="183"/>
      <c r="D60" s="183"/>
      <c r="E60" s="183"/>
      <c r="F60" s="183"/>
      <c r="G60" s="183"/>
      <c r="H60" s="184"/>
    </row>
    <row r="61" spans="1:10" s="2" customFormat="1" ht="14.25" customHeight="1">
      <c r="A61" s="185" t="s">
        <v>117</v>
      </c>
      <c r="B61" s="186"/>
      <c r="C61" s="186"/>
      <c r="D61" s="186"/>
      <c r="E61" s="186"/>
      <c r="F61" s="186"/>
      <c r="G61" s="186"/>
      <c r="H61" s="187"/>
    </row>
    <row r="62" spans="1:10" s="2" customFormat="1" ht="14.25" customHeight="1" thickBot="1">
      <c r="A62" s="79" t="s">
        <v>139</v>
      </c>
      <c r="B62" s="80"/>
      <c r="C62" s="183"/>
      <c r="D62" s="183"/>
      <c r="E62" s="183"/>
      <c r="F62" s="183"/>
      <c r="G62" s="183"/>
      <c r="H62" s="184"/>
    </row>
    <row r="63" spans="1:10" s="2" customFormat="1" ht="14.25" customHeight="1" thickBot="1">
      <c r="A63" s="192" t="s">
        <v>38</v>
      </c>
      <c r="B63" s="193"/>
      <c r="C63" s="193"/>
      <c r="D63" s="194"/>
      <c r="E63" s="190" t="s">
        <v>124</v>
      </c>
      <c r="F63" s="191"/>
      <c r="G63" s="188" t="s">
        <v>94</v>
      </c>
      <c r="H63" s="189"/>
      <c r="J63" s="8"/>
    </row>
    <row r="64" spans="1:10" s="2" customFormat="1" ht="14.25" customHeight="1">
      <c r="A64" s="170" t="s">
        <v>39</v>
      </c>
      <c r="B64" s="171"/>
      <c r="C64" s="171"/>
      <c r="D64" s="172"/>
      <c r="E64" s="195">
        <f>I64</f>
        <v>1024.3432</v>
      </c>
      <c r="F64" s="199"/>
      <c r="G64" s="195">
        <v>1016.6177</v>
      </c>
      <c r="H64" s="196"/>
      <c r="I64" s="128">
        <v>1024.3432</v>
      </c>
      <c r="J64" s="139" t="s">
        <v>125</v>
      </c>
    </row>
    <row r="65" spans="1:10" s="2" customFormat="1" ht="14.25" customHeight="1">
      <c r="A65" s="149" t="s">
        <v>86</v>
      </c>
      <c r="B65" s="150"/>
      <c r="C65" s="150"/>
      <c r="D65" s="151"/>
      <c r="E65" s="195">
        <f t="shared" ref="E65:E75" si="0">I65</f>
        <v>1024.3969</v>
      </c>
      <c r="F65" s="199"/>
      <c r="G65" s="197">
        <v>1016.5859</v>
      </c>
      <c r="H65" s="198"/>
      <c r="I65" s="128">
        <v>1024.3969</v>
      </c>
      <c r="J65" s="139" t="s">
        <v>126</v>
      </c>
    </row>
    <row r="66" spans="1:10" s="3" customFormat="1" ht="14.25" customHeight="1">
      <c r="A66" s="149" t="s">
        <v>87</v>
      </c>
      <c r="B66" s="150"/>
      <c r="C66" s="150"/>
      <c r="D66" s="151"/>
      <c r="E66" s="195">
        <f t="shared" si="0"/>
        <v>1015.0238000000001</v>
      </c>
      <c r="F66" s="199"/>
      <c r="G66" s="197">
        <v>1009.6446</v>
      </c>
      <c r="H66" s="198"/>
      <c r="I66" s="128">
        <v>1015.0238000000001</v>
      </c>
      <c r="J66" s="139" t="s">
        <v>127</v>
      </c>
    </row>
    <row r="67" spans="1:10" s="2" customFormat="1" ht="14.25" customHeight="1">
      <c r="A67" s="149" t="s">
        <v>88</v>
      </c>
      <c r="B67" s="150"/>
      <c r="C67" s="150"/>
      <c r="D67" s="151"/>
      <c r="E67" s="195">
        <f t="shared" si="0"/>
        <v>1013.2782999999999</v>
      </c>
      <c r="F67" s="199"/>
      <c r="G67" s="197">
        <v>1008.2804</v>
      </c>
      <c r="H67" s="198"/>
      <c r="I67" s="128">
        <v>1013.2782999999999</v>
      </c>
      <c r="J67" s="140" t="s">
        <v>128</v>
      </c>
    </row>
    <row r="68" spans="1:10" s="2" customFormat="1" ht="14.25" customHeight="1">
      <c r="A68" s="149" t="s">
        <v>89</v>
      </c>
      <c r="B68" s="150"/>
      <c r="C68" s="150"/>
      <c r="D68" s="151"/>
      <c r="E68" s="195">
        <f t="shared" si="0"/>
        <v>1024.1369999999999</v>
      </c>
      <c r="F68" s="199"/>
      <c r="G68" s="197">
        <v>1016.419</v>
      </c>
      <c r="H68" s="198"/>
      <c r="I68" s="128">
        <v>1024.1369999999999</v>
      </c>
      <c r="J68" s="140" t="s">
        <v>129</v>
      </c>
    </row>
    <row r="69" spans="1:10" s="2" customFormat="1" ht="14.25" customHeight="1">
      <c r="A69" s="149" t="s">
        <v>137</v>
      </c>
      <c r="B69" s="150"/>
      <c r="C69" s="150"/>
      <c r="D69" s="151"/>
      <c r="E69" s="195">
        <f t="shared" si="0"/>
        <v>1024.357</v>
      </c>
      <c r="F69" s="199"/>
      <c r="G69" s="197">
        <v>1016.6212</v>
      </c>
      <c r="H69" s="198"/>
      <c r="I69" s="128">
        <v>1024.357</v>
      </c>
      <c r="J69" s="140" t="s">
        <v>130</v>
      </c>
    </row>
    <row r="70" spans="1:10" s="2" customFormat="1" ht="14.25" customHeight="1">
      <c r="A70" s="149" t="s">
        <v>40</v>
      </c>
      <c r="B70" s="150"/>
      <c r="C70" s="150"/>
      <c r="D70" s="151"/>
      <c r="E70" s="195">
        <f t="shared" si="0"/>
        <v>1026.8844999999999</v>
      </c>
      <c r="F70" s="199"/>
      <c r="G70" s="197">
        <v>1018.7112</v>
      </c>
      <c r="H70" s="198"/>
      <c r="I70" s="128">
        <v>1026.8844999999999</v>
      </c>
      <c r="J70" s="140" t="s">
        <v>131</v>
      </c>
    </row>
    <row r="71" spans="1:10" s="2" customFormat="1" ht="14.25" customHeight="1">
      <c r="A71" s="149" t="s">
        <v>90</v>
      </c>
      <c r="B71" s="150"/>
      <c r="C71" s="150"/>
      <c r="D71" s="151"/>
      <c r="E71" s="195">
        <f t="shared" si="0"/>
        <v>1027.3447000000001</v>
      </c>
      <c r="F71" s="199"/>
      <c r="G71" s="197">
        <v>1019.0862</v>
      </c>
      <c r="H71" s="198"/>
      <c r="I71" s="128">
        <v>1027.3447000000001</v>
      </c>
      <c r="J71" s="140" t="s">
        <v>132</v>
      </c>
    </row>
    <row r="72" spans="1:10" s="2" customFormat="1" ht="14.25" customHeight="1">
      <c r="A72" s="149" t="s">
        <v>91</v>
      </c>
      <c r="B72" s="150"/>
      <c r="C72" s="150"/>
      <c r="D72" s="151"/>
      <c r="E72" s="195">
        <f t="shared" si="0"/>
        <v>1016.3515</v>
      </c>
      <c r="F72" s="199"/>
      <c r="G72" s="197">
        <v>1011.0021</v>
      </c>
      <c r="H72" s="198"/>
      <c r="I72" s="128">
        <v>1016.3515</v>
      </c>
      <c r="J72" s="140" t="s">
        <v>133</v>
      </c>
    </row>
    <row r="73" spans="1:10" s="3" customFormat="1" ht="14.25" customHeight="1">
      <c r="A73" s="149" t="s">
        <v>92</v>
      </c>
      <c r="B73" s="150"/>
      <c r="C73" s="150"/>
      <c r="D73" s="151"/>
      <c r="E73" s="195">
        <f t="shared" si="0"/>
        <v>1015.6181</v>
      </c>
      <c r="F73" s="199"/>
      <c r="G73" s="197">
        <v>1010.3209000000001</v>
      </c>
      <c r="H73" s="198"/>
      <c r="I73" s="128">
        <v>1015.6181</v>
      </c>
      <c r="J73" s="140" t="s">
        <v>134</v>
      </c>
    </row>
    <row r="74" spans="1:10" s="2" customFormat="1" ht="14.25" customHeight="1">
      <c r="A74" s="149" t="s">
        <v>93</v>
      </c>
      <c r="B74" s="150"/>
      <c r="C74" s="150"/>
      <c r="D74" s="151"/>
      <c r="E74" s="195">
        <f t="shared" si="0"/>
        <v>1026.9018000000001</v>
      </c>
      <c r="F74" s="199"/>
      <c r="G74" s="197">
        <v>1018.7263</v>
      </c>
      <c r="H74" s="198"/>
      <c r="I74" s="128">
        <v>1026.9018000000001</v>
      </c>
      <c r="J74" s="140" t="s">
        <v>135</v>
      </c>
    </row>
    <row r="75" spans="1:10" s="2" customFormat="1" ht="14.25" customHeight="1" thickBot="1">
      <c r="A75" s="152" t="s">
        <v>138</v>
      </c>
      <c r="B75" s="153"/>
      <c r="C75" s="153"/>
      <c r="D75" s="154"/>
      <c r="E75" s="202">
        <f t="shared" si="0"/>
        <v>1026.8883000000001</v>
      </c>
      <c r="F75" s="204"/>
      <c r="G75" s="202">
        <v>1018.7139</v>
      </c>
      <c r="H75" s="203"/>
      <c r="I75" s="128">
        <v>1026.8883000000001</v>
      </c>
      <c r="J75" s="140" t="s">
        <v>136</v>
      </c>
    </row>
    <row r="76" spans="1:10" s="3" customFormat="1" ht="14.25" customHeight="1">
      <c r="A76" s="87"/>
      <c r="B76" s="88"/>
      <c r="C76" s="89"/>
      <c r="D76" s="89"/>
      <c r="E76" s="89"/>
      <c r="F76" s="89"/>
      <c r="G76" s="89"/>
      <c r="H76" s="90"/>
    </row>
    <row r="77" spans="1:10" s="3" customFormat="1" ht="14.25" customHeight="1" thickBot="1">
      <c r="A77" s="79" t="s">
        <v>118</v>
      </c>
      <c r="B77" s="80"/>
      <c r="C77" s="200"/>
      <c r="D77" s="200"/>
      <c r="E77" s="200"/>
      <c r="F77" s="200"/>
      <c r="G77" s="200"/>
      <c r="H77" s="201"/>
    </row>
    <row r="78" spans="1:10" s="3" customFormat="1" ht="14.25" customHeight="1" thickBot="1">
      <c r="A78" s="159" t="s">
        <v>41</v>
      </c>
      <c r="B78" s="160"/>
      <c r="C78" s="160"/>
      <c r="D78" s="161"/>
      <c r="E78" s="157" t="s">
        <v>42</v>
      </c>
      <c r="F78" s="158"/>
      <c r="G78" s="157" t="s">
        <v>43</v>
      </c>
      <c r="H78" s="167"/>
    </row>
    <row r="79" spans="1:10" s="3" customFormat="1" ht="14.25" customHeight="1">
      <c r="A79" s="162" t="s">
        <v>86</v>
      </c>
      <c r="B79" s="163"/>
      <c r="C79" s="163"/>
      <c r="D79" s="164"/>
      <c r="E79" s="155"/>
      <c r="F79" s="156"/>
      <c r="G79" s="155"/>
      <c r="H79" s="168"/>
    </row>
    <row r="80" spans="1:10" s="5" customFormat="1" ht="14.25" customHeight="1">
      <c r="A80" s="149" t="s">
        <v>87</v>
      </c>
      <c r="B80" s="150"/>
      <c r="C80" s="150"/>
      <c r="D80" s="151"/>
      <c r="E80" s="165">
        <v>2.8</v>
      </c>
      <c r="F80" s="166"/>
      <c r="G80" s="165">
        <v>2.8</v>
      </c>
      <c r="H80" s="169"/>
    </row>
    <row r="81" spans="1:8" s="5" customFormat="1" ht="14.25" customHeight="1">
      <c r="A81" s="149" t="s">
        <v>88</v>
      </c>
      <c r="B81" s="150"/>
      <c r="C81" s="150"/>
      <c r="D81" s="151"/>
      <c r="E81" s="165">
        <v>2.8</v>
      </c>
      <c r="F81" s="166"/>
      <c r="G81" s="165">
        <v>2.8</v>
      </c>
      <c r="H81" s="169"/>
    </row>
    <row r="82" spans="1:8" s="3" customFormat="1" ht="14.25" customHeight="1">
      <c r="A82" s="149" t="s">
        <v>89</v>
      </c>
      <c r="B82" s="150"/>
      <c r="C82" s="150"/>
      <c r="D82" s="151"/>
      <c r="E82" s="165"/>
      <c r="F82" s="166"/>
      <c r="G82" s="165"/>
      <c r="H82" s="169"/>
    </row>
    <row r="83" spans="1:8" s="5" customFormat="1" ht="14.25" customHeight="1">
      <c r="A83" s="149" t="s">
        <v>137</v>
      </c>
      <c r="B83" s="150"/>
      <c r="C83" s="150"/>
      <c r="D83" s="151"/>
      <c r="E83" s="165"/>
      <c r="F83" s="166"/>
      <c r="G83" s="165"/>
      <c r="H83" s="169"/>
    </row>
    <row r="84" spans="1:8" s="5" customFormat="1" ht="14.25" customHeight="1">
      <c r="A84" s="149" t="s">
        <v>90</v>
      </c>
      <c r="B84" s="150"/>
      <c r="C84" s="150"/>
      <c r="D84" s="151"/>
      <c r="E84" s="165"/>
      <c r="F84" s="166"/>
      <c r="G84" s="165"/>
      <c r="H84" s="169"/>
    </row>
    <row r="85" spans="1:8" s="5" customFormat="1" ht="14.25" customHeight="1">
      <c r="A85" s="149" t="s">
        <v>91</v>
      </c>
      <c r="B85" s="150"/>
      <c r="C85" s="150"/>
      <c r="D85" s="151"/>
      <c r="E85" s="165">
        <v>2.8</v>
      </c>
      <c r="F85" s="166"/>
      <c r="G85" s="165">
        <v>2.8</v>
      </c>
      <c r="H85" s="169"/>
    </row>
    <row r="86" spans="1:8" s="5" customFormat="1" ht="14.25" customHeight="1">
      <c r="A86" s="149" t="s">
        <v>92</v>
      </c>
      <c r="B86" s="150"/>
      <c r="C86" s="150"/>
      <c r="D86" s="151"/>
      <c r="E86" s="165">
        <v>2.8</v>
      </c>
      <c r="F86" s="166"/>
      <c r="G86" s="165">
        <v>2.8</v>
      </c>
      <c r="H86" s="169"/>
    </row>
    <row r="87" spans="1:8" s="5" customFormat="1" ht="14.25" customHeight="1">
      <c r="A87" s="149" t="s">
        <v>93</v>
      </c>
      <c r="B87" s="150"/>
      <c r="C87" s="150"/>
      <c r="D87" s="151"/>
      <c r="E87" s="165"/>
      <c r="F87" s="166"/>
      <c r="G87" s="165"/>
      <c r="H87" s="169"/>
    </row>
    <row r="88" spans="1:8" s="5" customFormat="1" ht="14.25" customHeight="1" thickBot="1">
      <c r="A88" s="152" t="s">
        <v>138</v>
      </c>
      <c r="B88" s="153"/>
      <c r="C88" s="153"/>
      <c r="D88" s="154"/>
      <c r="E88" s="205"/>
      <c r="F88" s="207"/>
      <c r="G88" s="205"/>
      <c r="H88" s="206"/>
    </row>
    <row r="89" spans="1:8" ht="14.25" customHeight="1">
      <c r="A89" s="79" t="s">
        <v>122</v>
      </c>
      <c r="B89" s="80"/>
      <c r="C89" s="80"/>
      <c r="D89" s="80"/>
      <c r="E89" s="80"/>
      <c r="F89" s="80"/>
      <c r="G89" s="80"/>
      <c r="H89" s="91"/>
    </row>
    <row r="90" spans="1:8" ht="14.25" customHeight="1">
      <c r="A90" s="79" t="s">
        <v>119</v>
      </c>
      <c r="B90" s="80"/>
      <c r="C90" s="80"/>
      <c r="D90" s="80"/>
      <c r="E90" s="80"/>
      <c r="F90" s="80"/>
      <c r="G90" s="80"/>
      <c r="H90" s="91"/>
    </row>
    <row r="91" spans="1:8" ht="14.25" customHeight="1">
      <c r="A91" s="79" t="s">
        <v>120</v>
      </c>
      <c r="B91" s="80"/>
      <c r="C91" s="80"/>
      <c r="D91" s="80"/>
      <c r="E91" s="80"/>
      <c r="F91" s="80"/>
      <c r="G91" s="80"/>
      <c r="H91" s="91"/>
    </row>
    <row r="92" spans="1:8" ht="14.25" customHeight="1">
      <c r="A92" s="79" t="s">
        <v>123</v>
      </c>
      <c r="B92" s="80"/>
      <c r="C92" s="80"/>
      <c r="D92" s="80"/>
      <c r="E92" s="80"/>
      <c r="F92" s="80"/>
      <c r="G92" s="80"/>
      <c r="H92" s="91"/>
    </row>
    <row r="93" spans="1:8" ht="14.25" customHeight="1">
      <c r="A93" s="79" t="s">
        <v>121</v>
      </c>
      <c r="B93" s="80"/>
      <c r="C93" s="80"/>
      <c r="D93" s="80"/>
      <c r="E93" s="80"/>
      <c r="F93" s="80"/>
      <c r="G93" s="80"/>
      <c r="H93" s="91"/>
    </row>
    <row r="94" spans="1:8" s="5" customFormat="1" ht="14.25" customHeight="1">
      <c r="A94" s="79" t="s">
        <v>140</v>
      </c>
      <c r="B94" s="80"/>
      <c r="C94" s="80"/>
      <c r="D94" s="80"/>
      <c r="E94" s="80"/>
      <c r="F94" s="80"/>
      <c r="G94" s="80"/>
      <c r="H94" s="91"/>
    </row>
    <row r="95" spans="1:8" s="5" customFormat="1" ht="14.25" customHeight="1">
      <c r="A95" s="79" t="s">
        <v>56</v>
      </c>
      <c r="B95" s="80"/>
      <c r="C95" s="80"/>
      <c r="D95" s="80"/>
      <c r="E95" s="80"/>
      <c r="F95" s="80"/>
      <c r="G95" s="80"/>
      <c r="H95" s="91"/>
    </row>
    <row r="96" spans="1:8" s="5" customFormat="1" ht="14.25" customHeight="1">
      <c r="A96" s="79" t="s">
        <v>57</v>
      </c>
      <c r="B96" s="80"/>
      <c r="C96" s="80"/>
      <c r="D96" s="80"/>
      <c r="E96" s="80"/>
      <c r="F96" s="80"/>
      <c r="G96" s="80"/>
      <c r="H96" s="91"/>
    </row>
    <row r="97" spans="1:8" s="5" customFormat="1" ht="14.25" customHeight="1">
      <c r="A97" s="79" t="s">
        <v>58</v>
      </c>
      <c r="B97" s="80"/>
      <c r="C97" s="80"/>
      <c r="D97" s="80"/>
      <c r="E97" s="80"/>
      <c r="F97" s="80"/>
      <c r="G97" s="80"/>
      <c r="H97" s="91"/>
    </row>
    <row r="98" spans="1:8" s="5" customFormat="1" ht="14.25" customHeight="1" thickBot="1">
      <c r="A98" s="92"/>
      <c r="B98" s="93"/>
      <c r="C98" s="93"/>
      <c r="D98" s="93"/>
      <c r="E98" s="93"/>
      <c r="F98" s="93"/>
      <c r="G98" s="93"/>
      <c r="H98" s="94"/>
    </row>
    <row r="99" spans="1:8" s="5" customFormat="1" ht="12.5" customHeight="1">
      <c r="A99" s="3"/>
      <c r="B99" s="3"/>
      <c r="C99" s="3"/>
      <c r="D99" s="3"/>
      <c r="E99" s="3"/>
      <c r="F99" s="3"/>
      <c r="G99" s="3"/>
      <c r="H99" s="6"/>
    </row>
    <row r="100" spans="1:8" s="5" customFormat="1" ht="12.5" customHeight="1">
      <c r="A100" s="3"/>
      <c r="B100" s="3"/>
      <c r="C100" s="3"/>
      <c r="D100" s="3"/>
      <c r="E100" s="3"/>
      <c r="F100" s="3"/>
      <c r="G100" s="3"/>
      <c r="H100" s="6"/>
    </row>
    <row r="102" spans="1:8" ht="14.5">
      <c r="A102" s="144" t="s">
        <v>142</v>
      </c>
      <c r="B102" s="145" t="s">
        <v>144</v>
      </c>
    </row>
    <row r="103" spans="1:8" ht="14.5">
      <c r="A103" s="144" t="s">
        <v>145</v>
      </c>
      <c r="B103" s="145" t="s">
        <v>146</v>
      </c>
    </row>
    <row r="104" spans="1:8" ht="14.5">
      <c r="A104" s="144" t="s">
        <v>147</v>
      </c>
      <c r="B104" s="146">
        <v>5.5899999999999998E-2</v>
      </c>
    </row>
    <row r="105" spans="1:8" ht="14.5">
      <c r="A105" s="144" t="s">
        <v>148</v>
      </c>
      <c r="B105" s="145" t="s">
        <v>149</v>
      </c>
    </row>
    <row r="106" spans="1:8" ht="14.5">
      <c r="A106" s="147" t="s">
        <v>150</v>
      </c>
      <c r="B106" s="148" t="s">
        <v>151</v>
      </c>
    </row>
    <row r="107" spans="1:8" ht="14.5">
      <c r="A107" s="147" t="s">
        <v>152</v>
      </c>
      <c r="B107" s="148" t="s">
        <v>153</v>
      </c>
    </row>
    <row r="108" spans="1:8" ht="14.5">
      <c r="A108" s="147" t="s">
        <v>154</v>
      </c>
      <c r="B108" s="146">
        <v>5.3800000000000001E-2</v>
      </c>
    </row>
  </sheetData>
  <mergeCells count="83">
    <mergeCell ref="G86:H86"/>
    <mergeCell ref="G87:H87"/>
    <mergeCell ref="G88:H88"/>
    <mergeCell ref="E88:F88"/>
    <mergeCell ref="E87:F87"/>
    <mergeCell ref="E86:F86"/>
    <mergeCell ref="G84:H84"/>
    <mergeCell ref="G85:H85"/>
    <mergeCell ref="E85:F85"/>
    <mergeCell ref="E84:F84"/>
    <mergeCell ref="A84:D84"/>
    <mergeCell ref="A85:D85"/>
    <mergeCell ref="G83:H83"/>
    <mergeCell ref="E83:F83"/>
    <mergeCell ref="E82:F82"/>
    <mergeCell ref="A82:D82"/>
    <mergeCell ref="A83:D83"/>
    <mergeCell ref="G73:H73"/>
    <mergeCell ref="E72:F72"/>
    <mergeCell ref="E73:F73"/>
    <mergeCell ref="C77:D77"/>
    <mergeCell ref="E77:H77"/>
    <mergeCell ref="G74:H74"/>
    <mergeCell ref="G75:H75"/>
    <mergeCell ref="E74:F74"/>
    <mergeCell ref="E75:F75"/>
    <mergeCell ref="A74:D74"/>
    <mergeCell ref="A75:D75"/>
    <mergeCell ref="G70:H70"/>
    <mergeCell ref="G71:H71"/>
    <mergeCell ref="E70:F70"/>
    <mergeCell ref="E71:F71"/>
    <mergeCell ref="G72:H72"/>
    <mergeCell ref="G67:H67"/>
    <mergeCell ref="E66:F66"/>
    <mergeCell ref="E67:F67"/>
    <mergeCell ref="G68:H68"/>
    <mergeCell ref="G69:H69"/>
    <mergeCell ref="E68:F68"/>
    <mergeCell ref="E69:F69"/>
    <mergeCell ref="G64:H64"/>
    <mergeCell ref="G65:H65"/>
    <mergeCell ref="E64:F64"/>
    <mergeCell ref="E65:F65"/>
    <mergeCell ref="G66:H66"/>
    <mergeCell ref="A61:H61"/>
    <mergeCell ref="C62:D62"/>
    <mergeCell ref="E62:H62"/>
    <mergeCell ref="G63:H63"/>
    <mergeCell ref="E63:F63"/>
    <mergeCell ref="A63:D63"/>
    <mergeCell ref="A1:H1"/>
    <mergeCell ref="A2:H2"/>
    <mergeCell ref="A4:H4"/>
    <mergeCell ref="A5:H5"/>
    <mergeCell ref="C60:D60"/>
    <mergeCell ref="E60:H60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G78:H78"/>
    <mergeCell ref="G79:H79"/>
    <mergeCell ref="G80:H80"/>
    <mergeCell ref="G81:H81"/>
    <mergeCell ref="G82:H82"/>
    <mergeCell ref="A87:D87"/>
    <mergeCell ref="A88:D88"/>
    <mergeCell ref="E79:F79"/>
    <mergeCell ref="E78:F78"/>
    <mergeCell ref="A78:D78"/>
    <mergeCell ref="A79:D79"/>
    <mergeCell ref="A80:D80"/>
    <mergeCell ref="E81:F81"/>
    <mergeCell ref="E80:F80"/>
    <mergeCell ref="A81:D81"/>
    <mergeCell ref="A86:D86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6"/>
  <sheetViews>
    <sheetView zoomScaleNormal="100" zoomScaleSheetLayoutView="90" workbookViewId="0">
      <pane ySplit="4" topLeftCell="A73" activePane="bottomLeft" state="frozen"/>
      <selection activeCell="A62" sqref="A62"/>
      <selection pane="bottomLeft" activeCell="C74" sqref="C74"/>
    </sheetView>
  </sheetViews>
  <sheetFormatPr defaultColWidth="9.1796875" defaultRowHeight="12.5"/>
  <cols>
    <col min="1" max="1" width="65.1796875" style="1" customWidth="1"/>
    <col min="2" max="2" width="20.26953125" style="1" customWidth="1"/>
    <col min="3" max="3" width="16.453125" style="1" customWidth="1"/>
    <col min="4" max="4" width="14.7265625" style="1" customWidth="1"/>
    <col min="5" max="5" width="15.81640625" style="1" customWidth="1"/>
    <col min="6" max="6" width="16.26953125" style="1" customWidth="1"/>
    <col min="7" max="7" width="16.7265625" style="1" customWidth="1"/>
    <col min="8" max="8" width="15.81640625" style="7" customWidth="1"/>
    <col min="9" max="16384" width="9.1796875" style="1"/>
  </cols>
  <sheetData>
    <row r="1" spans="1:8" ht="13" thickBot="1">
      <c r="A1" s="173" t="s">
        <v>95</v>
      </c>
      <c r="B1" s="174"/>
      <c r="C1" s="174"/>
      <c r="D1" s="174"/>
      <c r="E1" s="174"/>
      <c r="F1" s="174"/>
      <c r="G1" s="174"/>
      <c r="H1" s="175"/>
    </row>
    <row r="2" spans="1:8">
      <c r="A2" s="173" t="s">
        <v>0</v>
      </c>
      <c r="B2" s="174"/>
      <c r="C2" s="174"/>
      <c r="D2" s="174"/>
      <c r="E2" s="174"/>
      <c r="F2" s="174"/>
      <c r="G2" s="174"/>
      <c r="H2" s="175"/>
    </row>
    <row r="3" spans="1:8" ht="13" thickBot="1">
      <c r="A3" s="9"/>
      <c r="B3" s="10"/>
      <c r="C3" s="11"/>
      <c r="D3" s="11"/>
      <c r="E3" s="11"/>
      <c r="F3" s="11"/>
      <c r="G3" s="11"/>
      <c r="H3" s="12"/>
    </row>
    <row r="4" spans="1:8" ht="39" customHeight="1" thickBot="1">
      <c r="A4" s="176" t="s">
        <v>59</v>
      </c>
      <c r="B4" s="177"/>
      <c r="C4" s="177"/>
      <c r="D4" s="177"/>
      <c r="E4" s="177"/>
      <c r="F4" s="177"/>
      <c r="G4" s="177"/>
      <c r="H4" s="178"/>
    </row>
    <row r="5" spans="1:8" s="2" customFormat="1" ht="13" thickBot="1">
      <c r="A5" s="179"/>
      <c r="B5" s="180"/>
      <c r="C5" s="180"/>
      <c r="D5" s="180"/>
      <c r="E5" s="180"/>
      <c r="F5" s="181"/>
      <c r="G5" s="181"/>
      <c r="H5" s="182"/>
    </row>
    <row r="6" spans="1:8" s="2" customFormat="1" ht="38" thickBot="1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21" t="s">
        <v>67</v>
      </c>
      <c r="H6" s="122" t="s">
        <v>68</v>
      </c>
    </row>
    <row r="7" spans="1:8" s="2" customFormat="1">
      <c r="A7" s="19" t="s">
        <v>8</v>
      </c>
      <c r="B7" s="20"/>
      <c r="C7" s="21"/>
      <c r="D7" s="22"/>
      <c r="E7" s="23"/>
      <c r="F7" s="24"/>
      <c r="G7" s="105"/>
      <c r="H7" s="25"/>
    </row>
    <row r="8" spans="1:8" s="3" customFormat="1">
      <c r="A8" s="26" t="s">
        <v>9</v>
      </c>
      <c r="B8" s="27"/>
      <c r="C8" s="28"/>
      <c r="D8" s="137"/>
      <c r="E8" s="95" t="s">
        <v>54</v>
      </c>
      <c r="F8" s="95" t="s">
        <v>54</v>
      </c>
      <c r="G8" s="106"/>
      <c r="H8" s="32"/>
    </row>
    <row r="9" spans="1:8" s="3" customFormat="1">
      <c r="A9" s="127" t="s">
        <v>52</v>
      </c>
      <c r="B9" s="40"/>
      <c r="C9" s="41"/>
      <c r="D9" s="36"/>
      <c r="E9" s="95" t="s">
        <v>54</v>
      </c>
      <c r="F9" s="95" t="s">
        <v>54</v>
      </c>
      <c r="G9" s="116"/>
      <c r="H9" s="44"/>
    </row>
    <row r="10" spans="1:8" s="3" customFormat="1">
      <c r="A10" s="118" t="s">
        <v>51</v>
      </c>
      <c r="B10" s="40"/>
      <c r="C10" s="41"/>
      <c r="D10" s="36"/>
      <c r="E10" s="95" t="s">
        <v>54</v>
      </c>
      <c r="F10" s="95" t="s">
        <v>54</v>
      </c>
      <c r="G10" s="108"/>
      <c r="H10" s="44"/>
    </row>
    <row r="11" spans="1:8" s="3" customFormat="1">
      <c r="A11" s="118" t="s">
        <v>52</v>
      </c>
      <c r="B11" s="40"/>
      <c r="C11" s="41"/>
      <c r="D11" s="36"/>
      <c r="E11" s="95" t="s">
        <v>54</v>
      </c>
      <c r="F11" s="95" t="s">
        <v>54</v>
      </c>
      <c r="G11" s="108"/>
      <c r="H11" s="44"/>
    </row>
    <row r="12" spans="1:8" s="3" customFormat="1">
      <c r="A12" s="118" t="s">
        <v>53</v>
      </c>
      <c r="B12" s="40"/>
      <c r="C12" s="41"/>
      <c r="D12" s="36"/>
      <c r="E12" s="95" t="s">
        <v>54</v>
      </c>
      <c r="F12" s="95" t="s">
        <v>54</v>
      </c>
      <c r="G12" s="108"/>
      <c r="H12" s="44"/>
    </row>
    <row r="13" spans="1:8" s="3" customFormat="1">
      <c r="A13" s="118" t="s">
        <v>52</v>
      </c>
      <c r="B13" s="40"/>
      <c r="C13" s="41"/>
      <c r="D13" s="36"/>
      <c r="E13" s="95" t="s">
        <v>54</v>
      </c>
      <c r="F13" s="95" t="s">
        <v>54</v>
      </c>
      <c r="G13" s="108"/>
      <c r="H13" s="44"/>
    </row>
    <row r="14" spans="1:8" s="3" customFormat="1" ht="15" customHeight="1">
      <c r="A14" s="54" t="s">
        <v>31</v>
      </c>
      <c r="B14" s="55"/>
      <c r="C14" s="55"/>
      <c r="D14" s="36"/>
      <c r="E14" s="56" t="str">
        <f>E9</f>
        <v>NIL</v>
      </c>
      <c r="F14" s="96" t="str">
        <f>F9</f>
        <v>NIL</v>
      </c>
      <c r="G14" s="113"/>
      <c r="H14" s="50"/>
    </row>
    <row r="15" spans="1:8" s="3" customFormat="1">
      <c r="A15" s="26"/>
      <c r="B15" s="27"/>
      <c r="C15" s="28"/>
      <c r="D15" s="36"/>
      <c r="E15" s="30"/>
      <c r="F15" s="31"/>
      <c r="G15" s="106"/>
      <c r="H15" s="32"/>
    </row>
    <row r="16" spans="1:8" s="3" customFormat="1">
      <c r="A16" s="127" t="s">
        <v>55</v>
      </c>
      <c r="B16" s="55"/>
      <c r="C16" s="47"/>
      <c r="D16" s="36"/>
      <c r="E16" s="95"/>
      <c r="F16" s="95"/>
      <c r="G16" s="110"/>
      <c r="H16" s="58"/>
    </row>
    <row r="17" spans="1:8" s="3" customFormat="1">
      <c r="A17" s="127" t="s">
        <v>64</v>
      </c>
      <c r="B17" s="55"/>
      <c r="C17" s="47"/>
      <c r="D17" s="36"/>
      <c r="E17" s="95"/>
      <c r="F17" s="57"/>
      <c r="G17" s="110"/>
      <c r="H17" s="58"/>
    </row>
    <row r="18" spans="1:8" s="3" customFormat="1">
      <c r="A18" s="39" t="s">
        <v>112</v>
      </c>
      <c r="B18" s="41" t="s">
        <v>109</v>
      </c>
      <c r="C18" s="98" t="s">
        <v>65</v>
      </c>
      <c r="D18" s="138">
        <v>2000000</v>
      </c>
      <c r="E18" s="124">
        <v>1993.27</v>
      </c>
      <c r="F18" s="125">
        <v>0.13807318999999998</v>
      </c>
      <c r="G18" s="126">
        <v>3.3295999999999999E-2</v>
      </c>
      <c r="H18" s="44" t="s">
        <v>32</v>
      </c>
    </row>
    <row r="19" spans="1:8" s="3" customFormat="1">
      <c r="A19" s="39" t="s">
        <v>113</v>
      </c>
      <c r="B19" s="41" t="s">
        <v>110</v>
      </c>
      <c r="C19" s="98" t="s">
        <v>65</v>
      </c>
      <c r="D19" s="138">
        <v>2000000</v>
      </c>
      <c r="E19" s="124">
        <v>1990.2</v>
      </c>
      <c r="F19" s="125">
        <v>0.13786012</v>
      </c>
      <c r="G19" s="126">
        <v>3.3300000000000003E-2</v>
      </c>
      <c r="H19" s="44" t="s">
        <v>32</v>
      </c>
    </row>
    <row r="20" spans="1:8" s="3" customFormat="1">
      <c r="A20" s="39" t="s">
        <v>114</v>
      </c>
      <c r="B20" s="41" t="s">
        <v>111</v>
      </c>
      <c r="C20" s="98" t="s">
        <v>65</v>
      </c>
      <c r="D20" s="138">
        <v>2000000</v>
      </c>
      <c r="E20" s="124">
        <v>1988.37</v>
      </c>
      <c r="F20" s="125">
        <v>0.13773391000000001</v>
      </c>
      <c r="G20" s="126">
        <v>3.6798999999999998E-2</v>
      </c>
      <c r="H20" s="44" t="s">
        <v>32</v>
      </c>
    </row>
    <row r="21" spans="1:8" s="3" customFormat="1">
      <c r="A21" s="39" t="s">
        <v>72</v>
      </c>
      <c r="B21" s="41" t="s">
        <v>71</v>
      </c>
      <c r="C21" s="98" t="s">
        <v>65</v>
      </c>
      <c r="D21" s="138">
        <v>1500000</v>
      </c>
      <c r="E21" s="124">
        <v>1498.9</v>
      </c>
      <c r="F21" s="125">
        <v>0.10382816</v>
      </c>
      <c r="G21" s="126">
        <v>3.3507000000000002E-2</v>
      </c>
      <c r="H21" s="44" t="s">
        <v>32</v>
      </c>
    </row>
    <row r="22" spans="1:8" s="3" customFormat="1">
      <c r="A22" s="39"/>
      <c r="B22" s="41"/>
      <c r="C22" s="98"/>
      <c r="D22" s="138"/>
      <c r="E22" s="124"/>
      <c r="F22" s="125"/>
      <c r="G22" s="126"/>
      <c r="H22" s="44"/>
    </row>
    <row r="23" spans="1:8" s="3" customFormat="1">
      <c r="A23" s="39"/>
      <c r="B23" s="41"/>
      <c r="C23" s="98"/>
      <c r="D23" s="138"/>
      <c r="E23" s="124"/>
      <c r="F23" s="125"/>
      <c r="G23" s="126"/>
      <c r="H23" s="44"/>
    </row>
    <row r="24" spans="1:8" s="3" customFormat="1">
      <c r="A24" s="118" t="s">
        <v>52</v>
      </c>
      <c r="B24" s="55"/>
      <c r="C24" s="47"/>
      <c r="D24" s="36"/>
      <c r="E24" s="95">
        <f>SUM(E18:E23)</f>
        <v>7470.74</v>
      </c>
      <c r="F24" s="97">
        <f>SUM(F18:F23)</f>
        <v>0.51749537999999995</v>
      </c>
      <c r="G24" s="116"/>
      <c r="H24" s="58"/>
    </row>
    <row r="25" spans="1:8" s="3" customFormat="1">
      <c r="A25" s="54"/>
      <c r="B25" s="55"/>
      <c r="C25" s="47"/>
      <c r="D25" s="36"/>
      <c r="E25" s="95"/>
      <c r="F25" s="57"/>
      <c r="G25" s="110"/>
      <c r="H25" s="58"/>
    </row>
    <row r="26" spans="1:8" s="4" customFormat="1" ht="13">
      <c r="A26" s="118" t="s">
        <v>66</v>
      </c>
      <c r="B26" s="55"/>
      <c r="C26" s="55"/>
      <c r="D26" s="36"/>
      <c r="E26" s="95"/>
      <c r="F26" s="97"/>
      <c r="G26" s="116"/>
      <c r="H26" s="50"/>
    </row>
    <row r="27" spans="1:8" s="4" customFormat="1" ht="13">
      <c r="A27" s="119" t="s">
        <v>84</v>
      </c>
      <c r="B27" s="41" t="s">
        <v>85</v>
      </c>
      <c r="C27" s="98" t="s">
        <v>45</v>
      </c>
      <c r="D27" s="138">
        <v>2500000</v>
      </c>
      <c r="E27" s="124">
        <v>2492.77</v>
      </c>
      <c r="F27" s="125">
        <v>0.17267288</v>
      </c>
      <c r="G27" s="126">
        <v>3.3106999999999998E-2</v>
      </c>
      <c r="H27" s="44" t="s">
        <v>32</v>
      </c>
    </row>
    <row r="28" spans="1:8" s="4" customFormat="1" ht="13">
      <c r="A28" s="119" t="s">
        <v>115</v>
      </c>
      <c r="B28" s="41" t="s">
        <v>116</v>
      </c>
      <c r="C28" s="98" t="s">
        <v>45</v>
      </c>
      <c r="D28" s="138">
        <v>1500000</v>
      </c>
      <c r="E28" s="124">
        <v>1494.73</v>
      </c>
      <c r="F28" s="125">
        <v>0.10353931</v>
      </c>
      <c r="G28" s="126">
        <v>3.3000000000000002E-2</v>
      </c>
      <c r="H28" s="44" t="s">
        <v>32</v>
      </c>
    </row>
    <row r="29" spans="1:8" s="4" customFormat="1" ht="13">
      <c r="A29" s="119"/>
      <c r="B29" s="41"/>
      <c r="C29" s="98"/>
      <c r="D29" s="138"/>
      <c r="E29" s="99"/>
      <c r="F29" s="100"/>
      <c r="G29" s="101"/>
      <c r="H29" s="120"/>
    </row>
    <row r="30" spans="1:8" s="4" customFormat="1" ht="13">
      <c r="A30" s="118" t="s">
        <v>52</v>
      </c>
      <c r="B30" s="55"/>
      <c r="C30" s="55"/>
      <c r="D30" s="36"/>
      <c r="E30" s="56">
        <f>SUM(E27:E29)</f>
        <v>3987.5</v>
      </c>
      <c r="F30" s="49">
        <f>SUM(F27:F29)</f>
        <v>0.27621218999999997</v>
      </c>
      <c r="G30" s="109"/>
      <c r="H30" s="50"/>
    </row>
    <row r="31" spans="1:8" s="3" customFormat="1">
      <c r="A31" s="54" t="s">
        <v>31</v>
      </c>
      <c r="B31" s="55"/>
      <c r="C31" s="55"/>
      <c r="D31" s="59"/>
      <c r="E31" s="95">
        <f>E24+E30</f>
        <v>11458.24</v>
      </c>
      <c r="F31" s="102">
        <f>F24+F30</f>
        <v>0.79370756999999992</v>
      </c>
      <c r="G31" s="117"/>
      <c r="H31" s="50"/>
    </row>
    <row r="32" spans="1:8" s="3" customFormat="1">
      <c r="A32" s="54"/>
      <c r="B32" s="55"/>
      <c r="C32" s="55" t="s">
        <v>33</v>
      </c>
      <c r="D32" s="60"/>
      <c r="E32" s="56"/>
      <c r="F32" s="61"/>
      <c r="G32" s="111"/>
      <c r="H32" s="62"/>
    </row>
    <row r="33" spans="1:10" s="3" customFormat="1" ht="14.25" customHeight="1">
      <c r="A33" s="54" t="s">
        <v>34</v>
      </c>
      <c r="B33" s="55"/>
      <c r="C33" s="55"/>
      <c r="D33" s="60"/>
      <c r="E33" s="42">
        <v>2968.42</v>
      </c>
      <c r="F33" s="63">
        <v>0.20562111000000002</v>
      </c>
      <c r="G33" s="112"/>
      <c r="H33" s="64"/>
    </row>
    <row r="34" spans="1:10" s="3" customFormat="1" ht="14.25" customHeight="1">
      <c r="A34" s="54" t="s">
        <v>31</v>
      </c>
      <c r="B34" s="55"/>
      <c r="C34" s="55"/>
      <c r="D34" s="59"/>
      <c r="E34" s="56">
        <v>2968.42</v>
      </c>
      <c r="F34" s="49">
        <v>0.20562111000000002</v>
      </c>
      <c r="G34" s="109"/>
      <c r="H34" s="50"/>
    </row>
    <row r="35" spans="1:10" s="3" customFormat="1" ht="14.25" customHeight="1" thickBot="1">
      <c r="A35" s="65" t="s">
        <v>35</v>
      </c>
      <c r="B35" s="66"/>
      <c r="C35" s="67"/>
      <c r="D35" s="68"/>
      <c r="E35" s="69">
        <v>9.6830867000007856</v>
      </c>
      <c r="F35" s="70">
        <v>6.7132000000003078E-4</v>
      </c>
      <c r="G35" s="114"/>
      <c r="H35" s="71"/>
    </row>
    <row r="36" spans="1:10" s="3" customFormat="1" ht="14.25" customHeight="1" thickBot="1">
      <c r="A36" s="72" t="s">
        <v>36</v>
      </c>
      <c r="B36" s="73"/>
      <c r="C36" s="74"/>
      <c r="D36" s="75"/>
      <c r="E36" s="76">
        <v>14436.343086700001</v>
      </c>
      <c r="F36" s="77">
        <v>1</v>
      </c>
      <c r="G36" s="115"/>
      <c r="H36" s="78"/>
    </row>
    <row r="37" spans="1:10" s="3" customFormat="1" ht="14.25" customHeight="1">
      <c r="A37" s="129"/>
      <c r="B37" s="130"/>
      <c r="C37" s="131"/>
      <c r="D37" s="132"/>
      <c r="E37" s="133"/>
      <c r="F37" s="134"/>
      <c r="G37" s="134"/>
      <c r="H37" s="135"/>
    </row>
    <row r="38" spans="1:10" s="3" customFormat="1" ht="14.25" customHeight="1">
      <c r="A38" s="85" t="s">
        <v>70</v>
      </c>
      <c r="B38" s="80"/>
      <c r="C38" s="81"/>
      <c r="D38" s="82"/>
      <c r="E38" s="104"/>
      <c r="F38" s="103"/>
      <c r="G38" s="103"/>
      <c r="H38" s="84"/>
    </row>
    <row r="39" spans="1:10" s="3" customFormat="1" ht="14.25" customHeight="1">
      <c r="A39" s="136" t="s">
        <v>69</v>
      </c>
      <c r="B39" s="80"/>
      <c r="C39" s="81"/>
      <c r="D39" s="82"/>
      <c r="E39" s="83"/>
      <c r="F39" s="103"/>
      <c r="G39" s="103"/>
      <c r="H39" s="84"/>
    </row>
    <row r="40" spans="1:10" s="3" customFormat="1" ht="14.25" customHeight="1">
      <c r="A40" s="136"/>
      <c r="B40" s="80"/>
      <c r="C40" s="81"/>
      <c r="D40" s="82"/>
      <c r="E40" s="83"/>
      <c r="F40" s="103"/>
      <c r="G40" s="103"/>
      <c r="H40" s="84"/>
    </row>
    <row r="41" spans="1:10" s="3" customFormat="1" ht="14.25" customHeight="1">
      <c r="A41" s="85" t="s">
        <v>37</v>
      </c>
      <c r="B41" s="86"/>
      <c r="C41" s="183"/>
      <c r="D41" s="183"/>
      <c r="E41" s="183"/>
      <c r="F41" s="183"/>
      <c r="G41" s="183"/>
      <c r="H41" s="184"/>
    </row>
    <row r="42" spans="1:10" s="2" customFormat="1" ht="14.25" customHeight="1">
      <c r="A42" s="185" t="s">
        <v>117</v>
      </c>
      <c r="B42" s="186"/>
      <c r="C42" s="186"/>
      <c r="D42" s="186"/>
      <c r="E42" s="186"/>
      <c r="F42" s="186"/>
      <c r="G42" s="186"/>
      <c r="H42" s="187"/>
    </row>
    <row r="43" spans="1:10" s="2" customFormat="1" ht="14.25" customHeight="1" thickBot="1">
      <c r="A43" s="79" t="s">
        <v>139</v>
      </c>
      <c r="B43" s="80"/>
      <c r="C43" s="183"/>
      <c r="D43" s="183"/>
      <c r="E43" s="183"/>
      <c r="F43" s="183"/>
      <c r="G43" s="183"/>
      <c r="H43" s="184"/>
    </row>
    <row r="44" spans="1:10" s="2" customFormat="1" ht="14.25" customHeight="1" thickBot="1">
      <c r="A44" s="213" t="s">
        <v>38</v>
      </c>
      <c r="B44" s="214"/>
      <c r="C44" s="214"/>
      <c r="D44" s="214"/>
      <c r="E44" s="190" t="s">
        <v>124</v>
      </c>
      <c r="F44" s="191"/>
      <c r="G44" s="188" t="s">
        <v>94</v>
      </c>
      <c r="H44" s="189"/>
    </row>
    <row r="45" spans="1:10" s="3" customFormat="1" ht="14.25" customHeight="1">
      <c r="A45" s="215" t="s">
        <v>39</v>
      </c>
      <c r="B45" s="216"/>
      <c r="C45" s="216"/>
      <c r="D45" s="216"/>
      <c r="E45" s="195">
        <f t="shared" ref="E45:E52" si="0">I45</f>
        <v>1008.4675999999999</v>
      </c>
      <c r="F45" s="199"/>
      <c r="G45" s="195">
        <v>1005.8622</v>
      </c>
      <c r="H45" s="196"/>
      <c r="I45" s="128">
        <v>1008.4675999999999</v>
      </c>
      <c r="J45" s="140" t="s">
        <v>125</v>
      </c>
    </row>
    <row r="46" spans="1:10" s="3" customFormat="1" ht="14.25" customHeight="1">
      <c r="A46" s="209" t="s">
        <v>86</v>
      </c>
      <c r="B46" s="210"/>
      <c r="C46" s="210"/>
      <c r="D46" s="210"/>
      <c r="E46" s="197">
        <f t="shared" si="0"/>
        <v>1007.7658</v>
      </c>
      <c r="F46" s="208"/>
      <c r="G46" s="197">
        <v>1005.5941</v>
      </c>
      <c r="H46" s="198"/>
      <c r="I46" s="128">
        <v>1007.7658</v>
      </c>
      <c r="J46" s="140" t="s">
        <v>126</v>
      </c>
    </row>
    <row r="47" spans="1:10" s="3" customFormat="1" ht="14.25" customHeight="1">
      <c r="A47" s="209" t="s">
        <v>87</v>
      </c>
      <c r="B47" s="210"/>
      <c r="C47" s="210"/>
      <c r="D47" s="210"/>
      <c r="E47" s="197">
        <f t="shared" si="0"/>
        <v>1005.1684</v>
      </c>
      <c r="F47" s="208"/>
      <c r="G47" s="197">
        <v>1004.4290999999999</v>
      </c>
      <c r="H47" s="198"/>
      <c r="I47" s="128">
        <v>1005.1684</v>
      </c>
      <c r="J47" s="140" t="s">
        <v>127</v>
      </c>
    </row>
    <row r="48" spans="1:10" s="3" customFormat="1" ht="14.25" customHeight="1">
      <c r="A48" s="209" t="s">
        <v>88</v>
      </c>
      <c r="B48" s="210"/>
      <c r="C48" s="210"/>
      <c r="D48" s="210"/>
      <c r="E48" s="197">
        <f t="shared" si="0"/>
        <v>1004.4463</v>
      </c>
      <c r="F48" s="208"/>
      <c r="G48" s="197">
        <v>1003.8407999999999</v>
      </c>
      <c r="H48" s="198"/>
      <c r="I48" s="128">
        <v>1004.4463</v>
      </c>
      <c r="J48" s="140" t="s">
        <v>128</v>
      </c>
    </row>
    <row r="49" spans="1:10" s="3" customFormat="1" ht="14.25" customHeight="1">
      <c r="A49" s="209" t="s">
        <v>40</v>
      </c>
      <c r="B49" s="210"/>
      <c r="C49" s="210"/>
      <c r="D49" s="210"/>
      <c r="E49" s="197">
        <f t="shared" si="0"/>
        <v>1008.8821</v>
      </c>
      <c r="F49" s="208"/>
      <c r="G49" s="197">
        <v>1006.1516</v>
      </c>
      <c r="H49" s="198"/>
      <c r="I49" s="128">
        <v>1008.8821</v>
      </c>
      <c r="J49" s="140" t="s">
        <v>131</v>
      </c>
    </row>
    <row r="50" spans="1:10" s="3" customFormat="1" ht="14.25" customHeight="1">
      <c r="A50" s="209" t="s">
        <v>90</v>
      </c>
      <c r="B50" s="210"/>
      <c r="C50" s="210"/>
      <c r="D50" s="210"/>
      <c r="E50" s="197">
        <f t="shared" si="0"/>
        <v>1008.1615</v>
      </c>
      <c r="F50" s="208"/>
      <c r="G50" s="197">
        <v>1005.8072</v>
      </c>
      <c r="H50" s="198"/>
      <c r="I50" s="128">
        <v>1008.1615</v>
      </c>
      <c r="J50" s="140" t="s">
        <v>132</v>
      </c>
    </row>
    <row r="51" spans="1:10" s="3" customFormat="1" ht="14.25" customHeight="1">
      <c r="A51" s="209" t="s">
        <v>91</v>
      </c>
      <c r="B51" s="210"/>
      <c r="C51" s="210"/>
      <c r="D51" s="210"/>
      <c r="E51" s="197">
        <f t="shared" si="0"/>
        <v>1006.3219</v>
      </c>
      <c r="F51" s="208"/>
      <c r="G51" s="197">
        <v>1004.9817</v>
      </c>
      <c r="H51" s="198"/>
      <c r="I51" s="128">
        <v>1006.3219</v>
      </c>
      <c r="J51" s="140" t="s">
        <v>133</v>
      </c>
    </row>
    <row r="52" spans="1:10" s="3" customFormat="1" ht="14.25" customHeight="1" thickBot="1">
      <c r="A52" s="211" t="s">
        <v>92</v>
      </c>
      <c r="B52" s="212"/>
      <c r="C52" s="212"/>
      <c r="D52" s="212"/>
      <c r="E52" s="202">
        <f t="shared" si="0"/>
        <v>1004.8499</v>
      </c>
      <c r="F52" s="204"/>
      <c r="G52" s="202">
        <v>1004.1226</v>
      </c>
      <c r="H52" s="203"/>
      <c r="I52" s="128">
        <v>1004.8499</v>
      </c>
      <c r="J52" s="140" t="s">
        <v>134</v>
      </c>
    </row>
    <row r="53" spans="1:10" s="3" customFormat="1" ht="14.25" customHeight="1">
      <c r="A53" s="87"/>
      <c r="B53" s="88"/>
      <c r="C53" s="89"/>
      <c r="D53" s="89"/>
      <c r="E53" s="89"/>
      <c r="F53" s="89"/>
      <c r="G53" s="89"/>
      <c r="H53" s="90"/>
    </row>
    <row r="54" spans="1:10" s="3" customFormat="1" ht="14.25" customHeight="1" thickBot="1">
      <c r="A54" s="79" t="s">
        <v>118</v>
      </c>
      <c r="B54" s="80"/>
      <c r="C54" s="200"/>
      <c r="D54" s="200"/>
      <c r="E54" s="200"/>
      <c r="F54" s="200"/>
      <c r="G54" s="200"/>
      <c r="H54" s="201"/>
    </row>
    <row r="55" spans="1:10" s="3" customFormat="1" ht="14.25" customHeight="1" thickBot="1">
      <c r="A55" s="159" t="s">
        <v>41</v>
      </c>
      <c r="B55" s="160"/>
      <c r="C55" s="160"/>
      <c r="D55" s="161"/>
      <c r="E55" s="157" t="s">
        <v>42</v>
      </c>
      <c r="F55" s="158"/>
      <c r="G55" s="157" t="s">
        <v>43</v>
      </c>
      <c r="H55" s="167"/>
    </row>
    <row r="56" spans="1:10" s="3" customFormat="1" ht="14.25" customHeight="1">
      <c r="A56" s="162" t="s">
        <v>86</v>
      </c>
      <c r="B56" s="163"/>
      <c r="C56" s="163"/>
      <c r="D56" s="164"/>
      <c r="E56" s="155">
        <v>0.6</v>
      </c>
      <c r="F56" s="156"/>
      <c r="G56" s="165">
        <v>0.6</v>
      </c>
      <c r="H56" s="169"/>
    </row>
    <row r="57" spans="1:10" s="5" customFormat="1" ht="14.25" customHeight="1">
      <c r="A57" s="149" t="s">
        <v>87</v>
      </c>
      <c r="B57" s="150"/>
      <c r="C57" s="150"/>
      <c r="D57" s="151"/>
      <c r="E57" s="165">
        <v>2</v>
      </c>
      <c r="F57" s="166"/>
      <c r="G57" s="165">
        <v>2</v>
      </c>
      <c r="H57" s="169"/>
    </row>
    <row r="58" spans="1:10" s="5" customFormat="1" ht="14.25" customHeight="1">
      <c r="A58" s="149" t="s">
        <v>88</v>
      </c>
      <c r="B58" s="150"/>
      <c r="C58" s="150"/>
      <c r="D58" s="151"/>
      <c r="E58" s="165">
        <v>2</v>
      </c>
      <c r="F58" s="166"/>
      <c r="G58" s="165">
        <v>2</v>
      </c>
      <c r="H58" s="169"/>
    </row>
    <row r="59" spans="1:10" s="5" customFormat="1" ht="14.25" customHeight="1">
      <c r="A59" s="149" t="s">
        <v>90</v>
      </c>
      <c r="B59" s="150"/>
      <c r="C59" s="150"/>
      <c r="D59" s="151"/>
      <c r="E59" s="165">
        <v>0.6</v>
      </c>
      <c r="F59" s="166"/>
      <c r="G59" s="165">
        <v>0.6</v>
      </c>
      <c r="H59" s="169"/>
    </row>
    <row r="60" spans="1:10" s="5" customFormat="1" ht="14.25" customHeight="1">
      <c r="A60" s="149" t="s">
        <v>91</v>
      </c>
      <c r="B60" s="150"/>
      <c r="C60" s="150"/>
      <c r="D60" s="151"/>
      <c r="E60" s="165">
        <v>2</v>
      </c>
      <c r="F60" s="166"/>
      <c r="G60" s="165">
        <v>2</v>
      </c>
      <c r="H60" s="169"/>
    </row>
    <row r="61" spans="1:10" s="5" customFormat="1" ht="14.25" customHeight="1" thickBot="1">
      <c r="A61" s="152" t="s">
        <v>92</v>
      </c>
      <c r="B61" s="153"/>
      <c r="C61" s="153"/>
      <c r="D61" s="154"/>
      <c r="E61" s="205">
        <v>2</v>
      </c>
      <c r="F61" s="207"/>
      <c r="G61" s="205">
        <v>2</v>
      </c>
      <c r="H61" s="206"/>
    </row>
    <row r="62" spans="1:10" ht="14.25" customHeight="1">
      <c r="A62" s="79" t="s">
        <v>122</v>
      </c>
      <c r="B62" s="80"/>
      <c r="C62" s="80"/>
      <c r="D62" s="80"/>
      <c r="E62" s="80"/>
      <c r="F62" s="80"/>
      <c r="G62" s="80"/>
      <c r="H62" s="91"/>
    </row>
    <row r="63" spans="1:10" ht="14.25" customHeight="1">
      <c r="A63" s="79" t="s">
        <v>119</v>
      </c>
      <c r="B63" s="80"/>
      <c r="C63" s="80"/>
      <c r="D63" s="80"/>
      <c r="E63" s="80"/>
      <c r="F63" s="80"/>
      <c r="G63" s="80"/>
      <c r="H63" s="91"/>
    </row>
    <row r="64" spans="1:10" ht="14.25" customHeight="1">
      <c r="A64" s="79" t="s">
        <v>120</v>
      </c>
      <c r="B64" s="80"/>
      <c r="C64" s="80"/>
      <c r="D64" s="80"/>
      <c r="E64" s="80"/>
      <c r="F64" s="80"/>
      <c r="G64" s="80"/>
      <c r="H64" s="91"/>
    </row>
    <row r="65" spans="1:8" ht="14.25" customHeight="1">
      <c r="A65" s="79" t="s">
        <v>123</v>
      </c>
      <c r="B65" s="80"/>
      <c r="C65" s="80"/>
      <c r="D65" s="80"/>
      <c r="E65" s="80"/>
      <c r="F65" s="80"/>
      <c r="G65" s="80"/>
      <c r="H65" s="91"/>
    </row>
    <row r="66" spans="1:8" ht="14.25" customHeight="1">
      <c r="A66" s="79" t="s">
        <v>121</v>
      </c>
      <c r="B66" s="80"/>
      <c r="C66" s="80"/>
      <c r="D66" s="80"/>
      <c r="E66" s="80"/>
      <c r="F66" s="80"/>
      <c r="G66" s="80"/>
      <c r="H66" s="91"/>
    </row>
    <row r="67" spans="1:8" s="5" customFormat="1" ht="14.25" customHeight="1">
      <c r="A67" s="79" t="s">
        <v>141</v>
      </c>
      <c r="B67" s="80"/>
      <c r="C67" s="80"/>
      <c r="D67" s="80"/>
      <c r="E67" s="80"/>
      <c r="F67" s="80"/>
      <c r="G67" s="80"/>
      <c r="H67" s="91"/>
    </row>
    <row r="68" spans="1:8" s="5" customFormat="1" ht="14.25" customHeight="1">
      <c r="A68" s="79" t="s">
        <v>56</v>
      </c>
      <c r="B68" s="80"/>
      <c r="C68" s="80"/>
      <c r="D68" s="80"/>
      <c r="E68" s="80"/>
      <c r="F68" s="80"/>
      <c r="G68" s="80"/>
      <c r="H68" s="91"/>
    </row>
    <row r="69" spans="1:8" s="5" customFormat="1" ht="14.25" customHeight="1">
      <c r="A69" s="79" t="s">
        <v>57</v>
      </c>
      <c r="B69" s="80"/>
      <c r="C69" s="80"/>
      <c r="D69" s="80"/>
      <c r="E69" s="80"/>
      <c r="F69" s="80"/>
      <c r="G69" s="80"/>
      <c r="H69" s="91"/>
    </row>
    <row r="70" spans="1:8" s="5" customFormat="1" ht="14.25" customHeight="1">
      <c r="A70" s="79" t="s">
        <v>58</v>
      </c>
      <c r="B70" s="80"/>
      <c r="C70" s="80"/>
      <c r="D70" s="80"/>
      <c r="E70" s="80"/>
      <c r="F70" s="80"/>
      <c r="G70" s="80"/>
      <c r="H70" s="91"/>
    </row>
    <row r="71" spans="1:8" s="5" customFormat="1" ht="14.25" customHeight="1">
      <c r="A71" s="79"/>
      <c r="B71" s="80"/>
      <c r="C71" s="80"/>
      <c r="D71" s="80"/>
      <c r="E71" s="80"/>
      <c r="F71" s="80"/>
      <c r="G71" s="80"/>
      <c r="H71" s="91"/>
    </row>
    <row r="72" spans="1:8" s="5" customFormat="1" ht="14.25" customHeight="1" thickBot="1">
      <c r="A72" s="92"/>
      <c r="B72" s="93"/>
      <c r="C72" s="93"/>
      <c r="D72" s="93"/>
      <c r="E72" s="93"/>
      <c r="F72" s="93"/>
      <c r="G72" s="93"/>
      <c r="H72" s="94"/>
    </row>
    <row r="73" spans="1:8" s="5" customFormat="1" ht="14.25" customHeight="1">
      <c r="A73" s="3"/>
      <c r="B73" s="3"/>
      <c r="C73" s="3"/>
      <c r="D73" s="3"/>
      <c r="E73" s="3"/>
      <c r="F73" s="3"/>
      <c r="G73" s="3"/>
      <c r="H73" s="6"/>
    </row>
    <row r="75" spans="1:8" ht="14.5">
      <c r="A75" s="141" t="s">
        <v>142</v>
      </c>
      <c r="B75" s="143">
        <v>32.83</v>
      </c>
    </row>
    <row r="76" spans="1:8" ht="14.5">
      <c r="A76" s="141" t="s">
        <v>143</v>
      </c>
      <c r="B76" s="142">
        <v>3.3700000000000001E-2</v>
      </c>
    </row>
  </sheetData>
  <mergeCells count="59">
    <mergeCell ref="A1:H1"/>
    <mergeCell ref="A2:H2"/>
    <mergeCell ref="A4:H4"/>
    <mergeCell ref="A5:H5"/>
    <mergeCell ref="C41:D41"/>
    <mergeCell ref="E41:H41"/>
    <mergeCell ref="G45:H45"/>
    <mergeCell ref="G46:H46"/>
    <mergeCell ref="E45:F45"/>
    <mergeCell ref="E46:F46"/>
    <mergeCell ref="A42:H42"/>
    <mergeCell ref="C43:D43"/>
    <mergeCell ref="E43:H43"/>
    <mergeCell ref="G44:H44"/>
    <mergeCell ref="E44:F44"/>
    <mergeCell ref="A44:D44"/>
    <mergeCell ref="A45:D45"/>
    <mergeCell ref="A46:D46"/>
    <mergeCell ref="E49:F49"/>
    <mergeCell ref="E50:F50"/>
    <mergeCell ref="G47:H47"/>
    <mergeCell ref="G48:H48"/>
    <mergeCell ref="E47:F47"/>
    <mergeCell ref="E48:F48"/>
    <mergeCell ref="A60:D60"/>
    <mergeCell ref="A61:D61"/>
    <mergeCell ref="G59:H59"/>
    <mergeCell ref="G60:H60"/>
    <mergeCell ref="G61:H61"/>
    <mergeCell ref="E61:F61"/>
    <mergeCell ref="E60:F60"/>
    <mergeCell ref="A59:D59"/>
    <mergeCell ref="E59:F59"/>
    <mergeCell ref="E51:F51"/>
    <mergeCell ref="E52:F52"/>
    <mergeCell ref="G56:H56"/>
    <mergeCell ref="G57:H57"/>
    <mergeCell ref="A47:D47"/>
    <mergeCell ref="A48:D48"/>
    <mergeCell ref="C54:D54"/>
    <mergeCell ref="E54:H54"/>
    <mergeCell ref="G51:H51"/>
    <mergeCell ref="G52:H52"/>
    <mergeCell ref="A49:D49"/>
    <mergeCell ref="A50:D50"/>
    <mergeCell ref="A51:D51"/>
    <mergeCell ref="A52:D52"/>
    <mergeCell ref="G49:H49"/>
    <mergeCell ref="G50:H50"/>
    <mergeCell ref="G58:H58"/>
    <mergeCell ref="A55:D55"/>
    <mergeCell ref="A56:D56"/>
    <mergeCell ref="A57:D57"/>
    <mergeCell ref="A58:D58"/>
    <mergeCell ref="E58:F58"/>
    <mergeCell ref="E57:F57"/>
    <mergeCell ref="E56:F56"/>
    <mergeCell ref="E55:F55"/>
    <mergeCell ref="G55:H55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 Fund</vt:lpstr>
      <vt:lpstr>Liquid Fund</vt:lpstr>
      <vt:lpstr>'Banking &amp; PSU Debt Fund'!Print_Area</vt:lpstr>
      <vt:lpstr>'Liquid Fund'!Print_Area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Washindkar</dc:creator>
  <cp:lastModifiedBy>Mohit Maheshwari</cp:lastModifiedBy>
  <dcterms:created xsi:type="dcterms:W3CDTF">2021-04-02T15:20:55Z</dcterms:created>
  <dcterms:modified xsi:type="dcterms:W3CDTF">2021-08-09T15:25:50Z</dcterms:modified>
</cp:coreProperties>
</file>