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https://trustmf-my.sharepoint.com/personal/prasad_gangan_trustmf_com/Documents/00 TRUSTmf/Compliance/Disclosure/"/>
    </mc:Choice>
  </mc:AlternateContent>
  <xr:revisionPtr revIDLastSave="0" documentId="11_AB9A4FAF6EDF3B1BBB96AE97CBFF55EA92F86F13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anking &amp; PSU Debt Fund" sheetId="1" r:id="rId1"/>
    <sheet name="Liquid Fund" sheetId="2" r:id="rId2"/>
  </sheets>
  <definedNames>
    <definedName name="_xlnm._FilterDatabase" localSheetId="0" hidden="1">'Banking &amp; PSU Debt Fund'!$A$15:$J$35</definedName>
    <definedName name="_xlnm.Print_Area" localSheetId="0">'Banking &amp; PSU Debt Fund'!$A$1:$H$87</definedName>
    <definedName name="_xlnm.Print_Area" localSheetId="1">'Liquid Fund'!$A$1:$H$74</definedName>
    <definedName name="Z_9AF54932_6149_43F7_990E_BAF2964B56BB_.wvu.Cols" localSheetId="0" hidden="1">'Banking &amp; PSU Debt Fund'!#REF!</definedName>
    <definedName name="Z_9AF54932_6149_43F7_990E_BAF2964B56BB_.wvu.Cols" localSheetId="1" hidden="1">'Liquid Fund'!#REF!</definedName>
    <definedName name="Z_9AF54932_6149_43F7_990E_BAF2964B56BB_.wvu.PrintArea" localSheetId="0" hidden="1">'Banking &amp; PSU Debt Fund'!$A$1:$H$87</definedName>
    <definedName name="Z_9AF54932_6149_43F7_990E_BAF2964B56BB_.wvu.PrintArea" localSheetId="1" hidden="1">'Liquid Fund'!$A$1:$H$74</definedName>
    <definedName name="Z_E19AB337_85FD_4B6E_8054_0F2A4DE3F70F_.wvu.Cols" localSheetId="0" hidden="1">'Banking &amp; PSU Debt Fund'!#REF!</definedName>
    <definedName name="Z_E19AB337_85FD_4B6E_8054_0F2A4DE3F70F_.wvu.Cols" localSheetId="1" hidden="1">'Liquid Fund'!#REF!</definedName>
    <definedName name="Z_E19AB337_85FD_4B6E_8054_0F2A4DE3F70F_.wvu.PrintArea" localSheetId="0" hidden="1">'Banking &amp; PSU Debt Fund'!$A$1:$H$87</definedName>
    <definedName name="Z_E19AB337_85FD_4B6E_8054_0F2A4DE3F70F_.wvu.PrintArea" localSheetId="1" hidden="1">'Liquid Fund'!$A$1:$H$74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2" l="1"/>
  <c r="E43" i="2"/>
  <c r="F38" i="2"/>
  <c r="E38" i="2"/>
  <c r="F33" i="2"/>
  <c r="E33" i="2"/>
  <c r="F14" i="2"/>
  <c r="E14" i="2"/>
  <c r="F37" i="1"/>
  <c r="F44" i="1" s="1"/>
  <c r="E37" i="1"/>
  <c r="E44" i="1" s="1"/>
  <c r="F13" i="1"/>
  <c r="E13" i="1"/>
  <c r="E44" i="2" l="1"/>
  <c r="F44" i="2"/>
  <c r="F21" i="2"/>
  <c r="E21" i="2"/>
</calcChain>
</file>

<file path=xl/sharedStrings.xml><?xml version="1.0" encoding="utf-8"?>
<sst xmlns="http://schemas.openxmlformats.org/spreadsheetml/2006/main" count="300" uniqueCount="147">
  <si>
    <t>[Pursuant to Regulation 59 A of Securities and Exchange Board of India (Mutual Funds)</t>
  </si>
  <si>
    <t>TRUSTMF Banking &amp; PSU Debt Fund
(An open-ended debt scheme predominantly investing in debt instruments of banks, Public Sector Undertakings,Public Financial Institutions and Municipal Bonds)</t>
  </si>
  <si>
    <t>Name of Instrument</t>
  </si>
  <si>
    <t>ISIN</t>
  </si>
  <si>
    <t>Rating</t>
  </si>
  <si>
    <t>Quantity</t>
  </si>
  <si>
    <t>Market/Fair Value (Rs. in Lacs)</t>
  </si>
  <si>
    <t>% to Net Assets</t>
  </si>
  <si>
    <t>Debt Instruments -</t>
  </si>
  <si>
    <t>(a) Listed/ Awaiting Listing on Stock Exchanges</t>
  </si>
  <si>
    <t>Government Securities</t>
  </si>
  <si>
    <t>IN0020190396</t>
  </si>
  <si>
    <t>Sub Total</t>
  </si>
  <si>
    <t>Non Convertible Debentures / Bonds</t>
  </si>
  <si>
    <t>INE238A08351</t>
  </si>
  <si>
    <t>INE053F07BB3</t>
  </si>
  <si>
    <t>INE557F08FG1</t>
  </si>
  <si>
    <t>INE134E08KH0</t>
  </si>
  <si>
    <t>INE242A08452</t>
  </si>
  <si>
    <t>INE094A08036</t>
  </si>
  <si>
    <t>INE153A08071</t>
  </si>
  <si>
    <t>INE115A07OL3</t>
  </si>
  <si>
    <t>INE062A08223</t>
  </si>
  <si>
    <t>INE040A08377</t>
  </si>
  <si>
    <t>INE752E07LY4</t>
  </si>
  <si>
    <t>INE090A08UC2</t>
  </si>
  <si>
    <t>INE261F08CK9</t>
  </si>
  <si>
    <t>INE062A08215</t>
  </si>
  <si>
    <t>INE090A08UB4</t>
  </si>
  <si>
    <t>INE556F08JS0</t>
  </si>
  <si>
    <t>INE752E07JK7</t>
  </si>
  <si>
    <t>INE001A07RV7</t>
  </si>
  <si>
    <t>Total</t>
  </si>
  <si>
    <t/>
  </si>
  <si>
    <t xml:space="preserve"> </t>
  </si>
  <si>
    <t>TREPS / Reverse Repo Investments / Corporate Debt Repo</t>
  </si>
  <si>
    <t>Net Receivable/Payable</t>
  </si>
  <si>
    <t>NET ASSETS</t>
  </si>
  <si>
    <t>Notes :</t>
  </si>
  <si>
    <t>2) Net Assets Value per unit (in Rs) are as follows :</t>
  </si>
  <si>
    <t xml:space="preserve">Plan/Option </t>
  </si>
  <si>
    <t>Regular Plan - Growth Option</t>
  </si>
  <si>
    <t>Regular Plan - Daily Dividend Option</t>
  </si>
  <si>
    <t>Regular Plan - Weekly Dividend Option</t>
  </si>
  <si>
    <t>Regular Plan - Monthly Dividend Option</t>
  </si>
  <si>
    <t>Regular Plan - Quarterly Dividend Option</t>
  </si>
  <si>
    <t>Regular Plan - Yearly Dividend Option</t>
  </si>
  <si>
    <t>Direct Plan - Growth Option</t>
  </si>
  <si>
    <t>Direct Plan - Daily Dividend Option</t>
  </si>
  <si>
    <t>Direct Plan - Weekly Dividend Option</t>
  </si>
  <si>
    <t>Direct Plan - Monthly Dividend Option</t>
  </si>
  <si>
    <t>Direct Plan - Quarterly Dividend Option</t>
  </si>
  <si>
    <t>Direct Plan - Yearly Dividend Option</t>
  </si>
  <si>
    <t>Plan/Option</t>
  </si>
  <si>
    <t>Individuals/HUF</t>
  </si>
  <si>
    <t>Other than Individual/HUF</t>
  </si>
  <si>
    <t>6.18% GOI - 04-Nov-2024</t>
  </si>
  <si>
    <t>Sovereign</t>
  </si>
  <si>
    <t>CRISIL AAA</t>
  </si>
  <si>
    <t>CARE AAA</t>
  </si>
  <si>
    <t>CRISIL AA+</t>
  </si>
  <si>
    <t>ICRA AAA</t>
  </si>
  <si>
    <t>CARE AA+</t>
  </si>
  <si>
    <t>(b) Privately placed / Unlisted</t>
  </si>
  <si>
    <t>Subtotal</t>
  </si>
  <si>
    <t>(c) Securitised Debt</t>
  </si>
  <si>
    <t>NIL</t>
  </si>
  <si>
    <t>Money Market Instruments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</si>
  <si>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</si>
  <si>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</si>
  <si>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</si>
  <si>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TRUSTMF LIQUID Fund
(An Open Ended Liquid Scheme)</t>
  </si>
  <si>
    <t>As on April 30, 2021</t>
  </si>
  <si>
    <t>IN2220140114</t>
  </si>
  <si>
    <t>8.90% Maharashtra SDL - 24-Sep-2024</t>
  </si>
  <si>
    <t>INE020B08DR1</t>
  </si>
  <si>
    <t>INE261F08CX2</t>
  </si>
  <si>
    <t>CARE AAA(CE)</t>
  </si>
  <si>
    <t>INE756I07BY7</t>
  </si>
  <si>
    <t>INE110L07070</t>
  </si>
  <si>
    <t>Commercial Papers</t>
  </si>
  <si>
    <t>INE115A14CQ3</t>
  </si>
  <si>
    <t>INE178A14GM1</t>
  </si>
  <si>
    <t>INE763G14KB2</t>
  </si>
  <si>
    <t>CRISIL A1+</t>
  </si>
  <si>
    <t>Certificate of Deposits</t>
  </si>
  <si>
    <t>INE238A160W2</t>
  </si>
  <si>
    <t>Treasury Bills</t>
  </si>
  <si>
    <t>91 Days Treasury Bill 22-Jul-2021</t>
  </si>
  <si>
    <t>IN002021X033</t>
  </si>
  <si>
    <t>Yield to Maturity (YTM)</t>
  </si>
  <si>
    <t>Yield to Call 
(YTC) ^^</t>
  </si>
  <si>
    <t>^^  As per AMFI Best Practices Circular dated 24 March 2021, Yield to Call (YTC) to be disclosed for Perpetual Bonds issued by Banks.</t>
  </si>
  <si>
    <t>**Non Traded Securities</t>
  </si>
  <si>
    <t>As on May 31, 2021</t>
  </si>
  <si>
    <t>1) The provision made for investment in security below investment grade as on May 31, 2021 is Rs Nil and its percentage to Net Asset Value is Nil.</t>
  </si>
  <si>
    <t>5) Total outstanding exposure in derivative instruments as on May 31, 2021 : Nil.</t>
  </si>
  <si>
    <t>6) Total investments in Foreign Securities / Overseas ETFs as at May 31, 2021 and its percentage to NAV : Nil.</t>
  </si>
  <si>
    <t>8) Details of transactions of "Credit Default Swap" for half year ended May 31, 2021 : Nil.</t>
  </si>
  <si>
    <t>3) Details of Dividend declared per unit (in Rs.) during the Month of May 2021</t>
  </si>
  <si>
    <t>7) Details of repo transactions in corporate debt securities for the month of May 2021 : Nil.</t>
  </si>
  <si>
    <t>MONTHLY PORTFOLIO STATEMENT AS ON MAY 31, 2021</t>
  </si>
  <si>
    <t>4) No Bonus declared during the month May 2021.</t>
  </si>
  <si>
    <t>INE556F08JF7</t>
  </si>
  <si>
    <t>INE514E14PJ6</t>
  </si>
  <si>
    <t>INE261F14HV3</t>
  </si>
  <si>
    <t>INE018A14IE2</t>
  </si>
  <si>
    <t>ICRA A1+</t>
  </si>
  <si>
    <t>8.85 % Axis Bank Ltd. 05-Dec-2024 **</t>
  </si>
  <si>
    <t>8.25 % Indian Railway Finance Corporation Ltd. 28-Feb-2024 **</t>
  </si>
  <si>
    <t>7.05 % National Housing Bank 18-Dec-2024 **</t>
  </si>
  <si>
    <t>7.42 % Power Finance Corporation Ltd. 19-Nov-2024 **</t>
  </si>
  <si>
    <t>6.39 % Indian Oil Corporation Ltd. 06-Mar-2025 **</t>
  </si>
  <si>
    <t>5.74 % REC Ltd. 20-Jun-2024</t>
  </si>
  <si>
    <t>5.24 % Small Industries Development Bank of India 26-Mar-2024</t>
  </si>
  <si>
    <t>8.29 % Mahanagar Telephone Nigam Ltd. 28-Nov-2024 **</t>
  </si>
  <si>
    <t>7.75 % LIC Housing Finance Ltd. 23-Jul-2024 **</t>
  </si>
  <si>
    <t>5.53 % National Bank for Agriculture and Rural Development 22-Feb-2024 **</t>
  </si>
  <si>
    <t>8.85 % HDFC Bank Ltd. C 12-May-2022 M 31-May-2031  **</t>
  </si>
  <si>
    <t>8.93 % Power Grid Corporation of India Ltd. 19-Oct-2024</t>
  </si>
  <si>
    <t>9.9 % ICICI Bank Ltd. C 28-Dec-2023 M 31-May-2031  **</t>
  </si>
  <si>
    <t>5.14 % National Bank for Agriculture and Rural Development 31-Jan-2024 **</t>
  </si>
  <si>
    <t xml:space="preserve">8.5 % State Bank of India C 22-Nov-2024 M 31-May-2031 </t>
  </si>
  <si>
    <t>9.15 % ICICI Bank Ltd. C 20-Jun-2023 M 31-May-2031  **</t>
  </si>
  <si>
    <t>9.25 % Power Grid Corporation of India Ltd. 26-Dec-2024 **</t>
  </si>
  <si>
    <t>7.99 % Housing Development Finance Corporation Ltd. 11-Jul-2024 **</t>
  </si>
  <si>
    <t>8.75 % State Bank of India C 30-Aug-2024 M 31-May-2031  **</t>
  </si>
  <si>
    <t>8.5 % Small Industries Development Bank of India 21-Jun-2021 **</t>
  </si>
  <si>
    <t>8.81 % HDB Financial Services Ltd. 07-Jul-2021 **</t>
  </si>
  <si>
    <t>8.32 % Reliance Industries Ltd. 08-Jul-2021 **</t>
  </si>
  <si>
    <t>Export Import Bank of India 09-Jun-2021</t>
  </si>
  <si>
    <t>LIC Housing Finance Ltd. 14-Jun-2021 **</t>
  </si>
  <si>
    <t>Chennai Petroleum Corporation Ltd. 18-Jun-2021 **</t>
  </si>
  <si>
    <t>National Bank for Agriculture and Rural Development 12-Jul-2021</t>
  </si>
  <si>
    <t>ICICI Securities Ltd 28-Jul-2021 **</t>
  </si>
  <si>
    <t>Larsen &amp; Toubro Ltd. 09-Aug-2021 **</t>
  </si>
  <si>
    <t>Axis Bank Ltd. 05-Jul-2021</t>
  </si>
  <si>
    <t>9) Average maturity of the portfolio : 3.87 years</t>
  </si>
  <si>
    <t>9) Average maturity of the portfolio :28 days</t>
  </si>
  <si>
    <t>7.00 % Hindustan Petroleum Corporation Ltd. 14-Aug-2024 **</t>
  </si>
  <si>
    <t>YTM</t>
  </si>
  <si>
    <t>YTC</t>
  </si>
  <si>
    <t>Avg Maturity</t>
  </si>
  <si>
    <t>3.87 yrs</t>
  </si>
  <si>
    <t>Macaulay Duration</t>
  </si>
  <si>
    <t>3.27 yrs</t>
  </si>
  <si>
    <t>28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</si>
</sst>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_(* #,##0.000000000_);_(* \(#,##0.000000000\);_(* &quot;-&quot;??_);_(@_)"/>
    <numFmt numFmtId="166" formatCode="0.000%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0"/>
      <name val="Mangal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ill="0" applyBorder="0" applyProtection="0"/>
  </cellStyleXfs>
  <cellXfs count="249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/>
    <xf numFmtId="4" fontId="0" fillId="0" borderId="0" xfId="2" applyNumberFormat="1" applyFont="1" applyFill="1" applyBorder="1"/>
    <xf numFmtId="4" fontId="0" fillId="0" borderId="0" xfId="2" applyNumberFormat="1" applyFont="1"/>
    <xf numFmtId="14" fontId="0" fillId="0" borderId="0" xfId="0" applyNumberFormat="1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 applyBorder="1"/>
    <xf numFmtId="4" fontId="6" fillId="0" borderId="5" xfId="2" applyNumberFormat="1" applyFont="1" applyBorder="1"/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 wrapText="1"/>
    </xf>
    <xf numFmtId="4" fontId="7" fillId="0" borderId="10" xfId="2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 wrapText="1"/>
    </xf>
    <xf numFmtId="4" fontId="7" fillId="0" borderId="31" xfId="2" applyNumberFormat="1" applyFont="1" applyFill="1" applyBorder="1" applyAlignment="1">
      <alignment horizontal="center" vertical="center"/>
    </xf>
    <xf numFmtId="4" fontId="7" fillId="0" borderId="32" xfId="2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 wrapText="1"/>
    </xf>
    <xf numFmtId="4" fontId="7" fillId="0" borderId="7" xfId="2" applyNumberFormat="1" applyFont="1" applyFill="1" applyBorder="1" applyAlignment="1">
      <alignment horizontal="center" vertical="center"/>
    </xf>
    <xf numFmtId="4" fontId="7" fillId="0" borderId="8" xfId="2" applyNumberFormat="1" applyFont="1" applyFill="1" applyBorder="1" applyAlignment="1">
      <alignment horizontal="center" vertical="center"/>
    </xf>
    <xf numFmtId="4" fontId="8" fillId="0" borderId="6" xfId="0" applyNumberFormat="1" applyFont="1" applyFill="1" applyBorder="1" applyAlignment="1">
      <alignment horizontal="left" vertical="top"/>
    </xf>
    <xf numFmtId="4" fontId="8" fillId="0" borderId="7" xfId="0" applyNumberFormat="1" applyFont="1" applyFill="1" applyBorder="1" applyAlignment="1">
      <alignment horizontal="left" vertical="top"/>
    </xf>
    <xf numFmtId="4" fontId="9" fillId="0" borderId="7" xfId="0" applyNumberFormat="1" applyFont="1" applyFill="1" applyBorder="1" applyAlignment="1">
      <alignment horizontal="left" vertical="top"/>
    </xf>
    <xf numFmtId="0" fontId="9" fillId="0" borderId="7" xfId="0" applyNumberFormat="1" applyFont="1" applyFill="1" applyBorder="1" applyAlignment="1">
      <alignment horizontal="right" vertical="top"/>
    </xf>
    <xf numFmtId="4" fontId="9" fillId="0" borderId="7" xfId="0" applyNumberFormat="1" applyFont="1" applyFill="1" applyBorder="1" applyAlignment="1">
      <alignment horizontal="right" vertical="top"/>
    </xf>
    <xf numFmtId="4" fontId="9" fillId="0" borderId="8" xfId="0" applyNumberFormat="1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left" vertical="top"/>
    </xf>
    <xf numFmtId="4" fontId="9" fillId="0" borderId="7" xfId="3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 vertical="top"/>
    </xf>
    <xf numFmtId="43" fontId="9" fillId="0" borderId="7" xfId="1" applyFont="1" applyFill="1" applyBorder="1" applyAlignment="1">
      <alignment horizontal="right" vertical="top"/>
    </xf>
    <xf numFmtId="10" fontId="9" fillId="0" borderId="7" xfId="2" applyNumberFormat="1" applyFont="1" applyFill="1" applyBorder="1" applyAlignment="1">
      <alignment horizontal="right" vertical="top"/>
    </xf>
    <xf numFmtId="10" fontId="9" fillId="0" borderId="8" xfId="2" applyNumberFormat="1" applyFont="1" applyFill="1" applyBorder="1" applyAlignment="1">
      <alignment horizontal="right" vertical="top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39" fontId="8" fillId="0" borderId="7" xfId="0" applyNumberFormat="1" applyFont="1" applyFill="1" applyBorder="1" applyAlignment="1">
      <alignment horizontal="right" vertical="center"/>
    </xf>
    <xf numFmtId="10" fontId="8" fillId="0" borderId="7" xfId="2" applyNumberFormat="1" applyFont="1" applyFill="1" applyBorder="1" applyAlignment="1">
      <alignment horizontal="right" vertical="top"/>
    </xf>
    <xf numFmtId="10" fontId="8" fillId="0" borderId="8" xfId="2" applyNumberFormat="1" applyFont="1" applyFill="1" applyBorder="1" applyAlignment="1">
      <alignment horizontal="right" vertical="top"/>
    </xf>
    <xf numFmtId="0" fontId="7" fillId="0" borderId="6" xfId="0" applyFont="1" applyFill="1" applyBorder="1"/>
    <xf numFmtId="43" fontId="8" fillId="0" borderId="7" xfId="1" applyFont="1" applyFill="1" applyBorder="1" applyAlignment="1">
      <alignment horizontal="right" vertical="top"/>
    </xf>
    <xf numFmtId="0" fontId="6" fillId="0" borderId="6" xfId="0" applyFont="1" applyFill="1" applyBorder="1"/>
    <xf numFmtId="0" fontId="8" fillId="0" borderId="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39" fontId="8" fillId="0" borderId="7" xfId="0" applyNumberFormat="1" applyFont="1" applyFill="1" applyBorder="1" applyAlignment="1">
      <alignment horizontal="right"/>
    </xf>
    <xf numFmtId="4" fontId="9" fillId="0" borderId="8" xfId="2" applyNumberFormat="1" applyFont="1" applyFill="1" applyBorder="1" applyAlignment="1">
      <alignment horizontal="right" vertical="top"/>
    </xf>
    <xf numFmtId="39" fontId="8" fillId="0" borderId="7" xfId="0" applyNumberFormat="1" applyFont="1" applyFill="1" applyBorder="1" applyAlignment="1">
      <alignment horizontal="right" vertical="top"/>
    </xf>
    <xf numFmtId="39" fontId="4" fillId="0" borderId="7" xfId="0" applyNumberFormat="1" applyFont="1" applyFill="1" applyBorder="1" applyAlignment="1">
      <alignment horizontal="right" vertical="top"/>
    </xf>
    <xf numFmtId="4" fontId="8" fillId="0" borderId="7" xfId="2" applyNumberFormat="1" applyFont="1" applyFill="1" applyBorder="1" applyAlignment="1">
      <alignment horizontal="right"/>
    </xf>
    <xf numFmtId="4" fontId="8" fillId="0" borderId="8" xfId="2" applyNumberFormat="1" applyFont="1" applyFill="1" applyBorder="1" applyAlignment="1">
      <alignment horizontal="right"/>
    </xf>
    <xf numFmtId="10" fontId="9" fillId="0" borderId="7" xfId="2" applyNumberFormat="1" applyFont="1" applyFill="1" applyBorder="1" applyAlignment="1">
      <alignment horizontal="right"/>
    </xf>
    <xf numFmtId="10" fontId="9" fillId="0" borderId="8" xfId="2" applyNumberFormat="1" applyFont="1" applyFill="1" applyBorder="1" applyAlignment="1">
      <alignment horizontal="right"/>
    </xf>
    <xf numFmtId="0" fontId="7" fillId="0" borderId="24" xfId="0" applyFont="1" applyFill="1" applyBorder="1"/>
    <xf numFmtId="0" fontId="6" fillId="0" borderId="25" xfId="0" applyFont="1" applyFill="1" applyBorder="1"/>
    <xf numFmtId="0" fontId="9" fillId="0" borderId="25" xfId="3" applyFont="1" applyFill="1" applyBorder="1" applyAlignment="1">
      <alignment horizontal="left"/>
    </xf>
    <xf numFmtId="37" fontId="9" fillId="0" borderId="25" xfId="0" applyNumberFormat="1" applyFont="1" applyFill="1" applyBorder="1" applyAlignment="1">
      <alignment horizontal="right" vertical="top"/>
    </xf>
    <xf numFmtId="39" fontId="8" fillId="0" borderId="25" xfId="0" applyNumberFormat="1" applyFont="1" applyFill="1" applyBorder="1" applyAlignment="1">
      <alignment horizontal="right"/>
    </xf>
    <xf numFmtId="10" fontId="8" fillId="0" borderId="25" xfId="2" applyNumberFormat="1" applyFont="1" applyFill="1" applyBorder="1" applyAlignment="1">
      <alignment horizontal="right" vertical="top"/>
    </xf>
    <xf numFmtId="10" fontId="8" fillId="0" borderId="26" xfId="2" applyNumberFormat="1" applyFont="1" applyFill="1" applyBorder="1" applyAlignment="1">
      <alignment horizontal="right" vertical="top"/>
    </xf>
    <xf numFmtId="0" fontId="7" fillId="0" borderId="27" xfId="0" applyFont="1" applyFill="1" applyBorder="1"/>
    <xf numFmtId="0" fontId="6" fillId="0" borderId="28" xfId="0" applyFont="1" applyFill="1" applyBorder="1"/>
    <xf numFmtId="0" fontId="9" fillId="0" borderId="28" xfId="3" applyFont="1" applyFill="1" applyBorder="1" applyAlignment="1">
      <alignment horizontal="left"/>
    </xf>
    <xf numFmtId="37" fontId="9" fillId="0" borderId="28" xfId="0" applyNumberFormat="1" applyFont="1" applyFill="1" applyBorder="1" applyAlignment="1">
      <alignment horizontal="right" vertical="top"/>
    </xf>
    <xf numFmtId="39" fontId="8" fillId="0" borderId="28" xfId="0" applyNumberFormat="1" applyFont="1" applyFill="1" applyBorder="1" applyAlignment="1">
      <alignment horizontal="right"/>
    </xf>
    <xf numFmtId="10" fontId="8" fillId="0" borderId="28" xfId="2" applyNumberFormat="1" applyFont="1" applyFill="1" applyBorder="1" applyAlignment="1">
      <alignment horizontal="right" vertical="top"/>
    </xf>
    <xf numFmtId="10" fontId="8" fillId="0" borderId="29" xfId="2" applyNumberFormat="1" applyFont="1" applyFill="1" applyBorder="1" applyAlignment="1">
      <alignment horizontal="right" vertical="top"/>
    </xf>
    <xf numFmtId="0" fontId="6" fillId="0" borderId="4" xfId="0" applyFont="1" applyFill="1" applyBorder="1"/>
    <xf numFmtId="0" fontId="6" fillId="0" borderId="0" xfId="0" applyFont="1" applyFill="1" applyBorder="1"/>
    <xf numFmtId="0" fontId="9" fillId="0" borderId="0" xfId="3" applyFont="1" applyFill="1" applyBorder="1" applyAlignment="1">
      <alignment horizontal="left"/>
    </xf>
    <xf numFmtId="37" fontId="9" fillId="0" borderId="0" xfId="0" applyNumberFormat="1" applyFont="1" applyFill="1" applyBorder="1" applyAlignment="1">
      <alignment horizontal="right" vertical="top"/>
    </xf>
    <xf numFmtId="4" fontId="9" fillId="0" borderId="0" xfId="3" applyNumberFormat="1" applyFont="1" applyFill="1" applyBorder="1" applyAlignment="1">
      <alignment horizontal="right"/>
    </xf>
    <xf numFmtId="4" fontId="9" fillId="0" borderId="5" xfId="2" applyNumberFormat="1" applyFont="1" applyFill="1" applyBorder="1" applyAlignment="1">
      <alignment horizontal="right"/>
    </xf>
    <xf numFmtId="0" fontId="7" fillId="0" borderId="4" xfId="0" applyFont="1" applyFill="1" applyBorder="1"/>
    <xf numFmtId="0" fontId="7" fillId="0" borderId="0" xfId="0" applyFont="1" applyFill="1" applyBorder="1"/>
    <xf numFmtId="0" fontId="6" fillId="0" borderId="4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Fill="1" applyBorder="1" applyAlignment="1">
      <alignment horizontal="right" vertical="center"/>
    </xf>
    <xf numFmtId="164" fontId="6" fillId="0" borderId="5" xfId="0" applyNumberFormat="1" applyFont="1" applyFill="1" applyBorder="1" applyAlignment="1">
      <alignment horizontal="right" vertical="center"/>
    </xf>
    <xf numFmtId="4" fontId="6" fillId="0" borderId="5" xfId="2" applyNumberFormat="1" applyFont="1" applyFill="1" applyBorder="1"/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/>
    <xf numFmtId="4" fontId="6" fillId="0" borderId="18" xfId="2" applyNumberFormat="1" applyFont="1" applyFill="1" applyBorder="1"/>
    <xf numFmtId="4" fontId="10" fillId="0" borderId="7" xfId="0" applyNumberFormat="1" applyFont="1" applyFill="1" applyBorder="1" applyAlignment="1" applyProtection="1">
      <alignment horizontal="right" vertical="top" wrapText="1"/>
    </xf>
    <xf numFmtId="10" fontId="8" fillId="0" borderId="7" xfId="2" applyNumberFormat="1" applyFont="1" applyFill="1" applyBorder="1" applyAlignment="1">
      <alignment horizontal="right"/>
    </xf>
    <xf numFmtId="4" fontId="7" fillId="0" borderId="7" xfId="0" applyNumberFormat="1" applyFont="1" applyFill="1" applyBorder="1" applyAlignment="1">
      <alignment horizontal="right" wrapText="1"/>
    </xf>
    <xf numFmtId="10" fontId="7" fillId="0" borderId="7" xfId="2" applyNumberFormat="1" applyFont="1" applyFill="1" applyBorder="1" applyAlignment="1">
      <alignment horizontal="right" wrapText="1"/>
    </xf>
    <xf numFmtId="0" fontId="6" fillId="0" borderId="7" xfId="0" applyNumberFormat="1" applyFont="1" applyFill="1" applyBorder="1" applyAlignment="1">
      <alignment horizontal="left" wrapText="1"/>
    </xf>
    <xf numFmtId="4" fontId="6" fillId="0" borderId="7" xfId="0" applyNumberFormat="1" applyFont="1" applyFill="1" applyBorder="1" applyAlignment="1">
      <alignment horizontal="left" wrapText="1"/>
    </xf>
    <xf numFmtId="10" fontId="6" fillId="0" borderId="7" xfId="2" applyNumberFormat="1" applyFont="1" applyFill="1" applyBorder="1" applyAlignment="1">
      <alignment horizontal="left" wrapText="1"/>
    </xf>
    <xf numFmtId="10" fontId="6" fillId="0" borderId="14" xfId="2" applyNumberFormat="1" applyFont="1" applyFill="1" applyBorder="1" applyAlignment="1">
      <alignment horizontal="left" wrapText="1"/>
    </xf>
    <xf numFmtId="10" fontId="9" fillId="0" borderId="0" xfId="2" applyNumberFormat="1" applyFont="1" applyFill="1" applyBorder="1" applyAlignment="1">
      <alignment horizontal="right"/>
    </xf>
    <xf numFmtId="166" fontId="9" fillId="0" borderId="0" xfId="2" applyNumberFormat="1" applyFont="1" applyFill="1" applyBorder="1" applyAlignment="1">
      <alignment horizontal="right"/>
    </xf>
    <xf numFmtId="4" fontId="9" fillId="0" borderId="0" xfId="2" applyNumberFormat="1" applyFont="1" applyFill="1" applyBorder="1" applyAlignment="1">
      <alignment horizontal="right"/>
    </xf>
    <xf numFmtId="4" fontId="7" fillId="0" borderId="34" xfId="2" applyNumberFormat="1" applyFont="1" applyFill="1" applyBorder="1" applyAlignment="1">
      <alignment horizontal="center" vertical="center"/>
    </xf>
    <xf numFmtId="4" fontId="7" fillId="0" borderId="14" xfId="2" applyNumberFormat="1" applyFont="1" applyFill="1" applyBorder="1" applyAlignment="1">
      <alignment horizontal="center" vertical="center"/>
    </xf>
    <xf numFmtId="4" fontId="9" fillId="0" borderId="14" xfId="0" applyNumberFormat="1" applyFont="1" applyFill="1" applyBorder="1" applyAlignment="1">
      <alignment horizontal="right" vertical="top"/>
    </xf>
    <xf numFmtId="10" fontId="9" fillId="0" borderId="14" xfId="2" applyNumberFormat="1" applyFont="1" applyFill="1" applyBorder="1" applyAlignment="1">
      <alignment horizontal="right" vertical="top"/>
    </xf>
    <xf numFmtId="10" fontId="8" fillId="0" borderId="14" xfId="2" applyNumberFormat="1" applyFont="1" applyFill="1" applyBorder="1" applyAlignment="1">
      <alignment horizontal="right" vertical="top"/>
    </xf>
    <xf numFmtId="4" fontId="9" fillId="0" borderId="14" xfId="2" applyNumberFormat="1" applyFont="1" applyFill="1" applyBorder="1" applyAlignment="1">
      <alignment horizontal="right" vertical="top"/>
    </xf>
    <xf numFmtId="4" fontId="8" fillId="0" borderId="14" xfId="2" applyNumberFormat="1" applyFont="1" applyFill="1" applyBorder="1" applyAlignment="1">
      <alignment horizontal="right"/>
    </xf>
    <xf numFmtId="10" fontId="9" fillId="0" borderId="14" xfId="2" applyNumberFormat="1" applyFont="1" applyFill="1" applyBorder="1" applyAlignment="1">
      <alignment horizontal="right"/>
    </xf>
    <xf numFmtId="10" fontId="8" fillId="0" borderId="14" xfId="2" applyNumberFormat="1" applyFont="1" applyFill="1" applyBorder="1" applyAlignment="1">
      <alignment horizontal="right"/>
    </xf>
    <xf numFmtId="10" fontId="8" fillId="0" borderId="35" xfId="2" applyNumberFormat="1" applyFont="1" applyFill="1" applyBorder="1" applyAlignment="1">
      <alignment horizontal="right" vertical="top"/>
    </xf>
    <xf numFmtId="10" fontId="8" fillId="0" borderId="36" xfId="2" applyNumberFormat="1" applyFont="1" applyFill="1" applyBorder="1" applyAlignment="1">
      <alignment horizontal="right" vertical="top"/>
    </xf>
    <xf numFmtId="10" fontId="7" fillId="0" borderId="14" xfId="2" applyNumberFormat="1" applyFont="1" applyFill="1" applyBorder="1" applyAlignment="1">
      <alignment horizontal="right" wrapText="1"/>
    </xf>
    <xf numFmtId="0" fontId="7" fillId="0" borderId="6" xfId="0" applyNumberFormat="1" applyFont="1" applyFill="1" applyBorder="1" applyAlignment="1"/>
    <xf numFmtId="0" fontId="6" fillId="0" borderId="6" xfId="0" applyFont="1" applyFill="1" applyBorder="1" applyAlignment="1">
      <alignment horizontal="left"/>
    </xf>
    <xf numFmtId="10" fontId="6" fillId="0" borderId="8" xfId="2" applyNumberFormat="1" applyFont="1" applyFill="1" applyBorder="1" applyAlignment="1">
      <alignment horizontal="left" wrapText="1"/>
    </xf>
    <xf numFmtId="4" fontId="7" fillId="0" borderId="33" xfId="2" applyNumberFormat="1" applyFont="1" applyFill="1" applyBorder="1" applyAlignment="1">
      <alignment horizontal="center" vertical="center" wrapText="1"/>
    </xf>
    <xf numFmtId="4" fontId="7" fillId="0" borderId="11" xfId="2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/>
    <xf numFmtId="4" fontId="6" fillId="0" borderId="7" xfId="0" applyNumberFormat="1" applyFont="1" applyFill="1" applyBorder="1" applyAlignment="1">
      <alignment horizontal="right" wrapText="1"/>
    </xf>
    <xf numFmtId="10" fontId="6" fillId="0" borderId="7" xfId="2" applyNumberFormat="1" applyFont="1" applyFill="1" applyBorder="1" applyAlignment="1">
      <alignment horizontal="right" wrapText="1"/>
    </xf>
    <xf numFmtId="10" fontId="6" fillId="0" borderId="14" xfId="2" applyNumberFormat="1" applyFont="1" applyFill="1" applyBorder="1" applyAlignment="1">
      <alignment horizontal="right" wrapText="1"/>
    </xf>
    <xf numFmtId="2" fontId="6" fillId="0" borderId="7" xfId="0" applyNumberFormat="1" applyFont="1" applyFill="1" applyBorder="1" applyAlignment="1">
      <alignment horizontal="right" wrapText="1"/>
    </xf>
    <xf numFmtId="49" fontId="7" fillId="0" borderId="6" xfId="4" applyNumberFormat="1" applyFont="1" applyFill="1" applyBorder="1" applyAlignment="1" applyProtection="1">
      <alignment horizontal="left"/>
    </xf>
    <xf numFmtId="0" fontId="7" fillId="0" borderId="30" xfId="0" applyFont="1" applyFill="1" applyBorder="1" applyAlignment="1">
      <alignment horizontal="left"/>
    </xf>
    <xf numFmtId="0" fontId="7" fillId="0" borderId="31" xfId="0" applyFont="1" applyFill="1" applyBorder="1" applyAlignment="1">
      <alignment horizontal="left"/>
    </xf>
    <xf numFmtId="0" fontId="7" fillId="0" borderId="31" xfId="0" applyFont="1" applyFill="1" applyBorder="1" applyAlignment="1">
      <alignment horizontal="center"/>
    </xf>
    <xf numFmtId="39" fontId="7" fillId="0" borderId="31" xfId="0" applyNumberFormat="1" applyFont="1" applyFill="1" applyBorder="1" applyAlignment="1">
      <alignment horizontal="center"/>
    </xf>
    <xf numFmtId="39" fontId="7" fillId="0" borderId="31" xfId="0" applyNumberFormat="1" applyFont="1" applyFill="1" applyBorder="1" applyAlignment="1">
      <alignment horizontal="center" wrapText="1"/>
    </xf>
    <xf numFmtId="4" fontId="7" fillId="0" borderId="31" xfId="2" applyNumberFormat="1" applyFont="1" applyFill="1" applyBorder="1" applyAlignment="1">
      <alignment horizontal="center"/>
    </xf>
    <xf numFmtId="4" fontId="7" fillId="0" borderId="34" xfId="2" applyNumberFormat="1" applyFont="1" applyFill="1" applyBorder="1" applyAlignment="1">
      <alignment horizontal="center"/>
    </xf>
    <xf numFmtId="4" fontId="7" fillId="0" borderId="32" xfId="2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center"/>
    </xf>
    <xf numFmtId="39" fontId="7" fillId="0" borderId="7" xfId="0" applyNumberFormat="1" applyFont="1" applyFill="1" applyBorder="1" applyAlignment="1">
      <alignment horizontal="center"/>
    </xf>
    <xf numFmtId="39" fontId="7" fillId="0" borderId="7" xfId="0" applyNumberFormat="1" applyFont="1" applyFill="1" applyBorder="1" applyAlignment="1">
      <alignment horizontal="center" wrapText="1"/>
    </xf>
    <xf numFmtId="4" fontId="7" fillId="0" borderId="7" xfId="2" applyNumberFormat="1" applyFont="1" applyFill="1" applyBorder="1" applyAlignment="1">
      <alignment horizontal="center"/>
    </xf>
    <xf numFmtId="4" fontId="7" fillId="0" borderId="14" xfId="2" applyNumberFormat="1" applyFont="1" applyFill="1" applyBorder="1" applyAlignment="1">
      <alignment horizontal="center"/>
    </xf>
    <xf numFmtId="4" fontId="7" fillId="0" borderId="8" xfId="2" applyNumberFormat="1" applyFont="1" applyFill="1" applyBorder="1" applyAlignment="1">
      <alignment horizontal="center"/>
    </xf>
    <xf numFmtId="0" fontId="7" fillId="0" borderId="6" xfId="0" applyFont="1" applyFill="1" applyBorder="1" applyAlignment="1"/>
    <xf numFmtId="0" fontId="9" fillId="0" borderId="7" xfId="0" applyFont="1" applyFill="1" applyBorder="1" applyAlignment="1">
      <alignment horizontal="left"/>
    </xf>
    <xf numFmtId="0" fontId="9" fillId="0" borderId="7" xfId="0" applyNumberFormat="1" applyFont="1" applyFill="1" applyBorder="1" applyAlignment="1">
      <alignment horizontal="right"/>
    </xf>
    <xf numFmtId="43" fontId="8" fillId="0" borderId="7" xfId="1" applyFont="1" applyFill="1" applyBorder="1" applyAlignment="1">
      <alignment horizontal="right"/>
    </xf>
    <xf numFmtId="10" fontId="8" fillId="0" borderId="8" xfId="2" applyNumberFormat="1" applyFont="1" applyFill="1" applyBorder="1" applyAlignment="1">
      <alignment horizontal="right"/>
    </xf>
    <xf numFmtId="0" fontId="9" fillId="0" borderId="6" xfId="0" applyFont="1" applyFill="1" applyBorder="1" applyAlignment="1">
      <alignment horizontal="left"/>
    </xf>
    <xf numFmtId="43" fontId="9" fillId="0" borderId="7" xfId="1" applyFont="1" applyFill="1" applyBorder="1" applyAlignment="1">
      <alignment horizontal="right"/>
    </xf>
    <xf numFmtId="4" fontId="10" fillId="0" borderId="7" xfId="0" applyNumberFormat="1" applyFont="1" applyFill="1" applyBorder="1" applyAlignment="1" applyProtection="1">
      <alignment horizontal="right" wrapText="1"/>
    </xf>
    <xf numFmtId="0" fontId="8" fillId="0" borderId="6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4" fontId="9" fillId="0" borderId="14" xfId="2" applyNumberFormat="1" applyFont="1" applyFill="1" applyBorder="1" applyAlignment="1">
      <alignment horizontal="right"/>
    </xf>
    <xf numFmtId="4" fontId="9" fillId="0" borderId="8" xfId="2" applyNumberFormat="1" applyFont="1" applyFill="1" applyBorder="1" applyAlignment="1">
      <alignment horizontal="right"/>
    </xf>
    <xf numFmtId="4" fontId="9" fillId="0" borderId="7" xfId="2" applyNumberFormat="1" applyFont="1" applyFill="1" applyBorder="1" applyAlignment="1">
      <alignment horizontal="right"/>
    </xf>
    <xf numFmtId="2" fontId="9" fillId="0" borderId="7" xfId="0" applyNumberFormat="1" applyFont="1" applyFill="1" applyBorder="1" applyAlignment="1">
      <alignment horizontal="right"/>
    </xf>
    <xf numFmtId="10" fontId="10" fillId="0" borderId="7" xfId="2" applyNumberFormat="1" applyFont="1" applyFill="1" applyBorder="1" applyAlignment="1" applyProtection="1">
      <alignment horizontal="right" wrapText="1"/>
    </xf>
    <xf numFmtId="10" fontId="10" fillId="0" borderId="14" xfId="2" applyNumberFormat="1" applyFont="1" applyFill="1" applyBorder="1" applyAlignment="1" applyProtection="1">
      <alignment horizontal="right" wrapText="1"/>
    </xf>
    <xf numFmtId="39" fontId="4" fillId="0" borderId="7" xfId="0" applyNumberFormat="1" applyFont="1" applyFill="1" applyBorder="1" applyAlignment="1">
      <alignment horizontal="right"/>
    </xf>
    <xf numFmtId="0" fontId="7" fillId="0" borderId="24" xfId="0" applyFont="1" applyFill="1" applyBorder="1" applyAlignment="1"/>
    <xf numFmtId="0" fontId="6" fillId="0" borderId="25" xfId="0" applyFont="1" applyFill="1" applyBorder="1" applyAlignment="1"/>
    <xf numFmtId="37" fontId="9" fillId="0" borderId="25" xfId="0" applyNumberFormat="1" applyFont="1" applyFill="1" applyBorder="1" applyAlignment="1">
      <alignment horizontal="right"/>
    </xf>
    <xf numFmtId="10" fontId="8" fillId="0" borderId="25" xfId="2" applyNumberFormat="1" applyFont="1" applyFill="1" applyBorder="1" applyAlignment="1">
      <alignment horizontal="right"/>
    </xf>
    <xf numFmtId="10" fontId="8" fillId="0" borderId="35" xfId="2" applyNumberFormat="1" applyFont="1" applyFill="1" applyBorder="1" applyAlignment="1">
      <alignment horizontal="right"/>
    </xf>
    <xf numFmtId="10" fontId="8" fillId="0" borderId="26" xfId="2" applyNumberFormat="1" applyFont="1" applyFill="1" applyBorder="1" applyAlignment="1">
      <alignment horizontal="right"/>
    </xf>
    <xf numFmtId="0" fontId="7" fillId="0" borderId="27" xfId="0" applyFont="1" applyFill="1" applyBorder="1" applyAlignment="1"/>
    <xf numFmtId="0" fontId="6" fillId="0" borderId="28" xfId="0" applyFont="1" applyFill="1" applyBorder="1" applyAlignment="1"/>
    <xf numFmtId="37" fontId="9" fillId="0" borderId="28" xfId="0" applyNumberFormat="1" applyFont="1" applyFill="1" applyBorder="1" applyAlignment="1">
      <alignment horizontal="right"/>
    </xf>
    <xf numFmtId="10" fontId="8" fillId="0" borderId="28" xfId="2" applyNumberFormat="1" applyFont="1" applyFill="1" applyBorder="1" applyAlignment="1">
      <alignment horizontal="right"/>
    </xf>
    <xf numFmtId="10" fontId="8" fillId="0" borderId="36" xfId="2" applyNumberFormat="1" applyFont="1" applyFill="1" applyBorder="1" applyAlignment="1">
      <alignment horizontal="right"/>
    </xf>
    <xf numFmtId="10" fontId="8" fillId="0" borderId="29" xfId="2" applyNumberFormat="1" applyFont="1" applyFill="1" applyBorder="1" applyAlignment="1">
      <alignment horizontal="right"/>
    </xf>
    <xf numFmtId="0" fontId="12" fillId="0" borderId="0" xfId="0" applyFont="1" applyAlignment="1"/>
    <xf numFmtId="10" fontId="12" fillId="0" borderId="0" xfId="0" applyNumberFormat="1" applyFont="1"/>
    <xf numFmtId="0" fontId="12" fillId="0" borderId="0" xfId="0" applyFont="1" applyAlignment="1">
      <alignment horizontal="right"/>
    </xf>
    <xf numFmtId="0" fontId="6" fillId="0" borderId="12" xfId="0" applyFont="1" applyFill="1" applyBorder="1" applyAlignment="1">
      <alignment horizontal="left" vertical="top"/>
    </xf>
    <xf numFmtId="0" fontId="6" fillId="0" borderId="19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/>
    </xf>
    <xf numFmtId="165" fontId="6" fillId="0" borderId="34" xfId="1" applyNumberFormat="1" applyFont="1" applyFill="1" applyBorder="1" applyAlignment="1">
      <alignment horizontal="center" vertical="center"/>
    </xf>
    <xf numFmtId="165" fontId="6" fillId="0" borderId="38" xfId="1" applyNumberFormat="1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/>
    </xf>
    <xf numFmtId="0" fontId="7" fillId="0" borderId="47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left" vertical="top"/>
    </xf>
    <xf numFmtId="0" fontId="7" fillId="0" borderId="46" xfId="0" applyFont="1" applyFill="1" applyBorder="1" applyAlignment="1">
      <alignment horizontal="left" vertical="top"/>
    </xf>
    <xf numFmtId="0" fontId="7" fillId="0" borderId="47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vertical="top"/>
    </xf>
    <xf numFmtId="0" fontId="6" fillId="0" borderId="43" xfId="0" applyFont="1" applyFill="1" applyBorder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165" fontId="6" fillId="0" borderId="14" xfId="1" applyNumberFormat="1" applyFont="1" applyFill="1" applyBorder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/>
    </xf>
    <xf numFmtId="165" fontId="6" fillId="0" borderId="44" xfId="1" applyNumberFormat="1" applyFont="1" applyFill="1" applyBorder="1" applyAlignment="1">
      <alignment horizontal="center" vertical="center"/>
    </xf>
    <xf numFmtId="165" fontId="6" fillId="0" borderId="15" xfId="1" applyNumberFormat="1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left" vertical="top"/>
    </xf>
    <xf numFmtId="0" fontId="9" fillId="0" borderId="43" xfId="0" applyFont="1" applyFill="1" applyBorder="1" applyAlignment="1">
      <alignment horizontal="left" vertical="top"/>
    </xf>
    <xf numFmtId="0" fontId="9" fillId="0" borderId="38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right"/>
    </xf>
    <xf numFmtId="164" fontId="6" fillId="0" borderId="5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8" fillId="0" borderId="33" xfId="0" applyFont="1" applyFill="1" applyBorder="1" applyAlignment="1">
      <alignment horizontal="center" vertical="top"/>
    </xf>
    <xf numFmtId="0" fontId="8" fillId="0" borderId="48" xfId="0" applyFont="1" applyFill="1" applyBorder="1" applyAlignment="1">
      <alignment horizontal="center" vertical="top"/>
    </xf>
    <xf numFmtId="0" fontId="8" fillId="0" borderId="47" xfId="0" applyFont="1" applyFill="1" applyBorder="1" applyAlignment="1">
      <alignment horizontal="center" vertical="top"/>
    </xf>
    <xf numFmtId="0" fontId="8" fillId="0" borderId="45" xfId="0" applyFont="1" applyFill="1" applyBorder="1" applyAlignment="1">
      <alignment horizontal="left" vertical="top"/>
    </xf>
    <xf numFmtId="0" fontId="8" fillId="0" borderId="46" xfId="0" applyFont="1" applyFill="1" applyBorder="1" applyAlignment="1">
      <alignment horizontal="left" vertical="top"/>
    </xf>
    <xf numFmtId="0" fontId="8" fillId="0" borderId="47" xfId="0" applyFont="1" applyFill="1" applyBorder="1" applyAlignment="1">
      <alignment horizontal="left" vertical="top"/>
    </xf>
    <xf numFmtId="164" fontId="6" fillId="0" borderId="34" xfId="0" applyNumberFormat="1" applyFont="1" applyFill="1" applyBorder="1" applyAlignment="1">
      <alignment horizontal="center" vertical="center"/>
    </xf>
    <xf numFmtId="164" fontId="6" fillId="0" borderId="44" xfId="0" applyNumberFormat="1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164" fontId="6" fillId="0" borderId="15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164" fontId="6" fillId="0" borderId="35" xfId="0" applyNumberFormat="1" applyFont="1" applyFill="1" applyBorder="1" applyAlignment="1">
      <alignment horizontal="center" vertical="center"/>
    </xf>
    <xf numFmtId="164" fontId="6" fillId="0" borderId="42" xfId="0" applyNumberFormat="1" applyFont="1" applyFill="1" applyBorder="1" applyAlignment="1">
      <alignment horizontal="center" vertical="center"/>
    </xf>
    <xf numFmtId="164" fontId="6" fillId="0" borderId="41" xfId="0" applyNumberFormat="1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left" vertical="top"/>
    </xf>
    <xf numFmtId="0" fontId="6" fillId="0" borderId="40" xfId="0" applyFont="1" applyFill="1" applyBorder="1" applyAlignment="1">
      <alignment horizontal="left" vertical="top"/>
    </xf>
    <xf numFmtId="0" fontId="6" fillId="0" borderId="41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/>
    </xf>
    <xf numFmtId="0" fontId="7" fillId="0" borderId="19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164" fontId="6" fillId="0" borderId="19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8" fillId="0" borderId="14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center" vertical="top"/>
    </xf>
    <xf numFmtId="0" fontId="8" fillId="0" borderId="19" xfId="0" applyFont="1" applyFill="1" applyBorder="1" applyAlignment="1">
      <alignment horizontal="center" vertical="top"/>
    </xf>
    <xf numFmtId="0" fontId="8" fillId="0" borderId="13" xfId="0" applyFont="1" applyFill="1" applyBorder="1" applyAlignment="1">
      <alignment horizontal="center" vertical="top"/>
    </xf>
    <xf numFmtId="0" fontId="8" fillId="0" borderId="6" xfId="0" applyFont="1" applyFill="1" applyBorder="1" applyAlignment="1">
      <alignment vertical="top"/>
    </xf>
    <xf numFmtId="0" fontId="8" fillId="0" borderId="7" xfId="0" applyFont="1" applyFill="1" applyBorder="1" applyAlignment="1">
      <alignment vertical="top"/>
    </xf>
    <xf numFmtId="0" fontId="9" fillId="0" borderId="6" xfId="0" applyFont="1" applyFill="1" applyBorder="1" applyAlignment="1">
      <alignment vertical="top"/>
    </xf>
    <xf numFmtId="0" fontId="9" fillId="0" borderId="7" xfId="0" applyFont="1" applyFill="1" applyBorder="1" applyAlignment="1">
      <alignment vertical="top"/>
    </xf>
  </cellXfs>
  <cellStyles count="5">
    <cellStyle name="Comma" xfId="1" builtinId="3"/>
    <cellStyle name="Normal" xfId="0" builtinId="0"/>
    <cellStyle name="Normal 3" xfId="4" xr:uid="{00000000-0005-0000-0000-000002000000}"/>
    <cellStyle name="Normal_Sheet1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0</xdr:rowOff>
    </xdr:from>
    <xdr:to>
      <xdr:col>3</xdr:col>
      <xdr:colOff>923925</xdr:colOff>
      <xdr:row>109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35625"/>
          <a:ext cx="85058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109</xdr:row>
      <xdr:rowOff>0</xdr:rowOff>
    </xdr:from>
    <xdr:to>
      <xdr:col>3</xdr:col>
      <xdr:colOff>923925</xdr:colOff>
      <xdr:row>121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8659475"/>
          <a:ext cx="849630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93</xdr:row>
      <xdr:rowOff>0</xdr:rowOff>
    </xdr:from>
    <xdr:to>
      <xdr:col>5</xdr:col>
      <xdr:colOff>28576</xdr:colOff>
      <xdr:row>106</xdr:row>
      <xdr:rowOff>28575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402050"/>
          <a:ext cx="88582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91</xdr:row>
      <xdr:rowOff>57150</xdr:rowOff>
    </xdr:from>
    <xdr:to>
      <xdr:col>5</xdr:col>
      <xdr:colOff>28575</xdr:colOff>
      <xdr:row>93</xdr:row>
      <xdr:rowOff>66675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35350"/>
          <a:ext cx="88582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3"/>
  <sheetViews>
    <sheetView tabSelected="1" zoomScaleNormal="100" zoomScaleSheetLayoutView="90" workbookViewId="0">
      <pane ySplit="4" topLeftCell="A5" activePane="bottomLeft" state="frozen"/>
      <selection activeCell="A62" sqref="A62"/>
      <selection pane="bottomLeft" sqref="A1:H1"/>
    </sheetView>
  </sheetViews>
  <sheetFormatPr baseColWidth="10" defaultColWidth="9.1640625" defaultRowHeight="13" x14ac:dyDescent="0.15"/>
  <cols>
    <col min="1" max="1" width="70.33203125" style="1" customWidth="1"/>
    <col min="2" max="2" width="20.33203125" style="1" customWidth="1"/>
    <col min="3" max="3" width="23.1640625" style="1" customWidth="1"/>
    <col min="4" max="4" width="19.1640625" style="1" customWidth="1"/>
    <col min="5" max="5" width="19.33203125" style="1" customWidth="1"/>
    <col min="6" max="6" width="19.5" style="1" customWidth="1"/>
    <col min="7" max="7" width="21" style="1" customWidth="1"/>
    <col min="8" max="8" width="19.5" style="7" customWidth="1"/>
    <col min="9" max="9" width="9.1640625" style="1"/>
    <col min="10" max="10" width="10.1640625" style="1" bestFit="1" customWidth="1"/>
    <col min="11" max="16384" width="9.1640625" style="1"/>
  </cols>
  <sheetData>
    <row r="1" spans="1:8" ht="14" thickBot="1" x14ac:dyDescent="0.2">
      <c r="A1" s="197" t="s">
        <v>101</v>
      </c>
      <c r="B1" s="198"/>
      <c r="C1" s="198"/>
      <c r="D1" s="198"/>
      <c r="E1" s="198"/>
      <c r="F1" s="198"/>
      <c r="G1" s="198"/>
      <c r="H1" s="199"/>
    </row>
    <row r="2" spans="1:8" x14ac:dyDescent="0.15">
      <c r="A2" s="197" t="s">
        <v>0</v>
      </c>
      <c r="B2" s="198"/>
      <c r="C2" s="198"/>
      <c r="D2" s="198"/>
      <c r="E2" s="198"/>
      <c r="F2" s="198"/>
      <c r="G2" s="198"/>
      <c r="H2" s="199"/>
    </row>
    <row r="3" spans="1:8" ht="14" thickBot="1" x14ac:dyDescent="0.2">
      <c r="A3" s="9"/>
      <c r="B3" s="10"/>
      <c r="C3" s="11"/>
      <c r="D3" s="11"/>
      <c r="E3" s="11"/>
      <c r="F3" s="11"/>
      <c r="G3" s="11"/>
      <c r="H3" s="12"/>
    </row>
    <row r="4" spans="1:8" ht="39" customHeight="1" thickBot="1" x14ac:dyDescent="0.2">
      <c r="A4" s="200" t="s">
        <v>1</v>
      </c>
      <c r="B4" s="201"/>
      <c r="C4" s="201"/>
      <c r="D4" s="201"/>
      <c r="E4" s="201"/>
      <c r="F4" s="201"/>
      <c r="G4" s="201"/>
      <c r="H4" s="202"/>
    </row>
    <row r="5" spans="1:8" s="2" customFormat="1" ht="14" thickBot="1" x14ac:dyDescent="0.2">
      <c r="A5" s="203"/>
      <c r="B5" s="204"/>
      <c r="C5" s="204"/>
      <c r="D5" s="204"/>
      <c r="E5" s="204"/>
      <c r="F5" s="205"/>
      <c r="G5" s="205"/>
      <c r="H5" s="206"/>
    </row>
    <row r="6" spans="1:8" s="2" customFormat="1" ht="29" thickBot="1" x14ac:dyDescent="0.2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0" t="s">
        <v>90</v>
      </c>
      <c r="H6" s="121" t="s">
        <v>91</v>
      </c>
    </row>
    <row r="7" spans="1:8" s="2" customFormat="1" x14ac:dyDescent="0.15">
      <c r="A7" s="19" t="s">
        <v>8</v>
      </c>
      <c r="B7" s="20"/>
      <c r="C7" s="21"/>
      <c r="D7" s="22"/>
      <c r="E7" s="23"/>
      <c r="F7" s="24"/>
      <c r="G7" s="105"/>
      <c r="H7" s="25"/>
    </row>
    <row r="8" spans="1:8" s="3" customFormat="1" x14ac:dyDescent="0.15">
      <c r="A8" s="26" t="s">
        <v>9</v>
      </c>
      <c r="B8" s="27"/>
      <c r="C8" s="28"/>
      <c r="D8" s="29"/>
      <c r="E8" s="30"/>
      <c r="F8" s="31"/>
      <c r="G8" s="106"/>
      <c r="H8" s="32"/>
    </row>
    <row r="9" spans="1:8" s="3" customFormat="1" ht="15" customHeight="1" x14ac:dyDescent="0.15">
      <c r="A9" s="33" t="s">
        <v>10</v>
      </c>
      <c r="B9" s="34"/>
      <c r="C9" s="35"/>
      <c r="D9" s="36"/>
      <c r="E9" s="37"/>
      <c r="F9" s="37"/>
      <c r="G9" s="107"/>
      <c r="H9" s="38"/>
    </row>
    <row r="10" spans="1:8" s="3" customFormat="1" ht="15" customHeight="1" x14ac:dyDescent="0.15">
      <c r="A10" s="39" t="s">
        <v>56</v>
      </c>
      <c r="B10" s="40" t="s">
        <v>11</v>
      </c>
      <c r="C10" s="41" t="s">
        <v>57</v>
      </c>
      <c r="D10" s="36">
        <v>5000000</v>
      </c>
      <c r="E10" s="42">
        <v>5178.01</v>
      </c>
      <c r="F10" s="43">
        <v>8.3048509999999992E-2</v>
      </c>
      <c r="G10" s="108">
        <v>5.0338000000000001E-2</v>
      </c>
      <c r="H10" s="44"/>
    </row>
    <row r="11" spans="1:8" s="3" customFormat="1" ht="15" customHeight="1" x14ac:dyDescent="0.15">
      <c r="A11" s="39" t="s">
        <v>74</v>
      </c>
      <c r="B11" s="40" t="s">
        <v>73</v>
      </c>
      <c r="C11" s="41" t="s">
        <v>57</v>
      </c>
      <c r="D11" s="36">
        <v>2500000</v>
      </c>
      <c r="E11" s="42">
        <v>2770.23</v>
      </c>
      <c r="F11" s="43">
        <v>4.4430909999999997E-2</v>
      </c>
      <c r="G11" s="108">
        <v>5.2963000000000003E-2</v>
      </c>
      <c r="H11" s="44"/>
    </row>
    <row r="12" spans="1:8" s="3" customFormat="1" ht="15" customHeight="1" x14ac:dyDescent="0.15">
      <c r="A12" s="45"/>
      <c r="B12" s="46"/>
      <c r="C12" s="47"/>
      <c r="D12" s="36"/>
      <c r="E12" s="48"/>
      <c r="F12" s="49"/>
      <c r="G12" s="109"/>
      <c r="H12" s="50"/>
    </row>
    <row r="13" spans="1:8" s="3" customFormat="1" ht="15" customHeight="1" x14ac:dyDescent="0.15">
      <c r="A13" s="45" t="s">
        <v>12</v>
      </c>
      <c r="B13" s="46"/>
      <c r="C13" s="47"/>
      <c r="D13" s="36"/>
      <c r="E13" s="48">
        <f>SUM(E10:E12)</f>
        <v>7948.24</v>
      </c>
      <c r="F13" s="49">
        <f>SUM(F10:F12)</f>
        <v>0.12747941999999998</v>
      </c>
      <c r="G13" s="109"/>
      <c r="H13" s="50"/>
    </row>
    <row r="14" spans="1:8" s="3" customFormat="1" x14ac:dyDescent="0.15">
      <c r="A14" s="26"/>
      <c r="B14" s="27"/>
      <c r="C14" s="28"/>
      <c r="D14" s="29"/>
      <c r="E14" s="30"/>
      <c r="F14" s="31"/>
      <c r="G14" s="106"/>
      <c r="H14" s="32"/>
    </row>
    <row r="15" spans="1:8" s="3" customFormat="1" x14ac:dyDescent="0.15">
      <c r="A15" s="51" t="s">
        <v>13</v>
      </c>
      <c r="B15" s="41"/>
      <c r="C15" s="41"/>
      <c r="D15" s="36"/>
      <c r="E15" s="52"/>
      <c r="F15" s="49"/>
      <c r="G15" s="109"/>
      <c r="H15" s="50"/>
    </row>
    <row r="16" spans="1:8" s="3" customFormat="1" x14ac:dyDescent="0.15">
      <c r="A16" s="39" t="s">
        <v>108</v>
      </c>
      <c r="B16" s="40" t="s">
        <v>14</v>
      </c>
      <c r="C16" s="41" t="s">
        <v>58</v>
      </c>
      <c r="D16" s="36">
        <v>4500000</v>
      </c>
      <c r="E16" s="42">
        <v>4968.75</v>
      </c>
      <c r="F16" s="43">
        <v>7.9692350000000009E-2</v>
      </c>
      <c r="G16" s="108">
        <v>5.4899999999999997E-2</v>
      </c>
      <c r="H16" s="44" t="s">
        <v>33</v>
      </c>
    </row>
    <row r="17" spans="1:8" s="3" customFormat="1" x14ac:dyDescent="0.15">
      <c r="A17" s="39" t="s">
        <v>109</v>
      </c>
      <c r="B17" s="40" t="s">
        <v>15</v>
      </c>
      <c r="C17" s="41" t="s">
        <v>59</v>
      </c>
      <c r="D17" s="36">
        <v>4000000</v>
      </c>
      <c r="E17" s="42">
        <v>4329.9399999999996</v>
      </c>
      <c r="F17" s="43">
        <v>6.9446580000000008E-2</v>
      </c>
      <c r="G17" s="108">
        <v>4.9599999999999998E-2</v>
      </c>
      <c r="H17" s="44" t="s">
        <v>33</v>
      </c>
    </row>
    <row r="18" spans="1:8" s="3" customFormat="1" x14ac:dyDescent="0.15">
      <c r="A18" s="39" t="s">
        <v>110</v>
      </c>
      <c r="B18" s="40" t="s">
        <v>16</v>
      </c>
      <c r="C18" s="41" t="s">
        <v>58</v>
      </c>
      <c r="D18" s="36">
        <v>4000000</v>
      </c>
      <c r="E18" s="42">
        <v>4236.45</v>
      </c>
      <c r="F18" s="43">
        <v>6.7947149999999998E-2</v>
      </c>
      <c r="G18" s="108">
        <v>5.1700000000000003E-2</v>
      </c>
      <c r="H18" s="44" t="s">
        <v>33</v>
      </c>
    </row>
    <row r="19" spans="1:8" s="3" customFormat="1" x14ac:dyDescent="0.15">
      <c r="A19" s="39" t="s">
        <v>111</v>
      </c>
      <c r="B19" s="40" t="s">
        <v>17</v>
      </c>
      <c r="C19" s="41" t="s">
        <v>59</v>
      </c>
      <c r="D19" s="36">
        <v>4000000</v>
      </c>
      <c r="E19" s="42">
        <v>4234.68</v>
      </c>
      <c r="F19" s="43">
        <v>6.7918789999999993E-2</v>
      </c>
      <c r="G19" s="108">
        <v>5.5E-2</v>
      </c>
      <c r="H19" s="44" t="s">
        <v>33</v>
      </c>
    </row>
    <row r="20" spans="1:8" s="3" customFormat="1" x14ac:dyDescent="0.15">
      <c r="A20" s="39" t="s">
        <v>112</v>
      </c>
      <c r="B20" s="40" t="s">
        <v>18</v>
      </c>
      <c r="C20" s="41" t="s">
        <v>58</v>
      </c>
      <c r="D20" s="36">
        <v>4000000</v>
      </c>
      <c r="E20" s="42">
        <v>4110.07</v>
      </c>
      <c r="F20" s="43">
        <v>6.5920240000000005E-2</v>
      </c>
      <c r="G20" s="108">
        <v>5.5500000000000001E-2</v>
      </c>
      <c r="H20" s="44" t="s">
        <v>33</v>
      </c>
    </row>
    <row r="21" spans="1:8" s="3" customFormat="1" x14ac:dyDescent="0.15">
      <c r="A21" s="39" t="s">
        <v>113</v>
      </c>
      <c r="B21" s="40" t="s">
        <v>75</v>
      </c>
      <c r="C21" s="41" t="s">
        <v>58</v>
      </c>
      <c r="D21" s="36">
        <v>4000000</v>
      </c>
      <c r="E21" s="42">
        <v>4042.34</v>
      </c>
      <c r="F21" s="43">
        <v>6.4833840000000004E-2</v>
      </c>
      <c r="G21" s="108">
        <v>5.3400000000000003E-2</v>
      </c>
      <c r="H21" s="44" t="s">
        <v>33</v>
      </c>
    </row>
    <row r="22" spans="1:8" s="3" customFormat="1" x14ac:dyDescent="0.15">
      <c r="A22" s="39" t="s">
        <v>139</v>
      </c>
      <c r="B22" s="40" t="s">
        <v>19</v>
      </c>
      <c r="C22" s="41" t="s">
        <v>58</v>
      </c>
      <c r="D22" s="36">
        <v>3500000</v>
      </c>
      <c r="E22" s="42">
        <v>3682.13</v>
      </c>
      <c r="F22" s="43">
        <v>5.9056540000000005E-2</v>
      </c>
      <c r="G22" s="108">
        <v>5.185E-2</v>
      </c>
      <c r="H22" s="44" t="s">
        <v>33</v>
      </c>
    </row>
    <row r="23" spans="1:8" s="3" customFormat="1" x14ac:dyDescent="0.15">
      <c r="A23" s="39" t="s">
        <v>114</v>
      </c>
      <c r="B23" s="40" t="s">
        <v>29</v>
      </c>
      <c r="C23" s="41" t="s">
        <v>59</v>
      </c>
      <c r="D23" s="36">
        <v>3000000</v>
      </c>
      <c r="E23" s="42">
        <v>3020.24</v>
      </c>
      <c r="F23" s="43">
        <v>4.8440759999999999E-2</v>
      </c>
      <c r="G23" s="108">
        <v>4.9700000000000001E-2</v>
      </c>
      <c r="H23" s="44" t="s">
        <v>33</v>
      </c>
    </row>
    <row r="24" spans="1:8" s="3" customFormat="1" x14ac:dyDescent="0.15">
      <c r="A24" s="39" t="s">
        <v>115</v>
      </c>
      <c r="B24" s="40" t="s">
        <v>20</v>
      </c>
      <c r="C24" s="41" t="s">
        <v>77</v>
      </c>
      <c r="D24" s="36">
        <v>2500000</v>
      </c>
      <c r="E24" s="42">
        <v>2705.09</v>
      </c>
      <c r="F24" s="43">
        <v>4.3386110000000006E-2</v>
      </c>
      <c r="G24" s="108">
        <v>5.7480000000000003E-2</v>
      </c>
      <c r="H24" s="44" t="s">
        <v>33</v>
      </c>
    </row>
    <row r="25" spans="1:8" s="3" customFormat="1" x14ac:dyDescent="0.15">
      <c r="A25" s="39" t="s">
        <v>116</v>
      </c>
      <c r="B25" s="40" t="s">
        <v>21</v>
      </c>
      <c r="C25" s="41" t="s">
        <v>58</v>
      </c>
      <c r="D25" s="36">
        <v>2500000</v>
      </c>
      <c r="E25" s="42">
        <v>2658.48</v>
      </c>
      <c r="F25" s="43">
        <v>4.2638580000000002E-2</v>
      </c>
      <c r="G25" s="108">
        <v>5.4899999999999997E-2</v>
      </c>
      <c r="H25" s="44" t="s">
        <v>33</v>
      </c>
    </row>
    <row r="26" spans="1:8" s="3" customFormat="1" x14ac:dyDescent="0.15">
      <c r="A26" s="39" t="s">
        <v>117</v>
      </c>
      <c r="B26" s="40" t="s">
        <v>76</v>
      </c>
      <c r="C26" s="41" t="s">
        <v>61</v>
      </c>
      <c r="D26" s="36">
        <v>2500000</v>
      </c>
      <c r="E26" s="42">
        <v>2527.34</v>
      </c>
      <c r="F26" s="43">
        <v>4.0535189999999999E-2</v>
      </c>
      <c r="G26" s="108">
        <v>5.0799999999999998E-2</v>
      </c>
      <c r="H26" s="44" t="s">
        <v>33</v>
      </c>
    </row>
    <row r="27" spans="1:8" s="3" customFormat="1" x14ac:dyDescent="0.15">
      <c r="A27" s="39" t="s">
        <v>118</v>
      </c>
      <c r="B27" s="40" t="s">
        <v>23</v>
      </c>
      <c r="C27" s="41" t="s">
        <v>62</v>
      </c>
      <c r="D27" s="36">
        <v>2000000</v>
      </c>
      <c r="E27" s="42">
        <v>2031.44</v>
      </c>
      <c r="F27" s="43">
        <v>3.2581639999999995E-2</v>
      </c>
      <c r="G27" s="108">
        <v>8.6076E-2</v>
      </c>
      <c r="H27" s="44">
        <v>7.0423805849500004E-2</v>
      </c>
    </row>
    <row r="28" spans="1:8" s="3" customFormat="1" x14ac:dyDescent="0.15">
      <c r="A28" s="39" t="s">
        <v>119</v>
      </c>
      <c r="B28" s="40" t="s">
        <v>24</v>
      </c>
      <c r="C28" s="41" t="s">
        <v>59</v>
      </c>
      <c r="D28" s="36">
        <v>1500000</v>
      </c>
      <c r="E28" s="42">
        <v>1671.25</v>
      </c>
      <c r="F28" s="43">
        <v>2.6804700000000001E-2</v>
      </c>
      <c r="G28" s="108">
        <v>5.1499999999999997E-2</v>
      </c>
      <c r="H28" s="44" t="s">
        <v>33</v>
      </c>
    </row>
    <row r="29" spans="1:8" s="3" customFormat="1" x14ac:dyDescent="0.15">
      <c r="A29" s="39" t="s">
        <v>120</v>
      </c>
      <c r="B29" s="40" t="s">
        <v>25</v>
      </c>
      <c r="C29" s="41" t="s">
        <v>60</v>
      </c>
      <c r="D29" s="36">
        <v>1500000</v>
      </c>
      <c r="E29" s="42">
        <v>1582.28</v>
      </c>
      <c r="F29" s="43">
        <v>2.5377670000000001E-2</v>
      </c>
      <c r="G29" s="108">
        <v>9.0345999999999996E-2</v>
      </c>
      <c r="H29" s="44">
        <v>7.4437614729500001E-2</v>
      </c>
    </row>
    <row r="30" spans="1:8" s="3" customFormat="1" x14ac:dyDescent="0.15">
      <c r="A30" s="39" t="s">
        <v>121</v>
      </c>
      <c r="B30" s="40" t="s">
        <v>26</v>
      </c>
      <c r="C30" s="41" t="s">
        <v>61</v>
      </c>
      <c r="D30" s="36">
        <v>1500000</v>
      </c>
      <c r="E30" s="42">
        <v>1501.77</v>
      </c>
      <c r="F30" s="43">
        <v>2.40865E-2</v>
      </c>
      <c r="G30" s="108">
        <v>5.0799999999999998E-2</v>
      </c>
      <c r="H30" s="44" t="s">
        <v>33</v>
      </c>
    </row>
    <row r="31" spans="1:8" s="3" customFormat="1" x14ac:dyDescent="0.15">
      <c r="A31" s="39" t="s">
        <v>122</v>
      </c>
      <c r="B31" s="40" t="s">
        <v>22</v>
      </c>
      <c r="C31" s="41" t="s">
        <v>60</v>
      </c>
      <c r="D31" s="36">
        <v>1000000</v>
      </c>
      <c r="E31" s="42">
        <v>1033.71</v>
      </c>
      <c r="F31" s="43">
        <v>1.657937E-2</v>
      </c>
      <c r="G31" s="108">
        <v>7.9911999999999997E-2</v>
      </c>
      <c r="H31" s="44">
        <v>7.3412023958499995E-2</v>
      </c>
    </row>
    <row r="32" spans="1:8" s="3" customFormat="1" x14ac:dyDescent="0.15">
      <c r="A32" s="39" t="s">
        <v>123</v>
      </c>
      <c r="B32" s="40" t="s">
        <v>28</v>
      </c>
      <c r="C32" s="41" t="s">
        <v>62</v>
      </c>
      <c r="D32" s="36">
        <v>1000000</v>
      </c>
      <c r="E32" s="42">
        <v>1031.45</v>
      </c>
      <c r="F32" s="43">
        <v>1.654309E-2</v>
      </c>
      <c r="G32" s="108">
        <v>8.6655999999999997E-2</v>
      </c>
      <c r="H32" s="44">
        <v>7.4328893288500009E-2</v>
      </c>
    </row>
    <row r="33" spans="1:8" s="3" customFormat="1" x14ac:dyDescent="0.15">
      <c r="A33" s="39" t="s">
        <v>124</v>
      </c>
      <c r="B33" s="40" t="s">
        <v>30</v>
      </c>
      <c r="C33" s="41" t="s">
        <v>59</v>
      </c>
      <c r="D33" s="36">
        <v>500000</v>
      </c>
      <c r="E33" s="42">
        <v>565.13</v>
      </c>
      <c r="F33" s="43">
        <v>9.0638699999999999E-3</v>
      </c>
      <c r="G33" s="108">
        <v>5.1454E-2</v>
      </c>
      <c r="H33" s="44" t="s">
        <v>33</v>
      </c>
    </row>
    <row r="34" spans="1:8" s="3" customFormat="1" x14ac:dyDescent="0.15">
      <c r="A34" s="39" t="s">
        <v>125</v>
      </c>
      <c r="B34" s="40" t="s">
        <v>31</v>
      </c>
      <c r="C34" s="41" t="s">
        <v>61</v>
      </c>
      <c r="D34" s="36">
        <v>500000</v>
      </c>
      <c r="E34" s="42">
        <v>535.86</v>
      </c>
      <c r="F34" s="43">
        <v>8.5944599999999999E-3</v>
      </c>
      <c r="G34" s="108">
        <v>5.4149999999999997E-2</v>
      </c>
      <c r="H34" s="44" t="s">
        <v>33</v>
      </c>
    </row>
    <row r="35" spans="1:8" s="3" customFormat="1" x14ac:dyDescent="0.15">
      <c r="A35" s="39" t="s">
        <v>126</v>
      </c>
      <c r="B35" s="40" t="s">
        <v>27</v>
      </c>
      <c r="C35" s="41" t="s">
        <v>60</v>
      </c>
      <c r="D35" s="36">
        <v>500000</v>
      </c>
      <c r="E35" s="42">
        <v>521.12</v>
      </c>
      <c r="F35" s="43">
        <v>8.3581200000000001E-3</v>
      </c>
      <c r="G35" s="108">
        <v>8.1119999999999998E-2</v>
      </c>
      <c r="H35" s="44">
        <v>7.2237277211000012E-2</v>
      </c>
    </row>
    <row r="36" spans="1:8" s="3" customFormat="1" x14ac:dyDescent="0.15">
      <c r="A36" s="53"/>
      <c r="B36" s="41"/>
      <c r="C36" s="41"/>
      <c r="D36" s="36"/>
      <c r="E36" s="42"/>
      <c r="F36" s="43"/>
      <c r="G36" s="108"/>
      <c r="H36" s="44"/>
    </row>
    <row r="37" spans="1:8" s="3" customFormat="1" ht="15" customHeight="1" x14ac:dyDescent="0.15">
      <c r="A37" s="54" t="s">
        <v>12</v>
      </c>
      <c r="B37" s="55"/>
      <c r="C37" s="55"/>
      <c r="D37" s="36"/>
      <c r="E37" s="48">
        <f>SUM(E16:E36)</f>
        <v>50989.520000000004</v>
      </c>
      <c r="F37" s="49">
        <f>SUM(F16:F36)</f>
        <v>0.81780554999999999</v>
      </c>
      <c r="G37" s="109"/>
      <c r="H37" s="50"/>
    </row>
    <row r="38" spans="1:8" s="3" customFormat="1" ht="15" customHeight="1" x14ac:dyDescent="0.15">
      <c r="A38" s="54"/>
      <c r="B38" s="55"/>
      <c r="C38" s="55"/>
      <c r="D38" s="36"/>
      <c r="E38" s="48"/>
      <c r="F38" s="49"/>
      <c r="G38" s="109"/>
      <c r="H38" s="50"/>
    </row>
    <row r="39" spans="1:8" s="3" customFormat="1" ht="15" customHeight="1" x14ac:dyDescent="0.15">
      <c r="A39" s="54" t="s">
        <v>63</v>
      </c>
      <c r="B39" s="55"/>
      <c r="C39" s="55"/>
      <c r="D39" s="36"/>
      <c r="E39" s="94" t="s">
        <v>66</v>
      </c>
      <c r="F39" s="94" t="s">
        <v>66</v>
      </c>
      <c r="G39" s="109"/>
      <c r="H39" s="50"/>
    </row>
    <row r="40" spans="1:8" s="3" customFormat="1" ht="15" customHeight="1" x14ac:dyDescent="0.15">
      <c r="A40" s="54" t="s">
        <v>64</v>
      </c>
      <c r="B40" s="55"/>
      <c r="C40" s="55"/>
      <c r="D40" s="36"/>
      <c r="E40" s="94" t="s">
        <v>66</v>
      </c>
      <c r="F40" s="94" t="s">
        <v>66</v>
      </c>
      <c r="G40" s="109"/>
      <c r="H40" s="50"/>
    </row>
    <row r="41" spans="1:8" s="3" customFormat="1" ht="15" customHeight="1" x14ac:dyDescent="0.15">
      <c r="A41" s="54" t="s">
        <v>65</v>
      </c>
      <c r="B41" s="55"/>
      <c r="C41" s="55"/>
      <c r="D41" s="36"/>
      <c r="E41" s="94" t="s">
        <v>66</v>
      </c>
      <c r="F41" s="94" t="s">
        <v>66</v>
      </c>
      <c r="G41" s="109"/>
      <c r="H41" s="50"/>
    </row>
    <row r="42" spans="1:8" s="3" customFormat="1" ht="15" customHeight="1" x14ac:dyDescent="0.15">
      <c r="A42" s="54" t="s">
        <v>64</v>
      </c>
      <c r="B42" s="55"/>
      <c r="C42" s="55"/>
      <c r="D42" s="36"/>
      <c r="E42" s="94" t="s">
        <v>66</v>
      </c>
      <c r="F42" s="94" t="s">
        <v>66</v>
      </c>
      <c r="G42" s="109"/>
      <c r="H42" s="50"/>
    </row>
    <row r="43" spans="1:8" s="3" customFormat="1" ht="15" customHeight="1" x14ac:dyDescent="0.15">
      <c r="A43" s="54"/>
      <c r="B43" s="55"/>
      <c r="C43" s="55"/>
      <c r="D43" s="36"/>
      <c r="E43" s="48"/>
      <c r="F43" s="49"/>
      <c r="G43" s="109"/>
      <c r="H43" s="50"/>
    </row>
    <row r="44" spans="1:8" s="3" customFormat="1" ht="15" customHeight="1" x14ac:dyDescent="0.15">
      <c r="A44" s="54" t="s">
        <v>32</v>
      </c>
      <c r="B44" s="55"/>
      <c r="C44" s="55"/>
      <c r="D44" s="36"/>
      <c r="E44" s="56">
        <f>E37+E13</f>
        <v>58937.760000000002</v>
      </c>
      <c r="F44" s="49">
        <f>F37+F13</f>
        <v>0.94528497</v>
      </c>
      <c r="G44" s="109"/>
      <c r="H44" s="50"/>
    </row>
    <row r="45" spans="1:8" s="3" customFormat="1" x14ac:dyDescent="0.15">
      <c r="A45" s="26"/>
      <c r="B45" s="27"/>
      <c r="C45" s="28"/>
      <c r="D45" s="36"/>
      <c r="E45" s="30"/>
      <c r="F45" s="31"/>
      <c r="G45" s="106"/>
      <c r="H45" s="32"/>
    </row>
    <row r="46" spans="1:8" s="3" customFormat="1" ht="14" x14ac:dyDescent="0.15">
      <c r="A46" s="54" t="s">
        <v>67</v>
      </c>
      <c r="B46" s="55"/>
      <c r="C46" s="47"/>
      <c r="D46" s="36"/>
      <c r="E46" s="94" t="s">
        <v>66</v>
      </c>
      <c r="F46" s="94" t="s">
        <v>66</v>
      </c>
      <c r="G46" s="110"/>
      <c r="H46" s="57"/>
    </row>
    <row r="47" spans="1:8" s="4" customFormat="1" ht="14" x14ac:dyDescent="0.15">
      <c r="A47" s="54" t="s">
        <v>64</v>
      </c>
      <c r="B47" s="55"/>
      <c r="C47" s="55" t="s">
        <v>33</v>
      </c>
      <c r="D47" s="36"/>
      <c r="E47" s="94" t="s">
        <v>66</v>
      </c>
      <c r="F47" s="94" t="s">
        <v>66</v>
      </c>
      <c r="G47" s="109"/>
      <c r="H47" s="50"/>
    </row>
    <row r="48" spans="1:8" s="4" customFormat="1" x14ac:dyDescent="0.15">
      <c r="A48" s="54"/>
      <c r="B48" s="55"/>
      <c r="C48" s="55"/>
      <c r="D48" s="36"/>
      <c r="E48" s="56"/>
      <c r="F48" s="56"/>
      <c r="G48" s="109"/>
      <c r="H48" s="50"/>
    </row>
    <row r="49" spans="1:10" s="3" customFormat="1" ht="14" x14ac:dyDescent="0.15">
      <c r="A49" s="54" t="s">
        <v>32</v>
      </c>
      <c r="B49" s="55"/>
      <c r="C49" s="55"/>
      <c r="D49" s="58"/>
      <c r="E49" s="94" t="s">
        <v>66</v>
      </c>
      <c r="F49" s="94" t="s">
        <v>66</v>
      </c>
      <c r="G49" s="109"/>
      <c r="H49" s="50"/>
    </row>
    <row r="50" spans="1:10" s="3" customFormat="1" x14ac:dyDescent="0.15">
      <c r="A50" s="54"/>
      <c r="B50" s="55"/>
      <c r="C50" s="55" t="s">
        <v>34</v>
      </c>
      <c r="D50" s="59"/>
      <c r="E50" s="56"/>
      <c r="F50" s="60"/>
      <c r="G50" s="111"/>
      <c r="H50" s="61"/>
    </row>
    <row r="51" spans="1:10" s="3" customFormat="1" ht="14.25" customHeight="1" x14ac:dyDescent="0.15">
      <c r="A51" s="54" t="s">
        <v>35</v>
      </c>
      <c r="B51" s="55"/>
      <c r="C51" s="55"/>
      <c r="D51" s="59"/>
      <c r="E51" s="42">
        <v>1768.31</v>
      </c>
      <c r="F51" s="62">
        <v>2.8361420000000002E-2</v>
      </c>
      <c r="G51" s="112"/>
      <c r="H51" s="63"/>
    </row>
    <row r="52" spans="1:10" s="3" customFormat="1" ht="14.25" customHeight="1" x14ac:dyDescent="0.15">
      <c r="A52" s="54" t="s">
        <v>32</v>
      </c>
      <c r="B52" s="55"/>
      <c r="C52" s="55"/>
      <c r="D52" s="58"/>
      <c r="E52" s="52">
        <v>1768.31</v>
      </c>
      <c r="F52" s="95">
        <v>2.8361420000000002E-2</v>
      </c>
      <c r="G52" s="113"/>
      <c r="H52" s="50"/>
    </row>
    <row r="53" spans="1:10" s="3" customFormat="1" ht="14.25" customHeight="1" thickBot="1" x14ac:dyDescent="0.2">
      <c r="A53" s="64" t="s">
        <v>36</v>
      </c>
      <c r="B53" s="65"/>
      <c r="C53" s="66"/>
      <c r="D53" s="67"/>
      <c r="E53" s="68">
        <v>1643.0934990000073</v>
      </c>
      <c r="F53" s="69">
        <v>2.6353609999999996E-2</v>
      </c>
      <c r="G53" s="114"/>
      <c r="H53" s="70"/>
    </row>
    <row r="54" spans="1:10" s="3" customFormat="1" ht="14.25" customHeight="1" thickBot="1" x14ac:dyDescent="0.2">
      <c r="A54" s="71" t="s">
        <v>37</v>
      </c>
      <c r="B54" s="72"/>
      <c r="C54" s="73"/>
      <c r="D54" s="74"/>
      <c r="E54" s="75">
        <v>62349.163499000009</v>
      </c>
      <c r="F54" s="76">
        <v>1</v>
      </c>
      <c r="G54" s="115"/>
      <c r="H54" s="77"/>
    </row>
    <row r="55" spans="1:10" s="3" customFormat="1" ht="14.25" customHeight="1" x14ac:dyDescent="0.15">
      <c r="A55" s="78"/>
      <c r="B55" s="79"/>
      <c r="C55" s="80"/>
      <c r="D55" s="81"/>
      <c r="E55" s="82"/>
      <c r="F55" s="82"/>
      <c r="G55" s="82"/>
      <c r="H55" s="83"/>
    </row>
    <row r="56" spans="1:10" s="3" customFormat="1" ht="14.25" customHeight="1" x14ac:dyDescent="0.15">
      <c r="A56" s="84" t="s">
        <v>93</v>
      </c>
      <c r="B56" s="79"/>
      <c r="C56" s="80"/>
      <c r="D56" s="81"/>
      <c r="E56" s="82"/>
      <c r="F56" s="82"/>
      <c r="G56" s="82"/>
      <c r="H56" s="83"/>
    </row>
    <row r="57" spans="1:10" s="3" customFormat="1" ht="14.25" customHeight="1" x14ac:dyDescent="0.15">
      <c r="A57" s="122" t="s">
        <v>92</v>
      </c>
      <c r="B57" s="79"/>
      <c r="C57" s="80"/>
      <c r="D57" s="81"/>
      <c r="E57" s="82"/>
      <c r="F57" s="82"/>
      <c r="G57" s="82"/>
      <c r="H57" s="83"/>
    </row>
    <row r="58" spans="1:10" s="3" customFormat="1" ht="14.25" customHeight="1" x14ac:dyDescent="0.15">
      <c r="A58" s="122"/>
      <c r="B58" s="79"/>
      <c r="C58" s="80"/>
      <c r="D58" s="81"/>
      <c r="E58" s="82"/>
      <c r="F58" s="82"/>
      <c r="G58" s="82"/>
      <c r="H58" s="83"/>
    </row>
    <row r="59" spans="1:10" s="3" customFormat="1" ht="14.25" customHeight="1" x14ac:dyDescent="0.15">
      <c r="A59" s="84" t="s">
        <v>38</v>
      </c>
      <c r="B59" s="85"/>
      <c r="C59" s="207"/>
      <c r="D59" s="207"/>
      <c r="E59" s="207"/>
      <c r="F59" s="207"/>
      <c r="G59" s="207"/>
      <c r="H59" s="208"/>
    </row>
    <row r="60" spans="1:10" s="2" customFormat="1" ht="14.25" customHeight="1" x14ac:dyDescent="0.15">
      <c r="A60" s="209" t="s">
        <v>95</v>
      </c>
      <c r="B60" s="210"/>
      <c r="C60" s="210"/>
      <c r="D60" s="210"/>
      <c r="E60" s="210"/>
      <c r="F60" s="210"/>
      <c r="G60" s="210"/>
      <c r="H60" s="211"/>
    </row>
    <row r="61" spans="1:10" s="2" customFormat="1" ht="14.25" customHeight="1" thickBot="1" x14ac:dyDescent="0.2">
      <c r="A61" s="78" t="s">
        <v>39</v>
      </c>
      <c r="B61" s="79"/>
      <c r="C61" s="207"/>
      <c r="D61" s="207"/>
      <c r="E61" s="207"/>
      <c r="F61" s="207"/>
      <c r="G61" s="207"/>
      <c r="H61" s="208"/>
    </row>
    <row r="62" spans="1:10" s="2" customFormat="1" ht="14.25" customHeight="1" thickBot="1" x14ac:dyDescent="0.2">
      <c r="A62" s="215" t="s">
        <v>40</v>
      </c>
      <c r="B62" s="216"/>
      <c r="C62" s="216"/>
      <c r="D62" s="217"/>
      <c r="E62" s="212" t="s">
        <v>94</v>
      </c>
      <c r="F62" s="214"/>
      <c r="G62" s="212" t="s">
        <v>72</v>
      </c>
      <c r="H62" s="213"/>
      <c r="J62" s="8"/>
    </row>
    <row r="63" spans="1:10" s="2" customFormat="1" ht="14.25" customHeight="1" x14ac:dyDescent="0.15">
      <c r="A63" s="194" t="s">
        <v>41</v>
      </c>
      <c r="B63" s="195"/>
      <c r="C63" s="195"/>
      <c r="D63" s="196"/>
      <c r="E63" s="218">
        <v>1016.7154</v>
      </c>
      <c r="F63" s="222"/>
      <c r="G63" s="218">
        <v>1011.2192</v>
      </c>
      <c r="H63" s="219"/>
    </row>
    <row r="64" spans="1:10" s="2" customFormat="1" ht="14.25" customHeight="1" x14ac:dyDescent="0.15">
      <c r="A64" s="176" t="s">
        <v>42</v>
      </c>
      <c r="B64" s="177"/>
      <c r="C64" s="177"/>
      <c r="D64" s="178"/>
      <c r="E64" s="218">
        <v>1016.606</v>
      </c>
      <c r="F64" s="222"/>
      <c r="G64" s="220">
        <v>1011.1</v>
      </c>
      <c r="H64" s="221"/>
    </row>
    <row r="65" spans="1:10" s="3" customFormat="1" ht="14.25" customHeight="1" x14ac:dyDescent="0.15">
      <c r="A65" s="176" t="s">
        <v>43</v>
      </c>
      <c r="B65" s="177"/>
      <c r="C65" s="177"/>
      <c r="D65" s="178"/>
      <c r="E65" s="218">
        <v>1011.9598</v>
      </c>
      <c r="F65" s="222"/>
      <c r="G65" s="220">
        <v>1009.455</v>
      </c>
      <c r="H65" s="221"/>
      <c r="J65" s="2"/>
    </row>
    <row r="66" spans="1:10" s="2" customFormat="1" ht="14.25" customHeight="1" x14ac:dyDescent="0.15">
      <c r="A66" s="176" t="s">
        <v>44</v>
      </c>
      <c r="B66" s="177"/>
      <c r="C66" s="177"/>
      <c r="D66" s="178"/>
      <c r="E66" s="218">
        <v>1011.0540999999999</v>
      </c>
      <c r="F66" s="222"/>
      <c r="G66" s="220">
        <v>1008.2688000000001</v>
      </c>
      <c r="H66" s="221"/>
    </row>
    <row r="67" spans="1:10" s="2" customFormat="1" ht="14.25" customHeight="1" x14ac:dyDescent="0.15">
      <c r="A67" s="176" t="s">
        <v>45</v>
      </c>
      <c r="B67" s="177"/>
      <c r="C67" s="177"/>
      <c r="D67" s="178"/>
      <c r="E67" s="218">
        <v>1016.532</v>
      </c>
      <c r="F67" s="222"/>
      <c r="G67" s="220">
        <v>1011.072</v>
      </c>
      <c r="H67" s="221"/>
    </row>
    <row r="68" spans="1:10" s="2" customFormat="1" ht="14.25" customHeight="1" x14ac:dyDescent="0.15">
      <c r="A68" s="176" t="s">
        <v>46</v>
      </c>
      <c r="B68" s="177"/>
      <c r="C68" s="177"/>
      <c r="D68" s="178"/>
      <c r="E68" s="218">
        <v>1016.7184999999999</v>
      </c>
      <c r="F68" s="222"/>
      <c r="G68" s="220">
        <v>1011.222</v>
      </c>
      <c r="H68" s="221"/>
    </row>
    <row r="69" spans="1:10" s="2" customFormat="1" ht="14.25" customHeight="1" x14ac:dyDescent="0.15">
      <c r="A69" s="176" t="s">
        <v>47</v>
      </c>
      <c r="B69" s="177"/>
      <c r="C69" s="177"/>
      <c r="D69" s="178"/>
      <c r="E69" s="218">
        <v>1018.3904</v>
      </c>
      <c r="F69" s="222"/>
      <c r="G69" s="220">
        <v>1012.4551</v>
      </c>
      <c r="H69" s="221"/>
    </row>
    <row r="70" spans="1:10" s="2" customFormat="1" ht="14.25" customHeight="1" x14ac:dyDescent="0.15">
      <c r="A70" s="176" t="s">
        <v>48</v>
      </c>
      <c r="B70" s="177"/>
      <c r="C70" s="177"/>
      <c r="D70" s="178"/>
      <c r="E70" s="218">
        <v>1018.5678</v>
      </c>
      <c r="F70" s="222"/>
      <c r="G70" s="220">
        <v>1012.5733</v>
      </c>
      <c r="H70" s="221"/>
    </row>
    <row r="71" spans="1:10" s="2" customFormat="1" ht="14.25" customHeight="1" x14ac:dyDescent="0.15">
      <c r="A71" s="176" t="s">
        <v>49</v>
      </c>
      <c r="B71" s="177"/>
      <c r="C71" s="177"/>
      <c r="D71" s="178"/>
      <c r="E71" s="218">
        <v>1013.2476</v>
      </c>
      <c r="F71" s="222"/>
      <c r="G71" s="220">
        <v>1010.5874</v>
      </c>
      <c r="H71" s="221"/>
    </row>
    <row r="72" spans="1:10" s="3" customFormat="1" ht="14.25" customHeight="1" x14ac:dyDescent="0.15">
      <c r="A72" s="176" t="s">
        <v>50</v>
      </c>
      <c r="B72" s="177"/>
      <c r="C72" s="177"/>
      <c r="D72" s="178"/>
      <c r="E72" s="218">
        <v>1012.8057</v>
      </c>
      <c r="F72" s="222"/>
      <c r="G72" s="220">
        <v>1009.674</v>
      </c>
      <c r="H72" s="221"/>
      <c r="J72" s="2"/>
    </row>
    <row r="73" spans="1:10" s="2" customFormat="1" ht="14.25" customHeight="1" x14ac:dyDescent="0.15">
      <c r="A73" s="176" t="s">
        <v>51</v>
      </c>
      <c r="B73" s="177"/>
      <c r="C73" s="177"/>
      <c r="D73" s="178"/>
      <c r="E73" s="218">
        <v>1018.4027</v>
      </c>
      <c r="F73" s="222"/>
      <c r="G73" s="220">
        <v>1012.4637</v>
      </c>
      <c r="H73" s="221"/>
    </row>
    <row r="74" spans="1:10" s="2" customFormat="1" ht="14.25" customHeight="1" thickBot="1" x14ac:dyDescent="0.2">
      <c r="A74" s="228" t="s">
        <v>52</v>
      </c>
      <c r="B74" s="229"/>
      <c r="C74" s="229"/>
      <c r="D74" s="230"/>
      <c r="E74" s="225">
        <v>1018.3921</v>
      </c>
      <c r="F74" s="227"/>
      <c r="G74" s="225">
        <v>1012.4558</v>
      </c>
      <c r="H74" s="226"/>
    </row>
    <row r="75" spans="1:10" s="3" customFormat="1" ht="14.25" customHeight="1" x14ac:dyDescent="0.15">
      <c r="A75" s="86"/>
      <c r="B75" s="87"/>
      <c r="C75" s="88"/>
      <c r="D75" s="88"/>
      <c r="E75" s="88"/>
      <c r="F75" s="88"/>
      <c r="G75" s="88"/>
      <c r="H75" s="89"/>
    </row>
    <row r="76" spans="1:10" s="3" customFormat="1" ht="14.25" customHeight="1" thickBot="1" x14ac:dyDescent="0.2">
      <c r="A76" s="78" t="s">
        <v>99</v>
      </c>
      <c r="B76" s="79"/>
      <c r="C76" s="223"/>
      <c r="D76" s="223"/>
      <c r="E76" s="223"/>
      <c r="F76" s="223"/>
      <c r="G76" s="223"/>
      <c r="H76" s="224"/>
    </row>
    <row r="77" spans="1:10" s="3" customFormat="1" ht="14.25" customHeight="1" thickBot="1" x14ac:dyDescent="0.2">
      <c r="A77" s="183" t="s">
        <v>53</v>
      </c>
      <c r="B77" s="184"/>
      <c r="C77" s="184"/>
      <c r="D77" s="185"/>
      <c r="E77" s="181" t="s">
        <v>54</v>
      </c>
      <c r="F77" s="182"/>
      <c r="G77" s="181" t="s">
        <v>55</v>
      </c>
      <c r="H77" s="191"/>
    </row>
    <row r="78" spans="1:10" s="3" customFormat="1" ht="14.25" customHeight="1" x14ac:dyDescent="0.15">
      <c r="A78" s="186" t="s">
        <v>42</v>
      </c>
      <c r="B78" s="187"/>
      <c r="C78" s="187"/>
      <c r="D78" s="188"/>
      <c r="E78" s="179">
        <v>0</v>
      </c>
      <c r="F78" s="180"/>
      <c r="G78" s="179">
        <v>0</v>
      </c>
      <c r="H78" s="192"/>
    </row>
    <row r="79" spans="1:10" s="5" customFormat="1" ht="14.25" customHeight="1" x14ac:dyDescent="0.15">
      <c r="A79" s="176" t="s">
        <v>43</v>
      </c>
      <c r="B79" s="177"/>
      <c r="C79" s="177"/>
      <c r="D79" s="178"/>
      <c r="E79" s="189">
        <v>3.5</v>
      </c>
      <c r="F79" s="190"/>
      <c r="G79" s="189">
        <v>3.5</v>
      </c>
      <c r="H79" s="190"/>
    </row>
    <row r="80" spans="1:10" s="5" customFormat="1" ht="14.25" customHeight="1" x14ac:dyDescent="0.15">
      <c r="A80" s="176" t="s">
        <v>44</v>
      </c>
      <c r="B80" s="177"/>
      <c r="C80" s="177"/>
      <c r="D80" s="178"/>
      <c r="E80" s="189">
        <v>2.8</v>
      </c>
      <c r="F80" s="190"/>
      <c r="G80" s="189">
        <v>2.8</v>
      </c>
      <c r="H80" s="193"/>
    </row>
    <row r="81" spans="1:8" s="3" customFormat="1" ht="14.25" customHeight="1" x14ac:dyDescent="0.15">
      <c r="A81" s="176" t="s">
        <v>45</v>
      </c>
      <c r="B81" s="177"/>
      <c r="C81" s="177"/>
      <c r="D81" s="178"/>
      <c r="E81" s="189">
        <v>0</v>
      </c>
      <c r="F81" s="190"/>
      <c r="G81" s="189">
        <v>0</v>
      </c>
      <c r="H81" s="193"/>
    </row>
    <row r="82" spans="1:8" s="5" customFormat="1" ht="14.25" customHeight="1" x14ac:dyDescent="0.15">
      <c r="A82" s="176" t="s">
        <v>46</v>
      </c>
      <c r="B82" s="177"/>
      <c r="C82" s="177"/>
      <c r="D82" s="178"/>
      <c r="E82" s="189">
        <v>0</v>
      </c>
      <c r="F82" s="190"/>
      <c r="G82" s="189">
        <v>0</v>
      </c>
      <c r="H82" s="193"/>
    </row>
    <row r="83" spans="1:8" s="5" customFormat="1" ht="14.25" customHeight="1" x14ac:dyDescent="0.15">
      <c r="A83" s="176" t="s">
        <v>48</v>
      </c>
      <c r="B83" s="177"/>
      <c r="C83" s="177"/>
      <c r="D83" s="178"/>
      <c r="E83" s="189">
        <v>0</v>
      </c>
      <c r="F83" s="190"/>
      <c r="G83" s="189">
        <v>0</v>
      </c>
      <c r="H83" s="193"/>
    </row>
    <row r="84" spans="1:8" s="5" customFormat="1" ht="14.25" customHeight="1" x14ac:dyDescent="0.15">
      <c r="A84" s="176" t="s">
        <v>49</v>
      </c>
      <c r="B84" s="177"/>
      <c r="C84" s="177"/>
      <c r="D84" s="178"/>
      <c r="E84" s="189">
        <v>3.5</v>
      </c>
      <c r="F84" s="190"/>
      <c r="G84" s="189">
        <v>3.5</v>
      </c>
      <c r="H84" s="190"/>
    </row>
    <row r="85" spans="1:8" s="5" customFormat="1" ht="14.25" customHeight="1" x14ac:dyDescent="0.15">
      <c r="A85" s="176" t="s">
        <v>50</v>
      </c>
      <c r="B85" s="177"/>
      <c r="C85" s="177"/>
      <c r="D85" s="178"/>
      <c r="E85" s="189">
        <v>2.8</v>
      </c>
      <c r="F85" s="190"/>
      <c r="G85" s="189">
        <v>2.8</v>
      </c>
      <c r="H85" s="193"/>
    </row>
    <row r="86" spans="1:8" s="5" customFormat="1" ht="14.25" customHeight="1" x14ac:dyDescent="0.15">
      <c r="A86" s="176" t="s">
        <v>51</v>
      </c>
      <c r="B86" s="177"/>
      <c r="C86" s="177"/>
      <c r="D86" s="178"/>
      <c r="E86" s="189">
        <v>0</v>
      </c>
      <c r="F86" s="190"/>
      <c r="G86" s="189">
        <v>0</v>
      </c>
      <c r="H86" s="193"/>
    </row>
    <row r="87" spans="1:8" s="5" customFormat="1" ht="14.25" customHeight="1" x14ac:dyDescent="0.15">
      <c r="A87" s="176" t="s">
        <v>52</v>
      </c>
      <c r="B87" s="177"/>
      <c r="C87" s="177"/>
      <c r="D87" s="178"/>
      <c r="E87" s="189">
        <v>0</v>
      </c>
      <c r="F87" s="190"/>
      <c r="G87" s="189">
        <v>0</v>
      </c>
      <c r="H87" s="193"/>
    </row>
    <row r="88" spans="1:8" ht="14.25" customHeight="1" x14ac:dyDescent="0.15">
      <c r="A88" s="78" t="s">
        <v>102</v>
      </c>
      <c r="B88" s="79"/>
      <c r="C88" s="79"/>
      <c r="D88" s="79"/>
      <c r="E88" s="79"/>
      <c r="F88" s="79"/>
      <c r="G88" s="79"/>
      <c r="H88" s="90"/>
    </row>
    <row r="89" spans="1:8" ht="14.25" customHeight="1" x14ac:dyDescent="0.15">
      <c r="A89" s="78" t="s">
        <v>96</v>
      </c>
      <c r="B89" s="79"/>
      <c r="C89" s="79"/>
      <c r="D89" s="79"/>
      <c r="E89" s="79"/>
      <c r="F89" s="79"/>
      <c r="G89" s="79"/>
      <c r="H89" s="90"/>
    </row>
    <row r="90" spans="1:8" ht="14.25" customHeight="1" x14ac:dyDescent="0.15">
      <c r="A90" s="78" t="s">
        <v>97</v>
      </c>
      <c r="B90" s="79"/>
      <c r="C90" s="79"/>
      <c r="D90" s="79"/>
      <c r="E90" s="79"/>
      <c r="F90" s="79"/>
      <c r="G90" s="79"/>
      <c r="H90" s="90"/>
    </row>
    <row r="91" spans="1:8" ht="14.25" customHeight="1" x14ac:dyDescent="0.15">
      <c r="A91" s="78" t="s">
        <v>100</v>
      </c>
      <c r="B91" s="79"/>
      <c r="C91" s="79"/>
      <c r="D91" s="79"/>
      <c r="E91" s="79"/>
      <c r="F91" s="79"/>
      <c r="G91" s="79"/>
      <c r="H91" s="90"/>
    </row>
    <row r="92" spans="1:8" ht="14.25" customHeight="1" x14ac:dyDescent="0.15">
      <c r="A92" s="78" t="s">
        <v>98</v>
      </c>
      <c r="B92" s="79"/>
      <c r="C92" s="79"/>
      <c r="D92" s="79"/>
      <c r="E92" s="79"/>
      <c r="F92" s="79"/>
      <c r="G92" s="79"/>
      <c r="H92" s="90"/>
    </row>
    <row r="93" spans="1:8" s="5" customFormat="1" ht="14.25" customHeight="1" x14ac:dyDescent="0.15">
      <c r="A93" s="78" t="s">
        <v>137</v>
      </c>
      <c r="B93" s="79"/>
      <c r="C93" s="79"/>
      <c r="D93" s="79"/>
      <c r="E93" s="79"/>
      <c r="F93" s="79"/>
      <c r="G93" s="79"/>
      <c r="H93" s="90"/>
    </row>
    <row r="94" spans="1:8" s="5" customFormat="1" ht="14.25" customHeight="1" x14ac:dyDescent="0.15">
      <c r="A94" s="78" t="s">
        <v>68</v>
      </c>
      <c r="B94" s="79"/>
      <c r="C94" s="79"/>
      <c r="D94" s="79"/>
      <c r="E94" s="79"/>
      <c r="F94" s="79"/>
      <c r="G94" s="79"/>
      <c r="H94" s="90"/>
    </row>
    <row r="95" spans="1:8" s="5" customFormat="1" ht="14.25" customHeight="1" x14ac:dyDescent="0.15">
      <c r="A95" s="78" t="s">
        <v>69</v>
      </c>
      <c r="B95" s="79"/>
      <c r="C95" s="79"/>
      <c r="D95" s="79"/>
      <c r="E95" s="79"/>
      <c r="F95" s="79"/>
      <c r="G95" s="79"/>
      <c r="H95" s="90"/>
    </row>
    <row r="96" spans="1:8" s="5" customFormat="1" ht="14.25" customHeight="1" x14ac:dyDescent="0.15">
      <c r="A96" s="78" t="s">
        <v>70</v>
      </c>
      <c r="B96" s="79"/>
      <c r="C96" s="79"/>
      <c r="D96" s="79"/>
      <c r="E96" s="79"/>
      <c r="F96" s="79"/>
      <c r="G96" s="79"/>
      <c r="H96" s="90"/>
    </row>
    <row r="97" spans="1:8" s="5" customFormat="1" ht="14.25" customHeight="1" thickBot="1" x14ac:dyDescent="0.2">
      <c r="A97" s="91"/>
      <c r="B97" s="92"/>
      <c r="C97" s="92"/>
      <c r="D97" s="92"/>
      <c r="E97" s="92"/>
      <c r="F97" s="92"/>
      <c r="G97" s="92"/>
      <c r="H97" s="93"/>
    </row>
    <row r="98" spans="1:8" s="5" customFormat="1" ht="14.25" customHeight="1" x14ac:dyDescent="0.15">
      <c r="A98" s="3"/>
      <c r="B98" s="3"/>
      <c r="C98" s="3"/>
      <c r="D98" s="3"/>
      <c r="E98" s="3"/>
      <c r="F98" s="3"/>
      <c r="G98" s="3"/>
      <c r="H98" s="6"/>
    </row>
    <row r="100" spans="1:8" ht="14" x14ac:dyDescent="0.15">
      <c r="A100" s="173" t="s">
        <v>140</v>
      </c>
      <c r="B100" s="174">
        <v>5.57E-2</v>
      </c>
    </row>
    <row r="101" spans="1:8" ht="14" x14ac:dyDescent="0.15">
      <c r="A101" s="173" t="s">
        <v>141</v>
      </c>
      <c r="B101" s="174">
        <v>5.4399999999999997E-2</v>
      </c>
    </row>
    <row r="102" spans="1:8" ht="14" x14ac:dyDescent="0.15">
      <c r="A102" s="173" t="s">
        <v>142</v>
      </c>
      <c r="B102" s="175" t="s">
        <v>143</v>
      </c>
    </row>
    <row r="103" spans="1:8" ht="14" x14ac:dyDescent="0.15">
      <c r="A103" s="173" t="s">
        <v>144</v>
      </c>
      <c r="B103" s="175" t="s">
        <v>145</v>
      </c>
    </row>
  </sheetData>
  <mergeCells count="83">
    <mergeCell ref="G85:H85"/>
    <mergeCell ref="G86:H86"/>
    <mergeCell ref="G87:H87"/>
    <mergeCell ref="E87:F87"/>
    <mergeCell ref="E86:F86"/>
    <mergeCell ref="E85:F85"/>
    <mergeCell ref="G83:H83"/>
    <mergeCell ref="G84:H84"/>
    <mergeCell ref="E84:F84"/>
    <mergeCell ref="E83:F83"/>
    <mergeCell ref="A83:D83"/>
    <mergeCell ref="A84:D84"/>
    <mergeCell ref="G82:H82"/>
    <mergeCell ref="E82:F82"/>
    <mergeCell ref="E81:F81"/>
    <mergeCell ref="A81:D81"/>
    <mergeCell ref="A82:D82"/>
    <mergeCell ref="G72:H72"/>
    <mergeCell ref="E71:F71"/>
    <mergeCell ref="E72:F72"/>
    <mergeCell ref="C76:D76"/>
    <mergeCell ref="E76:H76"/>
    <mergeCell ref="G73:H73"/>
    <mergeCell ref="G74:H74"/>
    <mergeCell ref="E73:F73"/>
    <mergeCell ref="E74:F74"/>
    <mergeCell ref="A73:D73"/>
    <mergeCell ref="A74:D74"/>
    <mergeCell ref="G69:H69"/>
    <mergeCell ref="G70:H70"/>
    <mergeCell ref="E69:F69"/>
    <mergeCell ref="E70:F70"/>
    <mergeCell ref="G71:H71"/>
    <mergeCell ref="G66:H66"/>
    <mergeCell ref="E65:F65"/>
    <mergeCell ref="E66:F66"/>
    <mergeCell ref="G67:H67"/>
    <mergeCell ref="G68:H68"/>
    <mergeCell ref="E67:F67"/>
    <mergeCell ref="E68:F68"/>
    <mergeCell ref="G63:H63"/>
    <mergeCell ref="G64:H64"/>
    <mergeCell ref="E63:F63"/>
    <mergeCell ref="E64:F64"/>
    <mergeCell ref="G65:H65"/>
    <mergeCell ref="A60:H60"/>
    <mergeCell ref="C61:D61"/>
    <mergeCell ref="E61:H61"/>
    <mergeCell ref="G62:H62"/>
    <mergeCell ref="E62:F62"/>
    <mergeCell ref="A62:D62"/>
    <mergeCell ref="A1:H1"/>
    <mergeCell ref="A2:H2"/>
    <mergeCell ref="A4:H4"/>
    <mergeCell ref="A5:H5"/>
    <mergeCell ref="C59:D59"/>
    <mergeCell ref="E59:H59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G77:H77"/>
    <mergeCell ref="G78:H78"/>
    <mergeCell ref="G79:H79"/>
    <mergeCell ref="G80:H80"/>
    <mergeCell ref="G81:H81"/>
    <mergeCell ref="A86:D86"/>
    <mergeCell ref="A87:D87"/>
    <mergeCell ref="E78:F78"/>
    <mergeCell ref="E77:F77"/>
    <mergeCell ref="A77:D77"/>
    <mergeCell ref="A78:D78"/>
    <mergeCell ref="A79:D79"/>
    <mergeCell ref="E80:F80"/>
    <mergeCell ref="E79:F79"/>
    <mergeCell ref="A80:D80"/>
    <mergeCell ref="A85:D85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zoomScaleNormal="100" zoomScaleSheetLayoutView="90" workbookViewId="0">
      <pane ySplit="4" topLeftCell="A5" activePane="bottomLeft" state="frozen"/>
      <selection activeCell="A62" sqref="A62"/>
      <selection pane="bottomLeft" sqref="A1:H1"/>
    </sheetView>
  </sheetViews>
  <sheetFormatPr baseColWidth="10" defaultColWidth="9.1640625" defaultRowHeight="13" x14ac:dyDescent="0.15"/>
  <cols>
    <col min="1" max="1" width="65.1640625" style="1" customWidth="1"/>
    <col min="2" max="2" width="20.33203125" style="1" customWidth="1"/>
    <col min="3" max="3" width="16.5" style="1" customWidth="1"/>
    <col min="4" max="4" width="14.6640625" style="1" customWidth="1"/>
    <col min="5" max="5" width="15.83203125" style="1" customWidth="1"/>
    <col min="6" max="6" width="16.33203125" style="1" customWidth="1"/>
    <col min="7" max="7" width="16.6640625" style="1" customWidth="1"/>
    <col min="8" max="8" width="15.83203125" style="7" customWidth="1"/>
    <col min="9" max="16384" width="9.1640625" style="1"/>
  </cols>
  <sheetData>
    <row r="1" spans="1:8" ht="14" thickBot="1" x14ac:dyDescent="0.2">
      <c r="A1" s="197" t="s">
        <v>101</v>
      </c>
      <c r="B1" s="198"/>
      <c r="C1" s="198"/>
      <c r="D1" s="198"/>
      <c r="E1" s="198"/>
      <c r="F1" s="198"/>
      <c r="G1" s="198"/>
      <c r="H1" s="199"/>
    </row>
    <row r="2" spans="1:8" x14ac:dyDescent="0.15">
      <c r="A2" s="197" t="s">
        <v>0</v>
      </c>
      <c r="B2" s="198"/>
      <c r="C2" s="198"/>
      <c r="D2" s="198"/>
      <c r="E2" s="198"/>
      <c r="F2" s="198"/>
      <c r="G2" s="198"/>
      <c r="H2" s="199"/>
    </row>
    <row r="3" spans="1:8" ht="14" thickBot="1" x14ac:dyDescent="0.2">
      <c r="A3" s="9"/>
      <c r="B3" s="10"/>
      <c r="C3" s="11"/>
      <c r="D3" s="11"/>
      <c r="E3" s="11"/>
      <c r="F3" s="11"/>
      <c r="G3" s="11"/>
      <c r="H3" s="12"/>
    </row>
    <row r="4" spans="1:8" ht="39" customHeight="1" thickBot="1" x14ac:dyDescent="0.2">
      <c r="A4" s="200" t="s">
        <v>71</v>
      </c>
      <c r="B4" s="201"/>
      <c r="C4" s="201"/>
      <c r="D4" s="201"/>
      <c r="E4" s="201"/>
      <c r="F4" s="201"/>
      <c r="G4" s="201"/>
      <c r="H4" s="202"/>
    </row>
    <row r="5" spans="1:8" s="2" customFormat="1" ht="14" thickBot="1" x14ac:dyDescent="0.2">
      <c r="A5" s="203"/>
      <c r="B5" s="204"/>
      <c r="C5" s="204"/>
      <c r="D5" s="204"/>
      <c r="E5" s="204"/>
      <c r="F5" s="205"/>
      <c r="G5" s="205"/>
      <c r="H5" s="206"/>
    </row>
    <row r="6" spans="1:8" s="2" customFormat="1" ht="43" thickBot="1" x14ac:dyDescent="0.2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0" t="s">
        <v>90</v>
      </c>
      <c r="H6" s="121" t="s">
        <v>91</v>
      </c>
    </row>
    <row r="7" spans="1:8" s="2" customFormat="1" x14ac:dyDescent="0.15">
      <c r="A7" s="128" t="s">
        <v>8</v>
      </c>
      <c r="B7" s="129"/>
      <c r="C7" s="130"/>
      <c r="D7" s="131"/>
      <c r="E7" s="132"/>
      <c r="F7" s="133"/>
      <c r="G7" s="134"/>
      <c r="H7" s="135"/>
    </row>
    <row r="8" spans="1:8" s="3" customFormat="1" x14ac:dyDescent="0.15">
      <c r="A8" s="136" t="s">
        <v>9</v>
      </c>
      <c r="B8" s="137"/>
      <c r="C8" s="138"/>
      <c r="D8" s="139"/>
      <c r="E8" s="140"/>
      <c r="F8" s="141"/>
      <c r="G8" s="142"/>
      <c r="H8" s="143"/>
    </row>
    <row r="9" spans="1:8" s="3" customFormat="1" x14ac:dyDescent="0.15">
      <c r="A9" s="144" t="s">
        <v>13</v>
      </c>
      <c r="B9" s="145"/>
      <c r="C9" s="145"/>
      <c r="D9" s="146"/>
      <c r="E9" s="147"/>
      <c r="F9" s="95"/>
      <c r="G9" s="113"/>
      <c r="H9" s="148"/>
    </row>
    <row r="10" spans="1:8" s="3" customFormat="1" x14ac:dyDescent="0.15">
      <c r="A10" s="149" t="s">
        <v>127</v>
      </c>
      <c r="B10" s="40" t="s">
        <v>103</v>
      </c>
      <c r="C10" s="145" t="s">
        <v>59</v>
      </c>
      <c r="D10" s="146">
        <v>2500000</v>
      </c>
      <c r="E10" s="150">
        <v>2506.66</v>
      </c>
      <c r="F10" s="62">
        <v>7.2860460000000002E-2</v>
      </c>
      <c r="G10" s="112">
        <v>3.3599999999999998E-2</v>
      </c>
      <c r="H10" s="63" t="s">
        <v>33</v>
      </c>
    </row>
    <row r="11" spans="1:8" s="3" customFormat="1" x14ac:dyDescent="0.15">
      <c r="A11" s="149" t="s">
        <v>128</v>
      </c>
      <c r="B11" s="40" t="s">
        <v>78</v>
      </c>
      <c r="C11" s="145" t="s">
        <v>59</v>
      </c>
      <c r="D11" s="146">
        <v>2000000</v>
      </c>
      <c r="E11" s="150">
        <v>2009.8</v>
      </c>
      <c r="F11" s="62">
        <v>5.8418419999999999E-2</v>
      </c>
      <c r="G11" s="112">
        <v>3.6749999999999998E-2</v>
      </c>
      <c r="H11" s="63" t="s">
        <v>33</v>
      </c>
    </row>
    <row r="12" spans="1:8" s="3" customFormat="1" x14ac:dyDescent="0.15">
      <c r="A12" s="149" t="s">
        <v>129</v>
      </c>
      <c r="B12" s="40" t="s">
        <v>79</v>
      </c>
      <c r="C12" s="145" t="s">
        <v>58</v>
      </c>
      <c r="D12" s="146">
        <v>2000000</v>
      </c>
      <c r="E12" s="150">
        <v>2009.11</v>
      </c>
      <c r="F12" s="62">
        <v>5.8398360000000003E-2</v>
      </c>
      <c r="G12" s="112">
        <v>3.5450000000000002E-2</v>
      </c>
      <c r="H12" s="63" t="s">
        <v>33</v>
      </c>
    </row>
    <row r="13" spans="1:8" s="3" customFormat="1" x14ac:dyDescent="0.15">
      <c r="A13" s="149"/>
      <c r="B13" s="40"/>
      <c r="C13" s="145"/>
      <c r="D13" s="146"/>
      <c r="E13" s="150"/>
      <c r="F13" s="62"/>
      <c r="G13" s="112"/>
      <c r="H13" s="63"/>
    </row>
    <row r="14" spans="1:8" s="3" customFormat="1" x14ac:dyDescent="0.15">
      <c r="A14" s="127" t="s">
        <v>64</v>
      </c>
      <c r="B14" s="40"/>
      <c r="C14" s="145"/>
      <c r="D14" s="146"/>
      <c r="E14" s="96">
        <f>SUM(E10:E13)</f>
        <v>6525.57</v>
      </c>
      <c r="F14" s="97">
        <f>SUM(F10:F13)</f>
        <v>0.18967724</v>
      </c>
      <c r="G14" s="116"/>
      <c r="H14" s="63"/>
    </row>
    <row r="15" spans="1:8" s="3" customFormat="1" x14ac:dyDescent="0.15">
      <c r="A15" s="149"/>
      <c r="B15" s="40"/>
      <c r="C15" s="145"/>
      <c r="D15" s="146"/>
      <c r="E15" s="150"/>
      <c r="F15" s="62"/>
      <c r="G15" s="112"/>
      <c r="H15" s="63"/>
    </row>
    <row r="16" spans="1:8" s="3" customFormat="1" ht="14" x14ac:dyDescent="0.15">
      <c r="A16" s="117" t="s">
        <v>63</v>
      </c>
      <c r="B16" s="40"/>
      <c r="C16" s="145"/>
      <c r="D16" s="146"/>
      <c r="E16" s="151" t="s">
        <v>66</v>
      </c>
      <c r="F16" s="151" t="s">
        <v>66</v>
      </c>
      <c r="G16" s="112"/>
      <c r="H16" s="63"/>
    </row>
    <row r="17" spans="1:8" s="3" customFormat="1" ht="14" x14ac:dyDescent="0.15">
      <c r="A17" s="117" t="s">
        <v>64</v>
      </c>
      <c r="B17" s="40"/>
      <c r="C17" s="145"/>
      <c r="D17" s="146"/>
      <c r="E17" s="151" t="s">
        <v>66</v>
      </c>
      <c r="F17" s="151" t="s">
        <v>66</v>
      </c>
      <c r="G17" s="112"/>
      <c r="H17" s="63"/>
    </row>
    <row r="18" spans="1:8" s="3" customFormat="1" ht="14" x14ac:dyDescent="0.15">
      <c r="A18" s="117" t="s">
        <v>65</v>
      </c>
      <c r="B18" s="40"/>
      <c r="C18" s="145"/>
      <c r="D18" s="146"/>
      <c r="E18" s="151" t="s">
        <v>66</v>
      </c>
      <c r="F18" s="151" t="s">
        <v>66</v>
      </c>
      <c r="G18" s="112"/>
      <c r="H18" s="63"/>
    </row>
    <row r="19" spans="1:8" s="3" customFormat="1" ht="14" x14ac:dyDescent="0.15">
      <c r="A19" s="117" t="s">
        <v>64</v>
      </c>
      <c r="B19" s="40"/>
      <c r="C19" s="145"/>
      <c r="D19" s="146"/>
      <c r="E19" s="151" t="s">
        <v>66</v>
      </c>
      <c r="F19" s="151" t="s">
        <v>66</v>
      </c>
      <c r="G19" s="112"/>
      <c r="H19" s="63"/>
    </row>
    <row r="20" spans="1:8" s="3" customFormat="1" x14ac:dyDescent="0.15">
      <c r="A20" s="149"/>
      <c r="B20" s="40"/>
      <c r="C20" s="145"/>
      <c r="D20" s="146"/>
      <c r="E20" s="150"/>
      <c r="F20" s="62"/>
      <c r="G20" s="112"/>
      <c r="H20" s="63"/>
    </row>
    <row r="21" spans="1:8" s="3" customFormat="1" ht="15" customHeight="1" x14ac:dyDescent="0.15">
      <c r="A21" s="152" t="s">
        <v>32</v>
      </c>
      <c r="B21" s="153"/>
      <c r="C21" s="153"/>
      <c r="D21" s="146"/>
      <c r="E21" s="56">
        <f>E14</f>
        <v>6525.57</v>
      </c>
      <c r="F21" s="95">
        <f>F14</f>
        <v>0.18967724</v>
      </c>
      <c r="G21" s="113"/>
      <c r="H21" s="148"/>
    </row>
    <row r="22" spans="1:8" s="3" customFormat="1" x14ac:dyDescent="0.15">
      <c r="A22" s="136"/>
      <c r="B22" s="137"/>
      <c r="C22" s="138"/>
      <c r="D22" s="146"/>
      <c r="E22" s="140"/>
      <c r="F22" s="141"/>
      <c r="G22" s="142"/>
      <c r="H22" s="143"/>
    </row>
    <row r="23" spans="1:8" s="3" customFormat="1" ht="14" x14ac:dyDescent="0.15">
      <c r="A23" s="127" t="s">
        <v>67</v>
      </c>
      <c r="B23" s="153"/>
      <c r="C23" s="145"/>
      <c r="D23" s="146"/>
      <c r="E23" s="151" t="s">
        <v>66</v>
      </c>
      <c r="F23" s="151" t="s">
        <v>66</v>
      </c>
      <c r="G23" s="154"/>
      <c r="H23" s="155"/>
    </row>
    <row r="24" spans="1:8" s="3" customFormat="1" x14ac:dyDescent="0.15">
      <c r="A24" s="127" t="s">
        <v>80</v>
      </c>
      <c r="B24" s="153"/>
      <c r="C24" s="145"/>
      <c r="D24" s="146"/>
      <c r="E24" s="151"/>
      <c r="F24" s="156"/>
      <c r="G24" s="154"/>
      <c r="H24" s="155"/>
    </row>
    <row r="25" spans="1:8" s="3" customFormat="1" ht="14" x14ac:dyDescent="0.15">
      <c r="A25" s="149" t="s">
        <v>130</v>
      </c>
      <c r="B25" s="145" t="s">
        <v>104</v>
      </c>
      <c r="C25" s="98" t="s">
        <v>84</v>
      </c>
      <c r="D25" s="126">
        <v>2500000</v>
      </c>
      <c r="E25" s="123">
        <v>2498.19</v>
      </c>
      <c r="F25" s="124">
        <v>7.2614120000000004E-2</v>
      </c>
      <c r="G25" s="125">
        <v>3.3127999999999998E-2</v>
      </c>
      <c r="H25" s="63" t="s">
        <v>33</v>
      </c>
    </row>
    <row r="26" spans="1:8" s="3" customFormat="1" ht="14" x14ac:dyDescent="0.15">
      <c r="A26" s="149" t="s">
        <v>131</v>
      </c>
      <c r="B26" s="145" t="s">
        <v>81</v>
      </c>
      <c r="C26" s="98" t="s">
        <v>84</v>
      </c>
      <c r="D26" s="126">
        <v>2500000</v>
      </c>
      <c r="E26" s="123">
        <v>2496.98</v>
      </c>
      <c r="F26" s="124">
        <v>7.2579019999999994E-2</v>
      </c>
      <c r="G26" s="125">
        <v>3.4000000000000002E-2</v>
      </c>
      <c r="H26" s="63" t="s">
        <v>33</v>
      </c>
    </row>
    <row r="27" spans="1:8" s="3" customFormat="1" ht="14" x14ac:dyDescent="0.15">
      <c r="A27" s="149" t="s">
        <v>132</v>
      </c>
      <c r="B27" s="145" t="s">
        <v>82</v>
      </c>
      <c r="C27" s="98" t="s">
        <v>84</v>
      </c>
      <c r="D27" s="126">
        <v>2500000</v>
      </c>
      <c r="E27" s="123">
        <v>2496.0700000000002</v>
      </c>
      <c r="F27" s="124">
        <v>7.2552500000000006E-2</v>
      </c>
      <c r="G27" s="125">
        <v>3.3849999999999998E-2</v>
      </c>
      <c r="H27" s="63" t="s">
        <v>33</v>
      </c>
    </row>
    <row r="28" spans="1:8" s="3" customFormat="1" ht="14" x14ac:dyDescent="0.15">
      <c r="A28" s="149" t="s">
        <v>133</v>
      </c>
      <c r="B28" s="145" t="s">
        <v>105</v>
      </c>
      <c r="C28" s="98" t="s">
        <v>107</v>
      </c>
      <c r="D28" s="126">
        <v>2500000</v>
      </c>
      <c r="E28" s="123">
        <v>2490.27</v>
      </c>
      <c r="F28" s="124">
        <v>7.2383909999999996E-2</v>
      </c>
      <c r="G28" s="125">
        <v>3.4802E-2</v>
      </c>
      <c r="H28" s="63" t="s">
        <v>33</v>
      </c>
    </row>
    <row r="29" spans="1:8" s="3" customFormat="1" ht="14" x14ac:dyDescent="0.15">
      <c r="A29" s="149" t="s">
        <v>134</v>
      </c>
      <c r="B29" s="145" t="s">
        <v>83</v>
      </c>
      <c r="C29" s="98" t="s">
        <v>84</v>
      </c>
      <c r="D29" s="126">
        <v>2500000</v>
      </c>
      <c r="E29" s="123">
        <v>2485.79</v>
      </c>
      <c r="F29" s="124">
        <v>7.2253910000000005E-2</v>
      </c>
      <c r="G29" s="125">
        <v>3.6600000000000001E-2</v>
      </c>
      <c r="H29" s="63" t="s">
        <v>33</v>
      </c>
    </row>
    <row r="30" spans="1:8" s="3" customFormat="1" ht="14" x14ac:dyDescent="0.15">
      <c r="A30" s="149" t="s">
        <v>135</v>
      </c>
      <c r="B30" s="145" t="s">
        <v>106</v>
      </c>
      <c r="C30" s="98" t="s">
        <v>84</v>
      </c>
      <c r="D30" s="126">
        <v>2500000</v>
      </c>
      <c r="E30" s="123">
        <v>2483.7600000000002</v>
      </c>
      <c r="F30" s="124">
        <v>7.2194690000000006E-2</v>
      </c>
      <c r="G30" s="125">
        <v>3.4598999999999998E-2</v>
      </c>
      <c r="H30" s="63" t="s">
        <v>33</v>
      </c>
    </row>
    <row r="31" spans="1:8" s="3" customFormat="1" x14ac:dyDescent="0.15">
      <c r="A31" s="149"/>
      <c r="B31" s="145"/>
      <c r="C31" s="98"/>
      <c r="D31" s="126"/>
      <c r="E31" s="123"/>
      <c r="F31" s="124"/>
      <c r="G31" s="125"/>
      <c r="H31" s="63"/>
    </row>
    <row r="32" spans="1:8" s="3" customFormat="1" x14ac:dyDescent="0.15">
      <c r="A32" s="152"/>
      <c r="B32" s="153"/>
      <c r="C32" s="145"/>
      <c r="D32" s="157"/>
      <c r="E32" s="151"/>
      <c r="F32" s="156"/>
      <c r="G32" s="154"/>
      <c r="H32" s="155"/>
    </row>
    <row r="33" spans="1:8" s="3" customFormat="1" x14ac:dyDescent="0.15">
      <c r="A33" s="117" t="s">
        <v>64</v>
      </c>
      <c r="B33" s="153"/>
      <c r="C33" s="145"/>
      <c r="D33" s="157"/>
      <c r="E33" s="151">
        <f>SUM(E25:E32)</f>
        <v>14951.06</v>
      </c>
      <c r="F33" s="97">
        <f>SUM(F25:F32)</f>
        <v>0.43457815</v>
      </c>
      <c r="G33" s="116"/>
      <c r="H33" s="155"/>
    </row>
    <row r="34" spans="1:8" s="3" customFormat="1" x14ac:dyDescent="0.15">
      <c r="A34" s="152"/>
      <c r="B34" s="153"/>
      <c r="C34" s="145"/>
      <c r="D34" s="157"/>
      <c r="E34" s="151"/>
      <c r="F34" s="156"/>
      <c r="G34" s="154"/>
      <c r="H34" s="155"/>
    </row>
    <row r="35" spans="1:8" s="3" customFormat="1" x14ac:dyDescent="0.15">
      <c r="A35" s="117" t="s">
        <v>85</v>
      </c>
      <c r="B35" s="153"/>
      <c r="C35" s="145"/>
      <c r="D35" s="157"/>
      <c r="E35" s="151"/>
      <c r="F35" s="156"/>
      <c r="G35" s="154"/>
      <c r="H35" s="155"/>
    </row>
    <row r="36" spans="1:8" s="3" customFormat="1" ht="14" x14ac:dyDescent="0.15">
      <c r="A36" s="118" t="s">
        <v>136</v>
      </c>
      <c r="B36" s="145" t="s">
        <v>86</v>
      </c>
      <c r="C36" s="98" t="s">
        <v>84</v>
      </c>
      <c r="D36" s="126">
        <v>2500000</v>
      </c>
      <c r="E36" s="123">
        <v>2492.11</v>
      </c>
      <c r="F36" s="124">
        <v>7.2437470000000004E-2</v>
      </c>
      <c r="G36" s="125">
        <v>3.4002999999999999E-2</v>
      </c>
      <c r="H36" s="63" t="s">
        <v>33</v>
      </c>
    </row>
    <row r="37" spans="1:8" s="3" customFormat="1" x14ac:dyDescent="0.15">
      <c r="A37" s="152"/>
      <c r="B37" s="153"/>
      <c r="C37" s="145"/>
      <c r="D37" s="157"/>
      <c r="E37" s="151"/>
      <c r="F37" s="156"/>
      <c r="G37" s="154"/>
      <c r="H37" s="155"/>
    </row>
    <row r="38" spans="1:8" s="4" customFormat="1" x14ac:dyDescent="0.15">
      <c r="A38" s="117" t="s">
        <v>64</v>
      </c>
      <c r="B38" s="153"/>
      <c r="C38" s="153"/>
      <c r="D38" s="157"/>
      <c r="E38" s="151">
        <f>SUM(E36:E37)</f>
        <v>2492.11</v>
      </c>
      <c r="F38" s="97">
        <f>SUM(F36:F37)</f>
        <v>7.2437470000000004E-2</v>
      </c>
      <c r="G38" s="116"/>
      <c r="H38" s="148"/>
    </row>
    <row r="39" spans="1:8" s="4" customFormat="1" x14ac:dyDescent="0.15">
      <c r="A39" s="152"/>
      <c r="B39" s="153"/>
      <c r="C39" s="153"/>
      <c r="D39" s="157"/>
      <c r="E39" s="151"/>
      <c r="F39" s="97"/>
      <c r="G39" s="116"/>
      <c r="H39" s="148"/>
    </row>
    <row r="40" spans="1:8" s="4" customFormat="1" x14ac:dyDescent="0.15">
      <c r="A40" s="117" t="s">
        <v>87</v>
      </c>
      <c r="B40" s="153"/>
      <c r="C40" s="153"/>
      <c r="D40" s="157"/>
      <c r="E40" s="151"/>
      <c r="F40" s="97"/>
      <c r="G40" s="116"/>
      <c r="H40" s="148"/>
    </row>
    <row r="41" spans="1:8" s="4" customFormat="1" ht="14" x14ac:dyDescent="0.15">
      <c r="A41" s="118" t="s">
        <v>88</v>
      </c>
      <c r="B41" s="145" t="s">
        <v>89</v>
      </c>
      <c r="C41" s="98" t="s">
        <v>57</v>
      </c>
      <c r="D41" s="126">
        <v>2500000</v>
      </c>
      <c r="E41" s="123">
        <v>2488.35</v>
      </c>
      <c r="F41" s="124">
        <v>7.2328320000000001E-2</v>
      </c>
      <c r="G41" s="125">
        <v>3.3500000000000002E-2</v>
      </c>
      <c r="H41" s="63" t="s">
        <v>33</v>
      </c>
    </row>
    <row r="42" spans="1:8" s="4" customFormat="1" x14ac:dyDescent="0.15">
      <c r="A42" s="118"/>
      <c r="B42" s="145"/>
      <c r="C42" s="98"/>
      <c r="D42" s="126"/>
      <c r="E42" s="99"/>
      <c r="F42" s="100"/>
      <c r="G42" s="101"/>
      <c r="H42" s="119"/>
    </row>
    <row r="43" spans="1:8" s="4" customFormat="1" x14ac:dyDescent="0.15">
      <c r="A43" s="117" t="s">
        <v>64</v>
      </c>
      <c r="B43" s="153"/>
      <c r="C43" s="153"/>
      <c r="D43" s="146"/>
      <c r="E43" s="56">
        <f>SUM(E41:E42)</f>
        <v>2488.35</v>
      </c>
      <c r="F43" s="95">
        <f>SUM(F41:F42)</f>
        <v>7.2328320000000001E-2</v>
      </c>
      <c r="G43" s="113"/>
      <c r="H43" s="148"/>
    </row>
    <row r="44" spans="1:8" s="3" customFormat="1" x14ac:dyDescent="0.15">
      <c r="A44" s="152" t="s">
        <v>32</v>
      </c>
      <c r="B44" s="153"/>
      <c r="C44" s="153"/>
      <c r="D44" s="56"/>
      <c r="E44" s="151">
        <f>E33+E38+E43</f>
        <v>19931.519999999997</v>
      </c>
      <c r="F44" s="158">
        <f>F33+F38+F43</f>
        <v>0.57934394</v>
      </c>
      <c r="G44" s="159"/>
      <c r="H44" s="148"/>
    </row>
    <row r="45" spans="1:8" s="3" customFormat="1" x14ac:dyDescent="0.15">
      <c r="A45" s="152"/>
      <c r="B45" s="153"/>
      <c r="C45" s="153" t="s">
        <v>34</v>
      </c>
      <c r="D45" s="160"/>
      <c r="E45" s="56"/>
      <c r="F45" s="60"/>
      <c r="G45" s="111"/>
      <c r="H45" s="61"/>
    </row>
    <row r="46" spans="1:8" s="3" customFormat="1" ht="14.25" customHeight="1" x14ac:dyDescent="0.15">
      <c r="A46" s="152" t="s">
        <v>35</v>
      </c>
      <c r="B46" s="153"/>
      <c r="C46" s="153"/>
      <c r="D46" s="160"/>
      <c r="E46" s="150">
        <v>7518.91</v>
      </c>
      <c r="F46" s="62">
        <v>0.21855053000000002</v>
      </c>
      <c r="G46" s="112"/>
      <c r="H46" s="63"/>
    </row>
    <row r="47" spans="1:8" s="3" customFormat="1" ht="14.25" customHeight="1" x14ac:dyDescent="0.15">
      <c r="A47" s="152" t="s">
        <v>32</v>
      </c>
      <c r="B47" s="153"/>
      <c r="C47" s="153"/>
      <c r="D47" s="56"/>
      <c r="E47" s="56">
        <v>7518.91</v>
      </c>
      <c r="F47" s="95">
        <v>0.21855053000000002</v>
      </c>
      <c r="G47" s="113"/>
      <c r="H47" s="148"/>
    </row>
    <row r="48" spans="1:8" s="3" customFormat="1" ht="14.25" customHeight="1" thickBot="1" x14ac:dyDescent="0.2">
      <c r="A48" s="161" t="s">
        <v>36</v>
      </c>
      <c r="B48" s="162"/>
      <c r="C48" s="66"/>
      <c r="D48" s="163"/>
      <c r="E48" s="68">
        <v>427.56940409999515</v>
      </c>
      <c r="F48" s="164">
        <v>1.2428290000000008E-2</v>
      </c>
      <c r="G48" s="165"/>
      <c r="H48" s="166"/>
    </row>
    <row r="49" spans="1:8" s="3" customFormat="1" ht="14.25" customHeight="1" thickBot="1" x14ac:dyDescent="0.2">
      <c r="A49" s="167" t="s">
        <v>37</v>
      </c>
      <c r="B49" s="168"/>
      <c r="C49" s="73"/>
      <c r="D49" s="169"/>
      <c r="E49" s="75">
        <v>34403.569404099995</v>
      </c>
      <c r="F49" s="170">
        <v>1</v>
      </c>
      <c r="G49" s="171"/>
      <c r="H49" s="172"/>
    </row>
    <row r="50" spans="1:8" s="3" customFormat="1" ht="14.25" customHeight="1" x14ac:dyDescent="0.15">
      <c r="A50" s="78"/>
      <c r="B50" s="79"/>
      <c r="C50" s="80"/>
      <c r="D50" s="81"/>
      <c r="E50" s="82"/>
      <c r="F50" s="103"/>
      <c r="G50" s="103"/>
      <c r="H50" s="83"/>
    </row>
    <row r="51" spans="1:8" s="3" customFormat="1" ht="14.25" customHeight="1" x14ac:dyDescent="0.15">
      <c r="A51" s="84" t="s">
        <v>93</v>
      </c>
      <c r="B51" s="79"/>
      <c r="C51" s="80"/>
      <c r="D51" s="81"/>
      <c r="E51" s="104"/>
      <c r="F51" s="102"/>
      <c r="G51" s="102"/>
      <c r="H51" s="83"/>
    </row>
    <row r="52" spans="1:8" s="3" customFormat="1" ht="14.25" customHeight="1" x14ac:dyDescent="0.15">
      <c r="A52" s="122" t="s">
        <v>92</v>
      </c>
      <c r="B52" s="79"/>
      <c r="C52" s="80"/>
      <c r="D52" s="81"/>
      <c r="E52" s="82"/>
      <c r="F52" s="102"/>
      <c r="G52" s="102"/>
      <c r="H52" s="83"/>
    </row>
    <row r="53" spans="1:8" s="3" customFormat="1" ht="14.25" customHeight="1" x14ac:dyDescent="0.15">
      <c r="A53" s="122"/>
      <c r="B53" s="79"/>
      <c r="C53" s="80"/>
      <c r="D53" s="81"/>
      <c r="E53" s="82"/>
      <c r="F53" s="102"/>
      <c r="G53" s="102"/>
      <c r="H53" s="83"/>
    </row>
    <row r="54" spans="1:8" s="3" customFormat="1" ht="14.25" customHeight="1" x14ac:dyDescent="0.15">
      <c r="A54" s="84" t="s">
        <v>38</v>
      </c>
      <c r="B54" s="85"/>
      <c r="C54" s="207"/>
      <c r="D54" s="207"/>
      <c r="E54" s="207"/>
      <c r="F54" s="207"/>
      <c r="G54" s="207"/>
      <c r="H54" s="208"/>
    </row>
    <row r="55" spans="1:8" s="2" customFormat="1" ht="14.25" customHeight="1" x14ac:dyDescent="0.15">
      <c r="A55" s="209" t="s">
        <v>95</v>
      </c>
      <c r="B55" s="210"/>
      <c r="C55" s="210"/>
      <c r="D55" s="210"/>
      <c r="E55" s="210"/>
      <c r="F55" s="210"/>
      <c r="G55" s="210"/>
      <c r="H55" s="211"/>
    </row>
    <row r="56" spans="1:8" s="2" customFormat="1" ht="14.25" customHeight="1" x14ac:dyDescent="0.15">
      <c r="A56" s="78" t="s">
        <v>39</v>
      </c>
      <c r="B56" s="79"/>
      <c r="C56" s="207"/>
      <c r="D56" s="207"/>
      <c r="E56" s="207"/>
      <c r="F56" s="207"/>
      <c r="G56" s="207"/>
      <c r="H56" s="208"/>
    </row>
    <row r="57" spans="1:8" s="2" customFormat="1" ht="14.25" customHeight="1" x14ac:dyDescent="0.15">
      <c r="A57" s="245" t="s">
        <v>40</v>
      </c>
      <c r="B57" s="246"/>
      <c r="C57" s="246"/>
      <c r="D57" s="246"/>
      <c r="E57" s="243" t="s">
        <v>94</v>
      </c>
      <c r="F57" s="244"/>
      <c r="G57" s="241" t="s">
        <v>72</v>
      </c>
      <c r="H57" s="242"/>
    </row>
    <row r="58" spans="1:8" s="2" customFormat="1" ht="14.25" customHeight="1" x14ac:dyDescent="0.15">
      <c r="A58" s="247" t="s">
        <v>41</v>
      </c>
      <c r="B58" s="248"/>
      <c r="C58" s="248"/>
      <c r="D58" s="248"/>
      <c r="E58" s="237">
        <v>1003.2491</v>
      </c>
      <c r="F58" s="238"/>
      <c r="G58" s="220">
        <v>1000.6743</v>
      </c>
      <c r="H58" s="221"/>
    </row>
    <row r="59" spans="1:8" s="2" customFormat="1" ht="14.25" customHeight="1" x14ac:dyDescent="0.15">
      <c r="A59" s="239" t="s">
        <v>42</v>
      </c>
      <c r="B59" s="240"/>
      <c r="C59" s="240"/>
      <c r="D59" s="240"/>
      <c r="E59" s="237">
        <v>1003.2455</v>
      </c>
      <c r="F59" s="238"/>
      <c r="G59" s="220">
        <v>1000.636</v>
      </c>
      <c r="H59" s="221"/>
    </row>
    <row r="60" spans="1:8" s="3" customFormat="1" ht="14.25" customHeight="1" x14ac:dyDescent="0.15">
      <c r="A60" s="239" t="s">
        <v>43</v>
      </c>
      <c r="B60" s="240"/>
      <c r="C60" s="240"/>
      <c r="D60" s="240"/>
      <c r="E60" s="237">
        <v>1003.2067</v>
      </c>
      <c r="F60" s="238"/>
      <c r="G60" s="220">
        <v>1000.6267</v>
      </c>
      <c r="H60" s="221"/>
    </row>
    <row r="61" spans="1:8" s="2" customFormat="1" ht="14.25" customHeight="1" x14ac:dyDescent="0.15">
      <c r="A61" s="239" t="s">
        <v>44</v>
      </c>
      <c r="B61" s="240"/>
      <c r="C61" s="240"/>
      <c r="D61" s="240"/>
      <c r="E61" s="237">
        <v>1003.2204</v>
      </c>
      <c r="F61" s="238"/>
      <c r="G61" s="220">
        <v>1000.6414</v>
      </c>
      <c r="H61" s="221"/>
    </row>
    <row r="62" spans="1:8" s="2" customFormat="1" ht="14.25" customHeight="1" x14ac:dyDescent="0.15">
      <c r="A62" s="239" t="s">
        <v>47</v>
      </c>
      <c r="B62" s="240"/>
      <c r="C62" s="240"/>
      <c r="D62" s="240"/>
      <c r="E62" s="237">
        <v>1003.41</v>
      </c>
      <c r="F62" s="238"/>
      <c r="G62" s="220">
        <v>1000.7071999999999</v>
      </c>
      <c r="H62" s="221"/>
    </row>
    <row r="63" spans="1:8" s="2" customFormat="1" ht="14.25" customHeight="1" x14ac:dyDescent="0.15">
      <c r="A63" s="239" t="s">
        <v>48</v>
      </c>
      <c r="B63" s="240"/>
      <c r="C63" s="240"/>
      <c r="D63" s="240"/>
      <c r="E63" s="237">
        <v>1003.3963</v>
      </c>
      <c r="F63" s="238"/>
      <c r="G63" s="220">
        <v>1000.6729</v>
      </c>
      <c r="H63" s="221"/>
    </row>
    <row r="64" spans="1:8" s="2" customFormat="1" ht="14.25" customHeight="1" x14ac:dyDescent="0.15">
      <c r="A64" s="239" t="s">
        <v>49</v>
      </c>
      <c r="B64" s="240"/>
      <c r="C64" s="240"/>
      <c r="D64" s="240"/>
      <c r="E64" s="237">
        <v>1003.3150000000001</v>
      </c>
      <c r="F64" s="238"/>
      <c r="G64" s="220">
        <v>1000.5933</v>
      </c>
      <c r="H64" s="221"/>
    </row>
    <row r="65" spans="1:8" s="3" customFormat="1" ht="14.25" customHeight="1" x14ac:dyDescent="0.15">
      <c r="A65" s="239" t="s">
        <v>50</v>
      </c>
      <c r="B65" s="240"/>
      <c r="C65" s="240"/>
      <c r="D65" s="240"/>
      <c r="E65" s="237">
        <v>1003.3797</v>
      </c>
      <c r="F65" s="238"/>
      <c r="G65" s="220">
        <v>1000.691</v>
      </c>
      <c r="H65" s="221"/>
    </row>
    <row r="66" spans="1:8" s="3" customFormat="1" ht="14.25" customHeight="1" x14ac:dyDescent="0.15">
      <c r="A66" s="86"/>
      <c r="B66" s="87"/>
      <c r="C66" s="88"/>
      <c r="D66" s="88"/>
      <c r="E66" s="88"/>
      <c r="F66" s="88"/>
      <c r="G66" s="88"/>
      <c r="H66" s="89"/>
    </row>
    <row r="67" spans="1:8" s="3" customFormat="1" ht="14.25" customHeight="1" x14ac:dyDescent="0.15">
      <c r="A67" s="78" t="s">
        <v>99</v>
      </c>
      <c r="B67" s="79"/>
      <c r="C67" s="223"/>
      <c r="D67" s="223"/>
      <c r="E67" s="223"/>
      <c r="F67" s="223"/>
      <c r="G67" s="223"/>
      <c r="H67" s="224"/>
    </row>
    <row r="68" spans="1:8" s="3" customFormat="1" ht="14.25" customHeight="1" x14ac:dyDescent="0.15">
      <c r="A68" s="231" t="s">
        <v>53</v>
      </c>
      <c r="B68" s="232"/>
      <c r="C68" s="232"/>
      <c r="D68" s="233"/>
      <c r="E68" s="234" t="s">
        <v>54</v>
      </c>
      <c r="F68" s="235"/>
      <c r="G68" s="234" t="s">
        <v>55</v>
      </c>
      <c r="H68" s="236"/>
    </row>
    <row r="69" spans="1:8" s="3" customFormat="1" ht="14.25" customHeight="1" x14ac:dyDescent="0.15">
      <c r="A69" s="176" t="s">
        <v>42</v>
      </c>
      <c r="B69" s="177"/>
      <c r="C69" s="177"/>
      <c r="D69" s="178"/>
      <c r="E69" s="189">
        <v>0</v>
      </c>
      <c r="F69" s="190"/>
      <c r="G69" s="189">
        <v>0</v>
      </c>
      <c r="H69" s="193"/>
    </row>
    <row r="70" spans="1:8" s="5" customFormat="1" ht="14.25" customHeight="1" x14ac:dyDescent="0.15">
      <c r="A70" s="176" t="s">
        <v>43</v>
      </c>
      <c r="B70" s="177"/>
      <c r="C70" s="177"/>
      <c r="D70" s="178"/>
      <c r="E70" s="189">
        <v>0</v>
      </c>
      <c r="F70" s="190"/>
      <c r="G70" s="189">
        <v>0</v>
      </c>
      <c r="H70" s="193"/>
    </row>
    <row r="71" spans="1:8" s="5" customFormat="1" ht="14.25" customHeight="1" x14ac:dyDescent="0.15">
      <c r="A71" s="176" t="s">
        <v>44</v>
      </c>
      <c r="B71" s="177"/>
      <c r="C71" s="177"/>
      <c r="D71" s="178"/>
      <c r="E71" s="189">
        <v>0</v>
      </c>
      <c r="F71" s="190"/>
      <c r="G71" s="189">
        <v>0</v>
      </c>
      <c r="H71" s="193"/>
    </row>
    <row r="72" spans="1:8" s="5" customFormat="1" ht="14.25" customHeight="1" x14ac:dyDescent="0.15">
      <c r="A72" s="176" t="s">
        <v>48</v>
      </c>
      <c r="B72" s="177"/>
      <c r="C72" s="177"/>
      <c r="D72" s="178"/>
      <c r="E72" s="189">
        <v>0</v>
      </c>
      <c r="F72" s="190"/>
      <c r="G72" s="189">
        <v>0</v>
      </c>
      <c r="H72" s="193"/>
    </row>
    <row r="73" spans="1:8" s="5" customFormat="1" ht="14.25" customHeight="1" x14ac:dyDescent="0.15">
      <c r="A73" s="176" t="s">
        <v>49</v>
      </c>
      <c r="B73" s="177"/>
      <c r="C73" s="177"/>
      <c r="D73" s="178"/>
      <c r="E73" s="189">
        <v>0</v>
      </c>
      <c r="F73" s="190"/>
      <c r="G73" s="189">
        <v>0</v>
      </c>
      <c r="H73" s="193"/>
    </row>
    <row r="74" spans="1:8" s="5" customFormat="1" ht="14.25" customHeight="1" x14ac:dyDescent="0.15">
      <c r="A74" s="176" t="s">
        <v>50</v>
      </c>
      <c r="B74" s="177"/>
      <c r="C74" s="177"/>
      <c r="D74" s="178"/>
      <c r="E74" s="189">
        <v>0</v>
      </c>
      <c r="F74" s="190"/>
      <c r="G74" s="189">
        <v>0</v>
      </c>
      <c r="H74" s="193"/>
    </row>
    <row r="75" spans="1:8" ht="14.25" customHeight="1" x14ac:dyDescent="0.15">
      <c r="A75" s="78" t="s">
        <v>102</v>
      </c>
      <c r="B75" s="79"/>
      <c r="C75" s="79"/>
      <c r="D75" s="79"/>
      <c r="E75" s="79"/>
      <c r="F75" s="79"/>
      <c r="G75" s="79"/>
      <c r="H75" s="90"/>
    </row>
    <row r="76" spans="1:8" ht="14.25" customHeight="1" x14ac:dyDescent="0.15">
      <c r="A76" s="78" t="s">
        <v>96</v>
      </c>
      <c r="B76" s="79"/>
      <c r="C76" s="79"/>
      <c r="D76" s="79"/>
      <c r="E76" s="79"/>
      <c r="F76" s="79"/>
      <c r="G76" s="79"/>
      <c r="H76" s="90"/>
    </row>
    <row r="77" spans="1:8" ht="14.25" customHeight="1" x14ac:dyDescent="0.15">
      <c r="A77" s="78" t="s">
        <v>97</v>
      </c>
      <c r="B77" s="79"/>
      <c r="C77" s="79"/>
      <c r="D77" s="79"/>
      <c r="E77" s="79"/>
      <c r="F77" s="79"/>
      <c r="G77" s="79"/>
      <c r="H77" s="90"/>
    </row>
    <row r="78" spans="1:8" ht="14.25" customHeight="1" x14ac:dyDescent="0.15">
      <c r="A78" s="78" t="s">
        <v>100</v>
      </c>
      <c r="B78" s="79"/>
      <c r="C78" s="79"/>
      <c r="D78" s="79"/>
      <c r="E78" s="79"/>
      <c r="F78" s="79"/>
      <c r="G78" s="79"/>
      <c r="H78" s="90"/>
    </row>
    <row r="79" spans="1:8" ht="14.25" customHeight="1" x14ac:dyDescent="0.15">
      <c r="A79" s="78" t="s">
        <v>98</v>
      </c>
      <c r="B79" s="79"/>
      <c r="C79" s="79"/>
      <c r="D79" s="79"/>
      <c r="E79" s="79"/>
      <c r="F79" s="79"/>
      <c r="G79" s="79"/>
      <c r="H79" s="90"/>
    </row>
    <row r="80" spans="1:8" s="5" customFormat="1" ht="14.25" customHeight="1" x14ac:dyDescent="0.15">
      <c r="A80" s="78" t="s">
        <v>138</v>
      </c>
      <c r="B80" s="79"/>
      <c r="C80" s="79"/>
      <c r="D80" s="79"/>
      <c r="E80" s="79"/>
      <c r="F80" s="79"/>
      <c r="G80" s="79"/>
      <c r="H80" s="90"/>
    </row>
    <row r="81" spans="1:8" s="5" customFormat="1" ht="14.25" customHeight="1" x14ac:dyDescent="0.15">
      <c r="A81" s="78" t="s">
        <v>68</v>
      </c>
      <c r="B81" s="79"/>
      <c r="C81" s="79"/>
      <c r="D81" s="79"/>
      <c r="E81" s="79"/>
      <c r="F81" s="79"/>
      <c r="G81" s="79"/>
      <c r="H81" s="90"/>
    </row>
    <row r="82" spans="1:8" s="5" customFormat="1" ht="14.25" customHeight="1" x14ac:dyDescent="0.15">
      <c r="A82" s="78" t="s">
        <v>69</v>
      </c>
      <c r="B82" s="79"/>
      <c r="C82" s="79"/>
      <c r="D82" s="79"/>
      <c r="E82" s="79"/>
      <c r="F82" s="79"/>
      <c r="G82" s="79"/>
      <c r="H82" s="90"/>
    </row>
    <row r="83" spans="1:8" s="5" customFormat="1" ht="14.25" customHeight="1" x14ac:dyDescent="0.15">
      <c r="A83" s="78" t="s">
        <v>70</v>
      </c>
      <c r="B83" s="79"/>
      <c r="C83" s="79"/>
      <c r="D83" s="79"/>
      <c r="E83" s="79"/>
      <c r="F83" s="79"/>
      <c r="G83" s="79"/>
      <c r="H83" s="90"/>
    </row>
    <row r="84" spans="1:8" s="5" customFormat="1" ht="14.25" customHeight="1" x14ac:dyDescent="0.15">
      <c r="A84" s="78"/>
      <c r="B84" s="79"/>
      <c r="C84" s="79"/>
      <c r="D84" s="79"/>
      <c r="E84" s="79"/>
      <c r="F84" s="79"/>
      <c r="G84" s="79"/>
      <c r="H84" s="90"/>
    </row>
    <row r="85" spans="1:8" s="5" customFormat="1" ht="14.25" customHeight="1" thickBot="1" x14ac:dyDescent="0.2">
      <c r="A85" s="91"/>
      <c r="B85" s="92"/>
      <c r="C85" s="92"/>
      <c r="D85" s="92"/>
      <c r="E85" s="92"/>
      <c r="F85" s="92"/>
      <c r="G85" s="92"/>
      <c r="H85" s="93"/>
    </row>
    <row r="86" spans="1:8" s="5" customFormat="1" ht="14.25" customHeight="1" x14ac:dyDescent="0.15">
      <c r="A86" s="3"/>
      <c r="B86" s="3"/>
      <c r="C86" s="3"/>
      <c r="D86" s="3"/>
      <c r="E86" s="3"/>
      <c r="F86" s="3"/>
      <c r="G86" s="3"/>
      <c r="H86" s="6"/>
    </row>
    <row r="88" spans="1:8" ht="14" x14ac:dyDescent="0.15">
      <c r="A88" s="173" t="s">
        <v>140</v>
      </c>
      <c r="B88" s="174">
        <v>3.4099999999999998E-2</v>
      </c>
    </row>
    <row r="89" spans="1:8" ht="14" x14ac:dyDescent="0.15">
      <c r="A89" s="173" t="s">
        <v>142</v>
      </c>
      <c r="B89" s="175" t="s">
        <v>146</v>
      </c>
    </row>
  </sheetData>
  <mergeCells count="59">
    <mergeCell ref="A1:H1"/>
    <mergeCell ref="A2:H2"/>
    <mergeCell ref="A4:H4"/>
    <mergeCell ref="A5:H5"/>
    <mergeCell ref="C54:D54"/>
    <mergeCell ref="E54:H54"/>
    <mergeCell ref="G58:H58"/>
    <mergeCell ref="G59:H59"/>
    <mergeCell ref="E58:F58"/>
    <mergeCell ref="E59:F59"/>
    <mergeCell ref="A55:H55"/>
    <mergeCell ref="C56:D56"/>
    <mergeCell ref="E56:H56"/>
    <mergeCell ref="G57:H57"/>
    <mergeCell ref="E57:F57"/>
    <mergeCell ref="A57:D57"/>
    <mergeCell ref="A58:D58"/>
    <mergeCell ref="A59:D59"/>
    <mergeCell ref="E62:F62"/>
    <mergeCell ref="E63:F63"/>
    <mergeCell ref="G60:H60"/>
    <mergeCell ref="G61:H61"/>
    <mergeCell ref="E60:F60"/>
    <mergeCell ref="E61:F61"/>
    <mergeCell ref="A73:D73"/>
    <mergeCell ref="A74:D74"/>
    <mergeCell ref="G72:H72"/>
    <mergeCell ref="G73:H73"/>
    <mergeCell ref="G74:H74"/>
    <mergeCell ref="E74:F74"/>
    <mergeCell ref="E73:F73"/>
    <mergeCell ref="A72:D72"/>
    <mergeCell ref="E72:F72"/>
    <mergeCell ref="E64:F64"/>
    <mergeCell ref="E65:F65"/>
    <mergeCell ref="G69:H69"/>
    <mergeCell ref="G70:H70"/>
    <mergeCell ref="A60:D60"/>
    <mergeCell ref="A61:D61"/>
    <mergeCell ref="C67:D67"/>
    <mergeCell ref="E67:H67"/>
    <mergeCell ref="G64:H64"/>
    <mergeCell ref="G65:H65"/>
    <mergeCell ref="A62:D62"/>
    <mergeCell ref="A63:D63"/>
    <mergeCell ref="A64:D64"/>
    <mergeCell ref="A65:D65"/>
    <mergeCell ref="G62:H62"/>
    <mergeCell ref="G63:H63"/>
    <mergeCell ref="G71:H71"/>
    <mergeCell ref="A68:D68"/>
    <mergeCell ref="A69:D69"/>
    <mergeCell ref="A70:D70"/>
    <mergeCell ref="A71:D71"/>
    <mergeCell ref="E71:F71"/>
    <mergeCell ref="E70:F70"/>
    <mergeCell ref="E69:F69"/>
    <mergeCell ref="E68:F68"/>
    <mergeCell ref="G68:H68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 Fund</vt:lpstr>
      <vt:lpstr>Liquid Fund</vt:lpstr>
      <vt:lpstr>'Banking &amp; PSU Debt Fund'!Print_Area</vt:lpstr>
      <vt:lpstr>'Liquid Fund'!Print_Area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Washindkar</dc:creator>
  <cp:lastModifiedBy>Prasad Gangan</cp:lastModifiedBy>
  <dcterms:created xsi:type="dcterms:W3CDTF">2021-04-02T15:20:55Z</dcterms:created>
  <dcterms:modified xsi:type="dcterms:W3CDTF">2021-06-09T16:06:54Z</dcterms:modified>
</cp:coreProperties>
</file>