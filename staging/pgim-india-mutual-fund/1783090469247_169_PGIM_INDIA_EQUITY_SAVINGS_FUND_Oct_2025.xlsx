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295F0B21-E715-46E8-9B0B-63FCFEF0C25B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Savings'!$B$164:$C$168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4" i="2" l="1"/>
  <c r="G104" i="2"/>
  <c r="F104" i="2"/>
  <c r="G98" i="2"/>
  <c r="F98" i="2"/>
</calcChain>
</file>

<file path=xl/sharedStrings.xml><?xml version="1.0" encoding="utf-8"?>
<sst xmlns="http://schemas.openxmlformats.org/spreadsheetml/2006/main" count="307" uniqueCount="200">
  <si>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</si>
  <si>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</si>
  <si>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</si>
  <si>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</si>
  <si>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</si>
  <si>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</si>
  <si>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</si>
  <si>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</si>
  <si>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</si>
  <si>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</si>
  <si>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</si>
  <si>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</si>
  <si>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</si>
  <si>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</si>
  <si>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</si>
  <si>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</si>
  <si>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Reliance Industries Ltd.</t>
  </si>
  <si>
    <t>INE002A01018</t>
  </si>
  <si>
    <t>Petroleum Products</t>
  </si>
  <si>
    <t>HDFC Bank Ltd.</t>
  </si>
  <si>
    <t>INE040A01034</t>
  </si>
  <si>
    <t>Banks</t>
  </si>
  <si>
    <t>Ambuja Cements Ltd.</t>
  </si>
  <si>
    <t>INE079A01024</t>
  </si>
  <si>
    <t>Cement &amp; Cement Products</t>
  </si>
  <si>
    <t>Bajaj Finance Ltd.</t>
  </si>
  <si>
    <t>INE296A01032</t>
  </si>
  <si>
    <t>Finance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</si>
  <si>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</si>
  <si>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</si>
  <si>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</si>
  <si>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</si>
  <si>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</si>
  <si>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</si>
  <si>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</si>
  <si>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</si>
  <si>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</si>
  <si>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</si>
  <si>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</si>
  <si>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</si>
  <si>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</si>
  <si>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</si>
  <si>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</si>
  <si>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</si>
  <si>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</si>
  <si>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</si>
  <si>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</si>
  <si>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</si>
  <si>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</si>
  <si>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</si>
  <si>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</si>
  <si>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</si>
  <si>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</si>
  <si>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</si>
  <si>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</si>
  <si>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</si>
  <si>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</si>
  <si>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</si>
  <si>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</si>
  <si>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</si>
  <si>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</si>
  <si>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</si>
  <si>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Eternal Ltd.</t>
  </si>
  <si>
    <t>INE758T01015</t>
  </si>
  <si>
    <t>Retailing</t>
  </si>
  <si>
    <t>Ultratech Cement Ltd.</t>
  </si>
  <si>
    <t>INE481G01011</t>
  </si>
  <si>
    <t>Maruti Suzuki India Ltd.</t>
  </si>
  <si>
    <t>INE585B01010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</si>
  <si>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</si>
  <si>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</si>
  <si>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</si>
  <si>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</si>
  <si>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</si>
  <si>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</si>
  <si>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Mahindra &amp; Mahindra Ltd.</t>
  </si>
  <si>
    <t>INE101A01026</t>
  </si>
  <si>
    <t>JB Chemicals &amp; Pharmaceuticals Ltd.</t>
  </si>
  <si>
    <t>INE572A01036</t>
  </si>
  <si>
    <t>Pharmaceuticals &amp; Biotechnology</t>
  </si>
  <si>
    <t>Muthoot Finance Ltd.</t>
  </si>
  <si>
    <t>INE414G01012</t>
  </si>
  <si>
    <t>Solar Industries India Ltd.</t>
  </si>
  <si>
    <t>INE343H01029</t>
  </si>
  <si>
    <t>Chemicals &amp; Petrochemicals</t>
  </si>
  <si>
    <t>Persistent Systems Ltd.</t>
  </si>
  <si>
    <t>INE262H01021</t>
  </si>
  <si>
    <t>United Spirits Ltd.</t>
  </si>
  <si>
    <t>INE854D01024</t>
  </si>
  <si>
    <t>Dixon Technologies (India) Ltd.</t>
  </si>
  <si>
    <t>INE935N01020</t>
  </si>
  <si>
    <t>Mankind Pharma Ltd.</t>
  </si>
  <si>
    <t>INE634S01028</t>
  </si>
  <si>
    <t>Cummins India Ltd.</t>
  </si>
  <si>
    <t>INE298A01020</t>
  </si>
  <si>
    <t>Industrial Products</t>
  </si>
  <si>
    <t>Divi's Laboratories Ltd.</t>
  </si>
  <si>
    <t>INE361B01024</t>
  </si>
  <si>
    <t>Axis Bank Ltd.</t>
  </si>
  <si>
    <t>INE238A01034</t>
  </si>
  <si>
    <t>Samvardhana Motherson International Ltd.</t>
  </si>
  <si>
    <t>INE775A01035</t>
  </si>
  <si>
    <t>Auto Components</t>
  </si>
  <si>
    <t>HDFC Life Insurance Company Ltd.</t>
  </si>
  <si>
    <t>INE795G01014</t>
  </si>
  <si>
    <t>SRF Ltd.</t>
  </si>
  <si>
    <t>INE647A01010</t>
  </si>
  <si>
    <t>Britannia Industries Ltd.</t>
  </si>
  <si>
    <t>INE216A01030</t>
  </si>
  <si>
    <t>Food Products</t>
  </si>
  <si>
    <t>LG Electronics India Ltd.</t>
  </si>
  <si>
    <t>INE324D01010</t>
  </si>
  <si>
    <t>Hindustan Aeronautics Ltd.</t>
  </si>
  <si>
    <t>INE066F01020</t>
  </si>
  <si>
    <t>Aerospace &amp; Defense</t>
  </si>
  <si>
    <t>KPIT Technologies Ltd.</t>
  </si>
  <si>
    <t>INE04I401011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</si>
  <si>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</si>
  <si>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</si>
  <si>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</si>
  <si>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</si>
  <si>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</si>
  <si>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</si>
  <si>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</si>
  <si>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</si>
  <si>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</si>
  <si>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</si>
  <si>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</si>
  <si>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</si>
  <si>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</si>
  <si>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</si>
  <si>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</si>
  <si>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</si>
  <si>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</si>
  <si>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</si>
  <si>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</si>
  <si>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</si>
  <si>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</si>
  <si>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</si>
  <si>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</si>
  <si>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</si>
  <si>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</si>
  <si>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</si>
  <si>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</si>
  <si>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</si>
  <si>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</si>
  <si>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</si>
  <si>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</si>
  <si>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</si>
  <si>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</si>
  <si>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</si>
  <si>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</si>
  <si>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</si>
  <si>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</si>
  <si>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</si>
  <si>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</si>
  <si>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</si>
  <si>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</si>
  <si>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</si>
  <si>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</si>
  <si>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</si>
  <si>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</si>
  <si>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</si>
  <si>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</si>
  <si>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</si>
  <si>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</si>
  <si>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</si>
  <si>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</si>
  <si>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</si>
  <si>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</si>
  <si>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</si>
  <si>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</si>
  <si>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</si>
  <si>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</si>
  <si>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</si>
  <si>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</si>
  <si>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</si>
  <si>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</si>
  <si>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</si>
  <si>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</si>
  <si>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</si>
  <si>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</si>
  <si>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</si>
  <si>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</si>
  <si>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</si>
  <si>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</si>
  <si>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</si>
  <si>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</si>
  <si>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</si>
  <si>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</si>
  <si>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</si>
  <si>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Equity Savings Fund 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</si>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</sst>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  <numFmt numFmtId="169" formatCode="0.0000"/>
    <numFmt numFmtId="170" formatCode="#,##0.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1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164" fontId="3" fillId="0" borderId="10" xfId="0" applyNumberFormat="1" applyFont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43" fontId="3" fillId="0" borderId="10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168" fontId="7" fillId="5" borderId="13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9" fontId="4" fillId="4" borderId="0" xfId="0" applyNumberFormat="1" applyFont="1" applyFill="1" applyAlignment="1">
      <alignment horizontal="center" vertical="center"/>
    </xf>
    <xf numFmtId="169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69" fontId="4" fillId="0" borderId="0" xfId="0" applyNumberFormat="1" applyFont="1" applyAlignment="1">
      <alignment horizontal="center" vertical="center"/>
    </xf>
    <xf numFmtId="169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169" fontId="4" fillId="0" borderId="14" xfId="0" applyNumberFormat="1" applyFont="1" applyBorder="1" applyAlignment="1">
      <alignment horizontal="center" vertical="center"/>
    </xf>
    <xf numFmtId="169" fontId="4" fillId="0" borderId="15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0" fontId="4" fillId="0" borderId="9" xfId="0" applyFont="1" applyBorder="1" applyAlignment="1">
      <alignment horizontal="center"/>
    </xf>
    <xf numFmtId="2" fontId="4" fillId="0" borderId="10" xfId="1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7" fillId="5" borderId="13" xfId="0" applyFont="1" applyFill="1" applyBorder="1" applyAlignment="1">
      <alignment horizontal="center" vertical="center"/>
    </xf>
    <xf numFmtId="169" fontId="4" fillId="4" borderId="8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7" fillId="5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70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1FD37333-4DB0-4AF9-BE88-D75C42C82AA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B0187-6D8D-4009-AC8E-688ACDF43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22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742C43-1BB5-40F1-AF5F-49B7EF58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equity-savings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2C84-F2CD-4F7B-9ABF-6BE4ECD3EBE9}">
  <sheetPr>
    <tabColor rgb="FFC00000"/>
  </sheetPr>
  <dimension ref="B1:M194"/>
  <sheetViews>
    <sheetView showGridLines="0" tabSelected="1" workbookViewId="0">
      <selection activeCell="B3" sqref="B3:G9"/>
    </sheetView>
  </sheetViews>
  <sheetFormatPr defaultColWidth="9.1796875" defaultRowHeight="24" customHeight="1" x14ac:dyDescent="0.25"/>
  <cols>
    <col min="1" max="1" width="3.6328125" style="4" customWidth="1"/>
    <col min="2" max="2" width="50.453125" style="52" customWidth="1"/>
    <col min="3" max="3" width="16.54296875" style="52" bestFit="1" customWidth="1"/>
    <col min="4" max="4" width="26.6328125" style="52" customWidth="1"/>
    <col min="5" max="5" width="15.26953125" style="2" customWidth="1"/>
    <col min="6" max="6" width="16.453125" style="2" customWidth="1"/>
    <col min="7" max="7" width="15.26953125" style="53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45793</v>
      </c>
      <c r="F16" s="19">
        <v>680.67</v>
      </c>
      <c r="G16" s="20">
        <v>9.8800000000000008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67178</v>
      </c>
      <c r="F17" s="19">
        <v>663.25</v>
      </c>
      <c r="G17" s="20">
        <v>9.6199999999999992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98700</v>
      </c>
      <c r="F18" s="19">
        <v>558.04999999999995</v>
      </c>
      <c r="G18" s="20">
        <v>8.1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50480</v>
      </c>
      <c r="F19" s="19">
        <v>526.41</v>
      </c>
      <c r="G19" s="20">
        <v>7.64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280500</v>
      </c>
      <c r="F20" s="19">
        <v>512.87</v>
      </c>
      <c r="G20" s="20">
        <v>7.44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322.14</v>
      </c>
      <c r="G21" s="20">
        <v>4.67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19950</v>
      </c>
      <c r="F22" s="19">
        <v>289.57</v>
      </c>
      <c r="G22" s="20">
        <v>4.2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245.56</v>
      </c>
      <c r="G23" s="20">
        <v>3.56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4209</v>
      </c>
      <c r="F24" s="19">
        <v>169.66</v>
      </c>
      <c r="G24" s="20">
        <v>2.46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21</v>
      </c>
      <c r="E25" s="18">
        <v>6800</v>
      </c>
      <c r="F25" s="19">
        <v>142.94999999999999</v>
      </c>
      <c r="G25" s="20">
        <v>2.0699999999999998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6740</v>
      </c>
      <c r="F26" s="19">
        <v>138.47</v>
      </c>
      <c r="G26" s="20">
        <v>2.0099999999999998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21</v>
      </c>
      <c r="E27" s="18">
        <v>8929</v>
      </c>
      <c r="F27" s="19">
        <v>120.12</v>
      </c>
      <c r="G27" s="20">
        <v>1.74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79.66</v>
      </c>
      <c r="G28" s="20">
        <v>1.1599999999999999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1400</v>
      </c>
      <c r="F29" s="19">
        <v>49.12</v>
      </c>
      <c r="G29" s="20">
        <v>0.71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9362</v>
      </c>
      <c r="F30" s="19">
        <v>43.97</v>
      </c>
      <c r="G30" s="20">
        <v>0.64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2143</v>
      </c>
      <c r="F31" s="19">
        <v>42.72</v>
      </c>
      <c r="G31" s="20">
        <v>0.62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12715</v>
      </c>
      <c r="F32" s="19">
        <v>40.4</v>
      </c>
      <c r="G32" s="20">
        <v>0.59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24</v>
      </c>
      <c r="E33" s="18">
        <v>304</v>
      </c>
      <c r="F33" s="19">
        <v>36.32</v>
      </c>
      <c r="G33" s="20">
        <v>0.53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55</v>
      </c>
      <c r="E34" s="18">
        <v>198</v>
      </c>
      <c r="F34" s="19">
        <v>32.049999999999997</v>
      </c>
      <c r="G34" s="20">
        <v>0.47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2746</v>
      </c>
      <c r="F35" s="19">
        <v>31.52</v>
      </c>
      <c r="G35" s="20">
        <v>0.46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560</v>
      </c>
      <c r="F36" s="19">
        <v>31.5</v>
      </c>
      <c r="G36" s="20">
        <v>0.46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55</v>
      </c>
      <c r="E37" s="18">
        <v>894</v>
      </c>
      <c r="F37" s="19">
        <v>31.18</v>
      </c>
      <c r="G37" s="20">
        <v>0.45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1840</v>
      </c>
      <c r="F38" s="19">
        <v>30.95</v>
      </c>
      <c r="G38" s="20">
        <v>0.45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27</v>
      </c>
      <c r="E39" s="18">
        <v>890</v>
      </c>
      <c r="F39" s="19">
        <v>28.29</v>
      </c>
      <c r="G39" s="20">
        <v>0.41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185</v>
      </c>
      <c r="F40" s="19">
        <v>25.67</v>
      </c>
      <c r="G40" s="20">
        <v>0.37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52</v>
      </c>
      <c r="E41" s="18">
        <v>415</v>
      </c>
      <c r="F41" s="19">
        <v>24.55</v>
      </c>
      <c r="G41" s="20">
        <v>0.36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58</v>
      </c>
      <c r="E42" s="18">
        <v>1514</v>
      </c>
      <c r="F42" s="19">
        <v>21.67</v>
      </c>
      <c r="G42" s="20">
        <v>0.31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33</v>
      </c>
      <c r="E43" s="18">
        <v>135</v>
      </c>
      <c r="F43" s="19">
        <v>20.92</v>
      </c>
      <c r="G43" s="20">
        <v>0.3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79</v>
      </c>
      <c r="E44" s="18">
        <v>860</v>
      </c>
      <c r="F44" s="19">
        <v>20.5</v>
      </c>
      <c r="G44" s="20">
        <v>0.3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428</v>
      </c>
      <c r="F45" s="19">
        <v>18.59</v>
      </c>
      <c r="G45" s="20">
        <v>0.27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79</v>
      </c>
      <c r="E46" s="18">
        <v>255</v>
      </c>
      <c r="F46" s="19">
        <v>17.18</v>
      </c>
      <c r="G46" s="20">
        <v>0.25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21</v>
      </c>
      <c r="E47" s="18">
        <v>1182</v>
      </c>
      <c r="F47" s="19">
        <v>14.57</v>
      </c>
      <c r="G47" s="20">
        <v>0.21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13000</v>
      </c>
      <c r="F48" s="19">
        <v>13.7</v>
      </c>
      <c r="G48" s="20">
        <v>0.2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61</v>
      </c>
      <c r="E49" s="18">
        <v>1494</v>
      </c>
      <c r="F49" s="19">
        <v>10.93</v>
      </c>
      <c r="G49" s="20">
        <v>0.16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84</v>
      </c>
      <c r="E50" s="18">
        <v>371</v>
      </c>
      <c r="F50" s="19">
        <v>10.87</v>
      </c>
      <c r="G50" s="20">
        <v>0.16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172</v>
      </c>
      <c r="F51" s="19">
        <v>10.039999999999999</v>
      </c>
      <c r="G51" s="20">
        <v>0.15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33</v>
      </c>
      <c r="E52" s="18">
        <v>510</v>
      </c>
      <c r="F52" s="19">
        <v>8.48</v>
      </c>
      <c r="G52" s="20">
        <v>0.12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156</v>
      </c>
      <c r="F53" s="19">
        <v>7.3</v>
      </c>
      <c r="G53" s="20">
        <v>0.11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52</v>
      </c>
      <c r="E54" s="18">
        <v>590</v>
      </c>
      <c r="F54" s="19">
        <v>6.88</v>
      </c>
      <c r="G54" s="20">
        <v>0.1</v>
      </c>
      <c r="H54" s="21"/>
    </row>
    <row r="55" spans="2:8" ht="24" customHeight="1" x14ac:dyDescent="0.25">
      <c r="B55" s="28" t="s">
        <v>117</v>
      </c>
      <c r="C55" s="28"/>
      <c r="D55" s="28"/>
      <c r="E55" s="29"/>
      <c r="F55" s="30">
        <v>5079.25</v>
      </c>
      <c r="G55" s="31">
        <v>73.709999999999994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118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117</v>
      </c>
      <c r="C59" s="17"/>
      <c r="D59" s="17"/>
      <c r="E59" s="18"/>
      <c r="F59" s="33" t="s">
        <v>119</v>
      </c>
      <c r="G59" s="33" t="s">
        <v>119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120</v>
      </c>
      <c r="C61" s="35"/>
      <c r="D61" s="35"/>
      <c r="E61" s="36"/>
      <c r="F61" s="30">
        <v>5079.25</v>
      </c>
      <c r="G61" s="31">
        <v>73.709999999999994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121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 t="s">
        <v>16</v>
      </c>
      <c r="C64" s="17"/>
      <c r="D64" s="17"/>
      <c r="E64" s="37">
        <v>-38000</v>
      </c>
      <c r="F64" s="38">
        <v>-568.48</v>
      </c>
      <c r="G64" s="20">
        <v>-8.25</v>
      </c>
      <c r="H64" s="21"/>
    </row>
    <row r="65" spans="2:12" ht="24" customHeight="1" x14ac:dyDescent="0.25">
      <c r="B65" s="17" t="s">
        <v>22</v>
      </c>
      <c r="C65" s="17"/>
      <c r="D65" s="17"/>
      <c r="E65" s="37">
        <v>-98700</v>
      </c>
      <c r="F65" s="38">
        <v>-561.36</v>
      </c>
      <c r="G65" s="20">
        <v>-8.14</v>
      </c>
      <c r="H65" s="21"/>
    </row>
    <row r="66" spans="2:12" ht="24" customHeight="1" x14ac:dyDescent="0.25">
      <c r="B66" s="17" t="s">
        <v>19</v>
      </c>
      <c r="C66" s="17"/>
      <c r="D66" s="17"/>
      <c r="E66" s="37">
        <v>-53900</v>
      </c>
      <c r="F66" s="38">
        <v>-535.71</v>
      </c>
      <c r="G66" s="20">
        <v>-7.77</v>
      </c>
      <c r="H66" s="21"/>
    </row>
    <row r="67" spans="2:12" ht="24" customHeight="1" x14ac:dyDescent="0.25">
      <c r="B67" s="17" t="s">
        <v>28</v>
      </c>
      <c r="C67" s="17"/>
      <c r="D67" s="17"/>
      <c r="E67" s="37">
        <v>-280500</v>
      </c>
      <c r="F67" s="38">
        <v>-515.80999999999995</v>
      </c>
      <c r="G67" s="20">
        <v>-7.48</v>
      </c>
      <c r="H67" s="21"/>
    </row>
    <row r="68" spans="2:12" ht="24" customHeight="1" x14ac:dyDescent="0.25">
      <c r="B68" s="17" t="s">
        <v>25</v>
      </c>
      <c r="C68" s="17"/>
      <c r="D68" s="17"/>
      <c r="E68" s="37">
        <v>-45000</v>
      </c>
      <c r="F68" s="38">
        <v>-472.32</v>
      </c>
      <c r="G68" s="20">
        <v>-6.85</v>
      </c>
      <c r="H68" s="21"/>
    </row>
    <row r="69" spans="2:12" ht="24" customHeight="1" x14ac:dyDescent="0.25">
      <c r="B69" s="17" t="s">
        <v>31</v>
      </c>
      <c r="C69" s="17"/>
      <c r="D69" s="17"/>
      <c r="E69" s="37">
        <v>-8050</v>
      </c>
      <c r="F69" s="38">
        <v>-303.39999999999998</v>
      </c>
      <c r="G69" s="20">
        <v>-4.4000000000000004</v>
      </c>
      <c r="H69" s="21"/>
    </row>
    <row r="70" spans="2:12" ht="24" customHeight="1" x14ac:dyDescent="0.25">
      <c r="B70" s="17" t="s">
        <v>34</v>
      </c>
      <c r="C70" s="17"/>
      <c r="D70" s="17"/>
      <c r="E70" s="37">
        <v>-19950</v>
      </c>
      <c r="F70" s="38">
        <v>-291.27</v>
      </c>
      <c r="G70" s="20">
        <v>-4.2300000000000004</v>
      </c>
      <c r="H70" s="21"/>
    </row>
    <row r="71" spans="2:12" ht="24" customHeight="1" x14ac:dyDescent="0.25">
      <c r="B71" s="17" t="s">
        <v>37</v>
      </c>
      <c r="C71" s="17"/>
      <c r="D71" s="17"/>
      <c r="E71" s="37">
        <v>-324000</v>
      </c>
      <c r="F71" s="38">
        <v>-246.47</v>
      </c>
      <c r="G71" s="20">
        <v>-3.58</v>
      </c>
      <c r="H71" s="21"/>
    </row>
    <row r="72" spans="2:12" ht="24" customHeight="1" x14ac:dyDescent="0.25">
      <c r="B72" s="17" t="s">
        <v>43</v>
      </c>
      <c r="C72" s="17"/>
      <c r="D72" s="17"/>
      <c r="E72" s="37">
        <v>-6800</v>
      </c>
      <c r="F72" s="38">
        <v>-143.9</v>
      </c>
      <c r="G72" s="20">
        <v>-2.09</v>
      </c>
      <c r="H72" s="21"/>
    </row>
    <row r="73" spans="2:12" ht="24" customHeight="1" x14ac:dyDescent="0.25">
      <c r="B73" s="17" t="s">
        <v>40</v>
      </c>
      <c r="C73" s="17"/>
      <c r="D73" s="17"/>
      <c r="E73" s="37">
        <v>-2975</v>
      </c>
      <c r="F73" s="38">
        <v>-120.61</v>
      </c>
      <c r="G73" s="20">
        <v>-1.75</v>
      </c>
      <c r="H73" s="21"/>
    </row>
    <row r="74" spans="2:12" ht="24" customHeight="1" x14ac:dyDescent="0.25">
      <c r="B74" s="17" t="s">
        <v>45</v>
      </c>
      <c r="C74" s="17"/>
      <c r="D74" s="17"/>
      <c r="E74" s="37">
        <v>-3800</v>
      </c>
      <c r="F74" s="38">
        <v>-78.569999999999993</v>
      </c>
      <c r="G74" s="20">
        <v>-1.1399999999999999</v>
      </c>
      <c r="H74" s="21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120</v>
      </c>
      <c r="C76" s="35"/>
      <c r="D76" s="35"/>
      <c r="E76" s="36"/>
      <c r="F76" s="39">
        <v>-3837.9</v>
      </c>
      <c r="G76" s="31">
        <v>-55.68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11" t="s">
        <v>122</v>
      </c>
      <c r="C78" s="12"/>
      <c r="D78" s="12"/>
      <c r="E78" s="13"/>
      <c r="F78" s="14"/>
      <c r="G78" s="15"/>
      <c r="H78" s="16"/>
      <c r="L78" s="40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5">
      <c r="B80" s="22" t="s">
        <v>123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5">
      <c r="B81" s="17" t="s">
        <v>124</v>
      </c>
      <c r="C81" s="17" t="s">
        <v>125</v>
      </c>
      <c r="D81" s="17" t="s">
        <v>126</v>
      </c>
      <c r="E81" s="18">
        <v>500000</v>
      </c>
      <c r="F81" s="19">
        <v>516.1</v>
      </c>
      <c r="G81" s="20">
        <v>7.49</v>
      </c>
      <c r="H81" s="21">
        <v>6.7038000000000002</v>
      </c>
      <c r="L81" s="40"/>
    </row>
    <row r="82" spans="2:13" ht="24" customHeight="1" x14ac:dyDescent="0.25">
      <c r="B82" s="17" t="s">
        <v>127</v>
      </c>
      <c r="C82" s="17" t="s">
        <v>128</v>
      </c>
      <c r="D82" s="17" t="s">
        <v>126</v>
      </c>
      <c r="E82" s="18">
        <v>300000</v>
      </c>
      <c r="F82" s="19">
        <v>311.06</v>
      </c>
      <c r="G82" s="20">
        <v>4.51</v>
      </c>
      <c r="H82" s="21">
        <v>6.6730999999999998</v>
      </c>
      <c r="L82" s="40"/>
    </row>
    <row r="83" spans="2:13" ht="24" customHeight="1" x14ac:dyDescent="0.25">
      <c r="B83" s="17" t="s">
        <v>129</v>
      </c>
      <c r="C83" s="17" t="s">
        <v>130</v>
      </c>
      <c r="D83" s="17" t="s">
        <v>131</v>
      </c>
      <c r="E83" s="18">
        <v>200000</v>
      </c>
      <c r="F83" s="19">
        <v>215.13</v>
      </c>
      <c r="G83" s="20">
        <v>3.12</v>
      </c>
      <c r="H83" s="21">
        <v>6.6513999999999998</v>
      </c>
      <c r="L83" s="41"/>
      <c r="M83" s="41"/>
    </row>
    <row r="84" spans="2:13" ht="24" customHeight="1" x14ac:dyDescent="0.25">
      <c r="B84" s="17" t="s">
        <v>132</v>
      </c>
      <c r="C84" s="17" t="s">
        <v>133</v>
      </c>
      <c r="D84" s="17" t="s">
        <v>126</v>
      </c>
      <c r="E84" s="18">
        <v>150000</v>
      </c>
      <c r="F84" s="19">
        <v>149.99</v>
      </c>
      <c r="G84" s="20">
        <v>2.1800000000000002</v>
      </c>
      <c r="H84" s="21">
        <v>5.7476000000000003</v>
      </c>
    </row>
    <row r="85" spans="2:13" ht="24" customHeight="1" x14ac:dyDescent="0.25">
      <c r="B85" s="17" t="s">
        <v>134</v>
      </c>
      <c r="C85" s="17" t="s">
        <v>135</v>
      </c>
      <c r="D85" s="17" t="s">
        <v>126</v>
      </c>
      <c r="E85" s="18">
        <v>100000</v>
      </c>
      <c r="F85" s="19">
        <v>104.43</v>
      </c>
      <c r="G85" s="20">
        <v>1.52</v>
      </c>
      <c r="H85" s="21">
        <v>5.8456999999999999</v>
      </c>
    </row>
    <row r="86" spans="2:13" ht="24" customHeight="1" x14ac:dyDescent="0.25">
      <c r="B86" s="17" t="s">
        <v>136</v>
      </c>
      <c r="C86" s="17" t="s">
        <v>137</v>
      </c>
      <c r="D86" s="17" t="s">
        <v>131</v>
      </c>
      <c r="E86" s="18">
        <v>100000</v>
      </c>
      <c r="F86" s="19">
        <v>100.93</v>
      </c>
      <c r="G86" s="20">
        <v>1.46</v>
      </c>
      <c r="H86" s="21">
        <v>6.75</v>
      </c>
      <c r="L86" s="42"/>
      <c r="M86" s="42"/>
    </row>
    <row r="87" spans="2:13" ht="24" customHeight="1" x14ac:dyDescent="0.25">
      <c r="B87" s="17" t="s">
        <v>138</v>
      </c>
      <c r="C87" s="17" t="s">
        <v>139</v>
      </c>
      <c r="D87" s="17" t="s">
        <v>126</v>
      </c>
      <c r="E87" s="18">
        <v>50000</v>
      </c>
      <c r="F87" s="19">
        <v>50.24</v>
      </c>
      <c r="G87" s="20">
        <v>0.73</v>
      </c>
      <c r="H87" s="21">
        <v>6.5481999999999996</v>
      </c>
      <c r="L87" s="42"/>
      <c r="M87" s="42"/>
    </row>
    <row r="88" spans="2:13" ht="24" customHeight="1" x14ac:dyDescent="0.25">
      <c r="B88" s="28" t="s">
        <v>117</v>
      </c>
      <c r="C88" s="28"/>
      <c r="D88" s="28"/>
      <c r="E88" s="29"/>
      <c r="F88" s="30">
        <v>1447.88</v>
      </c>
      <c r="G88" s="31">
        <v>21.01</v>
      </c>
      <c r="H88" s="32"/>
      <c r="L88" s="42"/>
      <c r="M88" s="42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2"/>
      <c r="M89" s="42"/>
    </row>
    <row r="90" spans="2:13" ht="24" customHeight="1" x14ac:dyDescent="0.25">
      <c r="B90" s="22" t="s">
        <v>140</v>
      </c>
      <c r="C90" s="23"/>
      <c r="D90" s="23"/>
      <c r="E90" s="24"/>
      <c r="F90" s="25"/>
      <c r="G90" s="26"/>
      <c r="H90" s="27"/>
      <c r="L90" s="42"/>
      <c r="M90" s="42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42"/>
      <c r="M91" s="42"/>
    </row>
    <row r="92" spans="2:13" ht="24" customHeight="1" x14ac:dyDescent="0.25">
      <c r="B92" s="28" t="s">
        <v>117</v>
      </c>
      <c r="C92" s="28"/>
      <c r="D92" s="28"/>
      <c r="E92" s="29"/>
      <c r="F92" s="33" t="s">
        <v>119</v>
      </c>
      <c r="G92" s="33" t="s">
        <v>119</v>
      </c>
      <c r="H92" s="32"/>
      <c r="L92" s="42"/>
      <c r="M92" s="42"/>
    </row>
    <row r="93" spans="2:13" ht="24" customHeight="1" x14ac:dyDescent="0.25">
      <c r="B93" s="28"/>
      <c r="C93" s="28"/>
      <c r="D93" s="28"/>
      <c r="E93" s="29"/>
      <c r="F93" s="43"/>
      <c r="G93" s="44"/>
      <c r="H93" s="32"/>
      <c r="L93" s="42"/>
      <c r="M93" s="42"/>
    </row>
    <row r="94" spans="2:13" ht="24" customHeight="1" x14ac:dyDescent="0.25">
      <c r="B94" s="22" t="s">
        <v>141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40"/>
    </row>
    <row r="96" spans="2:13" ht="24" customHeight="1" x14ac:dyDescent="0.25">
      <c r="B96" s="28" t="s">
        <v>117</v>
      </c>
      <c r="C96" s="17"/>
      <c r="D96" s="17"/>
      <c r="E96" s="18"/>
      <c r="F96" s="33" t="s">
        <v>119</v>
      </c>
      <c r="G96" s="33" t="s">
        <v>119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120</v>
      </c>
      <c r="C98" s="35"/>
      <c r="D98" s="35"/>
      <c r="E98" s="36"/>
      <c r="F98" s="30">
        <f>F88</f>
        <v>1447.88</v>
      </c>
      <c r="G98" s="30">
        <f>G88</f>
        <v>21.01</v>
      </c>
      <c r="H98" s="32"/>
    </row>
    <row r="99" spans="2:8" ht="24" customHeight="1" x14ac:dyDescent="0.25">
      <c r="B99" s="45"/>
      <c r="C99" s="46"/>
      <c r="D99" s="46"/>
      <c r="E99" s="47"/>
      <c r="F99" s="43"/>
      <c r="G99" s="43"/>
      <c r="H99" s="32"/>
    </row>
    <row r="100" spans="2:8" ht="24" customHeight="1" x14ac:dyDescent="0.25">
      <c r="B100" s="22" t="s">
        <v>142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 t="s">
        <v>143</v>
      </c>
      <c r="C101" s="17" t="s">
        <v>144</v>
      </c>
      <c r="D101" s="17" t="s">
        <v>145</v>
      </c>
      <c r="E101" s="18">
        <v>5600</v>
      </c>
      <c r="F101" s="19">
        <v>0.56999999999999995</v>
      </c>
      <c r="G101" s="20">
        <v>0.01</v>
      </c>
      <c r="H101" s="21">
        <v>6.05</v>
      </c>
    </row>
    <row r="102" spans="2:8" ht="24" customHeight="1" x14ac:dyDescent="0.25">
      <c r="B102" s="28" t="s">
        <v>117</v>
      </c>
      <c r="C102" s="28"/>
      <c r="D102" s="28"/>
      <c r="E102" s="29"/>
      <c r="F102" s="30">
        <v>0.56999999999999995</v>
      </c>
      <c r="G102" s="31">
        <v>0.01</v>
      </c>
      <c r="H102" s="32"/>
    </row>
    <row r="103" spans="2:8" ht="24" customHeight="1" x14ac:dyDescent="0.25">
      <c r="B103" s="45"/>
      <c r="C103" s="48"/>
      <c r="D103" s="48"/>
      <c r="E103" s="49"/>
      <c r="F103" s="50"/>
      <c r="G103" s="31"/>
      <c r="H103" s="32"/>
    </row>
    <row r="104" spans="2:8" ht="24" customHeight="1" x14ac:dyDescent="0.25">
      <c r="B104" s="34" t="s">
        <v>120</v>
      </c>
      <c r="C104" s="35"/>
      <c r="D104" s="35"/>
      <c r="E104" s="36"/>
      <c r="F104" s="30">
        <f>F101</f>
        <v>0.56999999999999995</v>
      </c>
      <c r="G104" s="30">
        <f>G101</f>
        <v>0.01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146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 t="s">
        <v>147</v>
      </c>
      <c r="C107" s="17"/>
      <c r="D107" s="17"/>
      <c r="E107" s="18"/>
      <c r="F107" s="19">
        <v>294.05</v>
      </c>
      <c r="G107" s="20">
        <v>4.26</v>
      </c>
      <c r="H107" s="21"/>
    </row>
    <row r="108" spans="2:8" ht="24" customHeight="1" x14ac:dyDescent="0.25">
      <c r="B108" s="28" t="s">
        <v>117</v>
      </c>
      <c r="C108" s="28"/>
      <c r="D108" s="28"/>
      <c r="E108" s="29"/>
      <c r="F108" s="30">
        <v>294.05</v>
      </c>
      <c r="G108" s="31">
        <v>4.26</v>
      </c>
      <c r="H108" s="32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120</v>
      </c>
      <c r="C110" s="35"/>
      <c r="D110" s="35"/>
      <c r="E110" s="36"/>
      <c r="F110" s="30">
        <v>294.05</v>
      </c>
      <c r="G110" s="31">
        <v>4.26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7" t="s">
        <v>148</v>
      </c>
      <c r="C112" s="17"/>
      <c r="D112" s="17"/>
      <c r="E112" s="18"/>
      <c r="F112" s="19">
        <v>3908.2</v>
      </c>
      <c r="G112" s="20">
        <v>56.690000000000005</v>
      </c>
      <c r="H112" s="21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4" t="s">
        <v>149</v>
      </c>
      <c r="C114" s="35"/>
      <c r="D114" s="35"/>
      <c r="E114" s="36"/>
      <c r="F114" s="30">
        <v>6892.05</v>
      </c>
      <c r="G114" s="31">
        <v>100</v>
      </c>
      <c r="H114" s="51"/>
    </row>
    <row r="115" spans="2:8" ht="24" customHeight="1" x14ac:dyDescent="0.25">
      <c r="B115" s="4"/>
    </row>
    <row r="116" spans="2:8" ht="24" customHeight="1" x14ac:dyDescent="0.25">
      <c r="B116" s="54" t="s">
        <v>150</v>
      </c>
      <c r="F116" s="55"/>
      <c r="G116" s="55"/>
    </row>
    <row r="117" spans="2:8" ht="24" customHeight="1" x14ac:dyDescent="0.25">
      <c r="B117" s="54" t="s">
        <v>151</v>
      </c>
      <c r="F117" s="55"/>
      <c r="G117" s="55"/>
    </row>
    <row r="123" spans="2:8" ht="24" customHeight="1" x14ac:dyDescent="0.25">
      <c r="B123" s="46" t="s">
        <v>152</v>
      </c>
    </row>
    <row r="124" spans="2:8" ht="24" customHeight="1" x14ac:dyDescent="0.25">
      <c r="B124" s="52" t="s">
        <v>153</v>
      </c>
    </row>
    <row r="125" spans="2:8" ht="24" customHeight="1" x14ac:dyDescent="0.25">
      <c r="B125" s="56" t="s">
        <v>154</v>
      </c>
      <c r="C125" s="57">
        <v>45930</v>
      </c>
      <c r="D125" s="58">
        <v>45961</v>
      </c>
    </row>
    <row r="126" spans="2:8" ht="24" customHeight="1" x14ac:dyDescent="0.25">
      <c r="B126" s="59" t="s">
        <v>155</v>
      </c>
      <c r="C126" s="60" t="s">
        <v>156</v>
      </c>
      <c r="D126" s="61" t="s">
        <v>156</v>
      </c>
      <c r="E126" s="4"/>
      <c r="F126" s="4"/>
      <c r="G126" s="4"/>
      <c r="H126" s="4"/>
    </row>
    <row r="127" spans="2:8" ht="24" customHeight="1" x14ac:dyDescent="0.25">
      <c r="B127" s="62" t="s">
        <v>157</v>
      </c>
      <c r="C127" s="63">
        <v>56.028399999999998</v>
      </c>
      <c r="D127" s="64">
        <v>56.678199999999997</v>
      </c>
      <c r="E127" s="4"/>
      <c r="F127" s="4"/>
      <c r="G127" s="4"/>
      <c r="H127" s="4"/>
    </row>
    <row r="128" spans="2:8" ht="24" customHeight="1" x14ac:dyDescent="0.25">
      <c r="B128" s="62" t="s">
        <v>158</v>
      </c>
      <c r="C128" s="63">
        <v>13.8827</v>
      </c>
      <c r="D128" s="64">
        <v>13.9717</v>
      </c>
      <c r="E128" s="4"/>
      <c r="F128" s="4"/>
      <c r="G128" s="4"/>
      <c r="H128" s="4"/>
    </row>
    <row r="129" spans="2:8" ht="24" customHeight="1" x14ac:dyDescent="0.25">
      <c r="B129" s="62" t="s">
        <v>159</v>
      </c>
      <c r="C129" s="63">
        <v>16.104199999999999</v>
      </c>
      <c r="D129" s="64">
        <v>16.2927</v>
      </c>
      <c r="E129" s="4"/>
      <c r="F129" s="4"/>
      <c r="G129" s="4"/>
      <c r="H129" s="4"/>
    </row>
    <row r="130" spans="2:8" ht="24" customHeight="1" x14ac:dyDescent="0.25">
      <c r="B130" s="59" t="s">
        <v>160</v>
      </c>
      <c r="C130" s="60"/>
      <c r="D130" s="61"/>
      <c r="E130" s="4"/>
      <c r="F130" s="4"/>
      <c r="G130" s="4"/>
      <c r="H130" s="4"/>
    </row>
    <row r="131" spans="2:8" ht="24" customHeight="1" x14ac:dyDescent="0.25">
      <c r="B131" s="62" t="s">
        <v>157</v>
      </c>
      <c r="C131" s="63">
        <v>49.389899999999997</v>
      </c>
      <c r="D131" s="64">
        <v>49.9313</v>
      </c>
      <c r="E131" s="4"/>
      <c r="F131" s="4"/>
      <c r="G131" s="4"/>
      <c r="H131" s="4"/>
    </row>
    <row r="132" spans="2:8" ht="24" customHeight="1" x14ac:dyDescent="0.25">
      <c r="B132" s="62" t="s">
        <v>158</v>
      </c>
      <c r="C132" s="63">
        <v>12.639900000000001</v>
      </c>
      <c r="D132" s="64">
        <v>12.713100000000001</v>
      </c>
      <c r="E132" s="4"/>
      <c r="F132" s="4"/>
      <c r="G132" s="4"/>
      <c r="H132" s="4"/>
    </row>
    <row r="133" spans="2:8" ht="24" customHeight="1" x14ac:dyDescent="0.25">
      <c r="B133" s="65" t="s">
        <v>159</v>
      </c>
      <c r="C133" s="66">
        <v>15.1775</v>
      </c>
      <c r="D133" s="67">
        <v>15.3439</v>
      </c>
      <c r="E133" s="4"/>
      <c r="F133" s="4"/>
      <c r="G133" s="4"/>
      <c r="H133" s="4"/>
    </row>
    <row r="134" spans="2:8" ht="24" customHeight="1" x14ac:dyDescent="0.25">
      <c r="C134" s="68"/>
      <c r="D134" s="68"/>
      <c r="E134" s="4"/>
      <c r="F134" s="4"/>
      <c r="G134" s="4"/>
      <c r="H134" s="4"/>
    </row>
    <row r="135" spans="2:8" ht="24" customHeight="1" x14ac:dyDescent="0.25">
      <c r="B135" s="52" t="s">
        <v>161</v>
      </c>
    </row>
    <row r="136" spans="2:8" ht="24" customHeight="1" x14ac:dyDescent="0.25">
      <c r="B136" s="69"/>
      <c r="C136" s="70" t="s">
        <v>162</v>
      </c>
      <c r="D136" s="70" t="s">
        <v>163</v>
      </c>
      <c r="E136" s="71" t="s">
        <v>164</v>
      </c>
    </row>
    <row r="137" spans="2:8" ht="24" customHeight="1" x14ac:dyDescent="0.25">
      <c r="B137" s="62" t="s">
        <v>165</v>
      </c>
      <c r="C137" s="72" t="s">
        <v>166</v>
      </c>
      <c r="D137" s="41" t="s">
        <v>119</v>
      </c>
      <c r="E137" s="73" t="s">
        <v>167</v>
      </c>
    </row>
    <row r="138" spans="2:8" ht="24" customHeight="1" x14ac:dyDescent="0.25">
      <c r="B138" s="65" t="s">
        <v>168</v>
      </c>
      <c r="C138" s="74" t="s">
        <v>119</v>
      </c>
      <c r="D138" s="74" t="s">
        <v>119</v>
      </c>
      <c r="E138" s="75" t="s">
        <v>167</v>
      </c>
    </row>
    <row r="140" spans="2:8" ht="24" customHeight="1" x14ac:dyDescent="0.25">
      <c r="B140" s="52" t="s">
        <v>169</v>
      </c>
    </row>
    <row r="141" spans="2:8" ht="24" customHeight="1" x14ac:dyDescent="0.25">
      <c r="B141" s="76" t="s">
        <v>162</v>
      </c>
      <c r="C141" s="77" t="s">
        <v>170</v>
      </c>
      <c r="D141" s="78"/>
      <c r="E141" s="78" t="s">
        <v>171</v>
      </c>
      <c r="F141" s="78"/>
      <c r="G141" s="79"/>
    </row>
    <row r="142" spans="2:8" ht="24" customHeight="1" x14ac:dyDescent="0.25">
      <c r="B142" s="80"/>
      <c r="C142" s="81" t="s">
        <v>172</v>
      </c>
      <c r="D142" s="81" t="s">
        <v>173</v>
      </c>
      <c r="E142" s="81" t="s">
        <v>172</v>
      </c>
      <c r="F142" s="82" t="s">
        <v>173</v>
      </c>
      <c r="G142" s="83"/>
    </row>
    <row r="143" spans="2:8" ht="24" customHeight="1" x14ac:dyDescent="0.25">
      <c r="B143" s="84" t="s">
        <v>174</v>
      </c>
      <c r="C143" s="85">
        <v>509</v>
      </c>
      <c r="D143" s="86">
        <v>4007.0776787000004</v>
      </c>
      <c r="E143" s="87">
        <v>0</v>
      </c>
      <c r="F143" s="88">
        <v>0</v>
      </c>
      <c r="G143" s="89"/>
    </row>
    <row r="144" spans="2:8" ht="24" customHeight="1" x14ac:dyDescent="0.25">
      <c r="B144" s="90" t="s">
        <v>175</v>
      </c>
      <c r="C144" s="91">
        <v>0</v>
      </c>
      <c r="D144" s="92">
        <v>0</v>
      </c>
      <c r="E144" s="93">
        <v>0</v>
      </c>
      <c r="F144" s="94">
        <v>0</v>
      </c>
      <c r="G144" s="95"/>
    </row>
    <row r="145" spans="2:7" ht="24" customHeight="1" x14ac:dyDescent="0.25">
      <c r="B145" s="96" t="s">
        <v>176</v>
      </c>
      <c r="C145" s="97"/>
      <c r="D145" s="97"/>
      <c r="E145" s="97"/>
      <c r="F145" s="98">
        <v>-140.67540159999999</v>
      </c>
      <c r="G145" s="99"/>
    </row>
    <row r="146" spans="2:7" ht="24" customHeight="1" x14ac:dyDescent="0.25">
      <c r="B146" s="76" t="s">
        <v>177</v>
      </c>
      <c r="C146" s="78" t="s">
        <v>170</v>
      </c>
      <c r="D146" s="78"/>
      <c r="E146" s="78" t="s">
        <v>171</v>
      </c>
      <c r="F146" s="78"/>
      <c r="G146" s="79"/>
    </row>
    <row r="147" spans="2:7" ht="24" customHeight="1" x14ac:dyDescent="0.25">
      <c r="B147" s="100"/>
      <c r="C147" s="81" t="s">
        <v>172</v>
      </c>
      <c r="D147" s="81" t="s">
        <v>173</v>
      </c>
      <c r="E147" s="81" t="s">
        <v>172</v>
      </c>
      <c r="F147" s="82" t="s">
        <v>173</v>
      </c>
      <c r="G147" s="83"/>
    </row>
    <row r="148" spans="2:7" ht="24" customHeight="1" x14ac:dyDescent="0.25">
      <c r="B148" s="84" t="s">
        <v>174</v>
      </c>
      <c r="C148" s="85">
        <v>0</v>
      </c>
      <c r="D148" s="86">
        <v>0</v>
      </c>
      <c r="E148" s="87">
        <v>0</v>
      </c>
      <c r="F148" s="88">
        <v>0</v>
      </c>
      <c r="G148" s="89"/>
    </row>
    <row r="149" spans="2:7" ht="24" customHeight="1" x14ac:dyDescent="0.25">
      <c r="B149" s="90" t="s">
        <v>175</v>
      </c>
      <c r="C149" s="91">
        <v>0</v>
      </c>
      <c r="D149" s="92">
        <v>0</v>
      </c>
      <c r="E149" s="93">
        <v>0</v>
      </c>
      <c r="F149" s="94">
        <v>0</v>
      </c>
      <c r="G149" s="95"/>
    </row>
    <row r="150" spans="2:7" ht="24" customHeight="1" x14ac:dyDescent="0.25">
      <c r="B150" s="96" t="s">
        <v>176</v>
      </c>
      <c r="C150" s="97"/>
      <c r="D150" s="97"/>
      <c r="E150" s="97"/>
      <c r="F150" s="98">
        <v>0</v>
      </c>
      <c r="G150" s="99"/>
    </row>
    <row r="151" spans="2:7" ht="24" customHeight="1" x14ac:dyDescent="0.25">
      <c r="B151" s="76" t="s">
        <v>164</v>
      </c>
      <c r="C151" s="78" t="s">
        <v>170</v>
      </c>
      <c r="D151" s="78"/>
      <c r="E151" s="78" t="s">
        <v>171</v>
      </c>
      <c r="F151" s="78"/>
      <c r="G151" s="79"/>
    </row>
    <row r="152" spans="2:7" ht="24" customHeight="1" x14ac:dyDescent="0.25">
      <c r="B152" s="100"/>
      <c r="C152" s="81" t="s">
        <v>172</v>
      </c>
      <c r="D152" s="81" t="s">
        <v>173</v>
      </c>
      <c r="E152" s="81" t="s">
        <v>172</v>
      </c>
      <c r="F152" s="82" t="s">
        <v>173</v>
      </c>
      <c r="G152" s="83"/>
    </row>
    <row r="153" spans="2:7" ht="24" customHeight="1" x14ac:dyDescent="0.25">
      <c r="B153" s="84" t="s">
        <v>174</v>
      </c>
      <c r="C153" s="85">
        <v>0</v>
      </c>
      <c r="D153" s="86">
        <v>0</v>
      </c>
      <c r="E153" s="87">
        <v>0</v>
      </c>
      <c r="F153" s="88">
        <v>0</v>
      </c>
      <c r="G153" s="89"/>
    </row>
    <row r="154" spans="2:7" ht="24" customHeight="1" x14ac:dyDescent="0.25">
      <c r="B154" s="90" t="s">
        <v>175</v>
      </c>
      <c r="C154" s="91">
        <v>0</v>
      </c>
      <c r="D154" s="92">
        <v>0</v>
      </c>
      <c r="E154" s="93">
        <v>0</v>
      </c>
      <c r="F154" s="94">
        <v>0</v>
      </c>
      <c r="G154" s="95"/>
    </row>
    <row r="155" spans="2:7" ht="24" customHeight="1" x14ac:dyDescent="0.25">
      <c r="B155" s="96" t="s">
        <v>176</v>
      </c>
      <c r="C155" s="97"/>
      <c r="D155" s="97"/>
      <c r="E155" s="97"/>
      <c r="F155" s="98">
        <v>0</v>
      </c>
      <c r="G155" s="99"/>
    </row>
    <row r="157" spans="2:7" ht="24" customHeight="1" x14ac:dyDescent="0.25">
      <c r="B157" s="52" t="s">
        <v>178</v>
      </c>
      <c r="D157" s="41" t="s">
        <v>119</v>
      </c>
    </row>
    <row r="159" spans="2:7" ht="24" customHeight="1" x14ac:dyDescent="0.25">
      <c r="B159" s="52" t="s">
        <v>179</v>
      </c>
      <c r="D159" s="41" t="s">
        <v>119</v>
      </c>
    </row>
    <row r="161" spans="2:8" ht="24" customHeight="1" x14ac:dyDescent="0.25">
      <c r="B161" s="52" t="s">
        <v>180</v>
      </c>
      <c r="D161" s="41">
        <v>0.1</v>
      </c>
    </row>
    <row r="163" spans="2:8" ht="24" customHeight="1" x14ac:dyDescent="0.25">
      <c r="B163" s="52" t="s">
        <v>181</v>
      </c>
    </row>
    <row r="164" spans="2:8" ht="24" customHeight="1" x14ac:dyDescent="0.25">
      <c r="B164" s="56" t="s">
        <v>182</v>
      </c>
      <c r="C164" s="101" t="s">
        <v>183</v>
      </c>
      <c r="D164" s="46"/>
    </row>
    <row r="165" spans="2:8" ht="24" customHeight="1" x14ac:dyDescent="0.25">
      <c r="B165" s="59" t="s">
        <v>155</v>
      </c>
      <c r="C165" s="102"/>
      <c r="D165" s="4"/>
      <c r="E165" s="4"/>
      <c r="F165" s="4"/>
      <c r="G165" s="4"/>
      <c r="H165" s="4"/>
    </row>
    <row r="166" spans="2:8" ht="24" customHeight="1" x14ac:dyDescent="0.25">
      <c r="B166" s="62" t="s">
        <v>184</v>
      </c>
      <c r="C166" s="64">
        <v>7.1800000000000003E-2</v>
      </c>
      <c r="D166" s="4"/>
      <c r="E166" s="4"/>
      <c r="F166" s="4"/>
      <c r="G166" s="4"/>
      <c r="H166" s="4"/>
    </row>
    <row r="167" spans="2:8" ht="24" customHeight="1" x14ac:dyDescent="0.25">
      <c r="B167" s="59" t="s">
        <v>160</v>
      </c>
      <c r="C167" s="102"/>
      <c r="D167" s="4"/>
      <c r="E167" s="4"/>
      <c r="F167" s="4"/>
      <c r="G167" s="4"/>
      <c r="H167" s="4"/>
    </row>
    <row r="168" spans="2:8" ht="24" customHeight="1" x14ac:dyDescent="0.25">
      <c r="B168" s="65" t="s">
        <v>184</v>
      </c>
      <c r="C168" s="67">
        <v>6.54E-2</v>
      </c>
      <c r="D168" s="4"/>
      <c r="E168" s="4"/>
      <c r="F168" s="4"/>
      <c r="G168" s="4"/>
      <c r="H168" s="4"/>
    </row>
    <row r="169" spans="2:8" ht="24" customHeight="1" x14ac:dyDescent="0.25">
      <c r="B169" s="52" t="s">
        <v>185</v>
      </c>
      <c r="C169" s="68"/>
      <c r="D169" s="4"/>
      <c r="E169" s="4"/>
      <c r="F169" s="4"/>
      <c r="G169" s="4"/>
      <c r="H169" s="4"/>
    </row>
    <row r="171" spans="2:8" ht="24" customHeight="1" x14ac:dyDescent="0.25">
      <c r="B171" s="52" t="s">
        <v>186</v>
      </c>
      <c r="D171" s="41" t="s">
        <v>119</v>
      </c>
    </row>
    <row r="172" spans="2:8" ht="24" customHeight="1" x14ac:dyDescent="0.25">
      <c r="B172" s="52" t="s">
        <v>187</v>
      </c>
      <c r="D172" s="41" t="s">
        <v>119</v>
      </c>
    </row>
    <row r="174" spans="2:8" ht="24" customHeight="1" x14ac:dyDescent="0.25">
      <c r="B174" s="103" t="s">
        <v>188</v>
      </c>
      <c r="D174" s="41" t="s">
        <v>119</v>
      </c>
    </row>
    <row r="176" spans="2:8" ht="24" customHeight="1" x14ac:dyDescent="0.25">
      <c r="B176" s="52" t="s">
        <v>189</v>
      </c>
      <c r="D176" s="41" t="s">
        <v>119</v>
      </c>
    </row>
    <row r="177" spans="2:8" ht="24" customHeight="1" x14ac:dyDescent="0.25">
      <c r="D177" s="41"/>
    </row>
    <row r="178" spans="2:8" ht="24" customHeight="1" x14ac:dyDescent="0.35">
      <c r="B178" s="52" t="s">
        <v>190</v>
      </c>
      <c r="C178" s="104" t="s">
        <v>191</v>
      </c>
      <c r="D178" s="41"/>
    </row>
    <row r="180" spans="2:8" ht="24" customHeight="1" x14ac:dyDescent="0.25">
      <c r="B180" s="46" t="s">
        <v>192</v>
      </c>
    </row>
    <row r="181" spans="2:8" s="109" customFormat="1" ht="24" customHeight="1" x14ac:dyDescent="0.25">
      <c r="B181" s="105" t="s">
        <v>193</v>
      </c>
      <c r="C181" s="105" t="s">
        <v>194</v>
      </c>
      <c r="D181" s="105" t="s">
        <v>195</v>
      </c>
      <c r="E181" s="106" t="s">
        <v>196</v>
      </c>
      <c r="F181" s="106" t="s">
        <v>197</v>
      </c>
      <c r="G181" s="107"/>
      <c r="H181" s="108"/>
    </row>
    <row r="182" spans="2:8" ht="24" customHeight="1" x14ac:dyDescent="0.25">
      <c r="B182" s="110" t="s">
        <v>34</v>
      </c>
      <c r="C182" s="110" t="s">
        <v>198</v>
      </c>
      <c r="D182" s="110">
        <v>1426.8166000000001</v>
      </c>
      <c r="E182" s="111">
        <v>1460</v>
      </c>
      <c r="F182" s="111">
        <v>59.652096</v>
      </c>
    </row>
    <row r="183" spans="2:8" ht="24" customHeight="1" x14ac:dyDescent="0.25">
      <c r="B183" s="110" t="s">
        <v>22</v>
      </c>
      <c r="C183" s="110" t="s">
        <v>198</v>
      </c>
      <c r="D183" s="110">
        <v>558.72500000000002</v>
      </c>
      <c r="E183" s="111">
        <v>568.75</v>
      </c>
      <c r="F183" s="111">
        <v>102.7843294</v>
      </c>
    </row>
    <row r="184" spans="2:8" ht="24" customHeight="1" x14ac:dyDescent="0.25">
      <c r="B184" s="110" t="s">
        <v>25</v>
      </c>
      <c r="C184" s="110" t="s">
        <v>198</v>
      </c>
      <c r="D184" s="110">
        <v>1089.1224999999999</v>
      </c>
      <c r="E184" s="111">
        <v>1049.5999999999999</v>
      </c>
      <c r="F184" s="111">
        <v>83.270015999999998</v>
      </c>
    </row>
    <row r="185" spans="2:8" ht="24" customHeight="1" x14ac:dyDescent="0.25">
      <c r="B185" s="110" t="s">
        <v>45</v>
      </c>
      <c r="C185" s="110" t="s">
        <v>198</v>
      </c>
      <c r="D185" s="110">
        <v>2065.1999999999998</v>
      </c>
      <c r="E185" s="111">
        <v>2067.6</v>
      </c>
      <c r="F185" s="111">
        <v>13.8516794</v>
      </c>
    </row>
    <row r="186" spans="2:8" ht="24" customHeight="1" x14ac:dyDescent="0.25">
      <c r="B186" s="110" t="s">
        <v>19</v>
      </c>
      <c r="C186" s="110" t="s">
        <v>198</v>
      </c>
      <c r="D186" s="110">
        <v>1011.9459000000001</v>
      </c>
      <c r="E186" s="111">
        <v>993.9</v>
      </c>
      <c r="F186" s="111">
        <v>94.446043200000005</v>
      </c>
    </row>
    <row r="187" spans="2:8" ht="24" customHeight="1" x14ac:dyDescent="0.25">
      <c r="B187" s="110" t="s">
        <v>43</v>
      </c>
      <c r="C187" s="110" t="s">
        <v>198</v>
      </c>
      <c r="D187" s="110">
        <v>2176.8941</v>
      </c>
      <c r="E187" s="111">
        <v>2116.1999999999998</v>
      </c>
      <c r="F187" s="111">
        <v>25.369852099999999</v>
      </c>
    </row>
    <row r="188" spans="2:8" ht="24" customHeight="1" x14ac:dyDescent="0.25">
      <c r="B188" s="110" t="s">
        <v>40</v>
      </c>
      <c r="C188" s="110" t="s">
        <v>198</v>
      </c>
      <c r="D188" s="110">
        <v>3953.7588000000001</v>
      </c>
      <c r="E188" s="111">
        <v>4054.1</v>
      </c>
      <c r="F188" s="111">
        <v>21.275511399999999</v>
      </c>
    </row>
    <row r="189" spans="2:8" ht="24" customHeight="1" x14ac:dyDescent="0.25">
      <c r="B189" s="110" t="s">
        <v>37</v>
      </c>
      <c r="C189" s="110" t="s">
        <v>198</v>
      </c>
      <c r="D189" s="110">
        <v>74.682500000000005</v>
      </c>
      <c r="E189" s="111">
        <v>76.069999999999993</v>
      </c>
      <c r="F189" s="111">
        <v>51.166507699999997</v>
      </c>
    </row>
    <row r="190" spans="2:8" ht="24" customHeight="1" x14ac:dyDescent="0.25">
      <c r="B190" s="110" t="s">
        <v>16</v>
      </c>
      <c r="C190" s="110" t="s">
        <v>198</v>
      </c>
      <c r="D190" s="110">
        <v>1487.6380999999999</v>
      </c>
      <c r="E190" s="111">
        <v>1496</v>
      </c>
      <c r="F190" s="111">
        <v>100.223024</v>
      </c>
    </row>
    <row r="191" spans="2:8" ht="24" customHeight="1" x14ac:dyDescent="0.25">
      <c r="B191" s="110" t="s">
        <v>28</v>
      </c>
      <c r="C191" s="110" t="s">
        <v>198</v>
      </c>
      <c r="D191" s="110">
        <v>177.9178</v>
      </c>
      <c r="E191" s="111">
        <v>183.89</v>
      </c>
      <c r="F191" s="111">
        <v>95.321956</v>
      </c>
    </row>
    <row r="192" spans="2:8" ht="24" customHeight="1" x14ac:dyDescent="0.25">
      <c r="B192" s="110" t="s">
        <v>31</v>
      </c>
      <c r="C192" s="110" t="s">
        <v>198</v>
      </c>
      <c r="D192" s="110">
        <v>3756.7695010000002</v>
      </c>
      <c r="E192" s="111">
        <v>3768.9</v>
      </c>
      <c r="F192" s="111">
        <v>53.519133799999999</v>
      </c>
    </row>
    <row r="194" spans="2:3" ht="24" customHeight="1" x14ac:dyDescent="0.25">
      <c r="B194" s="46" t="s">
        <v>199</v>
      </c>
      <c r="C194" s="112">
        <f>-G76/100</f>
        <v>0.55679999999999996</v>
      </c>
    </row>
  </sheetData>
  <mergeCells count="21">
    <mergeCell ref="C151:D151"/>
    <mergeCell ref="E151:G151"/>
    <mergeCell ref="F152:G152"/>
    <mergeCell ref="F153:G153"/>
    <mergeCell ref="F154:G154"/>
    <mergeCell ref="B155:E155"/>
    <mergeCell ref="F155:G155"/>
    <mergeCell ref="C146:D146"/>
    <mergeCell ref="E146:G146"/>
    <mergeCell ref="F147:G147"/>
    <mergeCell ref="F148:G148"/>
    <mergeCell ref="F149:G149"/>
    <mergeCell ref="B150:E150"/>
    <mergeCell ref="F150:G150"/>
    <mergeCell ref="C141:D141"/>
    <mergeCell ref="E141:G141"/>
    <mergeCell ref="F142:G142"/>
    <mergeCell ref="F143:G143"/>
    <mergeCell ref="F144:G144"/>
    <mergeCell ref="B145:E145"/>
    <mergeCell ref="F145:G145"/>
  </mergeCells>
  <hyperlinks>
    <hyperlink ref="C178" r:id="rId1" location="performance" xr:uid="{2BB6B85C-F26C-47EF-A7AC-39995415FE1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2025-11-08T06:04:18Z</dcterms:modified>
</cp:coreProperties>
</file>