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A9753308-3855-4BF7-A4E7-A3B7AEF6612B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Cap'!$B$115:$D$120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Cap'!$L$77:$M$99</definedName>
    <definedName name="JPM_Footer_disp" localSheetId="0">'Large Cap'!$L$89:$M$99</definedName>
    <definedName name="JPM_Footer_disp12" localSheetId="0">'Large Cap'!$L$77:$M$101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" l="1"/>
  <c r="G84" i="2" s="1"/>
  <c r="F82" i="2"/>
  <c r="F84" i="2" s="1"/>
</calcChain>
</file>

<file path=xl/sharedStrings.xml><?xml version="1.0" encoding="utf-8"?>
<sst xmlns="http://schemas.openxmlformats.org/spreadsheetml/2006/main" count="211" uniqueCount="161">
  <si>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</si>
  <si>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</si>
  <si>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</si>
  <si>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</si>
  <si>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</si>
  <si>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</si>
  <si>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</si>
  <si>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</si>
  <si>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</si>
  <si>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</si>
  <si>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</si>
  <si>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</si>
  <si>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</si>
  <si>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</si>
  <si>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</si>
  <si>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</si>
  <si>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</si>
  <si>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</si>
  <si>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</si>
  <si>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</si>
  <si>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</si>
  <si>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</si>
  <si>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</si>
  <si>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</si>
  <si>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</si>
  <si>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</si>
  <si>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</si>
  <si>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</si>
  <si>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</si>
  <si>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</si>
  <si>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</si>
  <si>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</si>
  <si>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</si>
  <si>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Bajaj Finance Ltd.</t>
  </si>
  <si>
    <t>INE296A01032</t>
  </si>
  <si>
    <t>Finance</t>
  </si>
  <si>
    <t>InterGlobe Aviation Ltd.</t>
  </si>
  <si>
    <t>INE646L01027</t>
  </si>
  <si>
    <t>Transport Services</t>
  </si>
  <si>
    <t>TVS Motor Company Ltd.</t>
  </si>
  <si>
    <t>INE494B01023</t>
  </si>
  <si>
    <t>Automobiles</t>
  </si>
  <si>
    <t>Eternal Ltd.</t>
  </si>
  <si>
    <t>INE758T01015</t>
  </si>
  <si>
    <t>Retailing</t>
  </si>
  <si>
    <t>Maruti Suzuki India Ltd.</t>
  </si>
  <si>
    <t>INE585B01010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</si>
  <si>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</si>
  <si>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</si>
  <si>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</si>
  <si>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</si>
  <si>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</si>
  <si>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</si>
  <si>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Mahindra &amp; Mahindra Ltd.</t>
  </si>
  <si>
    <t>INE101A01026</t>
  </si>
  <si>
    <t>Infosys Ltd.</t>
  </si>
  <si>
    <t>INE009A01021</t>
  </si>
  <si>
    <t>Muthoot Finance Ltd.</t>
  </si>
  <si>
    <t>INE414G01012</t>
  </si>
  <si>
    <t>ICICI Lombard General Insurance Co. Ltd.</t>
  </si>
  <si>
    <t>INE765G01017</t>
  </si>
  <si>
    <t>Insurance</t>
  </si>
  <si>
    <t>Titan Company Ltd.</t>
  </si>
  <si>
    <t>INE280A01028</t>
  </si>
  <si>
    <t>Consumer Durables</t>
  </si>
  <si>
    <t>NTPC Ltd.</t>
  </si>
  <si>
    <t>INE733E01010</t>
  </si>
  <si>
    <t>Power</t>
  </si>
  <si>
    <t>Divi's Laboratories Ltd.</t>
  </si>
  <si>
    <t>INE361B01024</t>
  </si>
  <si>
    <t>Pharmaceuticals &amp; Biotechnology</t>
  </si>
  <si>
    <t>CG Power and Industrial Solutions Ltd.</t>
  </si>
  <si>
    <t>INE067A01029</t>
  </si>
  <si>
    <t>Electrical Equipment</t>
  </si>
  <si>
    <t>Axis Bank Ltd.</t>
  </si>
  <si>
    <t>INE238A01034</t>
  </si>
  <si>
    <t>Mankind Pharma Ltd.</t>
  </si>
  <si>
    <t>INE634S01028</t>
  </si>
  <si>
    <t>Dr. Reddy's Laboratories Ltd.</t>
  </si>
  <si>
    <t>INE089A01031</t>
  </si>
  <si>
    <t>Kotak Mahindra Bank Ltd.</t>
  </si>
  <si>
    <t>INE237A01028</t>
  </si>
  <si>
    <t>United Spirits Ltd.</t>
  </si>
  <si>
    <t>INE854D01024</t>
  </si>
  <si>
    <t>Prestige Estates Projects Ltd.</t>
  </si>
  <si>
    <t>INE811K01011</t>
  </si>
  <si>
    <t>Realty</t>
  </si>
  <si>
    <t>Tech Mahindra Ltd.</t>
  </si>
  <si>
    <t>INE669C01036</t>
  </si>
  <si>
    <t>PB Fintech Ltd.</t>
  </si>
  <si>
    <t>INE417T01026</t>
  </si>
  <si>
    <t>Financial Technology (Fintech)</t>
  </si>
  <si>
    <t>Britannia Industries Ltd.</t>
  </si>
  <si>
    <t>INE216A01030</t>
  </si>
  <si>
    <t>Food Products</t>
  </si>
  <si>
    <t>Dixon Technologies (India) Ltd.</t>
  </si>
  <si>
    <t>INE935N01020</t>
  </si>
  <si>
    <t>Persistent Systems Ltd.</t>
  </si>
  <si>
    <t>INE262H01021</t>
  </si>
  <si>
    <t>Solar Industries India Ltd.</t>
  </si>
  <si>
    <t>INE343H01029</t>
  </si>
  <si>
    <t>Chemicals &amp; Petrochemicals</t>
  </si>
  <si>
    <t>ITC Ltd.</t>
  </si>
  <si>
    <t>INE154A01025</t>
  </si>
  <si>
    <t>Diversified FMCG</t>
  </si>
  <si>
    <t>Cummins India Ltd.</t>
  </si>
  <si>
    <t>INE298A01020</t>
  </si>
  <si>
    <t>Industrial Products</t>
  </si>
  <si>
    <t>Trent Ltd.</t>
  </si>
  <si>
    <t>INE849A01020</t>
  </si>
  <si>
    <t>Sun Pharmaceutical Industries Ltd.</t>
  </si>
  <si>
    <t>INE044A01036</t>
  </si>
  <si>
    <t>HDFC Life Insurance Company Ltd.</t>
  </si>
  <si>
    <t>INE795G01014</t>
  </si>
  <si>
    <t>The Indian Hotels Company Ltd.</t>
  </si>
  <si>
    <t>INE053A01029</t>
  </si>
  <si>
    <t>Leisure Services</t>
  </si>
  <si>
    <t>Hindustan Aeronautics Ltd.</t>
  </si>
  <si>
    <t>INE066F01020</t>
  </si>
  <si>
    <t>Aerospace &amp; Defense</t>
  </si>
  <si>
    <t>Vishal Mega Mart Ltd</t>
  </si>
  <si>
    <t>INE01EA01019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</si>
  <si>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</si>
  <si>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</si>
  <si>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</si>
  <si>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</si>
  <si>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</si>
  <si>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</si>
  <si>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</si>
  <si>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</si>
  <si>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</si>
  <si>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IN25H25DUM01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</si>
  <si>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</si>
  <si>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</si>
  <si>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</si>
  <si>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</si>
  <si>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</si>
  <si>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</si>
  <si>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</si>
  <si>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</si>
  <si>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</si>
  <si>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</si>
  <si>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</si>
  <si>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</si>
  <si>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</si>
  <si>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</si>
  <si>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</si>
  <si>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</si>
  <si>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</si>
  <si>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</si>
  <si>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</si>
  <si>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</si>
  <si>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</si>
  <si>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</si>
  <si>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</si>
  <si>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</si>
  <si>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</si>
  <si>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</si>
  <si>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</si>
  <si>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</si>
  <si>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Large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</si>
</sst>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0" fontId="3" fillId="0" borderId="0" xfId="0" applyFont="1"/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/>
    </xf>
  </cellXfs>
  <cellStyles count="4">
    <cellStyle name="Hyperlink" xfId="2" builtinId="8"/>
    <cellStyle name="Normal" xfId="0" builtinId="0"/>
    <cellStyle name="Normal 2" xfId="3" xr:uid="{252FDAA4-EFAB-4E7A-80D7-6A6922BB752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1</xdr:col>
      <xdr:colOff>2847975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175A4-8C4B-4BB1-9AF9-17999700C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2</xdr:row>
      <xdr:rowOff>276225</xdr:rowOff>
    </xdr:from>
    <xdr:to>
      <xdr:col>6</xdr:col>
      <xdr:colOff>971550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7C8420-0752-4F1E-AB0A-E937CC0DD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219B-66D9-4EAC-AA27-9A916048A567}">
  <sheetPr>
    <tabColor rgb="FFC00000"/>
  </sheetPr>
  <dimension ref="B1:M141"/>
  <sheetViews>
    <sheetView showGridLines="0" tabSelected="1" topLeftCell="A139" workbookViewId="0">
      <selection activeCell="C141" sqref="C141"/>
    </sheetView>
  </sheetViews>
  <sheetFormatPr defaultColWidth="9.1796875" defaultRowHeight="24" customHeight="1" x14ac:dyDescent="0.25"/>
  <cols>
    <col min="1" max="1" width="3.54296875" style="4" customWidth="1"/>
    <col min="2" max="2" width="50.453125" style="48" customWidth="1"/>
    <col min="3" max="3" width="15.7265625" style="48" customWidth="1"/>
    <col min="4" max="4" width="26.5429687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592114</v>
      </c>
      <c r="F16" s="19">
        <v>5634.56</v>
      </c>
      <c r="G16" s="20">
        <v>9.4600000000000009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395964</v>
      </c>
      <c r="F17" s="19">
        <v>5534.78</v>
      </c>
      <c r="G17" s="20">
        <v>9.2899999999999991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344534</v>
      </c>
      <c r="F18" s="19">
        <v>4676.0200000000004</v>
      </c>
      <c r="G18" s="20">
        <v>7.85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142657</v>
      </c>
      <c r="F19" s="19">
        <v>2694.51</v>
      </c>
      <c r="G19" s="20">
        <v>4.5199999999999996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76593</v>
      </c>
      <c r="F20" s="19">
        <v>2362.66</v>
      </c>
      <c r="G20" s="20">
        <v>3.96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58972</v>
      </c>
      <c r="F21" s="19">
        <v>2123.58</v>
      </c>
      <c r="G21" s="20">
        <v>3.56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232650</v>
      </c>
      <c r="F22" s="19">
        <v>2042.32</v>
      </c>
      <c r="G22" s="20">
        <v>3.43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34790</v>
      </c>
      <c r="F23" s="19">
        <v>1964.24</v>
      </c>
      <c r="G23" s="20">
        <v>3.3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59870</v>
      </c>
      <c r="F24" s="19">
        <v>1961.7</v>
      </c>
      <c r="G24" s="20">
        <v>3.29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588298</v>
      </c>
      <c r="F25" s="19">
        <v>1846.96</v>
      </c>
      <c r="G25" s="20">
        <v>3.1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41</v>
      </c>
      <c r="E26" s="18">
        <v>11934</v>
      </c>
      <c r="F26" s="19">
        <v>1765.16</v>
      </c>
      <c r="G26" s="20">
        <v>2.96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330289</v>
      </c>
      <c r="F27" s="19">
        <v>1609</v>
      </c>
      <c r="G27" s="20">
        <v>2.7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11792</v>
      </c>
      <c r="F28" s="19">
        <v>1490.51</v>
      </c>
      <c r="G28" s="20">
        <v>2.5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41</v>
      </c>
      <c r="E29" s="18">
        <v>40030</v>
      </c>
      <c r="F29" s="19">
        <v>1280.76</v>
      </c>
      <c r="G29" s="20">
        <v>2.15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29</v>
      </c>
      <c r="E30" s="18">
        <v>79821</v>
      </c>
      <c r="F30" s="19">
        <v>1173.05</v>
      </c>
      <c r="G30" s="20">
        <v>1.97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35</v>
      </c>
      <c r="E31" s="18">
        <v>43420</v>
      </c>
      <c r="F31" s="19">
        <v>1145.33</v>
      </c>
      <c r="G31" s="20">
        <v>1.92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61278</v>
      </c>
      <c r="F32" s="19">
        <v>1127.27</v>
      </c>
      <c r="G32" s="20">
        <v>1.89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30190</v>
      </c>
      <c r="F33" s="19">
        <v>1095.53</v>
      </c>
      <c r="G33" s="20">
        <v>1.84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317000</v>
      </c>
      <c r="F34" s="19">
        <v>1038.33</v>
      </c>
      <c r="G34" s="20">
        <v>1.74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16380</v>
      </c>
      <c r="F35" s="19">
        <v>1004.34</v>
      </c>
      <c r="G35" s="20">
        <v>1.69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136373</v>
      </c>
      <c r="F36" s="19">
        <v>946.84</v>
      </c>
      <c r="G36" s="20">
        <v>1.59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18</v>
      </c>
      <c r="E37" s="18">
        <v>86848</v>
      </c>
      <c r="F37" s="19">
        <v>907.74</v>
      </c>
      <c r="G37" s="20">
        <v>1.52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70</v>
      </c>
      <c r="E38" s="18">
        <v>34023</v>
      </c>
      <c r="F38" s="19">
        <v>840.84</v>
      </c>
      <c r="G38" s="20">
        <v>1.41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70</v>
      </c>
      <c r="E39" s="18">
        <v>65310</v>
      </c>
      <c r="F39" s="19">
        <v>822.97</v>
      </c>
      <c r="G39" s="20">
        <v>1.38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18</v>
      </c>
      <c r="E40" s="18">
        <v>41895</v>
      </c>
      <c r="F40" s="19">
        <v>821.27</v>
      </c>
      <c r="G40" s="20">
        <v>1.38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49</v>
      </c>
      <c r="E41" s="18">
        <v>60415</v>
      </c>
      <c r="F41" s="19">
        <v>792.04</v>
      </c>
      <c r="G41" s="20">
        <v>1.33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86</v>
      </c>
      <c r="E42" s="18">
        <v>46706</v>
      </c>
      <c r="F42" s="19">
        <v>729.45</v>
      </c>
      <c r="G42" s="20">
        <v>1.22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29</v>
      </c>
      <c r="E43" s="18">
        <v>48871</v>
      </c>
      <c r="F43" s="19">
        <v>723.97</v>
      </c>
      <c r="G43" s="20">
        <v>1.21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91</v>
      </c>
      <c r="E44" s="18">
        <v>40726</v>
      </c>
      <c r="F44" s="19">
        <v>721.18</v>
      </c>
      <c r="G44" s="20">
        <v>1.21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12093</v>
      </c>
      <c r="F45" s="19">
        <v>704.3</v>
      </c>
      <c r="G45" s="20">
        <v>1.18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64</v>
      </c>
      <c r="E46" s="18">
        <v>4030</v>
      </c>
      <c r="F46" s="19">
        <v>672.61</v>
      </c>
      <c r="G46" s="20">
        <v>1.1299999999999999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29</v>
      </c>
      <c r="E47" s="18">
        <v>12360</v>
      </c>
      <c r="F47" s="19">
        <v>655.76</v>
      </c>
      <c r="G47" s="20">
        <v>1.1000000000000001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4677</v>
      </c>
      <c r="F48" s="19">
        <v>645.19000000000005</v>
      </c>
      <c r="G48" s="20">
        <v>1.08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157398</v>
      </c>
      <c r="F49" s="19">
        <v>644.94000000000005</v>
      </c>
      <c r="G49" s="20">
        <v>1.08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16745</v>
      </c>
      <c r="F50" s="19">
        <v>640.70000000000005</v>
      </c>
      <c r="G50" s="20">
        <v>1.08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44</v>
      </c>
      <c r="E51" s="18">
        <v>11000</v>
      </c>
      <c r="F51" s="19">
        <v>582.78</v>
      </c>
      <c r="G51" s="20">
        <v>0.98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70</v>
      </c>
      <c r="E52" s="18">
        <v>36340</v>
      </c>
      <c r="F52" s="19">
        <v>579.44000000000005</v>
      </c>
      <c r="G52" s="20">
        <v>0.97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61</v>
      </c>
      <c r="E53" s="18">
        <v>71078</v>
      </c>
      <c r="F53" s="19">
        <v>548.76</v>
      </c>
      <c r="G53" s="20">
        <v>0.92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116</v>
      </c>
      <c r="E54" s="18">
        <v>69330</v>
      </c>
      <c r="F54" s="19">
        <v>525.83000000000004</v>
      </c>
      <c r="G54" s="20">
        <v>0.88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12000</v>
      </c>
      <c r="F55" s="19">
        <v>519.91</v>
      </c>
      <c r="G55" s="20">
        <v>0.87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44</v>
      </c>
      <c r="E56" s="18">
        <v>298376</v>
      </c>
      <c r="F56" s="19">
        <v>445.8</v>
      </c>
      <c r="G56" s="20">
        <v>0.75</v>
      </c>
      <c r="H56" s="21"/>
    </row>
    <row r="57" spans="2:8" ht="24" customHeight="1" x14ac:dyDescent="0.25">
      <c r="B57" s="28" t="s">
        <v>122</v>
      </c>
      <c r="C57" s="28"/>
      <c r="D57" s="28"/>
      <c r="E57" s="29"/>
      <c r="F57" s="30">
        <v>58042.93</v>
      </c>
      <c r="G57" s="31">
        <v>97.39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22" t="s">
        <v>123</v>
      </c>
      <c r="C59" s="23"/>
      <c r="D59" s="23"/>
      <c r="E59" s="24"/>
      <c r="F59" s="25"/>
      <c r="G59" s="26"/>
      <c r="H59" s="27"/>
    </row>
    <row r="60" spans="2:8" ht="24" customHeight="1" x14ac:dyDescent="0.25">
      <c r="B60" s="17"/>
      <c r="C60" s="17"/>
      <c r="D60" s="17"/>
      <c r="E60" s="18"/>
      <c r="F60" s="20">
        <v>0</v>
      </c>
      <c r="G60" s="20">
        <v>0</v>
      </c>
      <c r="H60" s="21"/>
    </row>
    <row r="61" spans="2:8" ht="24" customHeight="1" x14ac:dyDescent="0.25">
      <c r="B61" s="28" t="s">
        <v>122</v>
      </c>
      <c r="C61" s="17"/>
      <c r="D61" s="17"/>
      <c r="E61" s="18"/>
      <c r="F61" s="33" t="s">
        <v>124</v>
      </c>
      <c r="G61" s="33" t="s">
        <v>124</v>
      </c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125</v>
      </c>
      <c r="C63" s="35"/>
      <c r="D63" s="35"/>
      <c r="E63" s="36"/>
      <c r="F63" s="30">
        <v>58042.93</v>
      </c>
      <c r="G63" s="31">
        <v>97.39</v>
      </c>
      <c r="H63" s="32"/>
    </row>
    <row r="64" spans="2:8" ht="24" customHeight="1" x14ac:dyDescent="0.25">
      <c r="B64" s="11" t="s">
        <v>126</v>
      </c>
      <c r="C64" s="12"/>
      <c r="D64" s="12"/>
      <c r="E64" s="13"/>
      <c r="F64" s="14"/>
      <c r="G64" s="15"/>
      <c r="H64" s="16"/>
    </row>
    <row r="65" spans="2:12" ht="24" customHeight="1" x14ac:dyDescent="0.25">
      <c r="B65" s="28"/>
      <c r="C65" s="17"/>
      <c r="D65" s="17"/>
      <c r="E65" s="18"/>
      <c r="F65" s="19"/>
      <c r="G65" s="20"/>
      <c r="H65" s="37"/>
    </row>
    <row r="66" spans="2:12" ht="24" customHeight="1" x14ac:dyDescent="0.25">
      <c r="B66" s="22" t="s">
        <v>127</v>
      </c>
      <c r="C66" s="23"/>
      <c r="D66" s="23"/>
      <c r="E66" s="24"/>
      <c r="F66" s="25"/>
      <c r="G66" s="26"/>
      <c r="H66" s="27"/>
    </row>
    <row r="67" spans="2:12" ht="24" customHeight="1" x14ac:dyDescent="0.25">
      <c r="B67" s="17"/>
      <c r="C67" s="17"/>
      <c r="D67" s="17"/>
      <c r="E67" s="18"/>
      <c r="F67" s="19">
        <v>0</v>
      </c>
      <c r="G67" s="20">
        <v>0</v>
      </c>
      <c r="H67" s="38"/>
    </row>
    <row r="68" spans="2:12" ht="24" customHeight="1" x14ac:dyDescent="0.25">
      <c r="B68" s="28" t="s">
        <v>122</v>
      </c>
      <c r="C68" s="17"/>
      <c r="D68" s="17"/>
      <c r="E68" s="18"/>
      <c r="F68" s="33" t="s">
        <v>124</v>
      </c>
      <c r="G68" s="33" t="s">
        <v>124</v>
      </c>
      <c r="H68" s="21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22" t="s">
        <v>128</v>
      </c>
      <c r="C70" s="23"/>
      <c r="D70" s="23"/>
      <c r="E70" s="24"/>
      <c r="F70" s="25"/>
      <c r="G70" s="26"/>
      <c r="H70" s="27"/>
    </row>
    <row r="71" spans="2:12" ht="24" customHeight="1" x14ac:dyDescent="0.25">
      <c r="B71" s="17"/>
      <c r="C71" s="17"/>
      <c r="D71" s="17"/>
      <c r="E71" s="18"/>
      <c r="F71" s="20">
        <v>0</v>
      </c>
      <c r="G71" s="20">
        <v>0</v>
      </c>
      <c r="H71" s="21"/>
    </row>
    <row r="72" spans="2:12" ht="24" customHeight="1" x14ac:dyDescent="0.25">
      <c r="B72" s="28" t="s">
        <v>122</v>
      </c>
      <c r="C72" s="28"/>
      <c r="D72" s="28"/>
      <c r="E72" s="29"/>
      <c r="F72" s="33" t="s">
        <v>124</v>
      </c>
      <c r="G72" s="33" t="s">
        <v>124</v>
      </c>
      <c r="H72" s="32"/>
    </row>
    <row r="73" spans="2:12" ht="24" customHeight="1" x14ac:dyDescent="0.25">
      <c r="B73" s="28"/>
      <c r="C73" s="28"/>
      <c r="D73" s="28"/>
      <c r="E73" s="29"/>
      <c r="F73" s="20"/>
      <c r="G73" s="20"/>
      <c r="H73" s="32"/>
    </row>
    <row r="74" spans="2:12" ht="24" customHeight="1" x14ac:dyDescent="0.25">
      <c r="B74" s="22" t="s">
        <v>129</v>
      </c>
      <c r="C74" s="23"/>
      <c r="D74" s="23"/>
      <c r="E74" s="24"/>
      <c r="F74" s="25"/>
      <c r="G74" s="26"/>
      <c r="H74" s="27"/>
    </row>
    <row r="75" spans="2:12" ht="24" customHeight="1" x14ac:dyDescent="0.25">
      <c r="B75" s="17"/>
      <c r="C75" s="17"/>
      <c r="D75" s="17"/>
      <c r="E75" s="18"/>
      <c r="F75" s="20">
        <v>0</v>
      </c>
      <c r="G75" s="20">
        <v>0</v>
      </c>
      <c r="H75" s="21"/>
    </row>
    <row r="76" spans="2:12" ht="24" customHeight="1" x14ac:dyDescent="0.25">
      <c r="B76" s="28" t="s">
        <v>122</v>
      </c>
      <c r="C76" s="17"/>
      <c r="D76" s="17"/>
      <c r="E76" s="18"/>
      <c r="F76" s="33" t="s">
        <v>124</v>
      </c>
      <c r="G76" s="33" t="s">
        <v>124</v>
      </c>
      <c r="H76" s="21"/>
    </row>
    <row r="77" spans="2:12" ht="24" customHeight="1" x14ac:dyDescent="0.25">
      <c r="B77" s="17"/>
      <c r="C77" s="17"/>
      <c r="D77" s="17"/>
      <c r="E77" s="18"/>
      <c r="F77" s="19"/>
      <c r="G77" s="20"/>
      <c r="H77" s="21"/>
      <c r="L77" s="39"/>
    </row>
    <row r="78" spans="2:12" ht="24" customHeight="1" x14ac:dyDescent="0.25">
      <c r="B78" s="34" t="s">
        <v>125</v>
      </c>
      <c r="C78" s="35"/>
      <c r="D78" s="35"/>
      <c r="E78" s="36"/>
      <c r="F78" s="33" t="s">
        <v>124</v>
      </c>
      <c r="G78" s="33" t="s">
        <v>124</v>
      </c>
      <c r="H78" s="32"/>
    </row>
    <row r="79" spans="2:12" ht="24" customHeight="1" x14ac:dyDescent="0.25">
      <c r="B79" s="40"/>
      <c r="C79" s="41"/>
      <c r="D79" s="41"/>
      <c r="E79" s="42"/>
      <c r="F79" s="43"/>
      <c r="G79" s="44"/>
      <c r="H79" s="32"/>
    </row>
    <row r="80" spans="2:12" ht="24" customHeight="1" x14ac:dyDescent="0.25">
      <c r="B80" s="22" t="s">
        <v>130</v>
      </c>
      <c r="C80" s="23"/>
      <c r="D80" s="23"/>
      <c r="E80" s="24"/>
      <c r="F80" s="25"/>
      <c r="G80" s="26"/>
      <c r="H80" s="27"/>
    </row>
    <row r="81" spans="2:13" ht="24" customHeight="1" x14ac:dyDescent="0.25">
      <c r="B81" s="17" t="s">
        <v>39</v>
      </c>
      <c r="C81" s="17" t="s">
        <v>131</v>
      </c>
      <c r="D81" s="17"/>
      <c r="E81" s="18">
        <v>239480</v>
      </c>
      <c r="F81" s="19">
        <v>23.95</v>
      </c>
      <c r="G81" s="20">
        <v>0.04</v>
      </c>
      <c r="H81" s="38">
        <v>0</v>
      </c>
    </row>
    <row r="82" spans="2:13" ht="24" customHeight="1" x14ac:dyDescent="0.25">
      <c r="B82" s="28" t="s">
        <v>122</v>
      </c>
      <c r="C82" s="17"/>
      <c r="D82" s="17"/>
      <c r="E82" s="18"/>
      <c r="F82" s="33">
        <f>F81</f>
        <v>23.95</v>
      </c>
      <c r="G82" s="33">
        <f>G81</f>
        <v>0.04</v>
      </c>
      <c r="H82" s="32"/>
    </row>
    <row r="83" spans="2:13" ht="24" customHeight="1" x14ac:dyDescent="0.25">
      <c r="B83" s="17"/>
      <c r="C83" s="17"/>
      <c r="D83" s="17"/>
      <c r="E83" s="18"/>
      <c r="F83" s="19"/>
      <c r="G83" s="20"/>
      <c r="H83" s="32"/>
    </row>
    <row r="84" spans="2:13" ht="24" customHeight="1" x14ac:dyDescent="0.25">
      <c r="B84" s="34" t="s">
        <v>125</v>
      </c>
      <c r="C84" s="35"/>
      <c r="D84" s="35"/>
      <c r="E84" s="36"/>
      <c r="F84" s="30">
        <f>F82</f>
        <v>23.95</v>
      </c>
      <c r="G84" s="30">
        <f>G82</f>
        <v>0.04</v>
      </c>
      <c r="H84" s="32"/>
    </row>
    <row r="85" spans="2:13" ht="24" customHeight="1" x14ac:dyDescent="0.25">
      <c r="B85" s="17"/>
      <c r="C85" s="17"/>
      <c r="D85" s="17"/>
      <c r="E85" s="18"/>
      <c r="F85" s="19"/>
      <c r="G85" s="20"/>
      <c r="H85" s="21"/>
      <c r="L85" s="39"/>
    </row>
    <row r="86" spans="2:13" ht="24" customHeight="1" x14ac:dyDescent="0.25">
      <c r="B86" s="11" t="s">
        <v>132</v>
      </c>
      <c r="C86" s="12"/>
      <c r="D86" s="12"/>
      <c r="E86" s="13"/>
      <c r="F86" s="14"/>
      <c r="G86" s="15"/>
      <c r="H86" s="16"/>
      <c r="L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</row>
    <row r="88" spans="2:13" ht="24" customHeight="1" x14ac:dyDescent="0.25">
      <c r="B88" s="22" t="s">
        <v>133</v>
      </c>
      <c r="C88" s="23"/>
      <c r="D88" s="23"/>
      <c r="E88" s="24"/>
      <c r="F88" s="25"/>
      <c r="G88" s="26"/>
      <c r="H88" s="27"/>
      <c r="L88" s="39"/>
    </row>
    <row r="89" spans="2:13" ht="24" customHeight="1" x14ac:dyDescent="0.25">
      <c r="B89" s="17" t="s">
        <v>134</v>
      </c>
      <c r="C89" s="17" t="s">
        <v>135</v>
      </c>
      <c r="D89" s="17" t="s">
        <v>136</v>
      </c>
      <c r="E89" s="18">
        <v>100000</v>
      </c>
      <c r="F89" s="19">
        <v>99.13</v>
      </c>
      <c r="G89" s="20">
        <v>0.17</v>
      </c>
      <c r="H89" s="21">
        <v>5.4603000000000002</v>
      </c>
      <c r="L89" s="39"/>
    </row>
    <row r="90" spans="2:13" ht="24" customHeight="1" x14ac:dyDescent="0.25">
      <c r="B90" s="28" t="s">
        <v>122</v>
      </c>
      <c r="C90" s="28"/>
      <c r="D90" s="28"/>
      <c r="E90" s="29"/>
      <c r="F90" s="30">
        <v>99.13</v>
      </c>
      <c r="G90" s="31">
        <v>0.17</v>
      </c>
      <c r="H90" s="32"/>
      <c r="L90" s="45"/>
      <c r="M90" s="45"/>
    </row>
    <row r="91" spans="2:13" ht="24" customHeight="1" x14ac:dyDescent="0.25">
      <c r="B91" s="17"/>
      <c r="C91" s="17"/>
      <c r="D91" s="17"/>
      <c r="E91" s="18"/>
      <c r="F91" s="19"/>
      <c r="G91" s="20"/>
      <c r="H91" s="21"/>
    </row>
    <row r="92" spans="2:13" ht="24" customHeight="1" x14ac:dyDescent="0.25">
      <c r="B92" s="34" t="s">
        <v>125</v>
      </c>
      <c r="C92" s="35"/>
      <c r="D92" s="35"/>
      <c r="E92" s="36"/>
      <c r="F92" s="30">
        <v>99.13</v>
      </c>
      <c r="G92" s="31">
        <v>0.17</v>
      </c>
      <c r="H92" s="32"/>
    </row>
    <row r="93" spans="2:13" ht="24" customHeight="1" x14ac:dyDescent="0.25">
      <c r="B93" s="17"/>
      <c r="C93" s="17"/>
      <c r="D93" s="17"/>
      <c r="E93" s="18"/>
      <c r="F93" s="19"/>
      <c r="G93" s="20"/>
      <c r="H93" s="21"/>
      <c r="L93" s="46"/>
      <c r="M93" s="46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46"/>
      <c r="M94" s="46"/>
    </row>
    <row r="95" spans="2:13" ht="24" customHeight="1" x14ac:dyDescent="0.25">
      <c r="B95" s="11" t="s">
        <v>137</v>
      </c>
      <c r="C95" s="12"/>
      <c r="D95" s="12"/>
      <c r="E95" s="13"/>
      <c r="F95" s="14"/>
      <c r="G95" s="15"/>
      <c r="H95" s="16"/>
      <c r="L95" s="46"/>
      <c r="M95" s="46"/>
    </row>
    <row r="96" spans="2:13" ht="24" customHeight="1" x14ac:dyDescent="0.25">
      <c r="B96" s="17" t="s">
        <v>138</v>
      </c>
      <c r="C96" s="17"/>
      <c r="D96" s="17"/>
      <c r="E96" s="18"/>
      <c r="F96" s="19">
        <v>1363.91</v>
      </c>
      <c r="G96" s="20">
        <v>2.29</v>
      </c>
      <c r="H96" s="21"/>
      <c r="L96" s="46"/>
      <c r="M96" s="46"/>
    </row>
    <row r="97" spans="2:13" ht="24" customHeight="1" x14ac:dyDescent="0.25">
      <c r="B97" s="28" t="s">
        <v>122</v>
      </c>
      <c r="C97" s="28"/>
      <c r="D97" s="28"/>
      <c r="E97" s="29"/>
      <c r="F97" s="30">
        <v>1363.91</v>
      </c>
      <c r="G97" s="31">
        <v>2.29</v>
      </c>
      <c r="H97" s="32"/>
      <c r="L97" s="46"/>
      <c r="M97" s="46"/>
    </row>
    <row r="98" spans="2:13" ht="24" customHeight="1" x14ac:dyDescent="0.25">
      <c r="B98" s="17"/>
      <c r="C98" s="17"/>
      <c r="D98" s="17"/>
      <c r="E98" s="18"/>
      <c r="F98" s="19"/>
      <c r="G98" s="20"/>
      <c r="H98" s="21"/>
      <c r="L98" s="46"/>
      <c r="M98" s="46"/>
    </row>
    <row r="99" spans="2:13" ht="24" customHeight="1" x14ac:dyDescent="0.25">
      <c r="B99" s="34" t="s">
        <v>125</v>
      </c>
      <c r="C99" s="35"/>
      <c r="D99" s="35"/>
      <c r="E99" s="36"/>
      <c r="F99" s="30">
        <v>1363.91</v>
      </c>
      <c r="G99" s="31">
        <v>2.29</v>
      </c>
      <c r="H99" s="32"/>
      <c r="L99" s="46"/>
      <c r="M99" s="46"/>
    </row>
    <row r="100" spans="2:13" ht="24" customHeight="1" x14ac:dyDescent="0.25">
      <c r="B100" s="17"/>
      <c r="C100" s="17"/>
      <c r="D100" s="17"/>
      <c r="E100" s="18"/>
      <c r="F100" s="19"/>
      <c r="G100" s="20"/>
      <c r="H100" s="21"/>
    </row>
    <row r="101" spans="2:13" ht="24" customHeight="1" x14ac:dyDescent="0.25">
      <c r="B101" s="17" t="s">
        <v>139</v>
      </c>
      <c r="C101" s="17"/>
      <c r="D101" s="17"/>
      <c r="E101" s="18"/>
      <c r="F101" s="19">
        <v>60.64</v>
      </c>
      <c r="G101" s="20">
        <v>0.10999999999998522</v>
      </c>
      <c r="H101" s="21"/>
      <c r="L101" s="39"/>
    </row>
    <row r="102" spans="2:13" ht="24" customHeight="1" x14ac:dyDescent="0.25">
      <c r="B102" s="17"/>
      <c r="C102" s="17"/>
      <c r="D102" s="17"/>
      <c r="E102" s="18"/>
      <c r="F102" s="19"/>
      <c r="G102" s="20"/>
      <c r="H102" s="21"/>
    </row>
    <row r="103" spans="2:13" ht="24" customHeight="1" x14ac:dyDescent="0.25">
      <c r="B103" s="34" t="s">
        <v>140</v>
      </c>
      <c r="C103" s="35"/>
      <c r="D103" s="35"/>
      <c r="E103" s="36"/>
      <c r="F103" s="30">
        <v>59590.559999999998</v>
      </c>
      <c r="G103" s="31">
        <v>100</v>
      </c>
      <c r="H103" s="47"/>
    </row>
    <row r="104" spans="2:13" ht="24" customHeight="1" x14ac:dyDescent="0.25">
      <c r="B104" s="4"/>
    </row>
    <row r="112" spans="2:13" ht="24" customHeight="1" x14ac:dyDescent="0.25">
      <c r="B112" s="41" t="s">
        <v>141</v>
      </c>
    </row>
    <row r="113" spans="2:8" ht="24" customHeight="1" x14ac:dyDescent="0.25">
      <c r="B113" s="48" t="s">
        <v>142</v>
      </c>
    </row>
    <row r="114" spans="2:8" ht="24" customHeight="1" x14ac:dyDescent="0.25">
      <c r="B114" s="50" t="s">
        <v>143</v>
      </c>
      <c r="C114" s="51">
        <v>45869</v>
      </c>
      <c r="D114" s="52">
        <v>45898</v>
      </c>
    </row>
    <row r="115" spans="2:8" ht="24" customHeight="1" x14ac:dyDescent="0.25">
      <c r="B115" s="53" t="s">
        <v>144</v>
      </c>
      <c r="C115" s="54" t="s">
        <v>145</v>
      </c>
      <c r="D115" s="55" t="s">
        <v>145</v>
      </c>
      <c r="E115" s="4"/>
      <c r="F115" s="4"/>
      <c r="G115" s="4"/>
      <c r="H115" s="4"/>
    </row>
    <row r="116" spans="2:8" ht="24" customHeight="1" x14ac:dyDescent="0.25">
      <c r="B116" s="56" t="s">
        <v>146</v>
      </c>
      <c r="C116" s="57">
        <v>401.18</v>
      </c>
      <c r="D116" s="58">
        <v>398.18</v>
      </c>
      <c r="E116" s="4"/>
      <c r="F116" s="4"/>
      <c r="G116" s="4"/>
      <c r="H116" s="4"/>
    </row>
    <row r="117" spans="2:8" ht="24" customHeight="1" x14ac:dyDescent="0.25">
      <c r="B117" s="56" t="s">
        <v>147</v>
      </c>
      <c r="C117" s="57">
        <v>28.79</v>
      </c>
      <c r="D117" s="58">
        <v>28.57</v>
      </c>
      <c r="E117" s="4"/>
      <c r="F117" s="4"/>
      <c r="G117" s="4"/>
      <c r="H117" s="4"/>
    </row>
    <row r="118" spans="2:8" ht="24" customHeight="1" x14ac:dyDescent="0.25">
      <c r="B118" s="53" t="s">
        <v>148</v>
      </c>
      <c r="C118" s="54"/>
      <c r="D118" s="55"/>
      <c r="E118" s="4"/>
      <c r="F118" s="4"/>
      <c r="G118" s="4"/>
      <c r="H118" s="4"/>
    </row>
    <row r="119" spans="2:8" ht="24" customHeight="1" x14ac:dyDescent="0.25">
      <c r="B119" s="56" t="s">
        <v>146</v>
      </c>
      <c r="C119" s="57">
        <v>337.97</v>
      </c>
      <c r="D119" s="58">
        <v>335.03</v>
      </c>
      <c r="E119" s="4"/>
      <c r="F119" s="4"/>
      <c r="G119" s="4"/>
      <c r="H119" s="4"/>
    </row>
    <row r="120" spans="2:8" ht="24" customHeight="1" x14ac:dyDescent="0.25">
      <c r="B120" s="59" t="s">
        <v>147</v>
      </c>
      <c r="C120" s="60">
        <v>20.149999999999999</v>
      </c>
      <c r="D120" s="61">
        <v>19.97</v>
      </c>
      <c r="E120" s="4"/>
      <c r="F120" s="4"/>
      <c r="G120" s="4"/>
      <c r="H120" s="4"/>
    </row>
    <row r="121" spans="2:8" ht="24" customHeight="1" x14ac:dyDescent="0.25">
      <c r="C121" s="62"/>
      <c r="D121" s="62"/>
      <c r="E121" s="4"/>
      <c r="F121" s="4"/>
      <c r="G121" s="4"/>
      <c r="H121" s="4"/>
    </row>
    <row r="122" spans="2:8" ht="24" customHeight="1" x14ac:dyDescent="0.25">
      <c r="B122" s="48" t="s">
        <v>149</v>
      </c>
      <c r="D122" s="45" t="s">
        <v>124</v>
      </c>
    </row>
    <row r="124" spans="2:8" ht="24" customHeight="1" x14ac:dyDescent="0.25">
      <c r="B124" s="48" t="s">
        <v>150</v>
      </c>
      <c r="D124" s="45" t="s">
        <v>124</v>
      </c>
    </row>
    <row r="126" spans="2:8" ht="24" customHeight="1" x14ac:dyDescent="0.25">
      <c r="B126" s="48" t="s">
        <v>151</v>
      </c>
      <c r="D126" s="45" t="s">
        <v>124</v>
      </c>
    </row>
    <row r="128" spans="2:8" ht="24" customHeight="1" x14ac:dyDescent="0.25">
      <c r="B128" s="48" t="s">
        <v>152</v>
      </c>
      <c r="D128" s="45" t="s">
        <v>124</v>
      </c>
    </row>
    <row r="130" spans="2:4" ht="24" customHeight="1" x14ac:dyDescent="0.25">
      <c r="B130" s="48" t="s">
        <v>153</v>
      </c>
      <c r="D130" s="45">
        <v>0.31</v>
      </c>
    </row>
    <row r="132" spans="2:4" ht="24" customHeight="1" x14ac:dyDescent="0.25">
      <c r="B132" s="48" t="s">
        <v>154</v>
      </c>
      <c r="D132" s="45" t="s">
        <v>124</v>
      </c>
    </row>
    <row r="134" spans="2:4" ht="24" customHeight="1" x14ac:dyDescent="0.25">
      <c r="B134" s="48" t="s">
        <v>155</v>
      </c>
      <c r="D134" s="45" t="s">
        <v>124</v>
      </c>
    </row>
    <row r="135" spans="2:4" ht="24" customHeight="1" x14ac:dyDescent="0.25">
      <c r="B135" s="48" t="s">
        <v>156</v>
      </c>
      <c r="D135" s="45" t="s">
        <v>124</v>
      </c>
    </row>
    <row r="137" spans="2:4" ht="24" customHeight="1" x14ac:dyDescent="0.25">
      <c r="B137" s="63" t="s">
        <v>157</v>
      </c>
      <c r="D137" s="45" t="s">
        <v>124</v>
      </c>
    </row>
    <row r="139" spans="2:4" ht="24" customHeight="1" x14ac:dyDescent="0.25">
      <c r="B139" s="48" t="s">
        <v>158</v>
      </c>
      <c r="D139" s="45" t="s">
        <v>124</v>
      </c>
    </row>
    <row r="141" spans="2:4" ht="24" customHeight="1" x14ac:dyDescent="0.25">
      <c r="B141" s="48" t="s">
        <v>159</v>
      </c>
      <c r="C141" s="64" t="s">
        <v>160</v>
      </c>
    </row>
  </sheetData>
  <hyperlinks>
    <hyperlink ref="C141" r:id="rId1" xr:uid="{67C16383-B299-4606-A362-8BDEBDA0C69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2025-09-09T16:48:28Z</dcterms:modified>
</cp:coreProperties>
</file>