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50CED2E9-8D5D-4FF2-A522-ACD9240DDB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Advantage'!$B$179:$D$184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Advantage'!$L$76:$M$91</definedName>
    <definedName name="JPM_Footer_disp" localSheetId="0">'Balanced Advantage'!$L$82:$M$91</definedName>
    <definedName name="JPM_Footer_disp12" localSheetId="0">'Balanced Advantage'!$L$76:$M$93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1" i="2" l="1"/>
  <c r="G133" i="2" s="1"/>
  <c r="F131" i="2"/>
  <c r="F133" i="2" s="1"/>
  <c r="G117" i="2"/>
  <c r="G127" i="2" s="1"/>
  <c r="F117" i="2"/>
  <c r="F127" i="2" s="1"/>
  <c r="G85" i="2"/>
  <c r="G91" i="2" s="1"/>
  <c r="F85" i="2"/>
  <c r="F91" i="2" s="1"/>
</calcChain>
</file>

<file path=xl/sharedStrings.xml><?xml version="1.0" encoding="utf-8"?>
<sst xmlns="http://schemas.openxmlformats.org/spreadsheetml/2006/main" count="389" uniqueCount="290">
  <si>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</si>
  <si>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</si>
  <si>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</si>
  <si>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</si>
  <si>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The risk of the scheme is very high risk</t>
  </si>
  <si>
    <t>Benchmark riskometer is at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</si>
  <si>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</si>
  <si>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</si>
  <si>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</si>
  <si>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</si>
  <si>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</si>
  <si>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</si>
  <si>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</si>
  <si>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</si>
  <si>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</si>
  <si>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</si>
  <si>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</si>
  <si>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</si>
  <si>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</si>
  <si>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</si>
  <si>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</si>
  <si>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</si>
  <si>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</si>
  <si>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</si>
  <si>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</si>
  <si>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</si>
  <si>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</si>
  <si>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</si>
  <si>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</si>
  <si>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VARUN BEVERAGES LIMITED</t>
  </si>
  <si>
    <t>INE200M01039</t>
  </si>
  <si>
    <t>Beverages</t>
  </si>
  <si>
    <t>Larsen &amp; Toubro Ltd.</t>
  </si>
  <si>
    <t>INE018A01030</t>
  </si>
  <si>
    <t>Construction</t>
  </si>
  <si>
    <t>Bajaj Finance Ltd.</t>
  </si>
  <si>
    <t>INE296A01032</t>
  </si>
  <si>
    <t>Finance</t>
  </si>
  <si>
    <t>Infosys Ltd.</t>
  </si>
  <si>
    <t>INE009A01021</t>
  </si>
  <si>
    <t>IT - Software</t>
  </si>
  <si>
    <t>Titan Company Ltd.</t>
  </si>
  <si>
    <t>INE280A01028</t>
  </si>
  <si>
    <t>Consumer Durables</t>
  </si>
  <si>
    <t>SRF Ltd.</t>
  </si>
  <si>
    <t>INE647A01010</t>
  </si>
  <si>
    <t>Chemicals &amp; Petrochemicals</t>
  </si>
  <si>
    <t>Torrent Power Ltd.</t>
  </si>
  <si>
    <t>INE813H01021</t>
  </si>
  <si>
    <t>Power</t>
  </si>
  <si>
    <t>Axis Bank Ltd.</t>
  </si>
  <si>
    <t>INE238A01034</t>
  </si>
  <si>
    <t>Eternal Ltd.</t>
  </si>
  <si>
    <t>INE758T01015</t>
  </si>
  <si>
    <t>Retailing</t>
  </si>
  <si>
    <t>Mahindra &amp; Mahindra Ltd.</t>
  </si>
  <si>
    <t>INE101A01026</t>
  </si>
  <si>
    <t>Automobiles</t>
  </si>
  <si>
    <t>TVS Motor Company Ltd.</t>
  </si>
  <si>
    <t>INE494B01023</t>
  </si>
  <si>
    <t>NTPC Ltd.</t>
  </si>
  <si>
    <t>INE733E01010</t>
  </si>
  <si>
    <t>United Spirits Ltd.</t>
  </si>
  <si>
    <t>INE854D01024</t>
  </si>
  <si>
    <t>Vishal Mega Mart Ltd</t>
  </si>
  <si>
    <t>INE01EA01019</t>
  </si>
  <si>
    <t>JSW Steel Ltd.</t>
  </si>
  <si>
    <t>INE019A01038</t>
  </si>
  <si>
    <t>Ferrous Metals</t>
  </si>
  <si>
    <t>Tata Consultancy Services Ltd.</t>
  </si>
  <si>
    <t>INE467B01029</t>
  </si>
  <si>
    <t>Divi's Laboratories Ltd.</t>
  </si>
  <si>
    <t>INE361B01024</t>
  </si>
  <si>
    <t>Pharmaceuticals &amp; Biotechnology</t>
  </si>
  <si>
    <t>Bharat Electronics Ltd.</t>
  </si>
  <si>
    <t>INE263A01024</t>
  </si>
  <si>
    <t>Aerospace &amp; Defense</t>
  </si>
  <si>
    <t>Power Finance Corporation Ltd.</t>
  </si>
  <si>
    <t>INE134E01011</t>
  </si>
  <si>
    <t>JK Cement Ltd.</t>
  </si>
  <si>
    <t>INE823G01014</t>
  </si>
  <si>
    <t>Cement &amp; Cement Products</t>
  </si>
  <si>
    <t>Sun Pharmaceutical Industries Ltd.</t>
  </si>
  <si>
    <t>INE044A01036</t>
  </si>
  <si>
    <t>JB Chemicals &amp; Pharmaceuticals Ltd.</t>
  </si>
  <si>
    <t>INE572A01036</t>
  </si>
  <si>
    <t>Tube Investments Of India Ltd.</t>
  </si>
  <si>
    <t>INE974X01010</t>
  </si>
  <si>
    <t>Auto Components</t>
  </si>
  <si>
    <t>Solar Industries India Ltd.</t>
  </si>
  <si>
    <t>INE343H01029</t>
  </si>
  <si>
    <t>Hindalco Industries Ltd.</t>
  </si>
  <si>
    <t>INE038A01020</t>
  </si>
  <si>
    <t>Non - Ferrous Metals</t>
  </si>
  <si>
    <t>Multi Commodity Exchange Of India Ltd.</t>
  </si>
  <si>
    <t>INE745G01043</t>
  </si>
  <si>
    <t>Capital Markets</t>
  </si>
  <si>
    <t>LTM Ltd.</t>
  </si>
  <si>
    <t>INE214T01019</t>
  </si>
  <si>
    <t>CG Power and Industrial Solutions Ltd.</t>
  </si>
  <si>
    <t>INE067A01029</t>
  </si>
  <si>
    <t>Electrical Equipment</t>
  </si>
  <si>
    <t>Kotak Mahindra Bank Ltd.</t>
  </si>
  <si>
    <t>INE237A01036</t>
  </si>
  <si>
    <t>Mankind Pharma Ltd.</t>
  </si>
  <si>
    <t>INE634S01028</t>
  </si>
  <si>
    <t>UNO Minda Ltd.</t>
  </si>
  <si>
    <t>INE405E01023</t>
  </si>
  <si>
    <t>Cummins India Ltd.</t>
  </si>
  <si>
    <t>INE298A01020</t>
  </si>
  <si>
    <t>Industrial Products</t>
  </si>
  <si>
    <t>Persistent Systems Ltd.</t>
  </si>
  <si>
    <t>INE262H01021</t>
  </si>
  <si>
    <t>Max Healthcare Institute Ltd.</t>
  </si>
  <si>
    <t>INE027H01010</t>
  </si>
  <si>
    <t>Healthcare Services</t>
  </si>
  <si>
    <t>Eicher Motors Ltd.</t>
  </si>
  <si>
    <t>INE066A01021</t>
  </si>
  <si>
    <t>Maruti Suzuki India Ltd.</t>
  </si>
  <si>
    <t>INE585B01010</t>
  </si>
  <si>
    <t>Ultratech Cement Ltd.</t>
  </si>
  <si>
    <t>INE481G01011</t>
  </si>
  <si>
    <t>Jindal Steel Ltd.</t>
  </si>
  <si>
    <t>INE749A01030</t>
  </si>
  <si>
    <t>Aster DM Healthcare Ltd.</t>
  </si>
  <si>
    <t>INE914M01019</t>
  </si>
  <si>
    <t>Tech Mahindra Ltd.</t>
  </si>
  <si>
    <t>INE669C01036</t>
  </si>
  <si>
    <t>FSN E-Commerce Ventures Ltd.</t>
  </si>
  <si>
    <t>INE388Y01029</t>
  </si>
  <si>
    <t>AU Small Finance Bank Ltd.</t>
  </si>
  <si>
    <t>INE949L01017</t>
  </si>
  <si>
    <t>JSW Infrastructure Ltd.</t>
  </si>
  <si>
    <t>INE880J01026</t>
  </si>
  <si>
    <t>Transport Infrastructure</t>
  </si>
  <si>
    <t>Prestige Estates Projects Ltd.</t>
  </si>
  <si>
    <t>INE811K01011</t>
  </si>
  <si>
    <t>Realty</t>
  </si>
  <si>
    <t>ICICI Lombard General Insurance Co. Ltd.</t>
  </si>
  <si>
    <t>INE765G01017</t>
  </si>
  <si>
    <t>Insurance</t>
  </si>
  <si>
    <t>Navin Fluorine International Ltd.</t>
  </si>
  <si>
    <t>INE048G01026</t>
  </si>
  <si>
    <t>PB Fintech Ltd.</t>
  </si>
  <si>
    <t>INE417T01026</t>
  </si>
  <si>
    <t>Financial Technology (Fintech)</t>
  </si>
  <si>
    <t>Britannia Industries Ltd.</t>
  </si>
  <si>
    <t>INE216A01030</t>
  </si>
  <si>
    <t>Food Products</t>
  </si>
  <si>
    <t>Muthoot Finance Ltd.</t>
  </si>
  <si>
    <t>INE414G01012</t>
  </si>
  <si>
    <t>HDFC Life Insurance Company Ltd.</t>
  </si>
  <si>
    <t>INE795G01014</t>
  </si>
  <si>
    <t>LG Electronics India Ltd.</t>
  </si>
  <si>
    <t>INE324D01010</t>
  </si>
  <si>
    <t>Nestle India Ltd.</t>
  </si>
  <si>
    <t>INE239A01024</t>
  </si>
  <si>
    <t>Info Edge (India) Ltd.</t>
  </si>
  <si>
    <t>INE663F01032</t>
  </si>
  <si>
    <t>Bharat Petroleum Corporation Ltd.</t>
  </si>
  <si>
    <t>INE029A01011</t>
  </si>
  <si>
    <t>Blue Star Ltd.</t>
  </si>
  <si>
    <t>INE472A01039</t>
  </si>
  <si>
    <t>ITC Ltd.</t>
  </si>
  <si>
    <t>INE154A01025</t>
  </si>
  <si>
    <t>Diversified FMCG</t>
  </si>
  <si>
    <t>The Federal Bank Ltd.</t>
  </si>
  <si>
    <t>INE171A01029</t>
  </si>
  <si>
    <t>Shriram Finance Ltd.</t>
  </si>
  <si>
    <t>INE721A01047</t>
  </si>
  <si>
    <t>Asian Paints Ltd.</t>
  </si>
  <si>
    <t>INE021A01026</t>
  </si>
  <si>
    <t>Ashok Leyland Ltd.</t>
  </si>
  <si>
    <t>INE208A01029</t>
  </si>
  <si>
    <t>Agricultural, Commercial &amp; Construction Vehicles</t>
  </si>
  <si>
    <t>GE Vernova T&amp;D India Limited</t>
  </si>
  <si>
    <t>INE200A01026</t>
  </si>
  <si>
    <t>Astral Ltd.</t>
  </si>
  <si>
    <t>INE006I01046</t>
  </si>
  <si>
    <t>MRS Bectors Food Specialities Ltd.</t>
  </si>
  <si>
    <t>INE495P01020</t>
  </si>
  <si>
    <t>Safari Industries India Ltd.</t>
  </si>
  <si>
    <t>INE429E01023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</si>
  <si>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</si>
  <si>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</si>
  <si>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</si>
  <si>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</si>
  <si>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</si>
  <si>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</si>
  <si>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</si>
  <si>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</si>
  <si>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</si>
  <si>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6.79% Government of India</t>
  </si>
  <si>
    <t>IN0020240126</t>
  </si>
  <si>
    <t>7.09% Government of India</t>
  </si>
  <si>
    <t>IN0020240118</t>
  </si>
  <si>
    <t>7.25% Government of India</t>
  </si>
  <si>
    <t>IN0020230044</t>
  </si>
  <si>
    <t>7.24% Government of India</t>
  </si>
  <si>
    <t>IN0020250075</t>
  </si>
  <si>
    <t>6.59% Power Finance Corporation Ltd. **</t>
  </si>
  <si>
    <t>INE134E08NU7</t>
  </si>
  <si>
    <t>CRISIL AAA</t>
  </si>
  <si>
    <t>8.5% NHPC Ltd. **</t>
  </si>
  <si>
    <t>INE848E07880</t>
  </si>
  <si>
    <t>FITCH AAA</t>
  </si>
  <si>
    <t>6.01% Government of India</t>
  </si>
  <si>
    <t>IN0020250067</t>
  </si>
  <si>
    <t>7.82% Power Finance Corporation Ltd. **</t>
  </si>
  <si>
    <t>INE134E08ME3</t>
  </si>
  <si>
    <t>7.9% Jamnagar Utilities &amp; Power Pvt. Ltd. **</t>
  </si>
  <si>
    <t>INE936D07182</t>
  </si>
  <si>
    <t>7.68% Housing &amp; Urban Development Corp Ltd.</t>
  </si>
  <si>
    <t>INE031A08871</t>
  </si>
  <si>
    <t>ICRA AAA</t>
  </si>
  <si>
    <t>7.51% Small Industries Development Bank of India **</t>
  </si>
  <si>
    <t>INE556F08KU4</t>
  </si>
  <si>
    <t>7.34% Small Industries Development Bank of India **</t>
  </si>
  <si>
    <t>INE556F08KS8</t>
  </si>
  <si>
    <t>IN0020240142</t>
  </si>
  <si>
    <t>6.64% Government of India</t>
  </si>
  <si>
    <t>IN0020240167</t>
  </si>
  <si>
    <t>8.16% Aditya Birla Capital Ltd. **</t>
  </si>
  <si>
    <t>INE860H07IW8</t>
  </si>
  <si>
    <t>7.34% Government of India</t>
  </si>
  <si>
    <t>IN0020240035</t>
  </si>
  <si>
    <t>6.9% Government of India</t>
  </si>
  <si>
    <t>IN0020250018</t>
  </si>
  <si>
    <t>8.7% Shriram Finance Ltd. **</t>
  </si>
  <si>
    <t>INE721A07SL9</t>
  </si>
  <si>
    <t>7.17% Government of India</t>
  </si>
  <si>
    <t>IN0020170174</t>
  </si>
  <si>
    <t>6.54% Government of India</t>
  </si>
  <si>
    <t>IN0020210244</t>
  </si>
  <si>
    <t>7.26% Government of India</t>
  </si>
  <si>
    <t>IN0020220060</t>
  </si>
  <si>
    <t>(b)Privately Placed/Unlisted</t>
  </si>
  <si>
    <t>(c)Securitised Debt Instruments</t>
  </si>
  <si>
    <t>Preference Shares - (Listed / Awaiting listing on Stock Exchanges)</t>
  </si>
  <si>
    <t>INE494B04019</t>
  </si>
  <si>
    <t>Money Market Instruments</t>
  </si>
  <si>
    <t>Certificate of Deposit</t>
  </si>
  <si>
    <t>Axis Bank Ltd. ** #</t>
  </si>
  <si>
    <t>INE238AD6CE5</t>
  </si>
  <si>
    <t>CRISIL A1+</t>
  </si>
  <si>
    <t>Bank of Baroda ** #</t>
  </si>
  <si>
    <t>INE028A16KR4</t>
  </si>
  <si>
    <t>ICRA A1+</t>
  </si>
  <si>
    <t>Punjab National Bank #</t>
  </si>
  <si>
    <t>INE160A16UE2</t>
  </si>
  <si>
    <t>Indian Bank ** #</t>
  </si>
  <si>
    <t>INE562A16PB5</t>
  </si>
  <si>
    <t>Small Industries Development Bank of India ** #</t>
  </si>
  <si>
    <t>INE556F16BQ4</t>
  </si>
  <si>
    <t>Commercial Paper</t>
  </si>
  <si>
    <t>Muthoot Finance Ltd. **</t>
  </si>
  <si>
    <t>INE414G14VR5</t>
  </si>
  <si>
    <t>Small Industries Development Bank of India **</t>
  </si>
  <si>
    <t>INE556F14MD4</t>
  </si>
  <si>
    <t>Fedbank Financial Services Ltd. **</t>
  </si>
  <si>
    <t>INE007N14EZ2</t>
  </si>
  <si>
    <t>Infina Finance Pvt Ltd. **</t>
  </si>
  <si>
    <t>INE879F14LY8</t>
  </si>
  <si>
    <t>Treasury Bill</t>
  </si>
  <si>
    <t>91 DAYS TBILL RED 07-05-2026</t>
  </si>
  <si>
    <t>IN002025X448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</si>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</sst>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69AC7A97-4A1F-4CB6-B38B-4EEFC62604A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0</xdr:rowOff>
    </xdr:from>
    <xdr:to>
      <xdr:col>1</xdr:col>
      <xdr:colOff>2943225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63F87-97A2-48D3-991B-FB12885AE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7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0</xdr:rowOff>
    </xdr:from>
    <xdr:to>
      <xdr:col>6</xdr:col>
      <xdr:colOff>492848</xdr:colOff>
      <xdr:row>8</xdr:row>
      <xdr:rowOff>45200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6E99EF-B5EB-4A56-868C-FCAEC1B84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914400"/>
          <a:ext cx="281694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1A2B-FB60-47DF-9177-F027A806F4A0}">
  <sheetPr>
    <tabColor rgb="FFC00000"/>
  </sheetPr>
  <dimension ref="B1:M203"/>
  <sheetViews>
    <sheetView showGridLines="0" tabSelected="1" workbookViewId="0">
      <selection activeCell="B3" sqref="B3:I10"/>
    </sheetView>
  </sheetViews>
  <sheetFormatPr defaultColWidth="9.1796875" defaultRowHeight="24" customHeight="1" x14ac:dyDescent="0.25"/>
  <cols>
    <col min="1" max="1" width="3.6328125" style="4" customWidth="1"/>
    <col min="2" max="2" width="50.453125" style="48" customWidth="1"/>
    <col min="3" max="3" width="15.7265625" style="48" customWidth="1"/>
    <col min="4" max="4" width="26.6328125" style="48" customWidth="1"/>
    <col min="5" max="5" width="15.26953125" style="2" customWidth="1"/>
    <col min="6" max="6" width="16.453125" style="2" customWidth="1"/>
    <col min="7" max="7" width="15.26953125" style="4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599586</v>
      </c>
      <c r="F16" s="19">
        <v>4627.01</v>
      </c>
      <c r="G16" s="20">
        <v>5.58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302222</v>
      </c>
      <c r="F17" s="19">
        <v>4324.1899999999996</v>
      </c>
      <c r="G17" s="20">
        <v>5.21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18</v>
      </c>
      <c r="E18" s="18">
        <v>280834</v>
      </c>
      <c r="F18" s="19">
        <v>3548.06</v>
      </c>
      <c r="G18" s="20">
        <v>4.28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105761</v>
      </c>
      <c r="F19" s="19">
        <v>1995.5</v>
      </c>
      <c r="G19" s="20">
        <v>2.41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18</v>
      </c>
      <c r="E20" s="18">
        <v>173510</v>
      </c>
      <c r="F20" s="19">
        <v>1853.87</v>
      </c>
      <c r="G20" s="20">
        <v>2.23</v>
      </c>
      <c r="H20" s="21"/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338708</v>
      </c>
      <c r="F21" s="19">
        <v>1739.94</v>
      </c>
      <c r="G21" s="20">
        <v>2.1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36415</v>
      </c>
      <c r="F22" s="19">
        <v>1461.7</v>
      </c>
      <c r="G22" s="20">
        <v>1.76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153630</v>
      </c>
      <c r="F23" s="19">
        <v>1439.51</v>
      </c>
      <c r="G23" s="20">
        <v>1.74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101889</v>
      </c>
      <c r="F24" s="19">
        <v>1204.1199999999999</v>
      </c>
      <c r="G24" s="20">
        <v>1.45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24550</v>
      </c>
      <c r="F25" s="19">
        <v>1076.57</v>
      </c>
      <c r="G25" s="20">
        <v>1.3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40510</v>
      </c>
      <c r="F26" s="19">
        <v>1020.28</v>
      </c>
      <c r="G26" s="20">
        <v>1.23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55484</v>
      </c>
      <c r="F27" s="19">
        <v>963.2</v>
      </c>
      <c r="G27" s="20">
        <v>1.1599999999999999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18</v>
      </c>
      <c r="E28" s="18">
        <v>75738</v>
      </c>
      <c r="F28" s="19">
        <v>960.59</v>
      </c>
      <c r="G28" s="20">
        <v>1.1599999999999999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378094</v>
      </c>
      <c r="F29" s="19">
        <v>934.01</v>
      </c>
      <c r="G29" s="20">
        <v>1.1299999999999999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27879</v>
      </c>
      <c r="F30" s="19">
        <v>863.55</v>
      </c>
      <c r="G30" s="20">
        <v>1.04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57</v>
      </c>
      <c r="E31" s="18">
        <v>24217</v>
      </c>
      <c r="F31" s="19">
        <v>845.88</v>
      </c>
      <c r="G31" s="20">
        <v>1.02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49</v>
      </c>
      <c r="E32" s="18">
        <v>210606</v>
      </c>
      <c r="F32" s="19">
        <v>840.63</v>
      </c>
      <c r="G32" s="20">
        <v>1.01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31</v>
      </c>
      <c r="E33" s="18">
        <v>62528</v>
      </c>
      <c r="F33" s="19">
        <v>828.87</v>
      </c>
      <c r="G33" s="20">
        <v>1</v>
      </c>
      <c r="H33" s="21"/>
    </row>
    <row r="34" spans="2:8" ht="24" customHeight="1" x14ac:dyDescent="0.25">
      <c r="B34" s="17" t="s">
        <v>64</v>
      </c>
      <c r="C34" s="17" t="s">
        <v>65</v>
      </c>
      <c r="D34" s="17" t="s">
        <v>54</v>
      </c>
      <c r="E34" s="18">
        <v>670957</v>
      </c>
      <c r="F34" s="19">
        <v>820.51</v>
      </c>
      <c r="G34" s="20">
        <v>0.99</v>
      </c>
      <c r="H34" s="21"/>
    </row>
    <row r="35" spans="2:8" ht="24" customHeight="1" x14ac:dyDescent="0.25">
      <c r="B35" s="17" t="s">
        <v>66</v>
      </c>
      <c r="C35" s="17" t="s">
        <v>67</v>
      </c>
      <c r="D35" s="17" t="s">
        <v>68</v>
      </c>
      <c r="E35" s="18">
        <v>61290</v>
      </c>
      <c r="F35" s="19">
        <v>775.01</v>
      </c>
      <c r="G35" s="20">
        <v>0.93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40</v>
      </c>
      <c r="E36" s="18">
        <v>29366</v>
      </c>
      <c r="F36" s="19">
        <v>726.49</v>
      </c>
      <c r="G36" s="20">
        <v>0.88</v>
      </c>
      <c r="H36" s="21"/>
    </row>
    <row r="37" spans="2:8" ht="24" customHeight="1" x14ac:dyDescent="0.25">
      <c r="B37" s="17" t="s">
        <v>71</v>
      </c>
      <c r="C37" s="17" t="s">
        <v>72</v>
      </c>
      <c r="D37" s="17" t="s">
        <v>73</v>
      </c>
      <c r="E37" s="18">
        <v>11101</v>
      </c>
      <c r="F37" s="19">
        <v>721.84</v>
      </c>
      <c r="G37" s="20">
        <v>0.87</v>
      </c>
      <c r="H37" s="21"/>
    </row>
    <row r="38" spans="2:8" ht="24" customHeight="1" x14ac:dyDescent="0.25">
      <c r="B38" s="17" t="s">
        <v>74</v>
      </c>
      <c r="C38" s="17" t="s">
        <v>75</v>
      </c>
      <c r="D38" s="17" t="s">
        <v>76</v>
      </c>
      <c r="E38" s="18">
        <v>164242</v>
      </c>
      <c r="F38" s="19">
        <v>708.38</v>
      </c>
      <c r="G38" s="20">
        <v>0.85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37</v>
      </c>
      <c r="E39" s="18">
        <v>156438</v>
      </c>
      <c r="F39" s="19">
        <v>701.47</v>
      </c>
      <c r="G39" s="20">
        <v>0.85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12957</v>
      </c>
      <c r="F40" s="19">
        <v>685.04</v>
      </c>
      <c r="G40" s="20">
        <v>0.83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73</v>
      </c>
      <c r="E41" s="18">
        <v>37240</v>
      </c>
      <c r="F41" s="19">
        <v>673.41</v>
      </c>
      <c r="G41" s="20">
        <v>0.81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73</v>
      </c>
      <c r="E42" s="18">
        <v>32369</v>
      </c>
      <c r="F42" s="19">
        <v>661.43</v>
      </c>
      <c r="G42" s="20">
        <v>0.8</v>
      </c>
      <c r="H42" s="21"/>
    </row>
    <row r="43" spans="2:8" ht="24" customHeight="1" x14ac:dyDescent="0.25">
      <c r="B43" s="17" t="s">
        <v>86</v>
      </c>
      <c r="C43" s="17" t="s">
        <v>87</v>
      </c>
      <c r="D43" s="17" t="s">
        <v>88</v>
      </c>
      <c r="E43" s="18">
        <v>22193</v>
      </c>
      <c r="F43" s="19">
        <v>654.23</v>
      </c>
      <c r="G43" s="20">
        <v>0.79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46</v>
      </c>
      <c r="E44" s="18">
        <v>4224</v>
      </c>
      <c r="F44" s="19">
        <v>652.14</v>
      </c>
      <c r="G44" s="20">
        <v>0.79</v>
      </c>
      <c r="H44" s="21"/>
    </row>
    <row r="45" spans="2:8" ht="24" customHeight="1" x14ac:dyDescent="0.25">
      <c r="B45" s="17" t="s">
        <v>91</v>
      </c>
      <c r="C45" s="17" t="s">
        <v>92</v>
      </c>
      <c r="D45" s="17" t="s">
        <v>93</v>
      </c>
      <c r="E45" s="18">
        <v>62000</v>
      </c>
      <c r="F45" s="19">
        <v>643.55999999999995</v>
      </c>
      <c r="G45" s="20">
        <v>0.78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96</v>
      </c>
      <c r="E46" s="18">
        <v>21646</v>
      </c>
      <c r="F46" s="19">
        <v>643.21</v>
      </c>
      <c r="G46" s="20">
        <v>0.78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40</v>
      </c>
      <c r="E47" s="18">
        <v>15000</v>
      </c>
      <c r="F47" s="19">
        <v>640.44000000000005</v>
      </c>
      <c r="G47" s="20">
        <v>0.77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78413</v>
      </c>
      <c r="F48" s="19">
        <v>637.77</v>
      </c>
      <c r="G48" s="20">
        <v>0.77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18</v>
      </c>
      <c r="E49" s="18">
        <v>163000</v>
      </c>
      <c r="F49" s="19">
        <v>624.78</v>
      </c>
      <c r="G49" s="20">
        <v>0.75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73</v>
      </c>
      <c r="E50" s="18">
        <v>27760</v>
      </c>
      <c r="F50" s="19">
        <v>623.67999999999995</v>
      </c>
      <c r="G50" s="20">
        <v>0.75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88</v>
      </c>
      <c r="E51" s="18">
        <v>53157</v>
      </c>
      <c r="F51" s="19">
        <v>591.37</v>
      </c>
      <c r="G51" s="20">
        <v>0.71</v>
      </c>
      <c r="H51" s="21"/>
    </row>
    <row r="52" spans="2:8" ht="24" customHeight="1" x14ac:dyDescent="0.25">
      <c r="B52" s="17" t="s">
        <v>108</v>
      </c>
      <c r="C52" s="17" t="s">
        <v>109</v>
      </c>
      <c r="D52" s="17" t="s">
        <v>110</v>
      </c>
      <c r="E52" s="18">
        <v>11088</v>
      </c>
      <c r="F52" s="19">
        <v>583.94000000000005</v>
      </c>
      <c r="G52" s="20">
        <v>0.7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40</v>
      </c>
      <c r="E53" s="18">
        <v>12123</v>
      </c>
      <c r="F53" s="19">
        <v>581.9</v>
      </c>
      <c r="G53" s="20">
        <v>0.7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115</v>
      </c>
      <c r="E54" s="18">
        <v>58138</v>
      </c>
      <c r="F54" s="19">
        <v>577.34</v>
      </c>
      <c r="G54" s="20">
        <v>0.7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57</v>
      </c>
      <c r="E55" s="18">
        <v>8110</v>
      </c>
      <c r="F55" s="19">
        <v>576.54</v>
      </c>
      <c r="G55" s="20">
        <v>0.69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57</v>
      </c>
      <c r="E56" s="18">
        <v>3954</v>
      </c>
      <c r="F56" s="19">
        <v>526.44000000000005</v>
      </c>
      <c r="G56" s="20">
        <v>0.63</v>
      </c>
      <c r="H56" s="21"/>
    </row>
    <row r="57" spans="2:8" ht="24" customHeight="1" x14ac:dyDescent="0.25">
      <c r="B57" s="17" t="s">
        <v>120</v>
      </c>
      <c r="C57" s="17" t="s">
        <v>121</v>
      </c>
      <c r="D57" s="17" t="s">
        <v>81</v>
      </c>
      <c r="E57" s="18">
        <v>4512</v>
      </c>
      <c r="F57" s="19">
        <v>522.76</v>
      </c>
      <c r="G57" s="20">
        <v>0.63</v>
      </c>
      <c r="H57" s="21"/>
    </row>
    <row r="58" spans="2:8" ht="24" customHeight="1" x14ac:dyDescent="0.25">
      <c r="B58" s="17" t="s">
        <v>122</v>
      </c>
      <c r="C58" s="17" t="s">
        <v>123</v>
      </c>
      <c r="D58" s="17" t="s">
        <v>68</v>
      </c>
      <c r="E58" s="18">
        <v>42000</v>
      </c>
      <c r="F58" s="19">
        <v>513.70000000000005</v>
      </c>
      <c r="G58" s="20">
        <v>0.62</v>
      </c>
      <c r="H58" s="21"/>
    </row>
    <row r="59" spans="2:8" ht="24" customHeight="1" x14ac:dyDescent="0.25">
      <c r="B59" s="17" t="s">
        <v>124</v>
      </c>
      <c r="C59" s="17" t="s">
        <v>125</v>
      </c>
      <c r="D59" s="17" t="s">
        <v>115</v>
      </c>
      <c r="E59" s="18">
        <v>70582</v>
      </c>
      <c r="F59" s="19">
        <v>494.82</v>
      </c>
      <c r="G59" s="20">
        <v>0.6</v>
      </c>
      <c r="H59" s="21"/>
    </row>
    <row r="60" spans="2:8" ht="24" customHeight="1" x14ac:dyDescent="0.25">
      <c r="B60" s="17" t="s">
        <v>126</v>
      </c>
      <c r="C60" s="17" t="s">
        <v>127</v>
      </c>
      <c r="D60" s="17" t="s">
        <v>40</v>
      </c>
      <c r="E60" s="18">
        <v>33310</v>
      </c>
      <c r="F60" s="19">
        <v>490.82</v>
      </c>
      <c r="G60" s="20">
        <v>0.59</v>
      </c>
      <c r="H60" s="21"/>
    </row>
    <row r="61" spans="2:8" ht="24" customHeight="1" x14ac:dyDescent="0.25">
      <c r="B61" s="17" t="s">
        <v>128</v>
      </c>
      <c r="C61" s="17" t="s">
        <v>129</v>
      </c>
      <c r="D61" s="17" t="s">
        <v>54</v>
      </c>
      <c r="E61" s="18">
        <v>184370</v>
      </c>
      <c r="F61" s="19">
        <v>488.14</v>
      </c>
      <c r="G61" s="20">
        <v>0.59</v>
      </c>
      <c r="H61" s="21"/>
    </row>
    <row r="62" spans="2:8" ht="24" customHeight="1" x14ac:dyDescent="0.25">
      <c r="B62" s="17" t="s">
        <v>130</v>
      </c>
      <c r="C62" s="17" t="s">
        <v>131</v>
      </c>
      <c r="D62" s="17" t="s">
        <v>18</v>
      </c>
      <c r="E62" s="18">
        <v>45250</v>
      </c>
      <c r="F62" s="19">
        <v>459.72</v>
      </c>
      <c r="G62" s="20">
        <v>0.55000000000000004</v>
      </c>
      <c r="H62" s="21"/>
    </row>
    <row r="63" spans="2:8" ht="24" customHeight="1" x14ac:dyDescent="0.25">
      <c r="B63" s="17" t="s">
        <v>132</v>
      </c>
      <c r="C63" s="17" t="s">
        <v>133</v>
      </c>
      <c r="D63" s="17" t="s">
        <v>134</v>
      </c>
      <c r="E63" s="18">
        <v>167510</v>
      </c>
      <c r="F63" s="19">
        <v>455.59</v>
      </c>
      <c r="G63" s="20">
        <v>0.55000000000000004</v>
      </c>
      <c r="H63" s="21"/>
    </row>
    <row r="64" spans="2:8" ht="24" customHeight="1" x14ac:dyDescent="0.25">
      <c r="B64" s="17" t="s">
        <v>135</v>
      </c>
      <c r="C64" s="17" t="s">
        <v>136</v>
      </c>
      <c r="D64" s="17" t="s">
        <v>137</v>
      </c>
      <c r="E64" s="18">
        <v>31541</v>
      </c>
      <c r="F64" s="19">
        <v>446.12</v>
      </c>
      <c r="G64" s="20">
        <v>0.54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140</v>
      </c>
      <c r="E65" s="18">
        <v>24394</v>
      </c>
      <c r="F65" s="19">
        <v>430.12</v>
      </c>
      <c r="G65" s="20">
        <v>0.52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46</v>
      </c>
      <c r="E66" s="18">
        <v>6303</v>
      </c>
      <c r="F66" s="19">
        <v>429.93</v>
      </c>
      <c r="G66" s="20">
        <v>0.52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145</v>
      </c>
      <c r="E67" s="18">
        <v>25776</v>
      </c>
      <c r="F67" s="19">
        <v>429.48</v>
      </c>
      <c r="G67" s="20">
        <v>0.52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148</v>
      </c>
      <c r="E68" s="18">
        <v>7171</v>
      </c>
      <c r="F68" s="19">
        <v>410.61</v>
      </c>
      <c r="G68" s="20">
        <v>0.49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37</v>
      </c>
      <c r="E69" s="18">
        <v>11610</v>
      </c>
      <c r="F69" s="19">
        <v>397.55</v>
      </c>
      <c r="G69" s="20">
        <v>0.48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140</v>
      </c>
      <c r="E70" s="18">
        <v>60550</v>
      </c>
      <c r="F70" s="19">
        <v>355.37</v>
      </c>
      <c r="G70" s="20">
        <v>0.43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43</v>
      </c>
      <c r="E71" s="18">
        <v>20600</v>
      </c>
      <c r="F71" s="19">
        <v>328.16</v>
      </c>
      <c r="G71" s="20">
        <v>0.4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148</v>
      </c>
      <c r="E72" s="18">
        <v>22300</v>
      </c>
      <c r="F72" s="19">
        <v>325.27</v>
      </c>
      <c r="G72" s="20">
        <v>0.39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54</v>
      </c>
      <c r="E73" s="18">
        <v>31810</v>
      </c>
      <c r="F73" s="19">
        <v>309.45999999999998</v>
      </c>
      <c r="G73" s="20">
        <v>0.37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21</v>
      </c>
      <c r="E74" s="18">
        <v>100703</v>
      </c>
      <c r="F74" s="19">
        <v>302.56</v>
      </c>
      <c r="G74" s="20">
        <v>0.36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43</v>
      </c>
      <c r="E75" s="18">
        <v>16972</v>
      </c>
      <c r="F75" s="19">
        <v>302.27</v>
      </c>
      <c r="G75" s="20">
        <v>0.36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165</v>
      </c>
      <c r="E76" s="18">
        <v>93019</v>
      </c>
      <c r="F76" s="19">
        <v>292.92</v>
      </c>
      <c r="G76" s="20">
        <v>0.35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18</v>
      </c>
      <c r="E77" s="18">
        <v>102010</v>
      </c>
      <c r="F77" s="19">
        <v>292.72000000000003</v>
      </c>
      <c r="G77" s="20">
        <v>0.35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37</v>
      </c>
      <c r="E78" s="18">
        <v>29030</v>
      </c>
      <c r="F78" s="19">
        <v>272.11</v>
      </c>
      <c r="G78" s="20">
        <v>0.33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43</v>
      </c>
      <c r="E79" s="18">
        <v>11080</v>
      </c>
      <c r="F79" s="19">
        <v>270.85000000000002</v>
      </c>
      <c r="G79" s="20">
        <v>0.33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174</v>
      </c>
      <c r="E80" s="18">
        <v>150610</v>
      </c>
      <c r="F80" s="19">
        <v>244.12</v>
      </c>
      <c r="G80" s="20">
        <v>0.28999999999999998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101</v>
      </c>
      <c r="E81" s="18">
        <v>5320</v>
      </c>
      <c r="F81" s="19">
        <v>237.6</v>
      </c>
      <c r="G81" s="20">
        <v>0.28999999999999998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110</v>
      </c>
      <c r="E82" s="18">
        <v>14920</v>
      </c>
      <c r="F82" s="19">
        <v>228.23</v>
      </c>
      <c r="G82" s="20">
        <v>0.28000000000000003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148</v>
      </c>
      <c r="E83" s="18">
        <v>115500</v>
      </c>
      <c r="F83" s="19">
        <v>226.62</v>
      </c>
      <c r="G83" s="20">
        <v>0.27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43</v>
      </c>
      <c r="E84" s="18">
        <v>15102</v>
      </c>
      <c r="F84" s="19">
        <v>213.32</v>
      </c>
      <c r="G84" s="20">
        <v>0.26</v>
      </c>
      <c r="H84" s="21"/>
    </row>
    <row r="85" spans="2:13" ht="24" customHeight="1" x14ac:dyDescent="0.25">
      <c r="B85" s="30" t="s">
        <v>183</v>
      </c>
      <c r="C85" s="30"/>
      <c r="D85" s="30"/>
      <c r="E85" s="31"/>
      <c r="F85" s="32">
        <f>SUM(F16:F84)</f>
        <v>55729.340000000004</v>
      </c>
      <c r="G85" s="32">
        <f>SUM(G16:G84)</f>
        <v>67.190000000000026</v>
      </c>
      <c r="H85" s="33"/>
      <c r="L85" s="34"/>
      <c r="M85" s="34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4"/>
      <c r="M86" s="34"/>
    </row>
    <row r="87" spans="2:13" ht="24" customHeight="1" x14ac:dyDescent="0.25">
      <c r="B87" s="22" t="s">
        <v>184</v>
      </c>
      <c r="C87" s="23"/>
      <c r="D87" s="23"/>
      <c r="E87" s="24"/>
      <c r="F87" s="25"/>
      <c r="G87" s="26"/>
      <c r="H87" s="27"/>
      <c r="L87" s="34"/>
      <c r="M87" s="34"/>
    </row>
    <row r="88" spans="2:13" ht="24" customHeight="1" x14ac:dyDescent="0.25">
      <c r="B88" s="17"/>
      <c r="C88" s="17"/>
      <c r="D88" s="17"/>
      <c r="E88" s="18"/>
      <c r="F88" s="20">
        <v>0</v>
      </c>
      <c r="G88" s="20">
        <v>0</v>
      </c>
      <c r="H88" s="21"/>
      <c r="L88" s="34"/>
      <c r="M88" s="34"/>
    </row>
    <row r="89" spans="2:13" ht="24" customHeight="1" x14ac:dyDescent="0.25">
      <c r="B89" s="30" t="s">
        <v>183</v>
      </c>
      <c r="C89" s="17"/>
      <c r="D89" s="17"/>
      <c r="E89" s="18"/>
      <c r="F89" s="35" t="s">
        <v>185</v>
      </c>
      <c r="G89" s="35" t="s">
        <v>185</v>
      </c>
      <c r="H89" s="21"/>
      <c r="L89" s="34"/>
      <c r="M89" s="34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4"/>
      <c r="M90" s="34"/>
    </row>
    <row r="91" spans="2:13" ht="24" customHeight="1" x14ac:dyDescent="0.25">
      <c r="B91" s="36" t="s">
        <v>186</v>
      </c>
      <c r="C91" s="37"/>
      <c r="D91" s="37"/>
      <c r="E91" s="38"/>
      <c r="F91" s="32">
        <f>F85</f>
        <v>55729.340000000004</v>
      </c>
      <c r="G91" s="32">
        <f>G85</f>
        <v>67.190000000000026</v>
      </c>
      <c r="H91" s="33"/>
      <c r="L91" s="34"/>
      <c r="M91" s="34"/>
    </row>
    <row r="92" spans="2:13" ht="24" customHeight="1" x14ac:dyDescent="0.25">
      <c r="B92" s="11" t="s">
        <v>187</v>
      </c>
      <c r="C92" s="12"/>
      <c r="D92" s="12"/>
      <c r="E92" s="13"/>
      <c r="F92" s="14"/>
      <c r="G92" s="15"/>
      <c r="H92" s="16"/>
    </row>
    <row r="93" spans="2:13" ht="24" customHeight="1" x14ac:dyDescent="0.25">
      <c r="B93" s="17"/>
      <c r="C93" s="17"/>
      <c r="D93" s="17"/>
      <c r="E93" s="18"/>
      <c r="F93" s="19"/>
      <c r="G93" s="20"/>
      <c r="H93" s="21"/>
      <c r="L93" s="28"/>
    </row>
    <row r="94" spans="2:13" ht="24" customHeight="1" x14ac:dyDescent="0.25">
      <c r="B94" s="22" t="s">
        <v>188</v>
      </c>
      <c r="C94" s="23"/>
      <c r="D94" s="23"/>
      <c r="E94" s="24"/>
      <c r="F94" s="25"/>
      <c r="G94" s="26"/>
      <c r="H94" s="27"/>
    </row>
    <row r="95" spans="2:13" ht="24" customHeight="1" x14ac:dyDescent="0.25">
      <c r="B95" s="17" t="s">
        <v>189</v>
      </c>
      <c r="C95" s="17" t="s">
        <v>190</v>
      </c>
      <c r="D95" s="17" t="s">
        <v>191</v>
      </c>
      <c r="E95" s="18">
        <v>4190000</v>
      </c>
      <c r="F95" s="19">
        <v>4234.8900000000003</v>
      </c>
      <c r="G95" s="20">
        <v>5.0999999999999996</v>
      </c>
      <c r="H95" s="21">
        <v>7.1093000000000002</v>
      </c>
    </row>
    <row r="96" spans="2:13" ht="24" customHeight="1" x14ac:dyDescent="0.25">
      <c r="B96" s="17" t="s">
        <v>192</v>
      </c>
      <c r="C96" s="17" t="s">
        <v>193</v>
      </c>
      <c r="D96" s="17" t="s">
        <v>191</v>
      </c>
      <c r="E96" s="18">
        <v>3094167</v>
      </c>
      <c r="F96" s="19">
        <v>3042.92</v>
      </c>
      <c r="G96" s="20">
        <v>3.67</v>
      </c>
      <c r="H96" s="21">
        <v>7.1772</v>
      </c>
    </row>
    <row r="97" spans="2:8" ht="24" customHeight="1" x14ac:dyDescent="0.25">
      <c r="B97" s="17" t="s">
        <v>194</v>
      </c>
      <c r="C97" s="17" t="s">
        <v>195</v>
      </c>
      <c r="D97" s="17" t="s">
        <v>191</v>
      </c>
      <c r="E97" s="18">
        <v>1500000</v>
      </c>
      <c r="F97" s="19">
        <v>1412.25</v>
      </c>
      <c r="G97" s="20">
        <v>1.7</v>
      </c>
      <c r="H97" s="21">
        <v>7.7385999999999999</v>
      </c>
    </row>
    <row r="98" spans="2:8" ht="24" customHeight="1" x14ac:dyDescent="0.25">
      <c r="B98" s="17" t="s">
        <v>196</v>
      </c>
      <c r="C98" s="17" t="s">
        <v>197</v>
      </c>
      <c r="D98" s="17" t="s">
        <v>191</v>
      </c>
      <c r="E98" s="18">
        <v>1441600</v>
      </c>
      <c r="F98" s="19">
        <v>1358.24</v>
      </c>
      <c r="G98" s="20">
        <v>1.64</v>
      </c>
      <c r="H98" s="21">
        <v>7.8734000000000002</v>
      </c>
    </row>
    <row r="99" spans="2:8" ht="24" customHeight="1" x14ac:dyDescent="0.25">
      <c r="B99" s="17" t="s">
        <v>198</v>
      </c>
      <c r="C99" s="17" t="s">
        <v>199</v>
      </c>
      <c r="D99" s="17" t="s">
        <v>191</v>
      </c>
      <c r="E99" s="18">
        <v>775000</v>
      </c>
      <c r="F99" s="19">
        <v>744.16</v>
      </c>
      <c r="G99" s="20">
        <v>0.9</v>
      </c>
      <c r="H99" s="21">
        <v>7.7222999999999997</v>
      </c>
    </row>
    <row r="100" spans="2:8" ht="24" customHeight="1" x14ac:dyDescent="0.25">
      <c r="B100" s="17" t="s">
        <v>200</v>
      </c>
      <c r="C100" s="17" t="s">
        <v>201</v>
      </c>
      <c r="D100" s="17" t="s">
        <v>202</v>
      </c>
      <c r="E100" s="18">
        <v>750000</v>
      </c>
      <c r="F100" s="19">
        <v>720.91</v>
      </c>
      <c r="G100" s="20">
        <v>0.87</v>
      </c>
      <c r="H100" s="21">
        <v>7.6536999999999997</v>
      </c>
    </row>
    <row r="101" spans="2:8" ht="24" customHeight="1" x14ac:dyDescent="0.25">
      <c r="B101" s="17" t="s">
        <v>203</v>
      </c>
      <c r="C101" s="17" t="s">
        <v>204</v>
      </c>
      <c r="D101" s="17" t="s">
        <v>205</v>
      </c>
      <c r="E101" s="18">
        <v>650000</v>
      </c>
      <c r="F101" s="19">
        <v>661.92</v>
      </c>
      <c r="G101" s="20">
        <v>0.8</v>
      </c>
      <c r="H101" s="21">
        <v>7.54</v>
      </c>
    </row>
    <row r="102" spans="2:8" ht="24" customHeight="1" x14ac:dyDescent="0.25">
      <c r="B102" s="17" t="s">
        <v>206</v>
      </c>
      <c r="C102" s="17" t="s">
        <v>207</v>
      </c>
      <c r="D102" s="17" t="s">
        <v>191</v>
      </c>
      <c r="E102" s="18">
        <v>650000</v>
      </c>
      <c r="F102" s="19">
        <v>636.16999999999996</v>
      </c>
      <c r="G102" s="20">
        <v>0.77</v>
      </c>
      <c r="H102" s="21">
        <v>6.7005999999999997</v>
      </c>
    </row>
    <row r="103" spans="2:8" ht="24" customHeight="1" x14ac:dyDescent="0.25">
      <c r="B103" s="17" t="s">
        <v>208</v>
      </c>
      <c r="C103" s="17" t="s">
        <v>209</v>
      </c>
      <c r="D103" s="17" t="s">
        <v>202</v>
      </c>
      <c r="E103" s="18">
        <v>500000</v>
      </c>
      <c r="F103" s="19">
        <v>503.13</v>
      </c>
      <c r="G103" s="20">
        <v>0.61</v>
      </c>
      <c r="H103" s="21">
        <v>7.6761999999999997</v>
      </c>
    </row>
    <row r="104" spans="2:8" ht="24" customHeight="1" x14ac:dyDescent="0.25">
      <c r="B104" s="17" t="s">
        <v>210</v>
      </c>
      <c r="C104" s="17" t="s">
        <v>211</v>
      </c>
      <c r="D104" s="17" t="s">
        <v>202</v>
      </c>
      <c r="E104" s="18">
        <v>500000</v>
      </c>
      <c r="F104" s="19">
        <v>501.11</v>
      </c>
      <c r="G104" s="20">
        <v>0.6</v>
      </c>
      <c r="H104" s="21">
        <v>7.76</v>
      </c>
    </row>
    <row r="105" spans="2:8" ht="24" customHeight="1" x14ac:dyDescent="0.25">
      <c r="B105" s="17" t="s">
        <v>212</v>
      </c>
      <c r="C105" s="17" t="s">
        <v>213</v>
      </c>
      <c r="D105" s="17" t="s">
        <v>214</v>
      </c>
      <c r="E105" s="18">
        <v>500000</v>
      </c>
      <c r="F105" s="19">
        <v>500.11</v>
      </c>
      <c r="G105" s="20">
        <v>0.6</v>
      </c>
      <c r="H105" s="21">
        <v>6.66</v>
      </c>
    </row>
    <row r="106" spans="2:8" ht="24" customHeight="1" x14ac:dyDescent="0.25">
      <c r="B106" s="17" t="s">
        <v>215</v>
      </c>
      <c r="C106" s="17" t="s">
        <v>216</v>
      </c>
      <c r="D106" s="17" t="s">
        <v>202</v>
      </c>
      <c r="E106" s="18">
        <v>400000</v>
      </c>
      <c r="F106" s="19">
        <v>399.02</v>
      </c>
      <c r="G106" s="20">
        <v>0.48</v>
      </c>
      <c r="H106" s="21">
        <v>7.6349999999999998</v>
      </c>
    </row>
    <row r="107" spans="2:8" ht="24" customHeight="1" x14ac:dyDescent="0.25">
      <c r="B107" s="17" t="s">
        <v>217</v>
      </c>
      <c r="C107" s="17" t="s">
        <v>218</v>
      </c>
      <c r="D107" s="17" t="s">
        <v>202</v>
      </c>
      <c r="E107" s="18">
        <v>300000</v>
      </c>
      <c r="F107" s="19">
        <v>297.48</v>
      </c>
      <c r="G107" s="20">
        <v>0.36</v>
      </c>
      <c r="H107" s="21">
        <v>7.6765999999999996</v>
      </c>
    </row>
    <row r="108" spans="2:8" ht="24" customHeight="1" x14ac:dyDescent="0.25">
      <c r="B108" s="17" t="s">
        <v>194</v>
      </c>
      <c r="C108" s="17" t="s">
        <v>219</v>
      </c>
      <c r="D108" s="17" t="s">
        <v>191</v>
      </c>
      <c r="E108" s="18">
        <v>300000</v>
      </c>
      <c r="F108" s="19">
        <v>277.06</v>
      </c>
      <c r="G108" s="20">
        <v>0.33</v>
      </c>
      <c r="H108" s="21">
        <v>7.8411</v>
      </c>
    </row>
    <row r="109" spans="2:8" ht="24" customHeight="1" x14ac:dyDescent="0.25">
      <c r="B109" s="17" t="s">
        <v>220</v>
      </c>
      <c r="C109" s="17" t="s">
        <v>221</v>
      </c>
      <c r="D109" s="17" t="s">
        <v>191</v>
      </c>
      <c r="E109" s="18">
        <v>230000</v>
      </c>
      <c r="F109" s="19">
        <v>232.24</v>
      </c>
      <c r="G109" s="20">
        <v>0.28000000000000003</v>
      </c>
      <c r="H109" s="21">
        <v>6.0796999999999999</v>
      </c>
    </row>
    <row r="110" spans="2:8" ht="24" customHeight="1" x14ac:dyDescent="0.25">
      <c r="B110" s="17" t="s">
        <v>222</v>
      </c>
      <c r="C110" s="17" t="s">
        <v>223</v>
      </c>
      <c r="D110" s="17" t="s">
        <v>214</v>
      </c>
      <c r="E110" s="18">
        <v>200000</v>
      </c>
      <c r="F110" s="19">
        <v>200.91</v>
      </c>
      <c r="G110" s="20">
        <v>0.24</v>
      </c>
      <c r="H110" s="21">
        <v>7.95</v>
      </c>
    </row>
    <row r="111" spans="2:8" ht="24" customHeight="1" x14ac:dyDescent="0.25">
      <c r="B111" s="17" t="s">
        <v>224</v>
      </c>
      <c r="C111" s="17" t="s">
        <v>225</v>
      </c>
      <c r="D111" s="17" t="s">
        <v>191</v>
      </c>
      <c r="E111" s="18">
        <v>193750</v>
      </c>
      <c r="F111" s="19">
        <v>185.69</v>
      </c>
      <c r="G111" s="20">
        <v>0.22</v>
      </c>
      <c r="H111" s="21">
        <v>7.8259999999999996</v>
      </c>
    </row>
    <row r="112" spans="2:8" ht="24" customHeight="1" x14ac:dyDescent="0.25">
      <c r="B112" s="17" t="s">
        <v>226</v>
      </c>
      <c r="C112" s="17" t="s">
        <v>227</v>
      </c>
      <c r="D112" s="17" t="s">
        <v>191</v>
      </c>
      <c r="E112" s="18">
        <v>120000</v>
      </c>
      <c r="F112" s="19">
        <v>108.79</v>
      </c>
      <c r="G112" s="20">
        <v>0.13</v>
      </c>
      <c r="H112" s="21">
        <v>7.8018999999999998</v>
      </c>
    </row>
    <row r="113" spans="2:8" ht="24" customHeight="1" x14ac:dyDescent="0.25">
      <c r="B113" s="17" t="s">
        <v>228</v>
      </c>
      <c r="C113" s="17" t="s">
        <v>229</v>
      </c>
      <c r="D113" s="17" t="s">
        <v>202</v>
      </c>
      <c r="E113" s="18">
        <v>100000</v>
      </c>
      <c r="F113" s="19">
        <v>101.35</v>
      </c>
      <c r="G113" s="20">
        <v>0.12</v>
      </c>
      <c r="H113" s="21">
        <v>7.9112</v>
      </c>
    </row>
    <row r="114" spans="2:8" ht="24" customHeight="1" x14ac:dyDescent="0.25">
      <c r="B114" s="17" t="s">
        <v>230</v>
      </c>
      <c r="C114" s="17" t="s">
        <v>231</v>
      </c>
      <c r="D114" s="17" t="s">
        <v>191</v>
      </c>
      <c r="E114" s="18">
        <v>76700</v>
      </c>
      <c r="F114" s="19">
        <v>78.010000000000005</v>
      </c>
      <c r="G114" s="20">
        <v>0.09</v>
      </c>
      <c r="H114" s="21">
        <v>6.1734</v>
      </c>
    </row>
    <row r="115" spans="2:8" ht="24" customHeight="1" x14ac:dyDescent="0.25">
      <c r="B115" s="17" t="s">
        <v>232</v>
      </c>
      <c r="C115" s="17" t="s">
        <v>233</v>
      </c>
      <c r="D115" s="17" t="s">
        <v>191</v>
      </c>
      <c r="E115" s="18">
        <v>48700</v>
      </c>
      <c r="F115" s="19">
        <v>47.81</v>
      </c>
      <c r="G115" s="20">
        <v>0.06</v>
      </c>
      <c r="H115" s="21">
        <v>7.0492999999999997</v>
      </c>
    </row>
    <row r="116" spans="2:8" ht="24" customHeight="1" x14ac:dyDescent="0.25">
      <c r="B116" s="17" t="s">
        <v>234</v>
      </c>
      <c r="C116" s="17" t="s">
        <v>235</v>
      </c>
      <c r="D116" s="17" t="s">
        <v>191</v>
      </c>
      <c r="E116" s="18">
        <v>25000</v>
      </c>
      <c r="F116" s="19">
        <v>25.35</v>
      </c>
      <c r="G116" s="20">
        <v>0.03</v>
      </c>
      <c r="H116" s="21">
        <v>7.0995999999999997</v>
      </c>
    </row>
    <row r="117" spans="2:8" ht="24" customHeight="1" x14ac:dyDescent="0.25">
      <c r="B117" s="30" t="s">
        <v>183</v>
      </c>
      <c r="C117" s="30"/>
      <c r="D117" s="30"/>
      <c r="E117" s="31"/>
      <c r="F117" s="32">
        <f>SUM(F95:F116)</f>
        <v>16269.520000000002</v>
      </c>
      <c r="G117" s="32">
        <f>SUM(G95:G116)</f>
        <v>19.599999999999998</v>
      </c>
      <c r="H117" s="33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22" t="s">
        <v>236</v>
      </c>
      <c r="C119" s="23"/>
      <c r="D119" s="23"/>
      <c r="E119" s="24"/>
      <c r="F119" s="25"/>
      <c r="G119" s="26"/>
      <c r="H119" s="27"/>
    </row>
    <row r="120" spans="2:8" ht="24" customHeight="1" x14ac:dyDescent="0.25">
      <c r="B120" s="17"/>
      <c r="C120" s="17"/>
      <c r="D120" s="17"/>
      <c r="E120" s="18"/>
      <c r="F120" s="20">
        <v>0</v>
      </c>
      <c r="G120" s="20">
        <v>0</v>
      </c>
      <c r="H120" s="21"/>
    </row>
    <row r="121" spans="2:8" ht="24" customHeight="1" x14ac:dyDescent="0.25">
      <c r="B121" s="30" t="s">
        <v>183</v>
      </c>
      <c r="C121" s="17"/>
      <c r="D121" s="17"/>
      <c r="E121" s="18"/>
      <c r="F121" s="35" t="s">
        <v>185</v>
      </c>
      <c r="G121" s="35" t="s">
        <v>185</v>
      </c>
      <c r="H121" s="21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22" t="s">
        <v>237</v>
      </c>
      <c r="C123" s="23"/>
      <c r="D123" s="23"/>
      <c r="E123" s="24"/>
      <c r="F123" s="25"/>
      <c r="G123" s="26"/>
      <c r="H123" s="27"/>
    </row>
    <row r="124" spans="2:8" ht="24" customHeight="1" x14ac:dyDescent="0.25">
      <c r="B124" s="17"/>
      <c r="C124" s="17"/>
      <c r="D124" s="17"/>
      <c r="E124" s="18"/>
      <c r="F124" s="20">
        <v>0</v>
      </c>
      <c r="G124" s="20">
        <v>0</v>
      </c>
      <c r="H124" s="21"/>
    </row>
    <row r="125" spans="2:8" ht="24" customHeight="1" x14ac:dyDescent="0.25">
      <c r="B125" s="30" t="s">
        <v>183</v>
      </c>
      <c r="C125" s="17"/>
      <c r="D125" s="17"/>
      <c r="E125" s="18"/>
      <c r="F125" s="35" t="s">
        <v>185</v>
      </c>
      <c r="G125" s="35" t="s">
        <v>185</v>
      </c>
      <c r="H125" s="21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36" t="s">
        <v>186</v>
      </c>
      <c r="C127" s="37"/>
      <c r="D127" s="37"/>
      <c r="E127" s="38"/>
      <c r="F127" s="32">
        <f>F117</f>
        <v>16269.520000000002</v>
      </c>
      <c r="G127" s="32">
        <f>G117</f>
        <v>19.599999999999998</v>
      </c>
      <c r="H127" s="33"/>
    </row>
    <row r="128" spans="2:8" ht="24" customHeight="1" x14ac:dyDescent="0.25">
      <c r="B128" s="39"/>
      <c r="C128" s="40"/>
      <c r="D128" s="40"/>
      <c r="E128" s="41"/>
      <c r="F128" s="42"/>
      <c r="G128" s="43"/>
      <c r="H128" s="33"/>
    </row>
    <row r="129" spans="2:8" ht="24" customHeight="1" x14ac:dyDescent="0.25">
      <c r="B129" s="22" t="s">
        <v>238</v>
      </c>
      <c r="C129" s="23"/>
      <c r="D129" s="23"/>
      <c r="E129" s="44"/>
      <c r="F129" s="25"/>
      <c r="G129" s="26"/>
      <c r="H129" s="27"/>
    </row>
    <row r="130" spans="2:8" ht="24" customHeight="1" x14ac:dyDescent="0.25">
      <c r="B130" s="17" t="s">
        <v>58</v>
      </c>
      <c r="C130" s="17" t="s">
        <v>239</v>
      </c>
      <c r="D130" s="17" t="s">
        <v>57</v>
      </c>
      <c r="E130" s="18">
        <v>104440</v>
      </c>
      <c r="F130" s="19">
        <v>10.65</v>
      </c>
      <c r="G130" s="20">
        <v>0.01</v>
      </c>
      <c r="H130" s="21"/>
    </row>
    <row r="131" spans="2:8" ht="24" customHeight="1" x14ac:dyDescent="0.25">
      <c r="B131" s="30" t="s">
        <v>183</v>
      </c>
      <c r="C131" s="30"/>
      <c r="D131" s="30"/>
      <c r="E131" s="31"/>
      <c r="F131" s="32">
        <f>F130</f>
        <v>10.65</v>
      </c>
      <c r="G131" s="32">
        <f>G130</f>
        <v>0.01</v>
      </c>
      <c r="H131" s="33"/>
    </row>
    <row r="132" spans="2:8" ht="24" customHeight="1" x14ac:dyDescent="0.25">
      <c r="B132" s="45"/>
      <c r="C132" s="45"/>
      <c r="D132" s="45"/>
      <c r="E132" s="41"/>
      <c r="F132" s="42"/>
      <c r="G132" s="43"/>
      <c r="H132" s="33"/>
    </row>
    <row r="133" spans="2:8" ht="24" customHeight="1" x14ac:dyDescent="0.25">
      <c r="B133" s="36" t="s">
        <v>186</v>
      </c>
      <c r="C133" s="37"/>
      <c r="D133" s="37"/>
      <c r="E133" s="38"/>
      <c r="F133" s="32">
        <f>F131</f>
        <v>10.65</v>
      </c>
      <c r="G133" s="32">
        <f>G131</f>
        <v>0.01</v>
      </c>
      <c r="H133" s="33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11" t="s">
        <v>240</v>
      </c>
      <c r="C135" s="12"/>
      <c r="D135" s="12"/>
      <c r="E135" s="13"/>
      <c r="F135" s="14"/>
      <c r="G135" s="15"/>
      <c r="H135" s="16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22" t="s">
        <v>241</v>
      </c>
      <c r="C137" s="23"/>
      <c r="D137" s="23"/>
      <c r="E137" s="24"/>
      <c r="F137" s="25"/>
      <c r="G137" s="26"/>
      <c r="H137" s="27"/>
    </row>
    <row r="138" spans="2:8" ht="24" customHeight="1" x14ac:dyDescent="0.25">
      <c r="B138" s="17" t="s">
        <v>242</v>
      </c>
      <c r="C138" s="17" t="s">
        <v>243</v>
      </c>
      <c r="D138" s="17" t="s">
        <v>244</v>
      </c>
      <c r="E138" s="18">
        <v>2000000</v>
      </c>
      <c r="F138" s="19">
        <v>1981.58</v>
      </c>
      <c r="G138" s="20">
        <v>2.39</v>
      </c>
      <c r="H138" s="21">
        <v>6.2849000000000004</v>
      </c>
    </row>
    <row r="139" spans="2:8" ht="24" customHeight="1" x14ac:dyDescent="0.25">
      <c r="B139" s="17" t="s">
        <v>245</v>
      </c>
      <c r="C139" s="17" t="s">
        <v>246</v>
      </c>
      <c r="D139" s="17" t="s">
        <v>247</v>
      </c>
      <c r="E139" s="18">
        <v>1300000</v>
      </c>
      <c r="F139" s="19">
        <v>1292.31</v>
      </c>
      <c r="G139" s="20">
        <v>1.56</v>
      </c>
      <c r="H139" s="21">
        <v>6.2031000000000001</v>
      </c>
    </row>
    <row r="140" spans="2:8" ht="24" customHeight="1" x14ac:dyDescent="0.25">
      <c r="B140" s="17" t="s">
        <v>248</v>
      </c>
      <c r="C140" s="17" t="s">
        <v>249</v>
      </c>
      <c r="D140" s="17" t="s">
        <v>244</v>
      </c>
      <c r="E140" s="18">
        <v>1000000</v>
      </c>
      <c r="F140" s="19">
        <v>947.76</v>
      </c>
      <c r="G140" s="20">
        <v>1.1399999999999999</v>
      </c>
      <c r="H140" s="21">
        <v>7.1851000000000003</v>
      </c>
    </row>
    <row r="141" spans="2:8" ht="24" customHeight="1" x14ac:dyDescent="0.25">
      <c r="B141" s="17" t="s">
        <v>250</v>
      </c>
      <c r="C141" s="17" t="s">
        <v>251</v>
      </c>
      <c r="D141" s="17" t="s">
        <v>244</v>
      </c>
      <c r="E141" s="18">
        <v>500000</v>
      </c>
      <c r="F141" s="19">
        <v>496.45</v>
      </c>
      <c r="G141" s="20">
        <v>0.6</v>
      </c>
      <c r="H141" s="21">
        <v>6.2201000000000004</v>
      </c>
    </row>
    <row r="142" spans="2:8" ht="24" customHeight="1" x14ac:dyDescent="0.25">
      <c r="B142" s="17" t="s">
        <v>252</v>
      </c>
      <c r="C142" s="17" t="s">
        <v>253</v>
      </c>
      <c r="D142" s="17" t="s">
        <v>244</v>
      </c>
      <c r="E142" s="18">
        <v>500000</v>
      </c>
      <c r="F142" s="19">
        <v>482.21</v>
      </c>
      <c r="G142" s="20">
        <v>0.57999999999999996</v>
      </c>
      <c r="H142" s="21">
        <v>7.125</v>
      </c>
    </row>
    <row r="143" spans="2:8" ht="24" customHeight="1" x14ac:dyDescent="0.25">
      <c r="B143" s="30" t="s">
        <v>183</v>
      </c>
      <c r="C143" s="30"/>
      <c r="D143" s="30"/>
      <c r="E143" s="31"/>
      <c r="F143" s="32">
        <v>5200.3100000000004</v>
      </c>
      <c r="G143" s="46">
        <v>6.27</v>
      </c>
      <c r="H143" s="33"/>
    </row>
    <row r="144" spans="2:8" ht="24" customHeight="1" x14ac:dyDescent="0.25">
      <c r="B144" s="17"/>
      <c r="C144" s="17"/>
      <c r="D144" s="17"/>
      <c r="E144" s="18"/>
      <c r="F144" s="19"/>
      <c r="G144" s="20"/>
      <c r="H144" s="21"/>
    </row>
    <row r="145" spans="2:8" ht="24" customHeight="1" x14ac:dyDescent="0.25">
      <c r="B145" s="22" t="s">
        <v>254</v>
      </c>
      <c r="C145" s="23"/>
      <c r="D145" s="23"/>
      <c r="E145" s="24"/>
      <c r="F145" s="25"/>
      <c r="G145" s="26"/>
      <c r="H145" s="27"/>
    </row>
    <row r="146" spans="2:8" ht="24" customHeight="1" x14ac:dyDescent="0.25">
      <c r="B146" s="17" t="s">
        <v>255</v>
      </c>
      <c r="C146" s="17" t="s">
        <v>256</v>
      </c>
      <c r="D146" s="17" t="s">
        <v>244</v>
      </c>
      <c r="E146" s="18">
        <v>1500000</v>
      </c>
      <c r="F146" s="19">
        <v>1404.5</v>
      </c>
      <c r="G146" s="20">
        <v>1.69</v>
      </c>
      <c r="H146" s="21">
        <v>7.78</v>
      </c>
    </row>
    <row r="147" spans="2:8" ht="24" customHeight="1" x14ac:dyDescent="0.25">
      <c r="B147" s="17" t="s">
        <v>257</v>
      </c>
      <c r="C147" s="17" t="s">
        <v>258</v>
      </c>
      <c r="D147" s="17" t="s">
        <v>244</v>
      </c>
      <c r="E147" s="18">
        <v>1000000</v>
      </c>
      <c r="F147" s="19">
        <v>994</v>
      </c>
      <c r="G147" s="20">
        <v>1.2</v>
      </c>
      <c r="H147" s="21">
        <v>6.3002000000000002</v>
      </c>
    </row>
    <row r="148" spans="2:8" ht="24" customHeight="1" x14ac:dyDescent="0.25">
      <c r="B148" s="17" t="s">
        <v>259</v>
      </c>
      <c r="C148" s="17" t="s">
        <v>260</v>
      </c>
      <c r="D148" s="17" t="s">
        <v>244</v>
      </c>
      <c r="E148" s="18">
        <v>1000000</v>
      </c>
      <c r="F148" s="19">
        <v>943.57</v>
      </c>
      <c r="G148" s="20">
        <v>1.1399999999999999</v>
      </c>
      <c r="H148" s="21">
        <v>8.0250000000000004</v>
      </c>
    </row>
    <row r="149" spans="2:8" ht="24" customHeight="1" x14ac:dyDescent="0.25">
      <c r="B149" s="17" t="s">
        <v>261</v>
      </c>
      <c r="C149" s="17" t="s">
        <v>262</v>
      </c>
      <c r="D149" s="17" t="s">
        <v>244</v>
      </c>
      <c r="E149" s="18">
        <v>500000</v>
      </c>
      <c r="F149" s="19">
        <v>479.99</v>
      </c>
      <c r="G149" s="20">
        <v>0.57999999999999996</v>
      </c>
      <c r="H149" s="21">
        <v>7.61</v>
      </c>
    </row>
    <row r="150" spans="2:8" ht="24" customHeight="1" x14ac:dyDescent="0.25">
      <c r="B150" s="30" t="s">
        <v>183</v>
      </c>
      <c r="C150" s="30"/>
      <c r="D150" s="30"/>
      <c r="E150" s="31"/>
      <c r="F150" s="32">
        <v>3822.06</v>
      </c>
      <c r="G150" s="46">
        <v>4.6100000000000003</v>
      </c>
      <c r="H150" s="33"/>
    </row>
    <row r="151" spans="2:8" ht="24" customHeight="1" x14ac:dyDescent="0.25">
      <c r="B151" s="17"/>
      <c r="C151" s="17"/>
      <c r="D151" s="17"/>
      <c r="E151" s="18"/>
      <c r="F151" s="19"/>
      <c r="G151" s="20"/>
      <c r="H151" s="21"/>
    </row>
    <row r="152" spans="2:8" ht="24" customHeight="1" x14ac:dyDescent="0.25">
      <c r="B152" s="22" t="s">
        <v>263</v>
      </c>
      <c r="C152" s="23"/>
      <c r="D152" s="23"/>
      <c r="E152" s="24"/>
      <c r="F152" s="25"/>
      <c r="G152" s="26"/>
      <c r="H152" s="27"/>
    </row>
    <row r="153" spans="2:8" ht="24" customHeight="1" x14ac:dyDescent="0.25">
      <c r="B153" s="17" t="s">
        <v>264</v>
      </c>
      <c r="C153" s="17" t="s">
        <v>265</v>
      </c>
      <c r="D153" s="17" t="s">
        <v>191</v>
      </c>
      <c r="E153" s="18">
        <v>250000</v>
      </c>
      <c r="F153" s="19">
        <v>249.79</v>
      </c>
      <c r="G153" s="20">
        <v>0.3</v>
      </c>
      <c r="H153" s="21">
        <v>5.1112000000000002</v>
      </c>
    </row>
    <row r="154" spans="2:8" ht="24" customHeight="1" x14ac:dyDescent="0.25">
      <c r="B154" s="30" t="s">
        <v>183</v>
      </c>
      <c r="C154" s="30"/>
      <c r="D154" s="30"/>
      <c r="E154" s="31"/>
      <c r="F154" s="32">
        <v>249.79</v>
      </c>
      <c r="G154" s="46">
        <v>0.3</v>
      </c>
      <c r="H154" s="33"/>
    </row>
    <row r="155" spans="2:8" ht="24" customHeight="1" x14ac:dyDescent="0.25">
      <c r="B155" s="17"/>
      <c r="C155" s="17"/>
      <c r="D155" s="17"/>
      <c r="E155" s="18"/>
      <c r="F155" s="19"/>
      <c r="G155" s="20"/>
      <c r="H155" s="21"/>
    </row>
    <row r="156" spans="2:8" ht="24" customHeight="1" x14ac:dyDescent="0.25">
      <c r="B156" s="36" t="s">
        <v>186</v>
      </c>
      <c r="C156" s="37"/>
      <c r="D156" s="37"/>
      <c r="E156" s="38"/>
      <c r="F156" s="32">
        <v>9272.16</v>
      </c>
      <c r="G156" s="46">
        <v>11.18</v>
      </c>
      <c r="H156" s="33"/>
    </row>
    <row r="157" spans="2:8" ht="24" customHeight="1" x14ac:dyDescent="0.25">
      <c r="B157" s="17"/>
      <c r="C157" s="17"/>
      <c r="D157" s="17"/>
      <c r="E157" s="18"/>
      <c r="F157" s="19"/>
      <c r="G157" s="20"/>
      <c r="H157" s="21"/>
    </row>
    <row r="158" spans="2:8" ht="24" customHeight="1" x14ac:dyDescent="0.25">
      <c r="B158" s="17"/>
      <c r="C158" s="17"/>
      <c r="D158" s="17"/>
      <c r="E158" s="18"/>
      <c r="F158" s="19"/>
      <c r="G158" s="20"/>
      <c r="H158" s="21"/>
    </row>
    <row r="159" spans="2:8" ht="24" customHeight="1" x14ac:dyDescent="0.25">
      <c r="B159" s="11" t="s">
        <v>266</v>
      </c>
      <c r="C159" s="12"/>
      <c r="D159" s="12"/>
      <c r="E159" s="13"/>
      <c r="F159" s="14"/>
      <c r="G159" s="15"/>
      <c r="H159" s="16"/>
    </row>
    <row r="160" spans="2:8" ht="24" customHeight="1" x14ac:dyDescent="0.25">
      <c r="B160" s="17" t="s">
        <v>267</v>
      </c>
      <c r="C160" s="17"/>
      <c r="D160" s="17"/>
      <c r="E160" s="18"/>
      <c r="F160" s="19">
        <v>1434.93</v>
      </c>
      <c r="G160" s="20">
        <v>1.73</v>
      </c>
      <c r="H160" s="21"/>
    </row>
    <row r="161" spans="2:8" ht="24" customHeight="1" x14ac:dyDescent="0.25">
      <c r="B161" s="30" t="s">
        <v>183</v>
      </c>
      <c r="C161" s="30"/>
      <c r="D161" s="30"/>
      <c r="E161" s="31"/>
      <c r="F161" s="32">
        <v>1434.93</v>
      </c>
      <c r="G161" s="46">
        <v>1.73</v>
      </c>
      <c r="H161" s="33"/>
    </row>
    <row r="162" spans="2:8" ht="24" customHeight="1" x14ac:dyDescent="0.25">
      <c r="B162" s="17"/>
      <c r="C162" s="17"/>
      <c r="D162" s="17"/>
      <c r="E162" s="18"/>
      <c r="F162" s="19"/>
      <c r="G162" s="20"/>
      <c r="H162" s="21"/>
    </row>
    <row r="163" spans="2:8" ht="24" customHeight="1" x14ac:dyDescent="0.25">
      <c r="B163" s="36" t="s">
        <v>186</v>
      </c>
      <c r="C163" s="37"/>
      <c r="D163" s="37"/>
      <c r="E163" s="38"/>
      <c r="F163" s="32">
        <v>1434.93</v>
      </c>
      <c r="G163" s="46">
        <v>1.73</v>
      </c>
      <c r="H163" s="33"/>
    </row>
    <row r="164" spans="2:8" ht="24" customHeight="1" x14ac:dyDescent="0.25">
      <c r="B164" s="17"/>
      <c r="C164" s="17"/>
      <c r="D164" s="17"/>
      <c r="E164" s="18"/>
      <c r="F164" s="19"/>
      <c r="G164" s="20"/>
      <c r="H164" s="21"/>
    </row>
    <row r="165" spans="2:8" ht="24" customHeight="1" x14ac:dyDescent="0.25">
      <c r="B165" s="17" t="s">
        <v>268</v>
      </c>
      <c r="C165" s="17"/>
      <c r="D165" s="17"/>
      <c r="E165" s="18"/>
      <c r="F165" s="19">
        <v>244.69</v>
      </c>
      <c r="G165" s="20">
        <v>0.28999999999999998</v>
      </c>
      <c r="H165" s="21"/>
    </row>
    <row r="166" spans="2:8" ht="24" customHeight="1" x14ac:dyDescent="0.25">
      <c r="B166" s="17"/>
      <c r="C166" s="17"/>
      <c r="D166" s="17"/>
      <c r="E166" s="18"/>
      <c r="F166" s="19"/>
      <c r="G166" s="20"/>
      <c r="H166" s="21"/>
    </row>
    <row r="167" spans="2:8" ht="24" customHeight="1" x14ac:dyDescent="0.25">
      <c r="B167" s="36" t="s">
        <v>269</v>
      </c>
      <c r="C167" s="37"/>
      <c r="D167" s="37"/>
      <c r="E167" s="38"/>
      <c r="F167" s="32">
        <v>82961.289999999994</v>
      </c>
      <c r="G167" s="46">
        <v>100</v>
      </c>
      <c r="H167" s="47"/>
    </row>
    <row r="168" spans="2:8" ht="24" customHeight="1" x14ac:dyDescent="0.25">
      <c r="B168" s="4"/>
    </row>
    <row r="169" spans="2:8" ht="24" customHeight="1" x14ac:dyDescent="0.25">
      <c r="B169" s="50" t="s">
        <v>270</v>
      </c>
      <c r="F169" s="51"/>
      <c r="G169" s="51"/>
    </row>
    <row r="170" spans="2:8" ht="24" customHeight="1" x14ac:dyDescent="0.25">
      <c r="B170" s="50" t="s">
        <v>271</v>
      </c>
      <c r="F170" s="51"/>
      <c r="G170" s="51"/>
    </row>
    <row r="176" spans="2:8" ht="24" customHeight="1" x14ac:dyDescent="0.25">
      <c r="B176" s="40" t="s">
        <v>272</v>
      </c>
    </row>
    <row r="177" spans="2:8" ht="24" customHeight="1" x14ac:dyDescent="0.25">
      <c r="B177" s="48" t="s">
        <v>273</v>
      </c>
    </row>
    <row r="178" spans="2:8" ht="24" customHeight="1" x14ac:dyDescent="0.25">
      <c r="B178" s="52" t="s">
        <v>274</v>
      </c>
      <c r="C178" s="53">
        <v>46112</v>
      </c>
      <c r="D178" s="54">
        <v>46142</v>
      </c>
    </row>
    <row r="179" spans="2:8" ht="24" customHeight="1" x14ac:dyDescent="0.25">
      <c r="B179" s="55" t="s">
        <v>275</v>
      </c>
      <c r="C179" s="56" t="s">
        <v>276</v>
      </c>
      <c r="D179" s="57" t="s">
        <v>276</v>
      </c>
      <c r="E179" s="4"/>
      <c r="F179" s="4"/>
      <c r="G179" s="4"/>
      <c r="H179" s="4"/>
    </row>
    <row r="180" spans="2:8" ht="24" customHeight="1" x14ac:dyDescent="0.25">
      <c r="B180" s="58" t="s">
        <v>277</v>
      </c>
      <c r="C180" s="59">
        <v>15.29</v>
      </c>
      <c r="D180" s="60">
        <v>16.239999999999998</v>
      </c>
      <c r="E180" s="4"/>
      <c r="F180" s="4"/>
      <c r="G180" s="4"/>
      <c r="H180" s="4"/>
    </row>
    <row r="181" spans="2:8" ht="24" customHeight="1" x14ac:dyDescent="0.25">
      <c r="B181" s="58" t="s">
        <v>278</v>
      </c>
      <c r="C181" s="59">
        <v>10.07</v>
      </c>
      <c r="D181" s="60">
        <v>10.7</v>
      </c>
      <c r="E181" s="4"/>
      <c r="F181" s="4"/>
      <c r="G181" s="4"/>
      <c r="H181" s="4"/>
    </row>
    <row r="182" spans="2:8" ht="24" customHeight="1" x14ac:dyDescent="0.25">
      <c r="B182" s="55" t="s">
        <v>279</v>
      </c>
      <c r="C182" s="56"/>
      <c r="D182" s="57"/>
      <c r="E182" s="4"/>
      <c r="F182" s="4"/>
      <c r="G182" s="4"/>
      <c r="H182" s="4"/>
    </row>
    <row r="183" spans="2:8" ht="24" customHeight="1" x14ac:dyDescent="0.25">
      <c r="B183" s="58" t="s">
        <v>277</v>
      </c>
      <c r="C183" s="59">
        <v>13.98</v>
      </c>
      <c r="D183" s="60">
        <v>14.83</v>
      </c>
      <c r="E183" s="4"/>
      <c r="F183" s="4"/>
      <c r="G183" s="4"/>
      <c r="H183" s="4"/>
    </row>
    <row r="184" spans="2:8" ht="24" customHeight="1" x14ac:dyDescent="0.25">
      <c r="B184" s="61" t="s">
        <v>278</v>
      </c>
      <c r="C184" s="62">
        <v>9.9499999999999993</v>
      </c>
      <c r="D184" s="63">
        <v>10.56</v>
      </c>
      <c r="E184" s="4"/>
      <c r="F184" s="4"/>
      <c r="G184" s="4"/>
      <c r="H184" s="4"/>
    </row>
    <row r="185" spans="2:8" ht="24" customHeight="1" x14ac:dyDescent="0.25">
      <c r="C185" s="64"/>
      <c r="D185" s="64"/>
      <c r="E185" s="4"/>
      <c r="F185" s="4"/>
      <c r="G185" s="4"/>
      <c r="H185" s="4"/>
    </row>
    <row r="186" spans="2:8" ht="24" customHeight="1" x14ac:dyDescent="0.25">
      <c r="B186" s="48" t="s">
        <v>280</v>
      </c>
      <c r="D186" s="29" t="s">
        <v>185</v>
      </c>
    </row>
    <row r="188" spans="2:8" ht="24" customHeight="1" x14ac:dyDescent="0.25">
      <c r="B188" s="48" t="s">
        <v>281</v>
      </c>
      <c r="D188" s="29" t="s">
        <v>185</v>
      </c>
    </row>
    <row r="190" spans="2:8" ht="24" customHeight="1" x14ac:dyDescent="0.25">
      <c r="B190" s="48" t="s">
        <v>282</v>
      </c>
      <c r="D190" s="29" t="s">
        <v>185</v>
      </c>
    </row>
    <row r="192" spans="2:8" ht="24" customHeight="1" x14ac:dyDescent="0.25">
      <c r="B192" s="48" t="s">
        <v>283</v>
      </c>
      <c r="D192" s="29" t="s">
        <v>185</v>
      </c>
    </row>
    <row r="194" spans="2:4" ht="24" customHeight="1" x14ac:dyDescent="0.25">
      <c r="B194" s="48" t="s">
        <v>284</v>
      </c>
      <c r="D194" s="29">
        <v>0.64</v>
      </c>
    </row>
    <row r="196" spans="2:4" ht="24" customHeight="1" x14ac:dyDescent="0.25">
      <c r="B196" s="48" t="s">
        <v>285</v>
      </c>
      <c r="D196" s="29" t="s">
        <v>185</v>
      </c>
    </row>
    <row r="198" spans="2:4" ht="24" customHeight="1" x14ac:dyDescent="0.25">
      <c r="B198" s="48" t="s">
        <v>286</v>
      </c>
      <c r="D198" s="29" t="s">
        <v>185</v>
      </c>
    </row>
    <row r="199" spans="2:4" ht="24" customHeight="1" x14ac:dyDescent="0.25">
      <c r="B199" s="48" t="s">
        <v>287</v>
      </c>
      <c r="D199" s="29" t="s">
        <v>185</v>
      </c>
    </row>
    <row r="201" spans="2:4" ht="24" customHeight="1" x14ac:dyDescent="0.25">
      <c r="B201" s="65" t="s">
        <v>288</v>
      </c>
      <c r="D201" s="29" t="s">
        <v>185</v>
      </c>
    </row>
    <row r="203" spans="2:4" ht="24" customHeight="1" x14ac:dyDescent="0.25">
      <c r="B203" s="48" t="s">
        <v>289</v>
      </c>
      <c r="D203" s="29" t="s">
        <v>185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2026-05-08T06:58:58Z</dcterms:modified>
</cp:coreProperties>
</file>