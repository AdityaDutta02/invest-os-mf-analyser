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C840A7B5-2E64-4FEE-8D55-16D570D17169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Large Mid" sheetId="2" r:id="rId1"/>
  </sheets>
  <externalReferences>
    <externalReference r:id="rId2"/>
  </externalReferences>
  <definedNames>
    <definedName name="_xlnm._FilterDatabase" localSheetId="0" hidden="1">'Large Mid'!$B$137:$D$142</definedName>
    <definedName name="Derivatives_Transactions" localSheetId="0">'Large Mid'!#REF!</definedName>
    <definedName name="Derivatives_Transactions">[1]Arbitrage!#REF!</definedName>
    <definedName name="Hedging_Positions_through_Futures_AS_ON_MMMM_DD__YYYY___NIL" localSheetId="0">'Large Mid'!$L$76:$M$92</definedName>
    <definedName name="JPM_Footer_disp" localSheetId="0">'Large Mid'!$L$82:$M$92</definedName>
    <definedName name="JPM_Footer_disp12" localSheetId="0">'Large Mid'!$L$76:$M$93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2" l="1"/>
  <c r="G106" i="2" s="1"/>
  <c r="F104" i="2"/>
  <c r="F106" i="2" s="1"/>
  <c r="G94" i="2"/>
  <c r="G100" i="2" s="1"/>
  <c r="F94" i="2"/>
  <c r="F100" i="2" s="1"/>
</calcChain>
</file>

<file path=xl/sharedStrings.xml><?xml version="1.0" encoding="utf-8"?>
<sst xmlns="http://schemas.openxmlformats.org/spreadsheetml/2006/main" count="307" uniqueCount="236">
  <si>
    <t>PGIM INDIA LARGE AND MIDCAP FUND</t>
  </si>
  <si>
    <t>(An Open Ended Equity Scheme Investing In Both Large Cap &amp; Mid Cap Stocks)</t>
  </si>
  <si>
    <t xml:space="preserve">Riskometer of the Scheme </t>
  </si>
  <si>
    <t xml:space="preserve">Riskometer of the Benchmark (NIFTY LargeMidcap 250 Index TRI) </t>
  </si>
  <si>
    <t>The risk of the scheme is very high risk</t>
  </si>
  <si>
    <t>Benchmark riskometer is at very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</si>
  <si>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</si>
  <si>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</si>
  <si>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</si>
  <si>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</si>
  <si>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</si>
  <si>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</si>
  <si>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</si>
  <si>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</si>
  <si>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</si>
  <si>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</si>
  <si>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</si>
  <si>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</si>
  <si>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</si>
  <si>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Reliance Industries Ltd.</t>
  </si>
  <si>
    <t>INE002A01018</t>
  </si>
  <si>
    <t>Petroleum Products</t>
  </si>
  <si>
    <t>HDFC Bank Ltd.</t>
  </si>
  <si>
    <t>INE040A01034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</si>
  <si>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</si>
  <si>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</si>
  <si>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</si>
  <si>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</si>
  <si>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</si>
  <si>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</si>
  <si>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Solar Industries India Ltd.</t>
  </si>
  <si>
    <t>INE343H01029</t>
  </si>
  <si>
    <t>Chemicals &amp; Petrochemicals</t>
  </si>
  <si>
    <t>State Bank of India</t>
  </si>
  <si>
    <t>INE062A01020</t>
  </si>
  <si>
    <t>Tata Consultancy Services Ltd.</t>
  </si>
  <si>
    <t>INE467B01029</t>
  </si>
  <si>
    <t>IT - Software</t>
  </si>
  <si>
    <t>VARUN BEVERAGES LIMITED</t>
  </si>
  <si>
    <t>INE200M01039</t>
  </si>
  <si>
    <t>Beverages</t>
  </si>
  <si>
    <t>Bajaj Finance Ltd.</t>
  </si>
  <si>
    <t>INE296A01032</t>
  </si>
  <si>
    <t>Finance</t>
  </si>
  <si>
    <t>Eternal Ltd.</t>
  </si>
  <si>
    <t>INE758T01015</t>
  </si>
  <si>
    <t>Retailing</t>
  </si>
  <si>
    <t>ICICI Prudential Asset Mgmt Co Ltd.</t>
  </si>
  <si>
    <t>INE346A01027</t>
  </si>
  <si>
    <t>Capital Markets</t>
  </si>
  <si>
    <t>Nestle India Ltd.</t>
  </si>
  <si>
    <t>INE239A01024</t>
  </si>
  <si>
    <t>Food Products</t>
  </si>
  <si>
    <t>FSN E-Commerce Ventures Ltd.</t>
  </si>
  <si>
    <t>INE388Y01029</t>
  </si>
  <si>
    <t>JK Cement Ltd.</t>
  </si>
  <si>
    <t>INE823G01014</t>
  </si>
  <si>
    <t>Cement &amp; Cement Products</t>
  </si>
  <si>
    <t>ICICI Lombard General Insurance Co. Ltd.</t>
  </si>
  <si>
    <t>INE765G01017</t>
  </si>
  <si>
    <t>Insurance</t>
  </si>
  <si>
    <t>Info Edge (India) Ltd.</t>
  </si>
  <si>
    <t>INE663F01032</t>
  </si>
  <si>
    <t>Bharti Hexacom Ltd.</t>
  </si>
  <si>
    <t>INE343G01021</t>
  </si>
  <si>
    <t>Divi's Laboratories Ltd.</t>
  </si>
  <si>
    <t>INE361B01024</t>
  </si>
  <si>
    <t>Pharmaceuticals &amp; Biotechnology</t>
  </si>
  <si>
    <t>Mankind Pharma Ltd.</t>
  </si>
  <si>
    <t>INE634S01028</t>
  </si>
  <si>
    <t>Multi Commodity Exchange Of India Ltd.</t>
  </si>
  <si>
    <t>INE745G01043</t>
  </si>
  <si>
    <t>CG Power and Industrial Solutions Ltd.</t>
  </si>
  <si>
    <t>INE067A01029</t>
  </si>
  <si>
    <t>Electrical Equipment</t>
  </si>
  <si>
    <t>UNO Minda Ltd.</t>
  </si>
  <si>
    <t>INE405E01023</t>
  </si>
  <si>
    <t>Auto Components</t>
  </si>
  <si>
    <t>Max Healthcare Institute Ltd.</t>
  </si>
  <si>
    <t>INE027H01010</t>
  </si>
  <si>
    <t>Healthcare Services</t>
  </si>
  <si>
    <t>Bharat Electronics Ltd.</t>
  </si>
  <si>
    <t>INE263A01024</t>
  </si>
  <si>
    <t>Aerospace &amp; Defense</t>
  </si>
  <si>
    <t>Dixon Technologies (India) Ltd.</t>
  </si>
  <si>
    <t>INE935N01020</t>
  </si>
  <si>
    <t>Consumer Durables</t>
  </si>
  <si>
    <t>AU Small Finance Bank Ltd.</t>
  </si>
  <si>
    <t>INE949L01017</t>
  </si>
  <si>
    <t>Maruti Suzuki India Ltd.</t>
  </si>
  <si>
    <t>INE585B01010</t>
  </si>
  <si>
    <t>Automobiles</t>
  </si>
  <si>
    <t>Supreme Industries Ltd.</t>
  </si>
  <si>
    <t>INE195A01028</t>
  </si>
  <si>
    <t>Industrial Products</t>
  </si>
  <si>
    <t>Ajanta Pharma Ltd.</t>
  </si>
  <si>
    <t>INE031B01049</t>
  </si>
  <si>
    <t>Coromandel International Ltd.</t>
  </si>
  <si>
    <t>INE169A01031</t>
  </si>
  <si>
    <t>Fertilizers &amp; Agrochemicals</t>
  </si>
  <si>
    <t>JSW Infrastructure Ltd.</t>
  </si>
  <si>
    <t>INE880J01026</t>
  </si>
  <si>
    <t>Transport Infrastructure</t>
  </si>
  <si>
    <t>Power Finance Corporation Ltd.</t>
  </si>
  <si>
    <t>INE134E01011</t>
  </si>
  <si>
    <t>Global Health Ltd.</t>
  </si>
  <si>
    <t>INE474Q01031</t>
  </si>
  <si>
    <t>Vishal Mega Mart Ltd</t>
  </si>
  <si>
    <t>INE01EA01019</t>
  </si>
  <si>
    <t>Anthem Biosciences Ltd.</t>
  </si>
  <si>
    <t>INE0CZ201020</t>
  </si>
  <si>
    <t>Rubicon Research Ltd.</t>
  </si>
  <si>
    <t>INE506V01022</t>
  </si>
  <si>
    <t>Max Financial Services Ltd.</t>
  </si>
  <si>
    <t>INE180A01020</t>
  </si>
  <si>
    <t>Tube Investments Of India Ltd.</t>
  </si>
  <si>
    <t>INE974X01010</t>
  </si>
  <si>
    <t>Prestige Estates Projects Ltd.</t>
  </si>
  <si>
    <t>INE811K01011</t>
  </si>
  <si>
    <t>Realty</t>
  </si>
  <si>
    <t>NTPC Ltd.</t>
  </si>
  <si>
    <t>INE733E01010</t>
  </si>
  <si>
    <t>Power</t>
  </si>
  <si>
    <t>The Federal Bank Ltd.</t>
  </si>
  <si>
    <t>INE171A01029</t>
  </si>
  <si>
    <t>PB Fintech Ltd.</t>
  </si>
  <si>
    <t>INE417T01026</t>
  </si>
  <si>
    <t>Financial Technology (Fintech)</t>
  </si>
  <si>
    <t>Blue Star Ltd.</t>
  </si>
  <si>
    <t>INE472A01039</t>
  </si>
  <si>
    <t>LG Electronics India Ltd.</t>
  </si>
  <si>
    <t>INE324D01010</t>
  </si>
  <si>
    <t>SRF Ltd.</t>
  </si>
  <si>
    <t>INE647A01010</t>
  </si>
  <si>
    <t>Muthoot Finance Ltd.</t>
  </si>
  <si>
    <t>INE414G01012</t>
  </si>
  <si>
    <t>Shriram Finance Ltd.</t>
  </si>
  <si>
    <t>INE721A01047</t>
  </si>
  <si>
    <t>Mahindra &amp; Mahindra Ltd.</t>
  </si>
  <si>
    <t>INE101A01026</t>
  </si>
  <si>
    <t>TVS Motor Company Ltd.</t>
  </si>
  <si>
    <t>INE494B01023</t>
  </si>
  <si>
    <t>Pidilite Industries Ltd.</t>
  </si>
  <si>
    <t>INE318A01026</t>
  </si>
  <si>
    <t>Bharat Petroleum Corporation Ltd.</t>
  </si>
  <si>
    <t>INE029A01011</t>
  </si>
  <si>
    <t>Nippon Life India Asset Management Ltd.</t>
  </si>
  <si>
    <t>INE298J01013</t>
  </si>
  <si>
    <t>Torrent Power Ltd.</t>
  </si>
  <si>
    <t>INE813H01021</t>
  </si>
  <si>
    <t>Lenskart Solutions Ltd.</t>
  </si>
  <si>
    <t>INE956O01016</t>
  </si>
  <si>
    <t>Tech Mahindra Ltd.</t>
  </si>
  <si>
    <t>INE669C01036</t>
  </si>
  <si>
    <t>Mphasis Ltd.</t>
  </si>
  <si>
    <t>INE356A01018</t>
  </si>
  <si>
    <t>JB Chemicals &amp; Pharmaceuticals Ltd.</t>
  </si>
  <si>
    <t>INE572A01036</t>
  </si>
  <si>
    <t>One 97 Communications Ltd.</t>
  </si>
  <si>
    <t>INE982J01020</t>
  </si>
  <si>
    <t>SBI Life Insurance Company Ltd.</t>
  </si>
  <si>
    <t>INE123W01016</t>
  </si>
  <si>
    <t>360 One Wam Ltd.</t>
  </si>
  <si>
    <t>INE466L01038</t>
  </si>
  <si>
    <t>InterGlobe Aviation Ltd.</t>
  </si>
  <si>
    <t>INE646L01027</t>
  </si>
  <si>
    <t>Transport Services</t>
  </si>
  <si>
    <t>Bharat Forge Ltd.</t>
  </si>
  <si>
    <t>INE465A01025</t>
  </si>
  <si>
    <t>KEI Industries Ltd.</t>
  </si>
  <si>
    <t>INE878B01027</t>
  </si>
  <si>
    <t>Cholamandalam Investment &amp; Finance Company Ltd.</t>
  </si>
  <si>
    <t>INE121A01024</t>
  </si>
  <si>
    <t>Ashok Leyland Ltd.</t>
  </si>
  <si>
    <t>INE208A01029</t>
  </si>
  <si>
    <t>Agricultural, Commercial &amp; Construction Vehicles</t>
  </si>
  <si>
    <t>Titan Company Ltd.</t>
  </si>
  <si>
    <t>INE280A01028</t>
  </si>
  <si>
    <t>Container Corporation Of India Ltd.</t>
  </si>
  <si>
    <t>INE111A01025</t>
  </si>
  <si>
    <t>Sun Pharmaceutical Industries Ltd.</t>
  </si>
  <si>
    <t>INE044A01036</t>
  </si>
  <si>
    <t>Voltas Ltd.</t>
  </si>
  <si>
    <t>INE226A01021</t>
  </si>
  <si>
    <t>Astral Ltd.</t>
  </si>
  <si>
    <t>INE006I01046</t>
  </si>
  <si>
    <t>The Phoenix Mills Ltd.</t>
  </si>
  <si>
    <t>INE211B01039</t>
  </si>
  <si>
    <t>Hexaware Technologies Ltd.</t>
  </si>
  <si>
    <t>INE093A01041</t>
  </si>
  <si>
    <t>Endurance Technologies Ltd.</t>
  </si>
  <si>
    <t>INE913H01037</t>
  </si>
  <si>
    <t>United Spirits Ltd.</t>
  </si>
  <si>
    <t>INE854D01024</t>
  </si>
  <si>
    <t>JSW Dulux Ltd.</t>
  </si>
  <si>
    <t>INE133A01011</t>
  </si>
  <si>
    <t>Schaeffler India Ltd.</t>
  </si>
  <si>
    <t>INE513A01022</t>
  </si>
  <si>
    <t>Jubilant Foodworks Ltd.</t>
  </si>
  <si>
    <t>INE797F01020</t>
  </si>
  <si>
    <t>Leisure Services</t>
  </si>
  <si>
    <t>Sub Total</t>
  </si>
  <si>
    <t>(b) Unlisted</t>
  </si>
  <si>
    <t>NIL</t>
  </si>
  <si>
    <t>TOTAL</t>
  </si>
  <si>
    <t>Preference Shares - (Listed / Awaiting listing on Stock Exchanges)</t>
  </si>
  <si>
    <t>TVS Motor Company Ltd. **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</si>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</sst>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DC924364-9194-407F-A387-7C4A7F2993F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2924175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B03E3B-B44C-4F99-813E-14437BE45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146050</xdr:colOff>
      <xdr:row>3</xdr:row>
      <xdr:rowOff>22225</xdr:rowOff>
    </xdr:from>
    <xdr:to>
      <xdr:col>6</xdr:col>
      <xdr:colOff>917575</xdr:colOff>
      <xdr:row>8</xdr:row>
      <xdr:rowOff>193675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D8E866-BE6E-4116-932C-4D5EDF7D4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9366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819E-B1E9-4A99-99C8-B857A785AE7B}">
  <sheetPr>
    <tabColor rgb="FFC00000"/>
  </sheetPr>
  <dimension ref="B1:M161"/>
  <sheetViews>
    <sheetView showGridLines="0" tabSelected="1" workbookViewId="0">
      <selection activeCell="B3" sqref="B3"/>
    </sheetView>
  </sheetViews>
  <sheetFormatPr defaultColWidth="9.1796875" defaultRowHeight="24" customHeight="1" x14ac:dyDescent="0.25"/>
  <cols>
    <col min="1" max="1" width="3.54296875" style="4" customWidth="1"/>
    <col min="2" max="2" width="50.453125" style="49" customWidth="1"/>
    <col min="3" max="3" width="15.7265625" style="49" customWidth="1"/>
    <col min="4" max="4" width="26.5429687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296002</v>
      </c>
      <c r="F16" s="19">
        <v>3718.97</v>
      </c>
      <c r="G16" s="20">
        <v>4.76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224891</v>
      </c>
      <c r="F17" s="19">
        <v>2971.26</v>
      </c>
      <c r="G17" s="20">
        <v>3.8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18</v>
      </c>
      <c r="E18" s="18">
        <v>376554</v>
      </c>
      <c r="F18" s="19">
        <v>2803.63</v>
      </c>
      <c r="G18" s="20">
        <v>3.59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60158</v>
      </c>
      <c r="F19" s="19">
        <v>2452.34</v>
      </c>
      <c r="G19" s="20">
        <v>3.14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113763</v>
      </c>
      <c r="F20" s="19">
        <v>2080.73</v>
      </c>
      <c r="G20" s="20">
        <v>2.66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10704</v>
      </c>
      <c r="F21" s="19">
        <v>1953.16</v>
      </c>
      <c r="G21" s="20">
        <v>2.5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18</v>
      </c>
      <c r="E22" s="18">
        <v>183574</v>
      </c>
      <c r="F22" s="19">
        <v>1770.39</v>
      </c>
      <c r="G22" s="20">
        <v>2.2599999999999998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76610</v>
      </c>
      <c r="F23" s="19">
        <v>1730.54</v>
      </c>
      <c r="G23" s="20">
        <v>2.21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302895</v>
      </c>
      <c r="F24" s="19">
        <v>1599.29</v>
      </c>
      <c r="G24" s="20">
        <v>2.0499999999999998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174680</v>
      </c>
      <c r="F25" s="19">
        <v>1586.53</v>
      </c>
      <c r="G25" s="20">
        <v>2.0299999999999998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621953</v>
      </c>
      <c r="F26" s="19">
        <v>1558.49</v>
      </c>
      <c r="G26" s="20">
        <v>1.99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42048</v>
      </c>
      <c r="F27" s="19">
        <v>1487.87</v>
      </c>
      <c r="G27" s="20">
        <v>1.9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93402</v>
      </c>
      <c r="F28" s="19">
        <v>1327.71</v>
      </c>
      <c r="G28" s="20">
        <v>1.7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46</v>
      </c>
      <c r="E29" s="18">
        <v>501948</v>
      </c>
      <c r="F29" s="19">
        <v>1316.61</v>
      </c>
      <c r="G29" s="20">
        <v>1.68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25413</v>
      </c>
      <c r="F30" s="19">
        <v>1314.11</v>
      </c>
      <c r="G30" s="20">
        <v>1.68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71795</v>
      </c>
      <c r="F31" s="19">
        <v>1286.71</v>
      </c>
      <c r="G31" s="20">
        <v>1.65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46</v>
      </c>
      <c r="E32" s="18">
        <v>125959</v>
      </c>
      <c r="F32" s="19">
        <v>1253.29</v>
      </c>
      <c r="G32" s="20">
        <v>1.6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29</v>
      </c>
      <c r="E33" s="18">
        <v>81310</v>
      </c>
      <c r="F33" s="19">
        <v>1215.99</v>
      </c>
      <c r="G33" s="20">
        <v>1.56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17640</v>
      </c>
      <c r="F34" s="19">
        <v>1176.06</v>
      </c>
      <c r="G34" s="20">
        <v>1.5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67</v>
      </c>
      <c r="E35" s="18">
        <v>49187</v>
      </c>
      <c r="F35" s="19">
        <v>1168.49</v>
      </c>
      <c r="G35" s="20">
        <v>1.49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49</v>
      </c>
      <c r="E36" s="18">
        <v>39405</v>
      </c>
      <c r="F36" s="19">
        <v>1164.22</v>
      </c>
      <c r="G36" s="20">
        <v>1.49</v>
      </c>
      <c r="H36" s="21"/>
    </row>
    <row r="37" spans="2:8" ht="24" customHeight="1" x14ac:dyDescent="0.25">
      <c r="B37" s="17" t="s">
        <v>72</v>
      </c>
      <c r="C37" s="17" t="s">
        <v>73</v>
      </c>
      <c r="D37" s="17" t="s">
        <v>74</v>
      </c>
      <c r="E37" s="18">
        <v>123974</v>
      </c>
      <c r="F37" s="19">
        <v>1137.4000000000001</v>
      </c>
      <c r="G37" s="20">
        <v>1.45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77</v>
      </c>
      <c r="E38" s="18">
        <v>99713</v>
      </c>
      <c r="F38" s="19">
        <v>1098.54</v>
      </c>
      <c r="G38" s="20">
        <v>1.41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80</v>
      </c>
      <c r="E39" s="18">
        <v>112398</v>
      </c>
      <c r="F39" s="19">
        <v>1084.75</v>
      </c>
      <c r="G39" s="20">
        <v>1.39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257207</v>
      </c>
      <c r="F40" s="19">
        <v>1056.48</v>
      </c>
      <c r="G40" s="20">
        <v>1.35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8925</v>
      </c>
      <c r="F41" s="19">
        <v>1028.52</v>
      </c>
      <c r="G41" s="20">
        <v>1.32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18</v>
      </c>
      <c r="E42" s="18">
        <v>103147</v>
      </c>
      <c r="F42" s="19">
        <v>1015.69</v>
      </c>
      <c r="G42" s="20">
        <v>1.3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91</v>
      </c>
      <c r="E43" s="18">
        <v>7725</v>
      </c>
      <c r="F43" s="19">
        <v>1014.06</v>
      </c>
      <c r="G43" s="20">
        <v>1.3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94</v>
      </c>
      <c r="E44" s="18">
        <v>27778</v>
      </c>
      <c r="F44" s="19">
        <v>985.84</v>
      </c>
      <c r="G44" s="20">
        <v>1.26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67</v>
      </c>
      <c r="E45" s="18">
        <v>33012</v>
      </c>
      <c r="F45" s="19">
        <v>966.89</v>
      </c>
      <c r="G45" s="20">
        <v>1.24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99</v>
      </c>
      <c r="E46" s="18">
        <v>54577</v>
      </c>
      <c r="F46" s="19">
        <v>957.06</v>
      </c>
      <c r="G46" s="20">
        <v>1.22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102</v>
      </c>
      <c r="E47" s="18">
        <v>341254</v>
      </c>
      <c r="F47" s="19">
        <v>939.47</v>
      </c>
      <c r="G47" s="20">
        <v>1.2</v>
      </c>
      <c r="H47" s="21"/>
    </row>
    <row r="48" spans="2:8" ht="24" customHeight="1" x14ac:dyDescent="0.25">
      <c r="B48" s="17" t="s">
        <v>103</v>
      </c>
      <c r="C48" s="17" t="s">
        <v>104</v>
      </c>
      <c r="D48" s="17" t="s">
        <v>43</v>
      </c>
      <c r="E48" s="18">
        <v>213558</v>
      </c>
      <c r="F48" s="19">
        <v>915.31</v>
      </c>
      <c r="G48" s="20">
        <v>1.17</v>
      </c>
      <c r="H48" s="21"/>
    </row>
    <row r="49" spans="2:8" ht="24" customHeight="1" x14ac:dyDescent="0.25">
      <c r="B49" s="17" t="s">
        <v>105</v>
      </c>
      <c r="C49" s="17" t="s">
        <v>106</v>
      </c>
      <c r="D49" s="17" t="s">
        <v>80</v>
      </c>
      <c r="E49" s="18">
        <v>75956</v>
      </c>
      <c r="F49" s="19">
        <v>903.12</v>
      </c>
      <c r="G49" s="20">
        <v>1.1599999999999999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46</v>
      </c>
      <c r="E50" s="18">
        <v>730577</v>
      </c>
      <c r="F50" s="19">
        <v>889.62</v>
      </c>
      <c r="G50" s="20">
        <v>1.1399999999999999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67</v>
      </c>
      <c r="E51" s="18">
        <v>114823</v>
      </c>
      <c r="F51" s="19">
        <v>872.6</v>
      </c>
      <c r="G51" s="20">
        <v>1.1200000000000001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67</v>
      </c>
      <c r="E52" s="18">
        <v>83401</v>
      </c>
      <c r="F52" s="19">
        <v>838.68</v>
      </c>
      <c r="G52" s="20">
        <v>1.07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60</v>
      </c>
      <c r="E53" s="18">
        <v>49389</v>
      </c>
      <c r="F53" s="19">
        <v>826.77</v>
      </c>
      <c r="G53" s="20">
        <v>1.06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77</v>
      </c>
      <c r="E54" s="18">
        <v>25969</v>
      </c>
      <c r="F54" s="19">
        <v>815.79</v>
      </c>
      <c r="G54" s="20">
        <v>1.04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58032</v>
      </c>
      <c r="F55" s="19">
        <v>794.57</v>
      </c>
      <c r="G55" s="20">
        <v>1.02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122</v>
      </c>
      <c r="E56" s="18">
        <v>201799</v>
      </c>
      <c r="F56" s="19">
        <v>780.76</v>
      </c>
      <c r="G56" s="20">
        <v>1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18</v>
      </c>
      <c r="E57" s="18">
        <v>269712</v>
      </c>
      <c r="F57" s="19">
        <v>779.33</v>
      </c>
      <c r="G57" s="20">
        <v>1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127</v>
      </c>
      <c r="E58" s="18">
        <v>45516</v>
      </c>
      <c r="F58" s="19">
        <v>774.91</v>
      </c>
      <c r="G58" s="20">
        <v>0.99</v>
      </c>
      <c r="H58" s="21"/>
    </row>
    <row r="59" spans="2:8" ht="24" customHeight="1" x14ac:dyDescent="0.25">
      <c r="B59" s="17" t="s">
        <v>128</v>
      </c>
      <c r="C59" s="17" t="s">
        <v>129</v>
      </c>
      <c r="D59" s="17" t="s">
        <v>86</v>
      </c>
      <c r="E59" s="18">
        <v>48550</v>
      </c>
      <c r="F59" s="19">
        <v>771.46</v>
      </c>
      <c r="G59" s="20">
        <v>0.99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86</v>
      </c>
      <c r="E60" s="18">
        <v>50029</v>
      </c>
      <c r="F60" s="19">
        <v>762.39</v>
      </c>
      <c r="G60" s="20">
        <v>0.98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32</v>
      </c>
      <c r="E61" s="18">
        <v>27764</v>
      </c>
      <c r="F61" s="19">
        <v>754.01</v>
      </c>
      <c r="G61" s="20">
        <v>0.96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43</v>
      </c>
      <c r="E62" s="18">
        <v>21882</v>
      </c>
      <c r="F62" s="19">
        <v>731.49</v>
      </c>
      <c r="G62" s="20">
        <v>0.94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43</v>
      </c>
      <c r="E63" s="18">
        <v>76536</v>
      </c>
      <c r="F63" s="19">
        <v>724.91</v>
      </c>
      <c r="G63" s="20">
        <v>0.93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91</v>
      </c>
      <c r="E64" s="18">
        <v>23130</v>
      </c>
      <c r="F64" s="19">
        <v>704.45</v>
      </c>
      <c r="G64" s="20">
        <v>0.9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91</v>
      </c>
      <c r="E65" s="18">
        <v>20606</v>
      </c>
      <c r="F65" s="19">
        <v>691.48</v>
      </c>
      <c r="G65" s="20">
        <v>0.88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32</v>
      </c>
      <c r="E66" s="18">
        <v>45548</v>
      </c>
      <c r="F66" s="19">
        <v>675.39</v>
      </c>
      <c r="G66" s="20">
        <v>0.86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21</v>
      </c>
      <c r="E67" s="18">
        <v>220002</v>
      </c>
      <c r="F67" s="19">
        <v>655.83</v>
      </c>
      <c r="G67" s="20">
        <v>0.84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49</v>
      </c>
      <c r="E68" s="18">
        <v>59020</v>
      </c>
      <c r="F68" s="19">
        <v>649.34</v>
      </c>
      <c r="G68" s="20">
        <v>0.83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122</v>
      </c>
      <c r="E69" s="18">
        <v>45706</v>
      </c>
      <c r="F69" s="19">
        <v>649.16</v>
      </c>
      <c r="G69" s="20">
        <v>0.83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46</v>
      </c>
      <c r="E70" s="18">
        <v>118457</v>
      </c>
      <c r="F70" s="19">
        <v>620.54</v>
      </c>
      <c r="G70" s="20">
        <v>0.79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37</v>
      </c>
      <c r="E71" s="18">
        <v>40892</v>
      </c>
      <c r="F71" s="19">
        <v>606.79999999999995</v>
      </c>
      <c r="G71" s="20">
        <v>0.78</v>
      </c>
      <c r="H71" s="21"/>
    </row>
    <row r="72" spans="2:12" ht="24" customHeight="1" x14ac:dyDescent="0.25">
      <c r="B72" s="17" t="s">
        <v>154</v>
      </c>
      <c r="C72" s="17" t="s">
        <v>155</v>
      </c>
      <c r="D72" s="17" t="s">
        <v>37</v>
      </c>
      <c r="E72" s="18">
        <v>26657</v>
      </c>
      <c r="F72" s="19">
        <v>605.49</v>
      </c>
      <c r="G72" s="20">
        <v>0.77</v>
      </c>
      <c r="H72" s="21"/>
    </row>
    <row r="73" spans="2:12" ht="24" customHeight="1" x14ac:dyDescent="0.25">
      <c r="B73" s="17" t="s">
        <v>156</v>
      </c>
      <c r="C73" s="17" t="s">
        <v>157</v>
      </c>
      <c r="D73" s="17" t="s">
        <v>67</v>
      </c>
      <c r="E73" s="18">
        <v>26991</v>
      </c>
      <c r="F73" s="19">
        <v>585</v>
      </c>
      <c r="G73" s="20">
        <v>0.75</v>
      </c>
      <c r="H73" s="21"/>
    </row>
    <row r="74" spans="2:12" ht="24" customHeight="1" x14ac:dyDescent="0.25">
      <c r="B74" s="17" t="s">
        <v>158</v>
      </c>
      <c r="C74" s="17" t="s">
        <v>159</v>
      </c>
      <c r="D74" s="17" t="s">
        <v>127</v>
      </c>
      <c r="E74" s="18">
        <v>51582</v>
      </c>
      <c r="F74" s="19">
        <v>577.1</v>
      </c>
      <c r="G74" s="20">
        <v>0.74</v>
      </c>
      <c r="H74" s="21"/>
    </row>
    <row r="75" spans="2:12" ht="24" customHeight="1" x14ac:dyDescent="0.25">
      <c r="B75" s="17" t="s">
        <v>160</v>
      </c>
      <c r="C75" s="17" t="s">
        <v>161</v>
      </c>
      <c r="D75" s="17" t="s">
        <v>60</v>
      </c>
      <c r="E75" s="18">
        <v>31048</v>
      </c>
      <c r="F75" s="19">
        <v>568.21</v>
      </c>
      <c r="G75" s="20">
        <v>0.73</v>
      </c>
      <c r="H75" s="21"/>
    </row>
    <row r="76" spans="2:12" ht="24" customHeight="1" x14ac:dyDescent="0.25">
      <c r="B76" s="17" t="s">
        <v>162</v>
      </c>
      <c r="C76" s="17" t="s">
        <v>163</v>
      </c>
      <c r="D76" s="17" t="s">
        <v>49</v>
      </c>
      <c r="E76" s="18">
        <v>50338</v>
      </c>
      <c r="F76" s="19">
        <v>555.98</v>
      </c>
      <c r="G76" s="20">
        <v>0.71</v>
      </c>
      <c r="H76" s="21"/>
      <c r="L76" s="28"/>
    </row>
    <row r="77" spans="2:12" ht="24" customHeight="1" x14ac:dyDescent="0.25">
      <c r="B77" s="17" t="s">
        <v>164</v>
      </c>
      <c r="C77" s="17" t="s">
        <v>165</v>
      </c>
      <c r="D77" s="17" t="s">
        <v>166</v>
      </c>
      <c r="E77" s="18">
        <v>12581</v>
      </c>
      <c r="F77" s="19">
        <v>554.19000000000005</v>
      </c>
      <c r="G77" s="20">
        <v>0.71</v>
      </c>
      <c r="H77" s="21"/>
    </row>
    <row r="78" spans="2:12" ht="24" customHeight="1" x14ac:dyDescent="0.25">
      <c r="B78" s="17" t="s">
        <v>167</v>
      </c>
      <c r="C78" s="17" t="s">
        <v>168</v>
      </c>
      <c r="D78" s="17" t="s">
        <v>77</v>
      </c>
      <c r="E78" s="18">
        <v>27860</v>
      </c>
      <c r="F78" s="19">
        <v>545.28</v>
      </c>
      <c r="G78" s="20">
        <v>0.7</v>
      </c>
      <c r="H78" s="21"/>
      <c r="L78" s="28"/>
    </row>
    <row r="79" spans="2:12" ht="24" customHeight="1" x14ac:dyDescent="0.25">
      <c r="B79" s="17" t="s">
        <v>169</v>
      </c>
      <c r="C79" s="17" t="s">
        <v>170</v>
      </c>
      <c r="D79" s="17" t="s">
        <v>94</v>
      </c>
      <c r="E79" s="18">
        <v>10229</v>
      </c>
      <c r="F79" s="19">
        <v>538.80999999999995</v>
      </c>
      <c r="G79" s="20">
        <v>0.69</v>
      </c>
      <c r="H79" s="21"/>
      <c r="L79" s="28"/>
    </row>
    <row r="80" spans="2:12" ht="24" customHeight="1" x14ac:dyDescent="0.25">
      <c r="B80" s="17" t="s">
        <v>171</v>
      </c>
      <c r="C80" s="17" t="s">
        <v>172</v>
      </c>
      <c r="D80" s="17" t="s">
        <v>43</v>
      </c>
      <c r="E80" s="18">
        <v>35022</v>
      </c>
      <c r="F80" s="19">
        <v>538.53</v>
      </c>
      <c r="G80" s="20">
        <v>0.69</v>
      </c>
      <c r="H80" s="21"/>
      <c r="L80" s="28"/>
    </row>
    <row r="81" spans="2:13" ht="24" customHeight="1" x14ac:dyDescent="0.25">
      <c r="B81" s="17" t="s">
        <v>173</v>
      </c>
      <c r="C81" s="17" t="s">
        <v>174</v>
      </c>
      <c r="D81" s="17" t="s">
        <v>175</v>
      </c>
      <c r="E81" s="18">
        <v>333098</v>
      </c>
      <c r="F81" s="19">
        <v>517.77</v>
      </c>
      <c r="G81" s="20">
        <v>0.66</v>
      </c>
      <c r="H81" s="21"/>
      <c r="L81" s="28"/>
    </row>
    <row r="82" spans="2:13" ht="24" customHeight="1" x14ac:dyDescent="0.25">
      <c r="B82" s="17" t="s">
        <v>176</v>
      </c>
      <c r="C82" s="17" t="s">
        <v>177</v>
      </c>
      <c r="D82" s="17" t="s">
        <v>86</v>
      </c>
      <c r="E82" s="18">
        <v>12574</v>
      </c>
      <c r="F82" s="19">
        <v>512.38</v>
      </c>
      <c r="G82" s="20">
        <v>0.66</v>
      </c>
      <c r="H82" s="21"/>
      <c r="L82" s="28"/>
    </row>
    <row r="83" spans="2:13" ht="24" customHeight="1" x14ac:dyDescent="0.25">
      <c r="B83" s="17" t="s">
        <v>178</v>
      </c>
      <c r="C83" s="17" t="s">
        <v>179</v>
      </c>
      <c r="D83" s="17" t="s">
        <v>166</v>
      </c>
      <c r="E83" s="18">
        <v>107796</v>
      </c>
      <c r="F83" s="19">
        <v>499.8</v>
      </c>
      <c r="G83" s="20">
        <v>0.64</v>
      </c>
      <c r="H83" s="21"/>
      <c r="L83" s="29"/>
      <c r="M83" s="29"/>
    </row>
    <row r="84" spans="2:13" ht="24" customHeight="1" x14ac:dyDescent="0.25">
      <c r="B84" s="17" t="s">
        <v>180</v>
      </c>
      <c r="C84" s="17" t="s">
        <v>181</v>
      </c>
      <c r="D84" s="17" t="s">
        <v>67</v>
      </c>
      <c r="E84" s="18">
        <v>27303</v>
      </c>
      <c r="F84" s="19">
        <v>491.24</v>
      </c>
      <c r="G84" s="20">
        <v>0.63</v>
      </c>
      <c r="H84" s="21"/>
    </row>
    <row r="85" spans="2:13" ht="24" customHeight="1" x14ac:dyDescent="0.25">
      <c r="B85" s="17" t="s">
        <v>182</v>
      </c>
      <c r="C85" s="17" t="s">
        <v>183</v>
      </c>
      <c r="D85" s="17" t="s">
        <v>86</v>
      </c>
      <c r="E85" s="18">
        <v>36742</v>
      </c>
      <c r="F85" s="19">
        <v>457.7</v>
      </c>
      <c r="G85" s="20">
        <v>0.59</v>
      </c>
      <c r="H85" s="21"/>
    </row>
    <row r="86" spans="2:13" ht="24" customHeight="1" x14ac:dyDescent="0.25">
      <c r="B86" s="17" t="s">
        <v>184</v>
      </c>
      <c r="C86" s="17" t="s">
        <v>185</v>
      </c>
      <c r="D86" s="17" t="s">
        <v>94</v>
      </c>
      <c r="E86" s="18">
        <v>28531</v>
      </c>
      <c r="F86" s="19">
        <v>450.28</v>
      </c>
      <c r="G86" s="20">
        <v>0.57999999999999996</v>
      </c>
      <c r="H86" s="21"/>
      <c r="L86" s="30"/>
      <c r="M86" s="30"/>
    </row>
    <row r="87" spans="2:13" ht="24" customHeight="1" x14ac:dyDescent="0.25">
      <c r="B87" s="17" t="s">
        <v>186</v>
      </c>
      <c r="C87" s="17" t="s">
        <v>187</v>
      </c>
      <c r="D87" s="17" t="s">
        <v>119</v>
      </c>
      <c r="E87" s="18">
        <v>25306</v>
      </c>
      <c r="F87" s="19">
        <v>448.22</v>
      </c>
      <c r="G87" s="20">
        <v>0.56999999999999995</v>
      </c>
      <c r="H87" s="21"/>
      <c r="L87" s="30"/>
      <c r="M87" s="30"/>
    </row>
    <row r="88" spans="2:13" ht="24" customHeight="1" x14ac:dyDescent="0.25">
      <c r="B88" s="17" t="s">
        <v>188</v>
      </c>
      <c r="C88" s="17" t="s">
        <v>189</v>
      </c>
      <c r="D88" s="17" t="s">
        <v>37</v>
      </c>
      <c r="E88" s="18">
        <v>85713</v>
      </c>
      <c r="F88" s="19">
        <v>435.42</v>
      </c>
      <c r="G88" s="20">
        <v>0.56000000000000005</v>
      </c>
      <c r="H88" s="21"/>
      <c r="L88" s="30"/>
      <c r="M88" s="30"/>
    </row>
    <row r="89" spans="2:13" ht="24" customHeight="1" x14ac:dyDescent="0.25">
      <c r="B89" s="17" t="s">
        <v>190</v>
      </c>
      <c r="C89" s="17" t="s">
        <v>191</v>
      </c>
      <c r="D89" s="17" t="s">
        <v>77</v>
      </c>
      <c r="E89" s="18">
        <v>15540</v>
      </c>
      <c r="F89" s="19">
        <v>423.09</v>
      </c>
      <c r="G89" s="20">
        <v>0.54</v>
      </c>
      <c r="H89" s="21"/>
      <c r="L89" s="30"/>
      <c r="M89" s="30"/>
    </row>
    <row r="90" spans="2:13" ht="24" customHeight="1" x14ac:dyDescent="0.25">
      <c r="B90" s="17" t="s">
        <v>192</v>
      </c>
      <c r="C90" s="17" t="s">
        <v>193</v>
      </c>
      <c r="D90" s="17" t="s">
        <v>40</v>
      </c>
      <c r="E90" s="18">
        <v>30897</v>
      </c>
      <c r="F90" s="19">
        <v>392.39</v>
      </c>
      <c r="G90" s="20">
        <v>0.5</v>
      </c>
      <c r="H90" s="21"/>
      <c r="L90" s="30"/>
      <c r="M90" s="30"/>
    </row>
    <row r="91" spans="2:13" ht="24" customHeight="1" x14ac:dyDescent="0.25">
      <c r="B91" s="17" t="s">
        <v>194</v>
      </c>
      <c r="C91" s="17" t="s">
        <v>195</v>
      </c>
      <c r="D91" s="17" t="s">
        <v>86</v>
      </c>
      <c r="E91" s="18">
        <v>10344</v>
      </c>
      <c r="F91" s="19">
        <v>326.02</v>
      </c>
      <c r="G91" s="20">
        <v>0.42</v>
      </c>
      <c r="H91" s="21"/>
      <c r="L91" s="30"/>
      <c r="M91" s="30"/>
    </row>
    <row r="92" spans="2:13" ht="24" customHeight="1" x14ac:dyDescent="0.25">
      <c r="B92" s="17" t="s">
        <v>196</v>
      </c>
      <c r="C92" s="17" t="s">
        <v>197</v>
      </c>
      <c r="D92" s="17" t="s">
        <v>77</v>
      </c>
      <c r="E92" s="18">
        <v>7853</v>
      </c>
      <c r="F92" s="19">
        <v>324.23</v>
      </c>
      <c r="G92" s="20">
        <v>0.41</v>
      </c>
      <c r="H92" s="21"/>
      <c r="L92" s="30"/>
      <c r="M92" s="30"/>
    </row>
    <row r="93" spans="2:13" ht="24" customHeight="1" x14ac:dyDescent="0.25">
      <c r="B93" s="17" t="s">
        <v>198</v>
      </c>
      <c r="C93" s="17" t="s">
        <v>199</v>
      </c>
      <c r="D93" s="17" t="s">
        <v>200</v>
      </c>
      <c r="E93" s="18">
        <v>63303</v>
      </c>
      <c r="F93" s="19">
        <v>270.62</v>
      </c>
      <c r="G93" s="20">
        <v>0.35</v>
      </c>
      <c r="H93" s="21"/>
    </row>
    <row r="94" spans="2:13" ht="24" customHeight="1" x14ac:dyDescent="0.25">
      <c r="B94" s="31" t="s">
        <v>201</v>
      </c>
      <c r="C94" s="31"/>
      <c r="D94" s="31"/>
      <c r="E94" s="32"/>
      <c r="F94" s="33">
        <f>SUM(F16:F93)</f>
        <v>77027.550000000017</v>
      </c>
      <c r="G94" s="33">
        <f>SUM(G16:G93)</f>
        <v>98.559999999999974</v>
      </c>
      <c r="H94" s="34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22" t="s">
        <v>202</v>
      </c>
      <c r="C96" s="23"/>
      <c r="D96" s="23"/>
      <c r="E96" s="24"/>
      <c r="F96" s="25"/>
      <c r="G96" s="26"/>
      <c r="H96" s="27"/>
    </row>
    <row r="97" spans="2:8" ht="24" customHeight="1" x14ac:dyDescent="0.25">
      <c r="B97" s="17"/>
      <c r="C97" s="17"/>
      <c r="D97" s="17"/>
      <c r="E97" s="18"/>
      <c r="F97" s="20">
        <v>0</v>
      </c>
      <c r="G97" s="20">
        <v>0</v>
      </c>
      <c r="H97" s="21"/>
    </row>
    <row r="98" spans="2:8" ht="24" customHeight="1" x14ac:dyDescent="0.25">
      <c r="B98" s="31" t="s">
        <v>201</v>
      </c>
      <c r="C98" s="17"/>
      <c r="D98" s="17"/>
      <c r="E98" s="18"/>
      <c r="F98" s="35" t="s">
        <v>203</v>
      </c>
      <c r="G98" s="35" t="s">
        <v>203</v>
      </c>
      <c r="H98" s="21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36" t="s">
        <v>204</v>
      </c>
      <c r="C100" s="37"/>
      <c r="D100" s="37"/>
      <c r="E100" s="38"/>
      <c r="F100" s="33">
        <f>F94</f>
        <v>77027.550000000017</v>
      </c>
      <c r="G100" s="33">
        <f>G94</f>
        <v>98.559999999999974</v>
      </c>
      <c r="H100" s="34"/>
    </row>
    <row r="101" spans="2:8" ht="24" customHeight="1" x14ac:dyDescent="0.25">
      <c r="B101" s="39"/>
      <c r="C101" s="40"/>
      <c r="D101" s="40"/>
      <c r="E101" s="41"/>
      <c r="F101" s="42"/>
      <c r="G101" s="43"/>
      <c r="H101" s="34"/>
    </row>
    <row r="102" spans="2:8" ht="24" customHeight="1" x14ac:dyDescent="0.25">
      <c r="B102" s="22" t="s">
        <v>205</v>
      </c>
      <c r="C102" s="23"/>
      <c r="D102" s="23"/>
      <c r="E102" s="44"/>
      <c r="F102" s="25"/>
      <c r="G102" s="26"/>
      <c r="H102" s="27"/>
    </row>
    <row r="103" spans="2:8" ht="24" customHeight="1" x14ac:dyDescent="0.25">
      <c r="B103" s="17" t="s">
        <v>206</v>
      </c>
      <c r="C103" s="17" t="s">
        <v>207</v>
      </c>
      <c r="D103" s="17" t="s">
        <v>91</v>
      </c>
      <c r="E103" s="18">
        <v>82424</v>
      </c>
      <c r="F103" s="19">
        <v>8.5299999999999994</v>
      </c>
      <c r="G103" s="20">
        <v>0.01</v>
      </c>
      <c r="H103" s="21"/>
    </row>
    <row r="104" spans="2:8" ht="24" customHeight="1" x14ac:dyDescent="0.25">
      <c r="B104" s="31" t="s">
        <v>201</v>
      </c>
      <c r="C104" s="31"/>
      <c r="D104" s="31"/>
      <c r="E104" s="32"/>
      <c r="F104" s="33">
        <f>F103</f>
        <v>8.5299999999999994</v>
      </c>
      <c r="G104" s="33">
        <f>G103</f>
        <v>0.01</v>
      </c>
      <c r="H104" s="34"/>
    </row>
    <row r="105" spans="2:8" ht="24" customHeight="1" x14ac:dyDescent="0.25">
      <c r="B105" s="45"/>
      <c r="C105" s="45"/>
      <c r="D105" s="45"/>
      <c r="E105" s="41"/>
      <c r="F105" s="42"/>
      <c r="G105" s="43"/>
      <c r="H105" s="34"/>
    </row>
    <row r="106" spans="2:8" ht="24" customHeight="1" x14ac:dyDescent="0.25">
      <c r="B106" s="36" t="s">
        <v>204</v>
      </c>
      <c r="C106" s="37"/>
      <c r="D106" s="37"/>
      <c r="E106" s="38"/>
      <c r="F106" s="33">
        <f>F104</f>
        <v>8.5299999999999994</v>
      </c>
      <c r="G106" s="33">
        <f>G104</f>
        <v>0.01</v>
      </c>
      <c r="H106" s="34"/>
    </row>
    <row r="107" spans="2:8" ht="24" customHeight="1" x14ac:dyDescent="0.25">
      <c r="B107" s="39"/>
      <c r="C107" s="40"/>
      <c r="D107" s="40"/>
      <c r="E107" s="41"/>
      <c r="F107" s="42"/>
      <c r="G107" s="43"/>
      <c r="H107" s="34"/>
    </row>
    <row r="108" spans="2:8" ht="24" customHeight="1" x14ac:dyDescent="0.25">
      <c r="B108" s="11" t="s">
        <v>208</v>
      </c>
      <c r="C108" s="12"/>
      <c r="D108" s="12"/>
      <c r="E108" s="13"/>
      <c r="F108" s="14"/>
      <c r="G108" s="15"/>
      <c r="H108" s="16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22" t="s">
        <v>209</v>
      </c>
      <c r="C110" s="23"/>
      <c r="D110" s="23"/>
      <c r="E110" s="24"/>
      <c r="F110" s="25"/>
      <c r="G110" s="26"/>
      <c r="H110" s="27"/>
    </row>
    <row r="111" spans="2:8" ht="24" customHeight="1" x14ac:dyDescent="0.25">
      <c r="B111" s="17" t="s">
        <v>210</v>
      </c>
      <c r="C111" s="17" t="s">
        <v>211</v>
      </c>
      <c r="D111" s="17" t="s">
        <v>212</v>
      </c>
      <c r="E111" s="18">
        <v>150000</v>
      </c>
      <c r="F111" s="19">
        <v>146.55000000000001</v>
      </c>
      <c r="G111" s="20">
        <v>0.19</v>
      </c>
      <c r="H111" s="21">
        <v>5.7344999999999997</v>
      </c>
    </row>
    <row r="112" spans="2:8" ht="24" customHeight="1" x14ac:dyDescent="0.25">
      <c r="B112" s="31" t="s">
        <v>201</v>
      </c>
      <c r="C112" s="31"/>
      <c r="D112" s="31"/>
      <c r="E112" s="32"/>
      <c r="F112" s="33">
        <v>146.55000000000001</v>
      </c>
      <c r="G112" s="46">
        <v>0.19</v>
      </c>
      <c r="H112" s="34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36" t="s">
        <v>204</v>
      </c>
      <c r="C114" s="37"/>
      <c r="D114" s="37"/>
      <c r="E114" s="38"/>
      <c r="F114" s="33">
        <v>146.55000000000001</v>
      </c>
      <c r="G114" s="46">
        <v>0.19</v>
      </c>
      <c r="H114" s="34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11" t="s">
        <v>213</v>
      </c>
      <c r="C116" s="12"/>
      <c r="D116" s="12"/>
      <c r="E116" s="13"/>
      <c r="F116" s="14"/>
      <c r="G116" s="15"/>
      <c r="H116" s="16"/>
    </row>
    <row r="117" spans="2:8" ht="24" customHeight="1" x14ac:dyDescent="0.25">
      <c r="B117" s="17" t="s">
        <v>214</v>
      </c>
      <c r="C117" s="17"/>
      <c r="D117" s="17"/>
      <c r="E117" s="18"/>
      <c r="F117" s="19">
        <v>890.7</v>
      </c>
      <c r="G117" s="20">
        <v>1.1399999999999999</v>
      </c>
      <c r="H117" s="21"/>
    </row>
    <row r="118" spans="2:8" ht="24" customHeight="1" x14ac:dyDescent="0.25">
      <c r="B118" s="17" t="s">
        <v>214</v>
      </c>
      <c r="C118" s="17"/>
      <c r="D118" s="17"/>
      <c r="E118" s="18"/>
      <c r="F118" s="19">
        <v>515.72</v>
      </c>
      <c r="G118" s="20">
        <v>0.66</v>
      </c>
      <c r="H118" s="21"/>
    </row>
    <row r="119" spans="2:8" ht="24" customHeight="1" x14ac:dyDescent="0.25">
      <c r="B119" s="31" t="s">
        <v>201</v>
      </c>
      <c r="C119" s="31"/>
      <c r="D119" s="31"/>
      <c r="E119" s="32"/>
      <c r="F119" s="33">
        <v>1406.42</v>
      </c>
      <c r="G119" s="46">
        <v>1.8</v>
      </c>
      <c r="H119" s="34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36" t="s">
        <v>204</v>
      </c>
      <c r="C121" s="37"/>
      <c r="D121" s="37"/>
      <c r="E121" s="38"/>
      <c r="F121" s="33">
        <v>1406.42</v>
      </c>
      <c r="G121" s="46">
        <v>1.8</v>
      </c>
      <c r="H121" s="34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17" t="s">
        <v>215</v>
      </c>
      <c r="C123" s="17"/>
      <c r="D123" s="17"/>
      <c r="E123" s="18"/>
      <c r="F123" s="47">
        <v>-403.05</v>
      </c>
      <c r="G123" s="20">
        <v>-0.56000000000000005</v>
      </c>
      <c r="H123" s="21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36" t="s">
        <v>216</v>
      </c>
      <c r="C125" s="37"/>
      <c r="D125" s="37"/>
      <c r="E125" s="38"/>
      <c r="F125" s="33">
        <v>78186</v>
      </c>
      <c r="G125" s="46">
        <v>100</v>
      </c>
      <c r="H125" s="48"/>
    </row>
    <row r="126" spans="2:8" ht="24" customHeight="1" x14ac:dyDescent="0.25">
      <c r="B126" s="4"/>
    </row>
    <row r="127" spans="2:8" ht="24" customHeight="1" x14ac:dyDescent="0.25">
      <c r="B127" s="51" t="s">
        <v>217</v>
      </c>
      <c r="F127" s="52"/>
      <c r="G127" s="52"/>
    </row>
    <row r="128" spans="2:8" ht="24" customHeight="1" x14ac:dyDescent="0.25">
      <c r="F128" s="52"/>
      <c r="G128" s="52"/>
    </row>
    <row r="134" spans="2:8" ht="24" customHeight="1" x14ac:dyDescent="0.25">
      <c r="B134" s="40" t="s">
        <v>218</v>
      </c>
    </row>
    <row r="135" spans="2:8" ht="24" customHeight="1" x14ac:dyDescent="0.25">
      <c r="B135" s="49" t="s">
        <v>219</v>
      </c>
    </row>
    <row r="136" spans="2:8" ht="24" customHeight="1" x14ac:dyDescent="0.25">
      <c r="B136" s="53" t="s">
        <v>220</v>
      </c>
      <c r="C136" s="54">
        <v>46142</v>
      </c>
      <c r="D136" s="55">
        <v>46171</v>
      </c>
    </row>
    <row r="137" spans="2:8" ht="24" customHeight="1" x14ac:dyDescent="0.25">
      <c r="B137" s="56" t="s">
        <v>221</v>
      </c>
      <c r="C137" s="57" t="s">
        <v>222</v>
      </c>
      <c r="D137" s="58" t="s">
        <v>222</v>
      </c>
      <c r="E137" s="4"/>
      <c r="F137" s="4"/>
      <c r="G137" s="4"/>
      <c r="H137" s="4"/>
    </row>
    <row r="138" spans="2:8" ht="24" customHeight="1" x14ac:dyDescent="0.25">
      <c r="B138" s="59" t="s">
        <v>223</v>
      </c>
      <c r="C138" s="60">
        <v>12.45</v>
      </c>
      <c r="D138" s="61">
        <v>12.41</v>
      </c>
      <c r="E138" s="4"/>
      <c r="F138" s="4"/>
      <c r="G138" s="4"/>
      <c r="H138" s="4"/>
    </row>
    <row r="139" spans="2:8" ht="24" customHeight="1" x14ac:dyDescent="0.25">
      <c r="B139" s="59" t="s">
        <v>224</v>
      </c>
      <c r="C139" s="60">
        <v>11.3</v>
      </c>
      <c r="D139" s="61">
        <v>11.26</v>
      </c>
      <c r="E139" s="4"/>
      <c r="F139" s="4"/>
      <c r="G139" s="4"/>
      <c r="H139" s="4"/>
    </row>
    <row r="140" spans="2:8" ht="24" customHeight="1" x14ac:dyDescent="0.25">
      <c r="B140" s="56" t="s">
        <v>225</v>
      </c>
      <c r="C140" s="57"/>
      <c r="D140" s="58"/>
      <c r="E140" s="4"/>
      <c r="F140" s="4"/>
      <c r="G140" s="4"/>
      <c r="H140" s="4"/>
    </row>
    <row r="141" spans="2:8" ht="24" customHeight="1" x14ac:dyDescent="0.25">
      <c r="B141" s="59" t="s">
        <v>224</v>
      </c>
      <c r="C141" s="60">
        <v>11.11</v>
      </c>
      <c r="D141" s="61">
        <v>11.06</v>
      </c>
      <c r="E141" s="4"/>
      <c r="F141" s="4"/>
      <c r="G141" s="4"/>
      <c r="H141" s="4"/>
    </row>
    <row r="142" spans="2:8" ht="24" customHeight="1" x14ac:dyDescent="0.25">
      <c r="B142" s="62" t="s">
        <v>223</v>
      </c>
      <c r="C142" s="63">
        <v>11.98</v>
      </c>
      <c r="D142" s="64">
        <v>11.93</v>
      </c>
      <c r="E142" s="4"/>
      <c r="F142" s="4"/>
      <c r="G142" s="4"/>
      <c r="H142" s="4"/>
    </row>
    <row r="143" spans="2:8" ht="24" customHeight="1" x14ac:dyDescent="0.25">
      <c r="C143" s="65"/>
      <c r="D143" s="65"/>
      <c r="E143" s="4"/>
      <c r="F143" s="4"/>
      <c r="G143" s="4"/>
      <c r="H143" s="4"/>
    </row>
    <row r="144" spans="2:8" ht="24" customHeight="1" x14ac:dyDescent="0.25">
      <c r="B144" s="49" t="s">
        <v>226</v>
      </c>
      <c r="D144" s="29" t="s">
        <v>203</v>
      </c>
    </row>
    <row r="146" spans="2:4" ht="24" customHeight="1" x14ac:dyDescent="0.25">
      <c r="B146" s="49" t="s">
        <v>227</v>
      </c>
      <c r="D146" s="29" t="s">
        <v>203</v>
      </c>
    </row>
    <row r="148" spans="2:4" ht="24" customHeight="1" x14ac:dyDescent="0.25">
      <c r="B148" s="49" t="s">
        <v>228</v>
      </c>
      <c r="D148" s="29" t="s">
        <v>203</v>
      </c>
    </row>
    <row r="150" spans="2:4" ht="24" customHeight="1" x14ac:dyDescent="0.25">
      <c r="B150" s="49" t="s">
        <v>229</v>
      </c>
      <c r="D150" s="29" t="s">
        <v>203</v>
      </c>
    </row>
    <row r="152" spans="2:4" ht="24" customHeight="1" x14ac:dyDescent="0.25">
      <c r="B152" s="49" t="s">
        <v>230</v>
      </c>
      <c r="D152" s="29">
        <v>0.25</v>
      </c>
    </row>
    <row r="154" spans="2:4" ht="24" customHeight="1" x14ac:dyDescent="0.25">
      <c r="B154" s="49" t="s">
        <v>231</v>
      </c>
      <c r="D154" s="29" t="s">
        <v>203</v>
      </c>
    </row>
    <row r="156" spans="2:4" ht="24" customHeight="1" x14ac:dyDescent="0.25">
      <c r="B156" s="49" t="s">
        <v>232</v>
      </c>
      <c r="D156" s="29" t="s">
        <v>203</v>
      </c>
    </row>
    <row r="157" spans="2:4" ht="24" customHeight="1" x14ac:dyDescent="0.25">
      <c r="B157" s="49" t="s">
        <v>233</v>
      </c>
      <c r="D157" s="29" t="s">
        <v>203</v>
      </c>
    </row>
    <row r="159" spans="2:4" ht="24" customHeight="1" x14ac:dyDescent="0.25">
      <c r="B159" s="66" t="s">
        <v>234</v>
      </c>
      <c r="D159" s="29" t="s">
        <v>203</v>
      </c>
    </row>
    <row r="161" spans="2:4" ht="24" customHeight="1" x14ac:dyDescent="0.25">
      <c r="B161" s="49" t="s">
        <v>235</v>
      </c>
      <c r="D161" s="29" t="s">
        <v>203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Mid</vt:lpstr>
      <vt:lpstr>'Large Mid'!Hedging_Positions_through_Futures_AS_ON_MMMM_DD__YYYY___NIL</vt:lpstr>
      <vt:lpstr>'Large Mid'!JPM_Footer_disp</vt:lpstr>
      <vt:lpstr>'Large Mid'!JPM_Footer_disp12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2026-06-08T10:02:49Z</dcterms:modified>
</cp:coreProperties>
</file>