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99A1A0CC-4CC4-4026-9D33-250226A87F81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Large Cap" sheetId="2" r:id="rId1"/>
  </sheets>
  <externalReferences>
    <externalReference r:id="rId2"/>
  </externalReferences>
  <definedNames>
    <definedName name="_xlnm._FilterDatabase" localSheetId="0" hidden="1">'Large Cap'!$B$115:$D$120</definedName>
    <definedName name="Derivatives_Transactions" localSheetId="0">'Large Cap'!#REF!</definedName>
    <definedName name="Derivatives_Transactions">[1]Arbitrage!#REF!</definedName>
    <definedName name="Hedging_Positions_through_Futures_AS_ON_MMMM_DD__YYYY___NIL" localSheetId="0">'Large Cap'!$L$75:$M$96</definedName>
    <definedName name="JPM_Footer_disp" localSheetId="0">'Large Cap'!$L$87:$M$96</definedName>
    <definedName name="JPM_Footer_disp12" localSheetId="0">'Large Cap'!$L$75:$M$98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2" l="1"/>
  <c r="G84" i="2" s="1"/>
  <c r="F82" i="2"/>
  <c r="F84" i="2" s="1"/>
  <c r="G72" i="2"/>
  <c r="G78" i="2" s="1"/>
  <c r="F72" i="2"/>
  <c r="F78" i="2" s="1"/>
</calcChain>
</file>

<file path=xl/sharedStrings.xml><?xml version="1.0" encoding="utf-8"?>
<sst xmlns="http://schemas.openxmlformats.org/spreadsheetml/2006/main" count="241" uniqueCount="193">
  <si>
    <t>PGIM INDIA LARGE CAP FUND</t>
  </si>
  <si>
    <t>(An Open Ended Equity Scheme Predominantly Investing In Large Cap Stocks)</t>
  </si>
  <si>
    <t xml:space="preserve">Riskometer of the Scheme </t>
  </si>
  <si>
    <t xml:space="preserve">Riskometer of the Benchmark (NIFTY 100 TRI)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</si>
  <si>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</si>
  <si>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</si>
  <si>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</si>
  <si>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</si>
  <si>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</si>
  <si>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</si>
  <si>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</si>
  <si>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</si>
  <si>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</si>
  <si>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</si>
  <si>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</si>
  <si>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</si>
  <si>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</si>
  <si>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</si>
  <si>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</si>
  <si>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</si>
  <si>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</si>
  <si>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</si>
  <si>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</si>
  <si>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</si>
  <si>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</si>
  <si>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</si>
  <si>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</si>
  <si>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State Bank of India</t>
  </si>
  <si>
    <t>INE062A01020</t>
  </si>
  <si>
    <t>Bharti Airtel Ltd.</t>
  </si>
  <si>
    <t>INE397D01024</t>
  </si>
  <si>
    <t>Telecom - Services</t>
  </si>
  <si>
    <t>Kotak Mahindra Bank Ltd.</t>
  </si>
  <si>
    <t>INE237A01036</t>
  </si>
  <si>
    <t>Bajaj Finance Ltd.</t>
  </si>
  <si>
    <t>INE296A01032</t>
  </si>
  <si>
    <t>Finance</t>
  </si>
  <si>
    <t>Eternal Ltd.</t>
  </si>
  <si>
    <t>INE758T01015</t>
  </si>
  <si>
    <t>Retailing</t>
  </si>
  <si>
    <t>Titan Company Ltd.</t>
  </si>
  <si>
    <t>INE280A01028</t>
  </si>
  <si>
    <t>Consumer Durables</t>
  </si>
  <si>
    <t>NTPC Ltd.</t>
  </si>
  <si>
    <t>INE733E01010</t>
  </si>
  <si>
    <t>Power</t>
  </si>
  <si>
    <t>VARUN BEVERAGES LIMITED</t>
  </si>
  <si>
    <t>INE200M01039</t>
  </si>
  <si>
    <t>Beverages</t>
  </si>
  <si>
    <t>Divi's Laboratories Ltd.</t>
  </si>
  <si>
    <t>INE361B01024</t>
  </si>
  <si>
    <t>Pharmaceuticals &amp; Biotechnology</t>
  </si>
  <si>
    <t>Ultratech Cement Ltd.</t>
  </si>
  <si>
    <t>INE481G01011</t>
  </si>
  <si>
    <t>Cement &amp; Cement Products</t>
  </si>
  <si>
    <t>Tech Mahindra Ltd.</t>
  </si>
  <si>
    <t>INE669C01036</t>
  </si>
  <si>
    <t>IT - Software</t>
  </si>
  <si>
    <t>TVS Motor Company Ltd.</t>
  </si>
  <si>
    <t>INE494B01023</t>
  </si>
  <si>
    <t>Automobiles</t>
  </si>
  <si>
    <t>Axis Bank Ltd.</t>
  </si>
  <si>
    <t>INE238A01034</t>
  </si>
  <si>
    <t>Tata Consultancy Services Ltd.</t>
  </si>
  <si>
    <t>INE467B01029</t>
  </si>
  <si>
    <t>CG Power and Industrial Solutions Ltd.</t>
  </si>
  <si>
    <t>INE067A01029</t>
  </si>
  <si>
    <t>Electrical Equipment</t>
  </si>
  <si>
    <t>Mankind Pharma Ltd.</t>
  </si>
  <si>
    <t>INE634S01028</t>
  </si>
  <si>
    <t>Infosys Ltd.</t>
  </si>
  <si>
    <t>INE009A01021</t>
  </si>
  <si>
    <t>Mahindra &amp; Mahindra Ltd.</t>
  </si>
  <si>
    <t>INE101A01026</t>
  </si>
  <si>
    <t>JSW Steel Ltd.</t>
  </si>
  <si>
    <t>INE019A01038</t>
  </si>
  <si>
    <t>Ferrous Metals</t>
  </si>
  <si>
    <t>Eicher Motors Ltd.</t>
  </si>
  <si>
    <t>INE066A01021</t>
  </si>
  <si>
    <t>PB Fintech Ltd.</t>
  </si>
  <si>
    <t>INE417T01026</t>
  </si>
  <si>
    <t>Financial Technology (Fintech)</t>
  </si>
  <si>
    <t>ICICI Prudential Asset Mgmt Co Ltd.</t>
  </si>
  <si>
    <t>INE346A01027</t>
  </si>
  <si>
    <t>Capital Markets</t>
  </si>
  <si>
    <t>Power Finance Corporation Ltd.</t>
  </si>
  <si>
    <t>INE134E01011</t>
  </si>
  <si>
    <t>Samvardhana Motherson International Ltd.</t>
  </si>
  <si>
    <t>INE775A01035</t>
  </si>
  <si>
    <t>Auto Components</t>
  </si>
  <si>
    <t>Vishal Mega Mart Ltd</t>
  </si>
  <si>
    <t>INE01EA01019</t>
  </si>
  <si>
    <t>Sun Pharmaceutical Industries Ltd.</t>
  </si>
  <si>
    <t>INE044A01036</t>
  </si>
  <si>
    <t>Cummins India Ltd.</t>
  </si>
  <si>
    <t>INE298A01020</t>
  </si>
  <si>
    <t>Industrial Products</t>
  </si>
  <si>
    <t>Max Healthcare Institute Ltd.</t>
  </si>
  <si>
    <t>INE027H01010</t>
  </si>
  <si>
    <t>Healthcare Services</t>
  </si>
  <si>
    <t>Asian Paints Ltd.</t>
  </si>
  <si>
    <t>INE021A01026</t>
  </si>
  <si>
    <t>Hindalco Industries Ltd.</t>
  </si>
  <si>
    <t>INE038A01020</t>
  </si>
  <si>
    <t>Non - Ferrous Metals</t>
  </si>
  <si>
    <t>Solar Industries India Ltd.</t>
  </si>
  <si>
    <t>INE343H01029</t>
  </si>
  <si>
    <t>Chemicals &amp; Petrochemicals</t>
  </si>
  <si>
    <t>Marico Ltd.</t>
  </si>
  <si>
    <t>INE196A01026</t>
  </si>
  <si>
    <t>Agricultural Food &amp; other Products</t>
  </si>
  <si>
    <t>ICICI Lombard General Insurance Co. Ltd.</t>
  </si>
  <si>
    <t>INE765G01017</t>
  </si>
  <si>
    <t>Insurance</t>
  </si>
  <si>
    <t>Maruti Suzuki India Ltd.</t>
  </si>
  <si>
    <t>INE585B01010</t>
  </si>
  <si>
    <t>Prestige Estates Projects Ltd.</t>
  </si>
  <si>
    <t>INE811K01011</t>
  </si>
  <si>
    <t>Realty</t>
  </si>
  <si>
    <t>Torrent Pharmaceuticals Ltd.</t>
  </si>
  <si>
    <t>INE685A01028</t>
  </si>
  <si>
    <t>LG Electronics India Ltd.</t>
  </si>
  <si>
    <t>INE324D01010</t>
  </si>
  <si>
    <t>Ashok Leyland Ltd.</t>
  </si>
  <si>
    <t>INE208A01029</t>
  </si>
  <si>
    <t>Agricultural, Commercial &amp; Construction Vehicles</t>
  </si>
  <si>
    <t>Dixon Technologies (India) Ltd.</t>
  </si>
  <si>
    <t>INE935N01020</t>
  </si>
  <si>
    <t>Muthoot Finance Ltd.</t>
  </si>
  <si>
    <t>INE414G01012</t>
  </si>
  <si>
    <t>Tata Capital Ltd.</t>
  </si>
  <si>
    <t>INE976I01016</t>
  </si>
  <si>
    <t>United Spirits Ltd.</t>
  </si>
  <si>
    <t>INE854D01024</t>
  </si>
  <si>
    <t>Bharat Electronics Ltd.</t>
  </si>
  <si>
    <t>INE263A01024</t>
  </si>
  <si>
    <t>Aerospace &amp; Defense</t>
  </si>
  <si>
    <t>Shriram Finance Ltd.</t>
  </si>
  <si>
    <t>INE721A01047</t>
  </si>
  <si>
    <t>ITC Ltd.</t>
  </si>
  <si>
    <t>INE154A01025</t>
  </si>
  <si>
    <t>Diversified FMCG</t>
  </si>
  <si>
    <t>Britannia Industries Ltd.</t>
  </si>
  <si>
    <t>INE216A01030</t>
  </si>
  <si>
    <t>Food Products</t>
  </si>
  <si>
    <t>GE Vernova T&amp;D India Limited</t>
  </si>
  <si>
    <t>INE200A01026</t>
  </si>
  <si>
    <t>HDFC Life Insurance Company Ltd.</t>
  </si>
  <si>
    <t>INE795G01014</t>
  </si>
  <si>
    <t>Persistent Systems Ltd.</t>
  </si>
  <si>
    <t>INE262H01021</t>
  </si>
  <si>
    <t>Cholamandalam Investment &amp; Finance Company Ltd.</t>
  </si>
  <si>
    <t>INE121A01024</t>
  </si>
  <si>
    <t>Tata Steel Ltd.</t>
  </si>
  <si>
    <t>INE081A01020</t>
  </si>
  <si>
    <t>InterGlobe Aviation Ltd.</t>
  </si>
  <si>
    <t>INE646L01027</t>
  </si>
  <si>
    <t>Transport Services</t>
  </si>
  <si>
    <t>Sub Total</t>
  </si>
  <si>
    <t>(b) Unlisted</t>
  </si>
  <si>
    <t>NIL</t>
  </si>
  <si>
    <t>TOTAL</t>
  </si>
  <si>
    <t>Preference Shares - (Listed / Awaiting listing on Stock Exchanges)</t>
  </si>
  <si>
    <t>TVS Motor Company Ltd. **</t>
  </si>
  <si>
    <t>INE494B04019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</si>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</sst>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0" fontId="2" fillId="0" borderId="0" xfId="0" applyFont="1"/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3" fontId="2" fillId="0" borderId="3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E54B31B5-C0AC-4E97-994F-6620655BAD4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3</xdr:row>
      <xdr:rowOff>19050</xdr:rowOff>
    </xdr:from>
    <xdr:ext cx="2838450" cy="1695450"/>
    <xdr:pic>
      <xdr:nvPicPr>
        <xdr:cNvPr id="2" name="Picture 1">
          <a:extLst>
            <a:ext uri="{FF2B5EF4-FFF2-40B4-BE49-F238E27FC236}">
              <a16:creationId xmlns:a16="http://schemas.microsoft.com/office/drawing/2014/main" id="{A639A299-818A-48D8-B370-6364338F4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247650</xdr:colOff>
      <xdr:row>2</xdr:row>
      <xdr:rowOff>276225</xdr:rowOff>
    </xdr:from>
    <xdr:ext cx="2940050" cy="1695450"/>
    <xdr:pic>
      <xdr:nvPicPr>
        <xdr:cNvPr id="3" name="Picture 2">
          <a:extLst>
            <a:ext uri="{FF2B5EF4-FFF2-40B4-BE49-F238E27FC236}">
              <a16:creationId xmlns:a16="http://schemas.microsoft.com/office/drawing/2014/main" id="{8402C26A-825E-43FF-9C5D-1D29A32F1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2300" y="885825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B966-AC1D-4E89-8DC4-6B7C65D52D5A}">
  <sheetPr>
    <tabColor rgb="FFC00000"/>
  </sheetPr>
  <dimension ref="B1:M139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9" customWidth="1"/>
    <col min="3" max="3" width="15.7265625" style="49" customWidth="1"/>
    <col min="4" max="4" width="26.5429687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579404</v>
      </c>
      <c r="F16" s="19">
        <v>4313.95</v>
      </c>
      <c r="G16" s="20">
        <v>8.06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326889</v>
      </c>
      <c r="F17" s="19">
        <v>4107.03</v>
      </c>
      <c r="G17" s="20">
        <v>7.68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221083</v>
      </c>
      <c r="F18" s="19">
        <v>2920.95</v>
      </c>
      <c r="G18" s="20">
        <v>5.46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54352</v>
      </c>
      <c r="F19" s="19">
        <v>2215.66</v>
      </c>
      <c r="G19" s="20">
        <v>4.1399999999999997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18</v>
      </c>
      <c r="E20" s="18">
        <v>215947</v>
      </c>
      <c r="F20" s="19">
        <v>2082.59</v>
      </c>
      <c r="G20" s="20">
        <v>3.89</v>
      </c>
      <c r="H20" s="21"/>
    </row>
    <row r="21" spans="2:8" ht="24" customHeight="1" x14ac:dyDescent="0.25">
      <c r="B21" s="17" t="s">
        <v>29</v>
      </c>
      <c r="C21" s="17" t="s">
        <v>30</v>
      </c>
      <c r="D21" s="17" t="s">
        <v>31</v>
      </c>
      <c r="E21" s="18">
        <v>104719</v>
      </c>
      <c r="F21" s="19">
        <v>1915.31</v>
      </c>
      <c r="G21" s="20">
        <v>3.58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18</v>
      </c>
      <c r="E22" s="18">
        <v>401815</v>
      </c>
      <c r="F22" s="19">
        <v>1543.77</v>
      </c>
      <c r="G22" s="20">
        <v>2.89</v>
      </c>
      <c r="H22" s="21"/>
    </row>
    <row r="23" spans="2:8" ht="24" customHeight="1" x14ac:dyDescent="0.25">
      <c r="B23" s="17" t="s">
        <v>34</v>
      </c>
      <c r="C23" s="17" t="s">
        <v>35</v>
      </c>
      <c r="D23" s="17" t="s">
        <v>36</v>
      </c>
      <c r="E23" s="18">
        <v>143999</v>
      </c>
      <c r="F23" s="19">
        <v>1307.8699999999999</v>
      </c>
      <c r="G23" s="20">
        <v>2.44</v>
      </c>
      <c r="H23" s="21"/>
    </row>
    <row r="24" spans="2:8" ht="24" customHeight="1" x14ac:dyDescent="0.25">
      <c r="B24" s="17" t="s">
        <v>37</v>
      </c>
      <c r="C24" s="17" t="s">
        <v>38</v>
      </c>
      <c r="D24" s="17" t="s">
        <v>39</v>
      </c>
      <c r="E24" s="18">
        <v>519950</v>
      </c>
      <c r="F24" s="19">
        <v>1302.8900000000001</v>
      </c>
      <c r="G24" s="20">
        <v>2.44</v>
      </c>
      <c r="H24" s="21"/>
    </row>
    <row r="25" spans="2:8" ht="24" customHeight="1" x14ac:dyDescent="0.25">
      <c r="B25" s="17" t="s">
        <v>40</v>
      </c>
      <c r="C25" s="17" t="s">
        <v>41</v>
      </c>
      <c r="D25" s="17" t="s">
        <v>42</v>
      </c>
      <c r="E25" s="18">
        <v>30190</v>
      </c>
      <c r="F25" s="19">
        <v>1230.21</v>
      </c>
      <c r="G25" s="20">
        <v>2.2999999999999998</v>
      </c>
      <c r="H25" s="21"/>
    </row>
    <row r="26" spans="2:8" ht="24" customHeight="1" x14ac:dyDescent="0.25">
      <c r="B26" s="17" t="s">
        <v>43</v>
      </c>
      <c r="C26" s="17" t="s">
        <v>44</v>
      </c>
      <c r="D26" s="17" t="s">
        <v>45</v>
      </c>
      <c r="E26" s="18">
        <v>317000</v>
      </c>
      <c r="F26" s="19">
        <v>1226.47</v>
      </c>
      <c r="G26" s="20">
        <v>2.29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227519</v>
      </c>
      <c r="F27" s="19">
        <v>1201.3</v>
      </c>
      <c r="G27" s="20">
        <v>2.25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16380</v>
      </c>
      <c r="F28" s="19">
        <v>1092.05</v>
      </c>
      <c r="G28" s="20">
        <v>2.04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9132</v>
      </c>
      <c r="F29" s="19">
        <v>1048.54</v>
      </c>
      <c r="G29" s="20">
        <v>1.96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70571</v>
      </c>
      <c r="F30" s="19">
        <v>1047.2</v>
      </c>
      <c r="G30" s="20">
        <v>1.96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31200</v>
      </c>
      <c r="F31" s="19">
        <v>1046.98</v>
      </c>
      <c r="G31" s="20">
        <v>1.96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18</v>
      </c>
      <c r="E32" s="18">
        <v>80440</v>
      </c>
      <c r="F32" s="19">
        <v>1034.94</v>
      </c>
      <c r="G32" s="20">
        <v>1.93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57</v>
      </c>
      <c r="E33" s="18">
        <v>44593</v>
      </c>
      <c r="F33" s="19">
        <v>1007.31</v>
      </c>
      <c r="G33" s="20">
        <v>1.88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100613</v>
      </c>
      <c r="F34" s="19">
        <v>923.07</v>
      </c>
      <c r="G34" s="20">
        <v>1.73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51</v>
      </c>
      <c r="E35" s="18">
        <v>37763</v>
      </c>
      <c r="F35" s="19">
        <v>897.1</v>
      </c>
      <c r="G35" s="20">
        <v>1.68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57</v>
      </c>
      <c r="E36" s="18">
        <v>73358</v>
      </c>
      <c r="F36" s="19">
        <v>851.61</v>
      </c>
      <c r="G36" s="20">
        <v>1.59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60</v>
      </c>
      <c r="E37" s="18">
        <v>27860</v>
      </c>
      <c r="F37" s="19">
        <v>848.5</v>
      </c>
      <c r="G37" s="20">
        <v>1.59</v>
      </c>
      <c r="H37" s="21"/>
    </row>
    <row r="38" spans="2:8" ht="24" customHeight="1" x14ac:dyDescent="0.25">
      <c r="B38" s="17" t="s">
        <v>74</v>
      </c>
      <c r="C38" s="17" t="s">
        <v>75</v>
      </c>
      <c r="D38" s="17" t="s">
        <v>76</v>
      </c>
      <c r="E38" s="18">
        <v>65738</v>
      </c>
      <c r="F38" s="19">
        <v>840.13</v>
      </c>
      <c r="G38" s="20">
        <v>1.57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60</v>
      </c>
      <c r="E39" s="18">
        <v>10170</v>
      </c>
      <c r="F39" s="19">
        <v>729.9</v>
      </c>
      <c r="G39" s="20">
        <v>1.36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40726</v>
      </c>
      <c r="F40" s="19">
        <v>693.36</v>
      </c>
      <c r="G40" s="20">
        <v>1.3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84</v>
      </c>
      <c r="E41" s="18">
        <v>19570</v>
      </c>
      <c r="F41" s="19">
        <v>692.48</v>
      </c>
      <c r="G41" s="20">
        <v>1.29</v>
      </c>
      <c r="H41" s="21"/>
    </row>
    <row r="42" spans="2:8" ht="24" customHeight="1" x14ac:dyDescent="0.25">
      <c r="B42" s="17" t="s">
        <v>85</v>
      </c>
      <c r="C42" s="17" t="s">
        <v>86</v>
      </c>
      <c r="D42" s="17" t="s">
        <v>36</v>
      </c>
      <c r="E42" s="18">
        <v>157030</v>
      </c>
      <c r="F42" s="19">
        <v>673.03</v>
      </c>
      <c r="G42" s="20">
        <v>1.26</v>
      </c>
      <c r="H42" s="21"/>
    </row>
    <row r="43" spans="2:8" ht="24" customHeight="1" x14ac:dyDescent="0.25">
      <c r="B43" s="17" t="s">
        <v>87</v>
      </c>
      <c r="C43" s="17" t="s">
        <v>88</v>
      </c>
      <c r="D43" s="17" t="s">
        <v>89</v>
      </c>
      <c r="E43" s="18">
        <v>459600</v>
      </c>
      <c r="F43" s="19">
        <v>669.82</v>
      </c>
      <c r="G43" s="20">
        <v>1.25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39</v>
      </c>
      <c r="E44" s="18">
        <v>545826</v>
      </c>
      <c r="F44" s="19">
        <v>664.65</v>
      </c>
      <c r="G44" s="20">
        <v>1.24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51</v>
      </c>
      <c r="E45" s="18">
        <v>35770</v>
      </c>
      <c r="F45" s="19">
        <v>643.57000000000005</v>
      </c>
      <c r="G45" s="20">
        <v>1.2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96</v>
      </c>
      <c r="E46" s="18">
        <v>10925</v>
      </c>
      <c r="F46" s="19">
        <v>642.5</v>
      </c>
      <c r="G46" s="20">
        <v>1.2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65797</v>
      </c>
      <c r="F47" s="19">
        <v>635.01</v>
      </c>
      <c r="G47" s="20">
        <v>1.19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42</v>
      </c>
      <c r="E48" s="18">
        <v>23535</v>
      </c>
      <c r="F48" s="19">
        <v>628.76</v>
      </c>
      <c r="G48" s="20">
        <v>1.18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54010</v>
      </c>
      <c r="F49" s="19">
        <v>608.53</v>
      </c>
      <c r="G49" s="20">
        <v>1.1399999999999999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3187</v>
      </c>
      <c r="F50" s="19">
        <v>581.53</v>
      </c>
      <c r="G50" s="20">
        <v>1.0900000000000001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110</v>
      </c>
      <c r="E51" s="18">
        <v>70720</v>
      </c>
      <c r="F51" s="19">
        <v>581.11</v>
      </c>
      <c r="G51" s="20">
        <v>1.0900000000000001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30648</v>
      </c>
      <c r="F52" s="19">
        <v>549.27</v>
      </c>
      <c r="G52" s="20">
        <v>1.03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60</v>
      </c>
      <c r="E53" s="18">
        <v>4184</v>
      </c>
      <c r="F53" s="19">
        <v>549.23</v>
      </c>
      <c r="G53" s="20">
        <v>1.03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118</v>
      </c>
      <c r="E54" s="18">
        <v>39836</v>
      </c>
      <c r="F54" s="19">
        <v>545.42999999999995</v>
      </c>
      <c r="G54" s="20">
        <v>1.02</v>
      </c>
      <c r="H54" s="21"/>
    </row>
    <row r="55" spans="2:8" ht="24" customHeight="1" x14ac:dyDescent="0.25">
      <c r="B55" s="17" t="s">
        <v>119</v>
      </c>
      <c r="C55" s="17" t="s">
        <v>120</v>
      </c>
      <c r="D55" s="17" t="s">
        <v>51</v>
      </c>
      <c r="E55" s="18">
        <v>12030</v>
      </c>
      <c r="F55" s="19">
        <v>530.62</v>
      </c>
      <c r="G55" s="20">
        <v>0.99</v>
      </c>
      <c r="H55" s="21"/>
    </row>
    <row r="56" spans="2:8" ht="24" customHeight="1" x14ac:dyDescent="0.25">
      <c r="B56" s="17" t="s">
        <v>121</v>
      </c>
      <c r="C56" s="17" t="s">
        <v>122</v>
      </c>
      <c r="D56" s="17" t="s">
        <v>42</v>
      </c>
      <c r="E56" s="18">
        <v>30404</v>
      </c>
      <c r="F56" s="19">
        <v>463.33</v>
      </c>
      <c r="G56" s="20">
        <v>0.87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125</v>
      </c>
      <c r="E57" s="18">
        <v>288748</v>
      </c>
      <c r="F57" s="19">
        <v>448.83</v>
      </c>
      <c r="G57" s="20">
        <v>0.84</v>
      </c>
      <c r="H57" s="21"/>
    </row>
    <row r="58" spans="2:8" ht="24" customHeight="1" x14ac:dyDescent="0.25">
      <c r="B58" s="17" t="s">
        <v>126</v>
      </c>
      <c r="C58" s="17" t="s">
        <v>127</v>
      </c>
      <c r="D58" s="17" t="s">
        <v>42</v>
      </c>
      <c r="E58" s="18">
        <v>3660</v>
      </c>
      <c r="F58" s="19">
        <v>421.78</v>
      </c>
      <c r="G58" s="20">
        <v>0.79</v>
      </c>
      <c r="H58" s="21"/>
    </row>
    <row r="59" spans="2:8" ht="24" customHeight="1" x14ac:dyDescent="0.25">
      <c r="B59" s="17" t="s">
        <v>128</v>
      </c>
      <c r="C59" s="17" t="s">
        <v>129</v>
      </c>
      <c r="D59" s="17" t="s">
        <v>36</v>
      </c>
      <c r="E59" s="18">
        <v>12560</v>
      </c>
      <c r="F59" s="19">
        <v>419.87</v>
      </c>
      <c r="G59" s="20">
        <v>0.78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36</v>
      </c>
      <c r="E60" s="18">
        <v>135115</v>
      </c>
      <c r="F60" s="19">
        <v>413.32</v>
      </c>
      <c r="G60" s="20">
        <v>0.77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48</v>
      </c>
      <c r="E61" s="18">
        <v>32322</v>
      </c>
      <c r="F61" s="19">
        <v>410.49</v>
      </c>
      <c r="G61" s="20">
        <v>0.77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136</v>
      </c>
      <c r="E62" s="18">
        <v>98862</v>
      </c>
      <c r="F62" s="19">
        <v>406.08</v>
      </c>
      <c r="G62" s="20">
        <v>0.76</v>
      </c>
      <c r="H62" s="21"/>
    </row>
    <row r="63" spans="2:8" ht="24" customHeight="1" x14ac:dyDescent="0.25">
      <c r="B63" s="17" t="s">
        <v>137</v>
      </c>
      <c r="C63" s="17" t="s">
        <v>138</v>
      </c>
      <c r="D63" s="17" t="s">
        <v>36</v>
      </c>
      <c r="E63" s="18">
        <v>42600</v>
      </c>
      <c r="F63" s="19">
        <v>403.49</v>
      </c>
      <c r="G63" s="20">
        <v>0.75</v>
      </c>
      <c r="H63" s="21"/>
    </row>
    <row r="64" spans="2:8" ht="24" customHeight="1" x14ac:dyDescent="0.25">
      <c r="B64" s="17" t="s">
        <v>139</v>
      </c>
      <c r="C64" s="17" t="s">
        <v>140</v>
      </c>
      <c r="D64" s="17" t="s">
        <v>141</v>
      </c>
      <c r="E64" s="18">
        <v>135588</v>
      </c>
      <c r="F64" s="19">
        <v>389</v>
      </c>
      <c r="G64" s="20">
        <v>0.73</v>
      </c>
      <c r="H64" s="21"/>
    </row>
    <row r="65" spans="2:12" ht="24" customHeight="1" x14ac:dyDescent="0.25">
      <c r="B65" s="17" t="s">
        <v>142</v>
      </c>
      <c r="C65" s="17" t="s">
        <v>143</v>
      </c>
      <c r="D65" s="17" t="s">
        <v>144</v>
      </c>
      <c r="E65" s="18">
        <v>7147</v>
      </c>
      <c r="F65" s="19">
        <v>371.97</v>
      </c>
      <c r="G65" s="20">
        <v>0.7</v>
      </c>
      <c r="H65" s="21"/>
    </row>
    <row r="66" spans="2:12" ht="24" customHeight="1" x14ac:dyDescent="0.25">
      <c r="B66" s="17" t="s">
        <v>145</v>
      </c>
      <c r="C66" s="17" t="s">
        <v>146</v>
      </c>
      <c r="D66" s="17" t="s">
        <v>67</v>
      </c>
      <c r="E66" s="18">
        <v>7020</v>
      </c>
      <c r="F66" s="19">
        <v>361.43</v>
      </c>
      <c r="G66" s="20">
        <v>0.68</v>
      </c>
      <c r="H66" s="21"/>
    </row>
    <row r="67" spans="2:12" ht="24" customHeight="1" x14ac:dyDescent="0.25">
      <c r="B67" s="17" t="s">
        <v>147</v>
      </c>
      <c r="C67" s="17" t="s">
        <v>148</v>
      </c>
      <c r="D67" s="17" t="s">
        <v>113</v>
      </c>
      <c r="E67" s="18">
        <v>59008</v>
      </c>
      <c r="F67" s="19">
        <v>350.98</v>
      </c>
      <c r="G67" s="20">
        <v>0.66</v>
      </c>
      <c r="H67" s="21"/>
    </row>
    <row r="68" spans="2:12" ht="24" customHeight="1" x14ac:dyDescent="0.25">
      <c r="B68" s="17" t="s">
        <v>149</v>
      </c>
      <c r="C68" s="17" t="s">
        <v>150</v>
      </c>
      <c r="D68" s="17" t="s">
        <v>57</v>
      </c>
      <c r="E68" s="18">
        <v>5330</v>
      </c>
      <c r="F68" s="19">
        <v>276.86</v>
      </c>
      <c r="G68" s="20">
        <v>0.52</v>
      </c>
      <c r="H68" s="21"/>
    </row>
    <row r="69" spans="2:12" ht="24" customHeight="1" x14ac:dyDescent="0.25">
      <c r="B69" s="17" t="s">
        <v>151</v>
      </c>
      <c r="C69" s="17" t="s">
        <v>152</v>
      </c>
      <c r="D69" s="17" t="s">
        <v>36</v>
      </c>
      <c r="E69" s="18">
        <v>17725</v>
      </c>
      <c r="F69" s="19">
        <v>272.56</v>
      </c>
      <c r="G69" s="20">
        <v>0.51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76</v>
      </c>
      <c r="E70" s="18">
        <v>130090</v>
      </c>
      <c r="F70" s="19">
        <v>270.61</v>
      </c>
      <c r="G70" s="20">
        <v>0.51</v>
      </c>
      <c r="H70" s="21"/>
    </row>
    <row r="71" spans="2:12" ht="24" customHeight="1" x14ac:dyDescent="0.25">
      <c r="B71" s="17" t="s">
        <v>155</v>
      </c>
      <c r="C71" s="17" t="s">
        <v>156</v>
      </c>
      <c r="D71" s="17" t="s">
        <v>157</v>
      </c>
      <c r="E71" s="18">
        <v>5950</v>
      </c>
      <c r="F71" s="19">
        <v>262.10000000000002</v>
      </c>
      <c r="G71" s="20">
        <v>0.49</v>
      </c>
      <c r="H71" s="21"/>
    </row>
    <row r="72" spans="2:12" ht="24" customHeight="1" x14ac:dyDescent="0.25">
      <c r="B72" s="28" t="s">
        <v>158</v>
      </c>
      <c r="C72" s="28"/>
      <c r="D72" s="28"/>
      <c r="E72" s="29"/>
      <c r="F72" s="30">
        <f>SUM(F16:F71)</f>
        <v>52566.930000000015</v>
      </c>
      <c r="G72" s="30">
        <f>SUM(G16:G71)</f>
        <v>98.300000000000026</v>
      </c>
      <c r="H72" s="31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22" t="s">
        <v>159</v>
      </c>
      <c r="C74" s="23"/>
      <c r="D74" s="23"/>
      <c r="E74" s="24"/>
      <c r="F74" s="25"/>
      <c r="G74" s="26"/>
      <c r="H74" s="27"/>
    </row>
    <row r="75" spans="2:12" ht="24" customHeight="1" x14ac:dyDescent="0.25">
      <c r="B75" s="17"/>
      <c r="C75" s="17"/>
      <c r="D75" s="17"/>
      <c r="E75" s="18"/>
      <c r="F75" s="20">
        <v>0</v>
      </c>
      <c r="G75" s="20">
        <v>0</v>
      </c>
      <c r="H75" s="21"/>
      <c r="L75" s="32"/>
    </row>
    <row r="76" spans="2:12" ht="24" customHeight="1" x14ac:dyDescent="0.25">
      <c r="B76" s="28" t="s">
        <v>158</v>
      </c>
      <c r="C76" s="17"/>
      <c r="D76" s="17"/>
      <c r="E76" s="18"/>
      <c r="F76" s="33" t="s">
        <v>160</v>
      </c>
      <c r="G76" s="33" t="s">
        <v>160</v>
      </c>
      <c r="H76" s="21"/>
    </row>
    <row r="77" spans="2:12" ht="24" customHeight="1" x14ac:dyDescent="0.25">
      <c r="B77" s="17"/>
      <c r="C77" s="17"/>
      <c r="D77" s="17"/>
      <c r="E77" s="18"/>
      <c r="F77" s="19"/>
      <c r="G77" s="20"/>
      <c r="H77" s="21"/>
      <c r="L77" s="32"/>
    </row>
    <row r="78" spans="2:12" ht="24" customHeight="1" x14ac:dyDescent="0.25">
      <c r="B78" s="34" t="s">
        <v>161</v>
      </c>
      <c r="C78" s="35"/>
      <c r="D78" s="35"/>
      <c r="E78" s="36"/>
      <c r="F78" s="30">
        <f>F72</f>
        <v>52566.930000000015</v>
      </c>
      <c r="G78" s="30">
        <f>G72</f>
        <v>98.300000000000026</v>
      </c>
      <c r="H78" s="31"/>
      <c r="L78" s="32"/>
    </row>
    <row r="79" spans="2:12" ht="24" customHeight="1" x14ac:dyDescent="0.25">
      <c r="B79" s="37"/>
      <c r="C79" s="38"/>
      <c r="D79" s="38"/>
      <c r="E79" s="39"/>
      <c r="F79" s="40"/>
      <c r="G79" s="41"/>
      <c r="H79" s="31"/>
      <c r="L79" s="32"/>
    </row>
    <row r="80" spans="2:12" ht="24" customHeight="1" x14ac:dyDescent="0.25">
      <c r="B80" s="22" t="s">
        <v>162</v>
      </c>
      <c r="C80" s="23"/>
      <c r="D80" s="23"/>
      <c r="E80" s="42"/>
      <c r="F80" s="25"/>
      <c r="G80" s="26"/>
      <c r="H80" s="27"/>
      <c r="L80" s="32"/>
    </row>
    <row r="81" spans="2:13" ht="24" customHeight="1" x14ac:dyDescent="0.25">
      <c r="B81" s="17" t="s">
        <v>163</v>
      </c>
      <c r="C81" s="17" t="s">
        <v>164</v>
      </c>
      <c r="D81" s="17" t="s">
        <v>60</v>
      </c>
      <c r="E81" s="18">
        <v>239480</v>
      </c>
      <c r="F81" s="19">
        <v>24.79</v>
      </c>
      <c r="G81" s="20">
        <v>0.05</v>
      </c>
      <c r="H81" s="21"/>
      <c r="L81" s="32"/>
    </row>
    <row r="82" spans="2:13" ht="24" customHeight="1" x14ac:dyDescent="0.25">
      <c r="B82" s="28" t="s">
        <v>158</v>
      </c>
      <c r="C82" s="28"/>
      <c r="D82" s="28"/>
      <c r="E82" s="29"/>
      <c r="F82" s="30">
        <f>F81</f>
        <v>24.79</v>
      </c>
      <c r="G82" s="30">
        <f>G81</f>
        <v>0.05</v>
      </c>
      <c r="H82" s="31"/>
      <c r="L82" s="32"/>
    </row>
    <row r="83" spans="2:13" ht="24" customHeight="1" x14ac:dyDescent="0.25">
      <c r="B83" s="43"/>
      <c r="C83" s="43"/>
      <c r="D83" s="43"/>
      <c r="E83" s="39"/>
      <c r="F83" s="40"/>
      <c r="G83" s="41"/>
      <c r="H83" s="31"/>
      <c r="L83" s="32"/>
    </row>
    <row r="84" spans="2:13" ht="24" customHeight="1" x14ac:dyDescent="0.25">
      <c r="B84" s="34" t="s">
        <v>161</v>
      </c>
      <c r="C84" s="35"/>
      <c r="D84" s="35"/>
      <c r="E84" s="36"/>
      <c r="F84" s="30">
        <f>F82</f>
        <v>24.79</v>
      </c>
      <c r="G84" s="30">
        <f>G82</f>
        <v>0.05</v>
      </c>
      <c r="H84" s="31"/>
      <c r="L84" s="32"/>
    </row>
    <row r="85" spans="2:13" ht="24" customHeight="1" x14ac:dyDescent="0.25">
      <c r="B85" s="17"/>
      <c r="C85" s="17"/>
      <c r="D85" s="17"/>
      <c r="E85" s="18"/>
      <c r="F85" s="19"/>
      <c r="G85" s="20"/>
      <c r="H85" s="21"/>
      <c r="L85" s="32"/>
    </row>
    <row r="86" spans="2:13" ht="24" customHeight="1" x14ac:dyDescent="0.25">
      <c r="B86" s="11" t="s">
        <v>165</v>
      </c>
      <c r="C86" s="12"/>
      <c r="D86" s="12"/>
      <c r="E86" s="13"/>
      <c r="F86" s="14"/>
      <c r="G86" s="15"/>
      <c r="H86" s="16"/>
      <c r="L86" s="3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2"/>
    </row>
    <row r="88" spans="2:13" ht="24" customHeight="1" x14ac:dyDescent="0.25">
      <c r="B88" s="22" t="s">
        <v>166</v>
      </c>
      <c r="C88" s="23"/>
      <c r="D88" s="23"/>
      <c r="E88" s="24"/>
      <c r="F88" s="25"/>
      <c r="G88" s="26"/>
      <c r="H88" s="27"/>
      <c r="L88" s="44"/>
      <c r="M88" s="44"/>
    </row>
    <row r="89" spans="2:13" ht="24" customHeight="1" x14ac:dyDescent="0.25">
      <c r="B89" s="17" t="s">
        <v>167</v>
      </c>
      <c r="C89" s="17" t="s">
        <v>168</v>
      </c>
      <c r="D89" s="17" t="s">
        <v>169</v>
      </c>
      <c r="E89" s="18">
        <v>50000</v>
      </c>
      <c r="F89" s="19">
        <v>48.85</v>
      </c>
      <c r="G89" s="20">
        <v>0.09</v>
      </c>
      <c r="H89" s="21">
        <v>5.7344999999999997</v>
      </c>
    </row>
    <row r="90" spans="2:13" ht="24" customHeight="1" x14ac:dyDescent="0.25">
      <c r="B90" s="28" t="s">
        <v>158</v>
      </c>
      <c r="C90" s="28"/>
      <c r="D90" s="28"/>
      <c r="E90" s="29"/>
      <c r="F90" s="30">
        <v>48.85</v>
      </c>
      <c r="G90" s="45">
        <v>0.09</v>
      </c>
      <c r="H90" s="31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46"/>
      <c r="M91" s="46"/>
    </row>
    <row r="92" spans="2:13" ht="24" customHeight="1" x14ac:dyDescent="0.25">
      <c r="B92" s="34" t="s">
        <v>161</v>
      </c>
      <c r="C92" s="35"/>
      <c r="D92" s="35"/>
      <c r="E92" s="36"/>
      <c r="F92" s="30">
        <v>48.85</v>
      </c>
      <c r="G92" s="45">
        <v>0.09</v>
      </c>
      <c r="H92" s="31"/>
      <c r="L92" s="46"/>
      <c r="M92" s="46"/>
    </row>
    <row r="93" spans="2:13" ht="24" customHeight="1" x14ac:dyDescent="0.25">
      <c r="B93" s="17"/>
      <c r="C93" s="17"/>
      <c r="D93" s="17"/>
      <c r="E93" s="18"/>
      <c r="F93" s="19"/>
      <c r="G93" s="20"/>
      <c r="H93" s="21"/>
      <c r="L93" s="46"/>
      <c r="M93" s="46"/>
    </row>
    <row r="94" spans="2:13" ht="24" customHeight="1" x14ac:dyDescent="0.25">
      <c r="B94" s="11" t="s">
        <v>170</v>
      </c>
      <c r="C94" s="12"/>
      <c r="D94" s="12"/>
      <c r="E94" s="13"/>
      <c r="F94" s="14"/>
      <c r="G94" s="15"/>
      <c r="H94" s="16"/>
      <c r="L94" s="46"/>
      <c r="M94" s="46"/>
    </row>
    <row r="95" spans="2:13" ht="24" customHeight="1" x14ac:dyDescent="0.25">
      <c r="B95" s="17" t="s">
        <v>171</v>
      </c>
      <c r="C95" s="17"/>
      <c r="D95" s="17"/>
      <c r="E95" s="18"/>
      <c r="F95" s="19">
        <v>596.74</v>
      </c>
      <c r="G95" s="20">
        <v>1.1200000000000001</v>
      </c>
      <c r="H95" s="21"/>
      <c r="L95" s="46"/>
      <c r="M95" s="46"/>
    </row>
    <row r="96" spans="2:13" ht="24" customHeight="1" x14ac:dyDescent="0.25">
      <c r="B96" s="17" t="s">
        <v>171</v>
      </c>
      <c r="C96" s="17"/>
      <c r="D96" s="17"/>
      <c r="E96" s="18"/>
      <c r="F96" s="19">
        <v>345.51</v>
      </c>
      <c r="G96" s="20">
        <v>0.65</v>
      </c>
      <c r="H96" s="21"/>
      <c r="L96" s="46"/>
      <c r="M96" s="46"/>
    </row>
    <row r="97" spans="2:12" ht="24" customHeight="1" x14ac:dyDescent="0.25">
      <c r="B97" s="28" t="s">
        <v>158</v>
      </c>
      <c r="C97" s="28"/>
      <c r="D97" s="28"/>
      <c r="E97" s="29"/>
      <c r="F97" s="30">
        <v>942.25</v>
      </c>
      <c r="G97" s="45">
        <v>1.77</v>
      </c>
      <c r="H97" s="31"/>
    </row>
    <row r="98" spans="2:12" ht="24" customHeight="1" x14ac:dyDescent="0.25">
      <c r="B98" s="17"/>
      <c r="C98" s="17"/>
      <c r="D98" s="17"/>
      <c r="E98" s="18"/>
      <c r="F98" s="19"/>
      <c r="G98" s="20"/>
      <c r="H98" s="21"/>
      <c r="L98" s="32"/>
    </row>
    <row r="99" spans="2:12" ht="24" customHeight="1" x14ac:dyDescent="0.25">
      <c r="B99" s="34" t="s">
        <v>161</v>
      </c>
      <c r="C99" s="35"/>
      <c r="D99" s="35"/>
      <c r="E99" s="36"/>
      <c r="F99" s="30">
        <v>942.25</v>
      </c>
      <c r="G99" s="45">
        <v>1.77</v>
      </c>
      <c r="H99" s="31"/>
    </row>
    <row r="100" spans="2:12" ht="24" customHeight="1" x14ac:dyDescent="0.25">
      <c r="B100" s="17"/>
      <c r="C100" s="17"/>
      <c r="D100" s="17"/>
      <c r="E100" s="18"/>
      <c r="F100" s="19"/>
      <c r="G100" s="20"/>
      <c r="H100" s="21"/>
    </row>
    <row r="101" spans="2:12" ht="24" customHeight="1" x14ac:dyDescent="0.25">
      <c r="B101" s="17" t="s">
        <v>172</v>
      </c>
      <c r="C101" s="17"/>
      <c r="D101" s="17"/>
      <c r="E101" s="18"/>
      <c r="F101" s="47">
        <v>-90.15</v>
      </c>
      <c r="G101" s="20">
        <v>-0.21</v>
      </c>
      <c r="H101" s="21"/>
    </row>
    <row r="102" spans="2:12" ht="24" customHeight="1" x14ac:dyDescent="0.25">
      <c r="B102" s="17"/>
      <c r="C102" s="17"/>
      <c r="D102" s="17"/>
      <c r="E102" s="18"/>
      <c r="F102" s="19"/>
      <c r="G102" s="20"/>
      <c r="H102" s="21"/>
    </row>
    <row r="103" spans="2:12" ht="24" customHeight="1" x14ac:dyDescent="0.25">
      <c r="B103" s="34" t="s">
        <v>173</v>
      </c>
      <c r="C103" s="35"/>
      <c r="D103" s="35"/>
      <c r="E103" s="36"/>
      <c r="F103" s="30">
        <v>53492.67</v>
      </c>
      <c r="G103" s="45">
        <v>100</v>
      </c>
      <c r="H103" s="48"/>
    </row>
    <row r="104" spans="2:12" ht="24" customHeight="1" x14ac:dyDescent="0.25">
      <c r="B104" s="4"/>
    </row>
    <row r="105" spans="2:12" ht="24" customHeight="1" x14ac:dyDescent="0.25">
      <c r="B105" s="51" t="s">
        <v>174</v>
      </c>
      <c r="F105" s="52"/>
      <c r="G105" s="52"/>
    </row>
    <row r="106" spans="2:12" ht="24" customHeight="1" x14ac:dyDescent="0.25">
      <c r="F106" s="52"/>
      <c r="G106" s="52"/>
    </row>
    <row r="112" spans="2:12" ht="24" customHeight="1" x14ac:dyDescent="0.25">
      <c r="B112" s="38" t="s">
        <v>175</v>
      </c>
    </row>
    <row r="113" spans="2:8" ht="24" customHeight="1" x14ac:dyDescent="0.25">
      <c r="B113" s="49" t="s">
        <v>176</v>
      </c>
    </row>
    <row r="114" spans="2:8" ht="24" customHeight="1" x14ac:dyDescent="0.25">
      <c r="B114" s="53" t="s">
        <v>177</v>
      </c>
      <c r="C114" s="54">
        <v>46142</v>
      </c>
      <c r="D114" s="55">
        <v>46171</v>
      </c>
    </row>
    <row r="115" spans="2:8" ht="24" customHeight="1" x14ac:dyDescent="0.25">
      <c r="B115" s="56" t="s">
        <v>178</v>
      </c>
      <c r="C115" s="57" t="s">
        <v>179</v>
      </c>
      <c r="D115" s="58" t="s">
        <v>179</v>
      </c>
      <c r="E115" s="4"/>
      <c r="F115" s="4"/>
      <c r="G115" s="4"/>
      <c r="H115" s="4"/>
    </row>
    <row r="116" spans="2:8" ht="24" customHeight="1" x14ac:dyDescent="0.25">
      <c r="B116" s="59" t="s">
        <v>180</v>
      </c>
      <c r="C116" s="60">
        <v>388.49</v>
      </c>
      <c r="D116" s="61">
        <v>385.64</v>
      </c>
      <c r="E116" s="4"/>
      <c r="F116" s="4"/>
      <c r="G116" s="4"/>
      <c r="H116" s="4"/>
    </row>
    <row r="117" spans="2:8" ht="24" customHeight="1" x14ac:dyDescent="0.25">
      <c r="B117" s="59" t="s">
        <v>181</v>
      </c>
      <c r="C117" s="60">
        <v>26.19</v>
      </c>
      <c r="D117" s="61">
        <v>25.99</v>
      </c>
      <c r="E117" s="4"/>
      <c r="F117" s="4"/>
      <c r="G117" s="4"/>
      <c r="H117" s="4"/>
    </row>
    <row r="118" spans="2:8" ht="24" customHeight="1" x14ac:dyDescent="0.25">
      <c r="B118" s="56" t="s">
        <v>182</v>
      </c>
      <c r="C118" s="57"/>
      <c r="D118" s="58"/>
      <c r="E118" s="4"/>
      <c r="F118" s="4"/>
      <c r="G118" s="4"/>
      <c r="H118" s="4"/>
    </row>
    <row r="119" spans="2:8" ht="24" customHeight="1" x14ac:dyDescent="0.25">
      <c r="B119" s="59" t="s">
        <v>180</v>
      </c>
      <c r="C119" s="60">
        <v>323.54000000000002</v>
      </c>
      <c r="D119" s="61">
        <v>320.76</v>
      </c>
      <c r="E119" s="4"/>
      <c r="F119" s="4"/>
      <c r="G119" s="4"/>
      <c r="H119" s="4"/>
    </row>
    <row r="120" spans="2:8" ht="24" customHeight="1" x14ac:dyDescent="0.25">
      <c r="B120" s="62" t="s">
        <v>181</v>
      </c>
      <c r="C120" s="63">
        <v>18.12</v>
      </c>
      <c r="D120" s="64">
        <v>17.96</v>
      </c>
      <c r="E120" s="4"/>
      <c r="F120" s="4"/>
      <c r="G120" s="4"/>
      <c r="H120" s="4"/>
    </row>
    <row r="121" spans="2:8" ht="24" customHeight="1" x14ac:dyDescent="0.25">
      <c r="C121" s="65"/>
      <c r="D121" s="65"/>
      <c r="E121" s="4"/>
      <c r="F121" s="4"/>
      <c r="G121" s="4"/>
      <c r="H121" s="4"/>
    </row>
    <row r="122" spans="2:8" ht="24" customHeight="1" x14ac:dyDescent="0.25">
      <c r="B122" s="49" t="s">
        <v>183</v>
      </c>
      <c r="D122" s="44" t="s">
        <v>160</v>
      </c>
    </row>
    <row r="124" spans="2:8" ht="24" customHeight="1" x14ac:dyDescent="0.25">
      <c r="B124" s="49" t="s">
        <v>184</v>
      </c>
      <c r="D124" s="44" t="s">
        <v>160</v>
      </c>
    </row>
    <row r="126" spans="2:8" ht="24" customHeight="1" x14ac:dyDescent="0.25">
      <c r="B126" s="49" t="s">
        <v>185</v>
      </c>
      <c r="D126" s="44" t="s">
        <v>160</v>
      </c>
    </row>
    <row r="128" spans="2:8" ht="24" customHeight="1" x14ac:dyDescent="0.25">
      <c r="B128" s="49" t="s">
        <v>186</v>
      </c>
      <c r="D128" s="44" t="s">
        <v>160</v>
      </c>
    </row>
    <row r="130" spans="2:4" ht="24" customHeight="1" x14ac:dyDescent="0.25">
      <c r="B130" s="49" t="s">
        <v>187</v>
      </c>
      <c r="D130" s="44">
        <v>0.3</v>
      </c>
    </row>
    <row r="132" spans="2:4" ht="24" customHeight="1" x14ac:dyDescent="0.25">
      <c r="B132" s="49" t="s">
        <v>188</v>
      </c>
      <c r="D132" s="44" t="s">
        <v>160</v>
      </c>
    </row>
    <row r="134" spans="2:4" ht="24" customHeight="1" x14ac:dyDescent="0.25">
      <c r="B134" s="49" t="s">
        <v>189</v>
      </c>
      <c r="D134" s="44" t="s">
        <v>160</v>
      </c>
    </row>
    <row r="135" spans="2:4" ht="24" customHeight="1" x14ac:dyDescent="0.25">
      <c r="B135" s="49" t="s">
        <v>190</v>
      </c>
      <c r="D135" s="44" t="s">
        <v>160</v>
      </c>
    </row>
    <row r="137" spans="2:4" ht="24" customHeight="1" x14ac:dyDescent="0.25">
      <c r="B137" s="66" t="s">
        <v>191</v>
      </c>
      <c r="D137" s="44" t="s">
        <v>160</v>
      </c>
    </row>
    <row r="139" spans="2:4" ht="24" customHeight="1" x14ac:dyDescent="0.25">
      <c r="B139" s="49" t="s">
        <v>192</v>
      </c>
      <c r="D139" s="44" t="s">
        <v>160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Cap</vt:lpstr>
      <vt:lpstr>'Large Cap'!Hedging_Positions_through_Futures_AS_ON_MMMM_DD__YYYY___NIL</vt:lpstr>
      <vt:lpstr>'Large Cap'!JPM_Footer_disp</vt:lpstr>
      <vt:lpstr>'Large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2026-06-08T10:02:15Z</dcterms:modified>
</cp:coreProperties>
</file>