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084E32DE-8ADF-4F83-A616-00C18EEFA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Cap'!$B$129:$C$133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Cap'!$L$82:$M$98</definedName>
    <definedName name="JPM_Footer_disp" localSheetId="0">'Large Cap'!$L$88:$M$98</definedName>
    <definedName name="JPM_Footer_disp12" localSheetId="0">'Large Cap'!$L$82:$M$100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2" l="1"/>
  <c r="G80" i="2" s="1"/>
  <c r="F78" i="2"/>
  <c r="F80" i="2" s="1"/>
  <c r="G68" i="2"/>
  <c r="G74" i="2" s="1"/>
  <c r="F68" i="2"/>
  <c r="F74" i="2" s="1"/>
</calcChain>
</file>

<file path=xl/sharedStrings.xml><?xml version="1.0" encoding="utf-8"?>
<sst xmlns="http://schemas.openxmlformats.org/spreadsheetml/2006/main" count="231" uniqueCount="183">
  <si>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</si>
  <si>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</si>
  <si>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</si>
  <si>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</si>
  <si>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</si>
  <si>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</si>
  <si>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</si>
  <si>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</si>
  <si>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</si>
  <si>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</si>
  <si>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</si>
  <si>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</si>
  <si>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</si>
  <si>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</si>
  <si>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</si>
  <si>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</si>
  <si>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</si>
  <si>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</si>
  <si>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</si>
  <si>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</si>
  <si>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</si>
  <si>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</si>
  <si>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</si>
  <si>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</si>
  <si>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</si>
  <si>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</si>
  <si>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</si>
  <si>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</si>
  <si>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</si>
  <si>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</si>
  <si>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</si>
  <si>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</si>
  <si>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Kotak Mahindra Bank Ltd.</t>
  </si>
  <si>
    <t>INE237A01036</t>
  </si>
  <si>
    <t>Bajaj Finance Ltd.</t>
  </si>
  <si>
    <t>INE296A01032</t>
  </si>
  <si>
    <t>Finance</t>
  </si>
  <si>
    <t>Tata Consultancy Services Ltd.</t>
  </si>
  <si>
    <t>INE467B01029</t>
  </si>
  <si>
    <t>IT - Software</t>
  </si>
  <si>
    <t>Titan Company Ltd.</t>
  </si>
  <si>
    <t>INE280A01028</t>
  </si>
  <si>
    <t>Consumer Durables</t>
  </si>
  <si>
    <t>Eternal Ltd.</t>
  </si>
  <si>
    <t>INE758T01015</t>
  </si>
  <si>
    <t>Retailing</t>
  </si>
  <si>
    <t>NTPC Ltd.</t>
  </si>
  <si>
    <t>INE733E01010</t>
  </si>
  <si>
    <t>Power</t>
  </si>
  <si>
    <t>TVS Motor Company Ltd.</t>
  </si>
  <si>
    <t>INE494B01023</t>
  </si>
  <si>
    <t>Automobiles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</si>
  <si>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</si>
  <si>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</si>
  <si>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</si>
  <si>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</si>
  <si>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</si>
  <si>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</si>
  <si>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Divi's Laboratories Ltd.</t>
  </si>
  <si>
    <t>INE361B01024</t>
  </si>
  <si>
    <t>Pharmaceuticals &amp; Biotechnology</t>
  </si>
  <si>
    <t>Infosys Ltd.</t>
  </si>
  <si>
    <t>INE009A01021</t>
  </si>
  <si>
    <t>Maruti Suzuki India Ltd.</t>
  </si>
  <si>
    <t>INE585B01010</t>
  </si>
  <si>
    <t>Mahindra &amp; Mahindra Ltd.</t>
  </si>
  <si>
    <t>INE101A01026</t>
  </si>
  <si>
    <t>Persistent Systems Ltd.</t>
  </si>
  <si>
    <t>INE262H01021</t>
  </si>
  <si>
    <t>Mankind Pharma Ltd.</t>
  </si>
  <si>
    <t>INE634S01028</t>
  </si>
  <si>
    <t>Tech Mahindra Ltd.</t>
  </si>
  <si>
    <t>INE669C01036</t>
  </si>
  <si>
    <t>Eicher Motors Ltd.</t>
  </si>
  <si>
    <t>INE066A01021</t>
  </si>
  <si>
    <t>CG Power and Industrial Solutions Ltd.</t>
  </si>
  <si>
    <t>INE067A01029</t>
  </si>
  <si>
    <t>Electrical Equipment</t>
  </si>
  <si>
    <t>Britannia Industries Ltd.</t>
  </si>
  <si>
    <t>INE216A01030</t>
  </si>
  <si>
    <t>Food Products</t>
  </si>
  <si>
    <t>Cummins India Ltd.</t>
  </si>
  <si>
    <t>INE298A01020</t>
  </si>
  <si>
    <t>Industrial Products</t>
  </si>
  <si>
    <t>Max Healthcare Institute Ltd.</t>
  </si>
  <si>
    <t>INE027H01010</t>
  </si>
  <si>
    <t>Healthcare Services</t>
  </si>
  <si>
    <t>Sun Pharmaceutical Industries Ltd.</t>
  </si>
  <si>
    <t>INE044A01036</t>
  </si>
  <si>
    <t>Tata Capital Ltd.</t>
  </si>
  <si>
    <t>INE976I01016</t>
  </si>
  <si>
    <t>Power Finance Corporation Ltd.</t>
  </si>
  <si>
    <t>INE134E01011</t>
  </si>
  <si>
    <t>PB Fintech Ltd.</t>
  </si>
  <si>
    <t>INE417T01026</t>
  </si>
  <si>
    <t>Financial Technology (Fintech)</t>
  </si>
  <si>
    <t>JSW Steel Ltd.</t>
  </si>
  <si>
    <t>INE019A01038</t>
  </si>
  <si>
    <t>Ferrous Metals</t>
  </si>
  <si>
    <t>ICICI Prudential Asset Mgmt Co Ltd.</t>
  </si>
  <si>
    <t>INE346A01027</t>
  </si>
  <si>
    <t>Capital Markets</t>
  </si>
  <si>
    <t>ICICI Lombard General Insurance Co. Ltd.</t>
  </si>
  <si>
    <t>INE765G01017</t>
  </si>
  <si>
    <t>Insurance</t>
  </si>
  <si>
    <t>Asian Paints Ltd.</t>
  </si>
  <si>
    <t>INE021A01026</t>
  </si>
  <si>
    <t>Torrent Pharmaceuticals Ltd.</t>
  </si>
  <si>
    <t>INE685A01028</t>
  </si>
  <si>
    <t>Vishal Mega Mart Ltd</t>
  </si>
  <si>
    <t>INE01EA01019</t>
  </si>
  <si>
    <t>Samvardhana Motherson International Ltd.</t>
  </si>
  <si>
    <t>INE775A01035</t>
  </si>
  <si>
    <t>Auto Components</t>
  </si>
  <si>
    <t>Prestige Estates Projects Ltd.</t>
  </si>
  <si>
    <t>INE811K01011</t>
  </si>
  <si>
    <t>Realty</t>
  </si>
  <si>
    <t>Ashok Leyland Ltd.</t>
  </si>
  <si>
    <t>INE208A01029</t>
  </si>
  <si>
    <t>Agricultural, Commercial &amp; Construction Vehicles</t>
  </si>
  <si>
    <t>LG Electronics India Ltd.</t>
  </si>
  <si>
    <t>INE324D01010</t>
  </si>
  <si>
    <t>Muthoot Finance Ltd.</t>
  </si>
  <si>
    <t>INE414G01012</t>
  </si>
  <si>
    <t>Bharat Electronics Ltd.</t>
  </si>
  <si>
    <t>INE263A01024</t>
  </si>
  <si>
    <t>Aerospace &amp; Defense</t>
  </si>
  <si>
    <t>United Spirits Ltd.</t>
  </si>
  <si>
    <t>INE854D01024</t>
  </si>
  <si>
    <t>ITC Ltd.</t>
  </si>
  <si>
    <t>INE154A01025</t>
  </si>
  <si>
    <t>Diversified FMCG</t>
  </si>
  <si>
    <t>Solar Industries India Ltd.</t>
  </si>
  <si>
    <t>INE343H01029</t>
  </si>
  <si>
    <t>Chemicals &amp; Petrochemicals</t>
  </si>
  <si>
    <t>Shriram Finance Ltd.</t>
  </si>
  <si>
    <t>INE721A01047</t>
  </si>
  <si>
    <t>Dixon Technologies (India) Ltd.</t>
  </si>
  <si>
    <t>INE935N01020</t>
  </si>
  <si>
    <t>Hindalco Industries Ltd.</t>
  </si>
  <si>
    <t>INE038A01020</t>
  </si>
  <si>
    <t>Non - Ferrous Metals</t>
  </si>
  <si>
    <t>HDFC Life Insurance Company Ltd.</t>
  </si>
  <si>
    <t>INE795G01014</t>
  </si>
  <si>
    <t>Cholamandalam Investment &amp; Finance Company Ltd.</t>
  </si>
  <si>
    <t>INE121A01024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</si>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</sst>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/>
    <xf numFmtId="43" fontId="2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168" fontId="3" fillId="0" borderId="8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D77EB5B9-656F-4E1C-BC15-81F5AF20A36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19050</xdr:rowOff>
    </xdr:from>
    <xdr:ext cx="2838450" cy="1695450"/>
    <xdr:pic>
      <xdr:nvPicPr>
        <xdr:cNvPr id="2" name="Picture 1">
          <a:extLst>
            <a:ext uri="{FF2B5EF4-FFF2-40B4-BE49-F238E27FC236}">
              <a16:creationId xmlns:a16="http://schemas.microsoft.com/office/drawing/2014/main" id="{A4F71637-D7D3-43E2-8982-04B2BF61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247650</xdr:colOff>
      <xdr:row>2</xdr:row>
      <xdr:rowOff>276225</xdr:rowOff>
    </xdr:from>
    <xdr:ext cx="2940050" cy="1695450"/>
    <xdr:pic>
      <xdr:nvPicPr>
        <xdr:cNvPr id="3" name="Picture 2">
          <a:extLst>
            <a:ext uri="{FF2B5EF4-FFF2-40B4-BE49-F238E27FC236}">
              <a16:creationId xmlns:a16="http://schemas.microsoft.com/office/drawing/2014/main" id="{647A97B6-BCEE-48A3-8C6B-4505B37D9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436D-3BD1-4AF0-947A-B969DCF722B9}">
  <sheetPr>
    <tabColor rgb="FFC00000"/>
  </sheetPr>
  <dimension ref="B1:M141"/>
  <sheetViews>
    <sheetView showGridLines="0" tabSelected="1" workbookViewId="0">
      <selection activeCell="B11" sqref="B11"/>
    </sheetView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/>
      <c r="C11" s="1"/>
      <c r="D11" s="1"/>
      <c r="E11" s="1"/>
      <c r="F11" s="1"/>
      <c r="G11" s="1"/>
      <c r="H11" s="4"/>
    </row>
    <row r="12" spans="2:8" ht="24" customHeight="1" x14ac:dyDescent="0.2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25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">
      <c r="B15" s="17"/>
      <c r="C15" s="17"/>
      <c r="D15" s="17"/>
      <c r="E15" s="18"/>
      <c r="F15" s="19"/>
      <c r="G15" s="20"/>
      <c r="H15" s="21"/>
    </row>
    <row r="16" spans="2:8" ht="24" customHeight="1" x14ac:dyDescent="0.2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">
      <c r="B17" s="17" t="s">
        <v>16</v>
      </c>
      <c r="C17" s="17" t="s">
        <v>17</v>
      </c>
      <c r="D17" s="17" t="s">
        <v>18</v>
      </c>
      <c r="E17" s="18">
        <v>593904</v>
      </c>
      <c r="F17" s="19">
        <v>4344.7</v>
      </c>
      <c r="G17" s="20">
        <v>8.68</v>
      </c>
      <c r="H17" s="21"/>
    </row>
    <row r="18" spans="2:8" ht="24" customHeight="1" x14ac:dyDescent="0.2">
      <c r="B18" s="17" t="s">
        <v>19</v>
      </c>
      <c r="C18" s="17" t="s">
        <v>20</v>
      </c>
      <c r="D18" s="17" t="s">
        <v>18</v>
      </c>
      <c r="E18" s="18">
        <v>326889</v>
      </c>
      <c r="F18" s="19">
        <v>3941.95</v>
      </c>
      <c r="G18" s="20">
        <v>7.87</v>
      </c>
      <c r="H18" s="21"/>
    </row>
    <row r="19" spans="2:8" ht="24" customHeight="1" x14ac:dyDescent="0.2">
      <c r="B19" s="17" t="s">
        <v>21</v>
      </c>
      <c r="C19" s="17" t="s">
        <v>22</v>
      </c>
      <c r="D19" s="17" t="s">
        <v>23</v>
      </c>
      <c r="E19" s="18">
        <v>270524</v>
      </c>
      <c r="F19" s="19">
        <v>3635.57</v>
      </c>
      <c r="G19" s="20">
        <v>7.26</v>
      </c>
      <c r="H19" s="21"/>
    </row>
    <row r="20" spans="2:8" ht="24" customHeight="1" x14ac:dyDescent="0.2">
      <c r="B20" s="17" t="s">
        <v>24</v>
      </c>
      <c r="C20" s="17" t="s">
        <v>25</v>
      </c>
      <c r="D20" s="17" t="s">
        <v>26</v>
      </c>
      <c r="E20" s="18">
        <v>142657</v>
      </c>
      <c r="F20" s="19">
        <v>2542.7199999999998</v>
      </c>
      <c r="G20" s="20">
        <v>5.08</v>
      </c>
      <c r="H20" s="21"/>
    </row>
    <row r="21" spans="2:8" ht="24" customHeight="1" x14ac:dyDescent="0.2">
      <c r="B21" s="17" t="s">
        <v>27</v>
      </c>
      <c r="C21" s="17" t="s">
        <v>28</v>
      </c>
      <c r="D21" s="17" t="s">
        <v>29</v>
      </c>
      <c r="E21" s="18">
        <v>58972</v>
      </c>
      <c r="F21" s="19">
        <v>2066.44</v>
      </c>
      <c r="G21" s="20">
        <v>4.13</v>
      </c>
      <c r="H21" s="21"/>
    </row>
    <row r="22" spans="2:8" ht="24" customHeight="1" x14ac:dyDescent="0.2">
      <c r="B22" s="17" t="s">
        <v>30</v>
      </c>
      <c r="C22" s="17" t="s">
        <v>31</v>
      </c>
      <c r="D22" s="17" t="s">
        <v>18</v>
      </c>
      <c r="E22" s="18">
        <v>163630</v>
      </c>
      <c r="F22" s="19">
        <v>1602.59</v>
      </c>
      <c r="G22" s="20">
        <v>3.2</v>
      </c>
      <c r="H22" s="21"/>
    </row>
    <row r="23" spans="2:8" ht="24" customHeight="1" x14ac:dyDescent="0.2">
      <c r="B23" s="17" t="s">
        <v>32</v>
      </c>
      <c r="C23" s="17" t="s">
        <v>33</v>
      </c>
      <c r="D23" s="17" t="s">
        <v>18</v>
      </c>
      <c r="E23" s="18">
        <v>401815</v>
      </c>
      <c r="F23" s="19">
        <v>1420.01</v>
      </c>
      <c r="G23" s="20">
        <v>2.84</v>
      </c>
      <c r="H23" s="21"/>
    </row>
    <row r="24" spans="2:8" ht="24" customHeight="1" x14ac:dyDescent="0.2">
      <c r="B24" s="17" t="s">
        <v>34</v>
      </c>
      <c r="C24" s="17" t="s">
        <v>35</v>
      </c>
      <c r="D24" s="17" t="s">
        <v>36</v>
      </c>
      <c r="E24" s="18">
        <v>167799</v>
      </c>
      <c r="F24" s="19">
        <v>1344.99</v>
      </c>
      <c r="G24" s="20">
        <v>2.69</v>
      </c>
      <c r="H24" s="21"/>
    </row>
    <row r="25" spans="2:8" ht="24" customHeight="1" x14ac:dyDescent="0.2">
      <c r="B25" s="17" t="s">
        <v>37</v>
      </c>
      <c r="C25" s="17" t="s">
        <v>38</v>
      </c>
      <c r="D25" s="17" t="s">
        <v>39</v>
      </c>
      <c r="E25" s="18">
        <v>55103</v>
      </c>
      <c r="F25" s="19">
        <v>1299.82</v>
      </c>
      <c r="G25" s="20">
        <v>2.6</v>
      </c>
      <c r="H25" s="21"/>
    </row>
    <row r="26" spans="2:8" ht="24" customHeight="1" x14ac:dyDescent="0.2">
      <c r="B26" s="17" t="s">
        <v>40</v>
      </c>
      <c r="C26" s="17" t="s">
        <v>41</v>
      </c>
      <c r="D26" s="17" t="s">
        <v>42</v>
      </c>
      <c r="E26" s="18">
        <v>30190</v>
      </c>
      <c r="F26" s="19">
        <v>1192.93</v>
      </c>
      <c r="G26" s="20">
        <v>2.38</v>
      </c>
      <c r="H26" s="21"/>
    </row>
    <row r="27" spans="2:8" ht="24" customHeight="1" x14ac:dyDescent="0.2">
      <c r="B27" s="17" t="s">
        <v>43</v>
      </c>
      <c r="C27" s="17" t="s">
        <v>44</v>
      </c>
      <c r="D27" s="17" t="s">
        <v>45</v>
      </c>
      <c r="E27" s="18">
        <v>519950</v>
      </c>
      <c r="F27" s="19">
        <v>1190.58</v>
      </c>
      <c r="G27" s="20">
        <v>2.38</v>
      </c>
      <c r="H27" s="21"/>
    </row>
    <row r="28" spans="2:8" ht="24" customHeight="1" x14ac:dyDescent="0.2">
      <c r="B28" s="17" t="s">
        <v>46</v>
      </c>
      <c r="C28" s="17" t="s">
        <v>47</v>
      </c>
      <c r="D28" s="17" t="s">
        <v>48</v>
      </c>
      <c r="E28" s="18">
        <v>317000</v>
      </c>
      <c r="F28" s="19">
        <v>1174.96</v>
      </c>
      <c r="G28" s="20">
        <v>2.35</v>
      </c>
      <c r="H28" s="21"/>
    </row>
    <row r="29" spans="2:8" ht="24" customHeight="1" x14ac:dyDescent="0.2">
      <c r="B29" s="17" t="s">
        <v>49</v>
      </c>
      <c r="C29" s="17" t="s">
        <v>50</v>
      </c>
      <c r="D29" s="17" t="s">
        <v>51</v>
      </c>
      <c r="E29" s="18">
        <v>31200</v>
      </c>
      <c r="F29" s="19">
        <v>1049.51</v>
      </c>
      <c r="G29" s="20">
        <v>2.1</v>
      </c>
      <c r="H29" s="21"/>
    </row>
    <row r="30" spans="2:8" ht="24" customHeight="1" x14ac:dyDescent="0.2">
      <c r="B30" s="17" t="s">
        <v>52</v>
      </c>
      <c r="C30" s="17" t="s">
        <v>53</v>
      </c>
      <c r="D30" s="17" t="s">
        <v>54</v>
      </c>
      <c r="E30" s="18">
        <v>265489</v>
      </c>
      <c r="F30" s="19">
        <v>1019.74</v>
      </c>
      <c r="G30" s="20">
        <v>2.04</v>
      </c>
      <c r="H30" s="21"/>
    </row>
    <row r="31" spans="2:8" ht="24" customHeight="1" x14ac:dyDescent="0.2">
      <c r="B31" s="17" t="s">
        <v>55</v>
      </c>
      <c r="C31" s="17" t="s">
        <v>56</v>
      </c>
      <c r="D31" s="17" t="s">
        <v>57</v>
      </c>
      <c r="E31" s="18">
        <v>9132</v>
      </c>
      <c r="F31" s="19">
        <v>981.23</v>
      </c>
      <c r="G31" s="20">
        <v>1.96</v>
      </c>
      <c r="H31" s="21"/>
    </row>
    <row r="32" spans="2:8" ht="24" customHeight="1" x14ac:dyDescent="0.2">
      <c r="B32" s="17" t="s">
        <v>58</v>
      </c>
      <c r="C32" s="17" t="s">
        <v>59</v>
      </c>
      <c r="D32" s="17" t="s">
        <v>60</v>
      </c>
      <c r="E32" s="18">
        <v>16380</v>
      </c>
      <c r="F32" s="19">
        <v>974.12</v>
      </c>
      <c r="G32" s="20">
        <v>1.95</v>
      </c>
      <c r="H32" s="21"/>
    </row>
    <row r="33" spans="2:8" ht="24" customHeight="1" x14ac:dyDescent="0.2">
      <c r="B33" s="17" t="s">
        <v>61</v>
      </c>
      <c r="C33" s="17" t="s">
        <v>62</v>
      </c>
      <c r="D33" s="17" t="s">
        <v>39</v>
      </c>
      <c r="E33" s="18">
        <v>73358</v>
      </c>
      <c r="F33" s="19">
        <v>917.42</v>
      </c>
      <c r="G33" s="20">
        <v>1.83</v>
      </c>
      <c r="H33" s="21"/>
    </row>
    <row r="34" spans="2:8" ht="24" customHeight="1" x14ac:dyDescent="0.2">
      <c r="B34" s="17" t="s">
        <v>63</v>
      </c>
      <c r="C34" s="17" t="s">
        <v>64</v>
      </c>
      <c r="D34" s="17" t="s">
        <v>51</v>
      </c>
      <c r="E34" s="18">
        <v>7114</v>
      </c>
      <c r="F34" s="19">
        <v>875.45</v>
      </c>
      <c r="G34" s="20">
        <v>1.75</v>
      </c>
      <c r="H34" s="21"/>
    </row>
    <row r="35" spans="2:8" ht="24" customHeight="1" x14ac:dyDescent="0.2">
      <c r="B35" s="17" t="s">
        <v>65</v>
      </c>
      <c r="C35" s="17" t="s">
        <v>66</v>
      </c>
      <c r="D35" s="17" t="s">
        <v>51</v>
      </c>
      <c r="E35" s="18">
        <v>27860</v>
      </c>
      <c r="F35" s="19">
        <v>823.18</v>
      </c>
      <c r="G35" s="20">
        <v>1.64</v>
      </c>
      <c r="H35" s="21"/>
    </row>
    <row r="36" spans="2:8" ht="24" customHeight="1" x14ac:dyDescent="0.2">
      <c r="B36" s="17" t="s">
        <v>67</v>
      </c>
      <c r="C36" s="17" t="s">
        <v>68</v>
      </c>
      <c r="D36" s="17" t="s">
        <v>39</v>
      </c>
      <c r="E36" s="18">
        <v>15720</v>
      </c>
      <c r="F36" s="19">
        <v>766.7</v>
      </c>
      <c r="G36" s="20">
        <v>1.53</v>
      </c>
      <c r="H36" s="21"/>
    </row>
    <row r="37" spans="2:8" ht="24" customHeight="1" x14ac:dyDescent="0.2">
      <c r="B37" s="17" t="s">
        <v>69</v>
      </c>
      <c r="C37" s="17" t="s">
        <v>70</v>
      </c>
      <c r="D37" s="17" t="s">
        <v>60</v>
      </c>
      <c r="E37" s="18">
        <v>37763</v>
      </c>
      <c r="F37" s="19">
        <v>757.45</v>
      </c>
      <c r="G37" s="20">
        <v>1.51</v>
      </c>
      <c r="H37" s="21"/>
    </row>
    <row r="38" spans="2:8" ht="24" customHeight="1" x14ac:dyDescent="0.2">
      <c r="B38" s="17" t="s">
        <v>71</v>
      </c>
      <c r="C38" s="17" t="s">
        <v>72</v>
      </c>
      <c r="D38" s="17" t="s">
        <v>39</v>
      </c>
      <c r="E38" s="18">
        <v>50571</v>
      </c>
      <c r="F38" s="19">
        <v>699.9</v>
      </c>
      <c r="G38" s="20">
        <v>1.4</v>
      </c>
      <c r="H38" s="21"/>
    </row>
    <row r="39" spans="2:8" ht="24" customHeight="1" x14ac:dyDescent="0.2">
      <c r="B39" s="17" t="s">
        <v>73</v>
      </c>
      <c r="C39" s="17" t="s">
        <v>74</v>
      </c>
      <c r="D39" s="17" t="s">
        <v>51</v>
      </c>
      <c r="E39" s="18">
        <v>10170</v>
      </c>
      <c r="F39" s="19">
        <v>669.8</v>
      </c>
      <c r="G39" s="20">
        <v>1.34</v>
      </c>
      <c r="H39" s="21"/>
    </row>
    <row r="40" spans="2:8" ht="24" customHeight="1" x14ac:dyDescent="0.2">
      <c r="B40" s="17" t="s">
        <v>75</v>
      </c>
      <c r="C40" s="17" t="s">
        <v>76</v>
      </c>
      <c r="D40" s="17" t="s">
        <v>77</v>
      </c>
      <c r="E40" s="18">
        <v>100613</v>
      </c>
      <c r="F40" s="19">
        <v>659.07</v>
      </c>
      <c r="G40" s="20">
        <v>1.32</v>
      </c>
      <c r="H40" s="21"/>
    </row>
    <row r="41" spans="2:8" ht="24" customHeight="1" x14ac:dyDescent="0.2">
      <c r="B41" s="17" t="s">
        <v>78</v>
      </c>
      <c r="C41" s="17" t="s">
        <v>79</v>
      </c>
      <c r="D41" s="17" t="s">
        <v>80</v>
      </c>
      <c r="E41" s="18">
        <v>12093</v>
      </c>
      <c r="F41" s="19">
        <v>655.8</v>
      </c>
      <c r="G41" s="20">
        <v>1.31</v>
      </c>
      <c r="H41" s="21"/>
    </row>
    <row r="42" spans="2:8" ht="24" customHeight="1" x14ac:dyDescent="0.2">
      <c r="B42" s="17" t="s">
        <v>81</v>
      </c>
      <c r="C42" s="17" t="s">
        <v>82</v>
      </c>
      <c r="D42" s="17" t="s">
        <v>83</v>
      </c>
      <c r="E42" s="18">
        <v>14355</v>
      </c>
      <c r="F42" s="19">
        <v>645.99</v>
      </c>
      <c r="G42" s="20">
        <v>1.29</v>
      </c>
      <c r="H42" s="21"/>
    </row>
    <row r="43" spans="2:8" ht="24" customHeight="1" x14ac:dyDescent="0.2">
      <c r="B43" s="17" t="s">
        <v>84</v>
      </c>
      <c r="C43" s="17" t="s">
        <v>85</v>
      </c>
      <c r="D43" s="17" t="s">
        <v>86</v>
      </c>
      <c r="E43" s="18">
        <v>65797</v>
      </c>
      <c r="F43" s="19">
        <v>633.16</v>
      </c>
      <c r="G43" s="20">
        <v>1.26</v>
      </c>
      <c r="H43" s="21"/>
    </row>
    <row r="44" spans="2:8" ht="24" customHeight="1" x14ac:dyDescent="0.2">
      <c r="B44" s="17" t="s">
        <v>87</v>
      </c>
      <c r="C44" s="17" t="s">
        <v>88</v>
      </c>
      <c r="D44" s="17" t="s">
        <v>60</v>
      </c>
      <c r="E44" s="18">
        <v>35770</v>
      </c>
      <c r="F44" s="19">
        <v>628.54999999999995</v>
      </c>
      <c r="G44" s="20">
        <v>1.26</v>
      </c>
      <c r="H44" s="21"/>
    </row>
    <row r="45" spans="2:8" ht="24" customHeight="1" x14ac:dyDescent="0.2">
      <c r="B45" s="17" t="s">
        <v>89</v>
      </c>
      <c r="C45" s="17" t="s">
        <v>90</v>
      </c>
      <c r="D45" s="17" t="s">
        <v>36</v>
      </c>
      <c r="E45" s="18">
        <v>204960</v>
      </c>
      <c r="F45" s="19">
        <v>625.13</v>
      </c>
      <c r="G45" s="20">
        <v>1.25</v>
      </c>
      <c r="H45" s="21"/>
    </row>
    <row r="46" spans="2:8" ht="24" customHeight="1" x14ac:dyDescent="0.2">
      <c r="B46" s="17" t="s">
        <v>91</v>
      </c>
      <c r="C46" s="17" t="s">
        <v>92</v>
      </c>
      <c r="D46" s="17" t="s">
        <v>36</v>
      </c>
      <c r="E46" s="18">
        <v>157030</v>
      </c>
      <c r="F46" s="19">
        <v>595.92999999999995</v>
      </c>
      <c r="G46" s="20">
        <v>1.19</v>
      </c>
      <c r="H46" s="21"/>
    </row>
    <row r="47" spans="2:8" ht="24" customHeight="1" x14ac:dyDescent="0.2">
      <c r="B47" s="17" t="s">
        <v>93</v>
      </c>
      <c r="C47" s="17" t="s">
        <v>94</v>
      </c>
      <c r="D47" s="17" t="s">
        <v>95</v>
      </c>
      <c r="E47" s="18">
        <v>40726</v>
      </c>
      <c r="F47" s="19">
        <v>581.49</v>
      </c>
      <c r="G47" s="20">
        <v>1.1599999999999999</v>
      </c>
      <c r="H47" s="21"/>
    </row>
    <row r="48" spans="2:8" ht="24" customHeight="1" x14ac:dyDescent="0.2">
      <c r="B48" s="17" t="s">
        <v>96</v>
      </c>
      <c r="C48" s="17" t="s">
        <v>97</v>
      </c>
      <c r="D48" s="17" t="s">
        <v>98</v>
      </c>
      <c r="E48" s="18">
        <v>50038</v>
      </c>
      <c r="F48" s="19">
        <v>561.67999999999995</v>
      </c>
      <c r="G48" s="20">
        <v>1.1200000000000001</v>
      </c>
      <c r="H48" s="21"/>
    </row>
    <row r="49" spans="2:8" ht="24" customHeight="1" x14ac:dyDescent="0.2">
      <c r="B49" s="17" t="s">
        <v>99</v>
      </c>
      <c r="C49" s="17" t="s">
        <v>100</v>
      </c>
      <c r="D49" s="17" t="s">
        <v>101</v>
      </c>
      <c r="E49" s="18">
        <v>19570</v>
      </c>
      <c r="F49" s="19">
        <v>548.25</v>
      </c>
      <c r="G49" s="20">
        <v>1.1000000000000001</v>
      </c>
      <c r="H49" s="21"/>
    </row>
    <row r="50" spans="2:8" ht="24" customHeight="1" x14ac:dyDescent="0.2">
      <c r="B50" s="17" t="s">
        <v>102</v>
      </c>
      <c r="C50" s="17" t="s">
        <v>103</v>
      </c>
      <c r="D50" s="17" t="s">
        <v>104</v>
      </c>
      <c r="E50" s="18">
        <v>30648</v>
      </c>
      <c r="F50" s="19">
        <v>524.26</v>
      </c>
      <c r="G50" s="20">
        <v>1.05</v>
      </c>
      <c r="H50" s="21"/>
    </row>
    <row r="51" spans="2:8" ht="24" customHeight="1" x14ac:dyDescent="0.2">
      <c r="B51" s="17" t="s">
        <v>105</v>
      </c>
      <c r="C51" s="17" t="s">
        <v>106</v>
      </c>
      <c r="D51" s="17" t="s">
        <v>42</v>
      </c>
      <c r="E51" s="18">
        <v>23535</v>
      </c>
      <c r="F51" s="19">
        <v>509.58</v>
      </c>
      <c r="G51" s="20">
        <v>1.02</v>
      </c>
      <c r="H51" s="21"/>
    </row>
    <row r="52" spans="2:8" ht="24" customHeight="1" x14ac:dyDescent="0.2">
      <c r="B52" s="17" t="s">
        <v>107</v>
      </c>
      <c r="C52" s="17" t="s">
        <v>108</v>
      </c>
      <c r="D52" s="17" t="s">
        <v>60</v>
      </c>
      <c r="E52" s="18">
        <v>12030</v>
      </c>
      <c r="F52" s="19">
        <v>507.69</v>
      </c>
      <c r="G52" s="20">
        <v>1.01</v>
      </c>
      <c r="H52" s="21"/>
    </row>
    <row r="53" spans="2:8" ht="24" customHeight="1" x14ac:dyDescent="0.2">
      <c r="B53" s="17" t="s">
        <v>109</v>
      </c>
      <c r="C53" s="17" t="s">
        <v>110</v>
      </c>
      <c r="D53" s="17" t="s">
        <v>45</v>
      </c>
      <c r="E53" s="18">
        <v>461116</v>
      </c>
      <c r="F53" s="19">
        <v>485.56</v>
      </c>
      <c r="G53" s="20">
        <v>0.97</v>
      </c>
      <c r="H53" s="21"/>
    </row>
    <row r="54" spans="2:8" ht="24" customHeight="1" x14ac:dyDescent="0.2">
      <c r="B54" s="17" t="s">
        <v>111</v>
      </c>
      <c r="C54" s="17" t="s">
        <v>112</v>
      </c>
      <c r="D54" s="17" t="s">
        <v>113</v>
      </c>
      <c r="E54" s="18">
        <v>459600</v>
      </c>
      <c r="F54" s="19">
        <v>482.95</v>
      </c>
      <c r="G54" s="20">
        <v>0.96</v>
      </c>
      <c r="H54" s="21"/>
    </row>
    <row r="55" spans="2:8" ht="24" customHeight="1" x14ac:dyDescent="0.2">
      <c r="B55" s="17" t="s">
        <v>114</v>
      </c>
      <c r="C55" s="17" t="s">
        <v>115</v>
      </c>
      <c r="D55" s="17" t="s">
        <v>116</v>
      </c>
      <c r="E55" s="18">
        <v>39836</v>
      </c>
      <c r="F55" s="19">
        <v>448.75</v>
      </c>
      <c r="G55" s="20">
        <v>0.9</v>
      </c>
      <c r="H55" s="21"/>
    </row>
    <row r="56" spans="2:8" ht="24" customHeight="1" x14ac:dyDescent="0.2">
      <c r="B56" s="17" t="s">
        <v>117</v>
      </c>
      <c r="C56" s="17" t="s">
        <v>118</v>
      </c>
      <c r="D56" s="17" t="s">
        <v>119</v>
      </c>
      <c r="E56" s="18">
        <v>288748</v>
      </c>
      <c r="F56" s="19">
        <v>445.05</v>
      </c>
      <c r="G56" s="20">
        <v>0.89</v>
      </c>
      <c r="H56" s="21"/>
    </row>
    <row r="57" spans="2:8" ht="24" customHeight="1" x14ac:dyDescent="0.2">
      <c r="B57" s="17" t="s">
        <v>120</v>
      </c>
      <c r="C57" s="17" t="s">
        <v>121</v>
      </c>
      <c r="D57" s="17" t="s">
        <v>42</v>
      </c>
      <c r="E57" s="18">
        <v>30404</v>
      </c>
      <c r="F57" s="19">
        <v>438.12</v>
      </c>
      <c r="G57" s="20">
        <v>0.88</v>
      </c>
      <c r="H57" s="21"/>
    </row>
    <row r="58" spans="2:8" ht="24" customHeight="1" x14ac:dyDescent="0.2">
      <c r="B58" s="17" t="s">
        <v>122</v>
      </c>
      <c r="C58" s="17" t="s">
        <v>123</v>
      </c>
      <c r="D58" s="17" t="s">
        <v>36</v>
      </c>
      <c r="E58" s="18">
        <v>12560</v>
      </c>
      <c r="F58" s="19">
        <v>396.91</v>
      </c>
      <c r="G58" s="20">
        <v>0.79</v>
      </c>
      <c r="H58" s="21"/>
    </row>
    <row r="59" spans="2:8" ht="24" customHeight="1" x14ac:dyDescent="0.2">
      <c r="B59" s="17" t="s">
        <v>124</v>
      </c>
      <c r="C59" s="17" t="s">
        <v>125</v>
      </c>
      <c r="D59" s="17" t="s">
        <v>126</v>
      </c>
      <c r="E59" s="18">
        <v>98862</v>
      </c>
      <c r="F59" s="19">
        <v>396.09</v>
      </c>
      <c r="G59" s="20">
        <v>0.79</v>
      </c>
      <c r="H59" s="21"/>
    </row>
    <row r="60" spans="2:8" ht="24" customHeight="1" x14ac:dyDescent="0.2">
      <c r="B60" s="17" t="s">
        <v>127</v>
      </c>
      <c r="C60" s="17" t="s">
        <v>128</v>
      </c>
      <c r="D60" s="17" t="s">
        <v>54</v>
      </c>
      <c r="E60" s="18">
        <v>32322</v>
      </c>
      <c r="F60" s="19">
        <v>393.94</v>
      </c>
      <c r="G60" s="20">
        <v>0.79</v>
      </c>
      <c r="H60" s="21"/>
    </row>
    <row r="61" spans="2:8" ht="24" customHeight="1" x14ac:dyDescent="0.2">
      <c r="B61" s="17" t="s">
        <v>129</v>
      </c>
      <c r="C61" s="17" t="s">
        <v>130</v>
      </c>
      <c r="D61" s="17" t="s">
        <v>131</v>
      </c>
      <c r="E61" s="18">
        <v>135588</v>
      </c>
      <c r="F61" s="19">
        <v>390.09</v>
      </c>
      <c r="G61" s="20">
        <v>0.78</v>
      </c>
      <c r="H61" s="21"/>
    </row>
    <row r="62" spans="2:8" ht="24" customHeight="1" x14ac:dyDescent="0.2">
      <c r="B62" s="17" t="s">
        <v>132</v>
      </c>
      <c r="C62" s="17" t="s">
        <v>133</v>
      </c>
      <c r="D62" s="17" t="s">
        <v>134</v>
      </c>
      <c r="E62" s="18">
        <v>3187</v>
      </c>
      <c r="F62" s="19">
        <v>384.86</v>
      </c>
      <c r="G62" s="20">
        <v>0.77</v>
      </c>
      <c r="H62" s="21"/>
    </row>
    <row r="63" spans="2:8" ht="24" customHeight="1" x14ac:dyDescent="0.2">
      <c r="B63" s="17" t="s">
        <v>135</v>
      </c>
      <c r="C63" s="17" t="s">
        <v>136</v>
      </c>
      <c r="D63" s="17" t="s">
        <v>36</v>
      </c>
      <c r="E63" s="18">
        <v>42600</v>
      </c>
      <c r="F63" s="19">
        <v>371.51</v>
      </c>
      <c r="G63" s="20">
        <v>0.74</v>
      </c>
      <c r="H63" s="21"/>
    </row>
    <row r="64" spans="2:8" ht="24" customHeight="1" x14ac:dyDescent="0.2">
      <c r="B64" s="17" t="s">
        <v>137</v>
      </c>
      <c r="C64" s="17" t="s">
        <v>138</v>
      </c>
      <c r="D64" s="17" t="s">
        <v>42</v>
      </c>
      <c r="E64" s="18">
        <v>3660</v>
      </c>
      <c r="F64" s="19">
        <v>354.03</v>
      </c>
      <c r="G64" s="20">
        <v>0.71</v>
      </c>
      <c r="H64" s="21"/>
    </row>
    <row r="65" spans="2:8" ht="24" customHeight="1" x14ac:dyDescent="0.2">
      <c r="B65" s="17" t="s">
        <v>139</v>
      </c>
      <c r="C65" s="17" t="s">
        <v>140</v>
      </c>
      <c r="D65" s="17" t="s">
        <v>141</v>
      </c>
      <c r="E65" s="18">
        <v>40000</v>
      </c>
      <c r="F65" s="19">
        <v>353.78</v>
      </c>
      <c r="G65" s="20">
        <v>0.71</v>
      </c>
      <c r="H65" s="21"/>
    </row>
    <row r="66" spans="2:8" ht="24" customHeight="1" x14ac:dyDescent="0.2">
      <c r="B66" s="17" t="s">
        <v>142</v>
      </c>
      <c r="C66" s="17" t="s">
        <v>143</v>
      </c>
      <c r="D66" s="17" t="s">
        <v>104</v>
      </c>
      <c r="E66" s="18">
        <v>59008</v>
      </c>
      <c r="F66" s="19">
        <v>348.5</v>
      </c>
      <c r="G66" s="20">
        <v>0.7</v>
      </c>
      <c r="H66" s="21"/>
    </row>
    <row r="67" spans="2:8" ht="24" customHeight="1" x14ac:dyDescent="0.2">
      <c r="B67" s="17" t="s">
        <v>144</v>
      </c>
      <c r="C67" s="17" t="s">
        <v>145</v>
      </c>
      <c r="D67" s="17" t="s">
        <v>36</v>
      </c>
      <c r="E67" s="18">
        <v>17725</v>
      </c>
      <c r="F67" s="19">
        <v>240.12</v>
      </c>
      <c r="G67" s="20">
        <v>0.48</v>
      </c>
      <c r="H67" s="21"/>
    </row>
    <row r="68" spans="2:8" ht="24" customHeight="1" x14ac:dyDescent="0.2">
      <c r="B68" s="28" t="s">
        <v>146</v>
      </c>
      <c r="C68" s="28"/>
      <c r="D68" s="28"/>
      <c r="E68" s="29"/>
      <c r="F68" s="30">
        <f>SUM(F17:F67)</f>
        <v>48898.600000000006</v>
      </c>
      <c r="G68" s="30">
        <f>SUM(G17:G67)</f>
        <v>97.710000000000022</v>
      </c>
      <c r="H68" s="31"/>
    </row>
    <row r="69" spans="2:8" ht="24" customHeight="1" x14ac:dyDescent="0.2">
      <c r="B69" s="17"/>
      <c r="C69" s="17"/>
      <c r="D69" s="17"/>
      <c r="E69" s="18"/>
      <c r="F69" s="19"/>
      <c r="G69" s="20"/>
      <c r="H69" s="21"/>
    </row>
    <row r="70" spans="2:8" ht="24" customHeight="1" x14ac:dyDescent="0.2">
      <c r="B70" s="22" t="s">
        <v>147</v>
      </c>
      <c r="C70" s="23"/>
      <c r="D70" s="23"/>
      <c r="E70" s="24"/>
      <c r="F70" s="25"/>
      <c r="G70" s="26"/>
      <c r="H70" s="27"/>
    </row>
    <row r="71" spans="2:8" ht="24" customHeight="1" x14ac:dyDescent="0.2">
      <c r="B71" s="17"/>
      <c r="C71" s="17"/>
      <c r="D71" s="17"/>
      <c r="E71" s="18"/>
      <c r="F71" s="20">
        <v>0</v>
      </c>
      <c r="G71" s="20">
        <v>0</v>
      </c>
      <c r="H71" s="21"/>
    </row>
    <row r="72" spans="2:8" ht="24" customHeight="1" x14ac:dyDescent="0.2">
      <c r="B72" s="28" t="s">
        <v>146</v>
      </c>
      <c r="C72" s="17"/>
      <c r="D72" s="17"/>
      <c r="E72" s="18"/>
      <c r="F72" s="32" t="s">
        <v>148</v>
      </c>
      <c r="G72" s="32" t="s">
        <v>148</v>
      </c>
      <c r="H72" s="21"/>
    </row>
    <row r="73" spans="2:8" ht="24" customHeight="1" x14ac:dyDescent="0.2">
      <c r="B73" s="17"/>
      <c r="C73" s="17"/>
      <c r="D73" s="17"/>
      <c r="E73" s="18"/>
      <c r="F73" s="19"/>
      <c r="G73" s="20"/>
      <c r="H73" s="21"/>
    </row>
    <row r="74" spans="2:8" ht="24" customHeight="1" x14ac:dyDescent="0.2">
      <c r="B74" s="33" t="s">
        <v>149</v>
      </c>
      <c r="C74" s="34"/>
      <c r="D74" s="34"/>
      <c r="E74" s="35"/>
      <c r="F74" s="30">
        <f>F68</f>
        <v>48898.600000000006</v>
      </c>
      <c r="G74" s="30">
        <f>G68</f>
        <v>97.710000000000022</v>
      </c>
      <c r="H74" s="31"/>
    </row>
    <row r="75" spans="2:8" ht="24" customHeight="1" x14ac:dyDescent="0.2">
      <c r="B75" s="36"/>
      <c r="C75" s="37"/>
      <c r="D75" s="37"/>
      <c r="E75" s="38"/>
      <c r="F75" s="39"/>
      <c r="G75" s="40"/>
      <c r="H75" s="31"/>
    </row>
    <row r="76" spans="2:8" ht="24" customHeight="1" x14ac:dyDescent="0.2">
      <c r="B76" s="22" t="s">
        <v>150</v>
      </c>
      <c r="C76" s="23"/>
      <c r="D76" s="23"/>
      <c r="E76" s="41"/>
      <c r="F76" s="25"/>
      <c r="G76" s="26"/>
      <c r="H76" s="27"/>
    </row>
    <row r="77" spans="2:8" ht="24" customHeight="1" x14ac:dyDescent="0.2">
      <c r="B77" s="17" t="s">
        <v>49</v>
      </c>
      <c r="C77" s="17" t="s">
        <v>151</v>
      </c>
      <c r="D77" s="17" t="s">
        <v>51</v>
      </c>
      <c r="E77" s="18">
        <v>239480</v>
      </c>
      <c r="F77" s="19">
        <v>24.55</v>
      </c>
      <c r="G77" s="20">
        <v>0.05</v>
      </c>
      <c r="H77" s="21"/>
    </row>
    <row r="78" spans="2:8" ht="24" customHeight="1" x14ac:dyDescent="0.2">
      <c r="B78" s="28" t="s">
        <v>146</v>
      </c>
      <c r="C78" s="28"/>
      <c r="D78" s="28"/>
      <c r="E78" s="29"/>
      <c r="F78" s="30">
        <f>F77</f>
        <v>24.55</v>
      </c>
      <c r="G78" s="30">
        <f>G77</f>
        <v>0.05</v>
      </c>
      <c r="H78" s="31"/>
    </row>
    <row r="79" spans="2:8" ht="24" customHeight="1" x14ac:dyDescent="0.2">
      <c r="B79" s="42"/>
      <c r="C79" s="42"/>
      <c r="D79" s="42"/>
      <c r="E79" s="38"/>
      <c r="F79" s="39"/>
      <c r="G79" s="40"/>
      <c r="H79" s="31"/>
    </row>
    <row r="80" spans="2:8" ht="24" customHeight="1" x14ac:dyDescent="0.2">
      <c r="B80" s="33" t="s">
        <v>149</v>
      </c>
      <c r="C80" s="34"/>
      <c r="D80" s="34"/>
      <c r="E80" s="35"/>
      <c r="F80" s="30">
        <f>F78</f>
        <v>24.55</v>
      </c>
      <c r="G80" s="30">
        <f>G78</f>
        <v>0.05</v>
      </c>
      <c r="H80" s="31"/>
    </row>
    <row r="81" spans="2:13" ht="24" customHeight="1" x14ac:dyDescent="0.2">
      <c r="B81" s="17"/>
      <c r="C81" s="17"/>
      <c r="D81" s="17"/>
      <c r="E81" s="18"/>
      <c r="F81" s="19"/>
      <c r="G81" s="20"/>
      <c r="H81" s="21"/>
    </row>
    <row r="82" spans="2:13" ht="24" customHeight="1" x14ac:dyDescent="0.2">
      <c r="B82" s="11" t="s">
        <v>152</v>
      </c>
      <c r="C82" s="12"/>
      <c r="D82" s="12"/>
      <c r="E82" s="13"/>
      <c r="F82" s="14"/>
      <c r="G82" s="15"/>
      <c r="H82" s="16"/>
      <c r="L82" s="43"/>
    </row>
    <row r="83" spans="2:13" ht="24" customHeight="1" x14ac:dyDescent="0.2">
      <c r="B83" s="17"/>
      <c r="C83" s="17"/>
      <c r="D83" s="17"/>
      <c r="E83" s="18"/>
      <c r="F83" s="19"/>
      <c r="G83" s="20"/>
      <c r="H83" s="21"/>
    </row>
    <row r="84" spans="2:13" ht="24" customHeight="1" x14ac:dyDescent="0.2">
      <c r="B84" s="22" t="s">
        <v>153</v>
      </c>
      <c r="C84" s="23"/>
      <c r="D84" s="23"/>
      <c r="E84" s="24"/>
      <c r="F84" s="25"/>
      <c r="G84" s="26"/>
      <c r="H84" s="27"/>
      <c r="L84" s="43"/>
    </row>
    <row r="85" spans="2:13" ht="24" customHeight="1" x14ac:dyDescent="0.2">
      <c r="B85" s="17" t="s">
        <v>154</v>
      </c>
      <c r="C85" s="17" t="s">
        <v>155</v>
      </c>
      <c r="D85" s="17" t="s">
        <v>156</v>
      </c>
      <c r="E85" s="18">
        <v>50000</v>
      </c>
      <c r="F85" s="19">
        <v>48.45</v>
      </c>
      <c r="G85" s="20">
        <v>0.1</v>
      </c>
      <c r="H85" s="21">
        <v>5.5281000000000002</v>
      </c>
      <c r="L85" s="43"/>
    </row>
    <row r="86" spans="2:13" ht="24" customHeight="1" x14ac:dyDescent="0.2">
      <c r="B86" s="28" t="s">
        <v>146</v>
      </c>
      <c r="C86" s="28"/>
      <c r="D86" s="28"/>
      <c r="E86" s="29"/>
      <c r="F86" s="30">
        <v>48.45</v>
      </c>
      <c r="G86" s="44">
        <v>0.1</v>
      </c>
      <c r="H86" s="31"/>
      <c r="L86" s="43"/>
    </row>
    <row r="87" spans="2:13" ht="24" customHeight="1" x14ac:dyDescent="0.2">
      <c r="B87" s="17"/>
      <c r="C87" s="17"/>
      <c r="D87" s="17"/>
      <c r="E87" s="18"/>
      <c r="F87" s="19"/>
      <c r="G87" s="20"/>
      <c r="H87" s="21"/>
      <c r="L87" s="43"/>
    </row>
    <row r="88" spans="2:13" ht="24" customHeight="1" x14ac:dyDescent="0.2">
      <c r="B88" s="33" t="s">
        <v>149</v>
      </c>
      <c r="C88" s="34"/>
      <c r="D88" s="34"/>
      <c r="E88" s="35"/>
      <c r="F88" s="30">
        <v>48.45</v>
      </c>
      <c r="G88" s="44">
        <v>0.1</v>
      </c>
      <c r="H88" s="31"/>
      <c r="L88" s="43"/>
    </row>
    <row r="89" spans="2:13" ht="24" customHeight="1" x14ac:dyDescent="0.2">
      <c r="B89" s="17"/>
      <c r="C89" s="17"/>
      <c r="D89" s="17"/>
      <c r="E89" s="18"/>
      <c r="F89" s="19"/>
      <c r="G89" s="20"/>
      <c r="H89" s="21"/>
      <c r="L89" s="45"/>
      <c r="M89" s="45"/>
    </row>
    <row r="90" spans="2:13" ht="24" customHeight="1" x14ac:dyDescent="0.2">
      <c r="B90" s="17"/>
      <c r="C90" s="17"/>
      <c r="D90" s="17"/>
      <c r="E90" s="18"/>
      <c r="F90" s="19"/>
      <c r="G90" s="20"/>
      <c r="H90" s="21"/>
    </row>
    <row r="91" spans="2:13" ht="24" customHeight="1" x14ac:dyDescent="0.2">
      <c r="B91" s="11" t="s">
        <v>157</v>
      </c>
      <c r="C91" s="12"/>
      <c r="D91" s="12"/>
      <c r="E91" s="13"/>
      <c r="F91" s="14"/>
      <c r="G91" s="15"/>
      <c r="H91" s="16"/>
    </row>
    <row r="92" spans="2:13" ht="24" customHeight="1" x14ac:dyDescent="0.2">
      <c r="B92" s="17" t="s">
        <v>158</v>
      </c>
      <c r="C92" s="17"/>
      <c r="D92" s="17"/>
      <c r="E92" s="18"/>
      <c r="F92" s="19">
        <v>1230.57</v>
      </c>
      <c r="G92" s="20">
        <v>2.46</v>
      </c>
      <c r="H92" s="21"/>
      <c r="L92" s="46"/>
      <c r="M92" s="46"/>
    </row>
    <row r="93" spans="2:13" ht="24" customHeight="1" x14ac:dyDescent="0.2">
      <c r="B93" s="28" t="s">
        <v>146</v>
      </c>
      <c r="C93" s="28"/>
      <c r="D93" s="28"/>
      <c r="E93" s="29"/>
      <c r="F93" s="30">
        <v>1230.57</v>
      </c>
      <c r="G93" s="44">
        <v>2.46</v>
      </c>
      <c r="H93" s="31"/>
      <c r="L93" s="46"/>
      <c r="M93" s="46"/>
    </row>
    <row r="94" spans="2:13" ht="24" customHeight="1" x14ac:dyDescent="0.2">
      <c r="B94" s="17"/>
      <c r="C94" s="17"/>
      <c r="D94" s="17"/>
      <c r="E94" s="18"/>
      <c r="F94" s="19"/>
      <c r="G94" s="20"/>
      <c r="H94" s="21"/>
      <c r="L94" s="46"/>
      <c r="M94" s="46"/>
    </row>
    <row r="95" spans="2:13" ht="24" customHeight="1" x14ac:dyDescent="0.2">
      <c r="B95" s="33" t="s">
        <v>149</v>
      </c>
      <c r="C95" s="34"/>
      <c r="D95" s="34"/>
      <c r="E95" s="35"/>
      <c r="F95" s="30">
        <v>1230.57</v>
      </c>
      <c r="G95" s="44">
        <v>2.46</v>
      </c>
      <c r="H95" s="31"/>
      <c r="L95" s="46"/>
      <c r="M95" s="46"/>
    </row>
    <row r="96" spans="2:13" ht="24" customHeight="1" x14ac:dyDescent="0.2">
      <c r="B96" s="17"/>
      <c r="C96" s="17"/>
      <c r="D96" s="17"/>
      <c r="E96" s="18"/>
      <c r="F96" s="19"/>
      <c r="G96" s="20"/>
      <c r="H96" s="21"/>
      <c r="L96" s="46"/>
      <c r="M96" s="46"/>
    </row>
    <row r="97" spans="2:13" ht="24" customHeight="1" x14ac:dyDescent="0.2">
      <c r="B97" s="17" t="s">
        <v>159</v>
      </c>
      <c r="C97" s="17"/>
      <c r="D97" s="17"/>
      <c r="E97" s="18"/>
      <c r="F97" s="47">
        <v>-135.28</v>
      </c>
      <c r="G97" s="20">
        <v>-0.32</v>
      </c>
      <c r="H97" s="21"/>
      <c r="L97" s="46"/>
      <c r="M97" s="46"/>
    </row>
    <row r="98" spans="2:13" ht="24" customHeight="1" x14ac:dyDescent="0.2">
      <c r="B98" s="17"/>
      <c r="C98" s="17"/>
      <c r="D98" s="17"/>
      <c r="E98" s="18"/>
      <c r="F98" s="19"/>
      <c r="G98" s="20"/>
      <c r="H98" s="21"/>
      <c r="L98" s="46"/>
      <c r="M98" s="46"/>
    </row>
    <row r="99" spans="2:13" ht="24" customHeight="1" x14ac:dyDescent="0.2">
      <c r="B99" s="33" t="s">
        <v>160</v>
      </c>
      <c r="C99" s="34"/>
      <c r="D99" s="34"/>
      <c r="E99" s="35"/>
      <c r="F99" s="30">
        <v>50066.89</v>
      </c>
      <c r="G99" s="44">
        <v>100</v>
      </c>
      <c r="H99" s="48"/>
    </row>
    <row r="100" spans="2:13" ht="24" customHeight="1" x14ac:dyDescent="0.2">
      <c r="B100" s="4"/>
      <c r="L100" s="43"/>
    </row>
    <row r="101" spans="2:13" ht="24" customHeight="1" x14ac:dyDescent="0.2">
      <c r="B101" s="51" t="s">
        <v>161</v>
      </c>
      <c r="F101" s="52"/>
      <c r="G101" s="52"/>
    </row>
    <row r="102" spans="2:13" ht="24" customHeight="1" x14ac:dyDescent="0.2">
      <c r="F102" s="52"/>
      <c r="G102" s="52"/>
    </row>
    <row r="108" spans="2:13" ht="24" customHeight="1" x14ac:dyDescent="0.2">
      <c r="B108" s="37" t="s">
        <v>162</v>
      </c>
    </row>
    <row r="109" spans="2:13" ht="24" customHeight="1" x14ac:dyDescent="0.2">
      <c r="B109" s="49" t="s">
        <v>163</v>
      </c>
    </row>
    <row r="110" spans="2:13" ht="24" customHeight="1" x14ac:dyDescent="0.2">
      <c r="B110" s="53" t="s">
        <v>164</v>
      </c>
      <c r="C110" s="54">
        <v>46080</v>
      </c>
      <c r="D110" s="55">
        <v>46112</v>
      </c>
    </row>
    <row r="111" spans="2:13" ht="24" customHeight="1" x14ac:dyDescent="0.2">
      <c r="B111" s="56" t="s">
        <v>165</v>
      </c>
      <c r="C111" s="57" t="s">
        <v>166</v>
      </c>
      <c r="D111" s="58" t="s">
        <v>166</v>
      </c>
      <c r="E111" s="4"/>
      <c r="F111" s="4"/>
      <c r="G111" s="4"/>
      <c r="H111" s="4"/>
    </row>
    <row r="112" spans="2:13" ht="24" customHeight="1" x14ac:dyDescent="0.2">
      <c r="B112" s="59" t="s">
        <v>167</v>
      </c>
      <c r="C112" s="60">
        <v>402.15</v>
      </c>
      <c r="D112" s="61">
        <v>357.79</v>
      </c>
      <c r="E112" s="4"/>
      <c r="F112" s="4"/>
      <c r="G112" s="4"/>
      <c r="H112" s="4"/>
    </row>
    <row r="113" spans="2:8" ht="24" customHeight="1" x14ac:dyDescent="0.2">
      <c r="B113" s="59" t="s">
        <v>168</v>
      </c>
      <c r="C113" s="60">
        <v>27.69</v>
      </c>
      <c r="D113" s="61">
        <v>24.12</v>
      </c>
      <c r="E113" s="4"/>
      <c r="F113" s="4"/>
      <c r="G113" s="4"/>
      <c r="H113" s="4"/>
    </row>
    <row r="114" spans="2:8" ht="24" customHeight="1" x14ac:dyDescent="0.2">
      <c r="B114" s="56" t="s">
        <v>169</v>
      </c>
      <c r="C114" s="57"/>
      <c r="D114" s="58"/>
      <c r="E114" s="4"/>
      <c r="F114" s="4"/>
      <c r="G114" s="4"/>
      <c r="H114" s="4"/>
    </row>
    <row r="115" spans="2:8" ht="24" customHeight="1" x14ac:dyDescent="0.2">
      <c r="B115" s="59" t="s">
        <v>167</v>
      </c>
      <c r="C115" s="60">
        <v>335.8</v>
      </c>
      <c r="D115" s="61">
        <v>298.35000000000002</v>
      </c>
      <c r="E115" s="4"/>
      <c r="F115" s="4"/>
      <c r="G115" s="4"/>
      <c r="H115" s="4"/>
    </row>
    <row r="116" spans="2:8" ht="24" customHeight="1" x14ac:dyDescent="0.2">
      <c r="B116" s="62" t="s">
        <v>168</v>
      </c>
      <c r="C116" s="63">
        <v>19.21</v>
      </c>
      <c r="D116" s="64">
        <v>16.71</v>
      </c>
      <c r="E116" s="4"/>
      <c r="F116" s="4"/>
      <c r="G116" s="4"/>
      <c r="H116" s="4"/>
    </row>
    <row r="117" spans="2:8" ht="24" customHeight="1" x14ac:dyDescent="0.2">
      <c r="C117" s="65"/>
      <c r="D117" s="65"/>
      <c r="E117" s="4"/>
      <c r="F117" s="4"/>
      <c r="G117" s="4"/>
      <c r="H117" s="4"/>
    </row>
    <row r="118" spans="2:8" ht="24" customHeight="1" x14ac:dyDescent="0.2">
      <c r="B118" s="49" t="s">
        <v>170</v>
      </c>
      <c r="D118" s="45" t="s">
        <v>148</v>
      </c>
    </row>
    <row r="120" spans="2:8" ht="24" customHeight="1" x14ac:dyDescent="0.2">
      <c r="B120" s="49" t="s">
        <v>171</v>
      </c>
      <c r="D120" s="45" t="s">
        <v>148</v>
      </c>
    </row>
    <row r="122" spans="2:8" ht="24" customHeight="1" x14ac:dyDescent="0.2">
      <c r="B122" s="49" t="s">
        <v>172</v>
      </c>
      <c r="D122" s="45" t="s">
        <v>148</v>
      </c>
    </row>
    <row r="124" spans="2:8" ht="24" customHeight="1" x14ac:dyDescent="0.2">
      <c r="B124" s="49" t="s">
        <v>173</v>
      </c>
      <c r="D124" s="45" t="s">
        <v>148</v>
      </c>
    </row>
    <row r="126" spans="2:8" ht="24" customHeight="1" x14ac:dyDescent="0.2">
      <c r="B126" s="49" t="s">
        <v>174</v>
      </c>
      <c r="D126" s="45">
        <v>0.25</v>
      </c>
    </row>
    <row r="128" spans="2:8" ht="24" customHeight="1" x14ac:dyDescent="0.2">
      <c r="B128" s="49" t="s">
        <v>175</v>
      </c>
    </row>
    <row r="129" spans="2:8" ht="24" customHeight="1" x14ac:dyDescent="0.2">
      <c r="B129" s="53" t="s">
        <v>176</v>
      </c>
      <c r="C129" s="66" t="s">
        <v>177</v>
      </c>
      <c r="D129" s="37"/>
    </row>
    <row r="130" spans="2:8" ht="24" customHeight="1" x14ac:dyDescent="0.2">
      <c r="B130" s="56" t="s">
        <v>165</v>
      </c>
      <c r="C130" s="67"/>
      <c r="D130" s="4"/>
      <c r="E130" s="4"/>
      <c r="F130" s="4"/>
      <c r="G130" s="4"/>
      <c r="H130" s="4"/>
    </row>
    <row r="131" spans="2:8" ht="24" customHeight="1" x14ac:dyDescent="0.2">
      <c r="B131" s="59" t="s">
        <v>168</v>
      </c>
      <c r="C131" s="68">
        <v>0.52869999999999995</v>
      </c>
      <c r="D131" s="4"/>
      <c r="E131" s="4"/>
      <c r="F131" s="4"/>
      <c r="G131" s="4"/>
      <c r="H131" s="4"/>
    </row>
    <row r="132" spans="2:8" ht="24" customHeight="1" x14ac:dyDescent="0.2">
      <c r="B132" s="56" t="s">
        <v>169</v>
      </c>
      <c r="C132" s="67"/>
      <c r="D132" s="4"/>
      <c r="E132" s="4"/>
      <c r="F132" s="4"/>
      <c r="G132" s="4"/>
      <c r="H132" s="4"/>
    </row>
    <row r="133" spans="2:8" ht="24" customHeight="1" x14ac:dyDescent="0.2">
      <c r="B133" s="62" t="s">
        <v>168</v>
      </c>
      <c r="C133" s="69">
        <v>0.36659999999999998</v>
      </c>
      <c r="D133" s="4"/>
      <c r="E133" s="4"/>
      <c r="F133" s="4"/>
      <c r="G133" s="4"/>
      <c r="H133" s="4"/>
    </row>
    <row r="134" spans="2:8" ht="24" customHeight="1" x14ac:dyDescent="0.2">
      <c r="B134" s="49" t="s">
        <v>178</v>
      </c>
      <c r="C134" s="70"/>
      <c r="D134" s="4"/>
      <c r="E134" s="4"/>
      <c r="F134" s="4"/>
      <c r="G134" s="4"/>
      <c r="H134" s="4"/>
    </row>
    <row r="136" spans="2:8" ht="24" customHeight="1" x14ac:dyDescent="0.2">
      <c r="B136" s="49" t="s">
        <v>179</v>
      </c>
      <c r="D136" s="45" t="s">
        <v>148</v>
      </c>
    </row>
    <row r="137" spans="2:8" ht="24" customHeight="1" x14ac:dyDescent="0.2">
      <c r="B137" s="49" t="s">
        <v>180</v>
      </c>
      <c r="D137" s="45" t="s">
        <v>148</v>
      </c>
    </row>
    <row r="139" spans="2:8" ht="24" customHeight="1" x14ac:dyDescent="0.2">
      <c r="B139" s="71" t="s">
        <v>181</v>
      </c>
      <c r="D139" s="45" t="s">
        <v>148</v>
      </c>
    </row>
    <row r="141" spans="2:8" ht="24" customHeight="1" x14ac:dyDescent="0.2">
      <c r="B141" s="49" t="s">
        <v>182</v>
      </c>
      <c r="D141" s="45" t="s">
        <v>148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2026-04-08T08:38:17Z</dcterms:modified>
</cp:coreProperties>
</file>