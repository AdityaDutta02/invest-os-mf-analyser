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Jan 2026/Portfolio working Jan/Portfolio Scheme/"/>
    </mc:Choice>
  </mc:AlternateContent>
  <xr:revisionPtr revIDLastSave="0" documentId="8_{C6B7B0ED-733B-4BC7-BF61-A52B029F0A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Savings'!$B$165:$C$169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Savings'!$L$76:$M$92</definedName>
    <definedName name="JPM_Footer_disp" localSheetId="0">'Equity Savings'!$L$82:$M$92</definedName>
    <definedName name="JPM_Footer_disp12" localSheetId="0">'Equity Savings'!$L$76:$M$95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3" i="2" l="1"/>
  <c r="G105" i="2"/>
  <c r="F105" i="2"/>
  <c r="G99" i="2"/>
  <c r="F99" i="2"/>
</calcChain>
</file>

<file path=xl/sharedStrings.xml><?xml version="1.0" encoding="utf-8"?>
<sst xmlns="http://schemas.openxmlformats.org/spreadsheetml/2006/main" count="310" uniqueCount="204">
  <si>
    <t>PGIM INDIA EQUITY SAVINGS FUND</t>
  </si>
  <si>
    <t>(An Open Ended Scheme Investing In Equity, Arbitrage And Debt)</t>
  </si>
  <si>
    <t>Riskometer of the Scheme</t>
  </si>
  <si>
    <t xml:space="preserve">Riskometer of the Benchmark (NIFTY Equity Savings Index) </t>
  </si>
  <si>
    <t>Investors understand that their 
principal will be at moderate risk</t>
  </si>
  <si>
    <t>Benchmark riskometer is at moderate risk</t>
  </si>
  <si>
    <t>Portfolio Statement as on January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</si>
  <si>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</si>
  <si>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</si>
  <si>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</si>
  <si>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</si>
  <si>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</si>
  <si>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</si>
  <si>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</si>
  <si>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</si>
  <si>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</si>
  <si>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Tata Steel Ltd.</t>
  </si>
  <si>
    <t>INE081A01020</t>
  </si>
  <si>
    <t>Ferrous Metals</t>
  </si>
  <si>
    <t>HDFC Bank Ltd.</t>
  </si>
  <si>
    <t>INE040A01034</t>
  </si>
  <si>
    <t>Banks</t>
  </si>
  <si>
    <t>Reliance Industries Ltd.</t>
  </si>
  <si>
    <t>INE002A01018</t>
  </si>
  <si>
    <t>Petroleum Products</t>
  </si>
  <si>
    <t>Bajaj Finance Ltd.</t>
  </si>
  <si>
    <t>INE296A01032</t>
  </si>
  <si>
    <t>Finance</t>
  </si>
  <si>
    <t>Titan Company Ltd.</t>
  </si>
  <si>
    <t>INE280A01028</t>
  </si>
  <si>
    <t>Consumer Durables</t>
  </si>
  <si>
    <t>Ambuja Cements Ltd.</t>
  </si>
  <si>
    <t>INE079A01024</t>
  </si>
  <si>
    <t>Cement &amp; Cement Products</t>
  </si>
  <si>
    <t>Adani Ports &amp; Special Economic Zone Ltd.</t>
  </si>
  <si>
    <t>INE742F01042</t>
  </si>
  <si>
    <t>Transport Infrastructure</t>
  </si>
  <si>
    <t>Brookfield India Real Estate Trust</t>
  </si>
  <si>
    <t>INE0FDU25010</t>
  </si>
  <si>
    <t>Realty</t>
  </si>
  <si>
    <t>NMDC Ltd.</t>
  </si>
  <si>
    <t>INE584A01023</t>
  </si>
  <si>
    <t>Minerals &amp; Mining</t>
  </si>
  <si>
    <t>Kotak Mahindra Bank Ltd.</t>
  </si>
  <si>
    <t>INE237A01036</t>
  </si>
  <si>
    <t>IndiGrid Infrastructure Trust</t>
  </si>
  <si>
    <t>INE219X23014</t>
  </si>
  <si>
    <t>Power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</si>
  <si>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</si>
  <si>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</si>
  <si>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</si>
  <si>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</si>
  <si>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</si>
  <si>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</si>
  <si>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ICICI Bank Ltd.</t>
  </si>
  <si>
    <t>INE090A01021</t>
  </si>
  <si>
    <t>Tata Consultancy Services Ltd.</t>
  </si>
  <si>
    <t>INE467B01029</t>
  </si>
  <si>
    <t>IT - Software</t>
  </si>
  <si>
    <t>TVS Motor Company Ltd.</t>
  </si>
  <si>
    <t>INE494B01023</t>
  </si>
  <si>
    <t>Automobiles</t>
  </si>
  <si>
    <t>State Bank of India</t>
  </si>
  <si>
    <t>INE062A01020</t>
  </si>
  <si>
    <t>VARUN BEVERAGES LIMITED</t>
  </si>
  <si>
    <t>INE200M01039</t>
  </si>
  <si>
    <t>Beverages</t>
  </si>
  <si>
    <t>ICICI Lombard General Insurance Co. Ltd.</t>
  </si>
  <si>
    <t>INE765G01017</t>
  </si>
  <si>
    <t>Insurance</t>
  </si>
  <si>
    <t>Ultratech Cement Ltd.</t>
  </si>
  <si>
    <t>INE481G01011</t>
  </si>
  <si>
    <t>Eternal Ltd.</t>
  </si>
  <si>
    <t>INE758T01015</t>
  </si>
  <si>
    <t>Retailing</t>
  </si>
  <si>
    <t>JB Chemicals &amp; Pharmaceuticals Ltd.</t>
  </si>
  <si>
    <t>INE572A01036</t>
  </si>
  <si>
    <t>Pharmaceuticals &amp; Biotechnology</t>
  </si>
  <si>
    <t>Muthoot Finance Ltd.</t>
  </si>
  <si>
    <t>INE414G01012</t>
  </si>
  <si>
    <t>Mahindra &amp; Mahindra Ltd.</t>
  </si>
  <si>
    <t>INE101A01026</t>
  </si>
  <si>
    <t>Maruti Suzuki India Ltd.</t>
  </si>
  <si>
    <t>INE585B01010</t>
  </si>
  <si>
    <t>Max Healthcare Institute Ltd.</t>
  </si>
  <si>
    <t>INE027H01010</t>
  </si>
  <si>
    <t>Healthcare Services</t>
  </si>
  <si>
    <t>Persistent Systems Ltd.</t>
  </si>
  <si>
    <t>INE262H01021</t>
  </si>
  <si>
    <t>Solar Industries India Ltd.</t>
  </si>
  <si>
    <t>INE343H01029</t>
  </si>
  <si>
    <t>Chemicals &amp; Petrochemicals</t>
  </si>
  <si>
    <t>Divi's Laboratories Ltd.</t>
  </si>
  <si>
    <t>INE361B01024</t>
  </si>
  <si>
    <t>United Spirits Ltd.</t>
  </si>
  <si>
    <t>INE854D01024</t>
  </si>
  <si>
    <t>Mankind Pharma Ltd.</t>
  </si>
  <si>
    <t>INE634S01028</t>
  </si>
  <si>
    <t>Cummins India Ltd.</t>
  </si>
  <si>
    <t>INE298A01020</t>
  </si>
  <si>
    <t>Industrial Products</t>
  </si>
  <si>
    <t>SRF Ltd.</t>
  </si>
  <si>
    <t>INE647A01010</t>
  </si>
  <si>
    <t>Axis Bank Ltd.</t>
  </si>
  <si>
    <t>INE238A01034</t>
  </si>
  <si>
    <t>Samvardhana Motherson International Ltd.</t>
  </si>
  <si>
    <t>INE775A01035</t>
  </si>
  <si>
    <t>Auto Components</t>
  </si>
  <si>
    <t>Dixon Technologies (India) Ltd.</t>
  </si>
  <si>
    <t>INE935N01020</t>
  </si>
  <si>
    <t>ICICI Prudential Asset Mgmt Co Ltd.</t>
  </si>
  <si>
    <t>INE346A01027</t>
  </si>
  <si>
    <t>Capital Markets</t>
  </si>
  <si>
    <t>Bharat Electronics Ltd.</t>
  </si>
  <si>
    <t>INE263A01024</t>
  </si>
  <si>
    <t>Aerospace &amp; Defense</t>
  </si>
  <si>
    <t>HDFC Life Insurance Company Ltd.</t>
  </si>
  <si>
    <t>INE795G01014</t>
  </si>
  <si>
    <t>Britannia Industries Ltd.</t>
  </si>
  <si>
    <t>INE216A01030</t>
  </si>
  <si>
    <t>Food Products</t>
  </si>
  <si>
    <t>LG Electronics India Ltd.</t>
  </si>
  <si>
    <t>INE324D01010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</si>
  <si>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</si>
  <si>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</si>
  <si>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</si>
  <si>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</si>
  <si>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</si>
  <si>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</si>
  <si>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</si>
  <si>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</si>
  <si>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</si>
  <si>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</si>
  <si>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</si>
  <si>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</si>
  <si>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</si>
  <si>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</si>
  <si>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</si>
  <si>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8.28% Government of India</t>
  </si>
  <si>
    <t>IN0020070069</t>
  </si>
  <si>
    <t>7.98% Bajaj Housing Finance Ltd. **</t>
  </si>
  <si>
    <t>INE377Y07490</t>
  </si>
  <si>
    <t>6.54% Government of India</t>
  </si>
  <si>
    <t>IN0020210244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</si>
  <si>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</si>
  <si>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</si>
  <si>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</si>
  <si>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</si>
  <si>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</si>
  <si>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</si>
  <si>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</si>
  <si>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</si>
  <si>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</si>
  <si>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</si>
  <si>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</si>
  <si>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</si>
  <si>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</si>
  <si>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</si>
  <si>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</si>
  <si>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</si>
  <si>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</si>
  <si>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</si>
  <si>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</si>
  <si>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</si>
  <si>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</si>
  <si>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</si>
  <si>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</si>
  <si>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</si>
  <si>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</si>
  <si>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</si>
  <si>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</si>
  <si>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</si>
  <si>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</si>
  <si>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</si>
  <si>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</si>
  <si>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</si>
  <si>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</si>
  <si>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</si>
  <si>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</si>
  <si>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</si>
  <si>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</si>
  <si>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</si>
  <si>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</si>
  <si>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</si>
  <si>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</si>
  <si>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</si>
  <si>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</si>
  <si>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</si>
  <si>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</si>
  <si>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</si>
  <si>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</si>
  <si>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</si>
  <si>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</si>
  <si>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</si>
  <si>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</si>
  <si>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Equity Savings Fund 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</si>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</sst>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1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0" fontId="4" fillId="0" borderId="0" xfId="0" applyFont="1" applyAlignment="1">
      <alignment horizontal="left"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0" fontId="3" fillId="0" borderId="0" xfId="0" applyFont="1"/>
    <xf numFmtId="166" fontId="3" fillId="0" borderId="3" xfId="0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4" fontId="4" fillId="4" borderId="8" xfId="0" applyNumberFormat="1" applyFont="1" applyFill="1" applyBorder="1" applyAlignment="1">
      <alignment vertical="center"/>
    </xf>
    <xf numFmtId="0" fontId="3" fillId="0" borderId="9" xfId="0" applyFont="1" applyBorder="1" applyAlignment="1">
      <alignment horizontal="left" vertical="center"/>
    </xf>
    <xf numFmtId="43" fontId="3" fillId="0" borderId="9" xfId="2" applyNumberFormat="1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1" fillId="7" borderId="7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1" fontId="11" fillId="7" borderId="2" xfId="1" applyNumberFormat="1" applyFont="1" applyFill="1" applyBorder="1" applyAlignment="1">
      <alignment horizontal="center" vertical="center"/>
    </xf>
    <xf numFmtId="2" fontId="11" fillId="7" borderId="7" xfId="1" applyNumberFormat="1" applyFont="1" applyFill="1" applyBorder="1" applyAlignment="1">
      <alignment horizontal="center" vertical="center"/>
    </xf>
    <xf numFmtId="2" fontId="11" fillId="7" borderId="8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168" fontId="4" fillId="4" borderId="8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  <xf numFmtId="4" fontId="7" fillId="5" borderId="3" xfId="0" applyNumberFormat="1" applyFont="1" applyFill="1" applyBorder="1" applyAlignment="1">
      <alignment horizontal="left" vertical="center" wrapText="1"/>
    </xf>
    <xf numFmtId="4" fontId="7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5D79D67B-AD74-40A3-9093-EA467A1C4F0D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84AD92-B33A-4EFF-9D34-6BAD99002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07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099F19-6FB6-4C0D-8B68-CA8DAE37B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Jan%202026/Portfolio%20working%20Jan/Portfolio%20Scheme/Portfolio%2031012026.xlsx" TargetMode="External"/><Relationship Id="rId1" Type="http://schemas.openxmlformats.org/officeDocument/2006/relationships/externalLinkPath" Target="Portfolio%203101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equity-savings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9A5C-465E-4E14-9ABD-F30F4517EF93}">
  <sheetPr>
    <tabColor rgb="FFC00000"/>
  </sheetPr>
  <dimension ref="B1:M193"/>
  <sheetViews>
    <sheetView showGridLines="0" tabSelected="1" workbookViewId="0">
      <selection activeCell="B3" sqref="B3:H9"/>
    </sheetView>
  </sheetViews>
  <sheetFormatPr defaultColWidth="9.1796875" defaultRowHeight="24" customHeight="1" x14ac:dyDescent="0.25"/>
  <cols>
    <col min="1" max="1" width="3.6328125" style="4" customWidth="1"/>
    <col min="2" max="2" width="50.453125" style="6" customWidth="1"/>
    <col min="3" max="3" width="15.7265625" style="6" customWidth="1"/>
    <col min="4" max="4" width="26.6328125" style="6" customWidth="1"/>
    <col min="5" max="5" width="15.26953125" style="2" customWidth="1"/>
    <col min="6" max="6" width="16.453125" style="2" customWidth="1"/>
    <col min="7" max="7" width="15.26953125" style="52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280500</v>
      </c>
      <c r="F16" s="20">
        <v>541.73</v>
      </c>
      <c r="G16" s="21">
        <v>8.2100000000000009</v>
      </c>
      <c r="H16" s="22"/>
    </row>
    <row r="17" spans="2:8" ht="24" customHeight="1" x14ac:dyDescent="0.25">
      <c r="B17" s="18" t="s">
        <v>19</v>
      </c>
      <c r="C17" s="18" t="s">
        <v>20</v>
      </c>
      <c r="D17" s="18" t="s">
        <v>21</v>
      </c>
      <c r="E17" s="19">
        <v>57278</v>
      </c>
      <c r="F17" s="20">
        <v>532.26</v>
      </c>
      <c r="G17" s="21">
        <v>8.07</v>
      </c>
      <c r="H17" s="22"/>
    </row>
    <row r="18" spans="2:8" ht="24" customHeight="1" x14ac:dyDescent="0.25">
      <c r="B18" s="18" t="s">
        <v>22</v>
      </c>
      <c r="C18" s="18" t="s">
        <v>23</v>
      </c>
      <c r="D18" s="18" t="s">
        <v>24</v>
      </c>
      <c r="E18" s="19">
        <v>35293</v>
      </c>
      <c r="F18" s="20">
        <v>492.48</v>
      </c>
      <c r="G18" s="21">
        <v>7.47</v>
      </c>
      <c r="H18" s="22"/>
    </row>
    <row r="19" spans="2:8" ht="24" customHeight="1" x14ac:dyDescent="0.25">
      <c r="B19" s="18" t="s">
        <v>25</v>
      </c>
      <c r="C19" s="18" t="s">
        <v>26</v>
      </c>
      <c r="D19" s="18" t="s">
        <v>27</v>
      </c>
      <c r="E19" s="19">
        <v>50480</v>
      </c>
      <c r="F19" s="20">
        <v>469.39</v>
      </c>
      <c r="G19" s="21">
        <v>7.12</v>
      </c>
      <c r="H19" s="22"/>
    </row>
    <row r="20" spans="2:8" ht="24" customHeight="1" x14ac:dyDescent="0.25">
      <c r="B20" s="18" t="s">
        <v>28</v>
      </c>
      <c r="C20" s="18" t="s">
        <v>29</v>
      </c>
      <c r="D20" s="18" t="s">
        <v>30</v>
      </c>
      <c r="E20" s="19">
        <v>8598</v>
      </c>
      <c r="F20" s="20">
        <v>341.98</v>
      </c>
      <c r="G20" s="21">
        <v>5.18</v>
      </c>
      <c r="H20" s="22"/>
    </row>
    <row r="21" spans="2:8" ht="24" customHeight="1" x14ac:dyDescent="0.25">
      <c r="B21" s="18" t="s">
        <v>31</v>
      </c>
      <c r="C21" s="18" t="s">
        <v>32</v>
      </c>
      <c r="D21" s="18" t="s">
        <v>33</v>
      </c>
      <c r="E21" s="19">
        <v>63000</v>
      </c>
      <c r="F21" s="20">
        <v>321.39</v>
      </c>
      <c r="G21" s="21">
        <v>4.87</v>
      </c>
      <c r="H21" s="22"/>
    </row>
    <row r="22" spans="2:8" ht="24" customHeight="1" x14ac:dyDescent="0.25">
      <c r="B22" s="18" t="s">
        <v>34</v>
      </c>
      <c r="C22" s="18" t="s">
        <v>35</v>
      </c>
      <c r="D22" s="18" t="s">
        <v>36</v>
      </c>
      <c r="E22" s="19">
        <v>19950</v>
      </c>
      <c r="F22" s="20">
        <v>283.25</v>
      </c>
      <c r="G22" s="21">
        <v>4.29</v>
      </c>
      <c r="H22" s="22"/>
    </row>
    <row r="23" spans="2:8" ht="24" customHeight="1" x14ac:dyDescent="0.25">
      <c r="B23" s="18" t="s">
        <v>37</v>
      </c>
      <c r="C23" s="18" t="s">
        <v>38</v>
      </c>
      <c r="D23" s="18" t="s">
        <v>39</v>
      </c>
      <c r="E23" s="19">
        <v>75814</v>
      </c>
      <c r="F23" s="20">
        <v>267.56</v>
      </c>
      <c r="G23" s="21">
        <v>4.0599999999999996</v>
      </c>
      <c r="H23" s="22"/>
    </row>
    <row r="24" spans="2:8" ht="24" customHeight="1" x14ac:dyDescent="0.25">
      <c r="B24" s="18" t="s">
        <v>40</v>
      </c>
      <c r="C24" s="18" t="s">
        <v>41</v>
      </c>
      <c r="D24" s="18" t="s">
        <v>42</v>
      </c>
      <c r="E24" s="19">
        <v>324000</v>
      </c>
      <c r="F24" s="20">
        <v>263.12</v>
      </c>
      <c r="G24" s="21">
        <v>3.99</v>
      </c>
      <c r="H24" s="22"/>
    </row>
    <row r="25" spans="2:8" ht="24" customHeight="1" x14ac:dyDescent="0.25">
      <c r="B25" s="18" t="s">
        <v>43</v>
      </c>
      <c r="C25" s="18" t="s">
        <v>44</v>
      </c>
      <c r="D25" s="18" t="s">
        <v>21</v>
      </c>
      <c r="E25" s="19">
        <v>42768</v>
      </c>
      <c r="F25" s="20">
        <v>174.49</v>
      </c>
      <c r="G25" s="21">
        <v>2.65</v>
      </c>
      <c r="H25" s="22"/>
    </row>
    <row r="26" spans="2:8" ht="24" customHeight="1" x14ac:dyDescent="0.25">
      <c r="B26" s="18" t="s">
        <v>45</v>
      </c>
      <c r="C26" s="18" t="s">
        <v>46</v>
      </c>
      <c r="D26" s="18" t="s">
        <v>47</v>
      </c>
      <c r="E26" s="19">
        <v>101127</v>
      </c>
      <c r="F26" s="20">
        <v>166.13</v>
      </c>
      <c r="G26" s="21">
        <v>2.52</v>
      </c>
      <c r="H26" s="22"/>
    </row>
    <row r="27" spans="2:8" ht="24" customHeight="1" x14ac:dyDescent="0.25">
      <c r="B27" s="18" t="s">
        <v>48</v>
      </c>
      <c r="C27" s="18" t="s">
        <v>49</v>
      </c>
      <c r="D27" s="18" t="s">
        <v>50</v>
      </c>
      <c r="E27" s="19">
        <v>4209</v>
      </c>
      <c r="F27" s="20">
        <v>165.51</v>
      </c>
      <c r="G27" s="21">
        <v>2.5099999999999998</v>
      </c>
      <c r="H27" s="22"/>
    </row>
    <row r="28" spans="2:8" ht="24" customHeight="1" x14ac:dyDescent="0.25">
      <c r="B28" s="18" t="s">
        <v>51</v>
      </c>
      <c r="C28" s="18" t="s">
        <v>52</v>
      </c>
      <c r="D28" s="18" t="s">
        <v>53</v>
      </c>
      <c r="E28" s="19">
        <v>6740</v>
      </c>
      <c r="F28" s="20">
        <v>132.69</v>
      </c>
      <c r="G28" s="21">
        <v>2.0099999999999998</v>
      </c>
      <c r="H28" s="22"/>
    </row>
    <row r="29" spans="2:8" ht="24" customHeight="1" x14ac:dyDescent="0.25">
      <c r="B29" s="18" t="s">
        <v>54</v>
      </c>
      <c r="C29" s="18" t="s">
        <v>55</v>
      </c>
      <c r="D29" s="18" t="s">
        <v>21</v>
      </c>
      <c r="E29" s="19">
        <v>9765</v>
      </c>
      <c r="F29" s="20">
        <v>132.32</v>
      </c>
      <c r="G29" s="21">
        <v>2.0099999999999998</v>
      </c>
      <c r="H29" s="22"/>
    </row>
    <row r="30" spans="2:8" ht="24" customHeight="1" x14ac:dyDescent="0.25">
      <c r="B30" s="18" t="s">
        <v>56</v>
      </c>
      <c r="C30" s="18" t="s">
        <v>57</v>
      </c>
      <c r="D30" s="18" t="s">
        <v>58</v>
      </c>
      <c r="E30" s="19">
        <v>2605</v>
      </c>
      <c r="F30" s="20">
        <v>81.38</v>
      </c>
      <c r="G30" s="21">
        <v>1.23</v>
      </c>
      <c r="H30" s="22"/>
    </row>
    <row r="31" spans="2:8" ht="24" customHeight="1" x14ac:dyDescent="0.25">
      <c r="B31" s="18" t="s">
        <v>59</v>
      </c>
      <c r="C31" s="18" t="s">
        <v>60</v>
      </c>
      <c r="D31" s="18" t="s">
        <v>61</v>
      </c>
      <c r="E31" s="19">
        <v>1400</v>
      </c>
      <c r="F31" s="20">
        <v>51.48</v>
      </c>
      <c r="G31" s="21">
        <v>0.78</v>
      </c>
      <c r="H31" s="22"/>
    </row>
    <row r="32" spans="2:8" ht="24" customHeight="1" x14ac:dyDescent="0.25">
      <c r="B32" s="18" t="s">
        <v>62</v>
      </c>
      <c r="C32" s="18" t="s">
        <v>63</v>
      </c>
      <c r="D32" s="18" t="s">
        <v>21</v>
      </c>
      <c r="E32" s="19">
        <v>4355</v>
      </c>
      <c r="F32" s="20">
        <v>46.91</v>
      </c>
      <c r="G32" s="21">
        <v>0.71</v>
      </c>
      <c r="H32" s="22"/>
    </row>
    <row r="33" spans="2:8" ht="24" customHeight="1" x14ac:dyDescent="0.25">
      <c r="B33" s="18" t="s">
        <v>64</v>
      </c>
      <c r="C33" s="18" t="s">
        <v>65</v>
      </c>
      <c r="D33" s="18" t="s">
        <v>66</v>
      </c>
      <c r="E33" s="19">
        <v>9362</v>
      </c>
      <c r="F33" s="20">
        <v>44.12</v>
      </c>
      <c r="G33" s="21">
        <v>0.67</v>
      </c>
      <c r="H33" s="22"/>
    </row>
    <row r="34" spans="2:8" ht="24" customHeight="1" x14ac:dyDescent="0.25">
      <c r="B34" s="18" t="s">
        <v>67</v>
      </c>
      <c r="C34" s="18" t="s">
        <v>68</v>
      </c>
      <c r="D34" s="18" t="s">
        <v>69</v>
      </c>
      <c r="E34" s="19">
        <v>2143</v>
      </c>
      <c r="F34" s="20">
        <v>38.880000000000003</v>
      </c>
      <c r="G34" s="21">
        <v>0.59</v>
      </c>
      <c r="H34" s="22"/>
    </row>
    <row r="35" spans="2:8" ht="24" customHeight="1" x14ac:dyDescent="0.25">
      <c r="B35" s="18" t="s">
        <v>70</v>
      </c>
      <c r="C35" s="18" t="s">
        <v>71</v>
      </c>
      <c r="D35" s="18" t="s">
        <v>33</v>
      </c>
      <c r="E35" s="19">
        <v>304</v>
      </c>
      <c r="F35" s="20">
        <v>38.590000000000003</v>
      </c>
      <c r="G35" s="21">
        <v>0.57999999999999996</v>
      </c>
      <c r="H35" s="22"/>
    </row>
    <row r="36" spans="2:8" ht="24" customHeight="1" x14ac:dyDescent="0.25">
      <c r="B36" s="18" t="s">
        <v>72</v>
      </c>
      <c r="C36" s="18" t="s">
        <v>73</v>
      </c>
      <c r="D36" s="18" t="s">
        <v>74</v>
      </c>
      <c r="E36" s="19">
        <v>13348</v>
      </c>
      <c r="F36" s="20">
        <v>36.520000000000003</v>
      </c>
      <c r="G36" s="21">
        <v>0.55000000000000004</v>
      </c>
      <c r="H36" s="22"/>
    </row>
    <row r="37" spans="2:8" ht="24" customHeight="1" x14ac:dyDescent="0.25">
      <c r="B37" s="18" t="s">
        <v>75</v>
      </c>
      <c r="C37" s="18" t="s">
        <v>76</v>
      </c>
      <c r="D37" s="18" t="s">
        <v>77</v>
      </c>
      <c r="E37" s="19">
        <v>1840</v>
      </c>
      <c r="F37" s="20">
        <v>34.4</v>
      </c>
      <c r="G37" s="21">
        <v>0.52</v>
      </c>
      <c r="H37" s="22"/>
    </row>
    <row r="38" spans="2:8" ht="24" customHeight="1" x14ac:dyDescent="0.25">
      <c r="B38" s="18" t="s">
        <v>78</v>
      </c>
      <c r="C38" s="18" t="s">
        <v>79</v>
      </c>
      <c r="D38" s="18" t="s">
        <v>27</v>
      </c>
      <c r="E38" s="19">
        <v>890</v>
      </c>
      <c r="F38" s="20">
        <v>34.08</v>
      </c>
      <c r="G38" s="21">
        <v>0.52</v>
      </c>
      <c r="H38" s="22"/>
    </row>
    <row r="39" spans="2:8" ht="24" customHeight="1" x14ac:dyDescent="0.25">
      <c r="B39" s="18" t="s">
        <v>80</v>
      </c>
      <c r="C39" s="18" t="s">
        <v>81</v>
      </c>
      <c r="D39" s="18" t="s">
        <v>61</v>
      </c>
      <c r="E39" s="19">
        <v>894</v>
      </c>
      <c r="F39" s="20">
        <v>30.68</v>
      </c>
      <c r="G39" s="21">
        <v>0.47</v>
      </c>
      <c r="H39" s="22"/>
    </row>
    <row r="40" spans="2:8" ht="24" customHeight="1" x14ac:dyDescent="0.25">
      <c r="B40" s="18" t="s">
        <v>82</v>
      </c>
      <c r="C40" s="18" t="s">
        <v>83</v>
      </c>
      <c r="D40" s="18" t="s">
        <v>61</v>
      </c>
      <c r="E40" s="19">
        <v>198</v>
      </c>
      <c r="F40" s="20">
        <v>28.91</v>
      </c>
      <c r="G40" s="21">
        <v>0.44</v>
      </c>
      <c r="H40" s="22"/>
    </row>
    <row r="41" spans="2:8" ht="24" customHeight="1" x14ac:dyDescent="0.25">
      <c r="B41" s="18" t="s">
        <v>84</v>
      </c>
      <c r="C41" s="18" t="s">
        <v>85</v>
      </c>
      <c r="D41" s="18" t="s">
        <v>86</v>
      </c>
      <c r="E41" s="19">
        <v>2746</v>
      </c>
      <c r="F41" s="20">
        <v>26.27</v>
      </c>
      <c r="G41" s="21">
        <v>0.4</v>
      </c>
      <c r="H41" s="22"/>
    </row>
    <row r="42" spans="2:8" ht="24" customHeight="1" x14ac:dyDescent="0.25">
      <c r="B42" s="18" t="s">
        <v>87</v>
      </c>
      <c r="C42" s="18" t="s">
        <v>88</v>
      </c>
      <c r="D42" s="18" t="s">
        <v>58</v>
      </c>
      <c r="E42" s="19">
        <v>415</v>
      </c>
      <c r="F42" s="20">
        <v>25.05</v>
      </c>
      <c r="G42" s="21">
        <v>0.38</v>
      </c>
      <c r="H42" s="22"/>
    </row>
    <row r="43" spans="2:8" ht="24" customHeight="1" x14ac:dyDescent="0.25">
      <c r="B43" s="18" t="s">
        <v>89</v>
      </c>
      <c r="C43" s="18" t="s">
        <v>90</v>
      </c>
      <c r="D43" s="18" t="s">
        <v>91</v>
      </c>
      <c r="E43" s="19">
        <v>185</v>
      </c>
      <c r="F43" s="20">
        <v>24.94</v>
      </c>
      <c r="G43" s="21">
        <v>0.38</v>
      </c>
      <c r="H43" s="22"/>
    </row>
    <row r="44" spans="2:8" ht="24" customHeight="1" x14ac:dyDescent="0.25">
      <c r="B44" s="18" t="s">
        <v>92</v>
      </c>
      <c r="C44" s="18" t="s">
        <v>93</v>
      </c>
      <c r="D44" s="18" t="s">
        <v>77</v>
      </c>
      <c r="E44" s="19">
        <v>370</v>
      </c>
      <c r="F44" s="20">
        <v>22.39</v>
      </c>
      <c r="G44" s="21">
        <v>0.34</v>
      </c>
      <c r="H44" s="22"/>
    </row>
    <row r="45" spans="2:8" ht="24" customHeight="1" x14ac:dyDescent="0.25">
      <c r="B45" s="18" t="s">
        <v>94</v>
      </c>
      <c r="C45" s="18" t="s">
        <v>95</v>
      </c>
      <c r="D45" s="18" t="s">
        <v>66</v>
      </c>
      <c r="E45" s="19">
        <v>1514</v>
      </c>
      <c r="F45" s="20">
        <v>20.63</v>
      </c>
      <c r="G45" s="21">
        <v>0.31</v>
      </c>
      <c r="H45" s="22"/>
    </row>
    <row r="46" spans="2:8" ht="24" customHeight="1" x14ac:dyDescent="0.25">
      <c r="B46" s="18" t="s">
        <v>96</v>
      </c>
      <c r="C46" s="18" t="s">
        <v>97</v>
      </c>
      <c r="D46" s="18" t="s">
        <v>77</v>
      </c>
      <c r="E46" s="19">
        <v>860</v>
      </c>
      <c r="F46" s="20">
        <v>18.27</v>
      </c>
      <c r="G46" s="21">
        <v>0.28000000000000003</v>
      </c>
      <c r="H46" s="22"/>
    </row>
    <row r="47" spans="2:8" ht="24" customHeight="1" x14ac:dyDescent="0.25">
      <c r="B47" s="18" t="s">
        <v>98</v>
      </c>
      <c r="C47" s="18" t="s">
        <v>99</v>
      </c>
      <c r="D47" s="18" t="s">
        <v>100</v>
      </c>
      <c r="E47" s="19">
        <v>428</v>
      </c>
      <c r="F47" s="20">
        <v>17.600000000000001</v>
      </c>
      <c r="G47" s="21">
        <v>0.27</v>
      </c>
      <c r="H47" s="22"/>
    </row>
    <row r="48" spans="2:8" ht="24" customHeight="1" x14ac:dyDescent="0.25">
      <c r="B48" s="18" t="s">
        <v>101</v>
      </c>
      <c r="C48" s="18" t="s">
        <v>102</v>
      </c>
      <c r="D48" s="18" t="s">
        <v>91</v>
      </c>
      <c r="E48" s="19">
        <v>612</v>
      </c>
      <c r="F48" s="20">
        <v>17.239999999999998</v>
      </c>
      <c r="G48" s="21">
        <v>0.26</v>
      </c>
      <c r="H48" s="22"/>
    </row>
    <row r="49" spans="2:8" ht="24" customHeight="1" x14ac:dyDescent="0.25">
      <c r="B49" s="18" t="s">
        <v>103</v>
      </c>
      <c r="C49" s="18" t="s">
        <v>104</v>
      </c>
      <c r="D49" s="18" t="s">
        <v>21</v>
      </c>
      <c r="E49" s="19">
        <v>1182</v>
      </c>
      <c r="F49" s="20">
        <v>16.2</v>
      </c>
      <c r="G49" s="21">
        <v>0.25</v>
      </c>
      <c r="H49" s="22"/>
    </row>
    <row r="50" spans="2:8" ht="24" customHeight="1" x14ac:dyDescent="0.25">
      <c r="B50" s="18" t="s">
        <v>105</v>
      </c>
      <c r="C50" s="18" t="s">
        <v>106</v>
      </c>
      <c r="D50" s="18" t="s">
        <v>107</v>
      </c>
      <c r="E50" s="19">
        <v>13000</v>
      </c>
      <c r="F50" s="20">
        <v>14.68</v>
      </c>
      <c r="G50" s="21">
        <v>0.22</v>
      </c>
      <c r="H50" s="22"/>
    </row>
    <row r="51" spans="2:8" ht="24" customHeight="1" x14ac:dyDescent="0.25">
      <c r="B51" s="18" t="s">
        <v>108</v>
      </c>
      <c r="C51" s="18" t="s">
        <v>109</v>
      </c>
      <c r="D51" s="18" t="s">
        <v>30</v>
      </c>
      <c r="E51" s="19">
        <v>135</v>
      </c>
      <c r="F51" s="20">
        <v>14.1</v>
      </c>
      <c r="G51" s="21">
        <v>0.21</v>
      </c>
      <c r="H51" s="22"/>
    </row>
    <row r="52" spans="2:8" ht="24" customHeight="1" x14ac:dyDescent="0.25">
      <c r="B52" s="18" t="s">
        <v>110</v>
      </c>
      <c r="C52" s="18" t="s">
        <v>111</v>
      </c>
      <c r="D52" s="18" t="s">
        <v>112</v>
      </c>
      <c r="E52" s="19">
        <v>400</v>
      </c>
      <c r="F52" s="20">
        <v>11.89</v>
      </c>
      <c r="G52" s="21">
        <v>0.18</v>
      </c>
      <c r="H52" s="22"/>
    </row>
    <row r="53" spans="2:8" ht="24" customHeight="1" x14ac:dyDescent="0.25">
      <c r="B53" s="18" t="s">
        <v>113</v>
      </c>
      <c r="C53" s="18" t="s">
        <v>114</v>
      </c>
      <c r="D53" s="18" t="s">
        <v>115</v>
      </c>
      <c r="E53" s="19">
        <v>2604</v>
      </c>
      <c r="F53" s="20">
        <v>11.69</v>
      </c>
      <c r="G53" s="21">
        <v>0.18</v>
      </c>
      <c r="H53" s="22"/>
    </row>
    <row r="54" spans="2:8" ht="24" customHeight="1" x14ac:dyDescent="0.25">
      <c r="B54" s="18" t="s">
        <v>116</v>
      </c>
      <c r="C54" s="18" t="s">
        <v>117</v>
      </c>
      <c r="D54" s="18" t="s">
        <v>69</v>
      </c>
      <c r="E54" s="19">
        <v>1494</v>
      </c>
      <c r="F54" s="20">
        <v>10.92</v>
      </c>
      <c r="G54" s="21">
        <v>0.17</v>
      </c>
      <c r="H54" s="22"/>
    </row>
    <row r="55" spans="2:8" ht="24" customHeight="1" x14ac:dyDescent="0.25">
      <c r="B55" s="18" t="s">
        <v>118</v>
      </c>
      <c r="C55" s="18" t="s">
        <v>119</v>
      </c>
      <c r="D55" s="18" t="s">
        <v>120</v>
      </c>
      <c r="E55" s="19">
        <v>172</v>
      </c>
      <c r="F55" s="20">
        <v>10.08</v>
      </c>
      <c r="G55" s="21">
        <v>0.15</v>
      </c>
      <c r="H55" s="22"/>
    </row>
    <row r="56" spans="2:8" ht="24" customHeight="1" x14ac:dyDescent="0.25">
      <c r="B56" s="18" t="s">
        <v>121</v>
      </c>
      <c r="C56" s="18" t="s">
        <v>122</v>
      </c>
      <c r="D56" s="18" t="s">
        <v>30</v>
      </c>
      <c r="E56" s="19">
        <v>510</v>
      </c>
      <c r="F56" s="20">
        <v>7.46</v>
      </c>
      <c r="G56" s="21">
        <v>0.11</v>
      </c>
      <c r="H56" s="22"/>
    </row>
    <row r="57" spans="2:8" ht="24" customHeight="1" x14ac:dyDescent="0.25">
      <c r="B57" s="29" t="s">
        <v>123</v>
      </c>
      <c r="C57" s="29"/>
      <c r="D57" s="29"/>
      <c r="E57" s="30"/>
      <c r="F57" s="31">
        <v>5019.66</v>
      </c>
      <c r="G57" s="32">
        <v>76.11</v>
      </c>
      <c r="H57" s="33"/>
    </row>
    <row r="58" spans="2:8" ht="24" customHeight="1" x14ac:dyDescent="0.25">
      <c r="B58" s="18"/>
      <c r="C58" s="18"/>
      <c r="D58" s="18"/>
      <c r="E58" s="19"/>
      <c r="F58" s="20"/>
      <c r="G58" s="21"/>
      <c r="H58" s="22"/>
    </row>
    <row r="59" spans="2:8" ht="24" customHeight="1" x14ac:dyDescent="0.25">
      <c r="B59" s="23" t="s">
        <v>124</v>
      </c>
      <c r="C59" s="24"/>
      <c r="D59" s="24"/>
      <c r="E59" s="25"/>
      <c r="F59" s="26"/>
      <c r="G59" s="27"/>
      <c r="H59" s="28"/>
    </row>
    <row r="60" spans="2:8" ht="24" customHeight="1" x14ac:dyDescent="0.25">
      <c r="B60" s="18"/>
      <c r="C60" s="18"/>
      <c r="D60" s="18"/>
      <c r="E60" s="19"/>
      <c r="F60" s="21">
        <v>0</v>
      </c>
      <c r="G60" s="21">
        <v>0</v>
      </c>
      <c r="H60" s="22"/>
    </row>
    <row r="61" spans="2:8" ht="24" customHeight="1" x14ac:dyDescent="0.25">
      <c r="B61" s="29" t="s">
        <v>123</v>
      </c>
      <c r="C61" s="18"/>
      <c r="D61" s="18"/>
      <c r="E61" s="19"/>
      <c r="F61" s="34" t="s">
        <v>125</v>
      </c>
      <c r="G61" s="34" t="s">
        <v>125</v>
      </c>
      <c r="H61" s="22"/>
    </row>
    <row r="62" spans="2:8" ht="24" customHeight="1" x14ac:dyDescent="0.25">
      <c r="B62" s="18"/>
      <c r="C62" s="18"/>
      <c r="D62" s="18"/>
      <c r="E62" s="19"/>
      <c r="F62" s="20"/>
      <c r="G62" s="21"/>
      <c r="H62" s="22"/>
    </row>
    <row r="63" spans="2:8" ht="24" customHeight="1" x14ac:dyDescent="0.25">
      <c r="B63" s="35" t="s">
        <v>126</v>
      </c>
      <c r="C63" s="36"/>
      <c r="D63" s="36"/>
      <c r="E63" s="37"/>
      <c r="F63" s="31">
        <v>5019.66</v>
      </c>
      <c r="G63" s="32">
        <v>76.11</v>
      </c>
      <c r="H63" s="33"/>
    </row>
    <row r="64" spans="2:8" ht="24" customHeight="1" x14ac:dyDescent="0.25">
      <c r="B64" s="18"/>
      <c r="C64" s="18"/>
      <c r="D64" s="18"/>
      <c r="E64" s="19"/>
      <c r="F64" s="20"/>
      <c r="G64" s="21"/>
      <c r="H64" s="22"/>
    </row>
    <row r="65" spans="2:12" ht="24" customHeight="1" x14ac:dyDescent="0.25">
      <c r="B65" s="23" t="s">
        <v>127</v>
      </c>
      <c r="C65" s="24"/>
      <c r="D65" s="24"/>
      <c r="E65" s="25"/>
      <c r="F65" s="26"/>
      <c r="G65" s="27"/>
      <c r="H65" s="28"/>
    </row>
    <row r="66" spans="2:12" ht="24" customHeight="1" x14ac:dyDescent="0.25">
      <c r="B66" s="18" t="s">
        <v>16</v>
      </c>
      <c r="C66" s="18"/>
      <c r="D66" s="18"/>
      <c r="E66" s="38">
        <v>-280500</v>
      </c>
      <c r="F66" s="39">
        <v>-542.94000000000005</v>
      </c>
      <c r="G66" s="21">
        <v>-8.23</v>
      </c>
      <c r="H66" s="22"/>
    </row>
    <row r="67" spans="2:12" ht="24" customHeight="1" x14ac:dyDescent="0.25">
      <c r="B67" s="18" t="s">
        <v>25</v>
      </c>
      <c r="C67" s="18"/>
      <c r="D67" s="18"/>
      <c r="E67" s="38">
        <v>-45000</v>
      </c>
      <c r="F67" s="39">
        <v>-419.78</v>
      </c>
      <c r="G67" s="21">
        <v>-6.36</v>
      </c>
      <c r="H67" s="22"/>
    </row>
    <row r="68" spans="2:12" ht="24" customHeight="1" x14ac:dyDescent="0.25">
      <c r="B68" s="18" t="s">
        <v>19</v>
      </c>
      <c r="C68" s="18"/>
      <c r="D68" s="18"/>
      <c r="E68" s="38">
        <v>-44000</v>
      </c>
      <c r="F68" s="39">
        <v>-410.89</v>
      </c>
      <c r="G68" s="21">
        <v>-6.23</v>
      </c>
      <c r="H68" s="22"/>
    </row>
    <row r="69" spans="2:12" ht="24" customHeight="1" x14ac:dyDescent="0.25">
      <c r="B69" s="18" t="s">
        <v>22</v>
      </c>
      <c r="C69" s="18"/>
      <c r="D69" s="18"/>
      <c r="E69" s="38">
        <v>-27500</v>
      </c>
      <c r="F69" s="39">
        <v>-384.86</v>
      </c>
      <c r="G69" s="21">
        <v>-5.83</v>
      </c>
      <c r="H69" s="22"/>
    </row>
    <row r="70" spans="2:12" ht="24" customHeight="1" x14ac:dyDescent="0.25">
      <c r="B70" s="18" t="s">
        <v>31</v>
      </c>
      <c r="C70" s="18"/>
      <c r="D70" s="18"/>
      <c r="E70" s="38">
        <v>-63000</v>
      </c>
      <c r="F70" s="39">
        <v>-322.27999999999997</v>
      </c>
      <c r="G70" s="21">
        <v>-4.8899999999999997</v>
      </c>
      <c r="H70" s="22"/>
    </row>
    <row r="71" spans="2:12" ht="24" customHeight="1" x14ac:dyDescent="0.25">
      <c r="B71" s="18" t="s">
        <v>28</v>
      </c>
      <c r="C71" s="18"/>
      <c r="D71" s="18"/>
      <c r="E71" s="38">
        <v>-8050</v>
      </c>
      <c r="F71" s="39">
        <v>-320.89999999999998</v>
      </c>
      <c r="G71" s="21">
        <v>-4.8600000000000003</v>
      </c>
      <c r="H71" s="22"/>
    </row>
    <row r="72" spans="2:12" ht="24" customHeight="1" x14ac:dyDescent="0.25">
      <c r="B72" s="18" t="s">
        <v>34</v>
      </c>
      <c r="C72" s="18"/>
      <c r="D72" s="18"/>
      <c r="E72" s="38">
        <v>-19950</v>
      </c>
      <c r="F72" s="39">
        <v>-283.85000000000002</v>
      </c>
      <c r="G72" s="21">
        <v>-4.3</v>
      </c>
      <c r="H72" s="22"/>
    </row>
    <row r="73" spans="2:12" ht="24" customHeight="1" x14ac:dyDescent="0.25">
      <c r="B73" s="18" t="s">
        <v>40</v>
      </c>
      <c r="C73" s="18"/>
      <c r="D73" s="18"/>
      <c r="E73" s="38">
        <v>-324000</v>
      </c>
      <c r="F73" s="39">
        <v>-263.06</v>
      </c>
      <c r="G73" s="21">
        <v>-3.99</v>
      </c>
      <c r="H73" s="22"/>
    </row>
    <row r="74" spans="2:12" ht="24" customHeight="1" x14ac:dyDescent="0.25">
      <c r="B74" s="18" t="s">
        <v>43</v>
      </c>
      <c r="C74" s="18"/>
      <c r="D74" s="18"/>
      <c r="E74" s="38">
        <v>-34000</v>
      </c>
      <c r="F74" s="39">
        <v>-139.4</v>
      </c>
      <c r="G74" s="21">
        <v>-2.11</v>
      </c>
      <c r="H74" s="22"/>
    </row>
    <row r="75" spans="2:12" ht="24" customHeight="1" x14ac:dyDescent="0.25">
      <c r="B75" s="18" t="s">
        <v>48</v>
      </c>
      <c r="C75" s="18"/>
      <c r="D75" s="18"/>
      <c r="E75" s="38">
        <v>-2975</v>
      </c>
      <c r="F75" s="39">
        <v>-117.28</v>
      </c>
      <c r="G75" s="21">
        <v>-1.78</v>
      </c>
      <c r="H75" s="22"/>
    </row>
    <row r="76" spans="2:12" ht="24" customHeight="1" x14ac:dyDescent="0.25">
      <c r="B76" s="18" t="s">
        <v>51</v>
      </c>
      <c r="C76" s="18"/>
      <c r="D76" s="18"/>
      <c r="E76" s="38">
        <v>-3800</v>
      </c>
      <c r="F76" s="39">
        <v>-75.03</v>
      </c>
      <c r="G76" s="21">
        <v>-1.1399999999999999</v>
      </c>
      <c r="H76" s="22"/>
      <c r="L76" s="40"/>
    </row>
    <row r="77" spans="2:12" ht="24" customHeight="1" x14ac:dyDescent="0.25">
      <c r="B77" s="18"/>
      <c r="C77" s="18"/>
      <c r="D77" s="18"/>
      <c r="E77" s="19"/>
      <c r="F77" s="20"/>
      <c r="G77" s="21"/>
      <c r="H77" s="22"/>
    </row>
    <row r="78" spans="2:12" ht="24" customHeight="1" x14ac:dyDescent="0.25">
      <c r="B78" s="35" t="s">
        <v>126</v>
      </c>
      <c r="C78" s="36"/>
      <c r="D78" s="36"/>
      <c r="E78" s="37"/>
      <c r="F78" s="41">
        <v>-3280.27</v>
      </c>
      <c r="G78" s="32">
        <v>-49.72</v>
      </c>
      <c r="H78" s="33"/>
      <c r="L78" s="40"/>
    </row>
    <row r="79" spans="2:12" ht="24" customHeight="1" x14ac:dyDescent="0.25">
      <c r="B79" s="18"/>
      <c r="C79" s="18"/>
      <c r="D79" s="18"/>
      <c r="E79" s="19"/>
      <c r="F79" s="20"/>
      <c r="G79" s="21"/>
      <c r="H79" s="22"/>
      <c r="L79" s="40"/>
    </row>
    <row r="80" spans="2:12" ht="24" customHeight="1" x14ac:dyDescent="0.25">
      <c r="B80" s="12" t="s">
        <v>128</v>
      </c>
      <c r="C80" s="13"/>
      <c r="D80" s="13"/>
      <c r="E80" s="14"/>
      <c r="F80" s="15"/>
      <c r="G80" s="16"/>
      <c r="H80" s="17"/>
      <c r="L80" s="40"/>
    </row>
    <row r="81" spans="2:13" ht="24" customHeight="1" x14ac:dyDescent="0.25">
      <c r="B81" s="18"/>
      <c r="C81" s="18"/>
      <c r="D81" s="18"/>
      <c r="E81" s="19"/>
      <c r="F81" s="20"/>
      <c r="G81" s="21"/>
      <c r="H81" s="22"/>
      <c r="L81" s="40"/>
    </row>
    <row r="82" spans="2:13" ht="24" customHeight="1" x14ac:dyDescent="0.25">
      <c r="B82" s="23" t="s">
        <v>129</v>
      </c>
      <c r="C82" s="24"/>
      <c r="D82" s="24"/>
      <c r="E82" s="25"/>
      <c r="F82" s="26"/>
      <c r="G82" s="27"/>
      <c r="H82" s="28"/>
      <c r="L82" s="40"/>
    </row>
    <row r="83" spans="2:13" ht="24" customHeight="1" x14ac:dyDescent="0.25">
      <c r="B83" s="18" t="s">
        <v>130</v>
      </c>
      <c r="C83" s="18" t="s">
        <v>131</v>
      </c>
      <c r="D83" s="18" t="s">
        <v>132</v>
      </c>
      <c r="E83" s="19">
        <v>500000</v>
      </c>
      <c r="F83" s="20">
        <v>511.24</v>
      </c>
      <c r="G83" s="21">
        <v>7.75</v>
      </c>
      <c r="H83" s="22">
        <v>6.8493000000000004</v>
      </c>
      <c r="L83" s="42"/>
      <c r="M83" s="42"/>
    </row>
    <row r="84" spans="2:13" ht="24" customHeight="1" x14ac:dyDescent="0.25">
      <c r="B84" s="18" t="s">
        <v>133</v>
      </c>
      <c r="C84" s="18" t="s">
        <v>134</v>
      </c>
      <c r="D84" s="18" t="s">
        <v>132</v>
      </c>
      <c r="E84" s="19">
        <v>300000</v>
      </c>
      <c r="F84" s="20">
        <v>307.93</v>
      </c>
      <c r="G84" s="21">
        <v>4.67</v>
      </c>
      <c r="H84" s="22">
        <v>6.8396999999999997</v>
      </c>
    </row>
    <row r="85" spans="2:13" ht="24" customHeight="1" x14ac:dyDescent="0.25">
      <c r="B85" s="18" t="s">
        <v>135</v>
      </c>
      <c r="C85" s="18" t="s">
        <v>136</v>
      </c>
      <c r="D85" s="18" t="s">
        <v>137</v>
      </c>
      <c r="E85" s="19">
        <v>200000</v>
      </c>
      <c r="F85" s="20">
        <v>210.48</v>
      </c>
      <c r="G85" s="21">
        <v>3.19</v>
      </c>
      <c r="H85" s="22">
        <v>7.2049000000000003</v>
      </c>
    </row>
    <row r="86" spans="2:13" ht="24" customHeight="1" x14ac:dyDescent="0.25">
      <c r="B86" s="18" t="s">
        <v>138</v>
      </c>
      <c r="C86" s="18" t="s">
        <v>139</v>
      </c>
      <c r="D86" s="18" t="s">
        <v>132</v>
      </c>
      <c r="E86" s="19">
        <v>100000</v>
      </c>
      <c r="F86" s="20">
        <v>103.87</v>
      </c>
      <c r="G86" s="21">
        <v>1.57</v>
      </c>
      <c r="H86" s="22">
        <v>5.8472999999999997</v>
      </c>
      <c r="L86" s="43"/>
      <c r="M86" s="43"/>
    </row>
    <row r="87" spans="2:13" ht="24" customHeight="1" x14ac:dyDescent="0.25">
      <c r="B87" s="18" t="s">
        <v>140</v>
      </c>
      <c r="C87" s="18" t="s">
        <v>141</v>
      </c>
      <c r="D87" s="18" t="s">
        <v>137</v>
      </c>
      <c r="E87" s="19">
        <v>100000</v>
      </c>
      <c r="F87" s="20">
        <v>100.16</v>
      </c>
      <c r="G87" s="21">
        <v>1.52</v>
      </c>
      <c r="H87" s="22">
        <v>7.4611000000000001</v>
      </c>
      <c r="L87" s="43"/>
      <c r="M87" s="43"/>
    </row>
    <row r="88" spans="2:13" ht="24" customHeight="1" x14ac:dyDescent="0.25">
      <c r="B88" s="18" t="s">
        <v>142</v>
      </c>
      <c r="C88" s="18" t="s">
        <v>143</v>
      </c>
      <c r="D88" s="18" t="s">
        <v>132</v>
      </c>
      <c r="E88" s="19">
        <v>50000</v>
      </c>
      <c r="F88" s="20">
        <v>49.83</v>
      </c>
      <c r="G88" s="21">
        <v>0.76</v>
      </c>
      <c r="H88" s="22">
        <v>6.72</v>
      </c>
      <c r="L88" s="43"/>
      <c r="M88" s="43"/>
    </row>
    <row r="89" spans="2:13" ht="24" customHeight="1" x14ac:dyDescent="0.25">
      <c r="B89" s="29" t="s">
        <v>123</v>
      </c>
      <c r="C89" s="29"/>
      <c r="D89" s="29"/>
      <c r="E89" s="30"/>
      <c r="F89" s="31">
        <v>1283.51</v>
      </c>
      <c r="G89" s="32">
        <v>19.46</v>
      </c>
      <c r="H89" s="33"/>
      <c r="L89" s="43"/>
      <c r="M89" s="43"/>
    </row>
    <row r="90" spans="2:13" ht="24" customHeight="1" x14ac:dyDescent="0.25">
      <c r="B90" s="18"/>
      <c r="C90" s="18"/>
      <c r="D90" s="18"/>
      <c r="E90" s="19"/>
      <c r="F90" s="20"/>
      <c r="G90" s="21"/>
      <c r="H90" s="22"/>
      <c r="L90" s="43"/>
      <c r="M90" s="43"/>
    </row>
    <row r="91" spans="2:13" ht="24" customHeight="1" x14ac:dyDescent="0.25">
      <c r="B91" s="23" t="s">
        <v>144</v>
      </c>
      <c r="C91" s="24"/>
      <c r="D91" s="24"/>
      <c r="E91" s="25"/>
      <c r="F91" s="26"/>
      <c r="G91" s="27"/>
      <c r="H91" s="28"/>
      <c r="L91" s="43"/>
      <c r="M91" s="43"/>
    </row>
    <row r="92" spans="2:13" ht="24" customHeight="1" x14ac:dyDescent="0.25">
      <c r="B92" s="18"/>
      <c r="C92" s="18"/>
      <c r="D92" s="18"/>
      <c r="E92" s="19"/>
      <c r="F92" s="21">
        <v>0</v>
      </c>
      <c r="G92" s="21">
        <v>0</v>
      </c>
      <c r="H92" s="22"/>
      <c r="L92" s="43"/>
      <c r="M92" s="43"/>
    </row>
    <row r="93" spans="2:13" ht="24" customHeight="1" x14ac:dyDescent="0.25">
      <c r="B93" s="29" t="s">
        <v>123</v>
      </c>
      <c r="C93" s="29"/>
      <c r="D93" s="29"/>
      <c r="E93" s="30"/>
      <c r="F93" s="34" t="s">
        <v>125</v>
      </c>
      <c r="G93" s="34" t="s">
        <v>125</v>
      </c>
      <c r="H93" s="33"/>
    </row>
    <row r="94" spans="2:13" ht="24" customHeight="1" x14ac:dyDescent="0.25">
      <c r="B94" s="29"/>
      <c r="C94" s="29"/>
      <c r="D94" s="29"/>
      <c r="E94" s="30"/>
      <c r="F94" s="44"/>
      <c r="G94" s="45"/>
      <c r="H94" s="33"/>
    </row>
    <row r="95" spans="2:13" ht="24" customHeight="1" x14ac:dyDescent="0.25">
      <c r="B95" s="23" t="s">
        <v>145</v>
      </c>
      <c r="C95" s="24"/>
      <c r="D95" s="24"/>
      <c r="E95" s="25"/>
      <c r="F95" s="26"/>
      <c r="G95" s="27"/>
      <c r="H95" s="28"/>
      <c r="L95" s="40"/>
    </row>
    <row r="96" spans="2:13" ht="24" customHeight="1" x14ac:dyDescent="0.25">
      <c r="B96" s="18"/>
      <c r="C96" s="18"/>
      <c r="D96" s="18"/>
      <c r="E96" s="19"/>
      <c r="F96" s="21">
        <v>0</v>
      </c>
      <c r="G96" s="21">
        <v>0</v>
      </c>
      <c r="H96" s="22"/>
    </row>
    <row r="97" spans="2:8" ht="24" customHeight="1" x14ac:dyDescent="0.25">
      <c r="B97" s="29" t="s">
        <v>123</v>
      </c>
      <c r="C97" s="18"/>
      <c r="D97" s="18"/>
      <c r="E97" s="19"/>
      <c r="F97" s="34" t="s">
        <v>125</v>
      </c>
      <c r="G97" s="34" t="s">
        <v>125</v>
      </c>
      <c r="H97" s="22"/>
    </row>
    <row r="98" spans="2:8" ht="24" customHeight="1" x14ac:dyDescent="0.25">
      <c r="B98" s="18"/>
      <c r="C98" s="18"/>
      <c r="D98" s="18"/>
      <c r="E98" s="19"/>
      <c r="F98" s="20"/>
      <c r="G98" s="21"/>
      <c r="H98" s="22"/>
    </row>
    <row r="99" spans="2:8" ht="24" customHeight="1" x14ac:dyDescent="0.25">
      <c r="B99" s="35" t="s">
        <v>126</v>
      </c>
      <c r="C99" s="36"/>
      <c r="D99" s="36"/>
      <c r="E99" s="37"/>
      <c r="F99" s="31">
        <f>F89</f>
        <v>1283.51</v>
      </c>
      <c r="G99" s="31">
        <f>G89</f>
        <v>19.46</v>
      </c>
      <c r="H99" s="33"/>
    </row>
    <row r="100" spans="2:8" ht="24" customHeight="1" x14ac:dyDescent="0.25">
      <c r="B100" s="46"/>
      <c r="C100" s="47"/>
      <c r="D100" s="47"/>
      <c r="E100" s="48"/>
      <c r="F100" s="44"/>
      <c r="G100" s="45"/>
      <c r="H100" s="33"/>
    </row>
    <row r="101" spans="2:8" ht="24" customHeight="1" x14ac:dyDescent="0.25">
      <c r="B101" s="23" t="s">
        <v>146</v>
      </c>
      <c r="C101" s="24"/>
      <c r="D101" s="24"/>
      <c r="E101" s="49"/>
      <c r="F101" s="26"/>
      <c r="G101" s="27"/>
      <c r="H101" s="28"/>
    </row>
    <row r="102" spans="2:8" ht="24" customHeight="1" x14ac:dyDescent="0.25">
      <c r="B102" s="18" t="s">
        <v>147</v>
      </c>
      <c r="C102" s="18" t="s">
        <v>148</v>
      </c>
      <c r="D102" s="18" t="s">
        <v>149</v>
      </c>
      <c r="E102" s="19">
        <v>5600</v>
      </c>
      <c r="F102" s="20">
        <v>0.56999999999999995</v>
      </c>
      <c r="G102" s="21">
        <v>0.01</v>
      </c>
      <c r="H102" s="22">
        <v>6.35</v>
      </c>
    </row>
    <row r="103" spans="2:8" ht="24" customHeight="1" x14ac:dyDescent="0.25">
      <c r="B103" s="29" t="s">
        <v>123</v>
      </c>
      <c r="C103" s="29"/>
      <c r="D103" s="29"/>
      <c r="E103" s="30"/>
      <c r="F103" s="31">
        <v>0.56999999999999995</v>
      </c>
      <c r="G103" s="32">
        <v>0.01</v>
      </c>
      <c r="H103" s="33"/>
    </row>
    <row r="104" spans="2:8" ht="24" customHeight="1" x14ac:dyDescent="0.25">
      <c r="B104" s="50"/>
      <c r="C104" s="50"/>
      <c r="D104" s="50"/>
      <c r="E104" s="48"/>
      <c r="F104" s="44"/>
      <c r="G104" s="45"/>
      <c r="H104" s="33"/>
    </row>
    <row r="105" spans="2:8" ht="24" customHeight="1" x14ac:dyDescent="0.25">
      <c r="B105" s="35" t="s">
        <v>126</v>
      </c>
      <c r="C105" s="36"/>
      <c r="D105" s="36"/>
      <c r="E105" s="37"/>
      <c r="F105" s="31">
        <f>F102</f>
        <v>0.56999999999999995</v>
      </c>
      <c r="G105" s="31">
        <f>G102</f>
        <v>0.01</v>
      </c>
      <c r="H105" s="33"/>
    </row>
    <row r="106" spans="2:8" ht="24" customHeight="1" x14ac:dyDescent="0.25">
      <c r="B106" s="18"/>
      <c r="C106" s="18"/>
      <c r="D106" s="18"/>
      <c r="E106" s="19"/>
      <c r="F106" s="20"/>
      <c r="G106" s="21"/>
      <c r="H106" s="22"/>
    </row>
    <row r="107" spans="2:8" ht="24" customHeight="1" x14ac:dyDescent="0.25">
      <c r="B107" s="12" t="s">
        <v>150</v>
      </c>
      <c r="C107" s="13"/>
      <c r="D107" s="13"/>
      <c r="E107" s="14"/>
      <c r="F107" s="15"/>
      <c r="G107" s="16"/>
      <c r="H107" s="17"/>
    </row>
    <row r="108" spans="2:8" ht="24" customHeight="1" x14ac:dyDescent="0.25">
      <c r="B108" s="18" t="s">
        <v>151</v>
      </c>
      <c r="C108" s="18"/>
      <c r="D108" s="18"/>
      <c r="E108" s="19"/>
      <c r="F108" s="20">
        <v>199.61</v>
      </c>
      <c r="G108" s="21">
        <v>3.03</v>
      </c>
      <c r="H108" s="22"/>
    </row>
    <row r="109" spans="2:8" ht="24" customHeight="1" x14ac:dyDescent="0.25">
      <c r="B109" s="29" t="s">
        <v>123</v>
      </c>
      <c r="C109" s="29"/>
      <c r="D109" s="29"/>
      <c r="E109" s="30"/>
      <c r="F109" s="31">
        <v>199.61</v>
      </c>
      <c r="G109" s="32">
        <v>3.03</v>
      </c>
      <c r="H109" s="33"/>
    </row>
    <row r="110" spans="2:8" ht="24" customHeight="1" x14ac:dyDescent="0.25">
      <c r="B110" s="18"/>
      <c r="C110" s="18"/>
      <c r="D110" s="18"/>
      <c r="E110" s="19"/>
      <c r="F110" s="20"/>
      <c r="G110" s="21"/>
      <c r="H110" s="22"/>
    </row>
    <row r="111" spans="2:8" ht="24" customHeight="1" x14ac:dyDescent="0.25">
      <c r="B111" s="35" t="s">
        <v>126</v>
      </c>
      <c r="C111" s="36"/>
      <c r="D111" s="36"/>
      <c r="E111" s="37"/>
      <c r="F111" s="31">
        <v>199.61</v>
      </c>
      <c r="G111" s="32">
        <v>3.03</v>
      </c>
      <c r="H111" s="33"/>
    </row>
    <row r="112" spans="2:8" ht="24" customHeight="1" x14ac:dyDescent="0.25">
      <c r="B112" s="18"/>
      <c r="C112" s="18"/>
      <c r="D112" s="18"/>
      <c r="E112" s="19"/>
      <c r="F112" s="20"/>
      <c r="G112" s="21"/>
      <c r="H112" s="22"/>
    </row>
    <row r="113" spans="2:8" ht="24" customHeight="1" x14ac:dyDescent="0.25">
      <c r="B113" s="18" t="s">
        <v>152</v>
      </c>
      <c r="C113" s="18"/>
      <c r="D113" s="18"/>
      <c r="E113" s="19"/>
      <c r="F113" s="20">
        <v>3373.66</v>
      </c>
      <c r="G113" s="21">
        <v>51.11</v>
      </c>
      <c r="H113" s="22"/>
    </row>
    <row r="114" spans="2:8" ht="24" customHeight="1" x14ac:dyDescent="0.25">
      <c r="B114" s="18"/>
      <c r="C114" s="18"/>
      <c r="D114" s="18"/>
      <c r="E114" s="19"/>
      <c r="F114" s="20"/>
      <c r="G114" s="21"/>
      <c r="H114" s="22"/>
    </row>
    <row r="115" spans="2:8" ht="24" customHeight="1" x14ac:dyDescent="0.25">
      <c r="B115" s="35" t="s">
        <v>153</v>
      </c>
      <c r="C115" s="36"/>
      <c r="D115" s="36"/>
      <c r="E115" s="37"/>
      <c r="F115" s="31">
        <v>6596.74</v>
      </c>
      <c r="G115" s="32">
        <v>100</v>
      </c>
      <c r="H115" s="51"/>
    </row>
    <row r="116" spans="2:8" ht="24" customHeight="1" x14ac:dyDescent="0.25">
      <c r="B116" s="4"/>
    </row>
    <row r="117" spans="2:8" ht="24" customHeight="1" x14ac:dyDescent="0.25">
      <c r="B117" s="53" t="s">
        <v>154</v>
      </c>
    </row>
    <row r="118" spans="2:8" ht="24" customHeight="1" x14ac:dyDescent="0.25">
      <c r="B118" s="53" t="s">
        <v>155</v>
      </c>
      <c r="F118" s="54"/>
      <c r="G118" s="54"/>
    </row>
    <row r="119" spans="2:8" ht="24" customHeight="1" x14ac:dyDescent="0.25">
      <c r="F119" s="54"/>
      <c r="G119" s="54"/>
    </row>
    <row r="124" spans="2:8" ht="24" customHeight="1" x14ac:dyDescent="0.25">
      <c r="B124" s="47" t="s">
        <v>156</v>
      </c>
    </row>
    <row r="125" spans="2:8" ht="24" customHeight="1" x14ac:dyDescent="0.25">
      <c r="B125" s="6" t="s">
        <v>157</v>
      </c>
    </row>
    <row r="126" spans="2:8" ht="24" customHeight="1" x14ac:dyDescent="0.25">
      <c r="B126" s="55" t="s">
        <v>158</v>
      </c>
      <c r="C126" s="56">
        <v>46022</v>
      </c>
      <c r="D126" s="57">
        <v>46052</v>
      </c>
    </row>
    <row r="127" spans="2:8" ht="24" customHeight="1" x14ac:dyDescent="0.25">
      <c r="B127" s="58" t="s">
        <v>159</v>
      </c>
      <c r="C127" s="59" t="s">
        <v>160</v>
      </c>
      <c r="D127" s="60" t="s">
        <v>160</v>
      </c>
      <c r="E127" s="4"/>
      <c r="F127" s="4"/>
      <c r="G127" s="4"/>
      <c r="H127" s="4"/>
    </row>
    <row r="128" spans="2:8" ht="24" customHeight="1" x14ac:dyDescent="0.25">
      <c r="B128" s="61" t="s">
        <v>161</v>
      </c>
      <c r="C128" s="62">
        <v>57.217599999999997</v>
      </c>
      <c r="D128" s="63">
        <v>57.036200000000001</v>
      </c>
      <c r="E128" s="4"/>
      <c r="F128" s="4"/>
      <c r="G128" s="4"/>
      <c r="H128" s="4"/>
    </row>
    <row r="129" spans="2:8" ht="24" customHeight="1" x14ac:dyDescent="0.25">
      <c r="B129" s="61" t="s">
        <v>162</v>
      </c>
      <c r="C129" s="62">
        <v>13.9597</v>
      </c>
      <c r="D129" s="63">
        <v>13.843400000000001</v>
      </c>
      <c r="E129" s="4"/>
      <c r="F129" s="4"/>
      <c r="G129" s="4"/>
      <c r="H129" s="4"/>
    </row>
    <row r="130" spans="2:8" ht="24" customHeight="1" x14ac:dyDescent="0.25">
      <c r="B130" s="61" t="s">
        <v>163</v>
      </c>
      <c r="C130" s="62">
        <v>16.4511</v>
      </c>
      <c r="D130" s="63">
        <v>16.400700000000001</v>
      </c>
      <c r="E130" s="4"/>
      <c r="F130" s="4"/>
      <c r="G130" s="4"/>
      <c r="H130" s="4"/>
    </row>
    <row r="131" spans="2:8" ht="24" customHeight="1" x14ac:dyDescent="0.25">
      <c r="B131" s="58" t="s">
        <v>164</v>
      </c>
      <c r="C131" s="59"/>
      <c r="D131" s="60"/>
      <c r="E131" s="4"/>
      <c r="F131" s="4"/>
      <c r="G131" s="4"/>
      <c r="H131" s="4"/>
    </row>
    <row r="132" spans="2:8" ht="24" customHeight="1" x14ac:dyDescent="0.25">
      <c r="B132" s="61" t="s">
        <v>161</v>
      </c>
      <c r="C132" s="62">
        <v>50.344000000000001</v>
      </c>
      <c r="D132" s="63">
        <v>50.1539</v>
      </c>
      <c r="E132" s="4"/>
      <c r="F132" s="4"/>
      <c r="G132" s="4"/>
      <c r="H132" s="4"/>
    </row>
    <row r="133" spans="2:8" ht="24" customHeight="1" x14ac:dyDescent="0.25">
      <c r="B133" s="61" t="s">
        <v>162</v>
      </c>
      <c r="C133" s="62">
        <v>12.687200000000001</v>
      </c>
      <c r="D133" s="63">
        <v>12.574</v>
      </c>
      <c r="E133" s="4"/>
      <c r="F133" s="4"/>
      <c r="G133" s="4"/>
      <c r="H133" s="4"/>
    </row>
    <row r="134" spans="2:8" ht="24" customHeight="1" x14ac:dyDescent="0.25">
      <c r="B134" s="64" t="s">
        <v>163</v>
      </c>
      <c r="C134" s="65">
        <v>15.470700000000001</v>
      </c>
      <c r="D134" s="66">
        <v>15.4123</v>
      </c>
      <c r="E134" s="4"/>
      <c r="F134" s="4"/>
      <c r="G134" s="4"/>
      <c r="H134" s="4"/>
    </row>
    <row r="135" spans="2:8" ht="24" customHeight="1" x14ac:dyDescent="0.25">
      <c r="C135" s="67"/>
      <c r="D135" s="67"/>
      <c r="E135" s="4"/>
      <c r="F135" s="4"/>
      <c r="G135" s="4"/>
      <c r="H135" s="4"/>
    </row>
    <row r="136" spans="2:8" ht="24" customHeight="1" x14ac:dyDescent="0.25">
      <c r="B136" s="6" t="s">
        <v>165</v>
      </c>
    </row>
    <row r="137" spans="2:8" ht="24" customHeight="1" x14ac:dyDescent="0.25">
      <c r="B137" s="68"/>
      <c r="C137" s="69" t="s">
        <v>166</v>
      </c>
      <c r="D137" s="69" t="s">
        <v>167</v>
      </c>
      <c r="E137" s="70" t="s">
        <v>168</v>
      </c>
    </row>
    <row r="138" spans="2:8" ht="24" customHeight="1" x14ac:dyDescent="0.25">
      <c r="B138" s="61" t="s">
        <v>169</v>
      </c>
      <c r="C138" s="71" t="s">
        <v>170</v>
      </c>
      <c r="D138" s="42" t="s">
        <v>125</v>
      </c>
      <c r="E138" s="72" t="s">
        <v>171</v>
      </c>
    </row>
    <row r="139" spans="2:8" ht="24" customHeight="1" x14ac:dyDescent="0.25">
      <c r="B139" s="64" t="s">
        <v>172</v>
      </c>
      <c r="C139" s="73" t="s">
        <v>125</v>
      </c>
      <c r="D139" s="73" t="s">
        <v>125</v>
      </c>
      <c r="E139" s="74" t="s">
        <v>171</v>
      </c>
    </row>
    <row r="141" spans="2:8" ht="24" customHeight="1" x14ac:dyDescent="0.25">
      <c r="B141" s="6" t="s">
        <v>173</v>
      </c>
    </row>
    <row r="142" spans="2:8" ht="24" customHeight="1" x14ac:dyDescent="0.25">
      <c r="B142" s="75" t="s">
        <v>166</v>
      </c>
      <c r="C142" s="76" t="s">
        <v>174</v>
      </c>
      <c r="D142" s="77"/>
      <c r="E142" s="77" t="s">
        <v>175</v>
      </c>
      <c r="F142" s="77"/>
      <c r="G142" s="78"/>
    </row>
    <row r="143" spans="2:8" ht="24" customHeight="1" x14ac:dyDescent="0.25">
      <c r="B143" s="79"/>
      <c r="C143" s="80" t="s">
        <v>176</v>
      </c>
      <c r="D143" s="80" t="s">
        <v>177</v>
      </c>
      <c r="E143" s="80" t="s">
        <v>176</v>
      </c>
      <c r="F143" s="81" t="s">
        <v>177</v>
      </c>
      <c r="G143" s="82"/>
    </row>
    <row r="144" spans="2:8" ht="24" customHeight="1" x14ac:dyDescent="0.25">
      <c r="B144" s="83" t="s">
        <v>178</v>
      </c>
      <c r="C144" s="84">
        <v>552.4</v>
      </c>
      <c r="D144" s="85">
        <v>3796.9635416000001</v>
      </c>
      <c r="E144" s="86">
        <v>17</v>
      </c>
      <c r="F144" s="87">
        <v>147.8252</v>
      </c>
      <c r="G144" s="88"/>
    </row>
    <row r="145" spans="2:7" ht="24" customHeight="1" x14ac:dyDescent="0.25">
      <c r="B145" s="89" t="s">
        <v>179</v>
      </c>
      <c r="C145" s="90">
        <v>0</v>
      </c>
      <c r="D145" s="91">
        <v>0</v>
      </c>
      <c r="E145" s="92">
        <v>0</v>
      </c>
      <c r="F145" s="93">
        <v>0</v>
      </c>
      <c r="G145" s="94"/>
    </row>
    <row r="146" spans="2:7" ht="24" customHeight="1" x14ac:dyDescent="0.25">
      <c r="B146" s="95" t="s">
        <v>180</v>
      </c>
      <c r="C146" s="96"/>
      <c r="D146" s="96"/>
      <c r="E146" s="96"/>
      <c r="F146" s="97">
        <v>128.19433219999999</v>
      </c>
      <c r="G146" s="98"/>
    </row>
    <row r="147" spans="2:7" ht="24" customHeight="1" x14ac:dyDescent="0.25">
      <c r="B147" s="75" t="s">
        <v>181</v>
      </c>
      <c r="C147" s="77" t="s">
        <v>174</v>
      </c>
      <c r="D147" s="77"/>
      <c r="E147" s="77" t="s">
        <v>175</v>
      </c>
      <c r="F147" s="77"/>
      <c r="G147" s="78"/>
    </row>
    <row r="148" spans="2:7" ht="24" customHeight="1" x14ac:dyDescent="0.25">
      <c r="B148" s="99"/>
      <c r="C148" s="80" t="s">
        <v>176</v>
      </c>
      <c r="D148" s="80" t="s">
        <v>177</v>
      </c>
      <c r="E148" s="80" t="s">
        <v>176</v>
      </c>
      <c r="F148" s="81" t="s">
        <v>177</v>
      </c>
      <c r="G148" s="82"/>
    </row>
    <row r="149" spans="2:7" ht="24" customHeight="1" x14ac:dyDescent="0.25">
      <c r="B149" s="83" t="s">
        <v>178</v>
      </c>
      <c r="C149" s="84">
        <v>0</v>
      </c>
      <c r="D149" s="85">
        <v>0</v>
      </c>
      <c r="E149" s="86">
        <v>0</v>
      </c>
      <c r="F149" s="87">
        <v>0</v>
      </c>
      <c r="G149" s="88"/>
    </row>
    <row r="150" spans="2:7" ht="24" customHeight="1" x14ac:dyDescent="0.25">
      <c r="B150" s="89" t="s">
        <v>179</v>
      </c>
      <c r="C150" s="90">
        <v>0</v>
      </c>
      <c r="D150" s="91">
        <v>0</v>
      </c>
      <c r="E150" s="92">
        <v>0</v>
      </c>
      <c r="F150" s="93">
        <v>0</v>
      </c>
      <c r="G150" s="94"/>
    </row>
    <row r="151" spans="2:7" ht="24" customHeight="1" x14ac:dyDescent="0.25">
      <c r="B151" s="95" t="s">
        <v>180</v>
      </c>
      <c r="C151" s="96"/>
      <c r="D151" s="96"/>
      <c r="E151" s="96"/>
      <c r="F151" s="97">
        <v>0</v>
      </c>
      <c r="G151" s="98"/>
    </row>
    <row r="152" spans="2:7" ht="24" customHeight="1" x14ac:dyDescent="0.25">
      <c r="B152" s="75" t="s">
        <v>168</v>
      </c>
      <c r="C152" s="77" t="s">
        <v>174</v>
      </c>
      <c r="D152" s="77"/>
      <c r="E152" s="77" t="s">
        <v>175</v>
      </c>
      <c r="F152" s="77"/>
      <c r="G152" s="78"/>
    </row>
    <row r="153" spans="2:7" ht="24" customHeight="1" x14ac:dyDescent="0.25">
      <c r="B153" s="99"/>
      <c r="C153" s="80" t="s">
        <v>176</v>
      </c>
      <c r="D153" s="80" t="s">
        <v>177</v>
      </c>
      <c r="E153" s="80" t="s">
        <v>176</v>
      </c>
      <c r="F153" s="81" t="s">
        <v>177</v>
      </c>
      <c r="G153" s="82"/>
    </row>
    <row r="154" spans="2:7" ht="24" customHeight="1" x14ac:dyDescent="0.25">
      <c r="B154" s="83" t="s">
        <v>178</v>
      </c>
      <c r="C154" s="84">
        <v>0</v>
      </c>
      <c r="D154" s="85">
        <v>0</v>
      </c>
      <c r="E154" s="86">
        <v>0</v>
      </c>
      <c r="F154" s="87">
        <v>0</v>
      </c>
      <c r="G154" s="88"/>
    </row>
    <row r="155" spans="2:7" ht="24" customHeight="1" x14ac:dyDescent="0.25">
      <c r="B155" s="89" t="s">
        <v>179</v>
      </c>
      <c r="C155" s="90">
        <v>0</v>
      </c>
      <c r="D155" s="91">
        <v>0</v>
      </c>
      <c r="E155" s="92">
        <v>0</v>
      </c>
      <c r="F155" s="93">
        <v>0</v>
      </c>
      <c r="G155" s="94"/>
    </row>
    <row r="156" spans="2:7" ht="24" customHeight="1" x14ac:dyDescent="0.25">
      <c r="B156" s="95" t="s">
        <v>180</v>
      </c>
      <c r="C156" s="96"/>
      <c r="D156" s="96"/>
      <c r="E156" s="96"/>
      <c r="F156" s="97">
        <v>0</v>
      </c>
      <c r="G156" s="98"/>
    </row>
    <row r="158" spans="2:7" ht="24" customHeight="1" x14ac:dyDescent="0.25">
      <c r="B158" s="6" t="s">
        <v>182</v>
      </c>
      <c r="D158" s="42" t="s">
        <v>125</v>
      </c>
    </row>
    <row r="160" spans="2:7" ht="24" customHeight="1" x14ac:dyDescent="0.25">
      <c r="B160" s="6" t="s">
        <v>183</v>
      </c>
      <c r="D160" s="42" t="s">
        <v>125</v>
      </c>
    </row>
    <row r="162" spans="2:8" ht="24" customHeight="1" x14ac:dyDescent="0.25">
      <c r="B162" s="6" t="s">
        <v>184</v>
      </c>
      <c r="D162" s="42">
        <v>0.09</v>
      </c>
    </row>
    <row r="164" spans="2:8" ht="24" customHeight="1" x14ac:dyDescent="0.25">
      <c r="B164" s="6" t="s">
        <v>185</v>
      </c>
    </row>
    <row r="165" spans="2:8" ht="24" customHeight="1" x14ac:dyDescent="0.25">
      <c r="B165" s="55" t="s">
        <v>186</v>
      </c>
      <c r="C165" s="100" t="s">
        <v>187</v>
      </c>
      <c r="D165" s="47"/>
    </row>
    <row r="166" spans="2:8" ht="24" customHeight="1" x14ac:dyDescent="0.25">
      <c r="B166" s="58" t="s">
        <v>159</v>
      </c>
      <c r="C166" s="101"/>
      <c r="D166" s="4"/>
      <c r="E166" s="4"/>
      <c r="F166" s="4"/>
      <c r="G166" s="4"/>
      <c r="H166" s="4"/>
    </row>
    <row r="167" spans="2:8" ht="24" customHeight="1" x14ac:dyDescent="0.25">
      <c r="B167" s="61" t="s">
        <v>188</v>
      </c>
      <c r="C167" s="63">
        <v>7.1599999999999997E-2</v>
      </c>
      <c r="D167" s="4"/>
      <c r="E167" s="4"/>
      <c r="F167" s="4"/>
      <c r="G167" s="4"/>
      <c r="H167" s="4"/>
    </row>
    <row r="168" spans="2:8" ht="24" customHeight="1" x14ac:dyDescent="0.25">
      <c r="B168" s="58" t="s">
        <v>164</v>
      </c>
      <c r="C168" s="101"/>
      <c r="D168" s="4"/>
      <c r="E168" s="4"/>
      <c r="F168" s="4"/>
      <c r="G168" s="4"/>
      <c r="H168" s="4"/>
    </row>
    <row r="169" spans="2:8" ht="24" customHeight="1" x14ac:dyDescent="0.25">
      <c r="B169" s="64" t="s">
        <v>188</v>
      </c>
      <c r="C169" s="66">
        <v>6.5100000000000005E-2</v>
      </c>
      <c r="D169" s="4"/>
      <c r="E169" s="4"/>
      <c r="F169" s="4"/>
      <c r="G169" s="4"/>
      <c r="H169" s="4"/>
    </row>
    <row r="170" spans="2:8" ht="24" customHeight="1" x14ac:dyDescent="0.25">
      <c r="B170" s="6" t="s">
        <v>189</v>
      </c>
      <c r="C170" s="67"/>
      <c r="D170" s="4"/>
      <c r="E170" s="4"/>
      <c r="F170" s="4"/>
      <c r="G170" s="4"/>
      <c r="H170" s="4"/>
    </row>
    <row r="172" spans="2:8" ht="24" customHeight="1" x14ac:dyDescent="0.25">
      <c r="B172" s="6" t="s">
        <v>190</v>
      </c>
      <c r="D172" s="42" t="s">
        <v>125</v>
      </c>
    </row>
    <row r="173" spans="2:8" ht="24" customHeight="1" x14ac:dyDescent="0.25">
      <c r="B173" s="6" t="s">
        <v>191</v>
      </c>
      <c r="D173" s="42" t="s">
        <v>125</v>
      </c>
    </row>
    <row r="175" spans="2:8" ht="24" customHeight="1" x14ac:dyDescent="0.25">
      <c r="B175" s="102" t="s">
        <v>192</v>
      </c>
      <c r="D175" s="42" t="s">
        <v>125</v>
      </c>
    </row>
    <row r="177" spans="2:8" ht="24" customHeight="1" x14ac:dyDescent="0.25">
      <c r="B177" s="6" t="s">
        <v>193</v>
      </c>
      <c r="D177" s="42" t="s">
        <v>125</v>
      </c>
    </row>
    <row r="178" spans="2:8" ht="24" customHeight="1" x14ac:dyDescent="0.35">
      <c r="B178" s="6" t="s">
        <v>194</v>
      </c>
      <c r="C178" s="103" t="s">
        <v>195</v>
      </c>
    </row>
    <row r="179" spans="2:8" ht="24" customHeight="1" x14ac:dyDescent="0.25">
      <c r="B179" s="47" t="s">
        <v>196</v>
      </c>
    </row>
    <row r="180" spans="2:8" s="108" customFormat="1" ht="24" customHeight="1" x14ac:dyDescent="0.25">
      <c r="B180" s="104" t="s">
        <v>197</v>
      </c>
      <c r="C180" s="104" t="s">
        <v>198</v>
      </c>
      <c r="D180" s="104" t="s">
        <v>199</v>
      </c>
      <c r="E180" s="105" t="s">
        <v>200</v>
      </c>
      <c r="F180" s="105" t="s">
        <v>201</v>
      </c>
      <c r="G180" s="106"/>
      <c r="H180" s="107"/>
    </row>
    <row r="181" spans="2:8" ht="24" customHeight="1" x14ac:dyDescent="0.25">
      <c r="B181" s="109" t="s">
        <v>34</v>
      </c>
      <c r="C181" s="109" t="s">
        <v>202</v>
      </c>
      <c r="D181" s="109">
        <v>1369.2666429999999</v>
      </c>
      <c r="E181" s="110">
        <v>1422.8</v>
      </c>
      <c r="F181" s="110">
        <v>56.031713600000003</v>
      </c>
    </row>
    <row r="182" spans="2:8" ht="24" customHeight="1" x14ac:dyDescent="0.25">
      <c r="B182" s="109" t="s">
        <v>31</v>
      </c>
      <c r="C182" s="109" t="s">
        <v>202</v>
      </c>
      <c r="D182" s="109">
        <v>535.94082000000003</v>
      </c>
      <c r="E182" s="110">
        <v>511.55</v>
      </c>
      <c r="F182" s="110">
        <v>57.784176500000001</v>
      </c>
    </row>
    <row r="183" spans="2:8" ht="24" customHeight="1" x14ac:dyDescent="0.25">
      <c r="B183" s="109" t="s">
        <v>25</v>
      </c>
      <c r="C183" s="109" t="s">
        <v>202</v>
      </c>
      <c r="D183" s="109">
        <v>942.11251700000003</v>
      </c>
      <c r="E183" s="110">
        <v>932.85</v>
      </c>
      <c r="F183" s="110">
        <v>74.217545999999999</v>
      </c>
    </row>
    <row r="184" spans="2:8" ht="24" customHeight="1" x14ac:dyDescent="0.25">
      <c r="B184" s="109" t="s">
        <v>51</v>
      </c>
      <c r="C184" s="109" t="s">
        <v>202</v>
      </c>
      <c r="D184" s="109">
        <v>2009.2125000000001</v>
      </c>
      <c r="E184" s="110">
        <v>1974.4</v>
      </c>
      <c r="F184" s="110">
        <v>13.264809</v>
      </c>
    </row>
    <row r="185" spans="2:8" ht="24" customHeight="1" x14ac:dyDescent="0.25">
      <c r="B185" s="109" t="s">
        <v>19</v>
      </c>
      <c r="C185" s="109" t="s">
        <v>202</v>
      </c>
      <c r="D185" s="109">
        <v>923.23689999999999</v>
      </c>
      <c r="E185" s="110">
        <v>933.85</v>
      </c>
      <c r="F185" s="110">
        <v>72.522790999999998</v>
      </c>
    </row>
    <row r="186" spans="2:8" ht="24" customHeight="1" x14ac:dyDescent="0.25">
      <c r="B186" s="109" t="s">
        <v>43</v>
      </c>
      <c r="C186" s="109" t="s">
        <v>202</v>
      </c>
      <c r="D186" s="109">
        <v>426.68823500000002</v>
      </c>
      <c r="E186" s="110">
        <v>410</v>
      </c>
      <c r="F186" s="110">
        <v>24.604099999999999</v>
      </c>
    </row>
    <row r="187" spans="2:8" ht="24" customHeight="1" x14ac:dyDescent="0.25">
      <c r="B187" s="109" t="s">
        <v>48</v>
      </c>
      <c r="C187" s="109" t="s">
        <v>202</v>
      </c>
      <c r="D187" s="109">
        <v>3764.3646990000002</v>
      </c>
      <c r="E187" s="110">
        <v>3942.1</v>
      </c>
      <c r="F187" s="110">
        <v>20.7463853</v>
      </c>
    </row>
    <row r="188" spans="2:8" ht="24" customHeight="1" x14ac:dyDescent="0.25">
      <c r="B188" s="109" t="s">
        <v>40</v>
      </c>
      <c r="C188" s="109" t="s">
        <v>202</v>
      </c>
      <c r="D188" s="109">
        <v>77.12</v>
      </c>
      <c r="E188" s="110">
        <v>81.19</v>
      </c>
      <c r="F188" s="110">
        <v>94.121293699999995</v>
      </c>
    </row>
    <row r="189" spans="2:8" ht="24" customHeight="1" x14ac:dyDescent="0.25">
      <c r="B189" s="109" t="s">
        <v>22</v>
      </c>
      <c r="C189" s="109" t="s">
        <v>202</v>
      </c>
      <c r="D189" s="109">
        <v>1397.3</v>
      </c>
      <c r="E189" s="110">
        <v>1399.5</v>
      </c>
      <c r="F189" s="110">
        <v>68.043689999999998</v>
      </c>
    </row>
    <row r="190" spans="2:8" ht="24" customHeight="1" x14ac:dyDescent="0.25">
      <c r="B190" s="109" t="s">
        <v>16</v>
      </c>
      <c r="C190" s="109" t="s">
        <v>202</v>
      </c>
      <c r="D190" s="109">
        <v>189.38294099999999</v>
      </c>
      <c r="E190" s="110">
        <v>193.56</v>
      </c>
      <c r="F190" s="110">
        <v>99.6287193</v>
      </c>
    </row>
    <row r="191" spans="2:8" ht="24" customHeight="1" x14ac:dyDescent="0.25">
      <c r="B191" s="109" t="s">
        <v>28</v>
      </c>
      <c r="C191" s="109" t="s">
        <v>202</v>
      </c>
      <c r="D191" s="109">
        <v>4059.1391250000001</v>
      </c>
      <c r="E191" s="110">
        <v>3986.3</v>
      </c>
      <c r="F191" s="110">
        <v>56.766705799999997</v>
      </c>
    </row>
    <row r="193" spans="2:3" ht="24" customHeight="1" x14ac:dyDescent="0.25">
      <c r="B193" s="47" t="s">
        <v>203</v>
      </c>
      <c r="C193" s="111">
        <f>-G78/100</f>
        <v>0.49719999999999998</v>
      </c>
    </row>
  </sheetData>
  <mergeCells count="21">
    <mergeCell ref="C152:D152"/>
    <mergeCell ref="E152:G152"/>
    <mergeCell ref="F153:G153"/>
    <mergeCell ref="F154:G154"/>
    <mergeCell ref="F155:G155"/>
    <mergeCell ref="B156:E156"/>
    <mergeCell ref="F156:G156"/>
    <mergeCell ref="C147:D147"/>
    <mergeCell ref="E147:G147"/>
    <mergeCell ref="F148:G148"/>
    <mergeCell ref="F149:G149"/>
    <mergeCell ref="F150:G150"/>
    <mergeCell ref="B151:E151"/>
    <mergeCell ref="F151:G151"/>
    <mergeCell ref="C142:D142"/>
    <mergeCell ref="E142:G142"/>
    <mergeCell ref="F143:G143"/>
    <mergeCell ref="F144:G144"/>
    <mergeCell ref="F145:G145"/>
    <mergeCell ref="B146:E146"/>
    <mergeCell ref="F146:G146"/>
  </mergeCells>
  <hyperlinks>
    <hyperlink ref="C178" r:id="rId1" location="performance" xr:uid="{80215CAF-2662-4ECE-98E2-9C84D6149148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2026-02-09T06:27:28Z</dcterms:modified>
</cp:coreProperties>
</file>