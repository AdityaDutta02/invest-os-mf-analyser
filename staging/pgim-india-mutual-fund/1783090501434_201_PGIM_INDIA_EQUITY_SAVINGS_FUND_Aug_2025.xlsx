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ug-25\31082025\Reports\Monthly Reports 31082025\Portfolio Schemes\"/>
    </mc:Choice>
  </mc:AlternateContent>
  <xr:revisionPtr revIDLastSave="0" documentId="8_{912855A8-7FB1-4BE4-860A-FBB9E4E6EE06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Equity Savings" sheetId="2" r:id="rId1"/>
  </sheets>
  <externalReferences>
    <externalReference r:id="rId2"/>
  </externalReferences>
  <definedNames>
    <definedName name="_xlnm._FilterDatabase" localSheetId="0" hidden="1">'Equity Savings'!$B$170:$C$174</definedName>
    <definedName name="Derivatives_Transactions" localSheetId="0">'Equity Savings'!#REF!</definedName>
    <definedName name="Derivatives_Transactions">[1]Arbitrage!#REF!</definedName>
    <definedName name="Hedging_Positions_through_Futures_AS_ON_MMMM_DD__YYYY___NIL" localSheetId="0">'Equity Savings'!$L$76:$M$92</definedName>
    <definedName name="JPM_Footer_disp" localSheetId="0">'Equity Savings'!$L$82:$M$92</definedName>
    <definedName name="JPM_Footer_disp12" localSheetId="0">'Equity Savings'!$L$76:$M$94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8" i="2" l="1"/>
  <c r="G99" i="2"/>
  <c r="G101" i="2" s="1"/>
  <c r="F99" i="2"/>
  <c r="F101" i="2" s="1"/>
  <c r="G86" i="2"/>
  <c r="G95" i="2" s="1"/>
  <c r="F86" i="2"/>
  <c r="F95" i="2" s="1"/>
</calcChain>
</file>

<file path=xl/sharedStrings.xml><?xml version="1.0" encoding="utf-8"?>
<sst xmlns="http://schemas.openxmlformats.org/spreadsheetml/2006/main" count="307" uniqueCount="198">
  <si>
    <t>PGIM INDIA EQUITY SAVINGS FUND</t>
  </si>
  <si>
    <t>(An Open Ended Scheme Investing In Equity, Arbitrage And Debt)</t>
  </si>
  <si>
    <t xml:space="preserve">Riskometer of the Scheme </t>
  </si>
  <si>
    <t xml:space="preserve">Riskometer of the Benchmark (NIFTY Equity Savings Index) </t>
  </si>
  <si>
    <t>Investors understand that their 
principal will be at low to moderate risk</t>
  </si>
  <si>
    <t>Benchmark riskometer is at moderate risk</t>
  </si>
  <si>
    <t>Portfolio Statement as on August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</si>
  <si>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</si>
  <si>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</si>
  <si>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</si>
  <si>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</si>
  <si>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</si>
  <si>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</si>
  <si>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</si>
  <si>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</si>
  <si>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</si>
  <si>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</si>
  <si>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</si>
  <si>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</si>
  <si>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</si>
  <si>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</si>
  <si>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</si>
  <si>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Bajaj Finance Ltd.</t>
  </si>
  <si>
    <t>INE296A01032</t>
  </si>
  <si>
    <t>Finance</t>
  </si>
  <si>
    <t>Ambuja Cements Ltd.</t>
  </si>
  <si>
    <t>INE079A01024</t>
  </si>
  <si>
    <t>Cement &amp; Cement Products</t>
  </si>
  <si>
    <t>Tata Steel Ltd.</t>
  </si>
  <si>
    <t>INE081A01020</t>
  </si>
  <si>
    <t>Ferrous Metals</t>
  </si>
  <si>
    <t>Titan Company Ltd.</t>
  </si>
  <si>
    <t>INE280A01028</t>
  </si>
  <si>
    <t>Consumer Durables</t>
  </si>
  <si>
    <t>Adani Ports &amp; Special Economic Zone Ltd.</t>
  </si>
  <si>
    <t>INE742F01042</t>
  </si>
  <si>
    <t>Transport Infrastructure</t>
  </si>
  <si>
    <t>NMDC Ltd.</t>
  </si>
  <si>
    <t>INE584A01023</t>
  </si>
  <si>
    <t>Minerals &amp; Mining</t>
  </si>
  <si>
    <t>Larsen &amp; Toubro Ltd.</t>
  </si>
  <si>
    <t>INE018A01030</t>
  </si>
  <si>
    <t>Construction</t>
  </si>
  <si>
    <t>Kotak Mahindra Bank Ltd.</t>
  </si>
  <si>
    <t>INE237A01028</t>
  </si>
  <si>
    <t>Bharti Airtel Ltd.</t>
  </si>
  <si>
    <t>INE397D01024</t>
  </si>
  <si>
    <t>Telecom - Services</t>
  </si>
  <si>
    <t>ICICI Bank Ltd.</t>
  </si>
  <si>
    <t>INE090A01021</t>
  </si>
  <si>
    <t>Tata Consultancy Services Ltd.</t>
  </si>
  <si>
    <t>INE467B01029</t>
  </si>
  <si>
    <t>IT - Software</t>
  </si>
  <si>
    <t>TVS Motor Company Ltd.</t>
  </si>
  <si>
    <t>INE494B01023</t>
  </si>
  <si>
    <t>Automobiles</t>
  </si>
  <si>
    <t>VARUN BEVERAGES LIMITED</t>
  </si>
  <si>
    <t>INE200M01039</t>
  </si>
  <si>
    <t>Beverages</t>
  </si>
  <si>
    <t>Eternal Ltd.</t>
  </si>
  <si>
    <t>INE758T01015</t>
  </si>
  <si>
    <t>Retailing</t>
  </si>
  <si>
    <t>ICICI Lombard General Insurance Co. Ltd.</t>
  </si>
  <si>
    <t>INE765G01017</t>
  </si>
  <si>
    <t>Insurance</t>
  </si>
  <si>
    <t>Ultratech Cement Ltd.</t>
  </si>
  <si>
    <t>INE481G01011</t>
  </si>
  <si>
    <t>JB Chemicals &amp; Pharmaceuticals Ltd.</t>
  </si>
  <si>
    <t>INE572A01036</t>
  </si>
  <si>
    <t>Pharmaceuticals &amp; Biotechnology</t>
  </si>
  <si>
    <t>Max Healthcare Institute Ltd.</t>
  </si>
  <si>
    <t>INE027H01010</t>
  </si>
  <si>
    <t>Healthcare Services</t>
  </si>
  <si>
    <t>InterGlobe Aviation Ltd.</t>
  </si>
  <si>
    <t>INE646L01027</t>
  </si>
  <si>
    <t>Transport Services</t>
  </si>
  <si>
    <t>Maruti Suzuki India Ltd.</t>
  </si>
  <si>
    <t>INE585B01010</t>
  </si>
  <si>
    <t>Mahindra &amp; Mahindra Ltd.</t>
  </si>
  <si>
    <t>INE101A01026</t>
  </si>
  <si>
    <t>Solar Industries India Ltd.</t>
  </si>
  <si>
    <t>INE343H01029</t>
  </si>
  <si>
    <t>Chemicals &amp; Petrochemicals</t>
  </si>
  <si>
    <t>Muthoot Finance Ltd.</t>
  </si>
  <si>
    <t>INE414G01012</t>
  </si>
  <si>
    <t>Axis Bank Ltd.</t>
  </si>
  <si>
    <t>INE238A01034</t>
  </si>
  <si>
    <t>Dixon Technologies (India) Ltd.</t>
  </si>
  <si>
    <t>INE935N01020</t>
  </si>
  <si>
    <t>Persistent Systems Ltd.</t>
  </si>
  <si>
    <t>INE262H01021</t>
  </si>
  <si>
    <t>Mankind Pharma Ltd.</t>
  </si>
  <si>
    <t>INE634S01028</t>
  </si>
  <si>
    <t>United Spirits Ltd.</t>
  </si>
  <si>
    <t>INE854D01024</t>
  </si>
  <si>
    <t>Cummins India Ltd.</t>
  </si>
  <si>
    <t>INE298A01020</t>
  </si>
  <si>
    <t>Industrial Products</t>
  </si>
  <si>
    <t>Voltas Ltd.</t>
  </si>
  <si>
    <t>INE226A01021</t>
  </si>
  <si>
    <t>Divi's Laboratories Ltd.</t>
  </si>
  <si>
    <t>INE361B01024</t>
  </si>
  <si>
    <t>HDFC Life Insurance Company Ltd.</t>
  </si>
  <si>
    <t>INE795G01014</t>
  </si>
  <si>
    <t>SRF Ltd.</t>
  </si>
  <si>
    <t>INE647A01010</t>
  </si>
  <si>
    <t>Britannia Industries Ltd.</t>
  </si>
  <si>
    <t>INE216A01030</t>
  </si>
  <si>
    <t>Food Products</t>
  </si>
  <si>
    <t>KPIT Technologies Ltd.</t>
  </si>
  <si>
    <t>INE04I401011</t>
  </si>
  <si>
    <t>Hindustan Aeronautics Ltd.</t>
  </si>
  <si>
    <t>INE066F01020</t>
  </si>
  <si>
    <t>Aerospace &amp; Defense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</si>
  <si>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</si>
  <si>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</si>
  <si>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</si>
  <si>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</si>
  <si>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</si>
  <si>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</si>
  <si>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</si>
  <si>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7.1% Government of India</t>
  </si>
  <si>
    <t>IN0020240019</t>
  </si>
  <si>
    <t>SOVEREIGN</t>
  </si>
  <si>
    <t>7.18% Government of India</t>
  </si>
  <si>
    <t>IN0020230085</t>
  </si>
  <si>
    <t>8.87% Export Import Bank of India **</t>
  </si>
  <si>
    <t>INE514E08ED5</t>
  </si>
  <si>
    <t>CRISIL AAA</t>
  </si>
  <si>
    <t>5.63% Government of India</t>
  </si>
  <si>
    <t>IN0020210012</t>
  </si>
  <si>
    <t>8.28% Government of India</t>
  </si>
  <si>
    <t>IN0020070069</t>
  </si>
  <si>
    <t>6.54% Government of India</t>
  </si>
  <si>
    <t>IN0020210244</t>
  </si>
  <si>
    <t>(b)Privately Placed/Unlisted</t>
  </si>
  <si>
    <t>(c)Securitised Debt Instruments</t>
  </si>
  <si>
    <t>Preference Shares - (Awaiting listing on Stock Exchanges)</t>
  </si>
  <si>
    <t>IN25H25DUM01</t>
  </si>
  <si>
    <t>Money Market Instruments</t>
  </si>
  <si>
    <t>Certificate of Deposit</t>
  </si>
  <si>
    <t>Punjab National Bank ** #</t>
  </si>
  <si>
    <t>INE160A16RK5</t>
  </si>
  <si>
    <t>CRISIL A1+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</si>
  <si>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</si>
  <si>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</si>
  <si>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</si>
  <si>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</si>
  <si>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</si>
  <si>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</si>
  <si>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</si>
  <si>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</si>
  <si>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</si>
  <si>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</si>
  <si>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</si>
  <si>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</si>
  <si>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</si>
  <si>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</si>
  <si>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</si>
  <si>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</si>
  <si>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</si>
  <si>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</si>
  <si>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</si>
  <si>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</si>
  <si>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</si>
  <si>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</si>
  <si>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</si>
  <si>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</si>
  <si>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</si>
  <si>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</si>
  <si>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</si>
  <si>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</si>
  <si>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</si>
  <si>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</si>
  <si>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</si>
  <si>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</si>
  <si>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</si>
  <si>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</si>
  <si>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</si>
  <si>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</si>
  <si>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</si>
  <si>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</si>
  <si>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</si>
  <si>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</si>
  <si>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</si>
  <si>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</si>
  <si>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</si>
  <si>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</si>
  <si>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</si>
  <si>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</si>
  <si>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</si>
  <si>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</si>
  <si>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</si>
  <si>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</si>
  <si>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</si>
  <si>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</si>
  <si>
    <t xml:space="preserve">11. For Performance of the scheme refer - </t>
  </si>
  <si>
    <t>PGIM India Equity Savings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</si>
</sst>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106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2" applyNumberFormat="1" applyFont="1" applyAlignment="1">
      <alignment vertical="center"/>
    </xf>
    <xf numFmtId="0" fontId="4" fillId="0" borderId="0" xfId="0" applyFont="1"/>
    <xf numFmtId="0" fontId="3" fillId="0" borderId="0" xfId="4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2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2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166" fontId="3" fillId="0" borderId="3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4" fontId="4" fillId="0" borderId="2" xfId="2" applyNumberFormat="1" applyFont="1" applyBorder="1" applyAlignment="1">
      <alignment vertical="center"/>
    </xf>
    <xf numFmtId="43" fontId="3" fillId="0" borderId="7" xfId="2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9" fillId="5" borderId="8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2"/>
    </xf>
    <xf numFmtId="1" fontId="11" fillId="7" borderId="11" xfId="1" applyNumberFormat="1" applyFont="1" applyFill="1" applyBorder="1" applyAlignment="1">
      <alignment horizontal="center" vertical="center"/>
    </xf>
    <xf numFmtId="2" fontId="11" fillId="7" borderId="2" xfId="1" applyNumberFormat="1" applyFont="1" applyFill="1" applyBorder="1" applyAlignment="1">
      <alignment horizontal="center" vertical="center"/>
    </xf>
    <xf numFmtId="1" fontId="11" fillId="7" borderId="2" xfId="1" applyNumberFormat="1" applyFont="1" applyFill="1" applyBorder="1" applyAlignment="1">
      <alignment horizontal="center" vertical="center"/>
    </xf>
    <xf numFmtId="2" fontId="11" fillId="7" borderId="11" xfId="1" applyNumberFormat="1" applyFont="1" applyFill="1" applyBorder="1" applyAlignment="1">
      <alignment horizontal="center" vertical="center"/>
    </xf>
    <xf numFmtId="2" fontId="11" fillId="7" borderId="12" xfId="1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0" fontId="4" fillId="0" borderId="13" xfId="0" applyFont="1" applyBorder="1" applyAlignment="1">
      <alignment horizontal="center"/>
    </xf>
    <xf numFmtId="2" fontId="4" fillId="0" borderId="7" xfId="1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2" fontId="4" fillId="0" borderId="15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5" fillId="6" borderId="11" xfId="0" applyFont="1" applyFill="1" applyBorder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4" fontId="7" fillId="5" borderId="3" xfId="0" applyNumberFormat="1" applyFont="1" applyFill="1" applyBorder="1" applyAlignment="1">
      <alignment horizontal="left" vertical="center" wrapText="1"/>
    </xf>
    <xf numFmtId="4" fontId="7" fillId="5" borderId="3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10" fontId="3" fillId="0" borderId="0" xfId="2" applyNumberFormat="1" applyFont="1" applyAlignment="1">
      <alignment vertical="center" wrapText="1"/>
    </xf>
    <xf numFmtId="0" fontId="3" fillId="0" borderId="0" xfId="0" applyFont="1" applyAlignment="1">
      <alignment wrapText="1"/>
    </xf>
    <xf numFmtId="4" fontId="4" fillId="0" borderId="3" xfId="0" applyNumberFormat="1" applyFont="1" applyBorder="1" applyAlignment="1">
      <alignment horizontal="left" vertical="center"/>
    </xf>
    <xf numFmtId="4" fontId="4" fillId="0" borderId="3" xfId="0" applyNumberFormat="1" applyFont="1" applyBorder="1" applyAlignment="1">
      <alignment vertical="center"/>
    </xf>
    <xf numFmtId="169" fontId="3" fillId="0" borderId="0" xfId="0" applyNumberFormat="1" applyFont="1" applyAlignment="1">
      <alignment horizontal="left" vertical="center"/>
    </xf>
    <xf numFmtId="0" fontId="2" fillId="0" borderId="0" xfId="3"/>
  </cellXfs>
  <cellStyles count="5">
    <cellStyle name="Comma" xfId="1" builtinId="3"/>
    <cellStyle name="Hyperlink" xfId="3" builtinId="8"/>
    <cellStyle name="Normal" xfId="0" builtinId="0"/>
    <cellStyle name="Normal 2" xfId="4" xr:uid="{37CB9527-E83D-426D-A359-60EA3EFDF9F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3</xdr:row>
      <xdr:rowOff>28575</xdr:rowOff>
    </xdr:from>
    <xdr:to>
      <xdr:col>6</xdr:col>
      <xdr:colOff>800823</xdr:colOff>
      <xdr:row>8</xdr:row>
      <xdr:rowOff>124575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727FA9-F17A-487B-AEDC-F726E566E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942975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190500</xdr:colOff>
      <xdr:row>2</xdr:row>
      <xdr:rowOff>285750</xdr:rowOff>
    </xdr:from>
    <xdr:to>
      <xdr:col>1</xdr:col>
      <xdr:colOff>3020148</xdr:colOff>
      <xdr:row>8</xdr:row>
      <xdr:rowOff>76950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A2CF0F-E9EA-477B-A56C-3F88C2571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89535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ug-25\31082025\Reports\Monthly%20Reports%2031082025\Portfolio%20Schemes\Portfolio%2031082025.xlsx" TargetMode="External"/><Relationship Id="rId1" Type="http://schemas.openxmlformats.org/officeDocument/2006/relationships/externalLinkPath" Target="Portfolio%203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equity-savings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60995-0D37-48E4-AF89-44B5BA29733A}">
  <sheetPr>
    <tabColor rgb="FFC00000"/>
  </sheetPr>
  <dimension ref="B1:M200"/>
  <sheetViews>
    <sheetView showGridLines="0" tabSelected="1" topLeftCell="A198" workbookViewId="0">
      <selection activeCell="C200" sqref="C200"/>
    </sheetView>
  </sheetViews>
  <sheetFormatPr defaultColWidth="9.1796875" defaultRowHeight="24" customHeight="1" x14ac:dyDescent="0.25"/>
  <cols>
    <col min="1" max="1" width="3.54296875" style="4" customWidth="1"/>
    <col min="2" max="2" width="50.453125" style="45" customWidth="1"/>
    <col min="3" max="3" width="15.7265625" style="45" customWidth="1"/>
    <col min="4" max="4" width="26.54296875" style="45" customWidth="1"/>
    <col min="5" max="5" width="15.26953125" style="2" customWidth="1"/>
    <col min="6" max="6" width="16.453125" style="2" customWidth="1"/>
    <col min="7" max="7" width="15.26953125" style="46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67178</v>
      </c>
      <c r="F16" s="19">
        <v>639.27</v>
      </c>
      <c r="G16" s="20">
        <v>8.84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45793</v>
      </c>
      <c r="F17" s="19">
        <v>621.5</v>
      </c>
      <c r="G17" s="20">
        <v>8.6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69230</v>
      </c>
      <c r="F18" s="19">
        <v>607.74</v>
      </c>
      <c r="G18" s="20">
        <v>8.41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98700</v>
      </c>
      <c r="F19" s="19">
        <v>555.88</v>
      </c>
      <c r="G19" s="20">
        <v>7.69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280500</v>
      </c>
      <c r="F20" s="19">
        <v>433.32</v>
      </c>
      <c r="G20" s="20">
        <v>5.99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8598</v>
      </c>
      <c r="F21" s="19">
        <v>312</v>
      </c>
      <c r="G21" s="20">
        <v>4.32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36</v>
      </c>
      <c r="E22" s="18">
        <v>19950</v>
      </c>
      <c r="F22" s="19">
        <v>261.89999999999998</v>
      </c>
      <c r="G22" s="20">
        <v>3.62</v>
      </c>
      <c r="H22" s="21"/>
    </row>
    <row r="23" spans="2:8" ht="24" customHeight="1" x14ac:dyDescent="0.25">
      <c r="B23" s="17" t="s">
        <v>37</v>
      </c>
      <c r="C23" s="17" t="s">
        <v>38</v>
      </c>
      <c r="D23" s="17" t="s">
        <v>39</v>
      </c>
      <c r="E23" s="18">
        <v>324000</v>
      </c>
      <c r="F23" s="19">
        <v>222.91</v>
      </c>
      <c r="G23" s="20">
        <v>3.08</v>
      </c>
      <c r="H23" s="21"/>
    </row>
    <row r="24" spans="2:8" ht="24" customHeight="1" x14ac:dyDescent="0.25">
      <c r="B24" s="17" t="s">
        <v>40</v>
      </c>
      <c r="C24" s="17" t="s">
        <v>41</v>
      </c>
      <c r="D24" s="17" t="s">
        <v>42</v>
      </c>
      <c r="E24" s="18">
        <v>4209</v>
      </c>
      <c r="F24" s="19">
        <v>151.57</v>
      </c>
      <c r="G24" s="20">
        <v>2.1</v>
      </c>
      <c r="H24" s="21"/>
    </row>
    <row r="25" spans="2:8" ht="24" customHeight="1" x14ac:dyDescent="0.25">
      <c r="B25" s="17" t="s">
        <v>43</v>
      </c>
      <c r="C25" s="17" t="s">
        <v>44</v>
      </c>
      <c r="D25" s="17" t="s">
        <v>18</v>
      </c>
      <c r="E25" s="18">
        <v>6800</v>
      </c>
      <c r="F25" s="19">
        <v>133.30000000000001</v>
      </c>
      <c r="G25" s="20">
        <v>1.84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6740</v>
      </c>
      <c r="F26" s="19">
        <v>127.31</v>
      </c>
      <c r="G26" s="20">
        <v>1.76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18</v>
      </c>
      <c r="E27" s="18">
        <v>8929</v>
      </c>
      <c r="F27" s="19">
        <v>124.81</v>
      </c>
      <c r="G27" s="20">
        <v>1.73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2605</v>
      </c>
      <c r="F28" s="19">
        <v>80.36</v>
      </c>
      <c r="G28" s="20">
        <v>1.1100000000000001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1400</v>
      </c>
      <c r="F29" s="19">
        <v>45.87</v>
      </c>
      <c r="G29" s="20">
        <v>0.63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9362</v>
      </c>
      <c r="F30" s="19">
        <v>45.61</v>
      </c>
      <c r="G30" s="20">
        <v>0.63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61</v>
      </c>
      <c r="E31" s="18">
        <v>12715</v>
      </c>
      <c r="F31" s="19">
        <v>39.92</v>
      </c>
      <c r="G31" s="20">
        <v>0.55000000000000004</v>
      </c>
      <c r="H31" s="21"/>
    </row>
    <row r="32" spans="2:8" ht="24" customHeight="1" x14ac:dyDescent="0.25">
      <c r="B32" s="17" t="s">
        <v>62</v>
      </c>
      <c r="C32" s="17" t="s">
        <v>63</v>
      </c>
      <c r="D32" s="17" t="s">
        <v>64</v>
      </c>
      <c r="E32" s="18">
        <v>2143</v>
      </c>
      <c r="F32" s="19">
        <v>39.42</v>
      </c>
      <c r="G32" s="20">
        <v>0.55000000000000004</v>
      </c>
      <c r="H32" s="21"/>
    </row>
    <row r="33" spans="2:8" ht="24" customHeight="1" x14ac:dyDescent="0.25">
      <c r="B33" s="17" t="s">
        <v>65</v>
      </c>
      <c r="C33" s="17" t="s">
        <v>66</v>
      </c>
      <c r="D33" s="17" t="s">
        <v>27</v>
      </c>
      <c r="E33" s="18">
        <v>304</v>
      </c>
      <c r="F33" s="19">
        <v>38.43</v>
      </c>
      <c r="G33" s="20">
        <v>0.53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69</v>
      </c>
      <c r="E34" s="18">
        <v>1840</v>
      </c>
      <c r="F34" s="19">
        <v>31.73</v>
      </c>
      <c r="G34" s="20">
        <v>0.44</v>
      </c>
      <c r="H34" s="21"/>
    </row>
    <row r="35" spans="2:8" ht="24" customHeight="1" x14ac:dyDescent="0.25">
      <c r="B35" s="17" t="s">
        <v>70</v>
      </c>
      <c r="C35" s="17" t="s">
        <v>71</v>
      </c>
      <c r="D35" s="17" t="s">
        <v>72</v>
      </c>
      <c r="E35" s="18">
        <v>2746</v>
      </c>
      <c r="F35" s="19">
        <v>31.7</v>
      </c>
      <c r="G35" s="20">
        <v>0.44</v>
      </c>
      <c r="H35" s="21"/>
    </row>
    <row r="36" spans="2:8" ht="24" customHeight="1" x14ac:dyDescent="0.25">
      <c r="B36" s="17" t="s">
        <v>73</v>
      </c>
      <c r="C36" s="17" t="s">
        <v>74</v>
      </c>
      <c r="D36" s="17" t="s">
        <v>75</v>
      </c>
      <c r="E36" s="18">
        <v>560</v>
      </c>
      <c r="F36" s="19">
        <v>31.62</v>
      </c>
      <c r="G36" s="20">
        <v>0.44</v>
      </c>
      <c r="H36" s="21"/>
    </row>
    <row r="37" spans="2:8" ht="24" customHeight="1" x14ac:dyDescent="0.25">
      <c r="B37" s="17" t="s">
        <v>76</v>
      </c>
      <c r="C37" s="17" t="s">
        <v>77</v>
      </c>
      <c r="D37" s="17" t="s">
        <v>55</v>
      </c>
      <c r="E37" s="18">
        <v>198</v>
      </c>
      <c r="F37" s="19">
        <v>29.29</v>
      </c>
      <c r="G37" s="20">
        <v>0.41</v>
      </c>
      <c r="H37" s="21"/>
    </row>
    <row r="38" spans="2:8" ht="24" customHeight="1" x14ac:dyDescent="0.25">
      <c r="B38" s="17" t="s">
        <v>78</v>
      </c>
      <c r="C38" s="17" t="s">
        <v>79</v>
      </c>
      <c r="D38" s="17" t="s">
        <v>55</v>
      </c>
      <c r="E38" s="18">
        <v>894</v>
      </c>
      <c r="F38" s="19">
        <v>28.6</v>
      </c>
      <c r="G38" s="20">
        <v>0.4</v>
      </c>
      <c r="H38" s="21"/>
    </row>
    <row r="39" spans="2:8" ht="24" customHeight="1" x14ac:dyDescent="0.25">
      <c r="B39" s="17" t="s">
        <v>80</v>
      </c>
      <c r="C39" s="17" t="s">
        <v>81</v>
      </c>
      <c r="D39" s="17" t="s">
        <v>82</v>
      </c>
      <c r="E39" s="18">
        <v>185</v>
      </c>
      <c r="F39" s="19">
        <v>25.52</v>
      </c>
      <c r="G39" s="20">
        <v>0.35</v>
      </c>
      <c r="H39" s="21"/>
    </row>
    <row r="40" spans="2:8" ht="24" customHeight="1" x14ac:dyDescent="0.25">
      <c r="B40" s="17" t="s">
        <v>83</v>
      </c>
      <c r="C40" s="17" t="s">
        <v>84</v>
      </c>
      <c r="D40" s="17" t="s">
        <v>24</v>
      </c>
      <c r="E40" s="18">
        <v>890</v>
      </c>
      <c r="F40" s="19">
        <v>23.48</v>
      </c>
      <c r="G40" s="20">
        <v>0.32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18</v>
      </c>
      <c r="E41" s="18">
        <v>2182</v>
      </c>
      <c r="F41" s="19">
        <v>22.81</v>
      </c>
      <c r="G41" s="20">
        <v>0.32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33</v>
      </c>
      <c r="E42" s="18">
        <v>135</v>
      </c>
      <c r="F42" s="19">
        <v>22.53</v>
      </c>
      <c r="G42" s="20">
        <v>0.31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52</v>
      </c>
      <c r="E43" s="18">
        <v>415</v>
      </c>
      <c r="F43" s="19">
        <v>22.02</v>
      </c>
      <c r="G43" s="20">
        <v>0.3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69</v>
      </c>
      <c r="E44" s="18">
        <v>860</v>
      </c>
      <c r="F44" s="19">
        <v>21.25</v>
      </c>
      <c r="G44" s="20">
        <v>0.28999999999999998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58</v>
      </c>
      <c r="E45" s="18">
        <v>1514</v>
      </c>
      <c r="F45" s="19">
        <v>19.850000000000001</v>
      </c>
      <c r="G45" s="20">
        <v>0.27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97</v>
      </c>
      <c r="E46" s="18">
        <v>428</v>
      </c>
      <c r="F46" s="19">
        <v>16.38</v>
      </c>
      <c r="G46" s="20">
        <v>0.23</v>
      </c>
      <c r="H46" s="21"/>
    </row>
    <row r="47" spans="2:8" ht="24" customHeight="1" x14ac:dyDescent="0.25">
      <c r="B47" s="17" t="s">
        <v>98</v>
      </c>
      <c r="C47" s="17" t="s">
        <v>99</v>
      </c>
      <c r="D47" s="17" t="s">
        <v>33</v>
      </c>
      <c r="E47" s="18">
        <v>1150</v>
      </c>
      <c r="F47" s="19">
        <v>15.8</v>
      </c>
      <c r="G47" s="20">
        <v>0.22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69</v>
      </c>
      <c r="E48" s="18">
        <v>255</v>
      </c>
      <c r="F48" s="19">
        <v>15.64</v>
      </c>
      <c r="G48" s="20">
        <v>0.22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64</v>
      </c>
      <c r="E49" s="18">
        <v>1494</v>
      </c>
      <c r="F49" s="19">
        <v>11.53</v>
      </c>
      <c r="G49" s="20">
        <v>0.16</v>
      </c>
      <c r="H49" s="21"/>
    </row>
    <row r="50" spans="2:8" ht="24" customHeight="1" x14ac:dyDescent="0.25">
      <c r="B50" s="17" t="s">
        <v>104</v>
      </c>
      <c r="C50" s="17" t="s">
        <v>105</v>
      </c>
      <c r="D50" s="17" t="s">
        <v>82</v>
      </c>
      <c r="E50" s="18">
        <v>371</v>
      </c>
      <c r="F50" s="19">
        <v>10.52</v>
      </c>
      <c r="G50" s="20">
        <v>0.15</v>
      </c>
      <c r="H50" s="21"/>
    </row>
    <row r="51" spans="2:8" ht="24" customHeight="1" x14ac:dyDescent="0.25">
      <c r="B51" s="17" t="s">
        <v>106</v>
      </c>
      <c r="C51" s="17" t="s">
        <v>107</v>
      </c>
      <c r="D51" s="17" t="s">
        <v>108</v>
      </c>
      <c r="E51" s="18">
        <v>172</v>
      </c>
      <c r="F51" s="19">
        <v>10.02</v>
      </c>
      <c r="G51" s="20">
        <v>0.14000000000000001</v>
      </c>
      <c r="H51" s="21"/>
    </row>
    <row r="52" spans="2:8" ht="24" customHeight="1" x14ac:dyDescent="0.25">
      <c r="B52" s="17" t="s">
        <v>109</v>
      </c>
      <c r="C52" s="17" t="s">
        <v>110</v>
      </c>
      <c r="D52" s="17" t="s">
        <v>52</v>
      </c>
      <c r="E52" s="18">
        <v>590</v>
      </c>
      <c r="F52" s="19">
        <v>7.02</v>
      </c>
      <c r="G52" s="20">
        <v>0.1</v>
      </c>
      <c r="H52" s="21"/>
    </row>
    <row r="53" spans="2:8" ht="24" customHeight="1" x14ac:dyDescent="0.25">
      <c r="B53" s="17" t="s">
        <v>111</v>
      </c>
      <c r="C53" s="17" t="s">
        <v>112</v>
      </c>
      <c r="D53" s="17" t="s">
        <v>113</v>
      </c>
      <c r="E53" s="18">
        <v>156</v>
      </c>
      <c r="F53" s="19">
        <v>6.76</v>
      </c>
      <c r="G53" s="20">
        <v>0.09</v>
      </c>
      <c r="H53" s="21"/>
    </row>
    <row r="54" spans="2:8" ht="24" customHeight="1" x14ac:dyDescent="0.25">
      <c r="B54" s="28" t="s">
        <v>114</v>
      </c>
      <c r="C54" s="28"/>
      <c r="D54" s="28"/>
      <c r="E54" s="29"/>
      <c r="F54" s="30">
        <v>4885.1899999999996</v>
      </c>
      <c r="G54" s="31">
        <v>67.58</v>
      </c>
      <c r="H54" s="32"/>
    </row>
    <row r="55" spans="2:8" ht="24" customHeight="1" x14ac:dyDescent="0.25">
      <c r="B55" s="17"/>
      <c r="C55" s="17"/>
      <c r="D55" s="17"/>
      <c r="E55" s="18"/>
      <c r="F55" s="19"/>
      <c r="G55" s="20"/>
      <c r="H55" s="21"/>
    </row>
    <row r="56" spans="2:8" ht="24" customHeight="1" x14ac:dyDescent="0.25">
      <c r="B56" s="22" t="s">
        <v>115</v>
      </c>
      <c r="C56" s="23"/>
      <c r="D56" s="23"/>
      <c r="E56" s="24"/>
      <c r="F56" s="25"/>
      <c r="G56" s="26"/>
      <c r="H56" s="27"/>
    </row>
    <row r="57" spans="2:8" ht="24" customHeight="1" x14ac:dyDescent="0.25">
      <c r="B57" s="17"/>
      <c r="C57" s="17"/>
      <c r="D57" s="17"/>
      <c r="E57" s="18"/>
      <c r="F57" s="20">
        <v>0</v>
      </c>
      <c r="G57" s="20">
        <v>0</v>
      </c>
      <c r="H57" s="21"/>
    </row>
    <row r="58" spans="2:8" ht="24" customHeight="1" x14ac:dyDescent="0.25">
      <c r="B58" s="28" t="s">
        <v>114</v>
      </c>
      <c r="C58" s="17"/>
      <c r="D58" s="17"/>
      <c r="E58" s="18"/>
      <c r="F58" s="33" t="s">
        <v>116</v>
      </c>
      <c r="G58" s="33" t="s">
        <v>116</v>
      </c>
      <c r="H58" s="21"/>
    </row>
    <row r="59" spans="2:8" ht="24" customHeight="1" x14ac:dyDescent="0.25">
      <c r="B59" s="17"/>
      <c r="C59" s="17"/>
      <c r="D59" s="17"/>
      <c r="E59" s="18"/>
      <c r="F59" s="19"/>
      <c r="G59" s="20"/>
      <c r="H59" s="21"/>
    </row>
    <row r="60" spans="2:8" ht="24" customHeight="1" x14ac:dyDescent="0.25">
      <c r="B60" s="34" t="s">
        <v>117</v>
      </c>
      <c r="C60" s="35"/>
      <c r="D60" s="35"/>
      <c r="E60" s="36"/>
      <c r="F60" s="30">
        <v>4885.1899999999996</v>
      </c>
      <c r="G60" s="31">
        <v>67.58</v>
      </c>
      <c r="H60" s="32"/>
    </row>
    <row r="61" spans="2:8" ht="24" customHeight="1" x14ac:dyDescent="0.25">
      <c r="B61" s="17"/>
      <c r="C61" s="17"/>
      <c r="D61" s="17"/>
      <c r="E61" s="18"/>
      <c r="F61" s="19"/>
      <c r="G61" s="20"/>
      <c r="H61" s="21"/>
    </row>
    <row r="62" spans="2:8" ht="24" customHeight="1" x14ac:dyDescent="0.25">
      <c r="B62" s="22" t="s">
        <v>118</v>
      </c>
      <c r="C62" s="23"/>
      <c r="D62" s="23"/>
      <c r="E62" s="24"/>
      <c r="F62" s="25"/>
      <c r="G62" s="26"/>
      <c r="H62" s="27"/>
    </row>
    <row r="63" spans="2:8" ht="24" customHeight="1" x14ac:dyDescent="0.25">
      <c r="B63" s="17" t="s">
        <v>22</v>
      </c>
      <c r="C63" s="17"/>
      <c r="D63" s="17"/>
      <c r="E63" s="37">
        <v>-63750</v>
      </c>
      <c r="F63" s="38">
        <v>-562.02</v>
      </c>
      <c r="G63" s="20">
        <v>-7.78</v>
      </c>
      <c r="H63" s="21"/>
    </row>
    <row r="64" spans="2:8" ht="24" customHeight="1" x14ac:dyDescent="0.25">
      <c r="B64" s="17" t="s">
        <v>25</v>
      </c>
      <c r="C64" s="17"/>
      <c r="D64" s="17"/>
      <c r="E64" s="37">
        <v>-98700</v>
      </c>
      <c r="F64" s="38">
        <v>-557.95000000000005</v>
      </c>
      <c r="G64" s="20">
        <v>-7.72</v>
      </c>
      <c r="H64" s="21"/>
    </row>
    <row r="65" spans="2:12" ht="24" customHeight="1" x14ac:dyDescent="0.25">
      <c r="B65" s="17" t="s">
        <v>19</v>
      </c>
      <c r="C65" s="17"/>
      <c r="D65" s="17"/>
      <c r="E65" s="37">
        <v>-38000</v>
      </c>
      <c r="F65" s="38">
        <v>-518.47</v>
      </c>
      <c r="G65" s="20">
        <v>-7.17</v>
      </c>
      <c r="H65" s="21"/>
    </row>
    <row r="66" spans="2:12" ht="24" customHeight="1" x14ac:dyDescent="0.25">
      <c r="B66" s="17" t="s">
        <v>16</v>
      </c>
      <c r="C66" s="17"/>
      <c r="D66" s="17"/>
      <c r="E66" s="37">
        <v>-53900</v>
      </c>
      <c r="F66" s="38">
        <v>-516.41999999999996</v>
      </c>
      <c r="G66" s="20">
        <v>-7.14</v>
      </c>
      <c r="H66" s="21"/>
    </row>
    <row r="67" spans="2:12" ht="24" customHeight="1" x14ac:dyDescent="0.25">
      <c r="B67" s="17" t="s">
        <v>28</v>
      </c>
      <c r="C67" s="17"/>
      <c r="D67" s="17"/>
      <c r="E67" s="37">
        <v>-280500</v>
      </c>
      <c r="F67" s="38">
        <v>-434.89</v>
      </c>
      <c r="G67" s="20">
        <v>-6.02</v>
      </c>
      <c r="H67" s="21"/>
    </row>
    <row r="68" spans="2:12" ht="24" customHeight="1" x14ac:dyDescent="0.25">
      <c r="B68" s="17" t="s">
        <v>31</v>
      </c>
      <c r="C68" s="17"/>
      <c r="D68" s="17"/>
      <c r="E68" s="37">
        <v>-8050</v>
      </c>
      <c r="F68" s="38">
        <v>-293.67</v>
      </c>
      <c r="G68" s="20">
        <v>-4.0599999999999996</v>
      </c>
      <c r="H68" s="21"/>
    </row>
    <row r="69" spans="2:12" ht="24" customHeight="1" x14ac:dyDescent="0.25">
      <c r="B69" s="17" t="s">
        <v>34</v>
      </c>
      <c r="C69" s="17"/>
      <c r="D69" s="17"/>
      <c r="E69" s="37">
        <v>-19950</v>
      </c>
      <c r="F69" s="38">
        <v>-263.18</v>
      </c>
      <c r="G69" s="20">
        <v>-3.64</v>
      </c>
      <c r="H69" s="21"/>
    </row>
    <row r="70" spans="2:12" ht="24" customHeight="1" x14ac:dyDescent="0.25">
      <c r="B70" s="17" t="s">
        <v>37</v>
      </c>
      <c r="C70" s="17"/>
      <c r="D70" s="17"/>
      <c r="E70" s="37">
        <v>-324000</v>
      </c>
      <c r="F70" s="38">
        <v>-224.31</v>
      </c>
      <c r="G70" s="20">
        <v>-3.1</v>
      </c>
      <c r="H70" s="21"/>
    </row>
    <row r="71" spans="2:12" ht="24" customHeight="1" x14ac:dyDescent="0.25">
      <c r="B71" s="17" t="s">
        <v>43</v>
      </c>
      <c r="C71" s="17"/>
      <c r="D71" s="17"/>
      <c r="E71" s="37">
        <v>-6800</v>
      </c>
      <c r="F71" s="38">
        <v>-134.1</v>
      </c>
      <c r="G71" s="20">
        <v>-1.86</v>
      </c>
      <c r="H71" s="21"/>
    </row>
    <row r="72" spans="2:12" ht="24" customHeight="1" x14ac:dyDescent="0.25">
      <c r="B72" s="17" t="s">
        <v>40</v>
      </c>
      <c r="C72" s="17"/>
      <c r="D72" s="17"/>
      <c r="E72" s="37">
        <v>-2975</v>
      </c>
      <c r="F72" s="38">
        <v>-107.65</v>
      </c>
      <c r="G72" s="20">
        <v>-1.49</v>
      </c>
      <c r="H72" s="21"/>
    </row>
    <row r="73" spans="2:12" ht="24" customHeight="1" x14ac:dyDescent="0.25">
      <c r="B73" s="17" t="s">
        <v>45</v>
      </c>
      <c r="C73" s="17"/>
      <c r="D73" s="17"/>
      <c r="E73" s="37">
        <v>-3800</v>
      </c>
      <c r="F73" s="38">
        <v>-72.180000000000007</v>
      </c>
      <c r="G73" s="20">
        <v>-1</v>
      </c>
      <c r="H73" s="21"/>
    </row>
    <row r="74" spans="2:12" ht="24" customHeight="1" x14ac:dyDescent="0.25">
      <c r="B74" s="17"/>
      <c r="C74" s="17"/>
      <c r="D74" s="17"/>
      <c r="E74" s="18"/>
      <c r="F74" s="19"/>
      <c r="G74" s="20"/>
      <c r="H74" s="21"/>
    </row>
    <row r="75" spans="2:12" ht="24" customHeight="1" x14ac:dyDescent="0.25">
      <c r="B75" s="34" t="s">
        <v>117</v>
      </c>
      <c r="C75" s="35"/>
      <c r="D75" s="35"/>
      <c r="E75" s="36"/>
      <c r="F75" s="39">
        <v>-3684.84</v>
      </c>
      <c r="G75" s="31">
        <v>-50.98</v>
      </c>
      <c r="H75" s="32"/>
    </row>
    <row r="76" spans="2:12" ht="24" customHeight="1" x14ac:dyDescent="0.25">
      <c r="B76" s="17"/>
      <c r="C76" s="17"/>
      <c r="D76" s="17"/>
      <c r="E76" s="18"/>
      <c r="F76" s="19"/>
      <c r="G76" s="20"/>
      <c r="H76" s="21"/>
      <c r="L76" s="40"/>
    </row>
    <row r="77" spans="2:12" ht="24" customHeight="1" x14ac:dyDescent="0.25">
      <c r="B77" s="11" t="s">
        <v>119</v>
      </c>
      <c r="C77" s="12"/>
      <c r="D77" s="12"/>
      <c r="E77" s="13"/>
      <c r="F77" s="14"/>
      <c r="G77" s="15"/>
      <c r="H77" s="16"/>
    </row>
    <row r="78" spans="2:12" ht="24" customHeight="1" x14ac:dyDescent="0.25">
      <c r="B78" s="17"/>
      <c r="C78" s="17"/>
      <c r="D78" s="17"/>
      <c r="E78" s="18"/>
      <c r="F78" s="19"/>
      <c r="G78" s="20"/>
      <c r="H78" s="21"/>
      <c r="L78" s="40"/>
    </row>
    <row r="79" spans="2:12" ht="24" customHeight="1" x14ac:dyDescent="0.25">
      <c r="B79" s="22" t="s">
        <v>120</v>
      </c>
      <c r="C79" s="23"/>
      <c r="D79" s="23"/>
      <c r="E79" s="24"/>
      <c r="F79" s="25"/>
      <c r="G79" s="26"/>
      <c r="H79" s="27"/>
      <c r="L79" s="40"/>
    </row>
    <row r="80" spans="2:12" ht="24" customHeight="1" x14ac:dyDescent="0.25">
      <c r="B80" s="17" t="s">
        <v>121</v>
      </c>
      <c r="C80" s="17" t="s">
        <v>122</v>
      </c>
      <c r="D80" s="17" t="s">
        <v>123</v>
      </c>
      <c r="E80" s="18">
        <v>500000</v>
      </c>
      <c r="F80" s="19">
        <v>513</v>
      </c>
      <c r="G80" s="20">
        <v>7.1</v>
      </c>
      <c r="H80" s="21">
        <v>6.8080999999999996</v>
      </c>
      <c r="L80" s="40"/>
    </row>
    <row r="81" spans="2:13" ht="24" customHeight="1" x14ac:dyDescent="0.25">
      <c r="B81" s="17" t="s">
        <v>124</v>
      </c>
      <c r="C81" s="17" t="s">
        <v>125</v>
      </c>
      <c r="D81" s="17" t="s">
        <v>123</v>
      </c>
      <c r="E81" s="18">
        <v>300000</v>
      </c>
      <c r="F81" s="19">
        <v>309.02</v>
      </c>
      <c r="G81" s="20">
        <v>4.28</v>
      </c>
      <c r="H81" s="21">
        <v>6.7973999999999997</v>
      </c>
      <c r="L81" s="40"/>
    </row>
    <row r="82" spans="2:13" ht="24" customHeight="1" x14ac:dyDescent="0.25">
      <c r="B82" s="17" t="s">
        <v>126</v>
      </c>
      <c r="C82" s="17" t="s">
        <v>127</v>
      </c>
      <c r="D82" s="17" t="s">
        <v>128</v>
      </c>
      <c r="E82" s="18">
        <v>200000</v>
      </c>
      <c r="F82" s="19">
        <v>214.43</v>
      </c>
      <c r="G82" s="20">
        <v>2.97</v>
      </c>
      <c r="H82" s="21">
        <v>6.81</v>
      </c>
      <c r="L82" s="40"/>
    </row>
    <row r="83" spans="2:13" ht="24" customHeight="1" x14ac:dyDescent="0.25">
      <c r="B83" s="17" t="s">
        <v>129</v>
      </c>
      <c r="C83" s="17" t="s">
        <v>130</v>
      </c>
      <c r="D83" s="17" t="s">
        <v>123</v>
      </c>
      <c r="E83" s="18">
        <v>150000</v>
      </c>
      <c r="F83" s="19">
        <v>150</v>
      </c>
      <c r="G83" s="20">
        <v>2.08</v>
      </c>
      <c r="H83" s="21">
        <v>5.6973000000000003</v>
      </c>
      <c r="L83" s="41"/>
      <c r="M83" s="41"/>
    </row>
    <row r="84" spans="2:13" ht="24" customHeight="1" x14ac:dyDescent="0.25">
      <c r="B84" s="17" t="s">
        <v>131</v>
      </c>
      <c r="C84" s="17" t="s">
        <v>132</v>
      </c>
      <c r="D84" s="17" t="s">
        <v>123</v>
      </c>
      <c r="E84" s="18">
        <v>100000</v>
      </c>
      <c r="F84" s="19">
        <v>104.42</v>
      </c>
      <c r="G84" s="20">
        <v>1.44</v>
      </c>
      <c r="H84" s="21">
        <v>6.0506000000000002</v>
      </c>
    </row>
    <row r="85" spans="2:13" ht="24" customHeight="1" x14ac:dyDescent="0.25">
      <c r="B85" s="17" t="s">
        <v>133</v>
      </c>
      <c r="C85" s="17" t="s">
        <v>134</v>
      </c>
      <c r="D85" s="17" t="s">
        <v>123</v>
      </c>
      <c r="E85" s="18">
        <v>50000</v>
      </c>
      <c r="F85" s="19">
        <v>49.9</v>
      </c>
      <c r="G85" s="20">
        <v>0.69</v>
      </c>
      <c r="H85" s="21">
        <v>6.6851000000000003</v>
      </c>
    </row>
    <row r="86" spans="2:13" ht="24" customHeight="1" x14ac:dyDescent="0.25">
      <c r="B86" s="28" t="s">
        <v>114</v>
      </c>
      <c r="C86" s="28"/>
      <c r="D86" s="28"/>
      <c r="E86" s="29"/>
      <c r="F86" s="30">
        <f>SUM(F80:F85)</f>
        <v>1340.7700000000002</v>
      </c>
      <c r="G86" s="30">
        <f>SUM(G80:G85)</f>
        <v>18.560000000000002</v>
      </c>
      <c r="H86" s="32"/>
      <c r="L86" s="42"/>
      <c r="M86" s="42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42"/>
      <c r="M87" s="42"/>
    </row>
    <row r="88" spans="2:13" ht="24" customHeight="1" x14ac:dyDescent="0.25">
      <c r="B88" s="22" t="s">
        <v>135</v>
      </c>
      <c r="C88" s="23"/>
      <c r="D88" s="23"/>
      <c r="E88" s="24"/>
      <c r="F88" s="25"/>
      <c r="G88" s="26"/>
      <c r="H88" s="27"/>
      <c r="L88" s="42"/>
      <c r="M88" s="42"/>
    </row>
    <row r="89" spans="2:13" ht="24" customHeight="1" x14ac:dyDescent="0.25">
      <c r="B89" s="17"/>
      <c r="C89" s="17"/>
      <c r="D89" s="17"/>
      <c r="E89" s="18"/>
      <c r="F89" s="20">
        <v>0</v>
      </c>
      <c r="G89" s="20">
        <v>0</v>
      </c>
      <c r="H89" s="21"/>
      <c r="L89" s="42"/>
      <c r="M89" s="42"/>
    </row>
    <row r="90" spans="2:13" ht="24" customHeight="1" x14ac:dyDescent="0.25">
      <c r="B90" s="28" t="s">
        <v>114</v>
      </c>
      <c r="C90" s="28"/>
      <c r="D90" s="28"/>
      <c r="E90" s="29"/>
      <c r="F90" s="33" t="s">
        <v>116</v>
      </c>
      <c r="G90" s="33" t="s">
        <v>116</v>
      </c>
      <c r="H90" s="32"/>
      <c r="L90" s="42"/>
      <c r="M90" s="42"/>
    </row>
    <row r="91" spans="2:13" ht="24" customHeight="1" x14ac:dyDescent="0.25">
      <c r="B91" s="22" t="s">
        <v>136</v>
      </c>
      <c r="C91" s="23"/>
      <c r="D91" s="23"/>
      <c r="E91" s="24"/>
      <c r="F91" s="25"/>
      <c r="G91" s="26"/>
      <c r="H91" s="27"/>
      <c r="L91" s="42"/>
      <c r="M91" s="42"/>
    </row>
    <row r="92" spans="2:13" ht="24" customHeight="1" x14ac:dyDescent="0.25">
      <c r="B92" s="17"/>
      <c r="C92" s="17"/>
      <c r="D92" s="17"/>
      <c r="E92" s="18"/>
      <c r="F92" s="20">
        <v>0</v>
      </c>
      <c r="G92" s="20">
        <v>0</v>
      </c>
      <c r="H92" s="21"/>
      <c r="L92" s="42"/>
      <c r="M92" s="42"/>
    </row>
    <row r="93" spans="2:13" ht="24" customHeight="1" x14ac:dyDescent="0.25">
      <c r="B93" s="28" t="s">
        <v>114</v>
      </c>
      <c r="C93" s="17"/>
      <c r="D93" s="17"/>
      <c r="E93" s="18"/>
      <c r="F93" s="33" t="s">
        <v>116</v>
      </c>
      <c r="G93" s="33" t="s">
        <v>116</v>
      </c>
      <c r="H93" s="21"/>
    </row>
    <row r="94" spans="2:13" ht="24" customHeight="1" x14ac:dyDescent="0.25">
      <c r="B94" s="17"/>
      <c r="C94" s="17"/>
      <c r="D94" s="17"/>
      <c r="E94" s="18"/>
      <c r="F94" s="19"/>
      <c r="G94" s="20"/>
      <c r="H94" s="21"/>
      <c r="L94" s="40"/>
    </row>
    <row r="95" spans="2:13" ht="24" customHeight="1" x14ac:dyDescent="0.25">
      <c r="B95" s="34" t="s">
        <v>117</v>
      </c>
      <c r="C95" s="35"/>
      <c r="D95" s="35"/>
      <c r="E95" s="36"/>
      <c r="F95" s="30">
        <f>F86</f>
        <v>1340.7700000000002</v>
      </c>
      <c r="G95" s="30">
        <f>G86</f>
        <v>18.560000000000002</v>
      </c>
      <c r="H95" s="32"/>
    </row>
    <row r="96" spans="2:13" ht="24" customHeight="1" x14ac:dyDescent="0.25">
      <c r="B96" s="17"/>
      <c r="C96" s="17"/>
      <c r="D96" s="17"/>
      <c r="E96" s="18"/>
      <c r="F96" s="19"/>
      <c r="G96" s="20"/>
      <c r="H96" s="21"/>
    </row>
    <row r="97" spans="2:8" ht="24" customHeight="1" x14ac:dyDescent="0.25">
      <c r="B97" s="22" t="s">
        <v>137</v>
      </c>
      <c r="C97" s="23"/>
      <c r="D97" s="23"/>
      <c r="E97" s="24"/>
      <c r="F97" s="25"/>
      <c r="G97" s="26"/>
      <c r="H97" s="27"/>
    </row>
    <row r="98" spans="2:8" ht="24" customHeight="1" x14ac:dyDescent="0.25">
      <c r="B98" s="17" t="s">
        <v>53</v>
      </c>
      <c r="C98" s="17" t="s">
        <v>138</v>
      </c>
      <c r="D98" s="17"/>
      <c r="E98" s="18">
        <v>5600</v>
      </c>
      <c r="F98" s="19">
        <v>0.56000000000000005</v>
      </c>
      <c r="G98" s="20">
        <v>0.01</v>
      </c>
      <c r="H98" s="43">
        <v>0</v>
      </c>
    </row>
    <row r="99" spans="2:8" ht="24" customHeight="1" x14ac:dyDescent="0.25">
      <c r="B99" s="28" t="s">
        <v>114</v>
      </c>
      <c r="C99" s="17"/>
      <c r="D99" s="17"/>
      <c r="E99" s="18"/>
      <c r="F99" s="33">
        <f>F98</f>
        <v>0.56000000000000005</v>
      </c>
      <c r="G99" s="33">
        <f>G98</f>
        <v>0.01</v>
      </c>
      <c r="H99" s="21"/>
    </row>
    <row r="100" spans="2:8" ht="24" customHeight="1" x14ac:dyDescent="0.25">
      <c r="B100" s="17"/>
      <c r="C100" s="17"/>
      <c r="D100" s="17"/>
      <c r="E100" s="18"/>
      <c r="F100" s="19"/>
      <c r="G100" s="20"/>
      <c r="H100" s="21"/>
    </row>
    <row r="101" spans="2:8" ht="24" customHeight="1" x14ac:dyDescent="0.25">
      <c r="B101" s="34" t="s">
        <v>117</v>
      </c>
      <c r="C101" s="35"/>
      <c r="D101" s="35"/>
      <c r="E101" s="36"/>
      <c r="F101" s="30">
        <f>F99</f>
        <v>0.56000000000000005</v>
      </c>
      <c r="G101" s="30">
        <f>G99</f>
        <v>0.01</v>
      </c>
      <c r="H101" s="32"/>
    </row>
    <row r="102" spans="2:8" ht="24" customHeight="1" x14ac:dyDescent="0.25">
      <c r="B102" s="17"/>
      <c r="C102" s="17"/>
      <c r="D102" s="17"/>
      <c r="E102" s="18"/>
      <c r="F102" s="19"/>
      <c r="G102" s="20"/>
      <c r="H102" s="21"/>
    </row>
    <row r="103" spans="2:8" ht="24" customHeight="1" x14ac:dyDescent="0.25">
      <c r="B103" s="11" t="s">
        <v>139</v>
      </c>
      <c r="C103" s="12"/>
      <c r="D103" s="12"/>
      <c r="E103" s="13"/>
      <c r="F103" s="14"/>
      <c r="G103" s="15"/>
      <c r="H103" s="16"/>
    </row>
    <row r="104" spans="2:8" ht="24" customHeight="1" x14ac:dyDescent="0.25">
      <c r="B104" s="17"/>
      <c r="C104" s="17"/>
      <c r="D104" s="17"/>
      <c r="E104" s="18"/>
      <c r="F104" s="19"/>
      <c r="G104" s="20"/>
      <c r="H104" s="21"/>
    </row>
    <row r="105" spans="2:8" ht="24" customHeight="1" x14ac:dyDescent="0.25">
      <c r="B105" s="22" t="s">
        <v>140</v>
      </c>
      <c r="C105" s="23"/>
      <c r="D105" s="23"/>
      <c r="E105" s="24"/>
      <c r="F105" s="25"/>
      <c r="G105" s="26"/>
      <c r="H105" s="27"/>
    </row>
    <row r="106" spans="2:8" ht="24" customHeight="1" x14ac:dyDescent="0.25">
      <c r="B106" s="17" t="s">
        <v>141</v>
      </c>
      <c r="C106" s="17" t="s">
        <v>142</v>
      </c>
      <c r="D106" s="17" t="s">
        <v>143</v>
      </c>
      <c r="E106" s="18">
        <v>50000</v>
      </c>
      <c r="F106" s="19">
        <v>48.4</v>
      </c>
      <c r="G106" s="20">
        <v>0.67</v>
      </c>
      <c r="H106" s="21">
        <v>6.1</v>
      </c>
    </row>
    <row r="107" spans="2:8" ht="24" customHeight="1" x14ac:dyDescent="0.25">
      <c r="B107" s="28" t="s">
        <v>114</v>
      </c>
      <c r="C107" s="28"/>
      <c r="D107" s="28"/>
      <c r="E107" s="29"/>
      <c r="F107" s="30">
        <v>48.4</v>
      </c>
      <c r="G107" s="31">
        <v>0.67</v>
      </c>
      <c r="H107" s="32"/>
    </row>
    <row r="108" spans="2:8" ht="24" customHeight="1" x14ac:dyDescent="0.25">
      <c r="B108" s="17"/>
      <c r="C108" s="17"/>
      <c r="D108" s="17"/>
      <c r="E108" s="18"/>
      <c r="F108" s="19"/>
      <c r="G108" s="20"/>
      <c r="H108" s="21"/>
    </row>
    <row r="109" spans="2:8" ht="24" customHeight="1" x14ac:dyDescent="0.25">
      <c r="B109" s="34" t="s">
        <v>117</v>
      </c>
      <c r="C109" s="35"/>
      <c r="D109" s="35"/>
      <c r="E109" s="36"/>
      <c r="F109" s="30">
        <v>48.4</v>
      </c>
      <c r="G109" s="31">
        <v>0.67</v>
      </c>
      <c r="H109" s="32"/>
    </row>
    <row r="110" spans="2:8" ht="24" customHeight="1" x14ac:dyDescent="0.25">
      <c r="B110" s="17"/>
      <c r="C110" s="17"/>
      <c r="D110" s="17"/>
      <c r="E110" s="18"/>
      <c r="F110" s="19"/>
      <c r="G110" s="20"/>
      <c r="H110" s="21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11" t="s">
        <v>144</v>
      </c>
      <c r="C112" s="12"/>
      <c r="D112" s="12"/>
      <c r="E112" s="13"/>
      <c r="F112" s="14"/>
      <c r="G112" s="15"/>
      <c r="H112" s="16"/>
    </row>
    <row r="113" spans="2:8" ht="24" customHeight="1" x14ac:dyDescent="0.25">
      <c r="B113" s="17" t="s">
        <v>145</v>
      </c>
      <c r="C113" s="17"/>
      <c r="D113" s="17"/>
      <c r="E113" s="18"/>
      <c r="F113" s="19">
        <v>862.8</v>
      </c>
      <c r="G113" s="20">
        <v>11.94</v>
      </c>
      <c r="H113" s="21"/>
    </row>
    <row r="114" spans="2:8" ht="24" customHeight="1" x14ac:dyDescent="0.25">
      <c r="B114" s="28" t="s">
        <v>114</v>
      </c>
      <c r="C114" s="28"/>
      <c r="D114" s="28"/>
      <c r="E114" s="29"/>
      <c r="F114" s="30">
        <v>862.8</v>
      </c>
      <c r="G114" s="31">
        <v>11.94</v>
      </c>
      <c r="H114" s="32"/>
    </row>
    <row r="115" spans="2:8" ht="24" customHeight="1" x14ac:dyDescent="0.25">
      <c r="B115" s="17"/>
      <c r="C115" s="17"/>
      <c r="D115" s="17"/>
      <c r="E115" s="18"/>
      <c r="F115" s="19"/>
      <c r="G115" s="20"/>
      <c r="H115" s="21"/>
    </row>
    <row r="116" spans="2:8" ht="24" customHeight="1" x14ac:dyDescent="0.25">
      <c r="B116" s="34" t="s">
        <v>117</v>
      </c>
      <c r="C116" s="35"/>
      <c r="D116" s="35"/>
      <c r="E116" s="36"/>
      <c r="F116" s="30">
        <v>862.8</v>
      </c>
      <c r="G116" s="31">
        <v>11.94</v>
      </c>
      <c r="H116" s="32"/>
    </row>
    <row r="117" spans="2:8" ht="24" customHeight="1" x14ac:dyDescent="0.25">
      <c r="B117" s="17"/>
      <c r="C117" s="17"/>
      <c r="D117" s="17"/>
      <c r="E117" s="18"/>
      <c r="F117" s="19"/>
      <c r="G117" s="20"/>
      <c r="H117" s="21"/>
    </row>
    <row r="118" spans="2:8" ht="24" customHeight="1" x14ac:dyDescent="0.25">
      <c r="B118" s="17" t="s">
        <v>146</v>
      </c>
      <c r="C118" s="17"/>
      <c r="D118" s="17"/>
      <c r="E118" s="18"/>
      <c r="F118" s="19">
        <v>3775.23</v>
      </c>
      <c r="G118" s="20">
        <v>52.22</v>
      </c>
      <c r="H118" s="21"/>
    </row>
    <row r="119" spans="2:8" ht="24" customHeight="1" x14ac:dyDescent="0.25">
      <c r="B119" s="17"/>
      <c r="C119" s="17"/>
      <c r="D119" s="17"/>
      <c r="E119" s="18"/>
      <c r="F119" s="19"/>
      <c r="G119" s="20"/>
      <c r="H119" s="21"/>
    </row>
    <row r="120" spans="2:8" ht="24" customHeight="1" x14ac:dyDescent="0.25">
      <c r="B120" s="34" t="s">
        <v>147</v>
      </c>
      <c r="C120" s="35"/>
      <c r="D120" s="35"/>
      <c r="E120" s="36"/>
      <c r="F120" s="30">
        <v>7228.11</v>
      </c>
      <c r="G120" s="31">
        <v>100</v>
      </c>
      <c r="H120" s="44"/>
    </row>
    <row r="121" spans="2:8" ht="24" customHeight="1" x14ac:dyDescent="0.25">
      <c r="B121" s="4"/>
    </row>
    <row r="122" spans="2:8" ht="24" customHeight="1" x14ac:dyDescent="0.25">
      <c r="B122" s="47" t="s">
        <v>148</v>
      </c>
    </row>
    <row r="123" spans="2:8" ht="24" customHeight="1" x14ac:dyDescent="0.25">
      <c r="B123" s="47" t="s">
        <v>149</v>
      </c>
    </row>
    <row r="129" spans="2:8" ht="24" customHeight="1" x14ac:dyDescent="0.25">
      <c r="B129" s="48" t="s">
        <v>150</v>
      </c>
    </row>
    <row r="130" spans="2:8" ht="24" customHeight="1" x14ac:dyDescent="0.25">
      <c r="B130" s="45" t="s">
        <v>151</v>
      </c>
    </row>
    <row r="131" spans="2:8" ht="24" customHeight="1" x14ac:dyDescent="0.25">
      <c r="B131" s="49" t="s">
        <v>152</v>
      </c>
      <c r="C131" s="50">
        <v>45869</v>
      </c>
      <c r="D131" s="51">
        <v>45898</v>
      </c>
    </row>
    <row r="132" spans="2:8" ht="24" customHeight="1" x14ac:dyDescent="0.25">
      <c r="B132" s="52" t="s">
        <v>153</v>
      </c>
      <c r="C132" s="53" t="s">
        <v>154</v>
      </c>
      <c r="D132" s="54" t="s">
        <v>154</v>
      </c>
      <c r="E132" s="4"/>
      <c r="F132" s="4"/>
      <c r="G132" s="4"/>
      <c r="H132" s="4"/>
    </row>
    <row r="133" spans="2:8" ht="24" customHeight="1" x14ac:dyDescent="0.25">
      <c r="B133" s="55" t="s">
        <v>155</v>
      </c>
      <c r="C133" s="56">
        <v>55.8645</v>
      </c>
      <c r="D133" s="57">
        <v>55.834699999999998</v>
      </c>
      <c r="E133" s="4"/>
      <c r="F133" s="4"/>
      <c r="G133" s="4"/>
      <c r="H133" s="4"/>
    </row>
    <row r="134" spans="2:8" ht="24" customHeight="1" x14ac:dyDescent="0.25">
      <c r="B134" s="55" t="s">
        <v>156</v>
      </c>
      <c r="C134" s="56">
        <v>13.985799999999999</v>
      </c>
      <c r="D134" s="57">
        <v>13.9063</v>
      </c>
      <c r="E134" s="4"/>
      <c r="F134" s="4"/>
      <c r="G134" s="4"/>
      <c r="H134" s="4"/>
    </row>
    <row r="135" spans="2:8" ht="24" customHeight="1" x14ac:dyDescent="0.25">
      <c r="B135" s="55" t="s">
        <v>157</v>
      </c>
      <c r="C135" s="56">
        <v>16.053799999999999</v>
      </c>
      <c r="D135" s="57">
        <v>16.046800000000001</v>
      </c>
      <c r="E135" s="4"/>
      <c r="F135" s="4"/>
      <c r="G135" s="4"/>
      <c r="H135" s="4"/>
    </row>
    <row r="136" spans="2:8" ht="24" customHeight="1" x14ac:dyDescent="0.25">
      <c r="B136" s="52" t="s">
        <v>158</v>
      </c>
      <c r="C136" s="53"/>
      <c r="D136" s="54"/>
      <c r="E136" s="4"/>
      <c r="F136" s="4"/>
      <c r="G136" s="4"/>
      <c r="H136" s="4"/>
    </row>
    <row r="137" spans="2:8" ht="24" customHeight="1" x14ac:dyDescent="0.25">
      <c r="B137" s="55" t="s">
        <v>155</v>
      </c>
      <c r="C137" s="56">
        <v>49.306600000000003</v>
      </c>
      <c r="D137" s="57">
        <v>49.251199999999997</v>
      </c>
      <c r="E137" s="4"/>
      <c r="F137" s="4"/>
      <c r="G137" s="4"/>
      <c r="H137" s="4"/>
    </row>
    <row r="138" spans="2:8" ht="24" customHeight="1" x14ac:dyDescent="0.25">
      <c r="B138" s="55" t="s">
        <v>156</v>
      </c>
      <c r="C138" s="56">
        <v>12.748799999999999</v>
      </c>
      <c r="D138" s="57">
        <v>12.6692</v>
      </c>
      <c r="E138" s="4"/>
      <c r="F138" s="4"/>
      <c r="G138" s="4"/>
      <c r="H138" s="4"/>
    </row>
    <row r="139" spans="2:8" ht="24" customHeight="1" x14ac:dyDescent="0.25">
      <c r="B139" s="58" t="s">
        <v>157</v>
      </c>
      <c r="C139" s="59">
        <v>15.151899999999999</v>
      </c>
      <c r="D139" s="60">
        <v>15.1349</v>
      </c>
      <c r="E139" s="4"/>
      <c r="F139" s="4"/>
      <c r="G139" s="4"/>
      <c r="H139" s="4"/>
    </row>
    <row r="140" spans="2:8" ht="24" customHeight="1" x14ac:dyDescent="0.25">
      <c r="C140" s="61"/>
      <c r="D140" s="61"/>
      <c r="E140" s="4"/>
      <c r="F140" s="4"/>
      <c r="G140" s="4"/>
      <c r="H140" s="4"/>
    </row>
    <row r="141" spans="2:8" ht="24" customHeight="1" x14ac:dyDescent="0.25">
      <c r="B141" s="45" t="s">
        <v>159</v>
      </c>
    </row>
    <row r="142" spans="2:8" ht="24" customHeight="1" x14ac:dyDescent="0.25">
      <c r="B142" s="62"/>
      <c r="C142" s="63" t="s">
        <v>160</v>
      </c>
      <c r="D142" s="63" t="s">
        <v>161</v>
      </c>
      <c r="E142" s="64" t="s">
        <v>162</v>
      </c>
    </row>
    <row r="143" spans="2:8" ht="24" customHeight="1" x14ac:dyDescent="0.25">
      <c r="B143" s="55" t="s">
        <v>163</v>
      </c>
      <c r="C143" s="65" t="s">
        <v>164</v>
      </c>
      <c r="D143" s="41" t="s">
        <v>116</v>
      </c>
      <c r="E143" s="66" t="s">
        <v>165</v>
      </c>
    </row>
    <row r="144" spans="2:8" ht="24" customHeight="1" x14ac:dyDescent="0.25">
      <c r="B144" s="58" t="s">
        <v>166</v>
      </c>
      <c r="C144" s="67" t="s">
        <v>116</v>
      </c>
      <c r="D144" s="67" t="s">
        <v>116</v>
      </c>
      <c r="E144" s="68" t="s">
        <v>165</v>
      </c>
    </row>
    <row r="146" spans="2:7" ht="24" customHeight="1" x14ac:dyDescent="0.25">
      <c r="B146" s="45" t="s">
        <v>167</v>
      </c>
    </row>
    <row r="147" spans="2:7" ht="24" customHeight="1" x14ac:dyDescent="0.25">
      <c r="B147" s="69" t="s">
        <v>160</v>
      </c>
      <c r="C147" s="70" t="s">
        <v>168</v>
      </c>
      <c r="D147" s="71"/>
      <c r="E147" s="71" t="s">
        <v>169</v>
      </c>
      <c r="F147" s="71"/>
      <c r="G147" s="72"/>
    </row>
    <row r="148" spans="2:7" ht="24" customHeight="1" x14ac:dyDescent="0.25">
      <c r="B148" s="73"/>
      <c r="C148" s="74" t="s">
        <v>170</v>
      </c>
      <c r="D148" s="74" t="s">
        <v>171</v>
      </c>
      <c r="E148" s="74" t="s">
        <v>170</v>
      </c>
      <c r="F148" s="75" t="s">
        <v>171</v>
      </c>
      <c r="G148" s="76"/>
    </row>
    <row r="149" spans="2:7" ht="24" customHeight="1" x14ac:dyDescent="0.25">
      <c r="B149" s="77" t="s">
        <v>172</v>
      </c>
      <c r="C149" s="78">
        <v>484.5</v>
      </c>
      <c r="D149" s="79">
        <v>3738.1573474000002</v>
      </c>
      <c r="E149" s="80">
        <v>0</v>
      </c>
      <c r="F149" s="81">
        <v>0</v>
      </c>
      <c r="G149" s="82"/>
    </row>
    <row r="150" spans="2:7" ht="24" customHeight="1" x14ac:dyDescent="0.25">
      <c r="B150" s="83" t="s">
        <v>173</v>
      </c>
      <c r="C150" s="84">
        <v>0</v>
      </c>
      <c r="D150" s="85">
        <v>0</v>
      </c>
      <c r="E150" s="86">
        <v>0</v>
      </c>
      <c r="F150" s="87">
        <v>0</v>
      </c>
      <c r="G150" s="88"/>
    </row>
    <row r="151" spans="2:7" ht="24" customHeight="1" x14ac:dyDescent="0.25">
      <c r="B151" s="89" t="s">
        <v>174</v>
      </c>
      <c r="C151" s="90"/>
      <c r="D151" s="90"/>
      <c r="E151" s="90"/>
      <c r="F151" s="91">
        <v>67.978666700000005</v>
      </c>
      <c r="G151" s="92"/>
    </row>
    <row r="152" spans="2:7" ht="24" customHeight="1" x14ac:dyDescent="0.25">
      <c r="B152" s="69" t="s">
        <v>175</v>
      </c>
      <c r="C152" s="71" t="s">
        <v>168</v>
      </c>
      <c r="D152" s="71"/>
      <c r="E152" s="71" t="s">
        <v>169</v>
      </c>
      <c r="F152" s="71"/>
      <c r="G152" s="72"/>
    </row>
    <row r="153" spans="2:7" ht="24" customHeight="1" x14ac:dyDescent="0.25">
      <c r="B153" s="93"/>
      <c r="C153" s="74" t="s">
        <v>170</v>
      </c>
      <c r="D153" s="74" t="s">
        <v>171</v>
      </c>
      <c r="E153" s="74" t="s">
        <v>170</v>
      </c>
      <c r="F153" s="75" t="s">
        <v>171</v>
      </c>
      <c r="G153" s="76"/>
    </row>
    <row r="154" spans="2:7" ht="24" customHeight="1" x14ac:dyDescent="0.25">
      <c r="B154" s="77" t="s">
        <v>172</v>
      </c>
      <c r="C154" s="78">
        <v>0</v>
      </c>
      <c r="D154" s="79">
        <v>0</v>
      </c>
      <c r="E154" s="80">
        <v>0</v>
      </c>
      <c r="F154" s="81">
        <v>0</v>
      </c>
      <c r="G154" s="82"/>
    </row>
    <row r="155" spans="2:7" ht="24" customHeight="1" x14ac:dyDescent="0.25">
      <c r="B155" s="83" t="s">
        <v>173</v>
      </c>
      <c r="C155" s="84">
        <v>0</v>
      </c>
      <c r="D155" s="85">
        <v>0</v>
      </c>
      <c r="E155" s="86">
        <v>0</v>
      </c>
      <c r="F155" s="87">
        <v>0</v>
      </c>
      <c r="G155" s="88"/>
    </row>
    <row r="156" spans="2:7" ht="24" customHeight="1" x14ac:dyDescent="0.25">
      <c r="B156" s="89" t="s">
        <v>174</v>
      </c>
      <c r="C156" s="90"/>
      <c r="D156" s="90"/>
      <c r="E156" s="90"/>
      <c r="F156" s="91">
        <v>0</v>
      </c>
      <c r="G156" s="92"/>
    </row>
    <row r="157" spans="2:7" ht="24" customHeight="1" x14ac:dyDescent="0.25">
      <c r="B157" s="69" t="s">
        <v>162</v>
      </c>
      <c r="C157" s="71" t="s">
        <v>168</v>
      </c>
      <c r="D157" s="71"/>
      <c r="E157" s="71" t="s">
        <v>169</v>
      </c>
      <c r="F157" s="71"/>
      <c r="G157" s="72"/>
    </row>
    <row r="158" spans="2:7" ht="24" customHeight="1" x14ac:dyDescent="0.25">
      <c r="B158" s="93"/>
      <c r="C158" s="74" t="s">
        <v>170</v>
      </c>
      <c r="D158" s="74" t="s">
        <v>171</v>
      </c>
      <c r="E158" s="74" t="s">
        <v>170</v>
      </c>
      <c r="F158" s="75" t="s">
        <v>171</v>
      </c>
      <c r="G158" s="76"/>
    </row>
    <row r="159" spans="2:7" ht="24" customHeight="1" x14ac:dyDescent="0.25">
      <c r="B159" s="77" t="s">
        <v>172</v>
      </c>
      <c r="C159" s="78">
        <v>0</v>
      </c>
      <c r="D159" s="79">
        <v>0</v>
      </c>
      <c r="E159" s="80">
        <v>0</v>
      </c>
      <c r="F159" s="81">
        <v>0</v>
      </c>
      <c r="G159" s="82"/>
    </row>
    <row r="160" spans="2:7" ht="24" customHeight="1" x14ac:dyDescent="0.25">
      <c r="B160" s="83" t="s">
        <v>173</v>
      </c>
      <c r="C160" s="84">
        <v>0</v>
      </c>
      <c r="D160" s="85">
        <v>0</v>
      </c>
      <c r="E160" s="86">
        <v>0</v>
      </c>
      <c r="F160" s="87">
        <v>0</v>
      </c>
      <c r="G160" s="88"/>
    </row>
    <row r="161" spans="2:8" ht="24" customHeight="1" x14ac:dyDescent="0.25">
      <c r="B161" s="89" t="s">
        <v>174</v>
      </c>
      <c r="C161" s="90"/>
      <c r="D161" s="90"/>
      <c r="E161" s="90"/>
      <c r="F161" s="91">
        <v>0</v>
      </c>
      <c r="G161" s="92"/>
    </row>
    <row r="163" spans="2:8" ht="24" customHeight="1" x14ac:dyDescent="0.25">
      <c r="B163" s="45" t="s">
        <v>176</v>
      </c>
      <c r="D163" s="41" t="s">
        <v>116</v>
      </c>
    </row>
    <row r="165" spans="2:8" ht="24" customHeight="1" x14ac:dyDescent="0.25">
      <c r="B165" s="45" t="s">
        <v>177</v>
      </c>
      <c r="D165" s="41" t="s">
        <v>116</v>
      </c>
    </row>
    <row r="167" spans="2:8" ht="24" customHeight="1" x14ac:dyDescent="0.25">
      <c r="B167" s="45" t="s">
        <v>178</v>
      </c>
      <c r="D167" s="41">
        <v>0.28999999999999998</v>
      </c>
    </row>
    <row r="169" spans="2:8" ht="24" customHeight="1" x14ac:dyDescent="0.25">
      <c r="B169" s="45" t="s">
        <v>179</v>
      </c>
    </row>
    <row r="170" spans="2:8" ht="24" customHeight="1" x14ac:dyDescent="0.25">
      <c r="B170" s="49" t="s">
        <v>180</v>
      </c>
      <c r="C170" s="94" t="s">
        <v>181</v>
      </c>
      <c r="D170" s="48"/>
    </row>
    <row r="171" spans="2:8" ht="24" customHeight="1" x14ac:dyDescent="0.25">
      <c r="B171" s="52" t="s">
        <v>153</v>
      </c>
      <c r="C171" s="95"/>
      <c r="D171" s="4"/>
      <c r="E171" s="4"/>
      <c r="F171" s="4"/>
      <c r="G171" s="4"/>
      <c r="H171" s="4"/>
    </row>
    <row r="172" spans="2:8" ht="24" customHeight="1" x14ac:dyDescent="0.25">
      <c r="B172" s="55" t="s">
        <v>182</v>
      </c>
      <c r="C172" s="57">
        <v>7.1800000000000003E-2</v>
      </c>
      <c r="D172" s="4"/>
      <c r="E172" s="4"/>
      <c r="F172" s="4"/>
      <c r="G172" s="4"/>
      <c r="H172" s="4"/>
    </row>
    <row r="173" spans="2:8" ht="24" customHeight="1" x14ac:dyDescent="0.25">
      <c r="B173" s="52" t="s">
        <v>158</v>
      </c>
      <c r="C173" s="95"/>
      <c r="D173" s="4"/>
      <c r="E173" s="4"/>
      <c r="F173" s="4"/>
      <c r="G173" s="4"/>
      <c r="H173" s="4"/>
    </row>
    <row r="174" spans="2:8" ht="24" customHeight="1" x14ac:dyDescent="0.25">
      <c r="B174" s="58" t="s">
        <v>182</v>
      </c>
      <c r="C174" s="60">
        <v>6.54E-2</v>
      </c>
      <c r="D174" s="4"/>
      <c r="E174" s="4"/>
      <c r="F174" s="4"/>
      <c r="G174" s="4"/>
      <c r="H174" s="4"/>
    </row>
    <row r="175" spans="2:8" ht="24" customHeight="1" x14ac:dyDescent="0.25">
      <c r="B175" s="45" t="s">
        <v>183</v>
      </c>
      <c r="C175" s="61"/>
      <c r="D175" s="4"/>
      <c r="E175" s="4"/>
      <c r="F175" s="4"/>
      <c r="G175" s="4"/>
      <c r="H175" s="4"/>
    </row>
    <row r="177" spans="2:8" ht="24" customHeight="1" x14ac:dyDescent="0.25">
      <c r="B177" s="45" t="s">
        <v>184</v>
      </c>
      <c r="D177" s="41" t="s">
        <v>116</v>
      </c>
    </row>
    <row r="178" spans="2:8" ht="24" customHeight="1" x14ac:dyDescent="0.25">
      <c r="B178" s="45" t="s">
        <v>185</v>
      </c>
      <c r="D178" s="41" t="s">
        <v>116</v>
      </c>
    </row>
    <row r="180" spans="2:8" ht="24" customHeight="1" x14ac:dyDescent="0.25">
      <c r="B180" s="96" t="s">
        <v>186</v>
      </c>
      <c r="D180" s="41" t="s">
        <v>116</v>
      </c>
    </row>
    <row r="182" spans="2:8" ht="24" customHeight="1" x14ac:dyDescent="0.25">
      <c r="B182" s="45" t="s">
        <v>187</v>
      </c>
      <c r="D182" s="41" t="s">
        <v>116</v>
      </c>
    </row>
    <row r="184" spans="2:8" ht="24" customHeight="1" x14ac:dyDescent="0.25">
      <c r="B184" s="48" t="s">
        <v>188</v>
      </c>
    </row>
    <row r="185" spans="2:8" s="101" customFormat="1" ht="24" customHeight="1" x14ac:dyDescent="0.25">
      <c r="B185" s="97" t="s">
        <v>189</v>
      </c>
      <c r="C185" s="97" t="s">
        <v>190</v>
      </c>
      <c r="D185" s="97" t="s">
        <v>191</v>
      </c>
      <c r="E185" s="98" t="s">
        <v>192</v>
      </c>
      <c r="F185" s="98" t="s">
        <v>193</v>
      </c>
      <c r="G185" s="99"/>
      <c r="H185" s="100"/>
    </row>
    <row r="186" spans="2:8" ht="24" customHeight="1" x14ac:dyDescent="0.25">
      <c r="B186" s="102" t="s">
        <v>34</v>
      </c>
      <c r="C186" s="102" t="s">
        <v>194</v>
      </c>
      <c r="D186" s="102">
        <v>1341.057131</v>
      </c>
      <c r="E186" s="103">
        <v>1319.2</v>
      </c>
      <c r="F186" s="103">
        <v>57.636507600000002</v>
      </c>
    </row>
    <row r="187" spans="2:8" ht="24" customHeight="1" x14ac:dyDescent="0.25">
      <c r="B187" s="102" t="s">
        <v>25</v>
      </c>
      <c r="C187" s="102" t="s">
        <v>194</v>
      </c>
      <c r="D187" s="102">
        <v>572.71483799999999</v>
      </c>
      <c r="E187" s="103">
        <v>565.29999999999995</v>
      </c>
      <c r="F187" s="103">
        <v>109.02364489999999</v>
      </c>
    </row>
    <row r="188" spans="2:8" ht="24" customHeight="1" x14ac:dyDescent="0.25">
      <c r="B188" s="102" t="s">
        <v>22</v>
      </c>
      <c r="C188" s="102" t="s">
        <v>194</v>
      </c>
      <c r="D188" s="102">
        <v>895.02581399999997</v>
      </c>
      <c r="E188" s="103">
        <v>881.6</v>
      </c>
      <c r="F188" s="103">
        <v>99.365136000000007</v>
      </c>
    </row>
    <row r="189" spans="2:8" ht="24" customHeight="1" x14ac:dyDescent="0.25">
      <c r="B189" s="102" t="s">
        <v>45</v>
      </c>
      <c r="C189" s="102" t="s">
        <v>194</v>
      </c>
      <c r="D189" s="102">
        <v>1933.3875</v>
      </c>
      <c r="E189" s="103">
        <v>1899.5</v>
      </c>
      <c r="F189" s="103">
        <v>12.7471646</v>
      </c>
    </row>
    <row r="190" spans="2:8" ht="24" customHeight="1" x14ac:dyDescent="0.25">
      <c r="B190" s="102" t="s">
        <v>16</v>
      </c>
      <c r="C190" s="102" t="s">
        <v>194</v>
      </c>
      <c r="D190" s="102">
        <v>991.84690000000001</v>
      </c>
      <c r="E190" s="103">
        <v>958.1</v>
      </c>
      <c r="F190" s="103">
        <v>91.095764799999998</v>
      </c>
    </row>
    <row r="191" spans="2:8" ht="24" customHeight="1" x14ac:dyDescent="0.25">
      <c r="B191" s="102" t="s">
        <v>43</v>
      </c>
      <c r="C191" s="102" t="s">
        <v>194</v>
      </c>
      <c r="D191" s="102">
        <v>1996.0823</v>
      </c>
      <c r="E191" s="103">
        <v>1972</v>
      </c>
      <c r="F191" s="103">
        <v>23.667943999999999</v>
      </c>
    </row>
    <row r="192" spans="2:8" ht="24" customHeight="1" x14ac:dyDescent="0.25">
      <c r="B192" s="102" t="s">
        <v>40</v>
      </c>
      <c r="C192" s="102" t="s">
        <v>194</v>
      </c>
      <c r="D192" s="102">
        <v>3596.3999760000002</v>
      </c>
      <c r="E192" s="103">
        <v>3618.6</v>
      </c>
      <c r="F192" s="103">
        <v>19.022346899999999</v>
      </c>
    </row>
    <row r="193" spans="2:6" ht="24" customHeight="1" x14ac:dyDescent="0.25">
      <c r="B193" s="102" t="s">
        <v>37</v>
      </c>
      <c r="C193" s="102" t="s">
        <v>194</v>
      </c>
      <c r="D193" s="102">
        <v>70.135000000000005</v>
      </c>
      <c r="E193" s="103">
        <v>69.23</v>
      </c>
      <c r="F193" s="103">
        <v>49.122838799999997</v>
      </c>
    </row>
    <row r="194" spans="2:6" ht="24" customHeight="1" x14ac:dyDescent="0.25">
      <c r="B194" s="102" t="s">
        <v>19</v>
      </c>
      <c r="C194" s="102" t="s">
        <v>194</v>
      </c>
      <c r="D194" s="102">
        <v>1414.0894679999999</v>
      </c>
      <c r="E194" s="103">
        <v>1364.4</v>
      </c>
      <c r="F194" s="103">
        <v>91.562155200000007</v>
      </c>
    </row>
    <row r="195" spans="2:6" ht="24" customHeight="1" x14ac:dyDescent="0.25">
      <c r="B195" s="102" t="s">
        <v>28</v>
      </c>
      <c r="C195" s="102" t="s">
        <v>194</v>
      </c>
      <c r="D195" s="102">
        <v>158.89681400000001</v>
      </c>
      <c r="E195" s="103">
        <v>155.04</v>
      </c>
      <c r="F195" s="103">
        <v>83.019966499999995</v>
      </c>
    </row>
    <row r="196" spans="2:6" ht="24" customHeight="1" x14ac:dyDescent="0.25">
      <c r="B196" s="102" t="s">
        <v>31</v>
      </c>
      <c r="C196" s="102" t="s">
        <v>194</v>
      </c>
      <c r="D196" s="102">
        <v>3663.3847740000001</v>
      </c>
      <c r="E196" s="103">
        <v>3648.1</v>
      </c>
      <c r="F196" s="103">
        <v>51.862484000000002</v>
      </c>
    </row>
    <row r="198" spans="2:6" ht="24" customHeight="1" x14ac:dyDescent="0.25">
      <c r="B198" s="48" t="s">
        <v>195</v>
      </c>
      <c r="C198" s="104">
        <f>-G75/100</f>
        <v>0.50979999999999992</v>
      </c>
    </row>
    <row r="200" spans="2:6" ht="24" customHeight="1" x14ac:dyDescent="0.35">
      <c r="B200" s="45" t="s">
        <v>196</v>
      </c>
      <c r="C200" s="105" t="s">
        <v>197</v>
      </c>
    </row>
  </sheetData>
  <mergeCells count="21">
    <mergeCell ref="C157:D157"/>
    <mergeCell ref="E157:G157"/>
    <mergeCell ref="F158:G158"/>
    <mergeCell ref="F159:G159"/>
    <mergeCell ref="F160:G160"/>
    <mergeCell ref="B161:E161"/>
    <mergeCell ref="F161:G161"/>
    <mergeCell ref="C152:D152"/>
    <mergeCell ref="E152:G152"/>
    <mergeCell ref="F153:G153"/>
    <mergeCell ref="F154:G154"/>
    <mergeCell ref="F155:G155"/>
    <mergeCell ref="B156:E156"/>
    <mergeCell ref="F156:G156"/>
    <mergeCell ref="C147:D147"/>
    <mergeCell ref="E147:G147"/>
    <mergeCell ref="F148:G148"/>
    <mergeCell ref="F149:G149"/>
    <mergeCell ref="F150:G150"/>
    <mergeCell ref="B151:E151"/>
    <mergeCell ref="F151:G151"/>
  </mergeCells>
  <hyperlinks>
    <hyperlink ref="C200" r:id="rId1" display="https://www.pgimindia.com/mutual-funds/hybrid-funds/equity-savings-fund" xr:uid="{B5AB31D5-74D1-41B6-8F7B-EA105E3FC745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Equity Savings</vt:lpstr>
      <vt:lpstr>'Equity Savings'!Hedging_Positions_through_Futures_AS_ON_MMMM_DD__YYYY___NIL</vt:lpstr>
      <vt:lpstr>'Equity Savings'!JPM_Footer_disp</vt:lpstr>
      <vt:lpstr>'Equity Savings'!JPM_Footer_disp12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2025-09-09T16:48:18Z</dcterms:modified>
</cp:coreProperties>
</file>