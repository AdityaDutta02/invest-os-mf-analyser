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A8E0A7BC-72C5-4C13-B649-539EE44C822E}" xr6:coauthVersionLast="47" xr6:coauthVersionMax="47" xr10:uidLastSave="{00000000-0000-0000-0000-000000000000}"/>
  <bookViews>
    <workbookView xWindow="1140" yWindow="1140" windowWidth="14400" windowHeight="7270" xr2:uid="{00000000-000D-0000-FFFF-FFFF00000000}"/>
  </bookViews>
  <sheets>
    <sheet name="Balanced Advantage" sheetId="2" r:id="rId1"/>
  </sheets>
  <externalReferences>
    <externalReference r:id="rId2"/>
  </externalReferences>
  <definedNames>
    <definedName name="_xlnm._FilterDatabase" localSheetId="0" hidden="1">'Balanced Advantage'!$B$175:$D$180</definedName>
    <definedName name="Derivatives_Transactions" localSheetId="0">'Balanced Advantage'!#REF!</definedName>
    <definedName name="Derivatives_Transactions">[1]Arbitrage!#REF!</definedName>
    <definedName name="Hedging_Positions_through_Futures_AS_ON_MMMM_DD__YYYY___NIL" localSheetId="0">'Balanced Advantage'!$L$76:$M$91</definedName>
    <definedName name="JPM_Footer_disp" localSheetId="0">'Balanced Advantage'!$L$82:$M$91</definedName>
    <definedName name="JPM_Footer_disp12" localSheetId="0">'Balanced Advantage'!$L$76:$M$93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4" i="2" l="1"/>
  <c r="F134" i="2"/>
  <c r="G132" i="2"/>
  <c r="F132" i="2"/>
  <c r="G128" i="2"/>
  <c r="F128" i="2"/>
  <c r="G118" i="2"/>
  <c r="F118" i="2"/>
  <c r="G92" i="2"/>
  <c r="F92" i="2"/>
  <c r="G86" i="2"/>
  <c r="F86" i="2"/>
</calcChain>
</file>

<file path=xl/sharedStrings.xml><?xml version="1.0" encoding="utf-8"?>
<sst xmlns="http://schemas.openxmlformats.org/spreadsheetml/2006/main" count="382" uniqueCount="287">
  <si>
    <t>PGIM INDIA BALANCED ADVANTAGE FUND</t>
  </si>
  <si>
    <t>(An Open Ended Dynamic Asset Allocation Fund)</t>
  </si>
  <si>
    <t xml:space="preserve">Riskometer of the Scheme </t>
  </si>
  <si>
    <t xml:space="preserve">Riskometer of the Benchmark (CRISIL Hybrid 50+50 Moderate Index) </t>
  </si>
  <si>
    <t>The risk of the scheme is very high risk</t>
  </si>
  <si>
    <t>Benchmark riskometer is at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</si>
  <si>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</si>
  <si>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</si>
  <si>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</si>
  <si>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</si>
  <si>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</si>
  <si>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</si>
  <si>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</si>
  <si>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</si>
  <si>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</si>
  <si>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</si>
  <si>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</si>
  <si>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</si>
  <si>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</si>
  <si>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</si>
  <si>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</si>
  <si>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</si>
  <si>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</si>
  <si>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</si>
  <si>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Bharti Airtel Ltd.</t>
  </si>
  <si>
    <t>INE397D01024</t>
  </si>
  <si>
    <t>Telecom - Services</t>
  </si>
  <si>
    <t>VARUN BEVERAGES LIMITED</t>
  </si>
  <si>
    <t>INE200M01039</t>
  </si>
  <si>
    <t>Beverages</t>
  </si>
  <si>
    <t>State Bank of India</t>
  </si>
  <si>
    <t>INE062A01020</t>
  </si>
  <si>
    <t>Larsen &amp; Toubro Ltd.</t>
  </si>
  <si>
    <t>INE018A01030</t>
  </si>
  <si>
    <t>Construction</t>
  </si>
  <si>
    <t>NTPC Ltd.</t>
  </si>
  <si>
    <t>INE733E01010</t>
  </si>
  <si>
    <t>Power</t>
  </si>
  <si>
    <t>Bajaj Finance Ltd.</t>
  </si>
  <si>
    <t>INE296A01032</t>
  </si>
  <si>
    <t>Finance</t>
  </si>
  <si>
    <t>Infosys Ltd.</t>
  </si>
  <si>
    <t>INE009A01021</t>
  </si>
  <si>
    <t>IT - Software</t>
  </si>
  <si>
    <t>SRF Ltd.</t>
  </si>
  <si>
    <t>INE647A01010</t>
  </si>
  <si>
    <t>Chemicals &amp; Petrochemicals</t>
  </si>
  <si>
    <t>Axis Bank Ltd.</t>
  </si>
  <si>
    <t>INE238A01034</t>
  </si>
  <si>
    <t>Titan Company Ltd.</t>
  </si>
  <si>
    <t>INE280A01028</t>
  </si>
  <si>
    <t>Consumer Durables</t>
  </si>
  <si>
    <t>Eternal Ltd.</t>
  </si>
  <si>
    <t>INE758T01015</t>
  </si>
  <si>
    <t>Retailing</t>
  </si>
  <si>
    <t>Mahindra &amp; Mahindra Ltd.</t>
  </si>
  <si>
    <t>INE101A01026</t>
  </si>
  <si>
    <t>Automobiles</t>
  </si>
  <si>
    <t>Vishal Mega Mart Ltd</t>
  </si>
  <si>
    <t>INE01EA01019</t>
  </si>
  <si>
    <t>TVS Motor Company Ltd.</t>
  </si>
  <si>
    <t>INE494B01023</t>
  </si>
  <si>
    <t>Torrent Power Ltd.</t>
  </si>
  <si>
    <t>INE813H01021</t>
  </si>
  <si>
    <t>Solar Industries India Ltd.</t>
  </si>
  <si>
    <t>INE343H01029</t>
  </si>
  <si>
    <t>JSW Steel Ltd.</t>
  </si>
  <si>
    <t>INE019A01038</t>
  </si>
  <si>
    <t>Ferrous Metals</t>
  </si>
  <si>
    <t>CG Power and Industrial Solutions Ltd.</t>
  </si>
  <si>
    <t>INE067A01029</t>
  </si>
  <si>
    <t>Electrical Equipment</t>
  </si>
  <si>
    <t>Hindalco Industries Ltd.</t>
  </si>
  <si>
    <t>INE038A01020</t>
  </si>
  <si>
    <t>Non - Ferrous Metals</t>
  </si>
  <si>
    <t>Suzlon Energy Ltd.</t>
  </si>
  <si>
    <t>INE040H01021</t>
  </si>
  <si>
    <t>HDFC Life Insurance Company Ltd.</t>
  </si>
  <si>
    <t>INE795G01014</t>
  </si>
  <si>
    <t>Insurance</t>
  </si>
  <si>
    <t>Bharat Electronics Ltd.</t>
  </si>
  <si>
    <t>INE263A01024</t>
  </si>
  <si>
    <t>Aerospace &amp; Defense</t>
  </si>
  <si>
    <t>JK Cement Ltd.</t>
  </si>
  <si>
    <t>INE823G01014</t>
  </si>
  <si>
    <t>Cement &amp; Cement Products</t>
  </si>
  <si>
    <t>Power Finance Corporation Ltd.</t>
  </si>
  <si>
    <t>INE134E01011</t>
  </si>
  <si>
    <t>Sun Pharmaceutical Industries Ltd.</t>
  </si>
  <si>
    <t>INE044A01036</t>
  </si>
  <si>
    <t>Pharmaceuticals &amp; Biotechnology</t>
  </si>
  <si>
    <t>Prestige Estates Projects Ltd.</t>
  </si>
  <si>
    <t>INE811K01011</t>
  </si>
  <si>
    <t>Realty</t>
  </si>
  <si>
    <t>Tata Consultancy Services Ltd.</t>
  </si>
  <si>
    <t>INE467B01029</t>
  </si>
  <si>
    <t>Persistent Systems Ltd.</t>
  </si>
  <si>
    <t>INE262H01021</t>
  </si>
  <si>
    <t>Kotak Mahindra Bank Ltd.</t>
  </si>
  <si>
    <t>INE237A01036</t>
  </si>
  <si>
    <t>Cummins India Ltd.</t>
  </si>
  <si>
    <t>INE298A01020</t>
  </si>
  <si>
    <t>Industrial Products</t>
  </si>
  <si>
    <t>LTM Ltd.</t>
  </si>
  <si>
    <t>INE214T01019</t>
  </si>
  <si>
    <t>Tube Investments Of India Ltd.</t>
  </si>
  <si>
    <t>INE974X01010</t>
  </si>
  <si>
    <t>Auto Components</t>
  </si>
  <si>
    <t>UNO Minda Ltd.</t>
  </si>
  <si>
    <t>INE405E01023</t>
  </si>
  <si>
    <t>Eicher Motors Ltd.</t>
  </si>
  <si>
    <t>INE066A01021</t>
  </si>
  <si>
    <t>JB Chemicals &amp; Pharmaceuticals Ltd.</t>
  </si>
  <si>
    <t>INE572A01036</t>
  </si>
  <si>
    <t>Mankind Pharma Ltd.</t>
  </si>
  <si>
    <t>INE634S01028</t>
  </si>
  <si>
    <t>Divi's Laboratories Ltd.</t>
  </si>
  <si>
    <t>INE361B01024</t>
  </si>
  <si>
    <t>Max Healthcare Institute Ltd.</t>
  </si>
  <si>
    <t>INE027H01010</t>
  </si>
  <si>
    <t>Healthcare Services</t>
  </si>
  <si>
    <t>Bharat Petroleum Corporation Ltd.</t>
  </si>
  <si>
    <t>INE029A01011</t>
  </si>
  <si>
    <t>Jindal Steel Ltd.</t>
  </si>
  <si>
    <t>INE749A01030</t>
  </si>
  <si>
    <t>Lupin Ltd.</t>
  </si>
  <si>
    <t>INE326A01037</t>
  </si>
  <si>
    <t>Ultratech Cement Ltd.</t>
  </si>
  <si>
    <t>INE481G01011</t>
  </si>
  <si>
    <t>Tech Mahindra Ltd.</t>
  </si>
  <si>
    <t>INE669C01036</t>
  </si>
  <si>
    <t>FSN E-Commerce Ventures Ltd.</t>
  </si>
  <si>
    <t>INE388Y01029</t>
  </si>
  <si>
    <t>JSW Infrastructure Ltd.</t>
  </si>
  <si>
    <t>INE880J01026</t>
  </si>
  <si>
    <t>Transport Infrastructure</t>
  </si>
  <si>
    <t>S.J.S. Enterprises Ltd.</t>
  </si>
  <si>
    <t>INE284S01014</t>
  </si>
  <si>
    <t>AU Small Finance Bank Ltd.</t>
  </si>
  <si>
    <t>INE949L01017</t>
  </si>
  <si>
    <t>United Spirits Ltd.</t>
  </si>
  <si>
    <t>INE854D01024</t>
  </si>
  <si>
    <t>Aster DM Healthcare Ltd.</t>
  </si>
  <si>
    <t>INE914M01019</t>
  </si>
  <si>
    <t>Nestle India Ltd.</t>
  </si>
  <si>
    <t>INE239A01024</t>
  </si>
  <si>
    <t>Food Products</t>
  </si>
  <si>
    <t>Maruti Suzuki India Ltd.</t>
  </si>
  <si>
    <t>INE585B01010</t>
  </si>
  <si>
    <t>Nippon Life India Asset Management Ltd.</t>
  </si>
  <si>
    <t>INE298J01013</t>
  </si>
  <si>
    <t>Capital Markets</t>
  </si>
  <si>
    <t>Multi Commodity Exchange Of India Ltd.</t>
  </si>
  <si>
    <t>INE745G01043</t>
  </si>
  <si>
    <t>Marico Ltd.</t>
  </si>
  <si>
    <t>INE196A01026</t>
  </si>
  <si>
    <t>Agricultural Food &amp; other Products</t>
  </si>
  <si>
    <t>Info Edge (India) Ltd.</t>
  </si>
  <si>
    <t>INE663F01032</t>
  </si>
  <si>
    <t>Asian Paints Ltd.</t>
  </si>
  <si>
    <t>INE021A01026</t>
  </si>
  <si>
    <t>The Federal Bank Ltd.</t>
  </si>
  <si>
    <t>INE171A01029</t>
  </si>
  <si>
    <t>PB Fintech Ltd.</t>
  </si>
  <si>
    <t>INE417T01026</t>
  </si>
  <si>
    <t>Financial Technology (Fintech)</t>
  </si>
  <si>
    <t>Shriram Finance Ltd.</t>
  </si>
  <si>
    <t>INE721A01047</t>
  </si>
  <si>
    <t>GE Vernova T&amp;D India Limited</t>
  </si>
  <si>
    <t>INE200A01026</t>
  </si>
  <si>
    <t>ICICI Lombard General Insurance Co. Ltd.</t>
  </si>
  <si>
    <t>INE765G01017</t>
  </si>
  <si>
    <t>ITC Ltd.</t>
  </si>
  <si>
    <t>INE154A01025</t>
  </si>
  <si>
    <t>Diversified FMCG</t>
  </si>
  <si>
    <t>Muthoot Finance Ltd.</t>
  </si>
  <si>
    <t>INE414G01012</t>
  </si>
  <si>
    <t>Blue Star Ltd.</t>
  </si>
  <si>
    <t>INE472A01039</t>
  </si>
  <si>
    <t>Astral Ltd.</t>
  </si>
  <si>
    <t>INE006I01046</t>
  </si>
  <si>
    <t>Ashok Leyland Ltd.</t>
  </si>
  <si>
    <t>INE208A01029</t>
  </si>
  <si>
    <t>Agricultural, Commercial &amp; Construction Vehicles</t>
  </si>
  <si>
    <t>MRS Bectors Food Specialities Ltd.</t>
  </si>
  <si>
    <t>INE495P01020</t>
  </si>
  <si>
    <t>Sub Total</t>
  </si>
  <si>
    <t>(b) Unlisted</t>
  </si>
  <si>
    <t>NIL</t>
  </si>
  <si>
    <t>TOTAL</t>
  </si>
  <si>
    <t>Debt Instruments</t>
  </si>
  <si>
    <t>(a)Listed / Awaiting listing on stock Exchanges</t>
  </si>
  <si>
    <t>6.79% Government of India</t>
  </si>
  <si>
    <t>IN0020240126</t>
  </si>
  <si>
    <t>SOVEREIGN</t>
  </si>
  <si>
    <t>7.18% Government of India</t>
  </si>
  <si>
    <t>IN0020230085</t>
  </si>
  <si>
    <t>7.09% Government of India</t>
  </si>
  <si>
    <t>IN0020240118</t>
  </si>
  <si>
    <t>7.25% Government of India</t>
  </si>
  <si>
    <t>IN0020230044</t>
  </si>
  <si>
    <t>7.24% Government of India</t>
  </si>
  <si>
    <t>IN0020250075</t>
  </si>
  <si>
    <t>6.59% Power Finance Corporation Ltd. **</t>
  </si>
  <si>
    <t>INE134E08NU7</t>
  </si>
  <si>
    <t>CRISIL AAA</t>
  </si>
  <si>
    <t>7.58% National Bank for Agriculture &amp; Rural Development **</t>
  </si>
  <si>
    <t>INE261F08DX0</t>
  </si>
  <si>
    <t>8.5% NHPC Ltd. **</t>
  </si>
  <si>
    <t>INE848E07880</t>
  </si>
  <si>
    <t>FITCH AAA</t>
  </si>
  <si>
    <t>6.01% Government of India</t>
  </si>
  <si>
    <t>IN0020250067</t>
  </si>
  <si>
    <t>7.82% Power Finance Corporation Ltd. **</t>
  </si>
  <si>
    <t>INE134E08ME3</t>
  </si>
  <si>
    <t>7.9% Jamnagar Utilities &amp; Power Pvt. Ltd. **</t>
  </si>
  <si>
    <t>INE936D07182</t>
  </si>
  <si>
    <t>7.51% Small Industries Development Bank of India **</t>
  </si>
  <si>
    <t>INE556F08KU4</t>
  </si>
  <si>
    <t>7.34% Small Industries Development Bank of India **</t>
  </si>
  <si>
    <t>INE556F08KS8</t>
  </si>
  <si>
    <t>IN0020240142</t>
  </si>
  <si>
    <t>6.64% Government of India</t>
  </si>
  <si>
    <t>IN0020240167</t>
  </si>
  <si>
    <t>8.16% Aditya Birla Capital Ltd. **</t>
  </si>
  <si>
    <t>INE860H07IW8</t>
  </si>
  <si>
    <t>ICRA AAA</t>
  </si>
  <si>
    <t>7.34% Government of India</t>
  </si>
  <si>
    <t>IN0020240035</t>
  </si>
  <si>
    <t>6.9% Government of India</t>
  </si>
  <si>
    <t>IN0020250018</t>
  </si>
  <si>
    <t>8.7% Shriram Finance Ltd. **</t>
  </si>
  <si>
    <t>INE721A07SL9</t>
  </si>
  <si>
    <t>7.17% Government of India</t>
  </si>
  <si>
    <t>IN0020170174</t>
  </si>
  <si>
    <t>6.54% Government of India</t>
  </si>
  <si>
    <t>IN0020210244</t>
  </si>
  <si>
    <t>7.26% Government of India</t>
  </si>
  <si>
    <t>IN0020220060</t>
  </si>
  <si>
    <t>(b)Privately Placed/Unlisted</t>
  </si>
  <si>
    <t>(c)Securitised Debt Instruments</t>
  </si>
  <si>
    <t>Preference Shares - (Listed / Awaiting listing on Stock Exchanges)</t>
  </si>
  <si>
    <t>TVS Motor Company Ltd. **</t>
  </si>
  <si>
    <t>INE494B04019</t>
  </si>
  <si>
    <t>Money Market Instruments</t>
  </si>
  <si>
    <t>Certificate of Deposit</t>
  </si>
  <si>
    <t>Union Bank of India ** #</t>
  </si>
  <si>
    <t>INE692A16LS3</t>
  </si>
  <si>
    <t>ICRA A1+</t>
  </si>
  <si>
    <t>Punjab National Bank ** #</t>
  </si>
  <si>
    <t>INE160A16UE2</t>
  </si>
  <si>
    <t>CRISIL A1+</t>
  </si>
  <si>
    <t>Indian Bank ** #</t>
  </si>
  <si>
    <t>INE562A16PB5</t>
  </si>
  <si>
    <t>Small Industries Development Bank of India ** #</t>
  </si>
  <si>
    <t>INE556F16BQ4</t>
  </si>
  <si>
    <t>Commercial Paper</t>
  </si>
  <si>
    <t>Muthoot Finance Ltd. **</t>
  </si>
  <si>
    <t>INE414G14VR5</t>
  </si>
  <si>
    <t>Fedbank Financial Services Ltd. **</t>
  </si>
  <si>
    <t>INE007N14EZ2</t>
  </si>
  <si>
    <t>Infina Finance Pvt Ltd. **</t>
  </si>
  <si>
    <t>INE879F14LY8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</si>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</sst>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6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2" xfId="1" applyNumberFormat="1" applyFont="1" applyBorder="1" applyAlignment="1">
      <alignment vertical="center"/>
    </xf>
    <xf numFmtId="0" fontId="3" fillId="0" borderId="0" xfId="0" applyFont="1" applyAlignment="1">
      <alignment vertical="top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9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885438A8-964B-49BA-AB5D-824DBEE692D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3</xdr:row>
      <xdr:rowOff>0</xdr:rowOff>
    </xdr:from>
    <xdr:to>
      <xdr:col>1</xdr:col>
      <xdr:colOff>2943225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1EAAD0-2D55-492A-8212-E10B2D14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1752600</xdr:colOff>
      <xdr:row>3</xdr:row>
      <xdr:rowOff>0</xdr:rowOff>
    </xdr:from>
    <xdr:to>
      <xdr:col>6</xdr:col>
      <xdr:colOff>492848</xdr:colOff>
      <xdr:row>8</xdr:row>
      <xdr:rowOff>45200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8E485E-6B4A-41B0-88E7-7599E913F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3050" y="914400"/>
          <a:ext cx="2810598" cy="1569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69C-E58F-4F43-BCC6-D0A8C1231A98}">
  <sheetPr>
    <tabColor rgb="FFC00000"/>
  </sheetPr>
  <dimension ref="B1:M199"/>
  <sheetViews>
    <sheetView showGridLines="0" tabSelected="1" workbookViewId="0">
      <selection activeCell="B9" sqref="B9"/>
    </sheetView>
  </sheetViews>
  <sheetFormatPr defaultColWidth="9.1796875" defaultRowHeight="24" customHeight="1" x14ac:dyDescent="0.25"/>
  <cols>
    <col min="1" max="1" width="3.54296875" style="4" customWidth="1"/>
    <col min="2" max="2" width="50.453125" style="48" customWidth="1"/>
    <col min="3" max="3" width="15.7265625" style="48" customWidth="1"/>
    <col min="4" max="4" width="26.54296875" style="48" customWidth="1"/>
    <col min="5" max="5" width="15.26953125" style="2" customWidth="1"/>
    <col min="6" max="6" width="16.453125" style="2" customWidth="1"/>
    <col min="7" max="7" width="15.26953125" style="4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35">
      <c r="B7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598736</v>
      </c>
      <c r="F16" s="19">
        <v>4457.8900000000003</v>
      </c>
      <c r="G16" s="20">
        <v>5.59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312074</v>
      </c>
      <c r="F17" s="19">
        <v>3920.9</v>
      </c>
      <c r="G17" s="20">
        <v>4.92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267612</v>
      </c>
      <c r="F18" s="19">
        <v>3535.69</v>
      </c>
      <c r="G18" s="20">
        <v>4.43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130361</v>
      </c>
      <c r="F19" s="19">
        <v>2384.3000000000002</v>
      </c>
      <c r="G19" s="20">
        <v>2.99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354978</v>
      </c>
      <c r="F20" s="19">
        <v>1874.28</v>
      </c>
      <c r="G20" s="20">
        <v>2.35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18</v>
      </c>
      <c r="E21" s="18">
        <v>181790</v>
      </c>
      <c r="F21" s="19">
        <v>1753.18</v>
      </c>
      <c r="G21" s="20">
        <v>2.2000000000000002</v>
      </c>
      <c r="H21" s="21"/>
    </row>
    <row r="22" spans="2:8" ht="24" customHeight="1" x14ac:dyDescent="0.25">
      <c r="B22" s="17" t="s">
        <v>32</v>
      </c>
      <c r="C22" s="17" t="s">
        <v>33</v>
      </c>
      <c r="D22" s="17" t="s">
        <v>34</v>
      </c>
      <c r="E22" s="18">
        <v>36415</v>
      </c>
      <c r="F22" s="19">
        <v>1484.46</v>
      </c>
      <c r="G22" s="20">
        <v>1.86</v>
      </c>
      <c r="H22" s="21"/>
    </row>
    <row r="23" spans="2:8" ht="24" customHeight="1" x14ac:dyDescent="0.25">
      <c r="B23" s="17" t="s">
        <v>35</v>
      </c>
      <c r="C23" s="17" t="s">
        <v>36</v>
      </c>
      <c r="D23" s="17" t="s">
        <v>37</v>
      </c>
      <c r="E23" s="18">
        <v>336556</v>
      </c>
      <c r="F23" s="19">
        <v>1302.1400000000001</v>
      </c>
      <c r="G23" s="20">
        <v>1.63</v>
      </c>
      <c r="H23" s="21"/>
    </row>
    <row r="24" spans="2:8" ht="24" customHeight="1" x14ac:dyDescent="0.25">
      <c r="B24" s="17" t="s">
        <v>38</v>
      </c>
      <c r="C24" s="17" t="s">
        <v>39</v>
      </c>
      <c r="D24" s="17" t="s">
        <v>40</v>
      </c>
      <c r="E24" s="18">
        <v>140980</v>
      </c>
      <c r="F24" s="19">
        <v>1280.45</v>
      </c>
      <c r="G24" s="20">
        <v>1.61</v>
      </c>
      <c r="H24" s="21"/>
    </row>
    <row r="25" spans="2:8" ht="24" customHeight="1" x14ac:dyDescent="0.25">
      <c r="B25" s="17" t="s">
        <v>41</v>
      </c>
      <c r="C25" s="17" t="s">
        <v>42</v>
      </c>
      <c r="D25" s="17" t="s">
        <v>43</v>
      </c>
      <c r="E25" s="18">
        <v>101889</v>
      </c>
      <c r="F25" s="19">
        <v>1182.83</v>
      </c>
      <c r="G25" s="20">
        <v>1.48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46</v>
      </c>
      <c r="E26" s="18">
        <v>42480</v>
      </c>
      <c r="F26" s="19">
        <v>1153.67</v>
      </c>
      <c r="G26" s="20">
        <v>1.45</v>
      </c>
      <c r="H26" s="21"/>
    </row>
    <row r="27" spans="2:8" ht="24" customHeight="1" x14ac:dyDescent="0.25">
      <c r="B27" s="17" t="s">
        <v>47</v>
      </c>
      <c r="C27" s="17" t="s">
        <v>48</v>
      </c>
      <c r="D27" s="17" t="s">
        <v>18</v>
      </c>
      <c r="E27" s="18">
        <v>79358</v>
      </c>
      <c r="F27" s="19">
        <v>1021.02</v>
      </c>
      <c r="G27" s="20">
        <v>1.28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24210</v>
      </c>
      <c r="F28" s="19">
        <v>986.53</v>
      </c>
      <c r="G28" s="20">
        <v>1.24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381894</v>
      </c>
      <c r="F29" s="19">
        <v>956.95</v>
      </c>
      <c r="G29" s="20">
        <v>1.2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29239</v>
      </c>
      <c r="F30" s="19">
        <v>890.5</v>
      </c>
      <c r="G30" s="20">
        <v>1.1200000000000001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54</v>
      </c>
      <c r="E31" s="18">
        <v>702957</v>
      </c>
      <c r="F31" s="19">
        <v>855.99</v>
      </c>
      <c r="G31" s="20">
        <v>1.07</v>
      </c>
      <c r="H31" s="21"/>
    </row>
    <row r="32" spans="2:8" ht="24" customHeight="1" x14ac:dyDescent="0.25">
      <c r="B32" s="17" t="s">
        <v>60</v>
      </c>
      <c r="C32" s="17" t="s">
        <v>61</v>
      </c>
      <c r="D32" s="17" t="s">
        <v>57</v>
      </c>
      <c r="E32" s="18">
        <v>25397</v>
      </c>
      <c r="F32" s="19">
        <v>852.25</v>
      </c>
      <c r="G32" s="20">
        <v>1.07</v>
      </c>
      <c r="H32" s="21"/>
    </row>
    <row r="33" spans="2:8" ht="24" customHeight="1" x14ac:dyDescent="0.25">
      <c r="B33" s="17" t="s">
        <v>62</v>
      </c>
      <c r="C33" s="17" t="s">
        <v>63</v>
      </c>
      <c r="D33" s="17" t="s">
        <v>37</v>
      </c>
      <c r="E33" s="18">
        <v>58104</v>
      </c>
      <c r="F33" s="19">
        <v>825.25</v>
      </c>
      <c r="G33" s="20">
        <v>1.03</v>
      </c>
      <c r="H33" s="21"/>
    </row>
    <row r="34" spans="2:8" ht="24" customHeight="1" x14ac:dyDescent="0.25">
      <c r="B34" s="17" t="s">
        <v>64</v>
      </c>
      <c r="C34" s="17" t="s">
        <v>65</v>
      </c>
      <c r="D34" s="17" t="s">
        <v>46</v>
      </c>
      <c r="E34" s="18">
        <v>4424</v>
      </c>
      <c r="F34" s="19">
        <v>807.25</v>
      </c>
      <c r="G34" s="20">
        <v>1.01</v>
      </c>
      <c r="H34" s="21"/>
    </row>
    <row r="35" spans="2:8" ht="24" customHeight="1" x14ac:dyDescent="0.25">
      <c r="B35" s="17" t="s">
        <v>66</v>
      </c>
      <c r="C35" s="17" t="s">
        <v>67</v>
      </c>
      <c r="D35" s="17" t="s">
        <v>68</v>
      </c>
      <c r="E35" s="18">
        <v>62680</v>
      </c>
      <c r="F35" s="19">
        <v>801.05</v>
      </c>
      <c r="G35" s="20">
        <v>1</v>
      </c>
      <c r="H35" s="21"/>
    </row>
    <row r="36" spans="2:8" ht="24" customHeight="1" x14ac:dyDescent="0.25">
      <c r="B36" s="17" t="s">
        <v>69</v>
      </c>
      <c r="C36" s="17" t="s">
        <v>70</v>
      </c>
      <c r="D36" s="17" t="s">
        <v>71</v>
      </c>
      <c r="E36" s="18">
        <v>86983</v>
      </c>
      <c r="F36" s="19">
        <v>798.03</v>
      </c>
      <c r="G36" s="20">
        <v>1</v>
      </c>
      <c r="H36" s="21"/>
    </row>
    <row r="37" spans="2:8" ht="24" customHeight="1" x14ac:dyDescent="0.25">
      <c r="B37" s="17" t="s">
        <v>72</v>
      </c>
      <c r="C37" s="17" t="s">
        <v>73</v>
      </c>
      <c r="D37" s="17" t="s">
        <v>74</v>
      </c>
      <c r="E37" s="18">
        <v>70620</v>
      </c>
      <c r="F37" s="19">
        <v>795.68</v>
      </c>
      <c r="G37" s="20">
        <v>1</v>
      </c>
      <c r="H37" s="21"/>
    </row>
    <row r="38" spans="2:8" ht="24" customHeight="1" x14ac:dyDescent="0.25">
      <c r="B38" s="17" t="s">
        <v>75</v>
      </c>
      <c r="C38" s="17" t="s">
        <v>76</v>
      </c>
      <c r="D38" s="17" t="s">
        <v>71</v>
      </c>
      <c r="E38" s="18">
        <v>1370980</v>
      </c>
      <c r="F38" s="19">
        <v>781.32</v>
      </c>
      <c r="G38" s="20">
        <v>0.98</v>
      </c>
      <c r="H38" s="21"/>
    </row>
    <row r="39" spans="2:8" ht="24" customHeight="1" x14ac:dyDescent="0.25">
      <c r="B39" s="17" t="s">
        <v>77</v>
      </c>
      <c r="C39" s="17" t="s">
        <v>78</v>
      </c>
      <c r="D39" s="17" t="s">
        <v>79</v>
      </c>
      <c r="E39" s="18">
        <v>120910</v>
      </c>
      <c r="F39" s="19">
        <v>719.17</v>
      </c>
      <c r="G39" s="20">
        <v>0.9</v>
      </c>
      <c r="H39" s="21"/>
    </row>
    <row r="40" spans="2:8" ht="24" customHeight="1" x14ac:dyDescent="0.25">
      <c r="B40" s="17" t="s">
        <v>80</v>
      </c>
      <c r="C40" s="17" t="s">
        <v>81</v>
      </c>
      <c r="D40" s="17" t="s">
        <v>82</v>
      </c>
      <c r="E40" s="18">
        <v>172122</v>
      </c>
      <c r="F40" s="19">
        <v>706.99</v>
      </c>
      <c r="G40" s="20">
        <v>0.89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13587</v>
      </c>
      <c r="F41" s="19">
        <v>702.58</v>
      </c>
      <c r="G41" s="20">
        <v>0.88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40</v>
      </c>
      <c r="E42" s="18">
        <v>163828</v>
      </c>
      <c r="F42" s="19">
        <v>702.17</v>
      </c>
      <c r="G42" s="20">
        <v>0.88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39000</v>
      </c>
      <c r="F43" s="19">
        <v>701.69</v>
      </c>
      <c r="G43" s="20">
        <v>0.88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93</v>
      </c>
      <c r="E44" s="18">
        <v>50561</v>
      </c>
      <c r="F44" s="19">
        <v>692.28</v>
      </c>
      <c r="G44" s="20">
        <v>0.87</v>
      </c>
      <c r="H44" s="21"/>
    </row>
    <row r="45" spans="2:8" ht="24" customHeight="1" x14ac:dyDescent="0.25">
      <c r="B45" s="17" t="s">
        <v>94</v>
      </c>
      <c r="C45" s="17" t="s">
        <v>95</v>
      </c>
      <c r="D45" s="17" t="s">
        <v>43</v>
      </c>
      <c r="E45" s="18">
        <v>29366</v>
      </c>
      <c r="F45" s="19">
        <v>663.35</v>
      </c>
      <c r="G45" s="20">
        <v>0.83</v>
      </c>
      <c r="H45" s="21"/>
    </row>
    <row r="46" spans="2:8" ht="24" customHeight="1" x14ac:dyDescent="0.25">
      <c r="B46" s="17" t="s">
        <v>96</v>
      </c>
      <c r="C46" s="17" t="s">
        <v>97</v>
      </c>
      <c r="D46" s="17" t="s">
        <v>43</v>
      </c>
      <c r="E46" s="18">
        <v>12693</v>
      </c>
      <c r="F46" s="19">
        <v>659.31</v>
      </c>
      <c r="G46" s="20">
        <v>0.83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18</v>
      </c>
      <c r="E47" s="18">
        <v>170860</v>
      </c>
      <c r="F47" s="19">
        <v>656.44</v>
      </c>
      <c r="G47" s="20">
        <v>0.82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102</v>
      </c>
      <c r="E48" s="18">
        <v>11028</v>
      </c>
      <c r="F48" s="19">
        <v>648.55999999999995</v>
      </c>
      <c r="G48" s="20">
        <v>0.81</v>
      </c>
      <c r="H48" s="21"/>
    </row>
    <row r="49" spans="2:8" ht="24" customHeight="1" x14ac:dyDescent="0.25">
      <c r="B49" s="17" t="s">
        <v>103</v>
      </c>
      <c r="C49" s="17" t="s">
        <v>104</v>
      </c>
      <c r="D49" s="17" t="s">
        <v>43</v>
      </c>
      <c r="E49" s="18">
        <v>15700</v>
      </c>
      <c r="F49" s="19">
        <v>637.66999999999996</v>
      </c>
      <c r="G49" s="20">
        <v>0.8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107</v>
      </c>
      <c r="E50" s="18">
        <v>19683</v>
      </c>
      <c r="F50" s="19">
        <v>618.32000000000005</v>
      </c>
      <c r="G50" s="20">
        <v>0.78</v>
      </c>
      <c r="H50" s="21"/>
    </row>
    <row r="51" spans="2:8" ht="24" customHeight="1" x14ac:dyDescent="0.25">
      <c r="B51" s="17" t="s">
        <v>108</v>
      </c>
      <c r="C51" s="17" t="s">
        <v>109</v>
      </c>
      <c r="D51" s="17" t="s">
        <v>107</v>
      </c>
      <c r="E51" s="18">
        <v>55737</v>
      </c>
      <c r="F51" s="19">
        <v>614.04999999999995</v>
      </c>
      <c r="G51" s="20">
        <v>0.77</v>
      </c>
      <c r="H51" s="21"/>
    </row>
    <row r="52" spans="2:8" ht="24" customHeight="1" x14ac:dyDescent="0.25">
      <c r="B52" s="17" t="s">
        <v>110</v>
      </c>
      <c r="C52" s="17" t="s">
        <v>111</v>
      </c>
      <c r="D52" s="17" t="s">
        <v>57</v>
      </c>
      <c r="E52" s="18">
        <v>8490</v>
      </c>
      <c r="F52" s="19">
        <v>609.33000000000004</v>
      </c>
      <c r="G52" s="20">
        <v>0.76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90</v>
      </c>
      <c r="E53" s="18">
        <v>27799</v>
      </c>
      <c r="F53" s="19">
        <v>602.52</v>
      </c>
      <c r="G53" s="20">
        <v>0.76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90</v>
      </c>
      <c r="E54" s="18">
        <v>25070</v>
      </c>
      <c r="F54" s="19">
        <v>595.55999999999995</v>
      </c>
      <c r="G54" s="20">
        <v>0.75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90</v>
      </c>
      <c r="E55" s="18">
        <v>8891</v>
      </c>
      <c r="F55" s="19">
        <v>592.76</v>
      </c>
      <c r="G55" s="20">
        <v>0.74</v>
      </c>
      <c r="H55" s="21"/>
    </row>
    <row r="56" spans="2:8" ht="24" customHeight="1" x14ac:dyDescent="0.25">
      <c r="B56" s="17" t="s">
        <v>118</v>
      </c>
      <c r="C56" s="17" t="s">
        <v>119</v>
      </c>
      <c r="D56" s="17" t="s">
        <v>120</v>
      </c>
      <c r="E56" s="18">
        <v>60918</v>
      </c>
      <c r="F56" s="19">
        <v>587.91999999999996</v>
      </c>
      <c r="G56" s="20">
        <v>0.74</v>
      </c>
      <c r="H56" s="21"/>
    </row>
    <row r="57" spans="2:8" ht="24" customHeight="1" x14ac:dyDescent="0.25">
      <c r="B57" s="17" t="s">
        <v>121</v>
      </c>
      <c r="C57" s="17" t="s">
        <v>122</v>
      </c>
      <c r="D57" s="17" t="s">
        <v>23</v>
      </c>
      <c r="E57" s="18">
        <v>191773</v>
      </c>
      <c r="F57" s="19">
        <v>571.67999999999995</v>
      </c>
      <c r="G57" s="20">
        <v>0.72</v>
      </c>
      <c r="H57" s="21"/>
    </row>
    <row r="58" spans="2:8" ht="24" customHeight="1" x14ac:dyDescent="0.25">
      <c r="B58" s="17" t="s">
        <v>123</v>
      </c>
      <c r="C58" s="17" t="s">
        <v>124</v>
      </c>
      <c r="D58" s="17" t="s">
        <v>68</v>
      </c>
      <c r="E58" s="18">
        <v>47320</v>
      </c>
      <c r="F58" s="19">
        <v>571.25</v>
      </c>
      <c r="G58" s="20">
        <v>0.72</v>
      </c>
      <c r="H58" s="21"/>
    </row>
    <row r="59" spans="2:8" ht="24" customHeight="1" x14ac:dyDescent="0.25">
      <c r="B59" s="17" t="s">
        <v>125</v>
      </c>
      <c r="C59" s="17" t="s">
        <v>126</v>
      </c>
      <c r="D59" s="17" t="s">
        <v>90</v>
      </c>
      <c r="E59" s="18">
        <v>24380</v>
      </c>
      <c r="F59" s="19">
        <v>552.87</v>
      </c>
      <c r="G59" s="20">
        <v>0.69</v>
      </c>
      <c r="H59" s="21"/>
    </row>
    <row r="60" spans="2:8" ht="24" customHeight="1" x14ac:dyDescent="0.25">
      <c r="B60" s="17" t="s">
        <v>127</v>
      </c>
      <c r="C60" s="17" t="s">
        <v>128</v>
      </c>
      <c r="D60" s="17" t="s">
        <v>85</v>
      </c>
      <c r="E60" s="18">
        <v>4722</v>
      </c>
      <c r="F60" s="19">
        <v>542.17999999999995</v>
      </c>
      <c r="G60" s="20">
        <v>0.68</v>
      </c>
      <c r="H60" s="21"/>
    </row>
    <row r="61" spans="2:8" ht="24" customHeight="1" x14ac:dyDescent="0.25">
      <c r="B61" s="17" t="s">
        <v>129</v>
      </c>
      <c r="C61" s="17" t="s">
        <v>130</v>
      </c>
      <c r="D61" s="17" t="s">
        <v>43</v>
      </c>
      <c r="E61" s="18">
        <v>34880</v>
      </c>
      <c r="F61" s="19">
        <v>517.58000000000004</v>
      </c>
      <c r="G61" s="20">
        <v>0.65</v>
      </c>
      <c r="H61" s="21"/>
    </row>
    <row r="62" spans="2:8" ht="24" customHeight="1" x14ac:dyDescent="0.25">
      <c r="B62" s="17" t="s">
        <v>131</v>
      </c>
      <c r="C62" s="17" t="s">
        <v>132</v>
      </c>
      <c r="D62" s="17" t="s">
        <v>54</v>
      </c>
      <c r="E62" s="18">
        <v>193120</v>
      </c>
      <c r="F62" s="19">
        <v>506.55</v>
      </c>
      <c r="G62" s="20">
        <v>0.64</v>
      </c>
      <c r="H62" s="21"/>
    </row>
    <row r="63" spans="2:8" ht="24" customHeight="1" x14ac:dyDescent="0.25">
      <c r="B63" s="17" t="s">
        <v>133</v>
      </c>
      <c r="C63" s="17" t="s">
        <v>134</v>
      </c>
      <c r="D63" s="17" t="s">
        <v>135</v>
      </c>
      <c r="E63" s="18">
        <v>175760</v>
      </c>
      <c r="F63" s="19">
        <v>483.87</v>
      </c>
      <c r="G63" s="20">
        <v>0.61</v>
      </c>
      <c r="H63" s="21"/>
    </row>
    <row r="64" spans="2:8" ht="24" customHeight="1" x14ac:dyDescent="0.25">
      <c r="B64" s="17" t="s">
        <v>136</v>
      </c>
      <c r="C64" s="17" t="s">
        <v>137</v>
      </c>
      <c r="D64" s="17" t="s">
        <v>107</v>
      </c>
      <c r="E64" s="18">
        <v>22920</v>
      </c>
      <c r="F64" s="19">
        <v>482.51</v>
      </c>
      <c r="G64" s="20">
        <v>0.6</v>
      </c>
      <c r="H64" s="21"/>
    </row>
    <row r="65" spans="2:12" ht="24" customHeight="1" x14ac:dyDescent="0.25">
      <c r="B65" s="17" t="s">
        <v>138</v>
      </c>
      <c r="C65" s="17" t="s">
        <v>139</v>
      </c>
      <c r="D65" s="17" t="s">
        <v>18</v>
      </c>
      <c r="E65" s="18">
        <v>47430</v>
      </c>
      <c r="F65" s="19">
        <v>467.04</v>
      </c>
      <c r="G65" s="20">
        <v>0.59</v>
      </c>
      <c r="H65" s="21"/>
    </row>
    <row r="66" spans="2:12" ht="24" customHeight="1" x14ac:dyDescent="0.25">
      <c r="B66" s="17" t="s">
        <v>140</v>
      </c>
      <c r="C66" s="17" t="s">
        <v>141</v>
      </c>
      <c r="D66" s="17" t="s">
        <v>29</v>
      </c>
      <c r="E66" s="18">
        <v>35148</v>
      </c>
      <c r="F66" s="19">
        <v>446.38</v>
      </c>
      <c r="G66" s="20">
        <v>0.56000000000000005</v>
      </c>
      <c r="H66" s="21"/>
    </row>
    <row r="67" spans="2:12" ht="24" customHeight="1" x14ac:dyDescent="0.25">
      <c r="B67" s="17" t="s">
        <v>142</v>
      </c>
      <c r="C67" s="17" t="s">
        <v>143</v>
      </c>
      <c r="D67" s="17" t="s">
        <v>120</v>
      </c>
      <c r="E67" s="18">
        <v>60402</v>
      </c>
      <c r="F67" s="19">
        <v>439.94</v>
      </c>
      <c r="G67" s="20">
        <v>0.55000000000000004</v>
      </c>
      <c r="H67" s="21"/>
    </row>
    <row r="68" spans="2:12" ht="24" customHeight="1" x14ac:dyDescent="0.25">
      <c r="B68" s="17" t="s">
        <v>144</v>
      </c>
      <c r="C68" s="17" t="s">
        <v>145</v>
      </c>
      <c r="D68" s="17" t="s">
        <v>146</v>
      </c>
      <c r="E68" s="18">
        <v>30210</v>
      </c>
      <c r="F68" s="19">
        <v>429.44</v>
      </c>
      <c r="G68" s="20">
        <v>0.54</v>
      </c>
      <c r="H68" s="21"/>
    </row>
    <row r="69" spans="2:12" ht="24" customHeight="1" x14ac:dyDescent="0.25">
      <c r="B69" s="17" t="s">
        <v>147</v>
      </c>
      <c r="C69" s="17" t="s">
        <v>148</v>
      </c>
      <c r="D69" s="17" t="s">
        <v>57</v>
      </c>
      <c r="E69" s="18">
        <v>3244</v>
      </c>
      <c r="F69" s="19">
        <v>425.84</v>
      </c>
      <c r="G69" s="20">
        <v>0.53</v>
      </c>
      <c r="H69" s="21"/>
    </row>
    <row r="70" spans="2:12" ht="24" customHeight="1" x14ac:dyDescent="0.25">
      <c r="B70" s="17" t="s">
        <v>149</v>
      </c>
      <c r="C70" s="17" t="s">
        <v>150</v>
      </c>
      <c r="D70" s="17" t="s">
        <v>151</v>
      </c>
      <c r="E70" s="18">
        <v>35390</v>
      </c>
      <c r="F70" s="19">
        <v>389.36</v>
      </c>
      <c r="G70" s="20">
        <v>0.49</v>
      </c>
      <c r="H70" s="21"/>
    </row>
    <row r="71" spans="2:12" ht="24" customHeight="1" x14ac:dyDescent="0.25">
      <c r="B71" s="17" t="s">
        <v>152</v>
      </c>
      <c r="C71" s="17" t="s">
        <v>153</v>
      </c>
      <c r="D71" s="17" t="s">
        <v>151</v>
      </c>
      <c r="E71" s="18">
        <v>12526</v>
      </c>
      <c r="F71" s="19">
        <v>370.08</v>
      </c>
      <c r="G71" s="20">
        <v>0.46</v>
      </c>
      <c r="H71" s="21"/>
    </row>
    <row r="72" spans="2:12" ht="24" customHeight="1" x14ac:dyDescent="0.25">
      <c r="B72" s="17" t="s">
        <v>154</v>
      </c>
      <c r="C72" s="17" t="s">
        <v>155</v>
      </c>
      <c r="D72" s="17" t="s">
        <v>156</v>
      </c>
      <c r="E72" s="18">
        <v>43870</v>
      </c>
      <c r="F72" s="19">
        <v>360.48</v>
      </c>
      <c r="G72" s="20">
        <v>0.45</v>
      </c>
      <c r="H72" s="21"/>
    </row>
    <row r="73" spans="2:12" ht="24" customHeight="1" x14ac:dyDescent="0.25">
      <c r="B73" s="17" t="s">
        <v>157</v>
      </c>
      <c r="C73" s="17" t="s">
        <v>158</v>
      </c>
      <c r="D73" s="17" t="s">
        <v>54</v>
      </c>
      <c r="E73" s="18">
        <v>33330</v>
      </c>
      <c r="F73" s="19">
        <v>331.63</v>
      </c>
      <c r="G73" s="20">
        <v>0.42</v>
      </c>
      <c r="H73" s="21"/>
    </row>
    <row r="74" spans="2:12" ht="24" customHeight="1" x14ac:dyDescent="0.25">
      <c r="B74" s="17" t="s">
        <v>159</v>
      </c>
      <c r="C74" s="17" t="s">
        <v>160</v>
      </c>
      <c r="D74" s="17" t="s">
        <v>51</v>
      </c>
      <c r="E74" s="18">
        <v>11610</v>
      </c>
      <c r="F74" s="19">
        <v>310.17</v>
      </c>
      <c r="G74" s="20">
        <v>0.39</v>
      </c>
      <c r="H74" s="21"/>
    </row>
    <row r="75" spans="2:12" ht="24" customHeight="1" x14ac:dyDescent="0.25">
      <c r="B75" s="17" t="s">
        <v>161</v>
      </c>
      <c r="C75" s="17" t="s">
        <v>162</v>
      </c>
      <c r="D75" s="17" t="s">
        <v>18</v>
      </c>
      <c r="E75" s="18">
        <v>106960</v>
      </c>
      <c r="F75" s="19">
        <v>309.06</v>
      </c>
      <c r="G75" s="20">
        <v>0.39</v>
      </c>
      <c r="H75" s="21"/>
    </row>
    <row r="76" spans="2:12" ht="24" customHeight="1" x14ac:dyDescent="0.25">
      <c r="B76" s="17" t="s">
        <v>163</v>
      </c>
      <c r="C76" s="17" t="s">
        <v>164</v>
      </c>
      <c r="D76" s="17" t="s">
        <v>165</v>
      </c>
      <c r="E76" s="18">
        <v>17776</v>
      </c>
      <c r="F76" s="19">
        <v>302.64</v>
      </c>
      <c r="G76" s="20">
        <v>0.38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40</v>
      </c>
      <c r="E77" s="18">
        <v>30430</v>
      </c>
      <c r="F77" s="19">
        <v>288.22000000000003</v>
      </c>
      <c r="G77" s="20">
        <v>0.36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71</v>
      </c>
      <c r="E78" s="18">
        <v>5580</v>
      </c>
      <c r="F78" s="19">
        <v>287.29000000000002</v>
      </c>
      <c r="G78" s="20">
        <v>0.36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79</v>
      </c>
      <c r="E79" s="18">
        <v>15924</v>
      </c>
      <c r="F79" s="19">
        <v>285.39</v>
      </c>
      <c r="G79" s="20">
        <v>0.36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174</v>
      </c>
      <c r="E80" s="18">
        <v>97419</v>
      </c>
      <c r="F80" s="19">
        <v>279.5</v>
      </c>
      <c r="G80" s="20">
        <v>0.35</v>
      </c>
      <c r="H80" s="21"/>
      <c r="L80" s="28"/>
    </row>
    <row r="81" spans="2:13" ht="24" customHeight="1" x14ac:dyDescent="0.25">
      <c r="B81" s="17" t="s">
        <v>175</v>
      </c>
      <c r="C81" s="17" t="s">
        <v>176</v>
      </c>
      <c r="D81" s="17" t="s">
        <v>40</v>
      </c>
      <c r="E81" s="18">
        <v>8270</v>
      </c>
      <c r="F81" s="19">
        <v>276.45999999999998</v>
      </c>
      <c r="G81" s="20">
        <v>0.35</v>
      </c>
      <c r="H81" s="21"/>
      <c r="L81" s="28"/>
    </row>
    <row r="82" spans="2:13" ht="24" customHeight="1" x14ac:dyDescent="0.25">
      <c r="B82" s="17" t="s">
        <v>177</v>
      </c>
      <c r="C82" s="17" t="s">
        <v>178</v>
      </c>
      <c r="D82" s="17" t="s">
        <v>51</v>
      </c>
      <c r="E82" s="18">
        <v>16972</v>
      </c>
      <c r="F82" s="19">
        <v>269.69</v>
      </c>
      <c r="G82" s="20">
        <v>0.34</v>
      </c>
      <c r="H82" s="21"/>
      <c r="L82" s="28"/>
    </row>
    <row r="83" spans="2:13" ht="24" customHeight="1" x14ac:dyDescent="0.25">
      <c r="B83" s="17" t="s">
        <v>179</v>
      </c>
      <c r="C83" s="17" t="s">
        <v>180</v>
      </c>
      <c r="D83" s="17" t="s">
        <v>102</v>
      </c>
      <c r="E83" s="18">
        <v>15630</v>
      </c>
      <c r="F83" s="19">
        <v>246.67</v>
      </c>
      <c r="G83" s="20">
        <v>0.31</v>
      </c>
      <c r="H83" s="21"/>
      <c r="L83" s="29"/>
      <c r="M83" s="29"/>
    </row>
    <row r="84" spans="2:13" ht="24" customHeight="1" x14ac:dyDescent="0.25">
      <c r="B84" s="17" t="s">
        <v>181</v>
      </c>
      <c r="C84" s="17" t="s">
        <v>182</v>
      </c>
      <c r="D84" s="17" t="s">
        <v>183</v>
      </c>
      <c r="E84" s="18">
        <v>157950</v>
      </c>
      <c r="F84" s="19">
        <v>245.52</v>
      </c>
      <c r="G84" s="20">
        <v>0.31</v>
      </c>
      <c r="H84" s="21"/>
    </row>
    <row r="85" spans="2:13" ht="24" customHeight="1" x14ac:dyDescent="0.25">
      <c r="B85" s="17" t="s">
        <v>184</v>
      </c>
      <c r="C85" s="17" t="s">
        <v>185</v>
      </c>
      <c r="D85" s="17" t="s">
        <v>146</v>
      </c>
      <c r="E85" s="18">
        <v>121030</v>
      </c>
      <c r="F85" s="19">
        <v>207.82</v>
      </c>
      <c r="G85" s="20">
        <v>0.26</v>
      </c>
      <c r="H85" s="21"/>
    </row>
    <row r="86" spans="2:13" ht="24" customHeight="1" x14ac:dyDescent="0.25">
      <c r="B86" s="30" t="s">
        <v>186</v>
      </c>
      <c r="C86" s="30"/>
      <c r="D86" s="30"/>
      <c r="E86" s="31"/>
      <c r="F86" s="32">
        <f>SUM(F16:F85)</f>
        <v>57609.39</v>
      </c>
      <c r="G86" s="32">
        <f>SUM(G16:G85)</f>
        <v>72.259999999999991</v>
      </c>
      <c r="H86" s="33"/>
      <c r="L86" s="34"/>
      <c r="M86" s="34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34"/>
      <c r="M87" s="34"/>
    </row>
    <row r="88" spans="2:13" ht="24" customHeight="1" x14ac:dyDescent="0.25">
      <c r="B88" s="22" t="s">
        <v>187</v>
      </c>
      <c r="C88" s="23"/>
      <c r="D88" s="23"/>
      <c r="E88" s="24"/>
      <c r="F88" s="25"/>
      <c r="G88" s="26"/>
      <c r="H88" s="27"/>
      <c r="L88" s="34"/>
      <c r="M88" s="34"/>
    </row>
    <row r="89" spans="2:13" ht="24" customHeight="1" x14ac:dyDescent="0.25">
      <c r="B89" s="17"/>
      <c r="C89" s="17"/>
      <c r="D89" s="17"/>
      <c r="E89" s="18"/>
      <c r="F89" s="20">
        <v>0</v>
      </c>
      <c r="G89" s="20">
        <v>0</v>
      </c>
      <c r="H89" s="21"/>
      <c r="L89" s="34"/>
      <c r="M89" s="34"/>
    </row>
    <row r="90" spans="2:13" ht="24" customHeight="1" x14ac:dyDescent="0.25">
      <c r="B90" s="30" t="s">
        <v>186</v>
      </c>
      <c r="C90" s="17"/>
      <c r="D90" s="17"/>
      <c r="E90" s="18"/>
      <c r="F90" s="35" t="s">
        <v>188</v>
      </c>
      <c r="G90" s="35" t="s">
        <v>188</v>
      </c>
      <c r="H90" s="21"/>
      <c r="L90" s="34"/>
      <c r="M90" s="34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4"/>
      <c r="M91" s="34"/>
    </row>
    <row r="92" spans="2:13" ht="24" customHeight="1" x14ac:dyDescent="0.25">
      <c r="B92" s="36" t="s">
        <v>189</v>
      </c>
      <c r="C92" s="37"/>
      <c r="D92" s="37"/>
      <c r="E92" s="38"/>
      <c r="F92" s="32">
        <f>F86</f>
        <v>57609.39</v>
      </c>
      <c r="G92" s="32">
        <f>G86</f>
        <v>72.259999999999991</v>
      </c>
      <c r="H92" s="33"/>
    </row>
    <row r="93" spans="2:13" ht="24" customHeight="1" x14ac:dyDescent="0.25">
      <c r="B93" s="11" t="s">
        <v>190</v>
      </c>
      <c r="C93" s="12"/>
      <c r="D93" s="12"/>
      <c r="E93" s="13"/>
      <c r="F93" s="14"/>
      <c r="G93" s="15"/>
      <c r="H93" s="16"/>
      <c r="L93" s="28"/>
    </row>
    <row r="94" spans="2:13" ht="24" customHeight="1" x14ac:dyDescent="0.25">
      <c r="B94" s="17"/>
      <c r="C94" s="17"/>
      <c r="D94" s="17"/>
      <c r="E94" s="18"/>
      <c r="F94" s="19"/>
      <c r="G94" s="20"/>
      <c r="H94" s="21"/>
    </row>
    <row r="95" spans="2:13" ht="24" customHeight="1" x14ac:dyDescent="0.25">
      <c r="B95" s="22" t="s">
        <v>191</v>
      </c>
      <c r="C95" s="23"/>
      <c r="D95" s="23"/>
      <c r="E95" s="24"/>
      <c r="F95" s="25"/>
      <c r="G95" s="26"/>
      <c r="H95" s="27"/>
    </row>
    <row r="96" spans="2:13" ht="24" customHeight="1" x14ac:dyDescent="0.25">
      <c r="B96" s="17" t="s">
        <v>192</v>
      </c>
      <c r="C96" s="17" t="s">
        <v>193</v>
      </c>
      <c r="D96" s="17" t="s">
        <v>194</v>
      </c>
      <c r="E96" s="18">
        <v>3094167</v>
      </c>
      <c r="F96" s="19">
        <v>3046.58</v>
      </c>
      <c r="G96" s="20">
        <v>3.82</v>
      </c>
      <c r="H96" s="21">
        <v>7.1584000000000003</v>
      </c>
    </row>
    <row r="97" spans="2:8" ht="24" customHeight="1" x14ac:dyDescent="0.25">
      <c r="B97" s="17" t="s">
        <v>195</v>
      </c>
      <c r="C97" s="17" t="s">
        <v>196</v>
      </c>
      <c r="D97" s="17" t="s">
        <v>194</v>
      </c>
      <c r="E97" s="18">
        <v>2190000</v>
      </c>
      <c r="F97" s="19">
        <v>2209.61</v>
      </c>
      <c r="G97" s="20">
        <v>2.77</v>
      </c>
      <c r="H97" s="21">
        <v>7.1398999999999999</v>
      </c>
    </row>
    <row r="98" spans="2:8" ht="24" customHeight="1" x14ac:dyDescent="0.25">
      <c r="B98" s="17" t="s">
        <v>197</v>
      </c>
      <c r="C98" s="17" t="s">
        <v>198</v>
      </c>
      <c r="D98" s="17" t="s">
        <v>194</v>
      </c>
      <c r="E98" s="18">
        <v>1500000</v>
      </c>
      <c r="F98" s="19">
        <v>1406.66</v>
      </c>
      <c r="G98" s="20">
        <v>1.76</v>
      </c>
      <c r="H98" s="21">
        <v>7.7744</v>
      </c>
    </row>
    <row r="99" spans="2:8" ht="24" customHeight="1" x14ac:dyDescent="0.25">
      <c r="B99" s="17" t="s">
        <v>199</v>
      </c>
      <c r="C99" s="17" t="s">
        <v>200</v>
      </c>
      <c r="D99" s="17" t="s">
        <v>194</v>
      </c>
      <c r="E99" s="18">
        <v>1441600</v>
      </c>
      <c r="F99" s="19">
        <v>1361.42</v>
      </c>
      <c r="G99" s="20">
        <v>1.71</v>
      </c>
      <c r="H99" s="21">
        <v>7.8545999999999996</v>
      </c>
    </row>
    <row r="100" spans="2:8" ht="24" customHeight="1" x14ac:dyDescent="0.25">
      <c r="B100" s="17" t="s">
        <v>201</v>
      </c>
      <c r="C100" s="17" t="s">
        <v>202</v>
      </c>
      <c r="D100" s="17" t="s">
        <v>194</v>
      </c>
      <c r="E100" s="18">
        <v>775000</v>
      </c>
      <c r="F100" s="19">
        <v>739.12</v>
      </c>
      <c r="G100" s="20">
        <v>0.93</v>
      </c>
      <c r="H100" s="21">
        <v>7.7824999999999998</v>
      </c>
    </row>
    <row r="101" spans="2:8" ht="24" customHeight="1" x14ac:dyDescent="0.25">
      <c r="B101" s="17" t="s">
        <v>203</v>
      </c>
      <c r="C101" s="17" t="s">
        <v>204</v>
      </c>
      <c r="D101" s="17" t="s">
        <v>205</v>
      </c>
      <c r="E101" s="18">
        <v>750000</v>
      </c>
      <c r="F101" s="19">
        <v>718.66</v>
      </c>
      <c r="G101" s="20">
        <v>0.9</v>
      </c>
      <c r="H101" s="21">
        <v>7.7625000000000002</v>
      </c>
    </row>
    <row r="102" spans="2:8" ht="24" customHeight="1" x14ac:dyDescent="0.25">
      <c r="B102" s="17" t="s">
        <v>206</v>
      </c>
      <c r="C102" s="17" t="s">
        <v>207</v>
      </c>
      <c r="D102" s="17" t="s">
        <v>205</v>
      </c>
      <c r="E102" s="18">
        <v>700000</v>
      </c>
      <c r="F102" s="19">
        <v>699.45</v>
      </c>
      <c r="G102" s="20">
        <v>0.88</v>
      </c>
      <c r="H102" s="21">
        <v>7.58</v>
      </c>
    </row>
    <row r="103" spans="2:8" ht="24" customHeight="1" x14ac:dyDescent="0.25">
      <c r="B103" s="17" t="s">
        <v>208</v>
      </c>
      <c r="C103" s="17" t="s">
        <v>209</v>
      </c>
      <c r="D103" s="17" t="s">
        <v>210</v>
      </c>
      <c r="E103" s="18">
        <v>650000</v>
      </c>
      <c r="F103" s="19">
        <v>658.98</v>
      </c>
      <c r="G103" s="20">
        <v>0.83</v>
      </c>
      <c r="H103" s="21">
        <v>7.75</v>
      </c>
    </row>
    <row r="104" spans="2:8" ht="24" customHeight="1" x14ac:dyDescent="0.25">
      <c r="B104" s="17" t="s">
        <v>211</v>
      </c>
      <c r="C104" s="17" t="s">
        <v>212</v>
      </c>
      <c r="D104" s="17" t="s">
        <v>194</v>
      </c>
      <c r="E104" s="18">
        <v>650000</v>
      </c>
      <c r="F104" s="19">
        <v>634.86</v>
      </c>
      <c r="G104" s="20">
        <v>0.8</v>
      </c>
      <c r="H104" s="21">
        <v>6.7713999999999999</v>
      </c>
    </row>
    <row r="105" spans="2:8" ht="24" customHeight="1" x14ac:dyDescent="0.25">
      <c r="B105" s="17" t="s">
        <v>213</v>
      </c>
      <c r="C105" s="17" t="s">
        <v>214</v>
      </c>
      <c r="D105" s="17" t="s">
        <v>205</v>
      </c>
      <c r="E105" s="18">
        <v>500000</v>
      </c>
      <c r="F105" s="19">
        <v>500.66</v>
      </c>
      <c r="G105" s="20">
        <v>0.63</v>
      </c>
      <c r="H105" s="21">
        <v>7.78</v>
      </c>
    </row>
    <row r="106" spans="2:8" ht="24" customHeight="1" x14ac:dyDescent="0.25">
      <c r="B106" s="17" t="s">
        <v>215</v>
      </c>
      <c r="C106" s="17" t="s">
        <v>216</v>
      </c>
      <c r="D106" s="17" t="s">
        <v>205</v>
      </c>
      <c r="E106" s="18">
        <v>500000</v>
      </c>
      <c r="F106" s="19">
        <v>499.13</v>
      </c>
      <c r="G106" s="20">
        <v>0.63</v>
      </c>
      <c r="H106" s="21">
        <v>7.9649999999999999</v>
      </c>
    </row>
    <row r="107" spans="2:8" ht="24" customHeight="1" x14ac:dyDescent="0.25">
      <c r="B107" s="17" t="s">
        <v>217</v>
      </c>
      <c r="C107" s="17" t="s">
        <v>218</v>
      </c>
      <c r="D107" s="17" t="s">
        <v>205</v>
      </c>
      <c r="E107" s="18">
        <v>400000</v>
      </c>
      <c r="F107" s="19">
        <v>397.49</v>
      </c>
      <c r="G107" s="20">
        <v>0.5</v>
      </c>
      <c r="H107" s="21">
        <v>7.85</v>
      </c>
    </row>
    <row r="108" spans="2:8" ht="24" customHeight="1" x14ac:dyDescent="0.25">
      <c r="B108" s="17" t="s">
        <v>219</v>
      </c>
      <c r="C108" s="17" t="s">
        <v>220</v>
      </c>
      <c r="D108" s="17" t="s">
        <v>205</v>
      </c>
      <c r="E108" s="18">
        <v>300000</v>
      </c>
      <c r="F108" s="19">
        <v>296.44</v>
      </c>
      <c r="G108" s="20">
        <v>0.37</v>
      </c>
      <c r="H108" s="21">
        <v>7.835</v>
      </c>
    </row>
    <row r="109" spans="2:8" ht="24" customHeight="1" x14ac:dyDescent="0.25">
      <c r="B109" s="17" t="s">
        <v>197</v>
      </c>
      <c r="C109" s="17" t="s">
        <v>221</v>
      </c>
      <c r="D109" s="17" t="s">
        <v>194</v>
      </c>
      <c r="E109" s="18">
        <v>300000</v>
      </c>
      <c r="F109" s="19">
        <v>277.05</v>
      </c>
      <c r="G109" s="20">
        <v>0.35</v>
      </c>
      <c r="H109" s="21">
        <v>7.8419999999999996</v>
      </c>
    </row>
    <row r="110" spans="2:8" ht="24" customHeight="1" x14ac:dyDescent="0.25">
      <c r="B110" s="17" t="s">
        <v>222</v>
      </c>
      <c r="C110" s="17" t="s">
        <v>223</v>
      </c>
      <c r="D110" s="17" t="s">
        <v>194</v>
      </c>
      <c r="E110" s="18">
        <v>230000</v>
      </c>
      <c r="F110" s="19">
        <v>231.5</v>
      </c>
      <c r="G110" s="20">
        <v>0.28999999999999998</v>
      </c>
      <c r="H110" s="21">
        <v>6.2801</v>
      </c>
    </row>
    <row r="111" spans="2:8" ht="24" customHeight="1" x14ac:dyDescent="0.25">
      <c r="B111" s="17" t="s">
        <v>224</v>
      </c>
      <c r="C111" s="17" t="s">
        <v>225</v>
      </c>
      <c r="D111" s="17" t="s">
        <v>226</v>
      </c>
      <c r="E111" s="18">
        <v>200000</v>
      </c>
      <c r="F111" s="19">
        <v>200.15</v>
      </c>
      <c r="G111" s="20">
        <v>0.25</v>
      </c>
      <c r="H111" s="21">
        <v>8.0998000000000001</v>
      </c>
    </row>
    <row r="112" spans="2:8" ht="24" customHeight="1" x14ac:dyDescent="0.25">
      <c r="B112" s="17" t="s">
        <v>227</v>
      </c>
      <c r="C112" s="17" t="s">
        <v>228</v>
      </c>
      <c r="D112" s="17" t="s">
        <v>194</v>
      </c>
      <c r="E112" s="18">
        <v>193750</v>
      </c>
      <c r="F112" s="19">
        <v>185.6</v>
      </c>
      <c r="G112" s="20">
        <v>0.23</v>
      </c>
      <c r="H112" s="21">
        <v>7.8292000000000002</v>
      </c>
    </row>
    <row r="113" spans="2:8" ht="24" customHeight="1" x14ac:dyDescent="0.25">
      <c r="B113" s="17" t="s">
        <v>229</v>
      </c>
      <c r="C113" s="17" t="s">
        <v>230</v>
      </c>
      <c r="D113" s="17" t="s">
        <v>194</v>
      </c>
      <c r="E113" s="18">
        <v>120000</v>
      </c>
      <c r="F113" s="19">
        <v>108.21</v>
      </c>
      <c r="G113" s="20">
        <v>0.14000000000000001</v>
      </c>
      <c r="H113" s="21">
        <v>7.8456999999999999</v>
      </c>
    </row>
    <row r="114" spans="2:8" ht="24" customHeight="1" x14ac:dyDescent="0.25">
      <c r="B114" s="17" t="s">
        <v>231</v>
      </c>
      <c r="C114" s="17" t="s">
        <v>232</v>
      </c>
      <c r="D114" s="17" t="s">
        <v>205</v>
      </c>
      <c r="E114" s="18">
        <v>100000</v>
      </c>
      <c r="F114" s="19">
        <v>100.75</v>
      </c>
      <c r="G114" s="20">
        <v>0.13</v>
      </c>
      <c r="H114" s="21">
        <v>8.2200000000000006</v>
      </c>
    </row>
    <row r="115" spans="2:8" ht="24" customHeight="1" x14ac:dyDescent="0.25">
      <c r="B115" s="17" t="s">
        <v>233</v>
      </c>
      <c r="C115" s="17" t="s">
        <v>234</v>
      </c>
      <c r="D115" s="17" t="s">
        <v>194</v>
      </c>
      <c r="E115" s="18">
        <v>76700</v>
      </c>
      <c r="F115" s="19">
        <v>77.849999999999994</v>
      </c>
      <c r="G115" s="20">
        <v>0.1</v>
      </c>
      <c r="H115" s="21">
        <v>6.2587999999999999</v>
      </c>
    </row>
    <row r="116" spans="2:8" ht="24" customHeight="1" x14ac:dyDescent="0.25">
      <c r="B116" s="17" t="s">
        <v>235</v>
      </c>
      <c r="C116" s="17" t="s">
        <v>236</v>
      </c>
      <c r="D116" s="17" t="s">
        <v>194</v>
      </c>
      <c r="E116" s="18">
        <v>48700</v>
      </c>
      <c r="F116" s="19">
        <v>47.91</v>
      </c>
      <c r="G116" s="20">
        <v>0.06</v>
      </c>
      <c r="H116" s="21">
        <v>7.0087000000000002</v>
      </c>
    </row>
    <row r="117" spans="2:8" ht="24" customHeight="1" x14ac:dyDescent="0.25">
      <c r="B117" s="17" t="s">
        <v>237</v>
      </c>
      <c r="C117" s="17" t="s">
        <v>238</v>
      </c>
      <c r="D117" s="17" t="s">
        <v>194</v>
      </c>
      <c r="E117" s="18">
        <v>25000</v>
      </c>
      <c r="F117" s="19">
        <v>25.33</v>
      </c>
      <c r="G117" s="20">
        <v>0.03</v>
      </c>
      <c r="H117" s="21">
        <v>7.1142000000000003</v>
      </c>
    </row>
    <row r="118" spans="2:8" ht="24" customHeight="1" x14ac:dyDescent="0.25">
      <c r="B118" s="30" t="s">
        <v>186</v>
      </c>
      <c r="C118" s="30"/>
      <c r="D118" s="30"/>
      <c r="E118" s="31"/>
      <c r="F118" s="32">
        <f>SUM(F96:F117)</f>
        <v>14423.41</v>
      </c>
      <c r="G118" s="32">
        <f>SUM(G96:G117)</f>
        <v>18.110000000000007</v>
      </c>
      <c r="H118" s="33"/>
    </row>
    <row r="119" spans="2:8" ht="24" customHeight="1" x14ac:dyDescent="0.25">
      <c r="B119" s="17"/>
      <c r="C119" s="17"/>
      <c r="D119" s="17"/>
      <c r="E119" s="18"/>
      <c r="F119" s="19"/>
      <c r="G119" s="20"/>
      <c r="H119" s="21"/>
    </row>
    <row r="120" spans="2:8" ht="24" customHeight="1" x14ac:dyDescent="0.25">
      <c r="B120" s="22" t="s">
        <v>239</v>
      </c>
      <c r="C120" s="23"/>
      <c r="D120" s="23"/>
      <c r="E120" s="24"/>
      <c r="F120" s="25"/>
      <c r="G120" s="26"/>
      <c r="H120" s="27"/>
    </row>
    <row r="121" spans="2:8" ht="24" customHeight="1" x14ac:dyDescent="0.25">
      <c r="B121" s="17"/>
      <c r="C121" s="17"/>
      <c r="D121" s="17"/>
      <c r="E121" s="18"/>
      <c r="F121" s="20">
        <v>0</v>
      </c>
      <c r="G121" s="20">
        <v>0</v>
      </c>
      <c r="H121" s="21"/>
    </row>
    <row r="122" spans="2:8" ht="24" customHeight="1" x14ac:dyDescent="0.25">
      <c r="B122" s="30" t="s">
        <v>186</v>
      </c>
      <c r="C122" s="17"/>
      <c r="D122" s="17"/>
      <c r="E122" s="18"/>
      <c r="F122" s="35" t="s">
        <v>188</v>
      </c>
      <c r="G122" s="35" t="s">
        <v>188</v>
      </c>
      <c r="H122" s="21"/>
    </row>
    <row r="123" spans="2:8" ht="24" customHeight="1" x14ac:dyDescent="0.25">
      <c r="B123" s="17"/>
      <c r="C123" s="17"/>
      <c r="D123" s="17"/>
      <c r="E123" s="18"/>
      <c r="F123" s="19"/>
      <c r="G123" s="20"/>
      <c r="H123" s="21"/>
    </row>
    <row r="124" spans="2:8" ht="24" customHeight="1" x14ac:dyDescent="0.25">
      <c r="B124" s="22" t="s">
        <v>240</v>
      </c>
      <c r="C124" s="23"/>
      <c r="D124" s="23"/>
      <c r="E124" s="24"/>
      <c r="F124" s="25"/>
      <c r="G124" s="26"/>
      <c r="H124" s="27"/>
    </row>
    <row r="125" spans="2:8" ht="24" customHeight="1" x14ac:dyDescent="0.25">
      <c r="B125" s="17"/>
      <c r="C125" s="17"/>
      <c r="D125" s="17"/>
      <c r="E125" s="18"/>
      <c r="F125" s="20">
        <v>0</v>
      </c>
      <c r="G125" s="20">
        <v>0</v>
      </c>
      <c r="H125" s="21"/>
    </row>
    <row r="126" spans="2:8" ht="24" customHeight="1" x14ac:dyDescent="0.25">
      <c r="B126" s="30" t="s">
        <v>186</v>
      </c>
      <c r="C126" s="17"/>
      <c r="D126" s="17"/>
      <c r="E126" s="18"/>
      <c r="F126" s="35" t="s">
        <v>188</v>
      </c>
      <c r="G126" s="35" t="s">
        <v>188</v>
      </c>
      <c r="H126" s="21"/>
    </row>
    <row r="127" spans="2:8" ht="24" customHeight="1" x14ac:dyDescent="0.25">
      <c r="B127" s="17"/>
      <c r="C127" s="17"/>
      <c r="D127" s="17"/>
      <c r="E127" s="18"/>
      <c r="F127" s="19"/>
      <c r="G127" s="20"/>
      <c r="H127" s="21"/>
    </row>
    <row r="128" spans="2:8" ht="24" customHeight="1" x14ac:dyDescent="0.25">
      <c r="B128" s="36" t="s">
        <v>189</v>
      </c>
      <c r="C128" s="37"/>
      <c r="D128" s="37"/>
      <c r="E128" s="38"/>
      <c r="F128" s="32">
        <f>F118</f>
        <v>14423.41</v>
      </c>
      <c r="G128" s="32">
        <f>G118</f>
        <v>18.110000000000007</v>
      </c>
      <c r="H128" s="33"/>
    </row>
    <row r="129" spans="2:8" ht="24" customHeight="1" x14ac:dyDescent="0.25">
      <c r="B129" s="39"/>
      <c r="C129" s="40"/>
      <c r="D129" s="40"/>
      <c r="E129" s="41"/>
      <c r="F129" s="42"/>
      <c r="G129" s="43"/>
      <c r="H129" s="33"/>
    </row>
    <row r="130" spans="2:8" ht="24" customHeight="1" x14ac:dyDescent="0.25">
      <c r="B130" s="22" t="s">
        <v>241</v>
      </c>
      <c r="C130" s="23"/>
      <c r="D130" s="23"/>
      <c r="E130" s="44"/>
      <c r="F130" s="25"/>
      <c r="G130" s="26"/>
      <c r="H130" s="27"/>
    </row>
    <row r="131" spans="2:8" ht="24" customHeight="1" x14ac:dyDescent="0.25">
      <c r="B131" s="17" t="s">
        <v>242</v>
      </c>
      <c r="C131" s="17" t="s">
        <v>243</v>
      </c>
      <c r="D131" s="17" t="s">
        <v>57</v>
      </c>
      <c r="E131" s="18">
        <v>104440</v>
      </c>
      <c r="F131" s="19">
        <v>10.81</v>
      </c>
      <c r="G131" s="20">
        <v>0.01</v>
      </c>
      <c r="H131" s="21"/>
    </row>
    <row r="132" spans="2:8" ht="24" customHeight="1" x14ac:dyDescent="0.25">
      <c r="B132" s="30" t="s">
        <v>186</v>
      </c>
      <c r="C132" s="30"/>
      <c r="D132" s="30"/>
      <c r="E132" s="31"/>
      <c r="F132" s="32">
        <f>F131</f>
        <v>10.81</v>
      </c>
      <c r="G132" s="32">
        <f>G131</f>
        <v>0.01</v>
      </c>
      <c r="H132" s="33"/>
    </row>
    <row r="133" spans="2:8" ht="24" customHeight="1" x14ac:dyDescent="0.25">
      <c r="B133" s="45"/>
      <c r="C133" s="45"/>
      <c r="D133" s="45"/>
      <c r="E133" s="41"/>
      <c r="F133" s="42"/>
      <c r="G133" s="43"/>
      <c r="H133" s="33"/>
    </row>
    <row r="134" spans="2:8" ht="24" customHeight="1" x14ac:dyDescent="0.25">
      <c r="B134" s="36" t="s">
        <v>189</v>
      </c>
      <c r="C134" s="37"/>
      <c r="D134" s="37"/>
      <c r="E134" s="38"/>
      <c r="F134" s="32">
        <f>F132</f>
        <v>10.81</v>
      </c>
      <c r="G134" s="32">
        <f>G132</f>
        <v>0.01</v>
      </c>
      <c r="H134" s="33"/>
    </row>
    <row r="135" spans="2:8" ht="24" customHeight="1" x14ac:dyDescent="0.25">
      <c r="B135" s="17"/>
      <c r="C135" s="17"/>
      <c r="D135" s="17"/>
      <c r="E135" s="18"/>
      <c r="F135" s="19"/>
      <c r="G135" s="20"/>
      <c r="H135" s="21"/>
    </row>
    <row r="136" spans="2:8" ht="24" customHeight="1" x14ac:dyDescent="0.25">
      <c r="B136" s="11" t="s">
        <v>244</v>
      </c>
      <c r="C136" s="12"/>
      <c r="D136" s="12"/>
      <c r="E136" s="13"/>
      <c r="F136" s="14"/>
      <c r="G136" s="15"/>
      <c r="H136" s="16"/>
    </row>
    <row r="137" spans="2:8" ht="24" customHeight="1" x14ac:dyDescent="0.25">
      <c r="B137" s="17"/>
      <c r="C137" s="17"/>
      <c r="D137" s="17"/>
      <c r="E137" s="18"/>
      <c r="F137" s="19"/>
      <c r="G137" s="20"/>
      <c r="H137" s="21"/>
    </row>
    <row r="138" spans="2:8" ht="24" customHeight="1" x14ac:dyDescent="0.25">
      <c r="B138" s="22" t="s">
        <v>245</v>
      </c>
      <c r="C138" s="23"/>
      <c r="D138" s="23"/>
      <c r="E138" s="24"/>
      <c r="F138" s="25"/>
      <c r="G138" s="26"/>
      <c r="H138" s="27"/>
    </row>
    <row r="139" spans="2:8" ht="24" customHeight="1" x14ac:dyDescent="0.25">
      <c r="B139" s="17" t="s">
        <v>246</v>
      </c>
      <c r="C139" s="17" t="s">
        <v>247</v>
      </c>
      <c r="D139" s="17" t="s">
        <v>248</v>
      </c>
      <c r="E139" s="18">
        <v>1400000</v>
      </c>
      <c r="F139" s="19">
        <v>1318.88</v>
      </c>
      <c r="G139" s="20">
        <v>1.65</v>
      </c>
      <c r="H139" s="21">
        <v>7.7949999999999999</v>
      </c>
    </row>
    <row r="140" spans="2:8" ht="24" customHeight="1" x14ac:dyDescent="0.25">
      <c r="B140" s="17" t="s">
        <v>249</v>
      </c>
      <c r="C140" s="17" t="s">
        <v>250</v>
      </c>
      <c r="D140" s="17" t="s">
        <v>251</v>
      </c>
      <c r="E140" s="18">
        <v>1000000</v>
      </c>
      <c r="F140" s="19">
        <v>949.5</v>
      </c>
      <c r="G140" s="20">
        <v>1.19</v>
      </c>
      <c r="H140" s="21">
        <v>7.7971000000000004</v>
      </c>
    </row>
    <row r="141" spans="2:8" ht="24" customHeight="1" x14ac:dyDescent="0.25">
      <c r="B141" s="17" t="s">
        <v>252</v>
      </c>
      <c r="C141" s="17" t="s">
        <v>253</v>
      </c>
      <c r="D141" s="17" t="s">
        <v>251</v>
      </c>
      <c r="E141" s="18">
        <v>500000</v>
      </c>
      <c r="F141" s="19">
        <v>499.1</v>
      </c>
      <c r="G141" s="20">
        <v>0.63</v>
      </c>
      <c r="H141" s="21">
        <v>6.0000999999999998</v>
      </c>
    </row>
    <row r="142" spans="2:8" ht="24" customHeight="1" x14ac:dyDescent="0.25">
      <c r="B142" s="17" t="s">
        <v>254</v>
      </c>
      <c r="C142" s="17" t="s">
        <v>255</v>
      </c>
      <c r="D142" s="17" t="s">
        <v>251</v>
      </c>
      <c r="E142" s="18">
        <v>500000</v>
      </c>
      <c r="F142" s="19">
        <v>483.49</v>
      </c>
      <c r="G142" s="20">
        <v>0.61</v>
      </c>
      <c r="H142" s="21">
        <v>7.89</v>
      </c>
    </row>
    <row r="143" spans="2:8" ht="24" customHeight="1" x14ac:dyDescent="0.25">
      <c r="B143" s="30" t="s">
        <v>186</v>
      </c>
      <c r="C143" s="30"/>
      <c r="D143" s="30"/>
      <c r="E143" s="31"/>
      <c r="F143" s="32">
        <v>3250.97</v>
      </c>
      <c r="G143" s="46">
        <v>4.08</v>
      </c>
      <c r="H143" s="33"/>
    </row>
    <row r="144" spans="2:8" ht="24" customHeight="1" x14ac:dyDescent="0.25">
      <c r="B144" s="17"/>
      <c r="C144" s="17"/>
      <c r="D144" s="17"/>
      <c r="E144" s="18"/>
      <c r="F144" s="19"/>
      <c r="G144" s="20"/>
      <c r="H144" s="21"/>
    </row>
    <row r="145" spans="2:8" ht="24" customHeight="1" x14ac:dyDescent="0.25">
      <c r="B145" s="22" t="s">
        <v>256</v>
      </c>
      <c r="C145" s="23"/>
      <c r="D145" s="23"/>
      <c r="E145" s="24"/>
      <c r="F145" s="25"/>
      <c r="G145" s="26"/>
      <c r="H145" s="27"/>
    </row>
    <row r="146" spans="2:8" ht="24" customHeight="1" x14ac:dyDescent="0.25">
      <c r="B146" s="17" t="s">
        <v>257</v>
      </c>
      <c r="C146" s="17" t="s">
        <v>258</v>
      </c>
      <c r="D146" s="17" t="s">
        <v>251</v>
      </c>
      <c r="E146" s="18">
        <v>1500000</v>
      </c>
      <c r="F146" s="19">
        <v>1405.05</v>
      </c>
      <c r="G146" s="20">
        <v>1.76</v>
      </c>
      <c r="H146" s="21">
        <v>8.5649999999999995</v>
      </c>
    </row>
    <row r="147" spans="2:8" ht="24" customHeight="1" x14ac:dyDescent="0.25">
      <c r="B147" s="17" t="s">
        <v>259</v>
      </c>
      <c r="C147" s="17" t="s">
        <v>260</v>
      </c>
      <c r="D147" s="17" t="s">
        <v>251</v>
      </c>
      <c r="E147" s="18">
        <v>1000000</v>
      </c>
      <c r="F147" s="19">
        <v>945.32</v>
      </c>
      <c r="G147" s="20">
        <v>1.19</v>
      </c>
      <c r="H147" s="21">
        <v>8.7599</v>
      </c>
    </row>
    <row r="148" spans="2:8" ht="24" customHeight="1" x14ac:dyDescent="0.25">
      <c r="B148" s="17" t="s">
        <v>261</v>
      </c>
      <c r="C148" s="17" t="s">
        <v>262</v>
      </c>
      <c r="D148" s="17" t="s">
        <v>251</v>
      </c>
      <c r="E148" s="18">
        <v>500000</v>
      </c>
      <c r="F148" s="19">
        <v>481.07</v>
      </c>
      <c r="G148" s="20">
        <v>0.6</v>
      </c>
      <c r="H148" s="21">
        <v>8.5</v>
      </c>
    </row>
    <row r="149" spans="2:8" ht="24" customHeight="1" x14ac:dyDescent="0.25">
      <c r="B149" s="30" t="s">
        <v>186</v>
      </c>
      <c r="C149" s="30"/>
      <c r="D149" s="30"/>
      <c r="E149" s="31"/>
      <c r="F149" s="32">
        <v>2831.44</v>
      </c>
      <c r="G149" s="46">
        <v>3.55</v>
      </c>
      <c r="H149" s="33"/>
    </row>
    <row r="150" spans="2:8" ht="24" customHeight="1" x14ac:dyDescent="0.25">
      <c r="B150" s="17"/>
      <c r="C150" s="17"/>
      <c r="D150" s="17"/>
      <c r="E150" s="18"/>
      <c r="F150" s="19"/>
      <c r="G150" s="20"/>
      <c r="H150" s="21"/>
    </row>
    <row r="151" spans="2:8" ht="24" customHeight="1" x14ac:dyDescent="0.25">
      <c r="B151" s="36" t="s">
        <v>189</v>
      </c>
      <c r="C151" s="37"/>
      <c r="D151" s="37"/>
      <c r="E151" s="38"/>
      <c r="F151" s="32">
        <v>6082.41</v>
      </c>
      <c r="G151" s="46">
        <v>7.63</v>
      </c>
      <c r="H151" s="33"/>
    </row>
    <row r="152" spans="2:8" ht="24" customHeight="1" x14ac:dyDescent="0.25">
      <c r="B152" s="17"/>
      <c r="C152" s="17"/>
      <c r="D152" s="17"/>
      <c r="E152" s="18"/>
      <c r="F152" s="19"/>
      <c r="G152" s="20"/>
      <c r="H152" s="21"/>
    </row>
    <row r="153" spans="2:8" ht="24" customHeight="1" x14ac:dyDescent="0.25">
      <c r="B153" s="17"/>
      <c r="C153" s="17"/>
      <c r="D153" s="17"/>
      <c r="E153" s="18"/>
      <c r="F153" s="19"/>
      <c r="G153" s="20"/>
      <c r="H153" s="21"/>
    </row>
    <row r="154" spans="2:8" ht="24" customHeight="1" x14ac:dyDescent="0.25">
      <c r="B154" s="11" t="s">
        <v>263</v>
      </c>
      <c r="C154" s="12"/>
      <c r="D154" s="12"/>
      <c r="E154" s="13"/>
      <c r="F154" s="14"/>
      <c r="G154" s="15"/>
      <c r="H154" s="16"/>
    </row>
    <row r="155" spans="2:8" ht="24" customHeight="1" x14ac:dyDescent="0.25">
      <c r="B155" s="17" t="s">
        <v>264</v>
      </c>
      <c r="C155" s="17"/>
      <c r="D155" s="17"/>
      <c r="E155" s="18"/>
      <c r="F155" s="19">
        <v>1031.75</v>
      </c>
      <c r="G155" s="20">
        <v>1.29</v>
      </c>
      <c r="H155" s="21"/>
    </row>
    <row r="156" spans="2:8" ht="24" customHeight="1" x14ac:dyDescent="0.25">
      <c r="B156" s="17" t="s">
        <v>264</v>
      </c>
      <c r="C156" s="17"/>
      <c r="D156" s="17"/>
      <c r="E156" s="18"/>
      <c r="F156" s="19">
        <v>597.39</v>
      </c>
      <c r="G156" s="20">
        <v>0.75</v>
      </c>
      <c r="H156" s="21"/>
    </row>
    <row r="157" spans="2:8" ht="24" customHeight="1" x14ac:dyDescent="0.25">
      <c r="B157" s="30" t="s">
        <v>186</v>
      </c>
      <c r="C157" s="30"/>
      <c r="D157" s="30"/>
      <c r="E157" s="31"/>
      <c r="F157" s="32">
        <v>1629.14</v>
      </c>
      <c r="G157" s="46">
        <v>2.04</v>
      </c>
      <c r="H157" s="33"/>
    </row>
    <row r="158" spans="2:8" ht="24" customHeight="1" x14ac:dyDescent="0.25">
      <c r="B158" s="17"/>
      <c r="C158" s="17"/>
      <c r="D158" s="17"/>
      <c r="E158" s="18"/>
      <c r="F158" s="19"/>
      <c r="G158" s="20"/>
      <c r="H158" s="21"/>
    </row>
    <row r="159" spans="2:8" ht="24" customHeight="1" x14ac:dyDescent="0.25">
      <c r="B159" s="36" t="s">
        <v>189</v>
      </c>
      <c r="C159" s="37"/>
      <c r="D159" s="37"/>
      <c r="E159" s="38"/>
      <c r="F159" s="32">
        <v>1629.14</v>
      </c>
      <c r="G159" s="46">
        <v>2.04</v>
      </c>
      <c r="H159" s="33"/>
    </row>
    <row r="160" spans="2:8" ht="24" customHeight="1" x14ac:dyDescent="0.25">
      <c r="B160" s="17"/>
      <c r="C160" s="17"/>
      <c r="D160" s="17"/>
      <c r="E160" s="18"/>
      <c r="F160" s="19"/>
      <c r="G160" s="20"/>
      <c r="H160" s="21"/>
    </row>
    <row r="161" spans="2:8" ht="24" customHeight="1" x14ac:dyDescent="0.25">
      <c r="B161" s="17" t="s">
        <v>265</v>
      </c>
      <c r="C161" s="17"/>
      <c r="D161" s="17"/>
      <c r="E161" s="18"/>
      <c r="F161" s="19">
        <v>7.63</v>
      </c>
      <c r="G161" s="20">
        <v>-0.05</v>
      </c>
      <c r="H161" s="21"/>
    </row>
    <row r="162" spans="2:8" ht="24" customHeight="1" x14ac:dyDescent="0.25">
      <c r="B162" s="17"/>
      <c r="C162" s="17"/>
      <c r="D162" s="17"/>
      <c r="E162" s="18"/>
      <c r="F162" s="19"/>
      <c r="G162" s="20"/>
      <c r="H162" s="21"/>
    </row>
    <row r="163" spans="2:8" ht="24" customHeight="1" x14ac:dyDescent="0.25">
      <c r="B163" s="36" t="s">
        <v>266</v>
      </c>
      <c r="C163" s="37"/>
      <c r="D163" s="37"/>
      <c r="E163" s="38"/>
      <c r="F163" s="32">
        <v>79762.789999999994</v>
      </c>
      <c r="G163" s="46">
        <v>100</v>
      </c>
      <c r="H163" s="47"/>
    </row>
    <row r="164" spans="2:8" ht="24" customHeight="1" x14ac:dyDescent="0.25">
      <c r="B164" s="4"/>
    </row>
    <row r="165" spans="2:8" ht="24" customHeight="1" x14ac:dyDescent="0.25">
      <c r="B165" s="50" t="s">
        <v>267</v>
      </c>
    </row>
    <row r="166" spans="2:8" ht="24" customHeight="1" x14ac:dyDescent="0.25">
      <c r="B166" s="50" t="s">
        <v>268</v>
      </c>
      <c r="F166" s="51"/>
      <c r="G166" s="51"/>
    </row>
    <row r="168" spans="2:8" ht="24" customHeight="1" x14ac:dyDescent="0.25">
      <c r="F168" s="51"/>
      <c r="G168" s="51"/>
    </row>
    <row r="172" spans="2:8" ht="24" customHeight="1" x14ac:dyDescent="0.25">
      <c r="B172" s="40" t="s">
        <v>269</v>
      </c>
    </row>
    <row r="173" spans="2:8" ht="24" customHeight="1" x14ac:dyDescent="0.25">
      <c r="B173" s="48" t="s">
        <v>270</v>
      </c>
    </row>
    <row r="174" spans="2:8" ht="24" customHeight="1" x14ac:dyDescent="0.25">
      <c r="B174" s="52" t="s">
        <v>271</v>
      </c>
      <c r="C174" s="53">
        <v>46142</v>
      </c>
      <c r="D174" s="54">
        <v>46171</v>
      </c>
    </row>
    <row r="175" spans="2:8" ht="24" customHeight="1" x14ac:dyDescent="0.25">
      <c r="B175" s="55" t="s">
        <v>272</v>
      </c>
      <c r="C175" s="56" t="s">
        <v>273</v>
      </c>
      <c r="D175" s="57" t="s">
        <v>273</v>
      </c>
      <c r="E175" s="4"/>
      <c r="F175" s="4"/>
      <c r="G175" s="4"/>
      <c r="H175" s="4"/>
    </row>
    <row r="176" spans="2:8" ht="24" customHeight="1" x14ac:dyDescent="0.25">
      <c r="B176" s="58" t="s">
        <v>274</v>
      </c>
      <c r="C176" s="59">
        <v>16.239999999999998</v>
      </c>
      <c r="D176" s="60">
        <v>16.12</v>
      </c>
      <c r="E176" s="4"/>
      <c r="F176" s="4"/>
      <c r="G176" s="4"/>
      <c r="H176" s="4"/>
    </row>
    <row r="177" spans="2:8" ht="24" customHeight="1" x14ac:dyDescent="0.25">
      <c r="B177" s="58" t="s">
        <v>275</v>
      </c>
      <c r="C177" s="59">
        <v>10.7</v>
      </c>
      <c r="D177" s="60">
        <v>10.62</v>
      </c>
      <c r="E177" s="4"/>
      <c r="F177" s="4"/>
      <c r="G177" s="4"/>
      <c r="H177" s="4"/>
    </row>
    <row r="178" spans="2:8" ht="24" customHeight="1" x14ac:dyDescent="0.25">
      <c r="B178" s="55" t="s">
        <v>276</v>
      </c>
      <c r="C178" s="56"/>
      <c r="D178" s="57"/>
      <c r="E178" s="4"/>
      <c r="F178" s="4"/>
      <c r="G178" s="4"/>
      <c r="H178" s="4"/>
    </row>
    <row r="179" spans="2:8" ht="24" customHeight="1" x14ac:dyDescent="0.25">
      <c r="B179" s="58" t="s">
        <v>274</v>
      </c>
      <c r="C179" s="59">
        <v>14.83</v>
      </c>
      <c r="D179" s="60">
        <v>14.7</v>
      </c>
      <c r="E179" s="4"/>
      <c r="F179" s="4"/>
      <c r="G179" s="4"/>
      <c r="H179" s="4"/>
    </row>
    <row r="180" spans="2:8" ht="24" customHeight="1" x14ac:dyDescent="0.25">
      <c r="B180" s="61" t="s">
        <v>275</v>
      </c>
      <c r="C180" s="62">
        <v>10.56</v>
      </c>
      <c r="D180" s="63">
        <v>10.47</v>
      </c>
      <c r="E180" s="4"/>
      <c r="F180" s="4"/>
      <c r="G180" s="4"/>
      <c r="H180" s="4"/>
    </row>
    <row r="181" spans="2:8" ht="24" customHeight="1" x14ac:dyDescent="0.25">
      <c r="C181" s="64"/>
      <c r="D181" s="64"/>
      <c r="E181" s="4"/>
      <c r="F181" s="4"/>
      <c r="G181" s="4"/>
      <c r="H181" s="4"/>
    </row>
    <row r="182" spans="2:8" ht="24" customHeight="1" x14ac:dyDescent="0.25">
      <c r="B182" s="48" t="s">
        <v>277</v>
      </c>
      <c r="D182" s="29" t="s">
        <v>188</v>
      </c>
    </row>
    <row r="184" spans="2:8" ht="24" customHeight="1" x14ac:dyDescent="0.25">
      <c r="B184" s="48" t="s">
        <v>278</v>
      </c>
      <c r="D184" s="29" t="s">
        <v>188</v>
      </c>
    </row>
    <row r="186" spans="2:8" ht="24" customHeight="1" x14ac:dyDescent="0.25">
      <c r="B186" s="48" t="s">
        <v>279</v>
      </c>
      <c r="D186" s="29" t="s">
        <v>188</v>
      </c>
    </row>
    <row r="188" spans="2:8" ht="24" customHeight="1" x14ac:dyDescent="0.25">
      <c r="B188" s="48" t="s">
        <v>280</v>
      </c>
      <c r="D188" s="29" t="s">
        <v>188</v>
      </c>
    </row>
    <row r="190" spans="2:8" ht="24" customHeight="1" x14ac:dyDescent="0.25">
      <c r="B190" s="48" t="s">
        <v>281</v>
      </c>
      <c r="D190" s="29">
        <v>0.7</v>
      </c>
    </row>
    <row r="192" spans="2:8" ht="24" customHeight="1" x14ac:dyDescent="0.25">
      <c r="B192" s="48" t="s">
        <v>282</v>
      </c>
      <c r="D192" s="29" t="s">
        <v>188</v>
      </c>
    </row>
    <row r="194" spans="2:4" ht="24" customHeight="1" x14ac:dyDescent="0.25">
      <c r="B194" s="48" t="s">
        <v>283</v>
      </c>
      <c r="D194" s="29" t="s">
        <v>188</v>
      </c>
    </row>
    <row r="195" spans="2:4" ht="24" customHeight="1" x14ac:dyDescent="0.25">
      <c r="B195" s="48" t="s">
        <v>284</v>
      </c>
      <c r="D195" s="29" t="s">
        <v>188</v>
      </c>
    </row>
    <row r="197" spans="2:4" ht="24" customHeight="1" x14ac:dyDescent="0.25">
      <c r="B197" s="65" t="s">
        <v>285</v>
      </c>
      <c r="D197" s="29" t="s">
        <v>188</v>
      </c>
    </row>
    <row r="199" spans="2:4" ht="24" customHeight="1" x14ac:dyDescent="0.25">
      <c r="B199" s="48" t="s">
        <v>286</v>
      </c>
      <c r="D199" s="29" t="s">
        <v>188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Balanced Advantage</vt:lpstr>
      <vt:lpstr>'Balanced Advantage'!Hedging_Positions_through_Futures_AS_ON_MMMM_DD__YYYY___NIL</vt:lpstr>
      <vt:lpstr>'Balanced Advantage'!JPM_Footer_disp</vt:lpstr>
      <vt:lpstr>'Balanced Advantage'!JPM_Footer_disp12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2026-06-08T10:01:37Z</dcterms:modified>
</cp:coreProperties>
</file>