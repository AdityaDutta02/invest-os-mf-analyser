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000F3E2E-EF45-47CD-B099-7A7B986F8A57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Cap'!$B$118:$D$123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Cap'!$L$97:$M$113</definedName>
    <definedName name="JPM_Footer_disp" localSheetId="0">'Large Cap'!$L$103:$M$113</definedName>
    <definedName name="JPM_Footer_disp12" localSheetId="0">'Large Cap'!$L$97:$M$115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" i="2" l="1"/>
  <c r="G87" i="2" s="1"/>
  <c r="F85" i="2"/>
  <c r="F87" i="2" s="1"/>
</calcChain>
</file>

<file path=xl/sharedStrings.xml><?xml version="1.0" encoding="utf-8"?>
<sst xmlns="http://schemas.openxmlformats.org/spreadsheetml/2006/main" count="223" uniqueCount="173">
  <si>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</si>
  <si>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</si>
  <si>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</si>
  <si>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</si>
  <si>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</si>
  <si>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</si>
  <si>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</si>
  <si>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</si>
  <si>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</si>
  <si>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</si>
  <si>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</si>
  <si>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</si>
  <si>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</si>
  <si>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</si>
  <si>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</si>
  <si>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</si>
  <si>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</si>
  <si>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</si>
  <si>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</si>
  <si>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</si>
  <si>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</si>
  <si>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</si>
  <si>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</si>
  <si>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</si>
  <si>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</si>
  <si>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</si>
  <si>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</si>
  <si>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</si>
  <si>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</si>
  <si>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</si>
  <si>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</si>
  <si>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</si>
  <si>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IT - Software</t>
  </si>
  <si>
    <t>InterGlobe Aviation Ltd.</t>
  </si>
  <si>
    <t>INE646L01027</t>
  </si>
  <si>
    <t>Transport Services</t>
  </si>
  <si>
    <t>Bajaj Finance Ltd.</t>
  </si>
  <si>
    <t>INE296A01032</t>
  </si>
  <si>
    <t>Finance</t>
  </si>
  <si>
    <t>Eternal Ltd.</t>
  </si>
  <si>
    <t>INE758T01015</t>
  </si>
  <si>
    <t>Retailing</t>
  </si>
  <si>
    <t>TVS Motor Company Ltd.</t>
  </si>
  <si>
    <t>INE494B01023</t>
  </si>
  <si>
    <t>Automobiles</t>
  </si>
  <si>
    <t>Maruti Suzuki India Ltd.</t>
  </si>
  <si>
    <t>INE585B01010</t>
  </si>
  <si>
    <t>VARUN BEVERAGES LIMITED</t>
  </si>
  <si>
    <t>INE200M01039</t>
  </si>
  <si>
    <t>Beverages</t>
  </si>
  <si>
    <t>Ultratech Cement Ltd.</t>
  </si>
  <si>
    <t>INE481G01011</t>
  </si>
  <si>
    <t>Cement &amp; Cement Products</t>
  </si>
  <si>
    <t>Mahindra &amp; Mahindra Ltd.</t>
  </si>
  <si>
    <t>INE101A01026</t>
  </si>
  <si>
    <t>Muthoot Finance Ltd.</t>
  </si>
  <si>
    <t>INE414G01012</t>
  </si>
  <si>
    <t>Infosys Ltd.</t>
  </si>
  <si>
    <t>INE009A01021</t>
  </si>
  <si>
    <t>Titan Company Ltd.</t>
  </si>
  <si>
    <t>INE280A01028</t>
  </si>
  <si>
    <t>Consumer Durables</t>
  </si>
  <si>
    <t>Divi's Laboratories Ltd.</t>
  </si>
  <si>
    <t>INE361B01024</t>
  </si>
  <si>
    <t>Pharmaceuticals &amp; Biotechnology</t>
  </si>
  <si>
    <t>NTPC Ltd.</t>
  </si>
  <si>
    <t>INE733E01010</t>
  </si>
  <si>
    <t>Power</t>
  </si>
  <si>
    <t>Tata Capital Ltd.</t>
  </si>
  <si>
    <t>INE976I01016</t>
  </si>
  <si>
    <t>CG Power and Industrial Solutions Ltd.</t>
  </si>
  <si>
    <t>INE067A01029</t>
  </si>
  <si>
    <t>Electrical Equipment</t>
  </si>
  <si>
    <t>ICICI Lombard General Insurance Co. Ltd.</t>
  </si>
  <si>
    <t>INE765G01017</t>
  </si>
  <si>
    <t>Insurance</t>
  </si>
  <si>
    <t>Kotak Mahindra Bank Ltd.</t>
  </si>
  <si>
    <t>INE237A01028</t>
  </si>
  <si>
    <t>Prestige Estates Projects Ltd.</t>
  </si>
  <si>
    <t>INE811K01011</t>
  </si>
  <si>
    <t>Realty</t>
  </si>
  <si>
    <t>Mankind Pharma Ltd.</t>
  </si>
  <si>
    <t>INE634S01028</t>
  </si>
  <si>
    <t>Persistent Systems Ltd.</t>
  </si>
  <si>
    <t>INE262H01021</t>
  </si>
  <si>
    <t>Cummins India Ltd.</t>
  </si>
  <si>
    <t>INE298A01020</t>
  </si>
  <si>
    <t>Industrial Products</t>
  </si>
  <si>
    <t>PB Fintech Ltd.</t>
  </si>
  <si>
    <t>INE417T01026</t>
  </si>
  <si>
    <t>Financial Technology (Fintech)</t>
  </si>
  <si>
    <t>Britannia Industries Ltd.</t>
  </si>
  <si>
    <t>INE216A01030</t>
  </si>
  <si>
    <t>Food Products</t>
  </si>
  <si>
    <t>Tech Mahindra Ltd.</t>
  </si>
  <si>
    <t>INE669C01036</t>
  </si>
  <si>
    <t>ITC Ltd.</t>
  </si>
  <si>
    <t>INE154A01025</t>
  </si>
  <si>
    <t>Diversified FMCG</t>
  </si>
  <si>
    <t>United Spirits Ltd.</t>
  </si>
  <si>
    <t>INE854D01024</t>
  </si>
  <si>
    <t>Solar Industries India Ltd.</t>
  </si>
  <si>
    <t>INE343H01029</t>
  </si>
  <si>
    <t>Chemicals &amp; Petrochemicals</t>
  </si>
  <si>
    <t>Dr. Reddy's Laboratories Ltd.</t>
  </si>
  <si>
    <t>INE089A01031</t>
  </si>
  <si>
    <t>Dixon Technologies (India) Ltd.</t>
  </si>
  <si>
    <t>INE935N01020</t>
  </si>
  <si>
    <t>HDFC Life Insurance Company Ltd.</t>
  </si>
  <si>
    <t>INE795G01014</t>
  </si>
  <si>
    <t>The Indian Hotels Company Ltd.</t>
  </si>
  <si>
    <t>INE053A01029</t>
  </si>
  <si>
    <t>Leisure Services</t>
  </si>
  <si>
    <t>LG Electronics India Ltd.</t>
  </si>
  <si>
    <t>INE324D01010</t>
  </si>
  <si>
    <t>Sun Pharmaceutical Industries Ltd.</t>
  </si>
  <si>
    <t>INE044A01036</t>
  </si>
  <si>
    <t>Samvardhana Motherson International Ltd.</t>
  </si>
  <si>
    <t>INE775A01035</t>
  </si>
  <si>
    <t>Auto Components</t>
  </si>
  <si>
    <t>Hindustan Aeronautics Ltd.</t>
  </si>
  <si>
    <t>INE066F01020</t>
  </si>
  <si>
    <t>Aerospace &amp; Defense</t>
  </si>
  <si>
    <t>Vishal Mega Mart Ltd</t>
  </si>
  <si>
    <t>INE01EA01019</t>
  </si>
  <si>
    <t>Axis Bank Ltd.</t>
  </si>
  <si>
    <t>INE238A01034</t>
  </si>
  <si>
    <t>Hindalco Industries Ltd.</t>
  </si>
  <si>
    <t>INE038A01020</t>
  </si>
  <si>
    <t>Non - Ferrous Metals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</si>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</sst>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_-* #,##0.00_-;\-* #,##0.00_-;_-* &quot;-&quot;??_-;_-@_-"/>
    <numFmt numFmtId="168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2" applyNumberFormat="1" applyFont="1" applyFill="1" applyBorder="1" applyAlignment="1">
      <alignment vertical="center"/>
    </xf>
    <xf numFmtId="4" fontId="4" fillId="0" borderId="2" xfId="2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43" fontId="3" fillId="0" borderId="9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top"/>
    </xf>
    <xf numFmtId="0" fontId="6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43" fontId="4" fillId="0" borderId="0" xfId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8" fontId="7" fillId="5" borderId="11" xfId="0" applyNumberFormat="1" applyFont="1" applyFill="1" applyBorder="1" applyAlignment="1">
      <alignment horizontal="center" vertical="center"/>
    </xf>
    <xf numFmtId="168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</cellXfs>
  <cellStyles count="5">
    <cellStyle name="Comma" xfId="1" builtinId="3"/>
    <cellStyle name="Hyperlink" xfId="3" builtinId="8"/>
    <cellStyle name="Normal" xfId="0" builtinId="0"/>
    <cellStyle name="Normal 2" xfId="4" xr:uid="{0E57981B-0E1D-4DBF-805E-8E8B10DAF9D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1</xdr:col>
      <xdr:colOff>2847975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15DCC-2E0C-4F1D-8FA6-62C0B2140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52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2</xdr:row>
      <xdr:rowOff>276225</xdr:rowOff>
    </xdr:from>
    <xdr:to>
      <xdr:col>6</xdr:col>
      <xdr:colOff>971550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0DE7A7-66D1-4D6D-A5A6-38AC446E7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3B94-909C-4E27-A7CC-CAC0A1551ACA}">
  <sheetPr>
    <tabColor rgb="FFC00000"/>
  </sheetPr>
  <dimension ref="B1:M144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7" customWidth="1"/>
    <col min="3" max="3" width="16.54296875" style="47" bestFit="1" customWidth="1"/>
    <col min="4" max="4" width="26.6328125" style="47" customWidth="1"/>
    <col min="5" max="5" width="15.26953125" style="2" customWidth="1"/>
    <col min="6" max="6" width="16.453125" style="2" customWidth="1"/>
    <col min="7" max="7" width="15.26953125" style="48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592114</v>
      </c>
      <c r="F16" s="19">
        <v>5845.94</v>
      </c>
      <c r="G16" s="20">
        <v>9.6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395964</v>
      </c>
      <c r="F17" s="19">
        <v>5326.9</v>
      </c>
      <c r="G17" s="20">
        <v>8.75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344534</v>
      </c>
      <c r="F18" s="19">
        <v>5121.1499999999996</v>
      </c>
      <c r="G18" s="20">
        <v>8.41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142657</v>
      </c>
      <c r="F19" s="19">
        <v>2930.89</v>
      </c>
      <c r="G19" s="20">
        <v>4.8099999999999996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58972</v>
      </c>
      <c r="F20" s="19">
        <v>2377.1</v>
      </c>
      <c r="G20" s="20">
        <v>3.9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71803</v>
      </c>
      <c r="F21" s="19">
        <v>2195.7399999999998</v>
      </c>
      <c r="G21" s="20">
        <v>3.61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34790</v>
      </c>
      <c r="F22" s="19">
        <v>1956.94</v>
      </c>
      <c r="G22" s="20">
        <v>3.21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180279</v>
      </c>
      <c r="F23" s="19">
        <v>1879.95</v>
      </c>
      <c r="G23" s="20">
        <v>3.09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588298</v>
      </c>
      <c r="F24" s="19">
        <v>1869.32</v>
      </c>
      <c r="G24" s="20">
        <v>3.07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48600</v>
      </c>
      <c r="F25" s="19">
        <v>1705.23</v>
      </c>
      <c r="G25" s="20">
        <v>2.8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44</v>
      </c>
      <c r="E26" s="18">
        <v>10254</v>
      </c>
      <c r="F26" s="19">
        <v>1659.71</v>
      </c>
      <c r="G26" s="20">
        <v>2.73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330289</v>
      </c>
      <c r="F27" s="19">
        <v>1551.2</v>
      </c>
      <c r="G27" s="20">
        <v>2.5499999999999998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11792</v>
      </c>
      <c r="F28" s="19">
        <v>1408.79</v>
      </c>
      <c r="G28" s="20">
        <v>2.31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44</v>
      </c>
      <c r="E29" s="18">
        <v>40030</v>
      </c>
      <c r="F29" s="19">
        <v>1395.93</v>
      </c>
      <c r="G29" s="20">
        <v>2.29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38</v>
      </c>
      <c r="E30" s="18">
        <v>38862</v>
      </c>
      <c r="F30" s="19">
        <v>1235.31</v>
      </c>
      <c r="G30" s="20">
        <v>2.0299999999999998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32</v>
      </c>
      <c r="E31" s="18">
        <v>79821</v>
      </c>
      <c r="F31" s="19">
        <v>1183.19</v>
      </c>
      <c r="G31" s="20">
        <v>1.94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30190</v>
      </c>
      <c r="F32" s="19">
        <v>1131.1300000000001</v>
      </c>
      <c r="G32" s="20">
        <v>1.86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16380</v>
      </c>
      <c r="F33" s="19">
        <v>1103.68</v>
      </c>
      <c r="G33" s="20">
        <v>1.81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317000</v>
      </c>
      <c r="F34" s="19">
        <v>1068.1300000000001</v>
      </c>
      <c r="G34" s="20">
        <v>1.75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38</v>
      </c>
      <c r="E35" s="18">
        <v>322460</v>
      </c>
      <c r="F35" s="19">
        <v>1055.4100000000001</v>
      </c>
      <c r="G35" s="20">
        <v>1.73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136373</v>
      </c>
      <c r="F36" s="19">
        <v>1004.59</v>
      </c>
      <c r="G36" s="20">
        <v>1.65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50288</v>
      </c>
      <c r="F37" s="19">
        <v>1002.59</v>
      </c>
      <c r="G37" s="20">
        <v>1.65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18</v>
      </c>
      <c r="E38" s="18">
        <v>41895</v>
      </c>
      <c r="F38" s="19">
        <v>880.72</v>
      </c>
      <c r="G38" s="20">
        <v>1.45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80</v>
      </c>
      <c r="E39" s="18">
        <v>46706</v>
      </c>
      <c r="F39" s="19">
        <v>814.88</v>
      </c>
      <c r="G39" s="20">
        <v>1.34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64</v>
      </c>
      <c r="E40" s="18">
        <v>34023</v>
      </c>
      <c r="F40" s="19">
        <v>811.11</v>
      </c>
      <c r="G40" s="20">
        <v>1.33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32</v>
      </c>
      <c r="E41" s="18">
        <v>12360</v>
      </c>
      <c r="F41" s="19">
        <v>731.29</v>
      </c>
      <c r="G41" s="20">
        <v>1.2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16745</v>
      </c>
      <c r="F42" s="19">
        <v>727.42</v>
      </c>
      <c r="G42" s="20">
        <v>1.19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40726</v>
      </c>
      <c r="F43" s="19">
        <v>727.12</v>
      </c>
      <c r="G43" s="20">
        <v>1.19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12093</v>
      </c>
      <c r="F44" s="19">
        <v>705.81</v>
      </c>
      <c r="G44" s="20">
        <v>1.1599999999999999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32</v>
      </c>
      <c r="E45" s="18">
        <v>48871</v>
      </c>
      <c r="F45" s="19">
        <v>696.12</v>
      </c>
      <c r="G45" s="20">
        <v>1.1399999999999999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98</v>
      </c>
      <c r="E46" s="18">
        <v>157398</v>
      </c>
      <c r="F46" s="19">
        <v>661.62</v>
      </c>
      <c r="G46" s="20">
        <v>1.0900000000000001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49</v>
      </c>
      <c r="E47" s="18">
        <v>45902</v>
      </c>
      <c r="F47" s="19">
        <v>657.04</v>
      </c>
      <c r="G47" s="20">
        <v>1.08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103</v>
      </c>
      <c r="E48" s="18">
        <v>4677</v>
      </c>
      <c r="F48" s="19">
        <v>649.07000000000005</v>
      </c>
      <c r="G48" s="20">
        <v>1.07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64</v>
      </c>
      <c r="E49" s="18">
        <v>49310</v>
      </c>
      <c r="F49" s="19">
        <v>590.54</v>
      </c>
      <c r="G49" s="20">
        <v>0.97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61</v>
      </c>
      <c r="E50" s="18">
        <v>3660</v>
      </c>
      <c r="F50" s="19">
        <v>567.08000000000004</v>
      </c>
      <c r="G50" s="20">
        <v>0.93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75</v>
      </c>
      <c r="E51" s="18">
        <v>71078</v>
      </c>
      <c r="F51" s="19">
        <v>520.17999999999995</v>
      </c>
      <c r="G51" s="20">
        <v>0.85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69330</v>
      </c>
      <c r="F52" s="19">
        <v>514.29</v>
      </c>
      <c r="G52" s="20">
        <v>0.84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61</v>
      </c>
      <c r="E53" s="18">
        <v>30404</v>
      </c>
      <c r="F53" s="19">
        <v>505.8</v>
      </c>
      <c r="G53" s="20">
        <v>0.83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64</v>
      </c>
      <c r="E54" s="18">
        <v>29660</v>
      </c>
      <c r="F54" s="19">
        <v>501.46</v>
      </c>
      <c r="G54" s="20">
        <v>0.82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459600</v>
      </c>
      <c r="F55" s="19">
        <v>484.37</v>
      </c>
      <c r="G55" s="20">
        <v>0.8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9340</v>
      </c>
      <c r="F56" s="19">
        <v>437.09</v>
      </c>
      <c r="G56" s="20">
        <v>0.72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41</v>
      </c>
      <c r="E57" s="18">
        <v>298376</v>
      </c>
      <c r="F57" s="19">
        <v>431.72</v>
      </c>
      <c r="G57" s="20">
        <v>0.71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18</v>
      </c>
      <c r="E58" s="18">
        <v>34828</v>
      </c>
      <c r="F58" s="19">
        <v>429.36</v>
      </c>
      <c r="G58" s="20">
        <v>0.71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129</v>
      </c>
      <c r="E59" s="18">
        <v>40000</v>
      </c>
      <c r="F59" s="19">
        <v>339.14</v>
      </c>
      <c r="G59" s="20">
        <v>0.56000000000000005</v>
      </c>
      <c r="H59" s="21"/>
    </row>
    <row r="60" spans="2:8" ht="24" customHeight="1" x14ac:dyDescent="0.25">
      <c r="B60" s="28" t="s">
        <v>130</v>
      </c>
      <c r="C60" s="28"/>
      <c r="D60" s="28"/>
      <c r="E60" s="29"/>
      <c r="F60" s="30">
        <v>59392.05</v>
      </c>
      <c r="G60" s="31">
        <v>97.53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22" t="s">
        <v>131</v>
      </c>
      <c r="C62" s="23"/>
      <c r="D62" s="23"/>
      <c r="E62" s="24"/>
      <c r="F62" s="25"/>
      <c r="G62" s="26"/>
      <c r="H62" s="27"/>
    </row>
    <row r="63" spans="2:8" ht="24" customHeight="1" x14ac:dyDescent="0.25">
      <c r="B63" s="17"/>
      <c r="C63" s="17"/>
      <c r="D63" s="17"/>
      <c r="E63" s="18"/>
      <c r="F63" s="20">
        <v>0</v>
      </c>
      <c r="G63" s="20">
        <v>0</v>
      </c>
      <c r="H63" s="21"/>
    </row>
    <row r="64" spans="2:8" ht="24" customHeight="1" x14ac:dyDescent="0.25">
      <c r="B64" s="28" t="s">
        <v>130</v>
      </c>
      <c r="C64" s="17"/>
      <c r="D64" s="17"/>
      <c r="E64" s="18"/>
      <c r="F64" s="33" t="s">
        <v>132</v>
      </c>
      <c r="G64" s="33" t="s">
        <v>132</v>
      </c>
      <c r="H64" s="21"/>
    </row>
    <row r="65" spans="2:8" ht="24" customHeight="1" x14ac:dyDescent="0.25">
      <c r="B65" s="17"/>
      <c r="C65" s="17"/>
      <c r="D65" s="17"/>
      <c r="E65" s="18"/>
      <c r="F65" s="19"/>
      <c r="G65" s="20"/>
      <c r="H65" s="21"/>
    </row>
    <row r="66" spans="2:8" ht="24" customHeight="1" x14ac:dyDescent="0.25">
      <c r="B66" s="34" t="s">
        <v>133</v>
      </c>
      <c r="C66" s="35"/>
      <c r="D66" s="35"/>
      <c r="E66" s="36"/>
      <c r="F66" s="30">
        <v>59392.05</v>
      </c>
      <c r="G66" s="31">
        <v>97.53</v>
      </c>
      <c r="H66" s="32"/>
    </row>
    <row r="67" spans="2:8" ht="24" customHeight="1" x14ac:dyDescent="0.25">
      <c r="B67" s="11" t="s">
        <v>134</v>
      </c>
      <c r="C67" s="12"/>
      <c r="D67" s="12"/>
      <c r="E67" s="13"/>
      <c r="F67" s="14"/>
      <c r="G67" s="15"/>
      <c r="H67" s="16"/>
    </row>
    <row r="68" spans="2:8" ht="24" customHeight="1" x14ac:dyDescent="0.25">
      <c r="B68" s="28"/>
      <c r="C68" s="17"/>
      <c r="D68" s="17"/>
      <c r="E68" s="18"/>
      <c r="F68" s="19"/>
      <c r="G68" s="20"/>
      <c r="H68" s="37"/>
    </row>
    <row r="69" spans="2:8" ht="24" customHeight="1" x14ac:dyDescent="0.25">
      <c r="B69" s="22" t="s">
        <v>135</v>
      </c>
      <c r="C69" s="23"/>
      <c r="D69" s="23"/>
      <c r="E69" s="24"/>
      <c r="F69" s="25"/>
      <c r="G69" s="26"/>
      <c r="H69" s="27"/>
    </row>
    <row r="70" spans="2:8" ht="24" customHeight="1" x14ac:dyDescent="0.25">
      <c r="B70" s="17"/>
      <c r="C70" s="17"/>
      <c r="D70" s="17"/>
      <c r="E70" s="18"/>
      <c r="F70" s="19"/>
      <c r="G70" s="20"/>
      <c r="H70" s="38"/>
    </row>
    <row r="71" spans="2:8" ht="24" customHeight="1" x14ac:dyDescent="0.25">
      <c r="B71" s="28" t="s">
        <v>130</v>
      </c>
      <c r="C71" s="17"/>
      <c r="D71" s="17"/>
      <c r="E71" s="18"/>
      <c r="F71" s="33" t="s">
        <v>132</v>
      </c>
      <c r="G71" s="33" t="s">
        <v>132</v>
      </c>
      <c r="H71" s="21"/>
    </row>
    <row r="72" spans="2:8" ht="24" customHeight="1" x14ac:dyDescent="0.25">
      <c r="B72" s="17"/>
      <c r="C72" s="17"/>
      <c r="D72" s="17"/>
      <c r="E72" s="18"/>
      <c r="F72" s="19"/>
      <c r="G72" s="20"/>
      <c r="H72" s="21"/>
    </row>
    <row r="73" spans="2:8" ht="24" customHeight="1" x14ac:dyDescent="0.25">
      <c r="B73" s="22" t="s">
        <v>136</v>
      </c>
      <c r="C73" s="23"/>
      <c r="D73" s="23"/>
      <c r="E73" s="24"/>
      <c r="F73" s="25"/>
      <c r="G73" s="26"/>
      <c r="H73" s="27"/>
    </row>
    <row r="74" spans="2:8" ht="24" customHeight="1" x14ac:dyDescent="0.25">
      <c r="B74" s="17"/>
      <c r="C74" s="17"/>
      <c r="D74" s="17"/>
      <c r="E74" s="18"/>
      <c r="F74" s="20">
        <v>0</v>
      </c>
      <c r="G74" s="20">
        <v>0</v>
      </c>
      <c r="H74" s="21"/>
    </row>
    <row r="75" spans="2:8" ht="24" customHeight="1" x14ac:dyDescent="0.25">
      <c r="B75" s="28" t="s">
        <v>130</v>
      </c>
      <c r="C75" s="28"/>
      <c r="D75" s="28"/>
      <c r="E75" s="29"/>
      <c r="F75" s="33" t="s">
        <v>132</v>
      </c>
      <c r="G75" s="33" t="s">
        <v>132</v>
      </c>
      <c r="H75" s="32"/>
    </row>
    <row r="76" spans="2:8" ht="24" customHeight="1" x14ac:dyDescent="0.25">
      <c r="B76" s="28"/>
      <c r="C76" s="28"/>
      <c r="D76" s="28"/>
      <c r="E76" s="29"/>
      <c r="F76" s="39"/>
      <c r="G76" s="40"/>
      <c r="H76" s="32"/>
    </row>
    <row r="77" spans="2:8" ht="24" customHeight="1" x14ac:dyDescent="0.25">
      <c r="B77" s="22" t="s">
        <v>137</v>
      </c>
      <c r="C77" s="23"/>
      <c r="D77" s="23"/>
      <c r="E77" s="24"/>
      <c r="F77" s="25"/>
      <c r="G77" s="26"/>
      <c r="H77" s="27"/>
    </row>
    <row r="78" spans="2:8" ht="24" customHeight="1" x14ac:dyDescent="0.25">
      <c r="B78" s="17"/>
      <c r="C78" s="17"/>
      <c r="D78" s="17"/>
      <c r="E78" s="18"/>
      <c r="F78" s="20">
        <v>0</v>
      </c>
      <c r="G78" s="20">
        <v>0</v>
      </c>
      <c r="H78" s="21"/>
    </row>
    <row r="79" spans="2:8" ht="24" customHeight="1" x14ac:dyDescent="0.25">
      <c r="B79" s="28" t="s">
        <v>130</v>
      </c>
      <c r="C79" s="17"/>
      <c r="D79" s="17"/>
      <c r="E79" s="18"/>
      <c r="F79" s="33" t="s">
        <v>132</v>
      </c>
      <c r="G79" s="33" t="s">
        <v>132</v>
      </c>
      <c r="H79" s="21"/>
    </row>
    <row r="80" spans="2:8" ht="24" customHeight="1" x14ac:dyDescent="0.25">
      <c r="B80" s="17"/>
      <c r="C80" s="17"/>
      <c r="D80" s="17"/>
      <c r="E80" s="18"/>
      <c r="F80" s="19"/>
      <c r="G80" s="20"/>
      <c r="H80" s="21"/>
    </row>
    <row r="81" spans="2:8" ht="24" customHeight="1" x14ac:dyDescent="0.25">
      <c r="B81" s="34" t="s">
        <v>133</v>
      </c>
      <c r="C81" s="35"/>
      <c r="D81" s="35"/>
      <c r="E81" s="36"/>
      <c r="F81" s="33" t="s">
        <v>132</v>
      </c>
      <c r="G81" s="33" t="s">
        <v>132</v>
      </c>
      <c r="H81" s="32"/>
    </row>
    <row r="82" spans="2:8" ht="24" customHeight="1" x14ac:dyDescent="0.25">
      <c r="B82" s="41"/>
      <c r="C82" s="42"/>
      <c r="D82" s="42"/>
      <c r="E82" s="43"/>
      <c r="F82" s="39"/>
      <c r="G82" s="40"/>
      <c r="H82" s="32"/>
    </row>
    <row r="83" spans="2:8" ht="24" customHeight="1" x14ac:dyDescent="0.25">
      <c r="B83" s="22" t="s">
        <v>138</v>
      </c>
      <c r="C83" s="23"/>
      <c r="D83" s="23"/>
      <c r="E83" s="24"/>
      <c r="F83" s="25"/>
      <c r="G83" s="26"/>
      <c r="H83" s="27"/>
    </row>
    <row r="84" spans="2:8" ht="24" customHeight="1" x14ac:dyDescent="0.25">
      <c r="B84" s="17" t="s">
        <v>139</v>
      </c>
      <c r="C84" s="17" t="s">
        <v>140</v>
      </c>
      <c r="D84" s="17" t="s">
        <v>141</v>
      </c>
      <c r="E84" s="18">
        <v>239480</v>
      </c>
      <c r="F84" s="19">
        <v>24.17</v>
      </c>
      <c r="G84" s="20">
        <v>0.04</v>
      </c>
      <c r="H84" s="21">
        <v>6.05</v>
      </c>
    </row>
    <row r="85" spans="2:8" ht="24" customHeight="1" x14ac:dyDescent="0.25">
      <c r="B85" s="28" t="s">
        <v>130</v>
      </c>
      <c r="C85" s="17"/>
      <c r="D85" s="17"/>
      <c r="E85" s="18"/>
      <c r="F85" s="31">
        <f>SUM(F84)</f>
        <v>24.17</v>
      </c>
      <c r="G85" s="31">
        <f>SUM(G84)</f>
        <v>0.04</v>
      </c>
      <c r="H85" s="21"/>
    </row>
    <row r="86" spans="2:8" ht="24" customHeight="1" x14ac:dyDescent="0.25">
      <c r="B86" s="28"/>
      <c r="C86" s="17"/>
      <c r="D86" s="17"/>
      <c r="E86" s="18"/>
      <c r="F86" s="40"/>
      <c r="G86" s="40"/>
      <c r="H86" s="21"/>
    </row>
    <row r="87" spans="2:8" ht="24" customHeight="1" x14ac:dyDescent="0.25">
      <c r="B87" s="34" t="s">
        <v>133</v>
      </c>
      <c r="C87" s="35"/>
      <c r="D87" s="35"/>
      <c r="E87" s="36"/>
      <c r="F87" s="30">
        <f>F85</f>
        <v>24.17</v>
      </c>
      <c r="G87" s="30">
        <f>G85</f>
        <v>0.04</v>
      </c>
      <c r="H87" s="32"/>
    </row>
    <row r="88" spans="2:8" ht="24" customHeight="1" x14ac:dyDescent="0.25">
      <c r="B88" s="17"/>
      <c r="C88" s="17"/>
      <c r="D88" s="17"/>
      <c r="E88" s="18"/>
      <c r="F88" s="19"/>
      <c r="G88" s="20"/>
      <c r="H88" s="21"/>
    </row>
    <row r="89" spans="2:8" ht="24" customHeight="1" x14ac:dyDescent="0.25">
      <c r="B89" s="11" t="s">
        <v>142</v>
      </c>
      <c r="C89" s="12"/>
      <c r="D89" s="12"/>
      <c r="E89" s="13"/>
      <c r="F89" s="14"/>
      <c r="G89" s="15"/>
      <c r="H89" s="16"/>
    </row>
    <row r="90" spans="2:8" ht="24" customHeight="1" x14ac:dyDescent="0.25">
      <c r="B90" s="17"/>
      <c r="C90" s="17"/>
      <c r="D90" s="17"/>
      <c r="E90" s="18"/>
      <c r="F90" s="19"/>
      <c r="G90" s="20"/>
      <c r="H90" s="21"/>
    </row>
    <row r="91" spans="2:8" ht="24" customHeight="1" x14ac:dyDescent="0.25">
      <c r="B91" s="22" t="s">
        <v>143</v>
      </c>
      <c r="C91" s="23"/>
      <c r="D91" s="23"/>
      <c r="E91" s="24"/>
      <c r="F91" s="25"/>
      <c r="G91" s="26"/>
      <c r="H91" s="27"/>
    </row>
    <row r="92" spans="2:8" ht="24" customHeight="1" x14ac:dyDescent="0.25">
      <c r="B92" s="17" t="s">
        <v>144</v>
      </c>
      <c r="C92" s="17" t="s">
        <v>145</v>
      </c>
      <c r="D92" s="17" t="s">
        <v>146</v>
      </c>
      <c r="E92" s="18">
        <v>50000</v>
      </c>
      <c r="F92" s="19">
        <v>47.38</v>
      </c>
      <c r="G92" s="20">
        <v>0.08</v>
      </c>
      <c r="H92" s="21">
        <v>5.5704000000000002</v>
      </c>
    </row>
    <row r="93" spans="2:8" ht="24" customHeight="1" x14ac:dyDescent="0.25">
      <c r="B93" s="28" t="s">
        <v>130</v>
      </c>
      <c r="C93" s="28"/>
      <c r="D93" s="28"/>
      <c r="E93" s="29"/>
      <c r="F93" s="30">
        <v>47.38</v>
      </c>
      <c r="G93" s="31">
        <v>0.08</v>
      </c>
      <c r="H93" s="32"/>
    </row>
    <row r="94" spans="2:8" ht="24" customHeight="1" x14ac:dyDescent="0.25">
      <c r="B94" s="17"/>
      <c r="C94" s="17"/>
      <c r="D94" s="17"/>
      <c r="E94" s="18"/>
      <c r="F94" s="19"/>
      <c r="G94" s="20"/>
      <c r="H94" s="21"/>
    </row>
    <row r="95" spans="2:8" ht="24" customHeight="1" x14ac:dyDescent="0.25">
      <c r="B95" s="34" t="s">
        <v>133</v>
      </c>
      <c r="C95" s="35"/>
      <c r="D95" s="35"/>
      <c r="E95" s="36"/>
      <c r="F95" s="30">
        <v>47.38</v>
      </c>
      <c r="G95" s="31">
        <v>0.08</v>
      </c>
      <c r="H95" s="32"/>
    </row>
    <row r="96" spans="2:8" ht="24" customHeight="1" x14ac:dyDescent="0.25">
      <c r="B96" s="17"/>
      <c r="C96" s="17"/>
      <c r="D96" s="17"/>
      <c r="E96" s="18"/>
      <c r="F96" s="19"/>
      <c r="G96" s="20"/>
      <c r="H96" s="21"/>
    </row>
    <row r="97" spans="2:13" ht="24" customHeight="1" x14ac:dyDescent="0.25">
      <c r="B97" s="17"/>
      <c r="C97" s="17"/>
      <c r="D97" s="17"/>
      <c r="E97" s="18"/>
      <c r="F97" s="19"/>
      <c r="G97" s="20"/>
      <c r="H97" s="21"/>
      <c r="L97" s="44"/>
    </row>
    <row r="98" spans="2:13" ht="24" customHeight="1" x14ac:dyDescent="0.25">
      <c r="B98" s="11" t="s">
        <v>147</v>
      </c>
      <c r="C98" s="12"/>
      <c r="D98" s="12"/>
      <c r="E98" s="13"/>
      <c r="F98" s="14"/>
      <c r="G98" s="15"/>
      <c r="H98" s="16"/>
    </row>
    <row r="99" spans="2:13" ht="24" customHeight="1" x14ac:dyDescent="0.25">
      <c r="B99" s="17" t="s">
        <v>148</v>
      </c>
      <c r="C99" s="17"/>
      <c r="D99" s="17"/>
      <c r="E99" s="18"/>
      <c r="F99" s="19">
        <v>1417.31</v>
      </c>
      <c r="G99" s="20">
        <v>2.33</v>
      </c>
      <c r="H99" s="21"/>
      <c r="L99" s="44"/>
    </row>
    <row r="100" spans="2:13" ht="24" customHeight="1" x14ac:dyDescent="0.25">
      <c r="B100" s="28" t="s">
        <v>130</v>
      </c>
      <c r="C100" s="28"/>
      <c r="D100" s="28"/>
      <c r="E100" s="29"/>
      <c r="F100" s="30">
        <v>1417.31</v>
      </c>
      <c r="G100" s="31">
        <v>2.33</v>
      </c>
      <c r="H100" s="32"/>
      <c r="L100" s="44"/>
    </row>
    <row r="101" spans="2:13" ht="24" customHeight="1" x14ac:dyDescent="0.25">
      <c r="B101" s="17"/>
      <c r="C101" s="17"/>
      <c r="D101" s="17"/>
      <c r="E101" s="18"/>
      <c r="F101" s="19"/>
      <c r="G101" s="20"/>
      <c r="H101" s="21"/>
      <c r="L101" s="44"/>
    </row>
    <row r="102" spans="2:13" ht="24" customHeight="1" x14ac:dyDescent="0.25">
      <c r="B102" s="34" t="s">
        <v>133</v>
      </c>
      <c r="C102" s="35"/>
      <c r="D102" s="35"/>
      <c r="E102" s="36"/>
      <c r="F102" s="30">
        <v>1417.31</v>
      </c>
      <c r="G102" s="31">
        <v>2.33</v>
      </c>
      <c r="H102" s="32"/>
      <c r="L102" s="44"/>
    </row>
    <row r="103" spans="2:13" ht="24" customHeight="1" x14ac:dyDescent="0.25">
      <c r="B103" s="17"/>
      <c r="C103" s="17"/>
      <c r="D103" s="17"/>
      <c r="E103" s="18"/>
      <c r="F103" s="19"/>
      <c r="G103" s="20"/>
      <c r="H103" s="21"/>
      <c r="L103" s="44"/>
    </row>
    <row r="104" spans="2:13" ht="24" customHeight="1" x14ac:dyDescent="0.25">
      <c r="B104" s="17" t="s">
        <v>149</v>
      </c>
      <c r="C104" s="17"/>
      <c r="D104" s="17"/>
      <c r="E104" s="18"/>
      <c r="F104" s="19">
        <v>16.600000000000001</v>
      </c>
      <c r="G104" s="20">
        <v>1.9999999999996021E-2</v>
      </c>
      <c r="H104" s="21"/>
      <c r="L104" s="45"/>
      <c r="M104" s="45"/>
    </row>
    <row r="105" spans="2:13" ht="24" customHeight="1" x14ac:dyDescent="0.25">
      <c r="B105" s="17"/>
      <c r="C105" s="17"/>
      <c r="D105" s="17"/>
      <c r="E105" s="18"/>
      <c r="F105" s="19"/>
      <c r="G105" s="20"/>
      <c r="H105" s="21"/>
    </row>
    <row r="106" spans="2:13" ht="24" customHeight="1" x14ac:dyDescent="0.25">
      <c r="B106" s="34" t="s">
        <v>150</v>
      </c>
      <c r="C106" s="35"/>
      <c r="D106" s="35"/>
      <c r="E106" s="36"/>
      <c r="F106" s="30">
        <v>60897.51</v>
      </c>
      <c r="G106" s="31">
        <v>100</v>
      </c>
      <c r="H106" s="46"/>
    </row>
    <row r="107" spans="2:13" ht="24" customHeight="1" x14ac:dyDescent="0.25">
      <c r="B107" s="4"/>
      <c r="L107" s="49"/>
      <c r="M107" s="49"/>
    </row>
    <row r="108" spans="2:13" ht="24" customHeight="1" x14ac:dyDescent="0.25">
      <c r="B108" s="50" t="s">
        <v>151</v>
      </c>
      <c r="F108" s="51"/>
      <c r="G108" s="51"/>
      <c r="L108" s="49"/>
      <c r="M108" s="49"/>
    </row>
    <row r="109" spans="2:13" ht="24" customHeight="1" x14ac:dyDescent="0.25">
      <c r="B109" s="50" t="s">
        <v>152</v>
      </c>
      <c r="F109" s="52"/>
      <c r="G109" s="52"/>
      <c r="L109" s="49"/>
      <c r="M109" s="49"/>
    </row>
    <row r="110" spans="2:13" ht="24" customHeight="1" x14ac:dyDescent="0.25">
      <c r="L110" s="49"/>
      <c r="M110" s="49"/>
    </row>
    <row r="111" spans="2:13" ht="24" customHeight="1" x14ac:dyDescent="0.25">
      <c r="L111" s="49"/>
      <c r="M111" s="49"/>
    </row>
    <row r="112" spans="2:13" ht="24" customHeight="1" x14ac:dyDescent="0.25">
      <c r="L112" s="49"/>
      <c r="M112" s="49"/>
    </row>
    <row r="113" spans="2:13" ht="24" customHeight="1" x14ac:dyDescent="0.25">
      <c r="L113" s="49"/>
      <c r="M113" s="49"/>
    </row>
    <row r="115" spans="2:13" ht="24" customHeight="1" x14ac:dyDescent="0.25">
      <c r="B115" s="42" t="s">
        <v>153</v>
      </c>
      <c r="L115" s="44"/>
    </row>
    <row r="116" spans="2:13" ht="24" customHeight="1" x14ac:dyDescent="0.25">
      <c r="B116" s="47" t="s">
        <v>154</v>
      </c>
    </row>
    <row r="117" spans="2:13" ht="24" customHeight="1" x14ac:dyDescent="0.25">
      <c r="B117" s="53" t="s">
        <v>155</v>
      </c>
      <c r="C117" s="54">
        <v>45930</v>
      </c>
      <c r="D117" s="55">
        <v>45961</v>
      </c>
    </row>
    <row r="118" spans="2:13" ht="24" customHeight="1" x14ac:dyDescent="0.25">
      <c r="B118" s="56" t="s">
        <v>156</v>
      </c>
      <c r="C118" s="57" t="s">
        <v>157</v>
      </c>
      <c r="D118" s="58" t="s">
        <v>157</v>
      </c>
      <c r="E118" s="4"/>
      <c r="F118" s="4"/>
      <c r="G118" s="4"/>
      <c r="H118" s="4"/>
    </row>
    <row r="119" spans="2:13" ht="24" customHeight="1" x14ac:dyDescent="0.25">
      <c r="B119" s="59" t="s">
        <v>158</v>
      </c>
      <c r="C119" s="60">
        <v>399.3</v>
      </c>
      <c r="D119" s="61">
        <v>414.9</v>
      </c>
      <c r="E119" s="4"/>
      <c r="F119" s="4"/>
      <c r="G119" s="4"/>
      <c r="H119" s="4"/>
    </row>
    <row r="120" spans="2:13" ht="24" customHeight="1" x14ac:dyDescent="0.25">
      <c r="B120" s="59" t="s">
        <v>159</v>
      </c>
      <c r="C120" s="60">
        <v>28.05</v>
      </c>
      <c r="D120" s="61">
        <v>29.15</v>
      </c>
      <c r="E120" s="4"/>
      <c r="F120" s="4"/>
      <c r="G120" s="4"/>
      <c r="H120" s="4"/>
    </row>
    <row r="121" spans="2:13" ht="24" customHeight="1" x14ac:dyDescent="0.25">
      <c r="B121" s="56" t="s">
        <v>160</v>
      </c>
      <c r="C121" s="57"/>
      <c r="D121" s="58"/>
      <c r="E121" s="4"/>
      <c r="F121" s="4"/>
      <c r="G121" s="4"/>
      <c r="H121" s="4"/>
    </row>
    <row r="122" spans="2:13" ht="24" customHeight="1" x14ac:dyDescent="0.25">
      <c r="B122" s="59" t="s">
        <v>158</v>
      </c>
      <c r="C122" s="60">
        <v>335.52</v>
      </c>
      <c r="D122" s="61">
        <v>348.19</v>
      </c>
      <c r="E122" s="4"/>
      <c r="F122" s="4"/>
      <c r="G122" s="4"/>
      <c r="H122" s="4"/>
    </row>
    <row r="123" spans="2:13" ht="24" customHeight="1" x14ac:dyDescent="0.25">
      <c r="B123" s="62" t="s">
        <v>159</v>
      </c>
      <c r="C123" s="63">
        <v>19.579999999999998</v>
      </c>
      <c r="D123" s="64">
        <v>20.32</v>
      </c>
      <c r="E123" s="4"/>
      <c r="F123" s="4"/>
      <c r="G123" s="4"/>
      <c r="H123" s="4"/>
    </row>
    <row r="124" spans="2:13" ht="24" customHeight="1" x14ac:dyDescent="0.25">
      <c r="C124" s="65"/>
      <c r="D124" s="65"/>
      <c r="E124" s="4"/>
      <c r="F124" s="4"/>
      <c r="G124" s="4"/>
      <c r="H124" s="4"/>
    </row>
    <row r="125" spans="2:13" ht="24" customHeight="1" x14ac:dyDescent="0.25">
      <c r="B125" s="47" t="s">
        <v>161</v>
      </c>
      <c r="D125" s="45" t="s">
        <v>132</v>
      </c>
    </row>
    <row r="127" spans="2:13" ht="24" customHeight="1" x14ac:dyDescent="0.25">
      <c r="B127" s="47" t="s">
        <v>162</v>
      </c>
      <c r="D127" s="45" t="s">
        <v>132</v>
      </c>
    </row>
    <row r="129" spans="2:4" ht="24" customHeight="1" x14ac:dyDescent="0.25">
      <c r="B129" s="47" t="s">
        <v>163</v>
      </c>
      <c r="D129" s="45" t="s">
        <v>132</v>
      </c>
    </row>
    <row r="131" spans="2:4" ht="24" customHeight="1" x14ac:dyDescent="0.25">
      <c r="B131" s="47" t="s">
        <v>164</v>
      </c>
      <c r="D131" s="45" t="s">
        <v>132</v>
      </c>
    </row>
    <row r="133" spans="2:4" ht="24" customHeight="1" x14ac:dyDescent="0.25">
      <c r="B133" s="47" t="s">
        <v>165</v>
      </c>
      <c r="D133" s="45">
        <v>0.23</v>
      </c>
    </row>
    <row r="135" spans="2:4" ht="24" customHeight="1" x14ac:dyDescent="0.25">
      <c r="B135" s="47" t="s">
        <v>166</v>
      </c>
      <c r="D135" s="45" t="s">
        <v>132</v>
      </c>
    </row>
    <row r="137" spans="2:4" ht="24" customHeight="1" x14ac:dyDescent="0.25">
      <c r="B137" s="47" t="s">
        <v>167</v>
      </c>
      <c r="D137" s="45" t="s">
        <v>132</v>
      </c>
    </row>
    <row r="138" spans="2:4" ht="24" customHeight="1" x14ac:dyDescent="0.25">
      <c r="B138" s="47" t="s">
        <v>168</v>
      </c>
      <c r="D138" s="45" t="s">
        <v>132</v>
      </c>
    </row>
    <row r="140" spans="2:4" ht="24" customHeight="1" x14ac:dyDescent="0.25">
      <c r="B140" s="66" t="s">
        <v>169</v>
      </c>
      <c r="D140" s="45" t="s">
        <v>132</v>
      </c>
    </row>
    <row r="142" spans="2:4" ht="24" customHeight="1" x14ac:dyDescent="0.25">
      <c r="B142" s="47" t="s">
        <v>170</v>
      </c>
      <c r="D142" s="45" t="s">
        <v>132</v>
      </c>
    </row>
    <row r="144" spans="2:4" ht="24" customHeight="1" x14ac:dyDescent="0.35">
      <c r="B144" s="47" t="s">
        <v>171</v>
      </c>
      <c r="C144" s="67" t="s">
        <v>172</v>
      </c>
    </row>
  </sheetData>
  <hyperlinks>
    <hyperlink ref="C144" r:id="rId1" location="performance" xr:uid="{0ADBC2F8-5AE2-47A5-92BD-98D08616D8B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2025-11-08T06:04:25Z</dcterms:modified>
</cp:coreProperties>
</file>