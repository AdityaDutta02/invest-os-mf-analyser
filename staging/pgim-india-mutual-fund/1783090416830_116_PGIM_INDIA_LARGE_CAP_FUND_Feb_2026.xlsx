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4158EBD7-4FBF-404A-9015-7C53354D5C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Cap'!$B$126:$D$131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Cap'!$L$97:$M$113</definedName>
    <definedName name="JPM_Footer_disp" localSheetId="0">'Large Cap'!$L$103:$M$113</definedName>
    <definedName name="JPM_Footer_disp12" localSheetId="0">'Large Cap'!$L$97:$M$115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2" l="1"/>
  <c r="G95" i="2" s="1"/>
  <c r="F93" i="2"/>
  <c r="F95" i="2" s="1"/>
</calcChain>
</file>

<file path=xl/sharedStrings.xml><?xml version="1.0" encoding="utf-8"?>
<sst xmlns="http://schemas.openxmlformats.org/spreadsheetml/2006/main" count="245" uniqueCount="189">
  <si>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</si>
  <si>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</si>
  <si>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</si>
  <si>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</si>
  <si>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</si>
  <si>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</si>
  <si>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</si>
  <si>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</si>
  <si>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</si>
  <si>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</si>
  <si>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</si>
  <si>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</si>
  <si>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</si>
  <si>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</si>
  <si>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</si>
  <si>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</si>
  <si>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</si>
  <si>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</si>
  <si>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</si>
  <si>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</si>
  <si>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</si>
  <si>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</si>
  <si>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</si>
  <si>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</si>
  <si>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</si>
  <si>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</si>
  <si>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</si>
  <si>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</si>
  <si>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</si>
  <si>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</si>
  <si>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</si>
  <si>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INE296A01032</t>
  </si>
  <si>
    <t>Finance</t>
  </si>
  <si>
    <t>Kotak Mahindra Bank Ltd.</t>
  </si>
  <si>
    <t>INE237A01036</t>
  </si>
  <si>
    <t>State Bank of India</t>
  </si>
  <si>
    <t>INE062A01020</t>
  </si>
  <si>
    <t>Tata Consultancy Services Ltd.</t>
  </si>
  <si>
    <t>INE467B01029</t>
  </si>
  <si>
    <t>IT - Software</t>
  </si>
  <si>
    <t>Titan Company Ltd.</t>
  </si>
  <si>
    <t>INE280A01028</t>
  </si>
  <si>
    <t>Consumer Durables</t>
  </si>
  <si>
    <t>Eternal Ltd.</t>
  </si>
  <si>
    <t>INE758T01015</t>
  </si>
  <si>
    <t>Retailing</t>
  </si>
  <si>
    <t>NTPC Ltd.</t>
  </si>
  <si>
    <t>INE733E01010</t>
  </si>
  <si>
    <t>Power</t>
  </si>
  <si>
    <t>TVS Motor Company Ltd.</t>
  </si>
  <si>
    <t>INE494B01023</t>
  </si>
  <si>
    <t>Automobiles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</si>
  <si>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</si>
  <si>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</si>
  <si>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</si>
  <si>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</si>
  <si>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</si>
  <si>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</si>
  <si>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Maruti Suzuki India Ltd.</t>
  </si>
  <si>
    <t>INE585B01010</t>
  </si>
  <si>
    <t>Divi's Laboratories Ltd.</t>
  </si>
  <si>
    <t>INE361B01024</t>
  </si>
  <si>
    <t>Pharmaceuticals &amp; Biotechnology</t>
  </si>
  <si>
    <t>Infosys Ltd.</t>
  </si>
  <si>
    <t>INE009A01021</t>
  </si>
  <si>
    <t>Mahindra &amp; Mahindra Ltd.</t>
  </si>
  <si>
    <t>INE101A01026</t>
  </si>
  <si>
    <t>Eicher Motors Ltd.</t>
  </si>
  <si>
    <t>INE066A01021</t>
  </si>
  <si>
    <t>Muthoot Finance Ltd.</t>
  </si>
  <si>
    <t>INE414G01012</t>
  </si>
  <si>
    <t>Mankind Pharma Ltd.</t>
  </si>
  <si>
    <t>INE634S01028</t>
  </si>
  <si>
    <t>Persistent Systems Ltd.</t>
  </si>
  <si>
    <t>INE262H01021</t>
  </si>
  <si>
    <t>CG Power and Industrial Solutions Ltd.</t>
  </si>
  <si>
    <t>INE067A01029</t>
  </si>
  <si>
    <t>Electrical Equipment</t>
  </si>
  <si>
    <t>Britannia Industries Ltd.</t>
  </si>
  <si>
    <t>INE216A01030</t>
  </si>
  <si>
    <t>Food Products</t>
  </si>
  <si>
    <t>Cummins India Ltd.</t>
  </si>
  <si>
    <t>INE298A01020</t>
  </si>
  <si>
    <t>Industrial Products</t>
  </si>
  <si>
    <t>Tech Mahindra Ltd.</t>
  </si>
  <si>
    <t>INE669C01036</t>
  </si>
  <si>
    <t>Tata Capital Ltd.</t>
  </si>
  <si>
    <t>INE976I01016</t>
  </si>
  <si>
    <t>Power Finance Corporation Ltd.</t>
  </si>
  <si>
    <t>INE134E01011</t>
  </si>
  <si>
    <t>JSW Steel Ltd.</t>
  </si>
  <si>
    <t>INE019A01038</t>
  </si>
  <si>
    <t>Ferrous Metals</t>
  </si>
  <si>
    <t>Samvardhana Motherson International Ltd.</t>
  </si>
  <si>
    <t>INE775A01035</t>
  </si>
  <si>
    <t>Auto Components</t>
  </si>
  <si>
    <t>Ashok Leyland Ltd.</t>
  </si>
  <si>
    <t>INE208A01029</t>
  </si>
  <si>
    <t>Agricultural, Commercial &amp; Construction Vehicles</t>
  </si>
  <si>
    <t>ICICI Prudential Asset Mgmt Co Ltd.</t>
  </si>
  <si>
    <t>INE346A01027</t>
  </si>
  <si>
    <t>Capital Markets</t>
  </si>
  <si>
    <t>Max Healthcare Institute Ltd.</t>
  </si>
  <si>
    <t>INE027H01010</t>
  </si>
  <si>
    <t>Healthcare Services</t>
  </si>
  <si>
    <t>PB Fintech Ltd.</t>
  </si>
  <si>
    <t>INE417T01026</t>
  </si>
  <si>
    <t>Financial Technology (Fintech)</t>
  </si>
  <si>
    <t>ICICI Lombard General Insurance Co. Ltd.</t>
  </si>
  <si>
    <t>INE765G01017</t>
  </si>
  <si>
    <t>Insurance</t>
  </si>
  <si>
    <t>Asian Paints Ltd.</t>
  </si>
  <si>
    <t>INE021A01026</t>
  </si>
  <si>
    <t>Prestige Estates Projects Ltd.</t>
  </si>
  <si>
    <t>INE811K01011</t>
  </si>
  <si>
    <t>Realty</t>
  </si>
  <si>
    <t>Vishal Mega Mart Ltd</t>
  </si>
  <si>
    <t>INE01EA01019</t>
  </si>
  <si>
    <t>Sun Pharmaceutical Industries Ltd.</t>
  </si>
  <si>
    <t>INE044A01036</t>
  </si>
  <si>
    <t>LG Electronics India Ltd.</t>
  </si>
  <si>
    <t>INE324D01010</t>
  </si>
  <si>
    <t>Dr. Reddy's Laboratories Ltd.</t>
  </si>
  <si>
    <t>INE089A01031</t>
  </si>
  <si>
    <t>Torrent Pharmaceuticals Ltd.</t>
  </si>
  <si>
    <t>INE685A01028</t>
  </si>
  <si>
    <t>United Spirits Ltd.</t>
  </si>
  <si>
    <t>INE854D01024</t>
  </si>
  <si>
    <t>Bharat Electronics Ltd.</t>
  </si>
  <si>
    <t>INE263A01024</t>
  </si>
  <si>
    <t>Aerospace &amp; Defense</t>
  </si>
  <si>
    <t>Solar Industries India Ltd.</t>
  </si>
  <si>
    <t>INE343H01029</t>
  </si>
  <si>
    <t>Chemicals &amp; Petrochemicals</t>
  </si>
  <si>
    <t>ITC Ltd.</t>
  </si>
  <si>
    <t>INE154A01025</t>
  </si>
  <si>
    <t>Diversified FMCG</t>
  </si>
  <si>
    <t>HDFC Life Insurance Company Ltd.</t>
  </si>
  <si>
    <t>INE795G01014</t>
  </si>
  <si>
    <t>Dixon Technologies (India) Ltd.</t>
  </si>
  <si>
    <t>INE935N01020</t>
  </si>
  <si>
    <t>Hindalco Industries Ltd.</t>
  </si>
  <si>
    <t>INE038A01020</t>
  </si>
  <si>
    <t>Non - Ferrous Metals</t>
  </si>
  <si>
    <t>Shriram Finance Ltd.</t>
  </si>
  <si>
    <t>INE721A01047</t>
  </si>
  <si>
    <t>Cholamandalam Investment &amp; Finance Company Ltd.</t>
  </si>
  <si>
    <t>INE121A01024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</si>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</sst>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DD0EDFD-92FE-4847-AFF6-6ED8FB2B759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1D057B75-C225-498C-8D56-0FF7334F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146464E7-9BE6-4A7A-83E8-0C170E718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0A85-0FC2-412B-B12F-7FDE0571F9B5}">
  <sheetPr>
    <tabColor rgb="FFC00000"/>
  </sheetPr>
  <dimension ref="B1:M150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571054</v>
      </c>
      <c r="F16" s="19">
        <v>5069.53</v>
      </c>
      <c r="G16" s="20">
        <v>8.93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326889</v>
      </c>
      <c r="F17" s="19">
        <v>4507.47</v>
      </c>
      <c r="G17" s="20">
        <v>7.94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270524</v>
      </c>
      <c r="F18" s="19">
        <v>3770.83</v>
      </c>
      <c r="G18" s="20">
        <v>6.64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142657</v>
      </c>
      <c r="F19" s="19">
        <v>2680.95</v>
      </c>
      <c r="G19" s="20">
        <v>4.72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58972</v>
      </c>
      <c r="F20" s="19">
        <v>2523</v>
      </c>
      <c r="G20" s="20">
        <v>4.4400000000000004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167799</v>
      </c>
      <c r="F21" s="19">
        <v>1671.11</v>
      </c>
      <c r="G21" s="20">
        <v>2.94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401815</v>
      </c>
      <c r="F22" s="19">
        <v>1668.34</v>
      </c>
      <c r="G22" s="20">
        <v>2.94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18</v>
      </c>
      <c r="E23" s="18">
        <v>137350</v>
      </c>
      <c r="F23" s="19">
        <v>1650.53</v>
      </c>
      <c r="G23" s="20">
        <v>2.91</v>
      </c>
      <c r="H23" s="21"/>
    </row>
    <row r="24" spans="2:8" ht="24" customHeight="1" x14ac:dyDescent="0.25">
      <c r="B24" s="17" t="s">
        <v>37</v>
      </c>
      <c r="C24" s="17" t="s">
        <v>38</v>
      </c>
      <c r="D24" s="17" t="s">
        <v>39</v>
      </c>
      <c r="E24" s="18">
        <v>55103</v>
      </c>
      <c r="F24" s="19">
        <v>1453.29</v>
      </c>
      <c r="G24" s="20">
        <v>2.56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30190</v>
      </c>
      <c r="F25" s="19">
        <v>1306.47</v>
      </c>
      <c r="G25" s="20">
        <v>2.2999999999999998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519950</v>
      </c>
      <c r="F26" s="19">
        <v>1280.6400000000001</v>
      </c>
      <c r="G26" s="20">
        <v>2.2599999999999998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317000</v>
      </c>
      <c r="F27" s="19">
        <v>1210.6199999999999</v>
      </c>
      <c r="G27" s="20">
        <v>2.13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31200</v>
      </c>
      <c r="F28" s="19">
        <v>1207.3499999999999</v>
      </c>
      <c r="G28" s="20">
        <v>2.13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265489</v>
      </c>
      <c r="F29" s="19">
        <v>1198.42</v>
      </c>
      <c r="G29" s="20">
        <v>2.11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9132</v>
      </c>
      <c r="F30" s="19">
        <v>1157.6600000000001</v>
      </c>
      <c r="G30" s="20">
        <v>2.04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51</v>
      </c>
      <c r="E31" s="18">
        <v>7114</v>
      </c>
      <c r="F31" s="19">
        <v>1056.93</v>
      </c>
      <c r="G31" s="20">
        <v>1.86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16380</v>
      </c>
      <c r="F32" s="19">
        <v>1049.71</v>
      </c>
      <c r="G32" s="20">
        <v>1.85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39</v>
      </c>
      <c r="E33" s="18">
        <v>73358</v>
      </c>
      <c r="F33" s="19">
        <v>953.73</v>
      </c>
      <c r="G33" s="20">
        <v>1.68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51</v>
      </c>
      <c r="E34" s="18">
        <v>27860</v>
      </c>
      <c r="F34" s="19">
        <v>946.52</v>
      </c>
      <c r="G34" s="20">
        <v>1.67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51</v>
      </c>
      <c r="E35" s="18">
        <v>10170</v>
      </c>
      <c r="F35" s="19">
        <v>814.67</v>
      </c>
      <c r="G35" s="20">
        <v>1.43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32</v>
      </c>
      <c r="E36" s="18">
        <v>23980</v>
      </c>
      <c r="F36" s="19">
        <v>804.17</v>
      </c>
      <c r="G36" s="20">
        <v>1.42</v>
      </c>
      <c r="H36" s="21"/>
    </row>
    <row r="37" spans="2:8" ht="24" customHeight="1" x14ac:dyDescent="0.25">
      <c r="B37" s="17" t="s">
        <v>71</v>
      </c>
      <c r="C37" s="17" t="s">
        <v>72</v>
      </c>
      <c r="D37" s="17" t="s">
        <v>62</v>
      </c>
      <c r="E37" s="18">
        <v>34023</v>
      </c>
      <c r="F37" s="19">
        <v>764.7</v>
      </c>
      <c r="G37" s="20">
        <v>1.35</v>
      </c>
      <c r="H37" s="21"/>
    </row>
    <row r="38" spans="2:8" ht="24" customHeight="1" x14ac:dyDescent="0.25">
      <c r="B38" s="17" t="s">
        <v>73</v>
      </c>
      <c r="C38" s="17" t="s">
        <v>74</v>
      </c>
      <c r="D38" s="17" t="s">
        <v>39</v>
      </c>
      <c r="E38" s="18">
        <v>15720</v>
      </c>
      <c r="F38" s="19">
        <v>744.03</v>
      </c>
      <c r="G38" s="20">
        <v>1.31</v>
      </c>
      <c r="H38" s="21"/>
    </row>
    <row r="39" spans="2:8" ht="24" customHeight="1" x14ac:dyDescent="0.25">
      <c r="B39" s="17" t="s">
        <v>75</v>
      </c>
      <c r="C39" s="17" t="s">
        <v>76</v>
      </c>
      <c r="D39" s="17" t="s">
        <v>77</v>
      </c>
      <c r="E39" s="18">
        <v>100613</v>
      </c>
      <c r="F39" s="19">
        <v>729.65</v>
      </c>
      <c r="G39" s="20">
        <v>1.29</v>
      </c>
      <c r="H39" s="21"/>
    </row>
    <row r="40" spans="2:8" ht="24" customHeight="1" x14ac:dyDescent="0.25">
      <c r="B40" s="17" t="s">
        <v>78</v>
      </c>
      <c r="C40" s="17" t="s">
        <v>79</v>
      </c>
      <c r="D40" s="17" t="s">
        <v>80</v>
      </c>
      <c r="E40" s="18">
        <v>12093</v>
      </c>
      <c r="F40" s="19">
        <v>725.88</v>
      </c>
      <c r="G40" s="20">
        <v>1.28</v>
      </c>
      <c r="H40" s="21"/>
    </row>
    <row r="41" spans="2:8" ht="24" customHeight="1" x14ac:dyDescent="0.25">
      <c r="B41" s="17" t="s">
        <v>81</v>
      </c>
      <c r="C41" s="17" t="s">
        <v>82</v>
      </c>
      <c r="D41" s="17" t="s">
        <v>83</v>
      </c>
      <c r="E41" s="18">
        <v>14355</v>
      </c>
      <c r="F41" s="19">
        <v>703.15</v>
      </c>
      <c r="G41" s="20">
        <v>1.24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39</v>
      </c>
      <c r="E42" s="18">
        <v>50571</v>
      </c>
      <c r="F42" s="19">
        <v>686.65</v>
      </c>
      <c r="G42" s="20">
        <v>1.21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32</v>
      </c>
      <c r="E43" s="18">
        <v>204960</v>
      </c>
      <c r="F43" s="19">
        <v>683.75</v>
      </c>
      <c r="G43" s="20">
        <v>1.2</v>
      </c>
      <c r="H43" s="21"/>
    </row>
    <row r="44" spans="2:8" ht="24" customHeight="1" x14ac:dyDescent="0.25">
      <c r="B44" s="17" t="s">
        <v>88</v>
      </c>
      <c r="C44" s="17" t="s">
        <v>89</v>
      </c>
      <c r="D44" s="17" t="s">
        <v>32</v>
      </c>
      <c r="E44" s="18">
        <v>157030</v>
      </c>
      <c r="F44" s="19">
        <v>649.79</v>
      </c>
      <c r="G44" s="20">
        <v>1.1399999999999999</v>
      </c>
      <c r="H44" s="21"/>
    </row>
    <row r="45" spans="2:8" ht="24" customHeight="1" x14ac:dyDescent="0.25">
      <c r="B45" s="17" t="s">
        <v>90</v>
      </c>
      <c r="C45" s="17" t="s">
        <v>91</v>
      </c>
      <c r="D45" s="17" t="s">
        <v>92</v>
      </c>
      <c r="E45" s="18">
        <v>50038</v>
      </c>
      <c r="F45" s="19">
        <v>632.83000000000004</v>
      </c>
      <c r="G45" s="20">
        <v>1.1100000000000001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95</v>
      </c>
      <c r="E46" s="18">
        <v>459600</v>
      </c>
      <c r="F46" s="19">
        <v>612.83000000000004</v>
      </c>
      <c r="G46" s="20">
        <v>1.08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98</v>
      </c>
      <c r="E47" s="18">
        <v>288748</v>
      </c>
      <c r="F47" s="19">
        <v>609.54999999999995</v>
      </c>
      <c r="G47" s="20">
        <v>1.07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19570</v>
      </c>
      <c r="F48" s="19">
        <v>609.04</v>
      </c>
      <c r="G48" s="20">
        <v>1.07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55307</v>
      </c>
      <c r="F49" s="19">
        <v>603.91999999999996</v>
      </c>
      <c r="G49" s="20">
        <v>1.06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40726</v>
      </c>
      <c r="F50" s="19">
        <v>603.4</v>
      </c>
      <c r="G50" s="20">
        <v>1.06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30648</v>
      </c>
      <c r="F51" s="19">
        <v>582.77</v>
      </c>
      <c r="G51" s="20">
        <v>1.03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42</v>
      </c>
      <c r="E52" s="18">
        <v>23535</v>
      </c>
      <c r="F52" s="19">
        <v>559.24</v>
      </c>
      <c r="G52" s="20">
        <v>0.99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39836</v>
      </c>
      <c r="F53" s="19">
        <v>554.91999999999996</v>
      </c>
      <c r="G53" s="20">
        <v>0.98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45</v>
      </c>
      <c r="E54" s="18">
        <v>461116</v>
      </c>
      <c r="F54" s="19">
        <v>543.1</v>
      </c>
      <c r="G54" s="20">
        <v>0.96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62</v>
      </c>
      <c r="E55" s="18">
        <v>29660</v>
      </c>
      <c r="F55" s="19">
        <v>515.19000000000005</v>
      </c>
      <c r="G55" s="20">
        <v>0.91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42</v>
      </c>
      <c r="E56" s="18">
        <v>30404</v>
      </c>
      <c r="F56" s="19">
        <v>483.12</v>
      </c>
      <c r="G56" s="20">
        <v>0.85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62</v>
      </c>
      <c r="E57" s="18">
        <v>35670</v>
      </c>
      <c r="F57" s="19">
        <v>458.82</v>
      </c>
      <c r="G57" s="20">
        <v>0.81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62</v>
      </c>
      <c r="E58" s="18">
        <v>10520</v>
      </c>
      <c r="F58" s="19">
        <v>455.86</v>
      </c>
      <c r="G58" s="20">
        <v>0.8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54</v>
      </c>
      <c r="E59" s="18">
        <v>32322</v>
      </c>
      <c r="F59" s="19">
        <v>446.3</v>
      </c>
      <c r="G59" s="20">
        <v>0.79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130</v>
      </c>
      <c r="E60" s="18">
        <v>98862</v>
      </c>
      <c r="F60" s="19">
        <v>439.64</v>
      </c>
      <c r="G60" s="20">
        <v>0.77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3187</v>
      </c>
      <c r="F61" s="19">
        <v>430.37</v>
      </c>
      <c r="G61" s="20">
        <v>0.76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135588</v>
      </c>
      <c r="F62" s="19">
        <v>425.2</v>
      </c>
      <c r="G62" s="20">
        <v>0.75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110</v>
      </c>
      <c r="E63" s="18">
        <v>59008</v>
      </c>
      <c r="F63" s="19">
        <v>422.08</v>
      </c>
      <c r="G63" s="20">
        <v>0.74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42</v>
      </c>
      <c r="E64" s="18">
        <v>3660</v>
      </c>
      <c r="F64" s="19">
        <v>385.32</v>
      </c>
      <c r="G64" s="20">
        <v>0.68</v>
      </c>
      <c r="H64" s="21"/>
    </row>
    <row r="65" spans="2:8" ht="24" customHeight="1" x14ac:dyDescent="0.25">
      <c r="B65" s="17" t="s">
        <v>141</v>
      </c>
      <c r="C65" s="17" t="s">
        <v>142</v>
      </c>
      <c r="D65" s="17" t="s">
        <v>143</v>
      </c>
      <c r="E65" s="18">
        <v>40000</v>
      </c>
      <c r="F65" s="19">
        <v>369.88</v>
      </c>
      <c r="G65" s="20">
        <v>0.65</v>
      </c>
      <c r="H65" s="21"/>
    </row>
    <row r="66" spans="2:8" ht="24" customHeight="1" x14ac:dyDescent="0.25">
      <c r="B66" s="17" t="s">
        <v>144</v>
      </c>
      <c r="C66" s="17" t="s">
        <v>145</v>
      </c>
      <c r="D66" s="17" t="s">
        <v>32</v>
      </c>
      <c r="E66" s="18">
        <v>29380</v>
      </c>
      <c r="F66" s="19">
        <v>317.13</v>
      </c>
      <c r="G66" s="20">
        <v>0.56000000000000005</v>
      </c>
      <c r="H66" s="21"/>
    </row>
    <row r="67" spans="2:8" ht="24" customHeight="1" x14ac:dyDescent="0.25">
      <c r="B67" s="17" t="s">
        <v>146</v>
      </c>
      <c r="C67" s="17" t="s">
        <v>147</v>
      </c>
      <c r="D67" s="17" t="s">
        <v>32</v>
      </c>
      <c r="E67" s="18">
        <v>17725</v>
      </c>
      <c r="F67" s="19">
        <v>306.77999999999997</v>
      </c>
      <c r="G67" s="20">
        <v>0.54</v>
      </c>
      <c r="H67" s="21"/>
    </row>
    <row r="68" spans="2:8" ht="24" customHeight="1" x14ac:dyDescent="0.25">
      <c r="B68" s="28" t="s">
        <v>148</v>
      </c>
      <c r="C68" s="28"/>
      <c r="D68" s="28"/>
      <c r="E68" s="29"/>
      <c r="F68" s="30">
        <v>55036.83</v>
      </c>
      <c r="G68" s="31">
        <v>96.94</v>
      </c>
      <c r="H68" s="32"/>
    </row>
    <row r="69" spans="2:8" ht="24" customHeight="1" x14ac:dyDescent="0.25">
      <c r="B69" s="17"/>
      <c r="C69" s="17"/>
      <c r="D69" s="17"/>
      <c r="E69" s="18"/>
      <c r="F69" s="19"/>
      <c r="G69" s="20"/>
      <c r="H69" s="21"/>
    </row>
    <row r="70" spans="2:8" ht="24" customHeight="1" x14ac:dyDescent="0.25">
      <c r="B70" s="22" t="s">
        <v>149</v>
      </c>
      <c r="C70" s="23"/>
      <c r="D70" s="23"/>
      <c r="E70" s="24"/>
      <c r="F70" s="25"/>
      <c r="G70" s="26"/>
      <c r="H70" s="27"/>
    </row>
    <row r="71" spans="2:8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8" ht="24" customHeight="1" x14ac:dyDescent="0.25">
      <c r="B72" s="28" t="s">
        <v>148</v>
      </c>
      <c r="C72" s="17"/>
      <c r="D72" s="17"/>
      <c r="E72" s="18"/>
      <c r="F72" s="33" t="s">
        <v>150</v>
      </c>
      <c r="G72" s="33" t="s">
        <v>150</v>
      </c>
      <c r="H72" s="21"/>
    </row>
    <row r="73" spans="2:8" ht="24" customHeight="1" x14ac:dyDescent="0.25">
      <c r="B73" s="17"/>
      <c r="C73" s="17"/>
      <c r="D73" s="17"/>
      <c r="E73" s="18"/>
      <c r="F73" s="19"/>
      <c r="G73" s="20"/>
      <c r="H73" s="21"/>
    </row>
    <row r="74" spans="2:8" ht="24" customHeight="1" x14ac:dyDescent="0.25">
      <c r="B74" s="34" t="s">
        <v>151</v>
      </c>
      <c r="C74" s="35"/>
      <c r="D74" s="35"/>
      <c r="E74" s="36"/>
      <c r="F74" s="30">
        <v>55036.83</v>
      </c>
      <c r="G74" s="31">
        <v>96.94</v>
      </c>
      <c r="H74" s="32"/>
    </row>
    <row r="75" spans="2:8" ht="24" customHeight="1" x14ac:dyDescent="0.25">
      <c r="B75" s="11" t="s">
        <v>152</v>
      </c>
      <c r="C75" s="12"/>
      <c r="D75" s="12"/>
      <c r="E75" s="13"/>
      <c r="F75" s="14"/>
      <c r="G75" s="15"/>
      <c r="H75" s="16"/>
    </row>
    <row r="76" spans="2:8" ht="24" customHeight="1" x14ac:dyDescent="0.25">
      <c r="B76" s="28"/>
      <c r="C76" s="17"/>
      <c r="D76" s="17"/>
      <c r="E76" s="18"/>
      <c r="F76" s="19"/>
      <c r="G76" s="20"/>
      <c r="H76" s="37"/>
    </row>
    <row r="77" spans="2:8" ht="24" customHeight="1" x14ac:dyDescent="0.25">
      <c r="B77" s="22" t="s">
        <v>153</v>
      </c>
      <c r="C77" s="23"/>
      <c r="D77" s="23"/>
      <c r="E77" s="24"/>
      <c r="F77" s="25"/>
      <c r="G77" s="26"/>
      <c r="H77" s="27"/>
    </row>
    <row r="78" spans="2:8" ht="24" customHeight="1" x14ac:dyDescent="0.25">
      <c r="B78" s="17"/>
      <c r="C78" s="17"/>
      <c r="D78" s="17"/>
      <c r="E78" s="18"/>
      <c r="F78" s="19"/>
      <c r="G78" s="20"/>
      <c r="H78" s="38"/>
    </row>
    <row r="79" spans="2:8" ht="24" customHeight="1" x14ac:dyDescent="0.25">
      <c r="B79" s="28" t="s">
        <v>148</v>
      </c>
      <c r="C79" s="17"/>
      <c r="D79" s="17"/>
      <c r="E79" s="18"/>
      <c r="F79" s="33" t="s">
        <v>150</v>
      </c>
      <c r="G79" s="33" t="s">
        <v>150</v>
      </c>
      <c r="H79" s="21"/>
    </row>
    <row r="80" spans="2:8" ht="24" customHeight="1" x14ac:dyDescent="0.25">
      <c r="B80" s="17"/>
      <c r="C80" s="17"/>
      <c r="D80" s="17"/>
      <c r="E80" s="18"/>
      <c r="F80" s="19"/>
      <c r="G80" s="20"/>
      <c r="H80" s="21"/>
    </row>
    <row r="81" spans="2:8" ht="24" customHeight="1" x14ac:dyDescent="0.25">
      <c r="B81" s="22" t="s">
        <v>154</v>
      </c>
      <c r="C81" s="23"/>
      <c r="D81" s="23"/>
      <c r="E81" s="24"/>
      <c r="F81" s="25"/>
      <c r="G81" s="26"/>
      <c r="H81" s="27"/>
    </row>
    <row r="82" spans="2:8" ht="24" customHeight="1" x14ac:dyDescent="0.25">
      <c r="B82" s="17"/>
      <c r="C82" s="17"/>
      <c r="D82" s="17"/>
      <c r="E82" s="18"/>
      <c r="F82" s="20">
        <v>0</v>
      </c>
      <c r="G82" s="20">
        <v>0</v>
      </c>
      <c r="H82" s="21"/>
    </row>
    <row r="83" spans="2:8" ht="24" customHeight="1" x14ac:dyDescent="0.25">
      <c r="B83" s="28" t="s">
        <v>148</v>
      </c>
      <c r="C83" s="28"/>
      <c r="D83" s="28"/>
      <c r="E83" s="29"/>
      <c r="F83" s="33" t="s">
        <v>150</v>
      </c>
      <c r="G83" s="33" t="s">
        <v>150</v>
      </c>
      <c r="H83" s="32"/>
    </row>
    <row r="84" spans="2:8" ht="24" customHeight="1" x14ac:dyDescent="0.25">
      <c r="B84" s="28"/>
      <c r="C84" s="28"/>
      <c r="D84" s="28"/>
      <c r="E84" s="29"/>
      <c r="F84" s="39"/>
      <c r="G84" s="40"/>
      <c r="H84" s="32"/>
    </row>
    <row r="85" spans="2:8" ht="24" customHeight="1" x14ac:dyDescent="0.25">
      <c r="B85" s="22" t="s">
        <v>155</v>
      </c>
      <c r="C85" s="23"/>
      <c r="D85" s="23"/>
      <c r="E85" s="24"/>
      <c r="F85" s="25"/>
      <c r="G85" s="26"/>
      <c r="H85" s="27"/>
    </row>
    <row r="86" spans="2:8" ht="24" customHeight="1" x14ac:dyDescent="0.25">
      <c r="B86" s="17"/>
      <c r="C86" s="17"/>
      <c r="D86" s="17"/>
      <c r="E86" s="18"/>
      <c r="F86" s="20">
        <v>0</v>
      </c>
      <c r="G86" s="20">
        <v>0</v>
      </c>
      <c r="H86" s="21"/>
    </row>
    <row r="87" spans="2:8" ht="24" customHeight="1" x14ac:dyDescent="0.25">
      <c r="B87" s="28" t="s">
        <v>148</v>
      </c>
      <c r="C87" s="17"/>
      <c r="D87" s="17"/>
      <c r="E87" s="18"/>
      <c r="F87" s="33" t="s">
        <v>150</v>
      </c>
      <c r="G87" s="33" t="s">
        <v>150</v>
      </c>
      <c r="H87" s="21"/>
    </row>
    <row r="88" spans="2:8" ht="24" customHeight="1" x14ac:dyDescent="0.25">
      <c r="B88" s="17"/>
      <c r="C88" s="17"/>
      <c r="D88" s="17"/>
      <c r="E88" s="18"/>
      <c r="F88" s="19"/>
      <c r="G88" s="20"/>
      <c r="H88" s="21"/>
    </row>
    <row r="89" spans="2:8" ht="24" customHeight="1" x14ac:dyDescent="0.25">
      <c r="B89" s="34" t="s">
        <v>151</v>
      </c>
      <c r="C89" s="35"/>
      <c r="D89" s="35"/>
      <c r="E89" s="36"/>
      <c r="F89" s="33" t="s">
        <v>150</v>
      </c>
      <c r="G89" s="33" t="s">
        <v>150</v>
      </c>
      <c r="H89" s="32"/>
    </row>
    <row r="90" spans="2:8" ht="24" customHeight="1" x14ac:dyDescent="0.25">
      <c r="B90" s="41"/>
      <c r="C90" s="42"/>
      <c r="D90" s="42"/>
      <c r="E90" s="43"/>
      <c r="F90" s="39"/>
      <c r="G90" s="40"/>
      <c r="H90" s="32"/>
    </row>
    <row r="91" spans="2:8" ht="24" customHeight="1" x14ac:dyDescent="0.25">
      <c r="B91" s="22" t="s">
        <v>156</v>
      </c>
      <c r="C91" s="23"/>
      <c r="D91" s="23"/>
      <c r="E91" s="24"/>
      <c r="F91" s="25"/>
      <c r="G91" s="26"/>
      <c r="H91" s="27"/>
    </row>
    <row r="92" spans="2:8" ht="24" customHeight="1" x14ac:dyDescent="0.25">
      <c r="B92" s="17" t="s">
        <v>157</v>
      </c>
      <c r="C92" s="17" t="s">
        <v>158</v>
      </c>
      <c r="D92" s="17" t="s">
        <v>159</v>
      </c>
      <c r="E92" s="18">
        <v>239480</v>
      </c>
      <c r="F92" s="19">
        <v>24.6</v>
      </c>
      <c r="G92" s="20">
        <v>0.04</v>
      </c>
      <c r="H92" s="21">
        <v>6.33</v>
      </c>
    </row>
    <row r="93" spans="2:8" ht="24" customHeight="1" x14ac:dyDescent="0.25">
      <c r="B93" s="28" t="s">
        <v>148</v>
      </c>
      <c r="C93" s="17"/>
      <c r="D93" s="17"/>
      <c r="E93" s="18"/>
      <c r="F93" s="31">
        <f>SUM(F92)</f>
        <v>24.6</v>
      </c>
      <c r="G93" s="31">
        <f>SUM(G92)</f>
        <v>0.04</v>
      </c>
      <c r="H93" s="21"/>
    </row>
    <row r="94" spans="2:8" ht="24" customHeight="1" x14ac:dyDescent="0.25">
      <c r="B94" s="28"/>
      <c r="C94" s="17"/>
      <c r="D94" s="17"/>
      <c r="E94" s="18"/>
      <c r="F94" s="40"/>
      <c r="G94" s="40"/>
      <c r="H94" s="21"/>
    </row>
    <row r="95" spans="2:8" ht="24" customHeight="1" x14ac:dyDescent="0.25">
      <c r="B95" s="34" t="s">
        <v>151</v>
      </c>
      <c r="C95" s="35"/>
      <c r="D95" s="35"/>
      <c r="E95" s="36"/>
      <c r="F95" s="30">
        <f>F93</f>
        <v>24.6</v>
      </c>
      <c r="G95" s="30">
        <f>G93</f>
        <v>0.04</v>
      </c>
      <c r="H95" s="32"/>
    </row>
    <row r="96" spans="2:8" ht="24" customHeight="1" x14ac:dyDescent="0.25">
      <c r="B96" s="17"/>
      <c r="C96" s="17"/>
      <c r="D96" s="17"/>
      <c r="E96" s="18"/>
      <c r="F96" s="19"/>
      <c r="G96" s="20"/>
      <c r="H96" s="21"/>
    </row>
    <row r="97" spans="2:13" ht="24" customHeight="1" x14ac:dyDescent="0.25">
      <c r="B97" s="11" t="s">
        <v>160</v>
      </c>
      <c r="C97" s="12"/>
      <c r="D97" s="12"/>
      <c r="E97" s="13"/>
      <c r="F97" s="14"/>
      <c r="G97" s="15"/>
      <c r="H97" s="16"/>
      <c r="L97" s="44"/>
    </row>
    <row r="98" spans="2:13" ht="24" customHeight="1" x14ac:dyDescent="0.25">
      <c r="B98" s="17"/>
      <c r="C98" s="17"/>
      <c r="D98" s="17"/>
      <c r="E98" s="18"/>
      <c r="F98" s="19"/>
      <c r="G98" s="20"/>
      <c r="H98" s="21"/>
    </row>
    <row r="99" spans="2:13" ht="24" customHeight="1" x14ac:dyDescent="0.25">
      <c r="B99" s="22" t="s">
        <v>161</v>
      </c>
      <c r="C99" s="23"/>
      <c r="D99" s="23"/>
      <c r="E99" s="24"/>
      <c r="F99" s="25"/>
      <c r="G99" s="26"/>
      <c r="H99" s="27"/>
      <c r="L99" s="44"/>
    </row>
    <row r="100" spans="2:13" ht="24" customHeight="1" x14ac:dyDescent="0.25">
      <c r="B100" s="17" t="s">
        <v>162</v>
      </c>
      <c r="C100" s="17" t="s">
        <v>163</v>
      </c>
      <c r="D100" s="17" t="s">
        <v>164</v>
      </c>
      <c r="E100" s="18">
        <v>50000</v>
      </c>
      <c r="F100" s="19">
        <v>48.27</v>
      </c>
      <c r="G100" s="20">
        <v>0.09</v>
      </c>
      <c r="H100" s="21">
        <v>5.4</v>
      </c>
      <c r="L100" s="44"/>
    </row>
    <row r="101" spans="2:13" ht="24" customHeight="1" x14ac:dyDescent="0.25">
      <c r="B101" s="28" t="s">
        <v>148</v>
      </c>
      <c r="C101" s="28"/>
      <c r="D101" s="28"/>
      <c r="E101" s="29"/>
      <c r="F101" s="30">
        <v>48.27</v>
      </c>
      <c r="G101" s="31">
        <v>0.09</v>
      </c>
      <c r="H101" s="32"/>
      <c r="L101" s="44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  <c r="L102" s="44"/>
    </row>
    <row r="103" spans="2:13" ht="24" customHeight="1" x14ac:dyDescent="0.25">
      <c r="B103" s="34" t="s">
        <v>151</v>
      </c>
      <c r="C103" s="35"/>
      <c r="D103" s="35"/>
      <c r="E103" s="36"/>
      <c r="F103" s="30">
        <v>48.27</v>
      </c>
      <c r="G103" s="31">
        <v>0.09</v>
      </c>
      <c r="H103" s="32"/>
      <c r="L103" s="44"/>
    </row>
    <row r="104" spans="2:13" ht="24" customHeight="1" x14ac:dyDescent="0.25">
      <c r="B104" s="17"/>
      <c r="C104" s="17"/>
      <c r="D104" s="17"/>
      <c r="E104" s="18"/>
      <c r="F104" s="19"/>
      <c r="G104" s="20"/>
      <c r="H104" s="21"/>
      <c r="L104" s="45"/>
      <c r="M104" s="45"/>
    </row>
    <row r="105" spans="2:13" ht="24" customHeight="1" x14ac:dyDescent="0.25">
      <c r="B105" s="17"/>
      <c r="C105" s="17"/>
      <c r="D105" s="17"/>
      <c r="E105" s="18"/>
      <c r="F105" s="19"/>
      <c r="G105" s="20"/>
      <c r="H105" s="21"/>
    </row>
    <row r="106" spans="2:13" ht="24" customHeight="1" x14ac:dyDescent="0.25">
      <c r="B106" s="11" t="s">
        <v>165</v>
      </c>
      <c r="C106" s="12"/>
      <c r="D106" s="12"/>
      <c r="E106" s="13"/>
      <c r="F106" s="14"/>
      <c r="G106" s="15"/>
      <c r="H106" s="16"/>
    </row>
    <row r="107" spans="2:13" ht="24" customHeight="1" x14ac:dyDescent="0.25">
      <c r="B107" s="17" t="s">
        <v>166</v>
      </c>
      <c r="C107" s="17"/>
      <c r="D107" s="17"/>
      <c r="E107" s="18"/>
      <c r="F107" s="19">
        <v>1645.99</v>
      </c>
      <c r="G107" s="20">
        <v>2.9</v>
      </c>
      <c r="H107" s="21"/>
      <c r="L107" s="46"/>
      <c r="M107" s="46"/>
    </row>
    <row r="108" spans="2:13" ht="24" customHeight="1" x14ac:dyDescent="0.25">
      <c r="B108" s="28" t="s">
        <v>148</v>
      </c>
      <c r="C108" s="28"/>
      <c r="D108" s="28"/>
      <c r="E108" s="29"/>
      <c r="F108" s="30">
        <v>1645.99</v>
      </c>
      <c r="G108" s="31">
        <v>2.9</v>
      </c>
      <c r="H108" s="32"/>
      <c r="L108" s="46"/>
      <c r="M108" s="46"/>
    </row>
    <row r="109" spans="2:13" ht="24" customHeight="1" x14ac:dyDescent="0.25">
      <c r="B109" s="17"/>
      <c r="C109" s="17"/>
      <c r="D109" s="17"/>
      <c r="E109" s="18"/>
      <c r="F109" s="19"/>
      <c r="G109" s="20"/>
      <c r="H109" s="21"/>
      <c r="L109" s="46"/>
      <c r="M109" s="46"/>
    </row>
    <row r="110" spans="2:13" ht="24" customHeight="1" x14ac:dyDescent="0.25">
      <c r="B110" s="34" t="s">
        <v>151</v>
      </c>
      <c r="C110" s="35"/>
      <c r="D110" s="35"/>
      <c r="E110" s="36"/>
      <c r="F110" s="30">
        <v>1645.99</v>
      </c>
      <c r="G110" s="31">
        <v>2.9</v>
      </c>
      <c r="H110" s="32"/>
      <c r="L110" s="46"/>
      <c r="M110" s="46"/>
    </row>
    <row r="111" spans="2:13" ht="24" customHeight="1" x14ac:dyDescent="0.25">
      <c r="B111" s="17"/>
      <c r="C111" s="17"/>
      <c r="D111" s="17"/>
      <c r="E111" s="18"/>
      <c r="F111" s="19"/>
      <c r="G111" s="20"/>
      <c r="H111" s="21"/>
      <c r="L111" s="46"/>
      <c r="M111" s="46"/>
    </row>
    <row r="112" spans="2:13" ht="24" customHeight="1" x14ac:dyDescent="0.25">
      <c r="B112" s="17" t="s">
        <v>167</v>
      </c>
      <c r="C112" s="17"/>
      <c r="D112" s="17"/>
      <c r="E112" s="18"/>
      <c r="F112" s="19">
        <v>18.18</v>
      </c>
      <c r="G112" s="20">
        <v>2.9999999999986926E-2</v>
      </c>
      <c r="H112" s="21"/>
      <c r="L112" s="46"/>
      <c r="M112" s="46"/>
    </row>
    <row r="113" spans="2:13" ht="24" customHeight="1" x14ac:dyDescent="0.25">
      <c r="B113" s="17"/>
      <c r="C113" s="17"/>
      <c r="D113" s="17"/>
      <c r="E113" s="18"/>
      <c r="F113" s="19"/>
      <c r="G113" s="20"/>
      <c r="H113" s="21"/>
      <c r="L113" s="46"/>
      <c r="M113" s="46"/>
    </row>
    <row r="114" spans="2:13" ht="24" customHeight="1" x14ac:dyDescent="0.25">
      <c r="B114" s="34" t="s">
        <v>168</v>
      </c>
      <c r="C114" s="35"/>
      <c r="D114" s="35"/>
      <c r="E114" s="36"/>
      <c r="F114" s="30">
        <v>56773.87</v>
      </c>
      <c r="G114" s="31">
        <v>100</v>
      </c>
      <c r="H114" s="47"/>
    </row>
    <row r="115" spans="2:13" ht="24" customHeight="1" x14ac:dyDescent="0.25">
      <c r="B115" s="4"/>
      <c r="L115" s="44"/>
    </row>
    <row r="116" spans="2:13" ht="24" customHeight="1" x14ac:dyDescent="0.25">
      <c r="B116" s="50" t="s">
        <v>169</v>
      </c>
      <c r="F116" s="51"/>
      <c r="G116" s="51"/>
    </row>
    <row r="117" spans="2:13" ht="24" customHeight="1" x14ac:dyDescent="0.25">
      <c r="B117" s="50" t="s">
        <v>170</v>
      </c>
      <c r="F117" s="51"/>
      <c r="G117" s="51"/>
    </row>
    <row r="123" spans="2:13" ht="24" customHeight="1" x14ac:dyDescent="0.25">
      <c r="B123" s="42" t="s">
        <v>171</v>
      </c>
    </row>
    <row r="124" spans="2:13" ht="24" customHeight="1" x14ac:dyDescent="0.25">
      <c r="B124" s="48" t="s">
        <v>172</v>
      </c>
    </row>
    <row r="125" spans="2:13" ht="24" customHeight="1" x14ac:dyDescent="0.25">
      <c r="B125" s="52" t="s">
        <v>173</v>
      </c>
      <c r="C125" s="53">
        <v>46052</v>
      </c>
      <c r="D125" s="54">
        <v>46080</v>
      </c>
    </row>
    <row r="126" spans="2:13" ht="24" customHeight="1" x14ac:dyDescent="0.25">
      <c r="B126" s="55" t="s">
        <v>174</v>
      </c>
      <c r="C126" s="56" t="s">
        <v>175</v>
      </c>
      <c r="D126" s="57" t="s">
        <v>175</v>
      </c>
      <c r="E126" s="4"/>
      <c r="F126" s="4"/>
      <c r="G126" s="4"/>
      <c r="H126" s="4"/>
    </row>
    <row r="127" spans="2:13" ht="24" customHeight="1" x14ac:dyDescent="0.25">
      <c r="B127" s="58" t="s">
        <v>176</v>
      </c>
      <c r="C127" s="59">
        <v>402.09</v>
      </c>
      <c r="D127" s="60">
        <v>402.15</v>
      </c>
      <c r="E127" s="4"/>
      <c r="F127" s="4"/>
      <c r="G127" s="4"/>
      <c r="H127" s="4"/>
    </row>
    <row r="128" spans="2:13" ht="24" customHeight="1" x14ac:dyDescent="0.25">
      <c r="B128" s="58" t="s">
        <v>177</v>
      </c>
      <c r="C128" s="59">
        <v>27.68</v>
      </c>
      <c r="D128" s="60">
        <v>27.69</v>
      </c>
      <c r="E128" s="4"/>
      <c r="F128" s="4"/>
      <c r="G128" s="4"/>
      <c r="H128" s="4"/>
    </row>
    <row r="129" spans="2:8" ht="24" customHeight="1" x14ac:dyDescent="0.25">
      <c r="B129" s="55" t="s">
        <v>178</v>
      </c>
      <c r="C129" s="56"/>
      <c r="D129" s="57"/>
      <c r="E129" s="4"/>
      <c r="F129" s="4"/>
      <c r="G129" s="4"/>
      <c r="H129" s="4"/>
    </row>
    <row r="130" spans="2:8" ht="24" customHeight="1" x14ac:dyDescent="0.25">
      <c r="B130" s="58" t="s">
        <v>176</v>
      </c>
      <c r="C130" s="59">
        <v>336.14</v>
      </c>
      <c r="D130" s="60">
        <v>335.8</v>
      </c>
      <c r="E130" s="4"/>
      <c r="F130" s="4"/>
      <c r="G130" s="4"/>
      <c r="H130" s="4"/>
    </row>
    <row r="131" spans="2:8" ht="24" customHeight="1" x14ac:dyDescent="0.25">
      <c r="B131" s="61" t="s">
        <v>177</v>
      </c>
      <c r="C131" s="62">
        <v>19.23</v>
      </c>
      <c r="D131" s="63">
        <v>19.21</v>
      </c>
      <c r="E131" s="4"/>
      <c r="F131" s="4"/>
      <c r="G131" s="4"/>
      <c r="H131" s="4"/>
    </row>
    <row r="132" spans="2:8" ht="24" customHeight="1" x14ac:dyDescent="0.25">
      <c r="C132" s="64"/>
      <c r="D132" s="64"/>
      <c r="E132" s="4"/>
      <c r="F132" s="4"/>
      <c r="G132" s="4"/>
      <c r="H132" s="4"/>
    </row>
    <row r="133" spans="2:8" ht="24" customHeight="1" x14ac:dyDescent="0.25">
      <c r="B133" s="48" t="s">
        <v>179</v>
      </c>
      <c r="D133" s="45" t="s">
        <v>150</v>
      </c>
    </row>
    <row r="135" spans="2:8" ht="24" customHeight="1" x14ac:dyDescent="0.25">
      <c r="B135" s="48" t="s">
        <v>180</v>
      </c>
      <c r="D135" s="45" t="s">
        <v>150</v>
      </c>
    </row>
    <row r="137" spans="2:8" ht="24" customHeight="1" x14ac:dyDescent="0.25">
      <c r="B137" s="48" t="s">
        <v>181</v>
      </c>
      <c r="D137" s="45" t="s">
        <v>150</v>
      </c>
    </row>
    <row r="139" spans="2:8" ht="24" customHeight="1" x14ac:dyDescent="0.25">
      <c r="B139" s="48" t="s">
        <v>182</v>
      </c>
      <c r="D139" s="45" t="s">
        <v>150</v>
      </c>
    </row>
    <row r="141" spans="2:8" ht="24" customHeight="1" x14ac:dyDescent="0.25">
      <c r="B141" s="48" t="s">
        <v>183</v>
      </c>
      <c r="D141" s="45">
        <v>0.24</v>
      </c>
    </row>
    <row r="143" spans="2:8" ht="24" customHeight="1" x14ac:dyDescent="0.25">
      <c r="B143" s="48" t="s">
        <v>184</v>
      </c>
      <c r="D143" s="45" t="s">
        <v>150</v>
      </c>
    </row>
    <row r="145" spans="2:4" ht="24" customHeight="1" x14ac:dyDescent="0.25">
      <c r="B145" s="48" t="s">
        <v>185</v>
      </c>
      <c r="D145" s="45" t="s">
        <v>150</v>
      </c>
    </row>
    <row r="146" spans="2:4" ht="24" customHeight="1" x14ac:dyDescent="0.25">
      <c r="B146" s="48" t="s">
        <v>186</v>
      </c>
      <c r="D146" s="45" t="s">
        <v>150</v>
      </c>
    </row>
    <row r="148" spans="2:4" ht="24" customHeight="1" x14ac:dyDescent="0.25">
      <c r="B148" s="65" t="s">
        <v>187</v>
      </c>
      <c r="D148" s="45" t="s">
        <v>150</v>
      </c>
    </row>
    <row r="150" spans="2:4" ht="24" customHeight="1" x14ac:dyDescent="0.25">
      <c r="B150" s="48" t="s">
        <v>188</v>
      </c>
      <c r="D150" s="45" t="s">
        <v>150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2026-03-09T08:43:20Z</dcterms:modified>
</cp:coreProperties>
</file>