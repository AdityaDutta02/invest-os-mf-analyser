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EB3FADB7-C810-4A23-9978-303FC42713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Cap'!$B$137:$C$141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2" l="1"/>
  <c r="F88" i="2"/>
  <c r="G86" i="2"/>
  <c r="F86" i="2"/>
</calcChain>
</file>

<file path=xl/sharedStrings.xml><?xml version="1.0" encoding="utf-8"?>
<sst xmlns="http://schemas.openxmlformats.org/spreadsheetml/2006/main" count="232" uniqueCount="179">
  <si>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</si>
  <si>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</si>
  <si>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</si>
  <si>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</si>
  <si>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</si>
  <si>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</si>
  <si>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</si>
  <si>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</si>
  <si>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</si>
  <si>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</si>
  <si>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</si>
  <si>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</si>
  <si>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</si>
  <si>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</si>
  <si>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</si>
  <si>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</si>
  <si>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</si>
  <si>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</si>
  <si>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</si>
  <si>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</si>
  <si>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</si>
  <si>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</si>
  <si>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</si>
  <si>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</si>
  <si>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</si>
  <si>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</si>
  <si>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</si>
  <si>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</si>
  <si>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</si>
  <si>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</si>
  <si>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</si>
  <si>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</si>
  <si>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</si>
  <si>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Eternal Ltd.</t>
  </si>
  <si>
    <t>INE758T01015</t>
  </si>
  <si>
    <t>Retailing</t>
  </si>
  <si>
    <t>Bajaj Finance Ltd.</t>
  </si>
  <si>
    <t>INE296A01032</t>
  </si>
  <si>
    <t>Finance</t>
  </si>
  <si>
    <t>Maruti Suzuki India Ltd.</t>
  </si>
  <si>
    <t>INE585B01010</t>
  </si>
  <si>
    <t>Automobiles</t>
  </si>
  <si>
    <t>TVS Motor Company Ltd.</t>
  </si>
  <si>
    <t>INE494B01023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</si>
  <si>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</si>
  <si>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</si>
  <si>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</si>
  <si>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</si>
  <si>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</si>
  <si>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</si>
  <si>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Muthoot Finance Ltd.</t>
  </si>
  <si>
    <t>INE414G01012</t>
  </si>
  <si>
    <t>Kotak Mahindra Bank Ltd.</t>
  </si>
  <si>
    <t>INE237A01028</t>
  </si>
  <si>
    <t>Mahindra &amp; Mahindra Ltd.</t>
  </si>
  <si>
    <t>INE101A01026</t>
  </si>
  <si>
    <t>Titan Company Ltd.</t>
  </si>
  <si>
    <t>INE280A01028</t>
  </si>
  <si>
    <t>Consumer Durables</t>
  </si>
  <si>
    <t>Infosys Ltd.</t>
  </si>
  <si>
    <t>INE009A01021</t>
  </si>
  <si>
    <t>Tata Capital Ltd.</t>
  </si>
  <si>
    <t>INE976I01016</t>
  </si>
  <si>
    <t>Divi's Laboratories Ltd.</t>
  </si>
  <si>
    <t>INE361B01024</t>
  </si>
  <si>
    <t>Pharmaceuticals &amp; Biotechnology</t>
  </si>
  <si>
    <t>NTPC Ltd.</t>
  </si>
  <si>
    <t>INE733E01010</t>
  </si>
  <si>
    <t>Power</t>
  </si>
  <si>
    <t>CG Power and Industrial Solutions Ltd.</t>
  </si>
  <si>
    <t>INE067A01029</t>
  </si>
  <si>
    <t>Electrical Equipment</t>
  </si>
  <si>
    <t>ICICI Lombard General Insurance Co. Ltd.</t>
  </si>
  <si>
    <t>INE765G01017</t>
  </si>
  <si>
    <t>Insurance</t>
  </si>
  <si>
    <t>Persistent Systems Ltd.</t>
  </si>
  <si>
    <t>INE262H01021</t>
  </si>
  <si>
    <t>Mankind Pharma Ltd.</t>
  </si>
  <si>
    <t>INE634S01028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</si>
  <si>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</si>
  <si>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</si>
  <si>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</si>
  <si>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</si>
  <si>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</si>
  <si>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</si>
  <si>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Britannia Industries Ltd.</t>
  </si>
  <si>
    <t>INE216A01030</t>
  </si>
  <si>
    <t>Food Products</t>
  </si>
  <si>
    <t>Tech Mahindra Ltd.</t>
  </si>
  <si>
    <t>INE669C01036</t>
  </si>
  <si>
    <t>United Spirits Ltd.</t>
  </si>
  <si>
    <t>INE854D01024</t>
  </si>
  <si>
    <t>Prestige Estates Projects Ltd.</t>
  </si>
  <si>
    <t>INE811K01011</t>
  </si>
  <si>
    <t>Realty</t>
  </si>
  <si>
    <t>Dr. Reddy's Laboratories Ltd.</t>
  </si>
  <si>
    <t>INE089A01031</t>
  </si>
  <si>
    <t>Eicher Motors Ltd.</t>
  </si>
  <si>
    <t>INE066A01021</t>
  </si>
  <si>
    <t>JSW Steel Ltd.</t>
  </si>
  <si>
    <t>INE019A01038</t>
  </si>
  <si>
    <t>Ferrous Metals</t>
  </si>
  <si>
    <t>Max Healthcare Institute Ltd.</t>
  </si>
  <si>
    <t>INE027H01010</t>
  </si>
  <si>
    <t>Healthcare Services</t>
  </si>
  <si>
    <t>Solar Industries India Ltd.</t>
  </si>
  <si>
    <t>INE343H01029</t>
  </si>
  <si>
    <t>Chemicals &amp; Petrochemicals</t>
  </si>
  <si>
    <t>Samvardhana Motherson International Ltd.</t>
  </si>
  <si>
    <t>INE775A01035</t>
  </si>
  <si>
    <t>Auto Components</t>
  </si>
  <si>
    <t>ITC Ltd.</t>
  </si>
  <si>
    <t>INE154A01025</t>
  </si>
  <si>
    <t>Diversified FMCG</t>
  </si>
  <si>
    <t>ICICI Prudential Asset Mgmt Co Ltd.</t>
  </si>
  <si>
    <t>INE346A01027</t>
  </si>
  <si>
    <t>Capital Markets</t>
  </si>
  <si>
    <t>Sun Pharmaceutical Industries Ltd.</t>
  </si>
  <si>
    <t>INE044A01036</t>
  </si>
  <si>
    <t>LG Electronics India Ltd.</t>
  </si>
  <si>
    <t>INE324D01010</t>
  </si>
  <si>
    <t>Dixon Technologies (India) Ltd.</t>
  </si>
  <si>
    <t>INE935N01020</t>
  </si>
  <si>
    <t>HDFC Life Insurance Company Ltd.</t>
  </si>
  <si>
    <t>INE795G01014</t>
  </si>
  <si>
    <t>Vishal Mega Mart Ltd</t>
  </si>
  <si>
    <t>INE01EA01019</t>
  </si>
  <si>
    <t>Hindalco Industries Ltd.</t>
  </si>
  <si>
    <t>INE038A01020</t>
  </si>
  <si>
    <t>Non - Ferrous Metals</t>
  </si>
  <si>
    <t>The Indian Hotels Company Ltd.</t>
  </si>
  <si>
    <t>INE053A01029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</si>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</sst>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168" fontId="4" fillId="0" borderId="8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769CD839-6198-49B6-9CE0-C7C54A6BA3A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AB345A9D-48C0-4BBB-AC08-FCCAC91C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C088F2E4-0B80-49D7-A3A5-D5A924E4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2713-DC31-49B3-AC90-006A1B468E2B}">
  <sheetPr>
    <tabColor rgb="FFC00000"/>
  </sheetPr>
  <dimension ref="B1:M150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571054</v>
      </c>
      <c r="F16" s="19">
        <v>5660.29</v>
      </c>
      <c r="G16" s="20">
        <v>9.4700000000000006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344534</v>
      </c>
      <c r="F17" s="19">
        <v>5410.56</v>
      </c>
      <c r="G17" s="20">
        <v>9.0500000000000007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395964</v>
      </c>
      <c r="F18" s="19">
        <v>5317.4</v>
      </c>
      <c r="G18" s="20">
        <v>8.9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3003.79</v>
      </c>
      <c r="G19" s="20">
        <v>5.03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58972</v>
      </c>
      <c r="F20" s="19">
        <v>2408.12</v>
      </c>
      <c r="G20" s="20">
        <v>4.03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67863</v>
      </c>
      <c r="F21" s="19">
        <v>2175.8200000000002</v>
      </c>
      <c r="G21" s="20">
        <v>3.64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653198</v>
      </c>
      <c r="F22" s="19">
        <v>1816.22</v>
      </c>
      <c r="G22" s="20">
        <v>3.04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180279</v>
      </c>
      <c r="F23" s="19">
        <v>1778.99</v>
      </c>
      <c r="G23" s="20">
        <v>2.98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10254</v>
      </c>
      <c r="F24" s="19">
        <v>1712.11</v>
      </c>
      <c r="G24" s="20">
        <v>2.87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41</v>
      </c>
      <c r="E25" s="18">
        <v>45330</v>
      </c>
      <c r="F25" s="19">
        <v>1686.19</v>
      </c>
      <c r="G25" s="20">
        <v>2.82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308939</v>
      </c>
      <c r="F26" s="19">
        <v>1513.34</v>
      </c>
      <c r="G26" s="20">
        <v>2.5299999999999998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11792</v>
      </c>
      <c r="F27" s="19">
        <v>1389.57</v>
      </c>
      <c r="G27" s="20">
        <v>2.33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38</v>
      </c>
      <c r="E28" s="18">
        <v>35702</v>
      </c>
      <c r="F28" s="19">
        <v>1360.85</v>
      </c>
      <c r="G28" s="20">
        <v>2.2799999999999998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18</v>
      </c>
      <c r="E29" s="18">
        <v>56895</v>
      </c>
      <c r="F29" s="19">
        <v>1252.32</v>
      </c>
      <c r="G29" s="20">
        <v>2.1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41</v>
      </c>
      <c r="E30" s="18">
        <v>33250</v>
      </c>
      <c r="F30" s="19">
        <v>1233.31</v>
      </c>
      <c r="G30" s="20">
        <v>2.06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30190</v>
      </c>
      <c r="F31" s="19">
        <v>1223.1500000000001</v>
      </c>
      <c r="G31" s="20">
        <v>2.0499999999999998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32</v>
      </c>
      <c r="E32" s="18">
        <v>73358</v>
      </c>
      <c r="F32" s="19">
        <v>1185.03</v>
      </c>
      <c r="G32" s="20">
        <v>1.98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38</v>
      </c>
      <c r="E33" s="18">
        <v>322460</v>
      </c>
      <c r="F33" s="19">
        <v>1102.33</v>
      </c>
      <c r="G33" s="20">
        <v>1.84</v>
      </c>
      <c r="H33" s="21"/>
    </row>
    <row r="34" spans="2:8" ht="24" customHeight="1" x14ac:dyDescent="0.25">
      <c r="B34" s="17" t="s">
        <v>63</v>
      </c>
      <c r="C34" s="17" t="s">
        <v>64</v>
      </c>
      <c r="D34" s="17" t="s">
        <v>65</v>
      </c>
      <c r="E34" s="18">
        <v>16380</v>
      </c>
      <c r="F34" s="19">
        <v>1047.0899999999999</v>
      </c>
      <c r="G34" s="20">
        <v>1.75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317000</v>
      </c>
      <c r="F35" s="19">
        <v>1044.67</v>
      </c>
      <c r="G35" s="20">
        <v>1.75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136373</v>
      </c>
      <c r="F36" s="19">
        <v>883.56</v>
      </c>
      <c r="G36" s="20">
        <v>1.48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44368</v>
      </c>
      <c r="F37" s="19">
        <v>870.54</v>
      </c>
      <c r="G37" s="20">
        <v>1.46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32</v>
      </c>
      <c r="E38" s="18">
        <v>12360</v>
      </c>
      <c r="F38" s="19">
        <v>775.22</v>
      </c>
      <c r="G38" s="20">
        <v>1.3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65</v>
      </c>
      <c r="E39" s="18">
        <v>34023</v>
      </c>
      <c r="F39" s="19">
        <v>747.32</v>
      </c>
      <c r="G39" s="20">
        <v>1.25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40726</v>
      </c>
      <c r="F40" s="19">
        <v>743.49</v>
      </c>
      <c r="G40" s="20">
        <v>1.24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16745</v>
      </c>
      <c r="F41" s="19">
        <v>742.54</v>
      </c>
      <c r="G41" s="20">
        <v>1.24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12093</v>
      </c>
      <c r="F42" s="19">
        <v>729.33</v>
      </c>
      <c r="G42" s="20">
        <v>1.22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32</v>
      </c>
      <c r="E43" s="18">
        <v>41751</v>
      </c>
      <c r="F43" s="19">
        <v>664.22</v>
      </c>
      <c r="G43" s="20">
        <v>1.1100000000000001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46</v>
      </c>
      <c r="E44" s="18">
        <v>45902</v>
      </c>
      <c r="F44" s="19">
        <v>662.69</v>
      </c>
      <c r="G44" s="20">
        <v>1.1100000000000001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39836</v>
      </c>
      <c r="F45" s="19">
        <v>635.29999999999995</v>
      </c>
      <c r="G45" s="20">
        <v>1.06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65</v>
      </c>
      <c r="E46" s="18">
        <v>49310</v>
      </c>
      <c r="F46" s="19">
        <v>626.92999999999995</v>
      </c>
      <c r="G46" s="20">
        <v>1.05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41</v>
      </c>
      <c r="E47" s="18">
        <v>8420</v>
      </c>
      <c r="F47" s="19">
        <v>615.71</v>
      </c>
      <c r="G47" s="20">
        <v>1.03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50038</v>
      </c>
      <c r="F48" s="19">
        <v>582.84</v>
      </c>
      <c r="G48" s="20">
        <v>0.98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55307</v>
      </c>
      <c r="F49" s="19">
        <v>578.01</v>
      </c>
      <c r="G49" s="20">
        <v>0.97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4677</v>
      </c>
      <c r="F50" s="19">
        <v>573.03</v>
      </c>
      <c r="G50" s="20">
        <v>0.96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459600</v>
      </c>
      <c r="F51" s="19">
        <v>551.24</v>
      </c>
      <c r="G51" s="20">
        <v>0.92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135588</v>
      </c>
      <c r="F52" s="19">
        <v>546.41999999999996</v>
      </c>
      <c r="G52" s="20">
        <v>0.91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19570</v>
      </c>
      <c r="F53" s="19">
        <v>520.78</v>
      </c>
      <c r="G53" s="20">
        <v>0.87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65</v>
      </c>
      <c r="E54" s="18">
        <v>29660</v>
      </c>
      <c r="F54" s="19">
        <v>510.06</v>
      </c>
      <c r="G54" s="20">
        <v>0.85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58</v>
      </c>
      <c r="E55" s="18">
        <v>30404</v>
      </c>
      <c r="F55" s="19">
        <v>462.57</v>
      </c>
      <c r="G55" s="20">
        <v>0.77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58</v>
      </c>
      <c r="E56" s="18">
        <v>3660</v>
      </c>
      <c r="F56" s="19">
        <v>442.93</v>
      </c>
      <c r="G56" s="20">
        <v>0.74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74</v>
      </c>
      <c r="E57" s="18">
        <v>59008</v>
      </c>
      <c r="F57" s="19">
        <v>442.47</v>
      </c>
      <c r="G57" s="20">
        <v>0.74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35</v>
      </c>
      <c r="E58" s="18">
        <v>298376</v>
      </c>
      <c r="F58" s="19">
        <v>406.9</v>
      </c>
      <c r="G58" s="20">
        <v>0.68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40000</v>
      </c>
      <c r="F59" s="19">
        <v>354.68</v>
      </c>
      <c r="G59" s="20">
        <v>0.59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132</v>
      </c>
      <c r="E60" s="18">
        <v>39580</v>
      </c>
      <c r="F60" s="19">
        <v>292.44</v>
      </c>
      <c r="G60" s="20">
        <v>0.49</v>
      </c>
      <c r="H60" s="21"/>
    </row>
    <row r="61" spans="2:8" ht="24" customHeight="1" x14ac:dyDescent="0.25">
      <c r="B61" s="28" t="s">
        <v>133</v>
      </c>
      <c r="C61" s="28"/>
      <c r="D61" s="28"/>
      <c r="E61" s="29"/>
      <c r="F61" s="30">
        <v>58282.37</v>
      </c>
      <c r="G61" s="31">
        <v>97.52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134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/>
      <c r="C64" s="17"/>
      <c r="D64" s="17"/>
      <c r="E64" s="18"/>
      <c r="F64" s="20">
        <v>0</v>
      </c>
      <c r="G64" s="20">
        <v>0</v>
      </c>
      <c r="H64" s="21"/>
    </row>
    <row r="65" spans="2:8" ht="24" customHeight="1" x14ac:dyDescent="0.25">
      <c r="B65" s="28" t="s">
        <v>133</v>
      </c>
      <c r="C65" s="17"/>
      <c r="D65" s="17"/>
      <c r="E65" s="18"/>
      <c r="F65" s="33" t="s">
        <v>135</v>
      </c>
      <c r="G65" s="33" t="s">
        <v>135</v>
      </c>
      <c r="H65" s="21"/>
    </row>
    <row r="66" spans="2:8" ht="24" customHeight="1" x14ac:dyDescent="0.25">
      <c r="B66" s="17"/>
      <c r="C66" s="17"/>
      <c r="D66" s="17"/>
      <c r="E66" s="18"/>
      <c r="F66" s="19"/>
      <c r="G66" s="20"/>
      <c r="H66" s="21"/>
    </row>
    <row r="67" spans="2:8" ht="24" customHeight="1" x14ac:dyDescent="0.25">
      <c r="B67" s="34" t="s">
        <v>136</v>
      </c>
      <c r="C67" s="35"/>
      <c r="D67" s="35"/>
      <c r="E67" s="36"/>
      <c r="F67" s="30">
        <v>58282.37</v>
      </c>
      <c r="G67" s="31">
        <v>97.52</v>
      </c>
      <c r="H67" s="32"/>
    </row>
    <row r="68" spans="2:8" ht="24" customHeight="1" x14ac:dyDescent="0.25">
      <c r="B68" s="11" t="s">
        <v>137</v>
      </c>
      <c r="C68" s="12"/>
      <c r="D68" s="12"/>
      <c r="E68" s="13"/>
      <c r="F68" s="14"/>
      <c r="G68" s="15"/>
      <c r="H68" s="16"/>
    </row>
    <row r="69" spans="2:8" ht="24" customHeight="1" x14ac:dyDescent="0.25">
      <c r="B69" s="28"/>
      <c r="C69" s="17"/>
      <c r="D69" s="17"/>
      <c r="E69" s="18"/>
      <c r="F69" s="19"/>
      <c r="G69" s="20"/>
      <c r="H69" s="37"/>
    </row>
    <row r="70" spans="2:8" ht="24" customHeight="1" x14ac:dyDescent="0.25">
      <c r="B70" s="22" t="s">
        <v>138</v>
      </c>
      <c r="C70" s="23"/>
      <c r="D70" s="23"/>
      <c r="E70" s="24"/>
      <c r="F70" s="25"/>
      <c r="G70" s="26"/>
      <c r="H70" s="27"/>
    </row>
    <row r="71" spans="2:8" ht="24" customHeight="1" x14ac:dyDescent="0.25">
      <c r="B71" s="17"/>
      <c r="C71" s="17"/>
      <c r="D71" s="17"/>
      <c r="E71" s="18"/>
      <c r="F71" s="19"/>
      <c r="G71" s="20"/>
      <c r="H71" s="38"/>
    </row>
    <row r="72" spans="2:8" ht="24" customHeight="1" x14ac:dyDescent="0.25">
      <c r="B72" s="28" t="s">
        <v>133</v>
      </c>
      <c r="C72" s="17"/>
      <c r="D72" s="17"/>
      <c r="E72" s="18"/>
      <c r="F72" s="33" t="s">
        <v>135</v>
      </c>
      <c r="G72" s="33" t="s">
        <v>135</v>
      </c>
      <c r="H72" s="21"/>
    </row>
    <row r="73" spans="2:8" ht="24" customHeight="1" x14ac:dyDescent="0.25">
      <c r="B73" s="17"/>
      <c r="C73" s="17"/>
      <c r="D73" s="17"/>
      <c r="E73" s="18"/>
      <c r="F73" s="19"/>
      <c r="G73" s="20"/>
      <c r="H73" s="21"/>
    </row>
    <row r="74" spans="2:8" ht="24" customHeight="1" x14ac:dyDescent="0.25">
      <c r="B74" s="22" t="s">
        <v>139</v>
      </c>
      <c r="C74" s="23"/>
      <c r="D74" s="23"/>
      <c r="E74" s="24"/>
      <c r="F74" s="25"/>
      <c r="G74" s="26"/>
      <c r="H74" s="27"/>
    </row>
    <row r="75" spans="2:8" ht="24" customHeight="1" x14ac:dyDescent="0.25">
      <c r="B75" s="17"/>
      <c r="C75" s="17"/>
      <c r="D75" s="17"/>
      <c r="E75" s="18"/>
      <c r="F75" s="20">
        <v>0</v>
      </c>
      <c r="G75" s="20">
        <v>0</v>
      </c>
      <c r="H75" s="21"/>
    </row>
    <row r="76" spans="2:8" ht="24" customHeight="1" x14ac:dyDescent="0.25">
      <c r="B76" s="28" t="s">
        <v>133</v>
      </c>
      <c r="C76" s="28"/>
      <c r="D76" s="28"/>
      <c r="E76" s="29"/>
      <c r="F76" s="33" t="s">
        <v>135</v>
      </c>
      <c r="G76" s="33" t="s">
        <v>135</v>
      </c>
      <c r="H76" s="32"/>
    </row>
    <row r="77" spans="2:8" ht="24" customHeight="1" x14ac:dyDescent="0.25">
      <c r="B77" s="28"/>
      <c r="C77" s="28"/>
      <c r="D77" s="28"/>
      <c r="E77" s="29"/>
      <c r="F77" s="39"/>
      <c r="G77" s="40"/>
      <c r="H77" s="32"/>
    </row>
    <row r="78" spans="2:8" ht="24" customHeight="1" x14ac:dyDescent="0.25">
      <c r="B78" s="22" t="s">
        <v>140</v>
      </c>
      <c r="C78" s="23"/>
      <c r="D78" s="23"/>
      <c r="E78" s="24"/>
      <c r="F78" s="25"/>
      <c r="G78" s="26"/>
      <c r="H78" s="27"/>
    </row>
    <row r="79" spans="2:8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</row>
    <row r="80" spans="2:8" ht="24" customHeight="1" x14ac:dyDescent="0.25">
      <c r="B80" s="28" t="s">
        <v>133</v>
      </c>
      <c r="C80" s="17"/>
      <c r="D80" s="17"/>
      <c r="E80" s="18"/>
      <c r="F80" s="33" t="s">
        <v>135</v>
      </c>
      <c r="G80" s="33" t="s">
        <v>135</v>
      </c>
      <c r="H80" s="21"/>
    </row>
    <row r="81" spans="2:8" ht="24" customHeight="1" x14ac:dyDescent="0.25">
      <c r="B81" s="17"/>
      <c r="C81" s="17"/>
      <c r="D81" s="17"/>
      <c r="E81" s="18"/>
      <c r="F81" s="19"/>
      <c r="G81" s="20"/>
      <c r="H81" s="21"/>
    </row>
    <row r="82" spans="2:8" ht="24" customHeight="1" x14ac:dyDescent="0.25">
      <c r="B82" s="34" t="s">
        <v>136</v>
      </c>
      <c r="C82" s="35"/>
      <c r="D82" s="35"/>
      <c r="E82" s="36"/>
      <c r="F82" s="33" t="s">
        <v>135</v>
      </c>
      <c r="G82" s="33" t="s">
        <v>135</v>
      </c>
      <c r="H82" s="32"/>
    </row>
    <row r="83" spans="2:8" ht="24" customHeight="1" x14ac:dyDescent="0.25">
      <c r="B83" s="41"/>
      <c r="C83" s="42"/>
      <c r="D83" s="42"/>
      <c r="E83" s="43"/>
      <c r="F83" s="39"/>
      <c r="G83" s="40"/>
      <c r="H83" s="32"/>
    </row>
    <row r="84" spans="2:8" ht="24" customHeight="1" x14ac:dyDescent="0.25">
      <c r="B84" s="22" t="s">
        <v>141</v>
      </c>
      <c r="C84" s="23"/>
      <c r="D84" s="23"/>
      <c r="E84" s="24"/>
      <c r="F84" s="25"/>
      <c r="G84" s="26"/>
      <c r="H84" s="27"/>
    </row>
    <row r="85" spans="2:8" ht="24" customHeight="1" x14ac:dyDescent="0.25">
      <c r="B85" s="17" t="s">
        <v>142</v>
      </c>
      <c r="C85" s="17" t="s">
        <v>143</v>
      </c>
      <c r="D85" s="17" t="s">
        <v>144</v>
      </c>
      <c r="E85" s="18">
        <v>239480</v>
      </c>
      <c r="F85" s="19">
        <v>24.39</v>
      </c>
      <c r="G85" s="20">
        <v>0.04</v>
      </c>
      <c r="H85" s="21">
        <v>6.1050000000000004</v>
      </c>
    </row>
    <row r="86" spans="2:8" ht="24" customHeight="1" x14ac:dyDescent="0.25">
      <c r="B86" s="28" t="s">
        <v>133</v>
      </c>
      <c r="C86" s="17"/>
      <c r="D86" s="17"/>
      <c r="E86" s="18"/>
      <c r="F86" s="31">
        <f>SUM(F85)</f>
        <v>24.39</v>
      </c>
      <c r="G86" s="31">
        <f>SUM(G85)</f>
        <v>0.04</v>
      </c>
      <c r="H86" s="21"/>
    </row>
    <row r="87" spans="2:8" ht="24" customHeight="1" x14ac:dyDescent="0.25">
      <c r="B87" s="28"/>
      <c r="C87" s="17"/>
      <c r="D87" s="17"/>
      <c r="E87" s="18"/>
      <c r="F87" s="40"/>
      <c r="G87" s="40"/>
      <c r="H87" s="21"/>
    </row>
    <row r="88" spans="2:8" ht="24" customHeight="1" x14ac:dyDescent="0.25">
      <c r="B88" s="34" t="s">
        <v>136</v>
      </c>
      <c r="C88" s="35"/>
      <c r="D88" s="35"/>
      <c r="E88" s="36"/>
      <c r="F88" s="30">
        <f>F86</f>
        <v>24.39</v>
      </c>
      <c r="G88" s="30">
        <f>G86</f>
        <v>0.04</v>
      </c>
      <c r="H88" s="32"/>
    </row>
    <row r="89" spans="2:8" ht="24" customHeight="1" x14ac:dyDescent="0.25">
      <c r="B89" s="17"/>
      <c r="C89" s="17"/>
      <c r="D89" s="17"/>
      <c r="E89" s="18"/>
      <c r="F89" s="19"/>
      <c r="G89" s="20"/>
      <c r="H89" s="21"/>
    </row>
    <row r="90" spans="2:8" ht="24" customHeight="1" x14ac:dyDescent="0.25">
      <c r="B90" s="11" t="s">
        <v>145</v>
      </c>
      <c r="C90" s="12"/>
      <c r="D90" s="12"/>
      <c r="E90" s="13"/>
      <c r="F90" s="14"/>
      <c r="G90" s="15"/>
      <c r="H90" s="16"/>
    </row>
    <row r="91" spans="2:8" ht="24" customHeight="1" x14ac:dyDescent="0.25">
      <c r="B91" s="17"/>
      <c r="C91" s="17"/>
      <c r="D91" s="17"/>
      <c r="E91" s="18"/>
      <c r="F91" s="19"/>
      <c r="G91" s="20"/>
      <c r="H91" s="21"/>
    </row>
    <row r="92" spans="2:8" ht="24" customHeight="1" x14ac:dyDescent="0.25">
      <c r="B92" s="22" t="s">
        <v>146</v>
      </c>
      <c r="C92" s="23"/>
      <c r="D92" s="23"/>
      <c r="E92" s="24"/>
      <c r="F92" s="25"/>
      <c r="G92" s="26"/>
      <c r="H92" s="27"/>
    </row>
    <row r="93" spans="2:8" ht="24" customHeight="1" x14ac:dyDescent="0.25">
      <c r="B93" s="17" t="s">
        <v>147</v>
      </c>
      <c r="C93" s="17" t="s">
        <v>148</v>
      </c>
      <c r="D93" s="17" t="s">
        <v>149</v>
      </c>
      <c r="E93" s="18">
        <v>50000</v>
      </c>
      <c r="F93" s="19">
        <v>47.85</v>
      </c>
      <c r="G93" s="20">
        <v>0.08</v>
      </c>
      <c r="H93" s="21">
        <v>5.45</v>
      </c>
    </row>
    <row r="94" spans="2:8" ht="24" customHeight="1" x14ac:dyDescent="0.25">
      <c r="B94" s="28" t="s">
        <v>133</v>
      </c>
      <c r="C94" s="28"/>
      <c r="D94" s="28"/>
      <c r="E94" s="29"/>
      <c r="F94" s="30">
        <v>47.85</v>
      </c>
      <c r="G94" s="31">
        <v>0.08</v>
      </c>
      <c r="H94" s="32"/>
    </row>
    <row r="95" spans="2:8" ht="24" customHeight="1" x14ac:dyDescent="0.25">
      <c r="B95" s="17"/>
      <c r="C95" s="17"/>
      <c r="D95" s="17"/>
      <c r="E95" s="18"/>
      <c r="F95" s="19"/>
      <c r="G95" s="20"/>
      <c r="H95" s="21"/>
    </row>
    <row r="96" spans="2:8" ht="24" customHeight="1" x14ac:dyDescent="0.25">
      <c r="B96" s="34" t="s">
        <v>136</v>
      </c>
      <c r="C96" s="35"/>
      <c r="D96" s="35"/>
      <c r="E96" s="36"/>
      <c r="F96" s="30">
        <v>47.85</v>
      </c>
      <c r="G96" s="31">
        <v>0.08</v>
      </c>
      <c r="H96" s="32"/>
    </row>
    <row r="97" spans="2:13" ht="24" customHeight="1" x14ac:dyDescent="0.25">
      <c r="B97" s="17"/>
      <c r="C97" s="17"/>
      <c r="D97" s="17"/>
      <c r="E97" s="18"/>
      <c r="F97" s="19"/>
      <c r="G97" s="20"/>
      <c r="H97" s="21"/>
      <c r="L97" s="44"/>
    </row>
    <row r="98" spans="2:13" ht="24" customHeight="1" x14ac:dyDescent="0.25">
      <c r="B98" s="17"/>
      <c r="C98" s="17"/>
      <c r="D98" s="17"/>
      <c r="E98" s="18"/>
      <c r="F98" s="19"/>
      <c r="G98" s="20"/>
      <c r="H98" s="21"/>
    </row>
    <row r="99" spans="2:13" ht="24" customHeight="1" x14ac:dyDescent="0.25">
      <c r="B99" s="11" t="s">
        <v>150</v>
      </c>
      <c r="C99" s="12"/>
      <c r="D99" s="12"/>
      <c r="E99" s="13"/>
      <c r="F99" s="14"/>
      <c r="G99" s="15"/>
      <c r="H99" s="16"/>
      <c r="L99" s="44"/>
    </row>
    <row r="100" spans="2:13" ht="24" customHeight="1" x14ac:dyDescent="0.25">
      <c r="B100" s="17" t="s">
        <v>151</v>
      </c>
      <c r="C100" s="17"/>
      <c r="D100" s="17"/>
      <c r="E100" s="18"/>
      <c r="F100" s="19">
        <v>1441.54</v>
      </c>
      <c r="G100" s="20">
        <v>2.41</v>
      </c>
      <c r="H100" s="21"/>
      <c r="L100" s="44"/>
    </row>
    <row r="101" spans="2:13" ht="24" customHeight="1" x14ac:dyDescent="0.25">
      <c r="B101" s="28" t="s">
        <v>133</v>
      </c>
      <c r="C101" s="28"/>
      <c r="D101" s="28"/>
      <c r="E101" s="29"/>
      <c r="F101" s="30">
        <v>1441.54</v>
      </c>
      <c r="G101" s="31">
        <v>2.41</v>
      </c>
      <c r="H101" s="32"/>
      <c r="L101" s="44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  <c r="L102" s="44"/>
    </row>
    <row r="103" spans="2:13" ht="24" customHeight="1" x14ac:dyDescent="0.25">
      <c r="B103" s="34" t="s">
        <v>136</v>
      </c>
      <c r="C103" s="35"/>
      <c r="D103" s="35"/>
      <c r="E103" s="36"/>
      <c r="F103" s="30">
        <v>1441.54</v>
      </c>
      <c r="G103" s="31">
        <v>2.41</v>
      </c>
      <c r="H103" s="32"/>
      <c r="L103" s="44"/>
    </row>
    <row r="104" spans="2:13" ht="24" customHeight="1" x14ac:dyDescent="0.25">
      <c r="B104" s="17"/>
      <c r="C104" s="17"/>
      <c r="D104" s="17"/>
      <c r="E104" s="18"/>
      <c r="F104" s="19"/>
      <c r="G104" s="20"/>
      <c r="H104" s="21"/>
      <c r="L104" s="45"/>
      <c r="M104" s="45"/>
    </row>
    <row r="105" spans="2:13" ht="24" customHeight="1" x14ac:dyDescent="0.25">
      <c r="B105" s="17" t="s">
        <v>152</v>
      </c>
      <c r="C105" s="17"/>
      <c r="D105" s="17"/>
      <c r="E105" s="18"/>
      <c r="F105" s="46">
        <v>-40.33</v>
      </c>
      <c r="G105" s="20">
        <v>-4.9999999999997158E-2</v>
      </c>
      <c r="H105" s="21"/>
    </row>
    <row r="106" spans="2:13" ht="24" customHeight="1" x14ac:dyDescent="0.25">
      <c r="B106" s="17"/>
      <c r="C106" s="17"/>
      <c r="D106" s="17"/>
      <c r="E106" s="18"/>
      <c r="F106" s="19"/>
      <c r="G106" s="20"/>
      <c r="H106" s="21"/>
    </row>
    <row r="107" spans="2:13" ht="24" customHeight="1" x14ac:dyDescent="0.25">
      <c r="B107" s="34" t="s">
        <v>153</v>
      </c>
      <c r="C107" s="35"/>
      <c r="D107" s="35"/>
      <c r="E107" s="36"/>
      <c r="F107" s="30">
        <v>59755.82</v>
      </c>
      <c r="G107" s="31">
        <v>100</v>
      </c>
      <c r="H107" s="47"/>
      <c r="L107" s="48"/>
      <c r="M107" s="48"/>
    </row>
    <row r="108" spans="2:13" ht="24" customHeight="1" x14ac:dyDescent="0.25">
      <c r="B108" s="4"/>
      <c r="L108" s="48"/>
      <c r="M108" s="48"/>
    </row>
    <row r="109" spans="2:13" ht="24" customHeight="1" x14ac:dyDescent="0.25">
      <c r="B109" s="51" t="s">
        <v>154</v>
      </c>
      <c r="F109" s="52"/>
      <c r="G109" s="52"/>
      <c r="L109" s="48"/>
      <c r="M109" s="48"/>
    </row>
    <row r="110" spans="2:13" ht="24" customHeight="1" x14ac:dyDescent="0.25">
      <c r="B110" s="51" t="s">
        <v>155</v>
      </c>
      <c r="F110" s="52"/>
      <c r="G110" s="52"/>
      <c r="L110" s="48"/>
      <c r="M110" s="48"/>
    </row>
    <row r="111" spans="2:13" ht="24" customHeight="1" x14ac:dyDescent="0.25">
      <c r="L111" s="48"/>
      <c r="M111" s="48"/>
    </row>
    <row r="112" spans="2:13" ht="24" customHeight="1" x14ac:dyDescent="0.25">
      <c r="L112" s="48"/>
      <c r="M112" s="48"/>
    </row>
    <row r="113" spans="2:13" ht="24" customHeight="1" x14ac:dyDescent="0.25">
      <c r="L113" s="48"/>
      <c r="M113" s="48"/>
    </row>
    <row r="115" spans="2:13" ht="24" customHeight="1" x14ac:dyDescent="0.25">
      <c r="L115" s="44"/>
    </row>
    <row r="116" spans="2:13" ht="24" customHeight="1" x14ac:dyDescent="0.25">
      <c r="B116" s="42" t="s">
        <v>156</v>
      </c>
    </row>
    <row r="117" spans="2:13" ht="24" customHeight="1" x14ac:dyDescent="0.25">
      <c r="B117" s="49" t="s">
        <v>157</v>
      </c>
    </row>
    <row r="118" spans="2:13" ht="24" customHeight="1" x14ac:dyDescent="0.25">
      <c r="B118" s="53" t="s">
        <v>158</v>
      </c>
      <c r="C118" s="54">
        <v>45989</v>
      </c>
      <c r="D118" s="55">
        <v>46022</v>
      </c>
    </row>
    <row r="119" spans="2:13" ht="24" customHeight="1" x14ac:dyDescent="0.25">
      <c r="B119" s="56" t="s">
        <v>159</v>
      </c>
      <c r="C119" s="57" t="s">
        <v>160</v>
      </c>
      <c r="D119" s="58" t="s">
        <v>160</v>
      </c>
      <c r="E119" s="4"/>
      <c r="F119" s="4"/>
      <c r="G119" s="4"/>
      <c r="H119" s="4"/>
    </row>
    <row r="120" spans="2:13" ht="24" customHeight="1" x14ac:dyDescent="0.25">
      <c r="B120" s="59" t="s">
        <v>161</v>
      </c>
      <c r="C120" s="60">
        <v>421.57</v>
      </c>
      <c r="D120" s="61">
        <v>417.58</v>
      </c>
      <c r="E120" s="4"/>
      <c r="F120" s="4"/>
      <c r="G120" s="4"/>
      <c r="H120" s="4"/>
    </row>
    <row r="121" spans="2:13" ht="24" customHeight="1" x14ac:dyDescent="0.25">
      <c r="B121" s="59" t="s">
        <v>162</v>
      </c>
      <c r="C121" s="60">
        <v>29.62</v>
      </c>
      <c r="D121" s="61">
        <v>28.75</v>
      </c>
      <c r="E121" s="4"/>
      <c r="F121" s="4"/>
      <c r="G121" s="4"/>
      <c r="H121" s="4"/>
    </row>
    <row r="122" spans="2:13" ht="24" customHeight="1" x14ac:dyDescent="0.25">
      <c r="B122" s="56" t="s">
        <v>163</v>
      </c>
      <c r="C122" s="57"/>
      <c r="D122" s="58"/>
      <c r="E122" s="4"/>
      <c r="F122" s="4"/>
      <c r="G122" s="4"/>
      <c r="H122" s="4"/>
    </row>
    <row r="123" spans="2:13" ht="24" customHeight="1" x14ac:dyDescent="0.25">
      <c r="B123" s="59" t="s">
        <v>161</v>
      </c>
      <c r="C123" s="60">
        <v>353.37</v>
      </c>
      <c r="D123" s="61">
        <v>349.53</v>
      </c>
      <c r="E123" s="4"/>
      <c r="F123" s="4"/>
      <c r="G123" s="4"/>
      <c r="H123" s="4"/>
    </row>
    <row r="124" spans="2:13" ht="24" customHeight="1" x14ac:dyDescent="0.25">
      <c r="B124" s="62" t="s">
        <v>162</v>
      </c>
      <c r="C124" s="63">
        <v>20.62</v>
      </c>
      <c r="D124" s="64">
        <v>19.989999999999998</v>
      </c>
      <c r="E124" s="4"/>
      <c r="F124" s="4"/>
      <c r="G124" s="4"/>
      <c r="H124" s="4"/>
    </row>
    <row r="125" spans="2:13" ht="24" customHeight="1" x14ac:dyDescent="0.25">
      <c r="C125" s="65"/>
      <c r="D125" s="65"/>
      <c r="E125" s="4"/>
      <c r="F125" s="4"/>
      <c r="G125" s="4"/>
      <c r="H125" s="4"/>
    </row>
    <row r="126" spans="2:13" ht="24" customHeight="1" x14ac:dyDescent="0.25">
      <c r="B126" s="49" t="s">
        <v>164</v>
      </c>
      <c r="D126" s="45" t="s">
        <v>135</v>
      </c>
    </row>
    <row r="128" spans="2:13" ht="24" customHeight="1" x14ac:dyDescent="0.25">
      <c r="B128" s="49" t="s">
        <v>165</v>
      </c>
      <c r="D128" s="45" t="s">
        <v>135</v>
      </c>
    </row>
    <row r="130" spans="2:8" ht="24" customHeight="1" x14ac:dyDescent="0.25">
      <c r="B130" s="49" t="s">
        <v>166</v>
      </c>
      <c r="D130" s="45" t="s">
        <v>135</v>
      </c>
    </row>
    <row r="132" spans="2:8" ht="24" customHeight="1" x14ac:dyDescent="0.25">
      <c r="B132" s="49" t="s">
        <v>167</v>
      </c>
      <c r="D132" s="45" t="s">
        <v>135</v>
      </c>
    </row>
    <row r="134" spans="2:8" ht="24" customHeight="1" x14ac:dyDescent="0.25">
      <c r="B134" s="49" t="s">
        <v>168</v>
      </c>
      <c r="D134" s="45">
        <v>0.21</v>
      </c>
    </row>
    <row r="136" spans="2:8" ht="24" customHeight="1" x14ac:dyDescent="0.25">
      <c r="B136" s="49" t="s">
        <v>169</v>
      </c>
    </row>
    <row r="137" spans="2:8" ht="24" customHeight="1" x14ac:dyDescent="0.25">
      <c r="B137" s="53" t="s">
        <v>170</v>
      </c>
      <c r="C137" s="66" t="s">
        <v>171</v>
      </c>
      <c r="D137" s="42"/>
    </row>
    <row r="138" spans="2:8" ht="24" customHeight="1" x14ac:dyDescent="0.25">
      <c r="B138" s="56" t="s">
        <v>159</v>
      </c>
      <c r="C138" s="67"/>
      <c r="D138" s="4"/>
      <c r="E138" s="4"/>
      <c r="F138" s="4"/>
      <c r="G138" s="4"/>
      <c r="H138" s="4"/>
    </row>
    <row r="139" spans="2:8" ht="24" customHeight="1" x14ac:dyDescent="0.25">
      <c r="B139" s="59" t="s">
        <v>162</v>
      </c>
      <c r="C139" s="68">
        <v>0.58509999999999995</v>
      </c>
      <c r="D139" s="4"/>
      <c r="E139" s="4"/>
      <c r="F139" s="4"/>
      <c r="G139" s="4"/>
      <c r="H139" s="4"/>
    </row>
    <row r="140" spans="2:8" ht="24" customHeight="1" x14ac:dyDescent="0.25">
      <c r="B140" s="56" t="s">
        <v>163</v>
      </c>
      <c r="C140" s="67"/>
      <c r="D140" s="4"/>
      <c r="E140" s="4"/>
      <c r="F140" s="4"/>
      <c r="G140" s="4"/>
      <c r="H140" s="4"/>
    </row>
    <row r="141" spans="2:8" ht="24" customHeight="1" x14ac:dyDescent="0.25">
      <c r="B141" s="62" t="s">
        <v>162</v>
      </c>
      <c r="C141" s="69">
        <v>0.40710000000000002</v>
      </c>
      <c r="D141" s="4"/>
      <c r="E141" s="4"/>
      <c r="F141" s="4"/>
      <c r="G141" s="4"/>
      <c r="H141" s="4"/>
    </row>
    <row r="142" spans="2:8" ht="24" customHeight="1" x14ac:dyDescent="0.25">
      <c r="B142" s="49" t="s">
        <v>172</v>
      </c>
      <c r="C142" s="70"/>
      <c r="D142" s="4"/>
      <c r="E142" s="4"/>
      <c r="F142" s="4"/>
      <c r="G142" s="4"/>
      <c r="H142" s="4"/>
    </row>
    <row r="144" spans="2:8" ht="24" customHeight="1" x14ac:dyDescent="0.25">
      <c r="B144" s="49" t="s">
        <v>173</v>
      </c>
      <c r="D144" s="45" t="s">
        <v>135</v>
      </c>
    </row>
    <row r="145" spans="2:4" ht="24" customHeight="1" x14ac:dyDescent="0.25">
      <c r="B145" s="49" t="s">
        <v>174</v>
      </c>
      <c r="D145" s="45" t="s">
        <v>135</v>
      </c>
    </row>
    <row r="147" spans="2:4" ht="24" customHeight="1" x14ac:dyDescent="0.25">
      <c r="B147" s="71" t="s">
        <v>175</v>
      </c>
      <c r="D147" s="45" t="s">
        <v>135</v>
      </c>
    </row>
    <row r="149" spans="2:4" ht="24" customHeight="1" x14ac:dyDescent="0.25">
      <c r="B149" s="49" t="s">
        <v>176</v>
      </c>
      <c r="D149" s="45" t="s">
        <v>135</v>
      </c>
    </row>
    <row r="150" spans="2:4" ht="24" customHeight="1" x14ac:dyDescent="0.35">
      <c r="B150" s="49" t="s">
        <v>177</v>
      </c>
      <c r="C150" s="72" t="s">
        <v>178</v>
      </c>
    </row>
  </sheetData>
  <hyperlinks>
    <hyperlink ref="C150" r:id="rId1" location="performance" xr:uid="{69992687-D629-4223-9BD3-5EEE3286B5A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2026-01-08T07:31:42Z</dcterms:modified>
</cp:coreProperties>
</file>