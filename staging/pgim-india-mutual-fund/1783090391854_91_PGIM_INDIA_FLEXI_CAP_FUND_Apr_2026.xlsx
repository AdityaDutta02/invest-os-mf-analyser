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5A0508BB-091C-4DB9-BAB8-DC5EB4FB42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Cap'!$B$146:$D$151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2" l="1"/>
  <c r="G110" i="2" s="1"/>
  <c r="F108" i="2"/>
  <c r="F110" i="2" s="1"/>
  <c r="G98" i="2"/>
  <c r="G104" i="2" s="1"/>
  <c r="F98" i="2"/>
  <c r="F104" i="2" s="1"/>
</calcChain>
</file>

<file path=xl/sharedStrings.xml><?xml version="1.0" encoding="utf-8"?>
<sst xmlns="http://schemas.openxmlformats.org/spreadsheetml/2006/main" count="322" uniqueCount="249">
  <si>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</si>
  <si>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</si>
  <si>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</si>
  <si>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</si>
  <si>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</si>
  <si>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</si>
  <si>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</si>
  <si>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</si>
  <si>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</si>
  <si>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</si>
  <si>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</si>
  <si>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</si>
  <si>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</si>
  <si>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</si>
  <si>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</si>
  <si>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</si>
  <si>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</si>
  <si>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</si>
  <si>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</si>
  <si>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</si>
  <si>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</si>
  <si>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</si>
  <si>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</si>
  <si>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</si>
  <si>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</si>
  <si>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</si>
  <si>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</si>
  <si>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State Bank of India</t>
  </si>
  <si>
    <t>INE062A01020</t>
  </si>
  <si>
    <t>TVS Motor Company Ltd.</t>
  </si>
  <si>
    <t>INE494B01023</t>
  </si>
  <si>
    <t>Automobiles</t>
  </si>
  <si>
    <t>Eternal Ltd.</t>
  </si>
  <si>
    <t>INE758T01015</t>
  </si>
  <si>
    <t>Retailing</t>
  </si>
  <si>
    <t>Titan Company Ltd.</t>
  </si>
  <si>
    <t>INE280A01028</t>
  </si>
  <si>
    <t>Consumer Durables</t>
  </si>
  <si>
    <t>Larsen &amp; Toubro Ltd.</t>
  </si>
  <si>
    <t>INE018A01030</t>
  </si>
  <si>
    <t>Construction</t>
  </si>
  <si>
    <t>Vishal Mega Mart Ltd</t>
  </si>
  <si>
    <t>INE01EA01019</t>
  </si>
  <si>
    <t>VARUN BEVERAGES LIMITED</t>
  </si>
  <si>
    <t>INE200M01039</t>
  </si>
  <si>
    <t>Beverages</t>
  </si>
  <si>
    <t>Bajaj Finance Ltd.</t>
  </si>
  <si>
    <t>INE296A01032</t>
  </si>
  <si>
    <t>Finance</t>
  </si>
  <si>
    <t>NTPC Ltd.</t>
  </si>
  <si>
    <t>INE733E01010</t>
  </si>
  <si>
    <t>Power</t>
  </si>
  <si>
    <t>Britannia Industries Ltd.</t>
  </si>
  <si>
    <t>INE216A01030</t>
  </si>
  <si>
    <t>Food Products</t>
  </si>
  <si>
    <t>Divi's Laboratories Ltd.</t>
  </si>
  <si>
    <t>INE361B01024</t>
  </si>
  <si>
    <t>Pharmaceuticals &amp; Biotechnology</t>
  </si>
  <si>
    <t>JK Cement Ltd.</t>
  </si>
  <si>
    <t>INE823G01014</t>
  </si>
  <si>
    <t>Cement &amp; Cement Products</t>
  </si>
  <si>
    <t>Axis Bank Ltd.</t>
  </si>
  <si>
    <t>INE238A01034</t>
  </si>
  <si>
    <t>Multi Commodity Exchange Of India Ltd.</t>
  </si>
  <si>
    <t>INE745G01043</t>
  </si>
  <si>
    <t>Capital Markets</t>
  </si>
  <si>
    <t>Mankind Pharma Ltd.</t>
  </si>
  <si>
    <t>INE634S01028</t>
  </si>
  <si>
    <t>Bharat Electronics Ltd.</t>
  </si>
  <si>
    <t>INE263A01024</t>
  </si>
  <si>
    <t>Aerospace &amp; Defense</t>
  </si>
  <si>
    <t>Tech Mahindra Ltd.</t>
  </si>
  <si>
    <t>INE669C01036</t>
  </si>
  <si>
    <t>IT - Software</t>
  </si>
  <si>
    <t>AU Small Finance Bank Ltd.</t>
  </si>
  <si>
    <t>INE949L01017</t>
  </si>
  <si>
    <t>UNO Minda Ltd.</t>
  </si>
  <si>
    <t>INE405E01023</t>
  </si>
  <si>
    <t>Auto Components</t>
  </si>
  <si>
    <t>Max Healthcare Institute Ltd.</t>
  </si>
  <si>
    <t>INE027H01010</t>
  </si>
  <si>
    <t>Healthcare Services</t>
  </si>
  <si>
    <t>CG Power and Industrial Solutions Ltd.</t>
  </si>
  <si>
    <t>INE067A01029</t>
  </si>
  <si>
    <t>Electrical Equipment</t>
  </si>
  <si>
    <t>Cummins India Ltd.</t>
  </si>
  <si>
    <t>INE298A01020</t>
  </si>
  <si>
    <t>Industrial Products</t>
  </si>
  <si>
    <t>JSW Steel Ltd.</t>
  </si>
  <si>
    <t>INE019A01038</t>
  </si>
  <si>
    <t>Ferrous Metals</t>
  </si>
  <si>
    <t>ICICI Prudential Asset Mgmt Co Ltd.</t>
  </si>
  <si>
    <t>INE346A01027</t>
  </si>
  <si>
    <t>Infosys Ltd.</t>
  </si>
  <si>
    <t>INE009A01021</t>
  </si>
  <si>
    <t>Blue Star Ltd.</t>
  </si>
  <si>
    <t>INE472A01039</t>
  </si>
  <si>
    <t>Ather Energy Ltd.</t>
  </si>
  <si>
    <t>INE0LEZ01016</t>
  </si>
  <si>
    <t>Dixon Technologies (India) Ltd.</t>
  </si>
  <si>
    <t>INE935N01020</t>
  </si>
  <si>
    <t>Hindalco Industries Ltd.</t>
  </si>
  <si>
    <t>INE038A01020</t>
  </si>
  <si>
    <t>Non - Ferrous Metals</t>
  </si>
  <si>
    <t>Affle 3i Ltd.</t>
  </si>
  <si>
    <t>INE00WC01027</t>
  </si>
  <si>
    <t>IT - Services</t>
  </si>
  <si>
    <t>Solar Industries India Ltd.</t>
  </si>
  <si>
    <t>INE343H01029</t>
  </si>
  <si>
    <t>Chemicals &amp; Petrochemicals</t>
  </si>
  <si>
    <t>ICICI Lombard General Insurance Co. Ltd.</t>
  </si>
  <si>
    <t>INE765G01017</t>
  </si>
  <si>
    <t>Insurance</t>
  </si>
  <si>
    <t>Power Finance Corporation Ltd.</t>
  </si>
  <si>
    <t>INE134E01011</t>
  </si>
  <si>
    <t>Krishna Inst of Medical Sciences Ltd.</t>
  </si>
  <si>
    <t>INE967H01025</t>
  </si>
  <si>
    <t>Cholamandalam Investment &amp; Finance Company Ltd.</t>
  </si>
  <si>
    <t>INE121A01024</t>
  </si>
  <si>
    <t>Global Health Ltd.</t>
  </si>
  <si>
    <t>INE474Q01031</t>
  </si>
  <si>
    <t>Persistent Systems Ltd.</t>
  </si>
  <si>
    <t>INE262H01021</t>
  </si>
  <si>
    <t>Ashok Leyland Ltd.</t>
  </si>
  <si>
    <t>INE208A01029</t>
  </si>
  <si>
    <t>Agricultural, Commercial &amp; Construction Vehicles</t>
  </si>
  <si>
    <t>SRF Ltd.</t>
  </si>
  <si>
    <t>INE647A01010</t>
  </si>
  <si>
    <t>Anthem Biosciences Ltd.</t>
  </si>
  <si>
    <t>INE0CZ201020</t>
  </si>
  <si>
    <t>Doms Industries Ltd.</t>
  </si>
  <si>
    <t>INE321T01012</t>
  </si>
  <si>
    <t>Household Products</t>
  </si>
  <si>
    <t>Tata Consultancy Services Ltd.</t>
  </si>
  <si>
    <t>INE467B01029</t>
  </si>
  <si>
    <t>Mahindra &amp; Mahindra Ltd.</t>
  </si>
  <si>
    <t>INE101A01026</t>
  </si>
  <si>
    <t>Brigade Enterprises Ltd.</t>
  </si>
  <si>
    <t>INE791I01019</t>
  </si>
  <si>
    <t>Realty</t>
  </si>
  <si>
    <t>LG Electronics India Ltd.</t>
  </si>
  <si>
    <t>INE324D01010</t>
  </si>
  <si>
    <t>MTAR Technologies Ltd.</t>
  </si>
  <si>
    <t>INE864I01014</t>
  </si>
  <si>
    <t>GE Vernova T&amp;D India Limited</t>
  </si>
  <si>
    <t>INE200A01026</t>
  </si>
  <si>
    <t>Eicher Motors Ltd.</t>
  </si>
  <si>
    <t>INE066A01021</t>
  </si>
  <si>
    <t>Kotak Mahindra Bank Ltd.</t>
  </si>
  <si>
    <t>INE237A01036</t>
  </si>
  <si>
    <t>Sagility Ltd.</t>
  </si>
  <si>
    <t>INE0W2G01015</t>
  </si>
  <si>
    <t>Muthoot Finance Ltd.</t>
  </si>
  <si>
    <t>INE414G01012</t>
  </si>
  <si>
    <t>Sundaram Finance Ltd.</t>
  </si>
  <si>
    <t>INE660A01013</t>
  </si>
  <si>
    <t>Navin Fluorine International Ltd.</t>
  </si>
  <si>
    <t>INE048G01026</t>
  </si>
  <si>
    <t>JSW Dulux Ltd.</t>
  </si>
  <si>
    <t>INE133A01011</t>
  </si>
  <si>
    <t>Neuland Laboratories Ltd.</t>
  </si>
  <si>
    <t>INE794A01010</t>
  </si>
  <si>
    <t>Maruti Suzuki India Ltd.</t>
  </si>
  <si>
    <t>INE585B01010</t>
  </si>
  <si>
    <t>HDFC Life Insurance Company Ltd.</t>
  </si>
  <si>
    <t>INE795G01014</t>
  </si>
  <si>
    <t>Astral Ltd.</t>
  </si>
  <si>
    <t>INE006I01046</t>
  </si>
  <si>
    <t>Triveni Turbine Ltd.</t>
  </si>
  <si>
    <t>INE152M01016</t>
  </si>
  <si>
    <t>Acutaas Chemicals Ltd.</t>
  </si>
  <si>
    <t>INE00FF01025</t>
  </si>
  <si>
    <t>Endurance Technologies Ltd.</t>
  </si>
  <si>
    <t>INE913H01037</t>
  </si>
  <si>
    <t>Schaeffler India Ltd.</t>
  </si>
  <si>
    <t>INE513A01022</t>
  </si>
  <si>
    <t>Sai Life Sciences Ltd</t>
  </si>
  <si>
    <t>INE570L01029</t>
  </si>
  <si>
    <t>Marico Ltd.</t>
  </si>
  <si>
    <t>INE196A01026</t>
  </si>
  <si>
    <t>Agricultural Food &amp; other Products</t>
  </si>
  <si>
    <t>360 One Wam Ltd.</t>
  </si>
  <si>
    <t>INE466L01038</t>
  </si>
  <si>
    <t>Pine Labs Ltd.</t>
  </si>
  <si>
    <t>INE15B701018</t>
  </si>
  <si>
    <t>Financial Technology (Fintech)</t>
  </si>
  <si>
    <t>Happy Forgings Ltd.</t>
  </si>
  <si>
    <t>INE330T01021</t>
  </si>
  <si>
    <t>JB Chemicals &amp; Pharmaceuticals Ltd.</t>
  </si>
  <si>
    <t>INE572A01036</t>
  </si>
  <si>
    <t>TBO Tek Ltd.</t>
  </si>
  <si>
    <t>INE673O01025</t>
  </si>
  <si>
    <t>Leisure Services</t>
  </si>
  <si>
    <t>Rubicon Research Ltd.</t>
  </si>
  <si>
    <t>INE506V01022</t>
  </si>
  <si>
    <t>BlackBuck Ltd.</t>
  </si>
  <si>
    <t>INE0UIZ01018</t>
  </si>
  <si>
    <t>Transport Services</t>
  </si>
  <si>
    <t>Gillette India Ltd.</t>
  </si>
  <si>
    <t>INE322A01010</t>
  </si>
  <si>
    <t>Personal Products</t>
  </si>
  <si>
    <t>Amagi Media Labs Ltd.</t>
  </si>
  <si>
    <t>INE121R01077</t>
  </si>
  <si>
    <t>Bikaji Foods International Ltd.</t>
  </si>
  <si>
    <t>INE00E101023</t>
  </si>
  <si>
    <t>Clean Max Enviro Energy Solutions Ltd.</t>
  </si>
  <si>
    <t>INE647U01026</t>
  </si>
  <si>
    <t>Sedemac Mechatronics Ltd.</t>
  </si>
  <si>
    <t>INE00XB01019</t>
  </si>
  <si>
    <t>Safari Industries India Ltd.</t>
  </si>
  <si>
    <t>INE429E01023</t>
  </si>
  <si>
    <t>Le Travenues Technology Ltd.</t>
  </si>
  <si>
    <t>INE0HV901016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</si>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</sst>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4" fontId="3" fillId="0" borderId="0" xfId="0" applyNumberFormat="1" applyFont="1"/>
    <xf numFmtId="166" fontId="3" fillId="0" borderId="2" xfId="0" applyNumberFormat="1" applyFont="1" applyBorder="1" applyAlignment="1">
      <alignment vertical="center"/>
    </xf>
    <xf numFmtId="43" fontId="3" fillId="0" borderId="0" xfId="0" applyNumberFormat="1" applyFont="1"/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3" fontId="3" fillId="0" borderId="0" xfId="0" applyNumberFormat="1" applyFont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7" fontId="5" fillId="5" borderId="11" xfId="0" applyNumberFormat="1" applyFont="1" applyFill="1" applyBorder="1" applyAlignment="1">
      <alignment horizontal="center" vertical="center"/>
    </xf>
    <xf numFmtId="167" fontId="5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BDC84270-2FB9-4A37-AA49-7E433EBAB25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2809875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D7CFF-311A-4A3F-AF36-013E5E9C3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352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3A5A21-6ED4-4456-ABA2-6442FC63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F58C-4A49-41AA-9D8F-DA9B81B88F40}">
  <sheetPr>
    <tabColor rgb="FFC00000"/>
  </sheetPr>
  <dimension ref="B1:M170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1.08984375" style="51" customWidth="1"/>
    <col min="3" max="3" width="15.7265625" style="51" customWidth="1"/>
    <col min="4" max="4" width="26.6328125" style="51" customWidth="1"/>
    <col min="5" max="5" width="15.26953125" style="2" customWidth="1"/>
    <col min="6" max="6" width="16.453125" style="2" customWidth="1"/>
    <col min="7" max="7" width="15.26953125" style="5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4800066</v>
      </c>
      <c r="F16" s="19">
        <v>37042.11</v>
      </c>
      <c r="G16" s="20">
        <v>6.39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2531519</v>
      </c>
      <c r="F17" s="19">
        <v>31983.21</v>
      </c>
      <c r="G17" s="20">
        <v>5.52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968053</v>
      </c>
      <c r="F18" s="19">
        <v>18265.22</v>
      </c>
      <c r="G18" s="20">
        <v>3.15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1221708</v>
      </c>
      <c r="F19" s="19">
        <v>17480.2</v>
      </c>
      <c r="G19" s="20">
        <v>3.02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18</v>
      </c>
      <c r="E20" s="18">
        <v>1393842</v>
      </c>
      <c r="F20" s="19">
        <v>14892.5</v>
      </c>
      <c r="G20" s="20">
        <v>2.57</v>
      </c>
      <c r="H20" s="21"/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366887</v>
      </c>
      <c r="F21" s="19">
        <v>12815</v>
      </c>
      <c r="G21" s="20">
        <v>2.21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5138776</v>
      </c>
      <c r="F22" s="19">
        <v>12694.32</v>
      </c>
      <c r="G22" s="20">
        <v>2.19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274538</v>
      </c>
      <c r="F23" s="19">
        <v>12039.04</v>
      </c>
      <c r="G23" s="20">
        <v>2.08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298569</v>
      </c>
      <c r="F24" s="19">
        <v>11984.56</v>
      </c>
      <c r="G24" s="20">
        <v>2.0699999999999998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34</v>
      </c>
      <c r="E25" s="18">
        <v>9290965</v>
      </c>
      <c r="F25" s="19">
        <v>11361.92</v>
      </c>
      <c r="G25" s="20">
        <v>1.96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2088626</v>
      </c>
      <c r="F26" s="19">
        <v>10729.27</v>
      </c>
      <c r="G26" s="20">
        <v>1.85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1123294</v>
      </c>
      <c r="F27" s="19">
        <v>10525.26</v>
      </c>
      <c r="G27" s="20">
        <v>1.82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2579536</v>
      </c>
      <c r="F28" s="19">
        <v>10296.219999999999</v>
      </c>
      <c r="G28" s="20">
        <v>1.78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178007</v>
      </c>
      <c r="F29" s="19">
        <v>10192.68</v>
      </c>
      <c r="G29" s="20">
        <v>1.76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150718</v>
      </c>
      <c r="F30" s="19">
        <v>9800.44</v>
      </c>
      <c r="G30" s="20">
        <v>1.69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183729</v>
      </c>
      <c r="F31" s="19">
        <v>9713.75</v>
      </c>
      <c r="G31" s="20">
        <v>1.68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18</v>
      </c>
      <c r="E32" s="18">
        <v>749331</v>
      </c>
      <c r="F32" s="19">
        <v>9503.77</v>
      </c>
      <c r="G32" s="20">
        <v>1.64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318368</v>
      </c>
      <c r="F33" s="19">
        <v>9460.31</v>
      </c>
      <c r="G33" s="20">
        <v>1.63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57</v>
      </c>
      <c r="E34" s="18">
        <v>402060</v>
      </c>
      <c r="F34" s="19">
        <v>9033.08</v>
      </c>
      <c r="G34" s="20">
        <v>1.56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2087530</v>
      </c>
      <c r="F35" s="19">
        <v>9003.52</v>
      </c>
      <c r="G35" s="20">
        <v>1.55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590784</v>
      </c>
      <c r="F36" s="19">
        <v>8705.2000000000007</v>
      </c>
      <c r="G36" s="20">
        <v>1.5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18</v>
      </c>
      <c r="E37" s="18">
        <v>783303</v>
      </c>
      <c r="F37" s="19">
        <v>7957.97</v>
      </c>
      <c r="G37" s="20">
        <v>1.37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692368</v>
      </c>
      <c r="F38" s="19">
        <v>7702.59</v>
      </c>
      <c r="G38" s="20">
        <v>1.33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760575</v>
      </c>
      <c r="F39" s="19">
        <v>7552.89</v>
      </c>
      <c r="G39" s="20">
        <v>1.3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928389</v>
      </c>
      <c r="F40" s="19">
        <v>7551.05</v>
      </c>
      <c r="G40" s="20">
        <v>1.3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141455</v>
      </c>
      <c r="F41" s="19">
        <v>7449.59</v>
      </c>
      <c r="G41" s="20">
        <v>1.29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565811</v>
      </c>
      <c r="F42" s="19">
        <v>7154.68</v>
      </c>
      <c r="G42" s="20">
        <v>1.24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65</v>
      </c>
      <c r="E43" s="18">
        <v>206521</v>
      </c>
      <c r="F43" s="19">
        <v>6794.95</v>
      </c>
      <c r="G43" s="20">
        <v>1.17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73</v>
      </c>
      <c r="E44" s="18">
        <v>562394</v>
      </c>
      <c r="F44" s="19">
        <v>6646.37</v>
      </c>
      <c r="G44" s="20">
        <v>1.1499999999999999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37</v>
      </c>
      <c r="E45" s="18">
        <v>349288</v>
      </c>
      <c r="F45" s="19">
        <v>6220.82</v>
      </c>
      <c r="G45" s="20">
        <v>1.07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31</v>
      </c>
      <c r="E46" s="18">
        <v>657237</v>
      </c>
      <c r="F46" s="19">
        <v>6144.18</v>
      </c>
      <c r="G46" s="20">
        <v>1.06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37</v>
      </c>
      <c r="E47" s="18">
        <v>53915</v>
      </c>
      <c r="F47" s="19">
        <v>6020.42</v>
      </c>
      <c r="G47" s="20">
        <v>1.04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103</v>
      </c>
      <c r="E48" s="18">
        <v>575049</v>
      </c>
      <c r="F48" s="19">
        <v>5969.01</v>
      </c>
      <c r="G48" s="20">
        <v>1.03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405481</v>
      </c>
      <c r="F49" s="19">
        <v>5764.72</v>
      </c>
      <c r="G49" s="20">
        <v>1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109</v>
      </c>
      <c r="E50" s="18">
        <v>37205</v>
      </c>
      <c r="F50" s="19">
        <v>5744.08</v>
      </c>
      <c r="G50" s="20">
        <v>0.99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112</v>
      </c>
      <c r="E51" s="18">
        <v>323618</v>
      </c>
      <c r="F51" s="19">
        <v>5706.03</v>
      </c>
      <c r="G51" s="20">
        <v>0.98</v>
      </c>
      <c r="H51" s="21"/>
    </row>
    <row r="52" spans="2:8" ht="24" customHeight="1" x14ac:dyDescent="0.25">
      <c r="B52" s="17" t="s">
        <v>113</v>
      </c>
      <c r="C52" s="17" t="s">
        <v>114</v>
      </c>
      <c r="D52" s="17" t="s">
        <v>48</v>
      </c>
      <c r="E52" s="18">
        <v>1271059</v>
      </c>
      <c r="F52" s="19">
        <v>5699.43</v>
      </c>
      <c r="G52" s="20">
        <v>0.98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81</v>
      </c>
      <c r="E53" s="18">
        <v>853267</v>
      </c>
      <c r="F53" s="19">
        <v>5688.73</v>
      </c>
      <c r="G53" s="20">
        <v>0.98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48</v>
      </c>
      <c r="E54" s="18">
        <v>363840</v>
      </c>
      <c r="F54" s="19">
        <v>5686.46</v>
      </c>
      <c r="G54" s="20">
        <v>0.98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81</v>
      </c>
      <c r="E55" s="18">
        <v>507325</v>
      </c>
      <c r="F55" s="19">
        <v>5668.09</v>
      </c>
      <c r="G55" s="20">
        <v>0.98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73</v>
      </c>
      <c r="E56" s="18">
        <v>113577</v>
      </c>
      <c r="F56" s="19">
        <v>5451.7</v>
      </c>
      <c r="G56" s="20">
        <v>0.94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125</v>
      </c>
      <c r="E57" s="18">
        <v>3351332</v>
      </c>
      <c r="F57" s="19">
        <v>5432.17</v>
      </c>
      <c r="G57" s="20">
        <v>0.94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109</v>
      </c>
      <c r="E58" s="18">
        <v>215134</v>
      </c>
      <c r="F58" s="19">
        <v>5418.36</v>
      </c>
      <c r="G58" s="20">
        <v>0.94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57</v>
      </c>
      <c r="E59" s="18">
        <v>712690</v>
      </c>
      <c r="F59" s="19">
        <v>5417.16</v>
      </c>
      <c r="G59" s="20">
        <v>0.94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132</v>
      </c>
      <c r="E60" s="18">
        <v>234276</v>
      </c>
      <c r="F60" s="19">
        <v>5367.73</v>
      </c>
      <c r="G60" s="20">
        <v>0.93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73</v>
      </c>
      <c r="E61" s="18">
        <v>216125</v>
      </c>
      <c r="F61" s="19">
        <v>5346.72</v>
      </c>
      <c r="G61" s="20">
        <v>0.92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31</v>
      </c>
      <c r="E62" s="18">
        <v>168791</v>
      </c>
      <c r="F62" s="19">
        <v>5228.3</v>
      </c>
      <c r="G62" s="20">
        <v>0.9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139</v>
      </c>
      <c r="E63" s="18">
        <v>644023</v>
      </c>
      <c r="F63" s="19">
        <v>5087.78</v>
      </c>
      <c r="G63" s="20">
        <v>0.88</v>
      </c>
      <c r="H63" s="21"/>
    </row>
    <row r="64" spans="2:8" ht="24" customHeight="1" x14ac:dyDescent="0.25">
      <c r="B64" s="17" t="s">
        <v>140</v>
      </c>
      <c r="C64" s="17" t="s">
        <v>141</v>
      </c>
      <c r="D64" s="17" t="s">
        <v>37</v>
      </c>
      <c r="E64" s="18">
        <v>313748</v>
      </c>
      <c r="F64" s="19">
        <v>4998.01</v>
      </c>
      <c r="G64" s="20">
        <v>0.86</v>
      </c>
      <c r="H64" s="21"/>
    </row>
    <row r="65" spans="2:12" ht="24" customHeight="1" x14ac:dyDescent="0.25">
      <c r="B65" s="17" t="s">
        <v>142</v>
      </c>
      <c r="C65" s="17" t="s">
        <v>143</v>
      </c>
      <c r="D65" s="17" t="s">
        <v>84</v>
      </c>
      <c r="E65" s="18">
        <v>73880</v>
      </c>
      <c r="F65" s="19">
        <v>4770.51</v>
      </c>
      <c r="G65" s="20">
        <v>0.82</v>
      </c>
      <c r="H65" s="21"/>
    </row>
    <row r="66" spans="2:12" ht="24" customHeight="1" x14ac:dyDescent="0.25">
      <c r="B66" s="17" t="s">
        <v>144</v>
      </c>
      <c r="C66" s="17" t="s">
        <v>145</v>
      </c>
      <c r="D66" s="17" t="s">
        <v>84</v>
      </c>
      <c r="E66" s="18">
        <v>106660</v>
      </c>
      <c r="F66" s="19">
        <v>4763.6499999999996</v>
      </c>
      <c r="G66" s="20">
        <v>0.82</v>
      </c>
      <c r="H66" s="21"/>
    </row>
    <row r="67" spans="2:12" ht="24" customHeight="1" x14ac:dyDescent="0.25">
      <c r="B67" s="17" t="s">
        <v>146</v>
      </c>
      <c r="C67" s="17" t="s">
        <v>147</v>
      </c>
      <c r="D67" s="17" t="s">
        <v>31</v>
      </c>
      <c r="E67" s="18">
        <v>63778</v>
      </c>
      <c r="F67" s="19">
        <v>4533.9799999999996</v>
      </c>
      <c r="G67" s="20">
        <v>0.78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18</v>
      </c>
      <c r="E68" s="18">
        <v>1170562</v>
      </c>
      <c r="F68" s="19">
        <v>4486.76</v>
      </c>
      <c r="G68" s="20">
        <v>0.77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106</v>
      </c>
      <c r="E69" s="18">
        <v>10407932</v>
      </c>
      <c r="F69" s="19">
        <v>4344.2700000000004</v>
      </c>
      <c r="G69" s="20">
        <v>0.75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48</v>
      </c>
      <c r="E70" s="18">
        <v>123371</v>
      </c>
      <c r="F70" s="19">
        <v>4224.47</v>
      </c>
      <c r="G70" s="20">
        <v>0.73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48</v>
      </c>
      <c r="E71" s="18">
        <v>89420</v>
      </c>
      <c r="F71" s="19">
        <v>4055.02</v>
      </c>
      <c r="G71" s="20">
        <v>0.7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109</v>
      </c>
      <c r="E72" s="18">
        <v>59020</v>
      </c>
      <c r="F72" s="19">
        <v>4025.75</v>
      </c>
      <c r="G72" s="20">
        <v>0.69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37</v>
      </c>
      <c r="E73" s="18">
        <v>132173</v>
      </c>
      <c r="F73" s="19">
        <v>3900.03</v>
      </c>
      <c r="G73" s="20">
        <v>0.67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57</v>
      </c>
      <c r="E74" s="18">
        <v>25605</v>
      </c>
      <c r="F74" s="19">
        <v>3841.52</v>
      </c>
      <c r="G74" s="20">
        <v>0.66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31</v>
      </c>
      <c r="E75" s="18">
        <v>28130</v>
      </c>
      <c r="F75" s="19">
        <v>3745.23</v>
      </c>
      <c r="G75" s="20">
        <v>0.65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112</v>
      </c>
      <c r="E76" s="18">
        <v>614860</v>
      </c>
      <c r="F76" s="19">
        <v>3608.61</v>
      </c>
      <c r="G76" s="20">
        <v>0.62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87</v>
      </c>
      <c r="E77" s="18">
        <v>233985</v>
      </c>
      <c r="F77" s="19">
        <v>3579.27</v>
      </c>
      <c r="G77" s="20">
        <v>0.62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84</v>
      </c>
      <c r="E78" s="18">
        <v>601254</v>
      </c>
      <c r="F78" s="19">
        <v>3446.69</v>
      </c>
      <c r="G78" s="20">
        <v>0.59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57</v>
      </c>
      <c r="E79" s="18">
        <v>125000</v>
      </c>
      <c r="F79" s="19">
        <v>3242.63</v>
      </c>
      <c r="G79" s="20">
        <v>0.56000000000000005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78</v>
      </c>
      <c r="E80" s="18">
        <v>137942</v>
      </c>
      <c r="F80" s="19">
        <v>3214.88</v>
      </c>
      <c r="G80" s="20">
        <v>0.55000000000000004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78</v>
      </c>
      <c r="E81" s="18">
        <v>76125</v>
      </c>
      <c r="F81" s="19">
        <v>3140</v>
      </c>
      <c r="G81" s="20">
        <v>0.54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57</v>
      </c>
      <c r="E82" s="18">
        <v>281249</v>
      </c>
      <c r="F82" s="19">
        <v>3007.82</v>
      </c>
      <c r="G82" s="20">
        <v>0.52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180</v>
      </c>
      <c r="E83" s="18">
        <v>376066</v>
      </c>
      <c r="F83" s="19">
        <v>2914.51</v>
      </c>
      <c r="G83" s="20">
        <v>0.5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65</v>
      </c>
      <c r="E84" s="18">
        <v>279981</v>
      </c>
      <c r="F84" s="19">
        <v>2896.82</v>
      </c>
      <c r="G84" s="20">
        <v>0.5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185</v>
      </c>
      <c r="E85" s="18">
        <v>1493845</v>
      </c>
      <c r="F85" s="19">
        <v>2893.73</v>
      </c>
      <c r="G85" s="20">
        <v>0.5</v>
      </c>
      <c r="H85" s="21"/>
    </row>
    <row r="86" spans="2:13" ht="24" customHeight="1" x14ac:dyDescent="0.25">
      <c r="B86" s="17" t="s">
        <v>186</v>
      </c>
      <c r="C86" s="17" t="s">
        <v>187</v>
      </c>
      <c r="D86" s="17" t="s">
        <v>87</v>
      </c>
      <c r="E86" s="18">
        <v>209214</v>
      </c>
      <c r="F86" s="19">
        <v>2820.2</v>
      </c>
      <c r="G86" s="20">
        <v>0.49</v>
      </c>
      <c r="H86" s="21"/>
      <c r="L86" s="30"/>
      <c r="M86" s="30"/>
    </row>
    <row r="87" spans="2:13" ht="24" customHeight="1" x14ac:dyDescent="0.25">
      <c r="B87" s="17" t="s">
        <v>188</v>
      </c>
      <c r="C87" s="17" t="s">
        <v>189</v>
      </c>
      <c r="D87" s="17" t="s">
        <v>57</v>
      </c>
      <c r="E87" s="18">
        <v>137406</v>
      </c>
      <c r="F87" s="19">
        <v>2807.75</v>
      </c>
      <c r="G87" s="20">
        <v>0.48</v>
      </c>
      <c r="H87" s="21"/>
      <c r="L87" s="30"/>
      <c r="M87" s="30"/>
    </row>
    <row r="88" spans="2:13" ht="24" customHeight="1" x14ac:dyDescent="0.25">
      <c r="B88" s="17" t="s">
        <v>190</v>
      </c>
      <c r="C88" s="17" t="s">
        <v>191</v>
      </c>
      <c r="D88" s="17" t="s">
        <v>192</v>
      </c>
      <c r="E88" s="18">
        <v>220875</v>
      </c>
      <c r="F88" s="19">
        <v>2772.86</v>
      </c>
      <c r="G88" s="20">
        <v>0.48</v>
      </c>
      <c r="H88" s="21"/>
      <c r="L88" s="30"/>
      <c r="M88" s="30"/>
    </row>
    <row r="89" spans="2:13" ht="24" customHeight="1" x14ac:dyDescent="0.25">
      <c r="B89" s="17" t="s">
        <v>193</v>
      </c>
      <c r="C89" s="17" t="s">
        <v>194</v>
      </c>
      <c r="D89" s="17" t="s">
        <v>57</v>
      </c>
      <c r="E89" s="18">
        <v>285000</v>
      </c>
      <c r="F89" s="19">
        <v>2764.36</v>
      </c>
      <c r="G89" s="20">
        <v>0.48</v>
      </c>
      <c r="H89" s="21"/>
      <c r="L89" s="30"/>
      <c r="M89" s="30"/>
    </row>
    <row r="90" spans="2:13" ht="24" customHeight="1" x14ac:dyDescent="0.25">
      <c r="B90" s="17" t="s">
        <v>195</v>
      </c>
      <c r="C90" s="17" t="s">
        <v>196</v>
      </c>
      <c r="D90" s="17" t="s">
        <v>197</v>
      </c>
      <c r="E90" s="18">
        <v>503447</v>
      </c>
      <c r="F90" s="19">
        <v>2759.14</v>
      </c>
      <c r="G90" s="20">
        <v>0.48</v>
      </c>
      <c r="H90" s="21"/>
      <c r="L90" s="30"/>
      <c r="M90" s="30"/>
    </row>
    <row r="91" spans="2:13" ht="24" customHeight="1" x14ac:dyDescent="0.25">
      <c r="B91" s="17" t="s">
        <v>198</v>
      </c>
      <c r="C91" s="17" t="s">
        <v>199</v>
      </c>
      <c r="D91" s="17" t="s">
        <v>200</v>
      </c>
      <c r="E91" s="18">
        <v>33129</v>
      </c>
      <c r="F91" s="19">
        <v>2634.92</v>
      </c>
      <c r="G91" s="20">
        <v>0.45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106</v>
      </c>
      <c r="E92" s="18">
        <v>544128</v>
      </c>
      <c r="F92" s="19">
        <v>2228.75</v>
      </c>
      <c r="G92" s="20">
        <v>0.38</v>
      </c>
      <c r="H92" s="21"/>
      <c r="L92" s="30"/>
      <c r="M92" s="30"/>
    </row>
    <row r="93" spans="2:13" ht="24" customHeight="1" x14ac:dyDescent="0.25">
      <c r="B93" s="17" t="s">
        <v>203</v>
      </c>
      <c r="C93" s="17" t="s">
        <v>204</v>
      </c>
      <c r="D93" s="17" t="s">
        <v>54</v>
      </c>
      <c r="E93" s="18">
        <v>293345</v>
      </c>
      <c r="F93" s="19">
        <v>1984.92</v>
      </c>
      <c r="G93" s="20">
        <v>0.34</v>
      </c>
      <c r="H93" s="21"/>
    </row>
    <row r="94" spans="2:13" ht="24" customHeight="1" x14ac:dyDescent="0.25">
      <c r="B94" s="17" t="s">
        <v>205</v>
      </c>
      <c r="C94" s="17" t="s">
        <v>206</v>
      </c>
      <c r="D94" s="17" t="s">
        <v>51</v>
      </c>
      <c r="E94" s="18">
        <v>170954</v>
      </c>
      <c r="F94" s="19">
        <v>1952.55</v>
      </c>
      <c r="G94" s="20">
        <v>0.34</v>
      </c>
      <c r="H94" s="21"/>
      <c r="L94" s="28"/>
    </row>
    <row r="95" spans="2:13" ht="24" customHeight="1" x14ac:dyDescent="0.25">
      <c r="B95" s="17" t="s">
        <v>207</v>
      </c>
      <c r="C95" s="17" t="s">
        <v>208</v>
      </c>
      <c r="D95" s="17" t="s">
        <v>78</v>
      </c>
      <c r="E95" s="18">
        <v>105605</v>
      </c>
      <c r="F95" s="19">
        <v>1944.19</v>
      </c>
      <c r="G95" s="20">
        <v>0.34</v>
      </c>
      <c r="H95" s="21"/>
    </row>
    <row r="96" spans="2:13" ht="24" customHeight="1" x14ac:dyDescent="0.25">
      <c r="B96" s="17" t="s">
        <v>209</v>
      </c>
      <c r="C96" s="17" t="s">
        <v>210</v>
      </c>
      <c r="D96" s="17" t="s">
        <v>37</v>
      </c>
      <c r="E96" s="18">
        <v>90640</v>
      </c>
      <c r="F96" s="19">
        <v>1280.29</v>
      </c>
      <c r="G96" s="20">
        <v>0.22</v>
      </c>
      <c r="H96" s="21"/>
    </row>
    <row r="97" spans="2:8" ht="24" customHeight="1" x14ac:dyDescent="0.25">
      <c r="B97" s="17" t="s">
        <v>211</v>
      </c>
      <c r="C97" s="17" t="s">
        <v>212</v>
      </c>
      <c r="D97" s="17" t="s">
        <v>192</v>
      </c>
      <c r="E97" s="18">
        <v>736990</v>
      </c>
      <c r="F97" s="19">
        <v>1238.73</v>
      </c>
      <c r="G97" s="20">
        <v>0.21</v>
      </c>
      <c r="H97" s="21"/>
    </row>
    <row r="98" spans="2:8" ht="24" customHeight="1" x14ac:dyDescent="0.25">
      <c r="B98" s="31" t="s">
        <v>213</v>
      </c>
      <c r="C98" s="31"/>
      <c r="D98" s="31"/>
      <c r="E98" s="32"/>
      <c r="F98" s="33">
        <f>SUM(F16:F97)</f>
        <v>564216.38</v>
      </c>
      <c r="G98" s="33">
        <f>SUM(G16:G97)</f>
        <v>97.340000000000032</v>
      </c>
      <c r="H98" s="34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22" t="s">
        <v>214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/>
      <c r="C101" s="17"/>
      <c r="D101" s="17"/>
      <c r="E101" s="18"/>
      <c r="F101" s="20">
        <v>0</v>
      </c>
      <c r="G101" s="20">
        <v>0</v>
      </c>
      <c r="H101" s="21"/>
    </row>
    <row r="102" spans="2:8" ht="24" customHeight="1" x14ac:dyDescent="0.25">
      <c r="B102" s="31" t="s">
        <v>213</v>
      </c>
      <c r="C102" s="17"/>
      <c r="D102" s="17"/>
      <c r="E102" s="18"/>
      <c r="F102" s="35" t="s">
        <v>215</v>
      </c>
      <c r="G102" s="35" t="s">
        <v>215</v>
      </c>
      <c r="H102" s="21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6" t="s">
        <v>216</v>
      </c>
      <c r="C104" s="37"/>
      <c r="D104" s="37"/>
      <c r="E104" s="38"/>
      <c r="F104" s="33">
        <f>F98</f>
        <v>564216.38</v>
      </c>
      <c r="G104" s="33">
        <f>G98</f>
        <v>97.340000000000032</v>
      </c>
      <c r="H104" s="34"/>
    </row>
    <row r="105" spans="2:8" ht="24" customHeight="1" x14ac:dyDescent="0.25">
      <c r="B105" s="39"/>
      <c r="C105" s="40"/>
      <c r="D105" s="40"/>
      <c r="E105" s="41"/>
      <c r="F105" s="42"/>
      <c r="G105" s="43"/>
      <c r="H105" s="34"/>
    </row>
    <row r="106" spans="2:8" ht="24" customHeight="1" x14ac:dyDescent="0.25">
      <c r="B106" s="22" t="s">
        <v>217</v>
      </c>
      <c r="C106" s="23"/>
      <c r="D106" s="23"/>
      <c r="E106" s="44"/>
      <c r="F106" s="25"/>
      <c r="G106" s="26"/>
      <c r="H106" s="27"/>
    </row>
    <row r="107" spans="2:8" ht="24" customHeight="1" x14ac:dyDescent="0.25">
      <c r="B107" s="17" t="s">
        <v>29</v>
      </c>
      <c r="C107" s="17" t="s">
        <v>218</v>
      </c>
      <c r="D107" s="17" t="s">
        <v>31</v>
      </c>
      <c r="E107" s="18">
        <v>2196804</v>
      </c>
      <c r="F107" s="19">
        <v>224.07</v>
      </c>
      <c r="G107" s="20">
        <v>0.04</v>
      </c>
      <c r="H107" s="21"/>
    </row>
    <row r="108" spans="2:8" ht="24" customHeight="1" x14ac:dyDescent="0.25">
      <c r="B108" s="31" t="s">
        <v>213</v>
      </c>
      <c r="C108" s="31"/>
      <c r="D108" s="31"/>
      <c r="E108" s="32"/>
      <c r="F108" s="33">
        <f>F107</f>
        <v>224.07</v>
      </c>
      <c r="G108" s="33">
        <f>G107</f>
        <v>0.04</v>
      </c>
      <c r="H108" s="34"/>
    </row>
    <row r="109" spans="2:8" ht="24" customHeight="1" x14ac:dyDescent="0.25">
      <c r="B109" s="45"/>
      <c r="C109" s="45"/>
      <c r="D109" s="45"/>
      <c r="E109" s="41"/>
      <c r="F109" s="42"/>
      <c r="G109" s="43"/>
      <c r="H109" s="34"/>
    </row>
    <row r="110" spans="2:8" ht="24" customHeight="1" x14ac:dyDescent="0.25">
      <c r="B110" s="36" t="s">
        <v>216</v>
      </c>
      <c r="C110" s="37"/>
      <c r="D110" s="37"/>
      <c r="E110" s="38"/>
      <c r="F110" s="33">
        <f>F108</f>
        <v>224.07</v>
      </c>
      <c r="G110" s="33">
        <f>G108</f>
        <v>0.04</v>
      </c>
      <c r="H110" s="34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1" t="s">
        <v>219</v>
      </c>
      <c r="C112" s="12"/>
      <c r="D112" s="12"/>
      <c r="E112" s="13"/>
      <c r="F112" s="14"/>
      <c r="G112" s="15"/>
      <c r="H112" s="16"/>
    </row>
    <row r="113" spans="2:10" ht="24" customHeight="1" x14ac:dyDescent="0.25">
      <c r="B113" s="17"/>
      <c r="C113" s="17"/>
      <c r="D113" s="17"/>
      <c r="E113" s="18"/>
      <c r="F113" s="19"/>
      <c r="G113" s="20"/>
      <c r="H113" s="21"/>
    </row>
    <row r="114" spans="2:10" ht="24" customHeight="1" x14ac:dyDescent="0.25">
      <c r="B114" s="22" t="s">
        <v>220</v>
      </c>
      <c r="C114" s="23"/>
      <c r="D114" s="23"/>
      <c r="E114" s="24"/>
      <c r="F114" s="25"/>
      <c r="G114" s="26"/>
      <c r="H114" s="27"/>
    </row>
    <row r="115" spans="2:10" ht="24" customHeight="1" x14ac:dyDescent="0.25">
      <c r="B115" s="17" t="s">
        <v>221</v>
      </c>
      <c r="C115" s="17" t="s">
        <v>222</v>
      </c>
      <c r="D115" s="17" t="s">
        <v>223</v>
      </c>
      <c r="E115" s="18">
        <v>665000</v>
      </c>
      <c r="F115" s="19">
        <v>647.47</v>
      </c>
      <c r="G115" s="20">
        <v>0.11</v>
      </c>
      <c r="H115" s="21">
        <v>5.46</v>
      </c>
    </row>
    <row r="116" spans="2:10" ht="24" customHeight="1" x14ac:dyDescent="0.25">
      <c r="B116" s="31" t="s">
        <v>213</v>
      </c>
      <c r="C116" s="31"/>
      <c r="D116" s="31"/>
      <c r="E116" s="32"/>
      <c r="F116" s="33">
        <v>647.47</v>
      </c>
      <c r="G116" s="46">
        <v>0.11</v>
      </c>
      <c r="H116" s="34"/>
    </row>
    <row r="117" spans="2:10" ht="24" customHeight="1" x14ac:dyDescent="0.25">
      <c r="B117" s="17"/>
      <c r="C117" s="17"/>
      <c r="D117" s="17"/>
      <c r="E117" s="18"/>
      <c r="F117" s="19"/>
      <c r="G117" s="20"/>
      <c r="H117" s="21"/>
    </row>
    <row r="118" spans="2:10" ht="24" customHeight="1" x14ac:dyDescent="0.25">
      <c r="B118" s="36" t="s">
        <v>216</v>
      </c>
      <c r="C118" s="37"/>
      <c r="D118" s="37"/>
      <c r="E118" s="38"/>
      <c r="F118" s="33">
        <v>647.47</v>
      </c>
      <c r="G118" s="46">
        <v>0.11</v>
      </c>
      <c r="H118" s="34"/>
    </row>
    <row r="119" spans="2:10" ht="24" customHeight="1" x14ac:dyDescent="0.25">
      <c r="B119" s="17"/>
      <c r="C119" s="17"/>
      <c r="D119" s="17"/>
      <c r="E119" s="18"/>
      <c r="F119" s="19"/>
      <c r="G119" s="20"/>
      <c r="H119" s="21"/>
    </row>
    <row r="120" spans="2:10" ht="24" customHeight="1" x14ac:dyDescent="0.25">
      <c r="B120" s="11" t="s">
        <v>224</v>
      </c>
      <c r="C120" s="12"/>
      <c r="D120" s="12"/>
      <c r="E120" s="13"/>
      <c r="F120" s="14"/>
      <c r="G120" s="15"/>
      <c r="H120" s="16"/>
    </row>
    <row r="121" spans="2:10" ht="24" customHeight="1" x14ac:dyDescent="0.25">
      <c r="B121" s="17" t="s">
        <v>225</v>
      </c>
      <c r="C121" s="17" t="s">
        <v>226</v>
      </c>
      <c r="D121" s="17"/>
      <c r="E121" s="18">
        <v>1182258.669</v>
      </c>
      <c r="F121" s="19">
        <v>4277.88</v>
      </c>
      <c r="G121" s="20">
        <v>0.74</v>
      </c>
      <c r="H121" s="21"/>
    </row>
    <row r="122" spans="2:10" ht="24" customHeight="1" x14ac:dyDescent="0.25">
      <c r="B122" s="31" t="s">
        <v>213</v>
      </c>
      <c r="C122" s="31"/>
      <c r="D122" s="31"/>
      <c r="E122" s="32"/>
      <c r="F122" s="33">
        <v>4277.88</v>
      </c>
      <c r="G122" s="46">
        <v>0.74</v>
      </c>
      <c r="H122" s="34"/>
    </row>
    <row r="123" spans="2:10" ht="24" customHeight="1" x14ac:dyDescent="0.25">
      <c r="B123" s="17"/>
      <c r="C123" s="17"/>
      <c r="D123" s="17"/>
      <c r="E123" s="18"/>
      <c r="F123" s="19"/>
      <c r="G123" s="20"/>
      <c r="H123" s="21"/>
    </row>
    <row r="124" spans="2:10" ht="24" customHeight="1" x14ac:dyDescent="0.25">
      <c r="B124" s="36" t="s">
        <v>216</v>
      </c>
      <c r="C124" s="37"/>
      <c r="D124" s="37"/>
      <c r="E124" s="38"/>
      <c r="F124" s="33">
        <v>4277.88</v>
      </c>
      <c r="G124" s="46">
        <v>0.74</v>
      </c>
      <c r="H124" s="34"/>
    </row>
    <row r="125" spans="2:10" ht="24" customHeight="1" x14ac:dyDescent="0.25">
      <c r="B125" s="17"/>
      <c r="C125" s="17"/>
      <c r="D125" s="17"/>
      <c r="E125" s="18"/>
      <c r="F125" s="19"/>
      <c r="G125" s="20"/>
      <c r="H125" s="21"/>
    </row>
    <row r="126" spans="2:10" ht="24" customHeight="1" x14ac:dyDescent="0.25">
      <c r="B126" s="11" t="s">
        <v>227</v>
      </c>
      <c r="C126" s="12"/>
      <c r="D126" s="12"/>
      <c r="E126" s="13"/>
      <c r="F126" s="14"/>
      <c r="G126" s="15"/>
      <c r="H126" s="16"/>
    </row>
    <row r="127" spans="2:10" ht="24" customHeight="1" x14ac:dyDescent="0.25">
      <c r="B127" s="17" t="s">
        <v>228</v>
      </c>
      <c r="C127" s="17"/>
      <c r="D127" s="17"/>
      <c r="E127" s="18"/>
      <c r="F127" s="19">
        <v>10977.2</v>
      </c>
      <c r="G127" s="20">
        <v>1.89</v>
      </c>
      <c r="H127" s="21"/>
    </row>
    <row r="128" spans="2:10" ht="24" customHeight="1" x14ac:dyDescent="0.25">
      <c r="B128" s="31" t="s">
        <v>213</v>
      </c>
      <c r="C128" s="31"/>
      <c r="D128" s="31"/>
      <c r="E128" s="32"/>
      <c r="F128" s="33">
        <v>10977.2</v>
      </c>
      <c r="G128" s="46">
        <v>1.89</v>
      </c>
      <c r="H128" s="34"/>
      <c r="J128" s="47"/>
    </row>
    <row r="129" spans="2:10" ht="24" customHeight="1" x14ac:dyDescent="0.25">
      <c r="B129" s="17"/>
      <c r="C129" s="17"/>
      <c r="D129" s="17"/>
      <c r="E129" s="18"/>
      <c r="F129" s="19"/>
      <c r="G129" s="20"/>
      <c r="H129" s="21"/>
    </row>
    <row r="130" spans="2:10" ht="24" customHeight="1" x14ac:dyDescent="0.25">
      <c r="B130" s="36" t="s">
        <v>216</v>
      </c>
      <c r="C130" s="37"/>
      <c r="D130" s="37"/>
      <c r="E130" s="38"/>
      <c r="F130" s="33">
        <v>10977.2</v>
      </c>
      <c r="G130" s="46">
        <v>1.89</v>
      </c>
      <c r="H130" s="34"/>
    </row>
    <row r="131" spans="2:10" ht="24" customHeight="1" x14ac:dyDescent="0.25">
      <c r="B131" s="17"/>
      <c r="C131" s="17"/>
      <c r="D131" s="17"/>
      <c r="E131" s="18"/>
      <c r="F131" s="19"/>
      <c r="G131" s="20"/>
      <c r="H131" s="21"/>
    </row>
    <row r="132" spans="2:10" ht="24" customHeight="1" x14ac:dyDescent="0.25">
      <c r="B132" s="17" t="s">
        <v>229</v>
      </c>
      <c r="C132" s="17"/>
      <c r="D132" s="17"/>
      <c r="E132" s="18"/>
      <c r="F132" s="48">
        <v>-1046.3</v>
      </c>
      <c r="G132" s="20">
        <v>-0.12</v>
      </c>
      <c r="H132" s="21"/>
      <c r="I132" s="49"/>
      <c r="J132" s="49"/>
    </row>
    <row r="133" spans="2:10" ht="24" customHeight="1" x14ac:dyDescent="0.25">
      <c r="B133" s="17"/>
      <c r="C133" s="17"/>
      <c r="D133" s="17"/>
      <c r="E133" s="18"/>
      <c r="F133" s="19"/>
      <c r="G133" s="20"/>
      <c r="H133" s="21"/>
    </row>
    <row r="134" spans="2:10" ht="24" customHeight="1" x14ac:dyDescent="0.25">
      <c r="B134" s="36" t="s">
        <v>230</v>
      </c>
      <c r="C134" s="37"/>
      <c r="D134" s="37"/>
      <c r="E134" s="38"/>
      <c r="F134" s="33">
        <v>579296.69999999995</v>
      </c>
      <c r="G134" s="46">
        <v>100</v>
      </c>
      <c r="H134" s="50"/>
    </row>
    <row r="135" spans="2:10" ht="24" customHeight="1" x14ac:dyDescent="0.25">
      <c r="B135" s="4"/>
    </row>
    <row r="136" spans="2:10" ht="24" customHeight="1" x14ac:dyDescent="0.25">
      <c r="F136" s="53"/>
      <c r="G136" s="53"/>
    </row>
    <row r="137" spans="2:10" ht="24" customHeight="1" x14ac:dyDescent="0.25">
      <c r="F137" s="53"/>
      <c r="G137" s="53"/>
    </row>
    <row r="143" spans="2:10" ht="24" customHeight="1" x14ac:dyDescent="0.25">
      <c r="B143" s="40" t="s">
        <v>231</v>
      </c>
    </row>
    <row r="144" spans="2:10" ht="24" customHeight="1" x14ac:dyDescent="0.25">
      <c r="B144" s="51" t="s">
        <v>232</v>
      </c>
    </row>
    <row r="145" spans="2:8" ht="24" customHeight="1" x14ac:dyDescent="0.25">
      <c r="B145" s="54" t="s">
        <v>233</v>
      </c>
      <c r="C145" s="55">
        <v>46112</v>
      </c>
      <c r="D145" s="56">
        <v>46142</v>
      </c>
    </row>
    <row r="146" spans="2:8" ht="24" customHeight="1" x14ac:dyDescent="0.25">
      <c r="B146" s="57" t="s">
        <v>234</v>
      </c>
      <c r="C146" s="58" t="s">
        <v>235</v>
      </c>
      <c r="D146" s="59" t="s">
        <v>235</v>
      </c>
      <c r="E146" s="4"/>
      <c r="F146" s="4"/>
      <c r="G146" s="4"/>
      <c r="H146" s="4"/>
    </row>
    <row r="147" spans="2:8" ht="24" customHeight="1" x14ac:dyDescent="0.25">
      <c r="B147" s="60" t="s">
        <v>236</v>
      </c>
      <c r="C147" s="61">
        <v>37.76</v>
      </c>
      <c r="D147" s="62">
        <v>41.41</v>
      </c>
      <c r="E147" s="4"/>
      <c r="F147" s="4"/>
      <c r="G147" s="4"/>
      <c r="H147" s="4"/>
    </row>
    <row r="148" spans="2:8" ht="24" customHeight="1" x14ac:dyDescent="0.25">
      <c r="B148" s="60" t="s">
        <v>237</v>
      </c>
      <c r="C148" s="61">
        <v>17.850000000000001</v>
      </c>
      <c r="D148" s="62">
        <v>19.57</v>
      </c>
      <c r="E148" s="4"/>
      <c r="F148" s="4"/>
      <c r="G148" s="4"/>
      <c r="H148" s="4"/>
    </row>
    <row r="149" spans="2:8" ht="24" customHeight="1" x14ac:dyDescent="0.25">
      <c r="B149" s="57" t="s">
        <v>238</v>
      </c>
      <c r="C149" s="58"/>
      <c r="D149" s="59"/>
      <c r="E149" s="4"/>
      <c r="F149" s="4"/>
      <c r="G149" s="4"/>
      <c r="H149" s="4"/>
    </row>
    <row r="150" spans="2:8" ht="24" customHeight="1" x14ac:dyDescent="0.25">
      <c r="B150" s="60" t="s">
        <v>236</v>
      </c>
      <c r="C150" s="61">
        <v>32.01</v>
      </c>
      <c r="D150" s="62">
        <v>35.06</v>
      </c>
      <c r="E150" s="4"/>
      <c r="F150" s="4"/>
      <c r="G150" s="4"/>
      <c r="H150" s="4"/>
    </row>
    <row r="151" spans="2:8" ht="24" customHeight="1" x14ac:dyDescent="0.25">
      <c r="B151" s="63" t="s">
        <v>237</v>
      </c>
      <c r="C151" s="64">
        <v>15.65</v>
      </c>
      <c r="D151" s="65">
        <v>17.14</v>
      </c>
      <c r="E151" s="4"/>
      <c r="F151" s="4"/>
      <c r="G151" s="4"/>
      <c r="H151" s="4"/>
    </row>
    <row r="152" spans="2:8" ht="24" customHeight="1" x14ac:dyDescent="0.25">
      <c r="C152" s="66"/>
      <c r="D152" s="66"/>
      <c r="E152" s="4"/>
      <c r="F152" s="4"/>
      <c r="G152" s="4"/>
      <c r="H152" s="4"/>
    </row>
    <row r="153" spans="2:8" ht="24" customHeight="1" x14ac:dyDescent="0.25">
      <c r="B153" s="51" t="s">
        <v>239</v>
      </c>
      <c r="D153" s="29" t="s">
        <v>215</v>
      </c>
    </row>
    <row r="155" spans="2:8" ht="24" customHeight="1" x14ac:dyDescent="0.25">
      <c r="B155" s="51" t="s">
        <v>240</v>
      </c>
      <c r="D155" s="29" t="s">
        <v>215</v>
      </c>
    </row>
    <row r="157" spans="2:8" ht="24" customHeight="1" x14ac:dyDescent="0.25">
      <c r="B157" s="51" t="s">
        <v>241</v>
      </c>
      <c r="D157" s="29" t="s">
        <v>215</v>
      </c>
    </row>
    <row r="159" spans="2:8" ht="24" customHeight="1" x14ac:dyDescent="0.25">
      <c r="B159" s="51" t="s">
        <v>242</v>
      </c>
      <c r="D159" s="29" t="s">
        <v>215</v>
      </c>
    </row>
    <row r="161" spans="2:4" ht="24" customHeight="1" x14ac:dyDescent="0.25">
      <c r="B161" s="51" t="s">
        <v>243</v>
      </c>
      <c r="D161" s="29">
        <v>0.43</v>
      </c>
    </row>
    <row r="163" spans="2:4" ht="24" customHeight="1" x14ac:dyDescent="0.25">
      <c r="B163" s="51" t="s">
        <v>244</v>
      </c>
      <c r="D163" s="29" t="s">
        <v>215</v>
      </c>
    </row>
    <row r="165" spans="2:4" ht="24" customHeight="1" x14ac:dyDescent="0.25">
      <c r="B165" s="51" t="s">
        <v>245</v>
      </c>
      <c r="D165" s="29" t="s">
        <v>215</v>
      </c>
    </row>
    <row r="166" spans="2:4" ht="24" customHeight="1" x14ac:dyDescent="0.25">
      <c r="B166" s="51" t="s">
        <v>246</v>
      </c>
      <c r="D166" s="29" t="s">
        <v>215</v>
      </c>
    </row>
    <row r="168" spans="2:4" ht="24" customHeight="1" x14ac:dyDescent="0.25">
      <c r="B168" s="67" t="s">
        <v>247</v>
      </c>
      <c r="D168" s="29" t="s">
        <v>215</v>
      </c>
    </row>
    <row r="170" spans="2:4" ht="24" customHeight="1" x14ac:dyDescent="0.25">
      <c r="B170" s="51" t="s">
        <v>248</v>
      </c>
      <c r="D170" s="29" t="s">
        <v>215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2026-05-08T07:02:00Z</dcterms:modified>
</cp:coreProperties>
</file>