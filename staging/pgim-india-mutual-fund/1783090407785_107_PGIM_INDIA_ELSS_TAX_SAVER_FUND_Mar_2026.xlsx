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00238952-1761-4BBD-B7EC-ADAA143F7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Saver'!$B$148:$C$152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Saver'!$L$77:$M$92</definedName>
    <definedName name="JPM_Footer_disp" localSheetId="0">'Tax Saver'!$L$83:$M$92</definedName>
    <definedName name="JPM_Footer_disp12" localSheetId="0">'Tax Saver'!$L$77:$M$100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" i="2" l="1"/>
  <c r="G99" i="2" s="1"/>
  <c r="F97" i="2"/>
  <c r="F99" i="2" s="1"/>
  <c r="G87" i="2"/>
  <c r="G93" i="2" s="1"/>
  <c r="F87" i="2"/>
  <c r="F93" i="2" s="1"/>
</calcChain>
</file>

<file path=xl/sharedStrings.xml><?xml version="1.0" encoding="utf-8"?>
<sst xmlns="http://schemas.openxmlformats.org/spreadsheetml/2006/main" count="288" uniqueCount="225">
  <si>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</si>
  <si>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</si>
  <si>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</si>
  <si>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</si>
  <si>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</si>
  <si>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</si>
  <si>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</si>
  <si>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</si>
  <si>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</si>
  <si>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</si>
  <si>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</si>
  <si>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</si>
  <si>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</si>
  <si>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</si>
  <si>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</si>
  <si>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</si>
  <si>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</si>
  <si>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</si>
  <si>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</si>
  <si>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</si>
  <si>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</si>
  <si>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</si>
  <si>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</si>
  <si>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</si>
  <si>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</si>
  <si>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</si>
  <si>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</si>
  <si>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</si>
  <si>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</si>
  <si>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</si>
  <si>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ICICI Lombard General Insurance Co. Ltd.</t>
  </si>
  <si>
    <t>INE765G01017</t>
  </si>
  <si>
    <t>Insurance</t>
  </si>
  <si>
    <t>Bajaj Finance Ltd.</t>
  </si>
  <si>
    <t>INE296A01032</t>
  </si>
  <si>
    <t>Finance</t>
  </si>
  <si>
    <t>Ultratech Cement Ltd.</t>
  </si>
  <si>
    <t>INE481G01011</t>
  </si>
  <si>
    <t>Cement &amp; Cement Products</t>
  </si>
  <si>
    <t>Kotak Mahindra Bank Ltd.</t>
  </si>
  <si>
    <t>INE237A01036</t>
  </si>
  <si>
    <t>State Bank of India</t>
  </si>
  <si>
    <t>INE062A01020</t>
  </si>
  <si>
    <t>UNO Minda Ltd.</t>
  </si>
  <si>
    <t>INE405E01023</t>
  </si>
  <si>
    <t>Auto Components</t>
  </si>
  <si>
    <t>Mankind Pharma Ltd.</t>
  </si>
  <si>
    <t>INE634S01028</t>
  </si>
  <si>
    <t>Pharmaceuticals &amp; Biotechnology</t>
  </si>
  <si>
    <t>Eternal Ltd.</t>
  </si>
  <si>
    <t>INE758T01015</t>
  </si>
  <si>
    <t>Retailing</t>
  </si>
  <si>
    <t>VARUN BEVERAGES LIMITED</t>
  </si>
  <si>
    <t>INE200M01039</t>
  </si>
  <si>
    <t>Beverages</t>
  </si>
  <si>
    <t>Infosys Ltd.</t>
  </si>
  <si>
    <t>INE009A01021</t>
  </si>
  <si>
    <t>IT - Software</t>
  </si>
  <si>
    <t>Dixon Technologies (India) Ltd.</t>
  </si>
  <si>
    <t>INE935N01020</t>
  </si>
  <si>
    <t>Consumer Durables</t>
  </si>
  <si>
    <t>Persistent Systems Ltd.</t>
  </si>
  <si>
    <t>INE262H01021</t>
  </si>
  <si>
    <t>Max Healthcare Institute Ltd.</t>
  </si>
  <si>
    <t>INE027H01010</t>
  </si>
  <si>
    <t>Healthcare Services</t>
  </si>
  <si>
    <t>Tata Consultancy Services Ltd.</t>
  </si>
  <si>
    <t>INE467B01029</t>
  </si>
  <si>
    <t>Titan Company Ltd.</t>
  </si>
  <si>
    <t>INE280A01028</t>
  </si>
  <si>
    <t>Cholamandalam Investment &amp; Finance Company Ltd.</t>
  </si>
  <si>
    <t>INE121A01024</t>
  </si>
  <si>
    <t>Navin Fluorine International Ltd.</t>
  </si>
  <si>
    <t>INE048G01026</t>
  </si>
  <si>
    <t>Chemicals &amp; Petrochemicals</t>
  </si>
  <si>
    <t>Solar Industries India Ltd.</t>
  </si>
  <si>
    <t>INE343H01029</t>
  </si>
  <si>
    <t>SRF Ltd.</t>
  </si>
  <si>
    <t>INE647A01010</t>
  </si>
  <si>
    <t>Vishal Mega Mart Ltd</t>
  </si>
  <si>
    <t>INE01EA01019</t>
  </si>
  <si>
    <t>Bharat Electronics Ltd.</t>
  </si>
  <si>
    <t>INE263A01024</t>
  </si>
  <si>
    <t>Aerospace &amp; Defense</t>
  </si>
  <si>
    <t>SBI Life Insurance Company Ltd.</t>
  </si>
  <si>
    <t>INE123W01016</t>
  </si>
  <si>
    <t>Krishna Inst of Medical Sciences Ltd.</t>
  </si>
  <si>
    <t>INE967H01025</t>
  </si>
  <si>
    <t>JSW Cement Ltd.</t>
  </si>
  <si>
    <t>INE718I01012</t>
  </si>
  <si>
    <t>Rubicon Research Ltd.</t>
  </si>
  <si>
    <t>INE506V01022</t>
  </si>
  <si>
    <t>ICICI Prudential Asset Mgmt Co Ltd.</t>
  </si>
  <si>
    <t>INE346A01027</t>
  </si>
  <si>
    <t>Capital Markets</t>
  </si>
  <si>
    <t>CG Power and Industrial Solutions Ltd.</t>
  </si>
  <si>
    <t>INE067A01029</t>
  </si>
  <si>
    <t>Electrical Equipment</t>
  </si>
  <si>
    <t>TVS Motor Company Ltd.</t>
  </si>
  <si>
    <t>INE494B01023</t>
  </si>
  <si>
    <t>Automobiles</t>
  </si>
  <si>
    <t>Eicher Motors Ltd.</t>
  </si>
  <si>
    <t>INE066A01021</t>
  </si>
  <si>
    <t>Blue Star Ltd.</t>
  </si>
  <si>
    <t>INE472A01039</t>
  </si>
  <si>
    <t>CCL Products (India) Ltd.</t>
  </si>
  <si>
    <t>INE421D01022</t>
  </si>
  <si>
    <t>Agricultural Food &amp; other Products</t>
  </si>
  <si>
    <t>AU Small Finance Bank Ltd.</t>
  </si>
  <si>
    <t>INE949L01017</t>
  </si>
  <si>
    <t>Mahindra &amp; Mahindra Ltd.</t>
  </si>
  <si>
    <t>INE101A01026</t>
  </si>
  <si>
    <t>Data Patterns (India) Ltd.</t>
  </si>
  <si>
    <t>INE0IX101010</t>
  </si>
  <si>
    <t>Multi Commodity Exchange Of India Ltd.</t>
  </si>
  <si>
    <t>INE745G01043</t>
  </si>
  <si>
    <t>Tube Investments Of India Ltd.</t>
  </si>
  <si>
    <t>INE974X01010</t>
  </si>
  <si>
    <t>Clean Max Enviro Energy Solutions Ltd.</t>
  </si>
  <si>
    <t>INE647U01026</t>
  </si>
  <si>
    <t>Power</t>
  </si>
  <si>
    <t>Dr Agarwal's Health Care Ltd.</t>
  </si>
  <si>
    <t>INE943P01029</t>
  </si>
  <si>
    <t>LG Electronics India Ltd.</t>
  </si>
  <si>
    <t>INE324D01010</t>
  </si>
  <si>
    <t>Sai Life Sciences Ltd</t>
  </si>
  <si>
    <t>INE570L01029</t>
  </si>
  <si>
    <t>MRS Bectors Food Specialities Ltd.</t>
  </si>
  <si>
    <t>INE495P01020</t>
  </si>
  <si>
    <t>Food Products</t>
  </si>
  <si>
    <t>K.P.R. Mill Ltd.</t>
  </si>
  <si>
    <t>INE930H01031</t>
  </si>
  <si>
    <t>Textiles &amp; Apparels</t>
  </si>
  <si>
    <t>Affle 3i Ltd.</t>
  </si>
  <si>
    <t>INE00WC01027</t>
  </si>
  <si>
    <t>IT - Services</t>
  </si>
  <si>
    <t>ITC Ltd.</t>
  </si>
  <si>
    <t>INE154A01025</t>
  </si>
  <si>
    <t>Diversified FMCG</t>
  </si>
  <si>
    <t>Sona BLW Precision Forgings Ltd.</t>
  </si>
  <si>
    <t>INE073K01018</t>
  </si>
  <si>
    <t>Doms Industries Ltd.</t>
  </si>
  <si>
    <t>INE321T01012</t>
  </si>
  <si>
    <t>Household Products</t>
  </si>
  <si>
    <t>Physicswallah Ltd.</t>
  </si>
  <si>
    <t>INE0LP301011</t>
  </si>
  <si>
    <t>Other Consumer Services</t>
  </si>
  <si>
    <t>Inventurus Knowledge Solutions Ltd.</t>
  </si>
  <si>
    <t>INE115Q01022</t>
  </si>
  <si>
    <t>Home First Finance Company India Ltd.</t>
  </si>
  <si>
    <t>INE481N01025</t>
  </si>
  <si>
    <t>United Spirits Ltd.</t>
  </si>
  <si>
    <t>INE854D01024</t>
  </si>
  <si>
    <t>Anthem Biosciences Ltd.</t>
  </si>
  <si>
    <t>INE0CZ201020</t>
  </si>
  <si>
    <t>Power Finance Corporation Ltd.</t>
  </si>
  <si>
    <t>INE134E01011</t>
  </si>
  <si>
    <t>Container Corporation Of India Ltd.</t>
  </si>
  <si>
    <t>INE111A01025</t>
  </si>
  <si>
    <t>Transport Services</t>
  </si>
  <si>
    <t>Gabriel India Ltd.</t>
  </si>
  <si>
    <t>INE524A01029</t>
  </si>
  <si>
    <t>The Phoenix Mills Ltd.</t>
  </si>
  <si>
    <t>INE211B01039</t>
  </si>
  <si>
    <t>Realty</t>
  </si>
  <si>
    <t>Abbott India Ltd.</t>
  </si>
  <si>
    <t>INE358A01014</t>
  </si>
  <si>
    <t>Bharat Petroleum Corporation Ltd.</t>
  </si>
  <si>
    <t>INE029A01011</t>
  </si>
  <si>
    <t>Pine Labs Ltd.</t>
  </si>
  <si>
    <t>INE15B701018</t>
  </si>
  <si>
    <t>Financial Technology (Fintech)</t>
  </si>
  <si>
    <t>Amagi Media Labs Ltd.</t>
  </si>
  <si>
    <t>INE121R01077</t>
  </si>
  <si>
    <t>TBO Tek Ltd.</t>
  </si>
  <si>
    <t>INE673O01025</t>
  </si>
  <si>
    <t>Leisure Services</t>
  </si>
  <si>
    <t>Hexaware Technologies Ltd.</t>
  </si>
  <si>
    <t>INE093A01041</t>
  </si>
  <si>
    <t>Triveni Turbine Ltd.</t>
  </si>
  <si>
    <t>INE152M01016</t>
  </si>
  <si>
    <t>Sagility Ltd.</t>
  </si>
  <si>
    <t>INE0W2G01015</t>
  </si>
  <si>
    <t>AWFIS Space Solutions Ltd.</t>
  </si>
  <si>
    <t>INE108V01019</t>
  </si>
  <si>
    <t>Commercial Services &amp; Supplies</t>
  </si>
  <si>
    <t>ITC Hotels Ltd.</t>
  </si>
  <si>
    <t>INE379A01028</t>
  </si>
  <si>
    <t>Sub Total</t>
  </si>
  <si>
    <t>(b) Unlisted</t>
  </si>
  <si>
    <t>NIL</t>
  </si>
  <si>
    <t>TOTAL</t>
  </si>
  <si>
    <t>Preference Shares - (Listed / Awaiting listing on Stock Exchanges)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</si>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</sst>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168" fontId="3" fillId="0" borderId="8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AB301B2A-B63A-41AE-A0A9-D6CBACA62119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5FCBF-CB8D-4D42-A50C-B2E1DBD65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DAA1F4-304A-4905-9CE0-8BBE1E6E7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FC4C-0AF0-412B-9CA3-48E15829D89F}">
  <sheetPr>
    <tabColor rgb="FFC00000"/>
  </sheetPr>
  <dimension ref="B1:M160"/>
  <sheetViews>
    <sheetView showGridLines="0" tabSelected="1" workbookViewId="0">
      <selection activeCell="B4" sqref="B4"/>
    </sheetView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/>
      <c r="C11" s="1"/>
      <c r="D11" s="1"/>
      <c r="E11" s="1"/>
      <c r="F11" s="1"/>
      <c r="G11" s="1"/>
      <c r="H11" s="4"/>
    </row>
    <row r="12" spans="2:8" ht="24" customHeight="1" x14ac:dyDescent="0.2">
      <c r="B12" s="1" t="s">
        <v>6</v>
      </c>
      <c r="C12" s="4"/>
      <c r="D12" s="4"/>
      <c r="E12" s="6"/>
      <c r="F12" s="4"/>
      <c r="G12" s="4"/>
      <c r="H12" s="4"/>
    </row>
    <row r="13" spans="2:8" ht="24" customHeight="1" thickBot="1" x14ac:dyDescent="0.25">
      <c r="B13" s="7" t="s">
        <v>7</v>
      </c>
      <c r="C13" s="7" t="s">
        <v>8</v>
      </c>
      <c r="D13" s="7" t="s">
        <v>9</v>
      </c>
      <c r="E13" s="8" t="s">
        <v>10</v>
      </c>
      <c r="F13" s="9" t="s">
        <v>11</v>
      </c>
      <c r="G13" s="10" t="s">
        <v>12</v>
      </c>
      <c r="H13" s="10" t="s">
        <v>13</v>
      </c>
    </row>
    <row r="14" spans="2:8" ht="24" customHeight="1" x14ac:dyDescent="0.2">
      <c r="B14" s="11" t="s">
        <v>14</v>
      </c>
      <c r="C14" s="12"/>
      <c r="D14" s="12"/>
      <c r="E14" s="13"/>
      <c r="F14" s="14"/>
      <c r="G14" s="15"/>
      <c r="H14" s="16"/>
    </row>
    <row r="15" spans="2:8" ht="24" customHeight="1" x14ac:dyDescent="0.2">
      <c r="B15" s="17"/>
      <c r="C15" s="17"/>
      <c r="D15" s="17"/>
      <c r="E15" s="18"/>
      <c r="F15" s="19"/>
      <c r="G15" s="20"/>
      <c r="H15" s="21"/>
    </row>
    <row r="16" spans="2:8" ht="24" customHeight="1" x14ac:dyDescent="0.2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">
      <c r="B17" s="17" t="s">
        <v>16</v>
      </c>
      <c r="C17" s="17" t="s">
        <v>17</v>
      </c>
      <c r="D17" s="17" t="s">
        <v>18</v>
      </c>
      <c r="E17" s="18">
        <v>672678</v>
      </c>
      <c r="F17" s="19">
        <v>4920.9799999999996</v>
      </c>
      <c r="G17" s="20">
        <v>7.72</v>
      </c>
      <c r="H17" s="21"/>
    </row>
    <row r="18" spans="2:8" ht="24" customHeight="1" x14ac:dyDescent="0.2">
      <c r="B18" s="17" t="s">
        <v>19</v>
      </c>
      <c r="C18" s="17" t="s">
        <v>20</v>
      </c>
      <c r="D18" s="17" t="s">
        <v>18</v>
      </c>
      <c r="E18" s="18">
        <v>359354</v>
      </c>
      <c r="F18" s="19">
        <v>4333.45</v>
      </c>
      <c r="G18" s="20">
        <v>6.8</v>
      </c>
      <c r="H18" s="21"/>
    </row>
    <row r="19" spans="2:8" ht="24" customHeight="1" x14ac:dyDescent="0.2">
      <c r="B19" s="17" t="s">
        <v>21</v>
      </c>
      <c r="C19" s="17" t="s">
        <v>22</v>
      </c>
      <c r="D19" s="17" t="s">
        <v>23</v>
      </c>
      <c r="E19" s="18">
        <v>255931</v>
      </c>
      <c r="F19" s="19">
        <v>3439.46</v>
      </c>
      <c r="G19" s="20">
        <v>5.4</v>
      </c>
      <c r="H19" s="21"/>
    </row>
    <row r="20" spans="2:8" ht="24" customHeight="1" x14ac:dyDescent="0.2">
      <c r="B20" s="17" t="s">
        <v>24</v>
      </c>
      <c r="C20" s="17" t="s">
        <v>25</v>
      </c>
      <c r="D20" s="17" t="s">
        <v>26</v>
      </c>
      <c r="E20" s="18">
        <v>148605</v>
      </c>
      <c r="F20" s="19">
        <v>2648.74</v>
      </c>
      <c r="G20" s="20">
        <v>4.1500000000000004</v>
      </c>
      <c r="H20" s="21"/>
    </row>
    <row r="21" spans="2:8" ht="24" customHeight="1" x14ac:dyDescent="0.2">
      <c r="B21" s="17" t="s">
        <v>27</v>
      </c>
      <c r="C21" s="17" t="s">
        <v>28</v>
      </c>
      <c r="D21" s="17" t="s">
        <v>29</v>
      </c>
      <c r="E21" s="18">
        <v>48727</v>
      </c>
      <c r="F21" s="19">
        <v>1707.44</v>
      </c>
      <c r="G21" s="20">
        <v>2.68</v>
      </c>
      <c r="H21" s="21"/>
    </row>
    <row r="22" spans="2:8" ht="24" customHeight="1" x14ac:dyDescent="0.2">
      <c r="B22" s="17" t="s">
        <v>30</v>
      </c>
      <c r="C22" s="17" t="s">
        <v>31</v>
      </c>
      <c r="D22" s="17" t="s">
        <v>32</v>
      </c>
      <c r="E22" s="18">
        <v>98882</v>
      </c>
      <c r="F22" s="19">
        <v>1691.48</v>
      </c>
      <c r="G22" s="20">
        <v>2.65</v>
      </c>
      <c r="H22" s="21"/>
    </row>
    <row r="23" spans="2:8" ht="24" customHeight="1" x14ac:dyDescent="0.2">
      <c r="B23" s="17" t="s">
        <v>33</v>
      </c>
      <c r="C23" s="17" t="s">
        <v>34</v>
      </c>
      <c r="D23" s="17" t="s">
        <v>35</v>
      </c>
      <c r="E23" s="18">
        <v>209120</v>
      </c>
      <c r="F23" s="19">
        <v>1676.2</v>
      </c>
      <c r="G23" s="20">
        <v>2.63</v>
      </c>
      <c r="H23" s="21"/>
    </row>
    <row r="24" spans="2:8" ht="24" customHeight="1" x14ac:dyDescent="0.2">
      <c r="B24" s="17" t="s">
        <v>36</v>
      </c>
      <c r="C24" s="17" t="s">
        <v>37</v>
      </c>
      <c r="D24" s="17" t="s">
        <v>38</v>
      </c>
      <c r="E24" s="18">
        <v>14185</v>
      </c>
      <c r="F24" s="19">
        <v>1524.18</v>
      </c>
      <c r="G24" s="20">
        <v>2.39</v>
      </c>
      <c r="H24" s="21"/>
    </row>
    <row r="25" spans="2:8" ht="24" customHeight="1" x14ac:dyDescent="0.2">
      <c r="B25" s="17" t="s">
        <v>39</v>
      </c>
      <c r="C25" s="17" t="s">
        <v>40</v>
      </c>
      <c r="D25" s="17" t="s">
        <v>18</v>
      </c>
      <c r="E25" s="18">
        <v>420000</v>
      </c>
      <c r="F25" s="19">
        <v>1484.28</v>
      </c>
      <c r="G25" s="20">
        <v>2.33</v>
      </c>
      <c r="H25" s="21"/>
    </row>
    <row r="26" spans="2:8" ht="24" customHeight="1" x14ac:dyDescent="0.2">
      <c r="B26" s="17" t="s">
        <v>41</v>
      </c>
      <c r="C26" s="17" t="s">
        <v>42</v>
      </c>
      <c r="D26" s="17" t="s">
        <v>18</v>
      </c>
      <c r="E26" s="18">
        <v>144000</v>
      </c>
      <c r="F26" s="19">
        <v>1410.34</v>
      </c>
      <c r="G26" s="20">
        <v>2.21</v>
      </c>
      <c r="H26" s="21"/>
    </row>
    <row r="27" spans="2:8" ht="24" customHeight="1" x14ac:dyDescent="0.2">
      <c r="B27" s="17" t="s">
        <v>43</v>
      </c>
      <c r="C27" s="17" t="s">
        <v>44</v>
      </c>
      <c r="D27" s="17" t="s">
        <v>45</v>
      </c>
      <c r="E27" s="18">
        <v>135889</v>
      </c>
      <c r="F27" s="19">
        <v>1401.83</v>
      </c>
      <c r="G27" s="20">
        <v>2.2000000000000002</v>
      </c>
      <c r="H27" s="21"/>
    </row>
    <row r="28" spans="2:8" ht="24" customHeight="1" x14ac:dyDescent="0.2">
      <c r="B28" s="17" t="s">
        <v>46</v>
      </c>
      <c r="C28" s="17" t="s">
        <v>47</v>
      </c>
      <c r="D28" s="17" t="s">
        <v>48</v>
      </c>
      <c r="E28" s="18">
        <v>67624</v>
      </c>
      <c r="F28" s="19">
        <v>1356.4</v>
      </c>
      <c r="G28" s="20">
        <v>2.13</v>
      </c>
      <c r="H28" s="21"/>
    </row>
    <row r="29" spans="2:8" ht="24" customHeight="1" x14ac:dyDescent="0.2">
      <c r="B29" s="17" t="s">
        <v>49</v>
      </c>
      <c r="C29" s="17" t="s">
        <v>50</v>
      </c>
      <c r="D29" s="17" t="s">
        <v>51</v>
      </c>
      <c r="E29" s="18">
        <v>528949</v>
      </c>
      <c r="F29" s="19">
        <v>1211.19</v>
      </c>
      <c r="G29" s="20">
        <v>1.9</v>
      </c>
      <c r="H29" s="21"/>
    </row>
    <row r="30" spans="2:8" ht="24" customHeight="1" x14ac:dyDescent="0.2">
      <c r="B30" s="17" t="s">
        <v>52</v>
      </c>
      <c r="C30" s="17" t="s">
        <v>53</v>
      </c>
      <c r="D30" s="17" t="s">
        <v>54</v>
      </c>
      <c r="E30" s="18">
        <v>312725</v>
      </c>
      <c r="F30" s="19">
        <v>1201.18</v>
      </c>
      <c r="G30" s="20">
        <v>1.88</v>
      </c>
      <c r="H30" s="21"/>
    </row>
    <row r="31" spans="2:8" ht="24" customHeight="1" x14ac:dyDescent="0.2">
      <c r="B31" s="17" t="s">
        <v>55</v>
      </c>
      <c r="C31" s="17" t="s">
        <v>56</v>
      </c>
      <c r="D31" s="17" t="s">
        <v>57</v>
      </c>
      <c r="E31" s="18">
        <v>94201</v>
      </c>
      <c r="F31" s="19">
        <v>1178.08</v>
      </c>
      <c r="G31" s="20">
        <v>1.85</v>
      </c>
      <c r="H31" s="21"/>
    </row>
    <row r="32" spans="2:8" ht="24" customHeight="1" x14ac:dyDescent="0.2">
      <c r="B32" s="17" t="s">
        <v>58</v>
      </c>
      <c r="C32" s="17" t="s">
        <v>59</v>
      </c>
      <c r="D32" s="17" t="s">
        <v>60</v>
      </c>
      <c r="E32" s="18">
        <v>12000</v>
      </c>
      <c r="F32" s="19">
        <v>1160.76</v>
      </c>
      <c r="G32" s="20">
        <v>1.82</v>
      </c>
      <c r="H32" s="21"/>
    </row>
    <row r="33" spans="2:8" ht="24" customHeight="1" x14ac:dyDescent="0.2">
      <c r="B33" s="17" t="s">
        <v>61</v>
      </c>
      <c r="C33" s="17" t="s">
        <v>62</v>
      </c>
      <c r="D33" s="17" t="s">
        <v>57</v>
      </c>
      <c r="E33" s="18">
        <v>23792</v>
      </c>
      <c r="F33" s="19">
        <v>1160.3800000000001</v>
      </c>
      <c r="G33" s="20">
        <v>1.82</v>
      </c>
      <c r="H33" s="21"/>
    </row>
    <row r="34" spans="2:8" ht="24" customHeight="1" x14ac:dyDescent="0.2">
      <c r="B34" s="17" t="s">
        <v>63</v>
      </c>
      <c r="C34" s="17" t="s">
        <v>64</v>
      </c>
      <c r="D34" s="17" t="s">
        <v>65</v>
      </c>
      <c r="E34" s="18">
        <v>117187</v>
      </c>
      <c r="F34" s="19">
        <v>1127.69</v>
      </c>
      <c r="G34" s="20">
        <v>1.77</v>
      </c>
      <c r="H34" s="21"/>
    </row>
    <row r="35" spans="2:8" ht="24" customHeight="1" x14ac:dyDescent="0.2">
      <c r="B35" s="17" t="s">
        <v>66</v>
      </c>
      <c r="C35" s="17" t="s">
        <v>67</v>
      </c>
      <c r="D35" s="17" t="s">
        <v>57</v>
      </c>
      <c r="E35" s="18">
        <v>43406</v>
      </c>
      <c r="F35" s="19">
        <v>1023.9</v>
      </c>
      <c r="G35" s="20">
        <v>1.61</v>
      </c>
      <c r="H35" s="21"/>
    </row>
    <row r="36" spans="2:8" ht="24" customHeight="1" x14ac:dyDescent="0.2">
      <c r="B36" s="17" t="s">
        <v>68</v>
      </c>
      <c r="C36" s="17" t="s">
        <v>69</v>
      </c>
      <c r="D36" s="17" t="s">
        <v>60</v>
      </c>
      <c r="E36" s="18">
        <v>25348</v>
      </c>
      <c r="F36" s="19">
        <v>1001.6</v>
      </c>
      <c r="G36" s="20">
        <v>1.57</v>
      </c>
      <c r="H36" s="21"/>
    </row>
    <row r="37" spans="2:8" ht="24" customHeight="1" x14ac:dyDescent="0.2">
      <c r="B37" s="17" t="s">
        <v>70</v>
      </c>
      <c r="C37" s="17" t="s">
        <v>71</v>
      </c>
      <c r="D37" s="17" t="s">
        <v>35</v>
      </c>
      <c r="E37" s="18">
        <v>68679</v>
      </c>
      <c r="F37" s="19">
        <v>930.39</v>
      </c>
      <c r="G37" s="20">
        <v>1.46</v>
      </c>
      <c r="H37" s="21"/>
    </row>
    <row r="38" spans="2:8" ht="24" customHeight="1" x14ac:dyDescent="0.2">
      <c r="B38" s="17" t="s">
        <v>72</v>
      </c>
      <c r="C38" s="17" t="s">
        <v>73</v>
      </c>
      <c r="D38" s="17" t="s">
        <v>74</v>
      </c>
      <c r="E38" s="18">
        <v>15002</v>
      </c>
      <c r="F38" s="19">
        <v>924.5</v>
      </c>
      <c r="G38" s="20">
        <v>1.45</v>
      </c>
      <c r="H38" s="21"/>
    </row>
    <row r="39" spans="2:8" ht="24" customHeight="1" x14ac:dyDescent="0.2">
      <c r="B39" s="17" t="s">
        <v>75</v>
      </c>
      <c r="C39" s="17" t="s">
        <v>76</v>
      </c>
      <c r="D39" s="17" t="s">
        <v>74</v>
      </c>
      <c r="E39" s="18">
        <v>7500</v>
      </c>
      <c r="F39" s="19">
        <v>905.7</v>
      </c>
      <c r="G39" s="20">
        <v>1.42</v>
      </c>
      <c r="H39" s="21"/>
    </row>
    <row r="40" spans="2:8" ht="24" customHeight="1" x14ac:dyDescent="0.2">
      <c r="B40" s="17" t="s">
        <v>77</v>
      </c>
      <c r="C40" s="17" t="s">
        <v>78</v>
      </c>
      <c r="D40" s="17" t="s">
        <v>74</v>
      </c>
      <c r="E40" s="18">
        <v>33720</v>
      </c>
      <c r="F40" s="19">
        <v>822.09</v>
      </c>
      <c r="G40" s="20">
        <v>1.29</v>
      </c>
      <c r="H40" s="21"/>
    </row>
    <row r="41" spans="2:8" ht="24" customHeight="1" x14ac:dyDescent="0.2">
      <c r="B41" s="17" t="s">
        <v>79</v>
      </c>
      <c r="C41" s="17" t="s">
        <v>80</v>
      </c>
      <c r="D41" s="17" t="s">
        <v>51</v>
      </c>
      <c r="E41" s="18">
        <v>744000</v>
      </c>
      <c r="F41" s="19">
        <v>783.43</v>
      </c>
      <c r="G41" s="20">
        <v>1.23</v>
      </c>
      <c r="H41" s="21"/>
    </row>
    <row r="42" spans="2:8" ht="24" customHeight="1" x14ac:dyDescent="0.2">
      <c r="B42" s="17" t="s">
        <v>81</v>
      </c>
      <c r="C42" s="17" t="s">
        <v>82</v>
      </c>
      <c r="D42" s="17" t="s">
        <v>83</v>
      </c>
      <c r="E42" s="18">
        <v>195000</v>
      </c>
      <c r="F42" s="19">
        <v>781.27</v>
      </c>
      <c r="G42" s="20">
        <v>1.23</v>
      </c>
      <c r="H42" s="21"/>
    </row>
    <row r="43" spans="2:8" ht="24" customHeight="1" x14ac:dyDescent="0.2">
      <c r="B43" s="17" t="s">
        <v>84</v>
      </c>
      <c r="C43" s="17" t="s">
        <v>85</v>
      </c>
      <c r="D43" s="17" t="s">
        <v>32</v>
      </c>
      <c r="E43" s="18">
        <v>43270</v>
      </c>
      <c r="F43" s="19">
        <v>769.04</v>
      </c>
      <c r="G43" s="20">
        <v>1.21</v>
      </c>
      <c r="H43" s="21"/>
    </row>
    <row r="44" spans="2:8" ht="24" customHeight="1" x14ac:dyDescent="0.2">
      <c r="B44" s="17" t="s">
        <v>86</v>
      </c>
      <c r="C44" s="17" t="s">
        <v>87</v>
      </c>
      <c r="D44" s="17" t="s">
        <v>65</v>
      </c>
      <c r="E44" s="18">
        <v>121445</v>
      </c>
      <c r="F44" s="19">
        <v>754.78</v>
      </c>
      <c r="G44" s="20">
        <v>1.18</v>
      </c>
      <c r="H44" s="21"/>
    </row>
    <row r="45" spans="2:8" ht="24" customHeight="1" x14ac:dyDescent="0.2">
      <c r="B45" s="17" t="s">
        <v>88</v>
      </c>
      <c r="C45" s="17" t="s">
        <v>89</v>
      </c>
      <c r="D45" s="17" t="s">
        <v>38</v>
      </c>
      <c r="E45" s="18">
        <v>680340</v>
      </c>
      <c r="F45" s="19">
        <v>749.67</v>
      </c>
      <c r="G45" s="20">
        <v>1.18</v>
      </c>
      <c r="H45" s="21"/>
    </row>
    <row r="46" spans="2:8" ht="24" customHeight="1" x14ac:dyDescent="0.2">
      <c r="B46" s="17" t="s">
        <v>90</v>
      </c>
      <c r="C46" s="17" t="s">
        <v>91</v>
      </c>
      <c r="D46" s="17" t="s">
        <v>48</v>
      </c>
      <c r="E46" s="18">
        <v>96900</v>
      </c>
      <c r="F46" s="19">
        <v>748.84</v>
      </c>
      <c r="G46" s="20">
        <v>1.17</v>
      </c>
      <c r="H46" s="21"/>
    </row>
    <row r="47" spans="2:8" ht="24" customHeight="1" x14ac:dyDescent="0.2">
      <c r="B47" s="17" t="s">
        <v>92</v>
      </c>
      <c r="C47" s="17" t="s">
        <v>93</v>
      </c>
      <c r="D47" s="17" t="s">
        <v>94</v>
      </c>
      <c r="E47" s="18">
        <v>26228</v>
      </c>
      <c r="F47" s="19">
        <v>734.78</v>
      </c>
      <c r="G47" s="20">
        <v>1.1499999999999999</v>
      </c>
      <c r="H47" s="21"/>
    </row>
    <row r="48" spans="2:8" ht="24" customHeight="1" x14ac:dyDescent="0.2">
      <c r="B48" s="17" t="s">
        <v>95</v>
      </c>
      <c r="C48" s="17" t="s">
        <v>96</v>
      </c>
      <c r="D48" s="17" t="s">
        <v>97</v>
      </c>
      <c r="E48" s="18">
        <v>110000</v>
      </c>
      <c r="F48" s="19">
        <v>720.56</v>
      </c>
      <c r="G48" s="20">
        <v>1.1299999999999999</v>
      </c>
      <c r="H48" s="21"/>
    </row>
    <row r="49" spans="2:8" ht="24" customHeight="1" x14ac:dyDescent="0.2">
      <c r="B49" s="17" t="s">
        <v>98</v>
      </c>
      <c r="C49" s="17" t="s">
        <v>99</v>
      </c>
      <c r="D49" s="17" t="s">
        <v>100</v>
      </c>
      <c r="E49" s="18">
        <v>21000</v>
      </c>
      <c r="F49" s="19">
        <v>706.4</v>
      </c>
      <c r="G49" s="20">
        <v>1.1100000000000001</v>
      </c>
      <c r="H49" s="21"/>
    </row>
    <row r="50" spans="2:8" ht="24" customHeight="1" x14ac:dyDescent="0.2">
      <c r="B50" s="17" t="s">
        <v>101</v>
      </c>
      <c r="C50" s="17" t="s">
        <v>102</v>
      </c>
      <c r="D50" s="17" t="s">
        <v>100</v>
      </c>
      <c r="E50" s="18">
        <v>10620</v>
      </c>
      <c r="F50" s="19">
        <v>699.43</v>
      </c>
      <c r="G50" s="20">
        <v>1.1000000000000001</v>
      </c>
      <c r="H50" s="21"/>
    </row>
    <row r="51" spans="2:8" ht="24" customHeight="1" x14ac:dyDescent="0.2">
      <c r="B51" s="17" t="s">
        <v>103</v>
      </c>
      <c r="C51" s="17" t="s">
        <v>104</v>
      </c>
      <c r="D51" s="17" t="s">
        <v>60</v>
      </c>
      <c r="E51" s="18">
        <v>43226</v>
      </c>
      <c r="F51" s="19">
        <v>696.24</v>
      </c>
      <c r="G51" s="20">
        <v>1.0900000000000001</v>
      </c>
      <c r="H51" s="21"/>
    </row>
    <row r="52" spans="2:8" ht="24" customHeight="1" x14ac:dyDescent="0.2">
      <c r="B52" s="17" t="s">
        <v>105</v>
      </c>
      <c r="C52" s="17" t="s">
        <v>106</v>
      </c>
      <c r="D52" s="17" t="s">
        <v>107</v>
      </c>
      <c r="E52" s="18">
        <v>66033</v>
      </c>
      <c r="F52" s="19">
        <v>687.54</v>
      </c>
      <c r="G52" s="20">
        <v>1.08</v>
      </c>
      <c r="H52" s="21"/>
    </row>
    <row r="53" spans="2:8" ht="24" customHeight="1" x14ac:dyDescent="0.2">
      <c r="B53" s="17" t="s">
        <v>108</v>
      </c>
      <c r="C53" s="17" t="s">
        <v>109</v>
      </c>
      <c r="D53" s="17" t="s">
        <v>18</v>
      </c>
      <c r="E53" s="18">
        <v>78300</v>
      </c>
      <c r="F53" s="19">
        <v>659.83</v>
      </c>
      <c r="G53" s="20">
        <v>1.04</v>
      </c>
      <c r="H53" s="21"/>
    </row>
    <row r="54" spans="2:8" ht="24" customHeight="1" x14ac:dyDescent="0.2">
      <c r="B54" s="17" t="s">
        <v>110</v>
      </c>
      <c r="C54" s="17" t="s">
        <v>111</v>
      </c>
      <c r="D54" s="17" t="s">
        <v>100</v>
      </c>
      <c r="E54" s="18">
        <v>21000</v>
      </c>
      <c r="F54" s="19">
        <v>620.49</v>
      </c>
      <c r="G54" s="20">
        <v>0.97</v>
      </c>
      <c r="H54" s="21"/>
    </row>
    <row r="55" spans="2:8" ht="24" customHeight="1" x14ac:dyDescent="0.2">
      <c r="B55" s="17" t="s">
        <v>112</v>
      </c>
      <c r="C55" s="17" t="s">
        <v>113</v>
      </c>
      <c r="D55" s="17" t="s">
        <v>83</v>
      </c>
      <c r="E55" s="18">
        <v>19800</v>
      </c>
      <c r="F55" s="19">
        <v>600.99</v>
      </c>
      <c r="G55" s="20">
        <v>0.94</v>
      </c>
      <c r="H55" s="21"/>
    </row>
    <row r="56" spans="2:8" ht="24" customHeight="1" x14ac:dyDescent="0.2">
      <c r="B56" s="17" t="s">
        <v>114</v>
      </c>
      <c r="C56" s="17" t="s">
        <v>115</v>
      </c>
      <c r="D56" s="17" t="s">
        <v>94</v>
      </c>
      <c r="E56" s="18">
        <v>25090</v>
      </c>
      <c r="F56" s="19">
        <v>599.5</v>
      </c>
      <c r="G56" s="20">
        <v>0.94</v>
      </c>
      <c r="H56" s="21"/>
    </row>
    <row r="57" spans="2:8" ht="24" customHeight="1" x14ac:dyDescent="0.2">
      <c r="B57" s="17" t="s">
        <v>116</v>
      </c>
      <c r="C57" s="17" t="s">
        <v>117</v>
      </c>
      <c r="D57" s="17" t="s">
        <v>45</v>
      </c>
      <c r="E57" s="18">
        <v>21779</v>
      </c>
      <c r="F57" s="19">
        <v>548.24</v>
      </c>
      <c r="G57" s="20">
        <v>0.86</v>
      </c>
      <c r="H57" s="21"/>
    </row>
    <row r="58" spans="2:8" ht="24" customHeight="1" x14ac:dyDescent="0.2">
      <c r="B58" s="17" t="s">
        <v>118</v>
      </c>
      <c r="C58" s="17" t="s">
        <v>119</v>
      </c>
      <c r="D58" s="17" t="s">
        <v>120</v>
      </c>
      <c r="E58" s="18">
        <v>71218</v>
      </c>
      <c r="F58" s="19">
        <v>548.16</v>
      </c>
      <c r="G58" s="20">
        <v>0.86</v>
      </c>
      <c r="H58" s="21"/>
    </row>
    <row r="59" spans="2:8" ht="24" customHeight="1" x14ac:dyDescent="0.2">
      <c r="B59" s="17" t="s">
        <v>121</v>
      </c>
      <c r="C59" s="17" t="s">
        <v>122</v>
      </c>
      <c r="D59" s="17" t="s">
        <v>65</v>
      </c>
      <c r="E59" s="18">
        <v>134798</v>
      </c>
      <c r="F59" s="19">
        <v>548.02</v>
      </c>
      <c r="G59" s="20">
        <v>0.86</v>
      </c>
      <c r="H59" s="21"/>
    </row>
    <row r="60" spans="2:8" ht="24" customHeight="1" x14ac:dyDescent="0.2">
      <c r="B60" s="17" t="s">
        <v>123</v>
      </c>
      <c r="C60" s="17" t="s">
        <v>124</v>
      </c>
      <c r="D60" s="17" t="s">
        <v>60</v>
      </c>
      <c r="E60" s="18">
        <v>37502</v>
      </c>
      <c r="F60" s="19">
        <v>540.4</v>
      </c>
      <c r="G60" s="20">
        <v>0.85</v>
      </c>
      <c r="H60" s="21"/>
    </row>
    <row r="61" spans="2:8" ht="24" customHeight="1" x14ac:dyDescent="0.2">
      <c r="B61" s="17" t="s">
        <v>125</v>
      </c>
      <c r="C61" s="17" t="s">
        <v>126</v>
      </c>
      <c r="D61" s="17" t="s">
        <v>48</v>
      </c>
      <c r="E61" s="18">
        <v>54264</v>
      </c>
      <c r="F61" s="19">
        <v>527.45000000000005</v>
      </c>
      <c r="G61" s="20">
        <v>0.83</v>
      </c>
      <c r="H61" s="21"/>
    </row>
    <row r="62" spans="2:8" ht="24" customHeight="1" x14ac:dyDescent="0.2">
      <c r="B62" s="17" t="s">
        <v>127</v>
      </c>
      <c r="C62" s="17" t="s">
        <v>128</v>
      </c>
      <c r="D62" s="17" t="s">
        <v>129</v>
      </c>
      <c r="E62" s="18">
        <v>290271</v>
      </c>
      <c r="F62" s="19">
        <v>519.73</v>
      </c>
      <c r="G62" s="20">
        <v>0.82</v>
      </c>
      <c r="H62" s="21"/>
    </row>
    <row r="63" spans="2:8" ht="24" customHeight="1" x14ac:dyDescent="0.2">
      <c r="B63" s="17" t="s">
        <v>130</v>
      </c>
      <c r="C63" s="17" t="s">
        <v>131</v>
      </c>
      <c r="D63" s="17" t="s">
        <v>132</v>
      </c>
      <c r="E63" s="18">
        <v>60000</v>
      </c>
      <c r="F63" s="19">
        <v>497.67</v>
      </c>
      <c r="G63" s="20">
        <v>0.78</v>
      </c>
      <c r="H63" s="21"/>
    </row>
    <row r="64" spans="2:8" ht="24" customHeight="1" x14ac:dyDescent="0.2">
      <c r="B64" s="17" t="s">
        <v>133</v>
      </c>
      <c r="C64" s="17" t="s">
        <v>134</v>
      </c>
      <c r="D64" s="17" t="s">
        <v>135</v>
      </c>
      <c r="E64" s="18">
        <v>34200</v>
      </c>
      <c r="F64" s="19">
        <v>495.59</v>
      </c>
      <c r="G64" s="20">
        <v>0.78</v>
      </c>
      <c r="H64" s="21"/>
    </row>
    <row r="65" spans="2:12" ht="24" customHeight="1" x14ac:dyDescent="0.2">
      <c r="B65" s="17" t="s">
        <v>136</v>
      </c>
      <c r="C65" s="17" t="s">
        <v>137</v>
      </c>
      <c r="D65" s="17" t="s">
        <v>138</v>
      </c>
      <c r="E65" s="18">
        <v>163000</v>
      </c>
      <c r="F65" s="19">
        <v>468.95</v>
      </c>
      <c r="G65" s="20">
        <v>0.74</v>
      </c>
      <c r="H65" s="21"/>
    </row>
    <row r="66" spans="2:12" ht="24" customHeight="1" x14ac:dyDescent="0.2">
      <c r="B66" s="17" t="s">
        <v>139</v>
      </c>
      <c r="C66" s="17" t="s">
        <v>140</v>
      </c>
      <c r="D66" s="17" t="s">
        <v>45</v>
      </c>
      <c r="E66" s="18">
        <v>95390</v>
      </c>
      <c r="F66" s="19">
        <v>459.3</v>
      </c>
      <c r="G66" s="20">
        <v>0.72</v>
      </c>
      <c r="H66" s="21"/>
    </row>
    <row r="67" spans="2:12" ht="24" customHeight="1" x14ac:dyDescent="0.2">
      <c r="B67" s="17" t="s">
        <v>141</v>
      </c>
      <c r="C67" s="17" t="s">
        <v>142</v>
      </c>
      <c r="D67" s="17" t="s">
        <v>143</v>
      </c>
      <c r="E67" s="18">
        <v>19499</v>
      </c>
      <c r="F67" s="19">
        <v>448.17</v>
      </c>
      <c r="G67" s="20">
        <v>0.7</v>
      </c>
      <c r="H67" s="21"/>
    </row>
    <row r="68" spans="2:12" ht="24" customHeight="1" x14ac:dyDescent="0.2">
      <c r="B68" s="17" t="s">
        <v>144</v>
      </c>
      <c r="C68" s="17" t="s">
        <v>145</v>
      </c>
      <c r="D68" s="17" t="s">
        <v>146</v>
      </c>
      <c r="E68" s="18">
        <v>510462</v>
      </c>
      <c r="F68" s="19">
        <v>445.63</v>
      </c>
      <c r="G68" s="20">
        <v>0.7</v>
      </c>
      <c r="H68" s="21"/>
    </row>
    <row r="69" spans="2:12" ht="24" customHeight="1" x14ac:dyDescent="0.2">
      <c r="B69" s="17" t="s">
        <v>147</v>
      </c>
      <c r="C69" s="17" t="s">
        <v>148</v>
      </c>
      <c r="D69" s="17" t="s">
        <v>135</v>
      </c>
      <c r="E69" s="18">
        <v>33543</v>
      </c>
      <c r="F69" s="19">
        <v>445.59</v>
      </c>
      <c r="G69" s="20">
        <v>0.7</v>
      </c>
      <c r="H69" s="21"/>
    </row>
    <row r="70" spans="2:12" ht="24" customHeight="1" x14ac:dyDescent="0.2">
      <c r="B70" s="17" t="s">
        <v>149</v>
      </c>
      <c r="C70" s="17" t="s">
        <v>150</v>
      </c>
      <c r="D70" s="17" t="s">
        <v>35</v>
      </c>
      <c r="E70" s="18">
        <v>48339</v>
      </c>
      <c r="F70" s="19">
        <v>437.37</v>
      </c>
      <c r="G70" s="20">
        <v>0.69</v>
      </c>
      <c r="H70" s="21"/>
    </row>
    <row r="71" spans="2:12" ht="24" customHeight="1" x14ac:dyDescent="0.2">
      <c r="B71" s="17" t="s">
        <v>151</v>
      </c>
      <c r="C71" s="17" t="s">
        <v>152</v>
      </c>
      <c r="D71" s="17" t="s">
        <v>54</v>
      </c>
      <c r="E71" s="18">
        <v>33009</v>
      </c>
      <c r="F71" s="19">
        <v>402.31</v>
      </c>
      <c r="G71" s="20">
        <v>0.63</v>
      </c>
      <c r="H71" s="21"/>
    </row>
    <row r="72" spans="2:12" ht="24" customHeight="1" x14ac:dyDescent="0.2">
      <c r="B72" s="17" t="s">
        <v>153</v>
      </c>
      <c r="C72" s="17" t="s">
        <v>154</v>
      </c>
      <c r="D72" s="17" t="s">
        <v>48</v>
      </c>
      <c r="E72" s="18">
        <v>60000</v>
      </c>
      <c r="F72" s="19">
        <v>393.75</v>
      </c>
      <c r="G72" s="20">
        <v>0.62</v>
      </c>
      <c r="H72" s="21"/>
    </row>
    <row r="73" spans="2:12" ht="24" customHeight="1" x14ac:dyDescent="0.2">
      <c r="B73" s="17" t="s">
        <v>155</v>
      </c>
      <c r="C73" s="17" t="s">
        <v>156</v>
      </c>
      <c r="D73" s="17" t="s">
        <v>35</v>
      </c>
      <c r="E73" s="18">
        <v>95400</v>
      </c>
      <c r="F73" s="19">
        <v>362.04</v>
      </c>
      <c r="G73" s="20">
        <v>0.56999999999999995</v>
      </c>
      <c r="H73" s="21"/>
    </row>
    <row r="74" spans="2:12" ht="24" customHeight="1" x14ac:dyDescent="0.2">
      <c r="B74" s="17" t="s">
        <v>157</v>
      </c>
      <c r="C74" s="17" t="s">
        <v>158</v>
      </c>
      <c r="D74" s="17" t="s">
        <v>159</v>
      </c>
      <c r="E74" s="18">
        <v>81000</v>
      </c>
      <c r="F74" s="19">
        <v>344.49</v>
      </c>
      <c r="G74" s="20">
        <v>0.54</v>
      </c>
      <c r="H74" s="21"/>
    </row>
    <row r="75" spans="2:12" ht="24" customHeight="1" x14ac:dyDescent="0.2">
      <c r="B75" s="17" t="s">
        <v>160</v>
      </c>
      <c r="C75" s="17" t="s">
        <v>161</v>
      </c>
      <c r="D75" s="17" t="s">
        <v>45</v>
      </c>
      <c r="E75" s="18">
        <v>39000</v>
      </c>
      <c r="F75" s="19">
        <v>322.27999999999997</v>
      </c>
      <c r="G75" s="20">
        <v>0.51</v>
      </c>
      <c r="H75" s="21"/>
    </row>
    <row r="76" spans="2:12" ht="24" customHeight="1" x14ac:dyDescent="0.2">
      <c r="B76" s="17" t="s">
        <v>162</v>
      </c>
      <c r="C76" s="17" t="s">
        <v>163</v>
      </c>
      <c r="D76" s="17" t="s">
        <v>164</v>
      </c>
      <c r="E76" s="18">
        <v>21240</v>
      </c>
      <c r="F76" s="19">
        <v>319.94</v>
      </c>
      <c r="G76" s="20">
        <v>0.5</v>
      </c>
      <c r="H76" s="21"/>
    </row>
    <row r="77" spans="2:12" ht="24" customHeight="1" x14ac:dyDescent="0.2">
      <c r="B77" s="17" t="s">
        <v>165</v>
      </c>
      <c r="C77" s="17" t="s">
        <v>166</v>
      </c>
      <c r="D77" s="17" t="s">
        <v>48</v>
      </c>
      <c r="E77" s="18">
        <v>1140</v>
      </c>
      <c r="F77" s="19">
        <v>295.43</v>
      </c>
      <c r="G77" s="20">
        <v>0.46</v>
      </c>
      <c r="H77" s="21"/>
      <c r="L77" s="28"/>
    </row>
    <row r="78" spans="2:12" ht="24" customHeight="1" x14ac:dyDescent="0.2">
      <c r="B78" s="17" t="s">
        <v>167</v>
      </c>
      <c r="C78" s="17" t="s">
        <v>168</v>
      </c>
      <c r="D78" s="17" t="s">
        <v>23</v>
      </c>
      <c r="E78" s="18">
        <v>99000</v>
      </c>
      <c r="F78" s="19">
        <v>278.19</v>
      </c>
      <c r="G78" s="20">
        <v>0.44</v>
      </c>
      <c r="H78" s="21"/>
    </row>
    <row r="79" spans="2:12" ht="24" customHeight="1" x14ac:dyDescent="0.2">
      <c r="B79" s="17" t="s">
        <v>169</v>
      </c>
      <c r="C79" s="17" t="s">
        <v>170</v>
      </c>
      <c r="D79" s="17" t="s">
        <v>171</v>
      </c>
      <c r="E79" s="18">
        <v>164887</v>
      </c>
      <c r="F79" s="19">
        <v>257.52</v>
      </c>
      <c r="G79" s="20">
        <v>0.4</v>
      </c>
      <c r="H79" s="21"/>
      <c r="L79" s="28"/>
    </row>
    <row r="80" spans="2:12" ht="24" customHeight="1" x14ac:dyDescent="0.2">
      <c r="B80" s="17" t="s">
        <v>172</v>
      </c>
      <c r="C80" s="17" t="s">
        <v>173</v>
      </c>
      <c r="D80" s="17" t="s">
        <v>135</v>
      </c>
      <c r="E80" s="18">
        <v>77120</v>
      </c>
      <c r="F80" s="19">
        <v>251.53</v>
      </c>
      <c r="G80" s="20">
        <v>0.39</v>
      </c>
      <c r="H80" s="21"/>
      <c r="L80" s="28"/>
    </row>
    <row r="81" spans="2:13" ht="24" customHeight="1" x14ac:dyDescent="0.2">
      <c r="B81" s="17" t="s">
        <v>174</v>
      </c>
      <c r="C81" s="17" t="s">
        <v>175</v>
      </c>
      <c r="D81" s="17" t="s">
        <v>176</v>
      </c>
      <c r="E81" s="18">
        <v>23400</v>
      </c>
      <c r="F81" s="19">
        <v>247.41</v>
      </c>
      <c r="G81" s="20">
        <v>0.39</v>
      </c>
      <c r="H81" s="21"/>
      <c r="L81" s="28"/>
    </row>
    <row r="82" spans="2:13" ht="24" customHeight="1" x14ac:dyDescent="0.2">
      <c r="B82" s="17" t="s">
        <v>177</v>
      </c>
      <c r="C82" s="17" t="s">
        <v>178</v>
      </c>
      <c r="D82" s="17" t="s">
        <v>57</v>
      </c>
      <c r="E82" s="18">
        <v>55828</v>
      </c>
      <c r="F82" s="19">
        <v>237.27</v>
      </c>
      <c r="G82" s="20">
        <v>0.37</v>
      </c>
      <c r="H82" s="21"/>
      <c r="L82" s="28"/>
    </row>
    <row r="83" spans="2:13" ht="24" customHeight="1" x14ac:dyDescent="0.2">
      <c r="B83" s="17" t="s">
        <v>179</v>
      </c>
      <c r="C83" s="17" t="s">
        <v>180</v>
      </c>
      <c r="D83" s="17" t="s">
        <v>97</v>
      </c>
      <c r="E83" s="18">
        <v>53032</v>
      </c>
      <c r="F83" s="19">
        <v>233.26</v>
      </c>
      <c r="G83" s="20">
        <v>0.37</v>
      </c>
      <c r="H83" s="21"/>
      <c r="L83" s="28"/>
    </row>
    <row r="84" spans="2:13" ht="24" customHeight="1" x14ac:dyDescent="0.2">
      <c r="B84" s="17" t="s">
        <v>181</v>
      </c>
      <c r="C84" s="17" t="s">
        <v>182</v>
      </c>
      <c r="D84" s="17" t="s">
        <v>135</v>
      </c>
      <c r="E84" s="18">
        <v>534500</v>
      </c>
      <c r="F84" s="19">
        <v>213.53</v>
      </c>
      <c r="G84" s="20">
        <v>0.33</v>
      </c>
      <c r="H84" s="21"/>
      <c r="L84" s="29"/>
      <c r="M84" s="29"/>
    </row>
    <row r="85" spans="2:13" ht="24" customHeight="1" x14ac:dyDescent="0.2">
      <c r="B85" s="17" t="s">
        <v>183</v>
      </c>
      <c r="C85" s="17" t="s">
        <v>184</v>
      </c>
      <c r="D85" s="17" t="s">
        <v>185</v>
      </c>
      <c r="E85" s="18">
        <v>90000</v>
      </c>
      <c r="F85" s="19">
        <v>207.59</v>
      </c>
      <c r="G85" s="20">
        <v>0.33</v>
      </c>
      <c r="H85" s="21"/>
    </row>
    <row r="86" spans="2:13" ht="24" customHeight="1" x14ac:dyDescent="0.2">
      <c r="B86" s="17" t="s">
        <v>186</v>
      </c>
      <c r="C86" s="17" t="s">
        <v>187</v>
      </c>
      <c r="D86" s="17" t="s">
        <v>176</v>
      </c>
      <c r="E86" s="18">
        <v>16300</v>
      </c>
      <c r="F86" s="19">
        <v>22.47</v>
      </c>
      <c r="G86" s="20">
        <v>0.04</v>
      </c>
      <c r="H86" s="21"/>
    </row>
    <row r="87" spans="2:13" ht="24" customHeight="1" x14ac:dyDescent="0.2">
      <c r="B87" s="30" t="s">
        <v>188</v>
      </c>
      <c r="C87" s="30"/>
      <c r="D87" s="30"/>
      <c r="E87" s="31"/>
      <c r="F87" s="32">
        <f>SUM(F17:F86)</f>
        <v>62874.309999999961</v>
      </c>
      <c r="G87" s="32">
        <f>SUM(G17:G86)</f>
        <v>98.660000000000025</v>
      </c>
      <c r="H87" s="33"/>
      <c r="L87" s="34"/>
      <c r="M87" s="34"/>
    </row>
    <row r="88" spans="2:13" ht="24" customHeight="1" x14ac:dyDescent="0.2">
      <c r="B88" s="17"/>
      <c r="C88" s="17"/>
      <c r="D88" s="17"/>
      <c r="E88" s="18"/>
      <c r="F88" s="19"/>
      <c r="G88" s="20"/>
      <c r="H88" s="21"/>
      <c r="L88" s="34"/>
      <c r="M88" s="34"/>
    </row>
    <row r="89" spans="2:13" ht="24" customHeight="1" x14ac:dyDescent="0.2">
      <c r="B89" s="22" t="s">
        <v>189</v>
      </c>
      <c r="C89" s="23"/>
      <c r="D89" s="23"/>
      <c r="E89" s="24"/>
      <c r="F89" s="25"/>
      <c r="G89" s="26"/>
      <c r="H89" s="27"/>
      <c r="L89" s="34"/>
      <c r="M89" s="34"/>
    </row>
    <row r="90" spans="2:13" ht="24" customHeight="1" x14ac:dyDescent="0.2">
      <c r="B90" s="17"/>
      <c r="C90" s="17"/>
      <c r="D90" s="17"/>
      <c r="E90" s="18"/>
      <c r="F90" s="20">
        <v>0</v>
      </c>
      <c r="G90" s="20">
        <v>0</v>
      </c>
      <c r="H90" s="21"/>
      <c r="L90" s="34"/>
      <c r="M90" s="34"/>
    </row>
    <row r="91" spans="2:13" ht="24" customHeight="1" x14ac:dyDescent="0.2">
      <c r="B91" s="30" t="s">
        <v>188</v>
      </c>
      <c r="C91" s="17"/>
      <c r="D91" s="17"/>
      <c r="E91" s="18"/>
      <c r="F91" s="35" t="s">
        <v>190</v>
      </c>
      <c r="G91" s="35" t="s">
        <v>190</v>
      </c>
      <c r="H91" s="21"/>
      <c r="L91" s="34"/>
      <c r="M91" s="34"/>
    </row>
    <row r="92" spans="2:13" ht="24" customHeight="1" x14ac:dyDescent="0.2">
      <c r="B92" s="17"/>
      <c r="C92" s="17"/>
      <c r="D92" s="17"/>
      <c r="E92" s="18"/>
      <c r="F92" s="19"/>
      <c r="G92" s="20"/>
      <c r="H92" s="21"/>
      <c r="L92" s="34"/>
      <c r="M92" s="34"/>
    </row>
    <row r="93" spans="2:13" ht="24" customHeight="1" x14ac:dyDescent="0.2">
      <c r="B93" s="36" t="s">
        <v>191</v>
      </c>
      <c r="C93" s="37"/>
      <c r="D93" s="37"/>
      <c r="E93" s="38"/>
      <c r="F93" s="32">
        <f>F87</f>
        <v>62874.309999999961</v>
      </c>
      <c r="G93" s="32">
        <f>G87</f>
        <v>98.660000000000025</v>
      </c>
      <c r="H93" s="33"/>
    </row>
    <row r="94" spans="2:13" ht="24" customHeight="1" x14ac:dyDescent="0.2">
      <c r="B94" s="39"/>
      <c r="C94" s="40"/>
      <c r="D94" s="40"/>
      <c r="E94" s="41"/>
      <c r="F94" s="42"/>
      <c r="G94" s="43"/>
      <c r="H94" s="33"/>
    </row>
    <row r="95" spans="2:13" ht="24" customHeight="1" x14ac:dyDescent="0.2">
      <c r="B95" s="22" t="s">
        <v>192</v>
      </c>
      <c r="C95" s="23"/>
      <c r="D95" s="23"/>
      <c r="E95" s="44"/>
      <c r="F95" s="25"/>
      <c r="G95" s="26"/>
      <c r="H95" s="27"/>
    </row>
    <row r="96" spans="2:13" ht="24" customHeight="1" x14ac:dyDescent="0.2">
      <c r="B96" s="17" t="s">
        <v>98</v>
      </c>
      <c r="C96" s="17" t="s">
        <v>193</v>
      </c>
      <c r="D96" s="17" t="s">
        <v>100</v>
      </c>
      <c r="E96" s="18">
        <v>84000</v>
      </c>
      <c r="F96" s="19">
        <v>8.61</v>
      </c>
      <c r="G96" s="20">
        <v>0.01</v>
      </c>
      <c r="H96" s="21"/>
    </row>
    <row r="97" spans="2:12" ht="24" customHeight="1" x14ac:dyDescent="0.2">
      <c r="B97" s="30" t="s">
        <v>188</v>
      </c>
      <c r="C97" s="30"/>
      <c r="D97" s="30"/>
      <c r="E97" s="31"/>
      <c r="F97" s="32">
        <f>F96</f>
        <v>8.61</v>
      </c>
      <c r="G97" s="32">
        <f>G96</f>
        <v>0.01</v>
      </c>
      <c r="H97" s="33"/>
    </row>
    <row r="98" spans="2:12" ht="24" customHeight="1" x14ac:dyDescent="0.2">
      <c r="B98" s="45"/>
      <c r="C98" s="45"/>
      <c r="D98" s="45"/>
      <c r="E98" s="41"/>
      <c r="F98" s="42"/>
      <c r="G98" s="43"/>
      <c r="H98" s="33"/>
    </row>
    <row r="99" spans="2:12" ht="24" customHeight="1" x14ac:dyDescent="0.2">
      <c r="B99" s="36" t="s">
        <v>191</v>
      </c>
      <c r="C99" s="37"/>
      <c r="D99" s="37"/>
      <c r="E99" s="38"/>
      <c r="F99" s="32">
        <f>F97</f>
        <v>8.61</v>
      </c>
      <c r="G99" s="32">
        <f>G97</f>
        <v>0.01</v>
      </c>
      <c r="H99" s="33"/>
    </row>
    <row r="100" spans="2:12" ht="24" customHeight="1" x14ac:dyDescent="0.2">
      <c r="B100" s="17"/>
      <c r="C100" s="17"/>
      <c r="D100" s="17"/>
      <c r="E100" s="18"/>
      <c r="F100" s="19"/>
      <c r="G100" s="20"/>
      <c r="H100" s="21"/>
      <c r="L100" s="28"/>
    </row>
    <row r="101" spans="2:12" ht="24" customHeight="1" x14ac:dyDescent="0.2">
      <c r="B101" s="11" t="s">
        <v>194</v>
      </c>
      <c r="C101" s="12"/>
      <c r="D101" s="12"/>
      <c r="E101" s="13"/>
      <c r="F101" s="14"/>
      <c r="G101" s="15"/>
      <c r="H101" s="16"/>
    </row>
    <row r="102" spans="2:12" ht="24" customHeight="1" x14ac:dyDescent="0.2">
      <c r="B102" s="17"/>
      <c r="C102" s="17"/>
      <c r="D102" s="17"/>
      <c r="E102" s="18"/>
      <c r="F102" s="19"/>
      <c r="G102" s="20"/>
      <c r="H102" s="21"/>
    </row>
    <row r="103" spans="2:12" ht="24" customHeight="1" x14ac:dyDescent="0.2">
      <c r="B103" s="22" t="s">
        <v>195</v>
      </c>
      <c r="C103" s="23"/>
      <c r="D103" s="23"/>
      <c r="E103" s="24"/>
      <c r="F103" s="25"/>
      <c r="G103" s="26"/>
      <c r="H103" s="27"/>
    </row>
    <row r="104" spans="2:12" ht="24" customHeight="1" x14ac:dyDescent="0.2">
      <c r="B104" s="17" t="s">
        <v>196</v>
      </c>
      <c r="C104" s="17" t="s">
        <v>197</v>
      </c>
      <c r="D104" s="17" t="s">
        <v>198</v>
      </c>
      <c r="E104" s="18">
        <v>100000</v>
      </c>
      <c r="F104" s="19">
        <v>96.9</v>
      </c>
      <c r="G104" s="20">
        <v>0.15</v>
      </c>
      <c r="H104" s="21">
        <v>5.5281000000000002</v>
      </c>
    </row>
    <row r="105" spans="2:12" ht="24" customHeight="1" x14ac:dyDescent="0.2">
      <c r="B105" s="30" t="s">
        <v>188</v>
      </c>
      <c r="C105" s="30"/>
      <c r="D105" s="30"/>
      <c r="E105" s="31"/>
      <c r="F105" s="32">
        <v>96.9</v>
      </c>
      <c r="G105" s="46">
        <v>0.15</v>
      </c>
      <c r="H105" s="33"/>
    </row>
    <row r="106" spans="2:12" ht="24" customHeight="1" x14ac:dyDescent="0.2">
      <c r="B106" s="17"/>
      <c r="C106" s="17"/>
      <c r="D106" s="17"/>
      <c r="E106" s="18"/>
      <c r="F106" s="19"/>
      <c r="G106" s="20"/>
      <c r="H106" s="21"/>
    </row>
    <row r="107" spans="2:12" ht="24" customHeight="1" x14ac:dyDescent="0.2">
      <c r="B107" s="36" t="s">
        <v>191</v>
      </c>
      <c r="C107" s="37"/>
      <c r="D107" s="37"/>
      <c r="E107" s="38"/>
      <c r="F107" s="32">
        <v>96.9</v>
      </c>
      <c r="G107" s="46">
        <v>0.15</v>
      </c>
      <c r="H107" s="33"/>
    </row>
    <row r="108" spans="2:12" ht="24" customHeight="1" x14ac:dyDescent="0.2">
      <c r="B108" s="17"/>
      <c r="C108" s="17"/>
      <c r="D108" s="17"/>
      <c r="E108" s="18"/>
      <c r="F108" s="19"/>
      <c r="G108" s="20"/>
      <c r="H108" s="21"/>
    </row>
    <row r="109" spans="2:12" ht="24" customHeight="1" x14ac:dyDescent="0.2">
      <c r="B109" s="17"/>
      <c r="C109" s="17"/>
      <c r="D109" s="17"/>
      <c r="E109" s="18"/>
      <c r="F109" s="19"/>
      <c r="G109" s="20"/>
      <c r="H109" s="21"/>
    </row>
    <row r="110" spans="2:12" ht="24" customHeight="1" x14ac:dyDescent="0.2">
      <c r="B110" s="11" t="s">
        <v>199</v>
      </c>
      <c r="C110" s="12"/>
      <c r="D110" s="12"/>
      <c r="E110" s="13"/>
      <c r="F110" s="14"/>
      <c r="G110" s="15"/>
      <c r="H110" s="16"/>
    </row>
    <row r="111" spans="2:12" ht="24" customHeight="1" x14ac:dyDescent="0.2">
      <c r="B111" s="17" t="s">
        <v>200</v>
      </c>
      <c r="C111" s="17"/>
      <c r="D111" s="17"/>
      <c r="E111" s="18"/>
      <c r="F111" s="19">
        <v>999.74</v>
      </c>
      <c r="G111" s="20">
        <v>1.57</v>
      </c>
      <c r="H111" s="21"/>
    </row>
    <row r="112" spans="2:12" ht="24" customHeight="1" x14ac:dyDescent="0.2">
      <c r="B112" s="30" t="s">
        <v>188</v>
      </c>
      <c r="C112" s="30"/>
      <c r="D112" s="30"/>
      <c r="E112" s="31"/>
      <c r="F112" s="32">
        <v>999.74</v>
      </c>
      <c r="G112" s="46">
        <v>1.57</v>
      </c>
      <c r="H112" s="33"/>
    </row>
    <row r="113" spans="2:8" ht="24" customHeight="1" x14ac:dyDescent="0.2">
      <c r="B113" s="17"/>
      <c r="C113" s="17"/>
      <c r="D113" s="17"/>
      <c r="E113" s="18"/>
      <c r="F113" s="19"/>
      <c r="G113" s="20"/>
      <c r="H113" s="21"/>
    </row>
    <row r="114" spans="2:8" ht="24" customHeight="1" x14ac:dyDescent="0.2">
      <c r="B114" s="36" t="s">
        <v>191</v>
      </c>
      <c r="C114" s="37"/>
      <c r="D114" s="37"/>
      <c r="E114" s="38"/>
      <c r="F114" s="32">
        <v>999.74</v>
      </c>
      <c r="G114" s="46">
        <v>1.57</v>
      </c>
      <c r="H114" s="33"/>
    </row>
    <row r="115" spans="2:8" ht="24" customHeight="1" x14ac:dyDescent="0.2">
      <c r="B115" s="17"/>
      <c r="C115" s="17"/>
      <c r="D115" s="17"/>
      <c r="E115" s="18"/>
      <c r="F115" s="19"/>
      <c r="G115" s="20"/>
      <c r="H115" s="21"/>
    </row>
    <row r="116" spans="2:8" ht="24" customHeight="1" x14ac:dyDescent="0.2">
      <c r="B116" s="17" t="s">
        <v>201</v>
      </c>
      <c r="C116" s="17"/>
      <c r="D116" s="17"/>
      <c r="E116" s="18"/>
      <c r="F116" s="47">
        <v>-228.1</v>
      </c>
      <c r="G116" s="20">
        <v>-0.39</v>
      </c>
      <c r="H116" s="21"/>
    </row>
    <row r="117" spans="2:8" ht="24" customHeight="1" x14ac:dyDescent="0.2">
      <c r="B117" s="17"/>
      <c r="C117" s="17"/>
      <c r="D117" s="17"/>
      <c r="E117" s="18"/>
      <c r="F117" s="19"/>
      <c r="G117" s="20"/>
      <c r="H117" s="21"/>
    </row>
    <row r="118" spans="2:8" ht="24" customHeight="1" x14ac:dyDescent="0.2">
      <c r="B118" s="36" t="s">
        <v>202</v>
      </c>
      <c r="C118" s="37"/>
      <c r="D118" s="37"/>
      <c r="E118" s="38"/>
      <c r="F118" s="32">
        <v>63751.46</v>
      </c>
      <c r="G118" s="46">
        <v>100</v>
      </c>
      <c r="H118" s="48"/>
    </row>
    <row r="119" spans="2:8" ht="24" customHeight="1" x14ac:dyDescent="0.2">
      <c r="B119" s="4"/>
    </row>
    <row r="120" spans="2:8" ht="24" customHeight="1" x14ac:dyDescent="0.2">
      <c r="B120" s="51" t="s">
        <v>203</v>
      </c>
      <c r="F120" s="52"/>
      <c r="G120" s="52"/>
    </row>
    <row r="121" spans="2:8" ht="24" customHeight="1" x14ac:dyDescent="0.2">
      <c r="F121" s="52"/>
      <c r="G121" s="52"/>
    </row>
    <row r="127" spans="2:8" ht="24" customHeight="1" x14ac:dyDescent="0.2">
      <c r="B127" s="40" t="s">
        <v>204</v>
      </c>
    </row>
    <row r="128" spans="2:8" ht="24" customHeight="1" x14ac:dyDescent="0.2">
      <c r="B128" s="49" t="s">
        <v>205</v>
      </c>
    </row>
    <row r="129" spans="2:8" ht="24" customHeight="1" x14ac:dyDescent="0.2">
      <c r="B129" s="53" t="s">
        <v>206</v>
      </c>
      <c r="C129" s="54">
        <v>46080</v>
      </c>
      <c r="D129" s="55">
        <v>46112</v>
      </c>
    </row>
    <row r="130" spans="2:8" ht="24" customHeight="1" x14ac:dyDescent="0.2">
      <c r="B130" s="56" t="s">
        <v>207</v>
      </c>
      <c r="C130" s="57" t="s">
        <v>208</v>
      </c>
      <c r="D130" s="58" t="s">
        <v>208</v>
      </c>
      <c r="E130" s="4"/>
      <c r="F130" s="4"/>
      <c r="G130" s="4"/>
      <c r="H130" s="4"/>
    </row>
    <row r="131" spans="2:8" ht="24" customHeight="1" x14ac:dyDescent="0.2">
      <c r="B131" s="59" t="s">
        <v>209</v>
      </c>
      <c r="C131" s="60">
        <v>38.67</v>
      </c>
      <c r="D131" s="61">
        <v>34.36</v>
      </c>
      <c r="E131" s="4"/>
      <c r="F131" s="4"/>
      <c r="G131" s="4"/>
      <c r="H131" s="4"/>
    </row>
    <row r="132" spans="2:8" ht="24" customHeight="1" x14ac:dyDescent="0.2">
      <c r="B132" s="59" t="s">
        <v>210</v>
      </c>
      <c r="C132" s="60">
        <v>18.77</v>
      </c>
      <c r="D132" s="61">
        <v>15.24</v>
      </c>
      <c r="E132" s="4"/>
      <c r="F132" s="4"/>
      <c r="G132" s="4"/>
      <c r="H132" s="4"/>
    </row>
    <row r="133" spans="2:8" ht="24" customHeight="1" x14ac:dyDescent="0.2">
      <c r="B133" s="56" t="s">
        <v>211</v>
      </c>
      <c r="C133" s="57"/>
      <c r="D133" s="58"/>
      <c r="E133" s="4"/>
      <c r="F133" s="4"/>
      <c r="G133" s="4"/>
      <c r="H133" s="4"/>
    </row>
    <row r="134" spans="2:8" ht="24" customHeight="1" x14ac:dyDescent="0.2">
      <c r="B134" s="59" t="s">
        <v>209</v>
      </c>
      <c r="C134" s="60">
        <v>33.47</v>
      </c>
      <c r="D134" s="61">
        <v>29.7</v>
      </c>
      <c r="E134" s="4"/>
      <c r="F134" s="4"/>
      <c r="G134" s="4"/>
      <c r="H134" s="4"/>
    </row>
    <row r="135" spans="2:8" ht="24" customHeight="1" x14ac:dyDescent="0.2">
      <c r="B135" s="62" t="s">
        <v>210</v>
      </c>
      <c r="C135" s="63">
        <v>17.510000000000002</v>
      </c>
      <c r="D135" s="64">
        <v>14.2</v>
      </c>
      <c r="E135" s="4"/>
      <c r="F135" s="4"/>
      <c r="G135" s="4"/>
      <c r="H135" s="4"/>
    </row>
    <row r="136" spans="2:8" ht="24" customHeight="1" x14ac:dyDescent="0.2">
      <c r="C136" s="65"/>
      <c r="D136" s="65"/>
      <c r="E136" s="4"/>
      <c r="F136" s="4"/>
      <c r="G136" s="4"/>
      <c r="H136" s="4"/>
    </row>
    <row r="137" spans="2:8" ht="24" customHeight="1" x14ac:dyDescent="0.2">
      <c r="B137" s="49" t="s">
        <v>212</v>
      </c>
      <c r="D137" s="29" t="s">
        <v>190</v>
      </c>
    </row>
    <row r="139" spans="2:8" ht="24" customHeight="1" x14ac:dyDescent="0.2">
      <c r="B139" s="49" t="s">
        <v>213</v>
      </c>
      <c r="D139" s="29" t="s">
        <v>190</v>
      </c>
    </row>
    <row r="141" spans="2:8" ht="24" customHeight="1" x14ac:dyDescent="0.2">
      <c r="B141" s="49" t="s">
        <v>214</v>
      </c>
      <c r="D141" s="29" t="s">
        <v>190</v>
      </c>
    </row>
    <row r="143" spans="2:8" ht="24" customHeight="1" x14ac:dyDescent="0.2">
      <c r="B143" s="49" t="s">
        <v>215</v>
      </c>
      <c r="D143" s="29" t="s">
        <v>190</v>
      </c>
    </row>
    <row r="145" spans="2:8" ht="24" customHeight="1" x14ac:dyDescent="0.2">
      <c r="B145" s="49" t="s">
        <v>216</v>
      </c>
      <c r="D145" s="29">
        <v>0.25</v>
      </c>
    </row>
    <row r="147" spans="2:8" ht="24" customHeight="1" x14ac:dyDescent="0.2">
      <c r="B147" s="49" t="s">
        <v>217</v>
      </c>
    </row>
    <row r="148" spans="2:8" ht="24" customHeight="1" x14ac:dyDescent="0.2">
      <c r="B148" s="53" t="s">
        <v>218</v>
      </c>
      <c r="C148" s="66" t="s">
        <v>219</v>
      </c>
      <c r="D148" s="40"/>
    </row>
    <row r="149" spans="2:8" ht="24" customHeight="1" x14ac:dyDescent="0.2">
      <c r="B149" s="56" t="s">
        <v>207</v>
      </c>
      <c r="C149" s="67"/>
      <c r="D149" s="4"/>
      <c r="E149" s="4"/>
      <c r="F149" s="4"/>
      <c r="G149" s="4"/>
      <c r="H149" s="4"/>
    </row>
    <row r="150" spans="2:8" ht="24" customHeight="1" x14ac:dyDescent="0.2">
      <c r="B150" s="59" t="s">
        <v>210</v>
      </c>
      <c r="C150" s="68">
        <v>1.4749000000000001</v>
      </c>
      <c r="D150" s="4"/>
      <c r="E150" s="4"/>
      <c r="F150" s="4"/>
      <c r="G150" s="4"/>
      <c r="H150" s="4"/>
    </row>
    <row r="151" spans="2:8" ht="24" customHeight="1" x14ac:dyDescent="0.2">
      <c r="B151" s="56" t="s">
        <v>211</v>
      </c>
      <c r="C151" s="67"/>
      <c r="D151" s="4"/>
      <c r="E151" s="4"/>
      <c r="F151" s="4"/>
      <c r="G151" s="4"/>
      <c r="H151" s="4"/>
    </row>
    <row r="152" spans="2:8" ht="24" customHeight="1" x14ac:dyDescent="0.2">
      <c r="B152" s="62" t="s">
        <v>210</v>
      </c>
      <c r="C152" s="69">
        <v>1.3745000000000001</v>
      </c>
      <c r="D152" s="4"/>
      <c r="E152" s="4"/>
      <c r="F152" s="4"/>
      <c r="G152" s="4"/>
      <c r="H152" s="4"/>
    </row>
    <row r="153" spans="2:8" ht="24" customHeight="1" x14ac:dyDescent="0.2">
      <c r="B153" s="49" t="s">
        <v>220</v>
      </c>
      <c r="C153" s="70"/>
      <c r="D153" s="4"/>
      <c r="E153" s="4"/>
      <c r="F153" s="4"/>
      <c r="G153" s="4"/>
      <c r="H153" s="4"/>
    </row>
    <row r="155" spans="2:8" ht="24" customHeight="1" x14ac:dyDescent="0.2">
      <c r="B155" s="49" t="s">
        <v>221</v>
      </c>
      <c r="D155" s="29" t="s">
        <v>190</v>
      </c>
    </row>
    <row r="156" spans="2:8" ht="24" customHeight="1" x14ac:dyDescent="0.2">
      <c r="B156" s="49" t="s">
        <v>222</v>
      </c>
      <c r="D156" s="29" t="s">
        <v>190</v>
      </c>
    </row>
    <row r="158" spans="2:8" ht="24" customHeight="1" x14ac:dyDescent="0.2">
      <c r="B158" s="71" t="s">
        <v>223</v>
      </c>
      <c r="D158" s="29" t="s">
        <v>190</v>
      </c>
    </row>
    <row r="160" spans="2:8" ht="24" customHeight="1" x14ac:dyDescent="0.2">
      <c r="B160" s="49" t="s">
        <v>224</v>
      </c>
      <c r="D160" s="29" t="s">
        <v>190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2026-04-08T08:38:20Z</dcterms:modified>
</cp:coreProperties>
</file>