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9840353A-BCC9-44A7-ACB5-57070EFBB0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Cap'!$B$123:$D$128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Cap'!$L$97:$M$113</definedName>
    <definedName name="JPM_Footer_disp" localSheetId="0">'Large Cap'!$L$103:$M$113</definedName>
    <definedName name="JPM_Footer_disp12" localSheetId="0">'Large Cap'!$L$97:$M$115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2" l="1"/>
  <c r="G92" i="2" s="1"/>
  <c r="F90" i="2"/>
  <c r="F92" i="2" s="1"/>
</calcChain>
</file>

<file path=xl/sharedStrings.xml><?xml version="1.0" encoding="utf-8"?>
<sst xmlns="http://schemas.openxmlformats.org/spreadsheetml/2006/main" count="238" uniqueCount="185">
  <si>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</si>
  <si>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</si>
  <si>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</si>
  <si>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</si>
  <si>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</si>
  <si>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</si>
  <si>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</si>
  <si>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</si>
  <si>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</si>
  <si>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</si>
  <si>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</si>
  <si>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</si>
  <si>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</si>
  <si>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</si>
  <si>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</si>
  <si>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</si>
  <si>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</si>
  <si>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</si>
  <si>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</si>
  <si>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</si>
  <si>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</si>
  <si>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</si>
  <si>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</si>
  <si>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</si>
  <si>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</si>
  <si>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</si>
  <si>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</si>
  <si>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</si>
  <si>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</si>
  <si>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</si>
  <si>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</si>
  <si>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</si>
  <si>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IT - Software</t>
  </si>
  <si>
    <t>Bajaj Finance Ltd.</t>
  </si>
  <si>
    <t>INE296A01032</t>
  </si>
  <si>
    <t>Finance</t>
  </si>
  <si>
    <t>Kotak Mahindra Bank Ltd.</t>
  </si>
  <si>
    <t>INE237A01036</t>
  </si>
  <si>
    <t>TVS Motor Company Ltd.</t>
  </si>
  <si>
    <t>INE494B01023</t>
  </si>
  <si>
    <t>Automobiles</t>
  </si>
  <si>
    <t>Eternal Ltd.</t>
  </si>
  <si>
    <t>INE758T01015</t>
  </si>
  <si>
    <t>Retailing</t>
  </si>
  <si>
    <t>Ultratech Cement Ltd.</t>
  </si>
  <si>
    <t>INE481G01011</t>
  </si>
  <si>
    <t>Cement &amp; Cement Products</t>
  </si>
  <si>
    <t>VARUN BEVERAGES LIMITED</t>
  </si>
  <si>
    <t>INE200M01039</t>
  </si>
  <si>
    <t>Beverages</t>
  </si>
  <si>
    <t>Muthoot Finance Ltd.</t>
  </si>
  <si>
    <t>INE414G01012</t>
  </si>
  <si>
    <t>Infosys Ltd.</t>
  </si>
  <si>
    <t>INE009A01021</t>
  </si>
  <si>
    <t>Titan Company Ltd.</t>
  </si>
  <si>
    <t>INE280A01028</t>
  </si>
  <si>
    <t>Consumer Durables</t>
  </si>
  <si>
    <t>State Bank of India</t>
  </si>
  <si>
    <t>INE062A01020</t>
  </si>
  <si>
    <t>NTPC Ltd.</t>
  </si>
  <si>
    <t>INE733E01010</t>
  </si>
  <si>
    <t>Power</t>
  </si>
  <si>
    <t>Maruti Suzuki India Ltd.</t>
  </si>
  <si>
    <t>INE585B01010</t>
  </si>
  <si>
    <t>Divi's Laboratories Ltd.</t>
  </si>
  <si>
    <t>INE361B01024</t>
  </si>
  <si>
    <t>Pharmaceuticals &amp; Biotechnology</t>
  </si>
  <si>
    <t>Mahindra &amp; Mahindra Ltd.</t>
  </si>
  <si>
    <t>INE101A01026</t>
  </si>
  <si>
    <t>Persistent Systems Ltd.</t>
  </si>
  <si>
    <t>INE262H01021</t>
  </si>
  <si>
    <t>Tech Mahindra Ltd.</t>
  </si>
  <si>
    <t>INE669C01036</t>
  </si>
  <si>
    <t>Tata Capital Ltd.</t>
  </si>
  <si>
    <t>INE976I01016</t>
  </si>
  <si>
    <t>Mankind Pharma Ltd.</t>
  </si>
  <si>
    <t>INE634S01028</t>
  </si>
  <si>
    <t>Britannia Industries Ltd.</t>
  </si>
  <si>
    <t>INE216A01030</t>
  </si>
  <si>
    <t>Food Products</t>
  </si>
  <si>
    <t>ICICI Lombard General Insurance Co. Ltd.</t>
  </si>
  <si>
    <t>INE765G01017</t>
  </si>
  <si>
    <t>Insurance</t>
  </si>
  <si>
    <t>PB Fintech Ltd.</t>
  </si>
  <si>
    <t>INE417T01026</t>
  </si>
  <si>
    <t>Financial Technology (Fintech)</t>
  </si>
  <si>
    <t>Solar Industries India Ltd.</t>
  </si>
  <si>
    <t>INE343H01029</t>
  </si>
  <si>
    <t>Chemicals &amp; Petrochemicals</t>
  </si>
  <si>
    <t>JSW Steel Ltd.</t>
  </si>
  <si>
    <t>INE019A01038</t>
  </si>
  <si>
    <t>Ferrous Metals</t>
  </si>
  <si>
    <t>Dr. Reddy's Laboratories Ltd.</t>
  </si>
  <si>
    <t>INE089A01031</t>
  </si>
  <si>
    <t>Eicher Motors Ltd.</t>
  </si>
  <si>
    <t>INE066A01021</t>
  </si>
  <si>
    <t>Power Finance Corporation Ltd.</t>
  </si>
  <si>
    <t>INE134E01011</t>
  </si>
  <si>
    <t>Cummins India Ltd.</t>
  </si>
  <si>
    <t>INE298A01020</t>
  </si>
  <si>
    <t>Industrial Products</t>
  </si>
  <si>
    <t>CG Power and Industrial Solutions Ltd.</t>
  </si>
  <si>
    <t>INE067A01029</t>
  </si>
  <si>
    <t>Electrical Equipment</t>
  </si>
  <si>
    <t>Prestige Estates Projects Ltd.</t>
  </si>
  <si>
    <t>INE811K01011</t>
  </si>
  <si>
    <t>Realty</t>
  </si>
  <si>
    <t>ICICI Prudential Asset Mgmt Co Ltd.</t>
  </si>
  <si>
    <t>INE346A01027</t>
  </si>
  <si>
    <t>Capital Markets</t>
  </si>
  <si>
    <t>Vishal Mega Mart Ltd</t>
  </si>
  <si>
    <t>INE01EA01019</t>
  </si>
  <si>
    <t>Ashok Leyland Ltd.</t>
  </si>
  <si>
    <t>INE208A01029</t>
  </si>
  <si>
    <t>Agricultural, Commercial &amp; Construction Vehicles</t>
  </si>
  <si>
    <t>Max Healthcare Institute Ltd.</t>
  </si>
  <si>
    <t>INE027H01010</t>
  </si>
  <si>
    <t>Healthcare Services</t>
  </si>
  <si>
    <t>Samvardhana Motherson International Ltd.</t>
  </si>
  <si>
    <t>INE775A01035</t>
  </si>
  <si>
    <t>Auto Components</t>
  </si>
  <si>
    <t>Sun Pharmaceutical Industries Ltd.</t>
  </si>
  <si>
    <t>INE044A01036</t>
  </si>
  <si>
    <t>LG Electronics India Ltd.</t>
  </si>
  <si>
    <t>INE324D01010</t>
  </si>
  <si>
    <t>United Spirits Ltd.</t>
  </si>
  <si>
    <t>INE854D01024</t>
  </si>
  <si>
    <t>Asian Paints Ltd.</t>
  </si>
  <si>
    <t>INE021A01026</t>
  </si>
  <si>
    <t>ITC Ltd.</t>
  </si>
  <si>
    <t>INE154A01025</t>
  </si>
  <si>
    <t>Diversified FMCG</t>
  </si>
  <si>
    <t>HDFC Life Insurance Company Ltd.</t>
  </si>
  <si>
    <t>INE795G01014</t>
  </si>
  <si>
    <t>Hindalco Industries Ltd.</t>
  </si>
  <si>
    <t>INE038A01020</t>
  </si>
  <si>
    <t>Non - Ferrous Metals</t>
  </si>
  <si>
    <t>Dixon Technologies (India) Ltd.</t>
  </si>
  <si>
    <t>INE935N01020</t>
  </si>
  <si>
    <t>Bharat Electronics Ltd.</t>
  </si>
  <si>
    <t>INE263A01024</t>
  </si>
  <si>
    <t>Aerospace &amp; Defense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</si>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</sst>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0C6E2833-7FFA-4D36-9870-421BEB95A1A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19050</xdr:rowOff>
    </xdr:from>
    <xdr:ext cx="2838450" cy="1695450"/>
    <xdr:pic>
      <xdr:nvPicPr>
        <xdr:cNvPr id="2" name="Picture 1">
          <a:extLst>
            <a:ext uri="{FF2B5EF4-FFF2-40B4-BE49-F238E27FC236}">
              <a16:creationId xmlns:a16="http://schemas.microsoft.com/office/drawing/2014/main" id="{CA312EFA-4895-4D9F-87EA-36B12BFF5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52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247650</xdr:colOff>
      <xdr:row>2</xdr:row>
      <xdr:rowOff>276225</xdr:rowOff>
    </xdr:from>
    <xdr:ext cx="2940050" cy="1695450"/>
    <xdr:pic>
      <xdr:nvPicPr>
        <xdr:cNvPr id="3" name="Picture 2">
          <a:extLst>
            <a:ext uri="{FF2B5EF4-FFF2-40B4-BE49-F238E27FC236}">
              <a16:creationId xmlns:a16="http://schemas.microsoft.com/office/drawing/2014/main" id="{1453BC07-1F6B-4C98-B40B-8694C2E3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82C7-1E73-43B1-890C-BCC826BC1D37}">
  <sheetPr>
    <tabColor rgb="FFC00000"/>
  </sheetPr>
  <dimension ref="B1:M148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8" customWidth="1"/>
    <col min="3" max="3" width="15.7265625" style="48" customWidth="1"/>
    <col min="4" max="4" width="26.6328125" style="48" customWidth="1"/>
    <col min="5" max="5" width="15.26953125" style="2" customWidth="1"/>
    <col min="6" max="6" width="16.453125" style="2" customWidth="1"/>
    <col min="7" max="7" width="15.26953125" style="4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571054</v>
      </c>
      <c r="F16" s="19">
        <v>5306.52</v>
      </c>
      <c r="G16" s="20">
        <v>9.31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338644</v>
      </c>
      <c r="F17" s="19">
        <v>4588.63</v>
      </c>
      <c r="G17" s="20">
        <v>8.0500000000000007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284234</v>
      </c>
      <c r="F18" s="19">
        <v>3966.2</v>
      </c>
      <c r="G18" s="20">
        <v>6.96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142657</v>
      </c>
      <c r="F19" s="19">
        <v>2808.49</v>
      </c>
      <c r="G19" s="20">
        <v>4.93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58972</v>
      </c>
      <c r="F20" s="19">
        <v>2318.96</v>
      </c>
      <c r="G20" s="20">
        <v>4.07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55103</v>
      </c>
      <c r="F21" s="19">
        <v>1721.36</v>
      </c>
      <c r="G21" s="20">
        <v>3.02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180279</v>
      </c>
      <c r="F22" s="19">
        <v>1676.32</v>
      </c>
      <c r="G22" s="20">
        <v>2.94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18</v>
      </c>
      <c r="E23" s="18">
        <v>401815</v>
      </c>
      <c r="F23" s="19">
        <v>1639.41</v>
      </c>
      <c r="G23" s="20">
        <v>2.88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42750</v>
      </c>
      <c r="F24" s="19">
        <v>1572.09</v>
      </c>
      <c r="G24" s="20">
        <v>2.76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553000</v>
      </c>
      <c r="F25" s="19">
        <v>1513.01</v>
      </c>
      <c r="G25" s="20">
        <v>2.65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11022</v>
      </c>
      <c r="F26" s="19">
        <v>1399.13</v>
      </c>
      <c r="G26" s="20">
        <v>2.4500000000000002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291959</v>
      </c>
      <c r="F27" s="19">
        <v>1375.86</v>
      </c>
      <c r="G27" s="20">
        <v>2.41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35</v>
      </c>
      <c r="E28" s="18">
        <v>32292</v>
      </c>
      <c r="F28" s="19">
        <v>1236.6500000000001</v>
      </c>
      <c r="G28" s="20">
        <v>2.17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32</v>
      </c>
      <c r="E29" s="18">
        <v>73358</v>
      </c>
      <c r="F29" s="19">
        <v>1203.8</v>
      </c>
      <c r="G29" s="20">
        <v>2.11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30190</v>
      </c>
      <c r="F30" s="19">
        <v>1200.78</v>
      </c>
      <c r="G30" s="20">
        <v>2.11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18</v>
      </c>
      <c r="E31" s="18">
        <v>109190</v>
      </c>
      <c r="F31" s="19">
        <v>1176.1400000000001</v>
      </c>
      <c r="G31" s="20">
        <v>2.06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317000</v>
      </c>
      <c r="F32" s="19">
        <v>1128.52</v>
      </c>
      <c r="G32" s="20">
        <v>1.98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40</v>
      </c>
      <c r="E33" s="18">
        <v>7114</v>
      </c>
      <c r="F33" s="19">
        <v>1038.57</v>
      </c>
      <c r="G33" s="20">
        <v>1.82</v>
      </c>
      <c r="H33" s="21"/>
    </row>
    <row r="34" spans="2:8" ht="24" customHeight="1" x14ac:dyDescent="0.25">
      <c r="B34" s="17" t="s">
        <v>64</v>
      </c>
      <c r="C34" s="17" t="s">
        <v>65</v>
      </c>
      <c r="D34" s="17" t="s">
        <v>66</v>
      </c>
      <c r="E34" s="18">
        <v>16380</v>
      </c>
      <c r="F34" s="19">
        <v>991.15</v>
      </c>
      <c r="G34" s="20">
        <v>1.74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40</v>
      </c>
      <c r="E35" s="18">
        <v>27860</v>
      </c>
      <c r="F35" s="19">
        <v>956.1</v>
      </c>
      <c r="G35" s="20">
        <v>1.68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32</v>
      </c>
      <c r="E36" s="18">
        <v>15720</v>
      </c>
      <c r="F36" s="19">
        <v>948.7</v>
      </c>
      <c r="G36" s="20">
        <v>1.66</v>
      </c>
      <c r="H36" s="21"/>
    </row>
    <row r="37" spans="2:8" ht="24" customHeight="1" x14ac:dyDescent="0.25">
      <c r="B37" s="17" t="s">
        <v>71</v>
      </c>
      <c r="C37" s="17" t="s">
        <v>72</v>
      </c>
      <c r="D37" s="17" t="s">
        <v>32</v>
      </c>
      <c r="E37" s="18">
        <v>50571</v>
      </c>
      <c r="F37" s="19">
        <v>881.5</v>
      </c>
      <c r="G37" s="20">
        <v>1.55</v>
      </c>
      <c r="H37" s="21"/>
    </row>
    <row r="38" spans="2:8" ht="24" customHeight="1" x14ac:dyDescent="0.25">
      <c r="B38" s="17" t="s">
        <v>73</v>
      </c>
      <c r="C38" s="17" t="s">
        <v>74</v>
      </c>
      <c r="D38" s="17" t="s">
        <v>35</v>
      </c>
      <c r="E38" s="18">
        <v>241190</v>
      </c>
      <c r="F38" s="19">
        <v>825.11</v>
      </c>
      <c r="G38" s="20">
        <v>1.45</v>
      </c>
      <c r="H38" s="21"/>
    </row>
    <row r="39" spans="2:8" ht="24" customHeight="1" x14ac:dyDescent="0.25">
      <c r="B39" s="17" t="s">
        <v>75</v>
      </c>
      <c r="C39" s="17" t="s">
        <v>76</v>
      </c>
      <c r="D39" s="17" t="s">
        <v>66</v>
      </c>
      <c r="E39" s="18">
        <v>34023</v>
      </c>
      <c r="F39" s="19">
        <v>722.65</v>
      </c>
      <c r="G39" s="20">
        <v>1.27</v>
      </c>
      <c r="H39" s="21"/>
    </row>
    <row r="40" spans="2:8" ht="24" customHeight="1" x14ac:dyDescent="0.25">
      <c r="B40" s="17" t="s">
        <v>77</v>
      </c>
      <c r="C40" s="17" t="s">
        <v>78</v>
      </c>
      <c r="D40" s="17" t="s">
        <v>79</v>
      </c>
      <c r="E40" s="18">
        <v>12093</v>
      </c>
      <c r="F40" s="19">
        <v>708.71</v>
      </c>
      <c r="G40" s="20">
        <v>1.24</v>
      </c>
      <c r="H40" s="21"/>
    </row>
    <row r="41" spans="2:8" ht="24" customHeight="1" x14ac:dyDescent="0.25">
      <c r="B41" s="17" t="s">
        <v>80</v>
      </c>
      <c r="C41" s="17" t="s">
        <v>81</v>
      </c>
      <c r="D41" s="17" t="s">
        <v>82</v>
      </c>
      <c r="E41" s="18">
        <v>38758</v>
      </c>
      <c r="F41" s="19">
        <v>703.11</v>
      </c>
      <c r="G41" s="20">
        <v>1.23</v>
      </c>
      <c r="H41" s="21"/>
    </row>
    <row r="42" spans="2:8" ht="24" customHeight="1" x14ac:dyDescent="0.25">
      <c r="B42" s="17" t="s">
        <v>83</v>
      </c>
      <c r="C42" s="17" t="s">
        <v>84</v>
      </c>
      <c r="D42" s="17" t="s">
        <v>85</v>
      </c>
      <c r="E42" s="18">
        <v>40726</v>
      </c>
      <c r="F42" s="19">
        <v>673.81</v>
      </c>
      <c r="G42" s="20">
        <v>1.18</v>
      </c>
      <c r="H42" s="21"/>
    </row>
    <row r="43" spans="2:8" ht="24" customHeight="1" x14ac:dyDescent="0.25">
      <c r="B43" s="17" t="s">
        <v>86</v>
      </c>
      <c r="C43" s="17" t="s">
        <v>87</v>
      </c>
      <c r="D43" s="17" t="s">
        <v>88</v>
      </c>
      <c r="E43" s="18">
        <v>4677</v>
      </c>
      <c r="F43" s="19">
        <v>630.46</v>
      </c>
      <c r="G43" s="20">
        <v>1.1100000000000001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91</v>
      </c>
      <c r="E44" s="18">
        <v>50038</v>
      </c>
      <c r="F44" s="19">
        <v>607.66</v>
      </c>
      <c r="G44" s="20">
        <v>1.07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66</v>
      </c>
      <c r="E45" s="18">
        <v>49310</v>
      </c>
      <c r="F45" s="19">
        <v>600.65</v>
      </c>
      <c r="G45" s="20">
        <v>1.05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40</v>
      </c>
      <c r="E46" s="18">
        <v>8420</v>
      </c>
      <c r="F46" s="19">
        <v>599.71</v>
      </c>
      <c r="G46" s="20">
        <v>1.05</v>
      </c>
      <c r="H46" s="21"/>
    </row>
    <row r="47" spans="2:8" ht="24" customHeight="1" x14ac:dyDescent="0.25">
      <c r="B47" s="17" t="s">
        <v>96</v>
      </c>
      <c r="C47" s="17" t="s">
        <v>97</v>
      </c>
      <c r="D47" s="17" t="s">
        <v>35</v>
      </c>
      <c r="E47" s="18">
        <v>157030</v>
      </c>
      <c r="F47" s="19">
        <v>595.69000000000005</v>
      </c>
      <c r="G47" s="20">
        <v>1.04</v>
      </c>
      <c r="H47" s="21"/>
    </row>
    <row r="48" spans="2:8" ht="24" customHeight="1" x14ac:dyDescent="0.25">
      <c r="B48" s="17" t="s">
        <v>98</v>
      </c>
      <c r="C48" s="17" t="s">
        <v>99</v>
      </c>
      <c r="D48" s="17" t="s">
        <v>100</v>
      </c>
      <c r="E48" s="18">
        <v>14355</v>
      </c>
      <c r="F48" s="19">
        <v>590.35</v>
      </c>
      <c r="G48" s="20">
        <v>1.04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103</v>
      </c>
      <c r="E49" s="18">
        <v>100613</v>
      </c>
      <c r="F49" s="19">
        <v>587.63</v>
      </c>
      <c r="G49" s="20">
        <v>1.03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106</v>
      </c>
      <c r="E50" s="18">
        <v>39836</v>
      </c>
      <c r="F50" s="19">
        <v>582.20000000000005</v>
      </c>
      <c r="G50" s="20">
        <v>1.02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19570</v>
      </c>
      <c r="F51" s="19">
        <v>581.74</v>
      </c>
      <c r="G51" s="20">
        <v>1.02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43</v>
      </c>
      <c r="E52" s="18">
        <v>461116</v>
      </c>
      <c r="F52" s="19">
        <v>580.78</v>
      </c>
      <c r="G52" s="20">
        <v>1.02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288748</v>
      </c>
      <c r="F53" s="19">
        <v>567.94000000000005</v>
      </c>
      <c r="G53" s="20">
        <v>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117</v>
      </c>
      <c r="E54" s="18">
        <v>55307</v>
      </c>
      <c r="F54" s="19">
        <v>529.17999999999995</v>
      </c>
      <c r="G54" s="20">
        <v>0.93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120</v>
      </c>
      <c r="E55" s="18">
        <v>459600</v>
      </c>
      <c r="F55" s="19">
        <v>518.89</v>
      </c>
      <c r="G55" s="20">
        <v>0.91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66</v>
      </c>
      <c r="E56" s="18">
        <v>29660</v>
      </c>
      <c r="F56" s="19">
        <v>473.17</v>
      </c>
      <c r="G56" s="20">
        <v>0.83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56</v>
      </c>
      <c r="E57" s="18">
        <v>30404</v>
      </c>
      <c r="F57" s="19">
        <v>444.69</v>
      </c>
      <c r="G57" s="20">
        <v>0.78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49</v>
      </c>
      <c r="E58" s="18">
        <v>32322</v>
      </c>
      <c r="F58" s="19">
        <v>440.42</v>
      </c>
      <c r="G58" s="20">
        <v>0.77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56</v>
      </c>
      <c r="E59" s="18">
        <v>18000</v>
      </c>
      <c r="F59" s="19">
        <v>437.09</v>
      </c>
      <c r="G59" s="20">
        <v>0.77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131</v>
      </c>
      <c r="E60" s="18">
        <v>135588</v>
      </c>
      <c r="F60" s="19">
        <v>436.8</v>
      </c>
      <c r="G60" s="20">
        <v>0.77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82</v>
      </c>
      <c r="E61" s="18">
        <v>59008</v>
      </c>
      <c r="F61" s="19">
        <v>431.35</v>
      </c>
      <c r="G61" s="20">
        <v>0.76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40000</v>
      </c>
      <c r="F62" s="19">
        <v>385.04</v>
      </c>
      <c r="G62" s="20">
        <v>0.68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56</v>
      </c>
      <c r="E63" s="18">
        <v>3660</v>
      </c>
      <c r="F63" s="19">
        <v>382.32</v>
      </c>
      <c r="G63" s="20">
        <v>0.67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141</v>
      </c>
      <c r="E64" s="18">
        <v>71062</v>
      </c>
      <c r="F64" s="19">
        <v>319.07</v>
      </c>
      <c r="G64" s="20">
        <v>0.56000000000000005</v>
      </c>
      <c r="H64" s="21"/>
    </row>
    <row r="65" spans="2:8" ht="24" customHeight="1" x14ac:dyDescent="0.25">
      <c r="B65" s="28" t="s">
        <v>142</v>
      </c>
      <c r="C65" s="28"/>
      <c r="D65" s="28"/>
      <c r="E65" s="29"/>
      <c r="F65" s="30">
        <v>55604.11</v>
      </c>
      <c r="G65" s="31">
        <v>97.56</v>
      </c>
      <c r="H65" s="32"/>
    </row>
    <row r="66" spans="2:8" ht="24" customHeight="1" x14ac:dyDescent="0.25">
      <c r="B66" s="17"/>
      <c r="C66" s="17"/>
      <c r="D66" s="17"/>
      <c r="E66" s="18"/>
      <c r="F66" s="19"/>
      <c r="G66" s="20"/>
      <c r="H66" s="21"/>
    </row>
    <row r="67" spans="2:8" ht="24" customHeight="1" x14ac:dyDescent="0.25">
      <c r="B67" s="22" t="s">
        <v>143</v>
      </c>
      <c r="C67" s="23"/>
      <c r="D67" s="23"/>
      <c r="E67" s="24"/>
      <c r="F67" s="25"/>
      <c r="G67" s="26"/>
      <c r="H67" s="27"/>
    </row>
    <row r="68" spans="2:8" ht="24" customHeight="1" x14ac:dyDescent="0.25">
      <c r="B68" s="17"/>
      <c r="C68" s="17"/>
      <c r="D68" s="17"/>
      <c r="E68" s="18"/>
      <c r="F68" s="20">
        <v>0</v>
      </c>
      <c r="G68" s="20">
        <v>0</v>
      </c>
      <c r="H68" s="21"/>
    </row>
    <row r="69" spans="2:8" ht="24" customHeight="1" x14ac:dyDescent="0.25">
      <c r="B69" s="28" t="s">
        <v>142</v>
      </c>
      <c r="C69" s="17"/>
      <c r="D69" s="17"/>
      <c r="E69" s="18"/>
      <c r="F69" s="33" t="s">
        <v>144</v>
      </c>
      <c r="G69" s="33" t="s">
        <v>144</v>
      </c>
      <c r="H69" s="21"/>
    </row>
    <row r="70" spans="2:8" ht="24" customHeight="1" x14ac:dyDescent="0.25">
      <c r="B70" s="17"/>
      <c r="C70" s="17"/>
      <c r="D70" s="17"/>
      <c r="E70" s="18"/>
      <c r="F70" s="19"/>
      <c r="G70" s="20"/>
      <c r="H70" s="21"/>
    </row>
    <row r="71" spans="2:8" ht="24" customHeight="1" x14ac:dyDescent="0.25">
      <c r="B71" s="34" t="s">
        <v>145</v>
      </c>
      <c r="C71" s="35"/>
      <c r="D71" s="35"/>
      <c r="E71" s="36"/>
      <c r="F71" s="30">
        <v>55604.11</v>
      </c>
      <c r="G71" s="31">
        <v>97.56</v>
      </c>
      <c r="H71" s="32"/>
    </row>
    <row r="72" spans="2:8" ht="24" customHeight="1" x14ac:dyDescent="0.25">
      <c r="B72" s="11" t="s">
        <v>146</v>
      </c>
      <c r="C72" s="12"/>
      <c r="D72" s="12"/>
      <c r="E72" s="13"/>
      <c r="F72" s="14"/>
      <c r="G72" s="15"/>
      <c r="H72" s="16"/>
    </row>
    <row r="73" spans="2:8" ht="24" customHeight="1" x14ac:dyDescent="0.25">
      <c r="B73" s="28"/>
      <c r="C73" s="17"/>
      <c r="D73" s="17"/>
      <c r="E73" s="18"/>
      <c r="F73" s="19"/>
      <c r="G73" s="20"/>
      <c r="H73" s="37"/>
    </row>
    <row r="74" spans="2:8" ht="24" customHeight="1" x14ac:dyDescent="0.25">
      <c r="B74" s="22" t="s">
        <v>147</v>
      </c>
      <c r="C74" s="23"/>
      <c r="D74" s="23"/>
      <c r="E74" s="24"/>
      <c r="F74" s="25"/>
      <c r="G74" s="26"/>
      <c r="H74" s="27"/>
    </row>
    <row r="75" spans="2:8" ht="24" customHeight="1" x14ac:dyDescent="0.25">
      <c r="B75" s="17"/>
      <c r="C75" s="17"/>
      <c r="D75" s="17"/>
      <c r="E75" s="18"/>
      <c r="F75" s="19"/>
      <c r="G75" s="20"/>
      <c r="H75" s="38"/>
    </row>
    <row r="76" spans="2:8" ht="24" customHeight="1" x14ac:dyDescent="0.25">
      <c r="B76" s="28" t="s">
        <v>142</v>
      </c>
      <c r="C76" s="17"/>
      <c r="D76" s="17"/>
      <c r="E76" s="18"/>
      <c r="F76" s="33" t="s">
        <v>144</v>
      </c>
      <c r="G76" s="33" t="s">
        <v>144</v>
      </c>
      <c r="H76" s="21"/>
    </row>
    <row r="77" spans="2:8" ht="24" customHeight="1" x14ac:dyDescent="0.25">
      <c r="B77" s="17"/>
      <c r="C77" s="17"/>
      <c r="D77" s="17"/>
      <c r="E77" s="18"/>
      <c r="F77" s="19"/>
      <c r="G77" s="20"/>
      <c r="H77" s="21"/>
    </row>
    <row r="78" spans="2:8" ht="24" customHeight="1" x14ac:dyDescent="0.25">
      <c r="B78" s="22" t="s">
        <v>148</v>
      </c>
      <c r="C78" s="23"/>
      <c r="D78" s="23"/>
      <c r="E78" s="24"/>
      <c r="F78" s="25"/>
      <c r="G78" s="26"/>
      <c r="H78" s="27"/>
    </row>
    <row r="79" spans="2:8" ht="24" customHeight="1" x14ac:dyDescent="0.25">
      <c r="B79" s="17"/>
      <c r="C79" s="17"/>
      <c r="D79" s="17"/>
      <c r="E79" s="18"/>
      <c r="F79" s="20">
        <v>0</v>
      </c>
      <c r="G79" s="20">
        <v>0</v>
      </c>
      <c r="H79" s="21"/>
    </row>
    <row r="80" spans="2:8" ht="24" customHeight="1" x14ac:dyDescent="0.25">
      <c r="B80" s="28" t="s">
        <v>142</v>
      </c>
      <c r="C80" s="28"/>
      <c r="D80" s="28"/>
      <c r="E80" s="29"/>
      <c r="F80" s="33" t="s">
        <v>144</v>
      </c>
      <c r="G80" s="33" t="s">
        <v>144</v>
      </c>
      <c r="H80" s="32"/>
    </row>
    <row r="81" spans="2:8" ht="24" customHeight="1" x14ac:dyDescent="0.25">
      <c r="B81" s="28"/>
      <c r="C81" s="28"/>
      <c r="D81" s="28"/>
      <c r="E81" s="29"/>
      <c r="F81" s="39"/>
      <c r="G81" s="40"/>
      <c r="H81" s="32"/>
    </row>
    <row r="82" spans="2:8" ht="24" customHeight="1" x14ac:dyDescent="0.25">
      <c r="B82" s="22" t="s">
        <v>149</v>
      </c>
      <c r="C82" s="23"/>
      <c r="D82" s="23"/>
      <c r="E82" s="24"/>
      <c r="F82" s="25"/>
      <c r="G82" s="26"/>
      <c r="H82" s="27"/>
    </row>
    <row r="83" spans="2:8" ht="24" customHeight="1" x14ac:dyDescent="0.25">
      <c r="B83" s="17"/>
      <c r="C83" s="17"/>
      <c r="D83" s="17"/>
      <c r="E83" s="18"/>
      <c r="F83" s="20">
        <v>0</v>
      </c>
      <c r="G83" s="20">
        <v>0</v>
      </c>
      <c r="H83" s="21"/>
    </row>
    <row r="84" spans="2:8" ht="24" customHeight="1" x14ac:dyDescent="0.25">
      <c r="B84" s="28" t="s">
        <v>142</v>
      </c>
      <c r="C84" s="17"/>
      <c r="D84" s="17"/>
      <c r="E84" s="18"/>
      <c r="F84" s="33" t="s">
        <v>144</v>
      </c>
      <c r="G84" s="33" t="s">
        <v>144</v>
      </c>
      <c r="H84" s="21"/>
    </row>
    <row r="85" spans="2:8" ht="24" customHeight="1" x14ac:dyDescent="0.25">
      <c r="B85" s="17"/>
      <c r="C85" s="17"/>
      <c r="D85" s="17"/>
      <c r="E85" s="18"/>
      <c r="F85" s="19"/>
      <c r="G85" s="20"/>
      <c r="H85" s="21"/>
    </row>
    <row r="86" spans="2:8" ht="24" customHeight="1" x14ac:dyDescent="0.25">
      <c r="B86" s="34" t="s">
        <v>145</v>
      </c>
      <c r="C86" s="35"/>
      <c r="D86" s="35"/>
      <c r="E86" s="36"/>
      <c r="F86" s="33" t="s">
        <v>144</v>
      </c>
      <c r="G86" s="33" t="s">
        <v>144</v>
      </c>
      <c r="H86" s="32"/>
    </row>
    <row r="87" spans="2:8" ht="24" customHeight="1" x14ac:dyDescent="0.25">
      <c r="B87" s="41"/>
      <c r="C87" s="42"/>
      <c r="D87" s="42"/>
      <c r="E87" s="43"/>
      <c r="F87" s="39"/>
      <c r="G87" s="40"/>
      <c r="H87" s="32"/>
    </row>
    <row r="88" spans="2:8" ht="24" customHeight="1" x14ac:dyDescent="0.25">
      <c r="B88" s="22" t="s">
        <v>150</v>
      </c>
      <c r="C88" s="23"/>
      <c r="D88" s="23"/>
      <c r="E88" s="24"/>
      <c r="F88" s="25"/>
      <c r="G88" s="26"/>
      <c r="H88" s="27"/>
    </row>
    <row r="89" spans="2:8" ht="24" customHeight="1" x14ac:dyDescent="0.25">
      <c r="B89" s="17" t="s">
        <v>151</v>
      </c>
      <c r="C89" s="17" t="s">
        <v>152</v>
      </c>
      <c r="D89" s="17" t="s">
        <v>153</v>
      </c>
      <c r="E89" s="18">
        <v>239480</v>
      </c>
      <c r="F89" s="19">
        <v>24.48</v>
      </c>
      <c r="G89" s="20">
        <v>0.04</v>
      </c>
      <c r="H89" s="21">
        <v>6.35</v>
      </c>
    </row>
    <row r="90" spans="2:8" ht="24" customHeight="1" x14ac:dyDescent="0.25">
      <c r="B90" s="28" t="s">
        <v>142</v>
      </c>
      <c r="C90" s="17"/>
      <c r="D90" s="17"/>
      <c r="E90" s="18"/>
      <c r="F90" s="31">
        <f>SUM(F89)</f>
        <v>24.48</v>
      </c>
      <c r="G90" s="31">
        <f>SUM(G89)</f>
        <v>0.04</v>
      </c>
      <c r="H90" s="21"/>
    </row>
    <row r="91" spans="2:8" ht="24" customHeight="1" x14ac:dyDescent="0.25">
      <c r="B91" s="28"/>
      <c r="C91" s="17"/>
      <c r="D91" s="17"/>
      <c r="E91" s="18"/>
      <c r="F91" s="40"/>
      <c r="G91" s="40"/>
      <c r="H91" s="21"/>
    </row>
    <row r="92" spans="2:8" ht="24" customHeight="1" x14ac:dyDescent="0.25">
      <c r="B92" s="34" t="s">
        <v>145</v>
      </c>
      <c r="C92" s="35"/>
      <c r="D92" s="35"/>
      <c r="E92" s="36"/>
      <c r="F92" s="30">
        <f>F90</f>
        <v>24.48</v>
      </c>
      <c r="G92" s="30">
        <f>G90</f>
        <v>0.04</v>
      </c>
      <c r="H92" s="32"/>
    </row>
    <row r="93" spans="2:8" ht="24" customHeight="1" x14ac:dyDescent="0.25">
      <c r="B93" s="17"/>
      <c r="C93" s="17"/>
      <c r="D93" s="17"/>
      <c r="E93" s="18"/>
      <c r="F93" s="19"/>
      <c r="G93" s="20"/>
      <c r="H93" s="21"/>
    </row>
    <row r="94" spans="2:8" ht="24" customHeight="1" x14ac:dyDescent="0.25">
      <c r="B94" s="11" t="s">
        <v>154</v>
      </c>
      <c r="C94" s="12"/>
      <c r="D94" s="12"/>
      <c r="E94" s="13"/>
      <c r="F94" s="14"/>
      <c r="G94" s="15"/>
      <c r="H94" s="16"/>
    </row>
    <row r="95" spans="2:8" ht="24" customHeight="1" x14ac:dyDescent="0.25">
      <c r="B95" s="17"/>
      <c r="C95" s="17"/>
      <c r="D95" s="17"/>
      <c r="E95" s="18"/>
      <c r="F95" s="19"/>
      <c r="G95" s="20"/>
      <c r="H95" s="21"/>
    </row>
    <row r="96" spans="2:8" ht="24" customHeight="1" x14ac:dyDescent="0.25">
      <c r="B96" s="22" t="s">
        <v>155</v>
      </c>
      <c r="C96" s="23"/>
      <c r="D96" s="23"/>
      <c r="E96" s="24"/>
      <c r="F96" s="25"/>
      <c r="G96" s="26"/>
      <c r="H96" s="27"/>
    </row>
    <row r="97" spans="2:13" ht="24" customHeight="1" x14ac:dyDescent="0.25">
      <c r="B97" s="17" t="s">
        <v>156</v>
      </c>
      <c r="C97" s="17" t="s">
        <v>157</v>
      </c>
      <c r="D97" s="17" t="s">
        <v>158</v>
      </c>
      <c r="E97" s="18">
        <v>50000</v>
      </c>
      <c r="F97" s="19">
        <v>48</v>
      </c>
      <c r="G97" s="20">
        <v>0.08</v>
      </c>
      <c r="H97" s="21">
        <v>5.6260000000000003</v>
      </c>
      <c r="L97" s="44"/>
    </row>
    <row r="98" spans="2:13" ht="24" customHeight="1" x14ac:dyDescent="0.25">
      <c r="B98" s="28" t="s">
        <v>142</v>
      </c>
      <c r="C98" s="28"/>
      <c r="D98" s="28"/>
      <c r="E98" s="29"/>
      <c r="F98" s="30">
        <v>48</v>
      </c>
      <c r="G98" s="31">
        <v>0.08</v>
      </c>
      <c r="H98" s="32"/>
    </row>
    <row r="99" spans="2:13" ht="24" customHeight="1" x14ac:dyDescent="0.25">
      <c r="B99" s="17"/>
      <c r="C99" s="17"/>
      <c r="D99" s="17"/>
      <c r="E99" s="18"/>
      <c r="F99" s="19"/>
      <c r="G99" s="20"/>
      <c r="H99" s="21"/>
      <c r="L99" s="44"/>
    </row>
    <row r="100" spans="2:13" ht="24" customHeight="1" x14ac:dyDescent="0.25">
      <c r="B100" s="34" t="s">
        <v>145</v>
      </c>
      <c r="C100" s="35"/>
      <c r="D100" s="35"/>
      <c r="E100" s="36"/>
      <c r="F100" s="30">
        <v>48</v>
      </c>
      <c r="G100" s="31">
        <v>0.08</v>
      </c>
      <c r="H100" s="32"/>
      <c r="L100" s="44"/>
    </row>
    <row r="101" spans="2:13" ht="24" customHeight="1" x14ac:dyDescent="0.25">
      <c r="B101" s="17"/>
      <c r="C101" s="17"/>
      <c r="D101" s="17"/>
      <c r="E101" s="18"/>
      <c r="F101" s="19"/>
      <c r="G101" s="20"/>
      <c r="H101" s="21"/>
      <c r="L101" s="44"/>
    </row>
    <row r="102" spans="2:13" ht="24" customHeight="1" x14ac:dyDescent="0.25">
      <c r="B102" s="17"/>
      <c r="C102" s="17"/>
      <c r="D102" s="17"/>
      <c r="E102" s="18"/>
      <c r="F102" s="19"/>
      <c r="G102" s="20"/>
      <c r="H102" s="21"/>
      <c r="L102" s="44"/>
    </row>
    <row r="103" spans="2:13" ht="24" customHeight="1" x14ac:dyDescent="0.25">
      <c r="B103" s="11" t="s">
        <v>159</v>
      </c>
      <c r="C103" s="12"/>
      <c r="D103" s="12"/>
      <c r="E103" s="13"/>
      <c r="F103" s="14"/>
      <c r="G103" s="15"/>
      <c r="H103" s="16"/>
      <c r="L103" s="44"/>
    </row>
    <row r="104" spans="2:13" ht="24" customHeight="1" x14ac:dyDescent="0.25">
      <c r="B104" s="17" t="s">
        <v>160</v>
      </c>
      <c r="C104" s="17"/>
      <c r="D104" s="17"/>
      <c r="E104" s="18"/>
      <c r="F104" s="19">
        <v>1304.72</v>
      </c>
      <c r="G104" s="20">
        <v>2.29</v>
      </c>
      <c r="H104" s="21"/>
      <c r="L104" s="45"/>
      <c r="M104" s="45"/>
    </row>
    <row r="105" spans="2:13" ht="24" customHeight="1" x14ac:dyDescent="0.25">
      <c r="B105" s="28" t="s">
        <v>142</v>
      </c>
      <c r="C105" s="28"/>
      <c r="D105" s="28"/>
      <c r="E105" s="29"/>
      <c r="F105" s="30">
        <v>1304.72</v>
      </c>
      <c r="G105" s="31">
        <v>2.29</v>
      </c>
      <c r="H105" s="32"/>
    </row>
    <row r="106" spans="2:13" ht="24" customHeight="1" x14ac:dyDescent="0.25">
      <c r="B106" s="17"/>
      <c r="C106" s="17"/>
      <c r="D106" s="17"/>
      <c r="E106" s="18"/>
      <c r="F106" s="19"/>
      <c r="G106" s="20"/>
      <c r="H106" s="21"/>
    </row>
    <row r="107" spans="2:13" ht="24" customHeight="1" x14ac:dyDescent="0.25">
      <c r="B107" s="34" t="s">
        <v>145</v>
      </c>
      <c r="C107" s="35"/>
      <c r="D107" s="35"/>
      <c r="E107" s="36"/>
      <c r="F107" s="30">
        <v>1304.72</v>
      </c>
      <c r="G107" s="31">
        <v>2.29</v>
      </c>
      <c r="H107" s="32"/>
      <c r="L107" s="46"/>
      <c r="M107" s="46"/>
    </row>
    <row r="108" spans="2:13" ht="24" customHeight="1" x14ac:dyDescent="0.25">
      <c r="B108" s="17"/>
      <c r="C108" s="17"/>
      <c r="D108" s="17"/>
      <c r="E108" s="18"/>
      <c r="F108" s="19"/>
      <c r="G108" s="20"/>
      <c r="H108" s="21"/>
      <c r="L108" s="46"/>
      <c r="M108" s="46"/>
    </row>
    <row r="109" spans="2:13" ht="24" customHeight="1" x14ac:dyDescent="0.25">
      <c r="B109" s="17" t="s">
        <v>161</v>
      </c>
      <c r="C109" s="17"/>
      <c r="D109" s="17"/>
      <c r="E109" s="18"/>
      <c r="F109" s="19">
        <v>33.840000000000003</v>
      </c>
      <c r="G109" s="20">
        <v>2.9999999999986926E-2</v>
      </c>
      <c r="H109" s="21"/>
      <c r="L109" s="46"/>
      <c r="M109" s="46"/>
    </row>
    <row r="110" spans="2:13" ht="24" customHeight="1" x14ac:dyDescent="0.25">
      <c r="B110" s="17"/>
      <c r="C110" s="17"/>
      <c r="D110" s="17"/>
      <c r="E110" s="18"/>
      <c r="F110" s="19"/>
      <c r="G110" s="20"/>
      <c r="H110" s="21"/>
      <c r="L110" s="46"/>
      <c r="M110" s="46"/>
    </row>
    <row r="111" spans="2:13" ht="24" customHeight="1" x14ac:dyDescent="0.25">
      <c r="B111" s="34" t="s">
        <v>162</v>
      </c>
      <c r="C111" s="35"/>
      <c r="D111" s="35"/>
      <c r="E111" s="36"/>
      <c r="F111" s="30">
        <v>57015.15</v>
      </c>
      <c r="G111" s="31">
        <v>100</v>
      </c>
      <c r="H111" s="47"/>
      <c r="L111" s="46"/>
      <c r="M111" s="46"/>
    </row>
    <row r="112" spans="2:13" ht="24" customHeight="1" x14ac:dyDescent="0.25">
      <c r="B112" s="4"/>
      <c r="L112" s="46"/>
      <c r="M112" s="46"/>
    </row>
    <row r="113" spans="2:13" ht="24" customHeight="1" x14ac:dyDescent="0.25">
      <c r="B113" s="50" t="s">
        <v>163</v>
      </c>
      <c r="F113" s="51"/>
      <c r="G113" s="51"/>
      <c r="L113" s="46"/>
      <c r="M113" s="46"/>
    </row>
    <row r="114" spans="2:13" ht="24" customHeight="1" x14ac:dyDescent="0.25">
      <c r="B114" s="50" t="s">
        <v>164</v>
      </c>
      <c r="F114" s="51"/>
      <c r="G114" s="51"/>
    </row>
    <row r="115" spans="2:13" ht="24" customHeight="1" x14ac:dyDescent="0.25">
      <c r="L115" s="44"/>
    </row>
    <row r="120" spans="2:13" ht="24" customHeight="1" x14ac:dyDescent="0.25">
      <c r="B120" s="42" t="s">
        <v>165</v>
      </c>
    </row>
    <row r="121" spans="2:13" ht="24" customHeight="1" x14ac:dyDescent="0.25">
      <c r="B121" s="48" t="s">
        <v>166</v>
      </c>
    </row>
    <row r="122" spans="2:13" ht="24" customHeight="1" x14ac:dyDescent="0.25">
      <c r="B122" s="52" t="s">
        <v>167</v>
      </c>
      <c r="C122" s="53">
        <v>46022</v>
      </c>
      <c r="D122" s="54">
        <v>46052</v>
      </c>
    </row>
    <row r="123" spans="2:13" ht="24" customHeight="1" x14ac:dyDescent="0.25">
      <c r="B123" s="55" t="s">
        <v>168</v>
      </c>
      <c r="C123" s="56" t="s">
        <v>169</v>
      </c>
      <c r="D123" s="57" t="s">
        <v>169</v>
      </c>
      <c r="E123" s="4"/>
      <c r="F123" s="4"/>
      <c r="G123" s="4"/>
      <c r="H123" s="4"/>
    </row>
    <row r="124" spans="2:13" ht="24" customHeight="1" x14ac:dyDescent="0.25">
      <c r="B124" s="58" t="s">
        <v>170</v>
      </c>
      <c r="C124" s="59">
        <v>417.58</v>
      </c>
      <c r="D124" s="60">
        <v>402.09</v>
      </c>
      <c r="E124" s="4"/>
      <c r="F124" s="4"/>
      <c r="G124" s="4"/>
      <c r="H124" s="4"/>
    </row>
    <row r="125" spans="2:13" ht="24" customHeight="1" x14ac:dyDescent="0.25">
      <c r="B125" s="58" t="s">
        <v>171</v>
      </c>
      <c r="C125" s="59">
        <v>28.75</v>
      </c>
      <c r="D125" s="60">
        <v>27.68</v>
      </c>
      <c r="E125" s="4"/>
      <c r="F125" s="4"/>
      <c r="G125" s="4"/>
      <c r="H125" s="4"/>
    </row>
    <row r="126" spans="2:13" ht="24" customHeight="1" x14ac:dyDescent="0.25">
      <c r="B126" s="55" t="s">
        <v>172</v>
      </c>
      <c r="C126" s="56"/>
      <c r="D126" s="57"/>
      <c r="E126" s="4"/>
      <c r="F126" s="4"/>
      <c r="G126" s="4"/>
      <c r="H126" s="4"/>
    </row>
    <row r="127" spans="2:13" ht="24" customHeight="1" x14ac:dyDescent="0.25">
      <c r="B127" s="58" t="s">
        <v>170</v>
      </c>
      <c r="C127" s="59">
        <v>349.53</v>
      </c>
      <c r="D127" s="60">
        <v>336.14</v>
      </c>
      <c r="E127" s="4"/>
      <c r="F127" s="4"/>
      <c r="G127" s="4"/>
      <c r="H127" s="4"/>
    </row>
    <row r="128" spans="2:13" ht="24" customHeight="1" x14ac:dyDescent="0.25">
      <c r="B128" s="61" t="s">
        <v>171</v>
      </c>
      <c r="C128" s="62">
        <v>19.989999999999998</v>
      </c>
      <c r="D128" s="63">
        <v>19.23</v>
      </c>
      <c r="E128" s="4"/>
      <c r="F128" s="4"/>
      <c r="G128" s="4"/>
      <c r="H128" s="4"/>
    </row>
    <row r="129" spans="2:8" ht="24" customHeight="1" x14ac:dyDescent="0.25">
      <c r="C129" s="64"/>
      <c r="D129" s="64"/>
      <c r="E129" s="4"/>
      <c r="F129" s="4"/>
      <c r="G129" s="4"/>
      <c r="H129" s="4"/>
    </row>
    <row r="130" spans="2:8" ht="24" customHeight="1" x14ac:dyDescent="0.25">
      <c r="B130" s="48" t="s">
        <v>173</v>
      </c>
      <c r="D130" s="45" t="s">
        <v>144</v>
      </c>
    </row>
    <row r="132" spans="2:8" ht="24" customHeight="1" x14ac:dyDescent="0.25">
      <c r="B132" s="48" t="s">
        <v>174</v>
      </c>
      <c r="D132" s="45" t="s">
        <v>144</v>
      </c>
    </row>
    <row r="134" spans="2:8" ht="24" customHeight="1" x14ac:dyDescent="0.25">
      <c r="B134" s="48" t="s">
        <v>175</v>
      </c>
      <c r="D134" s="45" t="s">
        <v>144</v>
      </c>
    </row>
    <row r="136" spans="2:8" ht="24" customHeight="1" x14ac:dyDescent="0.25">
      <c r="B136" s="48" t="s">
        <v>176</v>
      </c>
      <c r="D136" s="45" t="s">
        <v>144</v>
      </c>
    </row>
    <row r="138" spans="2:8" ht="24" customHeight="1" x14ac:dyDescent="0.25">
      <c r="B138" s="48" t="s">
        <v>177</v>
      </c>
      <c r="D138" s="45">
        <v>0.23</v>
      </c>
    </row>
    <row r="140" spans="2:8" ht="24" customHeight="1" x14ac:dyDescent="0.25">
      <c r="B140" s="48" t="s">
        <v>178</v>
      </c>
      <c r="D140" s="45" t="s">
        <v>144</v>
      </c>
    </row>
    <row r="142" spans="2:8" ht="24" customHeight="1" x14ac:dyDescent="0.25">
      <c r="B142" s="48" t="s">
        <v>179</v>
      </c>
      <c r="D142" s="45" t="s">
        <v>144</v>
      </c>
    </row>
    <row r="143" spans="2:8" ht="24" customHeight="1" x14ac:dyDescent="0.25">
      <c r="B143" s="48" t="s">
        <v>180</v>
      </c>
      <c r="D143" s="45" t="s">
        <v>144</v>
      </c>
    </row>
    <row r="145" spans="2:4" ht="24" customHeight="1" x14ac:dyDescent="0.25">
      <c r="B145" s="65" t="s">
        <v>181</v>
      </c>
      <c r="D145" s="45" t="s">
        <v>144</v>
      </c>
    </row>
    <row r="147" spans="2:4" ht="24" customHeight="1" x14ac:dyDescent="0.25">
      <c r="B147" s="48" t="s">
        <v>182</v>
      </c>
      <c r="D147" s="45" t="s">
        <v>144</v>
      </c>
    </row>
    <row r="148" spans="2:4" ht="24" customHeight="1" x14ac:dyDescent="0.35">
      <c r="B148" s="48" t="s">
        <v>183</v>
      </c>
      <c r="C148" s="66" t="s">
        <v>184</v>
      </c>
    </row>
  </sheetData>
  <hyperlinks>
    <hyperlink ref="C148" r:id="rId1" location="performance" xr:uid="{A586F6E6-797E-4C76-A188-800CFD80948C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2026-02-09T06:28:08Z</dcterms:modified>
</cp:coreProperties>
</file>