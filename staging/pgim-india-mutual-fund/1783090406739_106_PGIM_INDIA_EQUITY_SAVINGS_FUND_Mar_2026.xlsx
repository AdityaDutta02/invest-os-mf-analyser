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2E5A97B7-024B-4E64-A7D7-57BD5E6FDF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ty Savings" sheetId="2" r:id="rId1"/>
  </sheets>
  <externalReferences>
    <externalReference r:id="rId2"/>
  </externalReferences>
  <definedNames>
    <definedName name="_xlnm._FilterDatabase" localSheetId="0" hidden="1">'Equity Savings'!$B$189:$C$195</definedName>
    <definedName name="Derivatives_Transactions" localSheetId="0">'Equity Savings'!#REF!</definedName>
    <definedName name="Derivatives_Transactions">[1]Arbitrage!#REF!</definedName>
    <definedName name="Hedging_Positions_through_Futures_AS_ON_MMMM_DD__YYYY___NIL" localSheetId="0">'Equity Savings'!$L$76:$M$91</definedName>
    <definedName name="JPM_Footer_disp" localSheetId="0">'Equity Savings'!$L$81:$M$91</definedName>
    <definedName name="JPM_Footer_disp12" localSheetId="0">'Equity Savings'!$L$76:$M$93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3" i="2" l="1"/>
  <c r="G127" i="2"/>
  <c r="G129" i="2" s="1"/>
  <c r="F127" i="2"/>
  <c r="F129" i="2" s="1"/>
  <c r="G113" i="2"/>
  <c r="G123" i="2" s="1"/>
  <c r="F113" i="2"/>
  <c r="F123" i="2" s="1"/>
  <c r="G77" i="2"/>
  <c r="G83" i="2" s="1"/>
  <c r="F77" i="2"/>
  <c r="F83" i="2" s="1"/>
</calcChain>
</file>

<file path=xl/sharedStrings.xml><?xml version="1.0" encoding="utf-8"?>
<sst xmlns="http://schemas.openxmlformats.org/spreadsheetml/2006/main" count="381" uniqueCount="243">
  <si>
    <t>PGIM INDIA EQUITY SAVINGS FUND</t>
  </si>
  <si>
    <t>(An Open Ended Scheme Investing In Equity, Arbitrage And Debt)</t>
  </si>
  <si>
    <t>Riskometer of the Scheme</t>
  </si>
  <si>
    <t xml:space="preserve">Riskometer of the Benchmark (NIFTY Equity Savings Index) </t>
  </si>
  <si>
    <t>The risk of the scheme is moderate risk</t>
  </si>
  <si>
    <t>Benchmark riskometer is at moderate risk</t>
  </si>
  <si>
    <t>Portfolio Statement as on March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</si>
  <si>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</si>
  <si>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</si>
  <si>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</si>
  <si>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</si>
  <si>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</si>
  <si>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</si>
  <si>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</si>
  <si>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</si>
  <si>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</si>
  <si>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Tata Steel Ltd.</t>
  </si>
  <si>
    <t>INE081A01020</t>
  </si>
  <si>
    <t>Ferrous Metals</t>
  </si>
  <si>
    <t>Reliance Industries Ltd.</t>
  </si>
  <si>
    <t>INE002A01018</t>
  </si>
  <si>
    <t>Petroleum Products</t>
  </si>
  <si>
    <t>HDFC Bank Ltd.</t>
  </si>
  <si>
    <t>INE040A01034</t>
  </si>
  <si>
    <t>Banks</t>
  </si>
  <si>
    <t>Bajaj Finance Ltd.</t>
  </si>
  <si>
    <t>INE296A01032</t>
  </si>
  <si>
    <t>Finance</t>
  </si>
  <si>
    <t>IndiGrid Infrastructure Trust</t>
  </si>
  <si>
    <t>INE219X23014</t>
  </si>
  <si>
    <t>Power</t>
  </si>
  <si>
    <t>Brookfield India Real Estate Trust</t>
  </si>
  <si>
    <t>INE0FDU25010</t>
  </si>
  <si>
    <t>Realty</t>
  </si>
  <si>
    <t>Titan Company Ltd.</t>
  </si>
  <si>
    <t>INE280A01028</t>
  </si>
  <si>
    <t>Consumer Durables</t>
  </si>
  <si>
    <t>Adani Ports &amp; Special Economic Zone Ltd.</t>
  </si>
  <si>
    <t>INE742F01042</t>
  </si>
  <si>
    <t>Transport Infrastructure</t>
  </si>
  <si>
    <t>NMDC Ltd.</t>
  </si>
  <si>
    <t>INE584A01023</t>
  </si>
  <si>
    <t>Minerals &amp; Mining</t>
  </si>
  <si>
    <t>ICICI Bank Ltd.</t>
  </si>
  <si>
    <t>INE090A01021</t>
  </si>
  <si>
    <t>Ambuja Cements Ltd.</t>
  </si>
  <si>
    <t>INE079A01024</t>
  </si>
  <si>
    <t>Cement &amp; Cement Products</t>
  </si>
  <si>
    <t>Kotak Mahindra Bank Ltd.</t>
  </si>
  <si>
    <t>INE237A01036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</si>
  <si>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</si>
  <si>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</si>
  <si>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</si>
  <si>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</si>
  <si>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</si>
  <si>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</si>
  <si>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State Bank of India</t>
  </si>
  <si>
    <t>INE062A01020</t>
  </si>
  <si>
    <t>Cipla Ltd.</t>
  </si>
  <si>
    <t>INE059A01026</t>
  </si>
  <si>
    <t>Pharmaceuticals &amp; Biotechnology</t>
  </si>
  <si>
    <t>Infosys Ltd.</t>
  </si>
  <si>
    <t>INE009A01021</t>
  </si>
  <si>
    <t>IT - Software</t>
  </si>
  <si>
    <t>Hindustan Unilever Ltd.</t>
  </si>
  <si>
    <t>INE030A01027</t>
  </si>
  <si>
    <t>Diversified FMCG</t>
  </si>
  <si>
    <t>Mahindra &amp; Mahindra Ltd.</t>
  </si>
  <si>
    <t>INE101A01026</t>
  </si>
  <si>
    <t>Automobiles</t>
  </si>
  <si>
    <t>Tata Consultancy Services Ltd.</t>
  </si>
  <si>
    <t>INE467B01029</t>
  </si>
  <si>
    <t>Axis Bank Ltd.</t>
  </si>
  <si>
    <t>INE238A01034</t>
  </si>
  <si>
    <t>Max Healthcare Institute Ltd.</t>
  </si>
  <si>
    <t>INE027H01010</t>
  </si>
  <si>
    <t>Healthcare Services</t>
  </si>
  <si>
    <t>TVS Motor Company Ltd.</t>
  </si>
  <si>
    <t>INE494B01023</t>
  </si>
  <si>
    <t>Sun Pharmaceutical Industries Ltd.</t>
  </si>
  <si>
    <t>INE044A01036</t>
  </si>
  <si>
    <t>Maruti Suzuki India Ltd.</t>
  </si>
  <si>
    <t>INE585B01010</t>
  </si>
  <si>
    <t>JB Chemicals &amp; Pharmaceuticals Ltd.</t>
  </si>
  <si>
    <t>INE572A01036</t>
  </si>
  <si>
    <t>NTPC Ltd.</t>
  </si>
  <si>
    <t>INE733E01010</t>
  </si>
  <si>
    <t>Eternal Ltd.</t>
  </si>
  <si>
    <t>INE758T01015</t>
  </si>
  <si>
    <t>Retailing</t>
  </si>
  <si>
    <t>United Spirits Ltd.</t>
  </si>
  <si>
    <t>INE854D01024</t>
  </si>
  <si>
    <t>Beverages</t>
  </si>
  <si>
    <t>Indus Infra Trust</t>
  </si>
  <si>
    <t>INE0NHL23019</t>
  </si>
  <si>
    <t>Ultratech Cement Ltd.</t>
  </si>
  <si>
    <t>INE481G01011</t>
  </si>
  <si>
    <t>VARUN BEVERAGES LIMITED</t>
  </si>
  <si>
    <t>INE200M01039</t>
  </si>
  <si>
    <t>Bharat Electronics Ltd.</t>
  </si>
  <si>
    <t>INE263A01024</t>
  </si>
  <si>
    <t>Aerospace &amp; Defense</t>
  </si>
  <si>
    <t>Nestle India Ltd.</t>
  </si>
  <si>
    <t>INE239A01024</t>
  </si>
  <si>
    <t>Food Products</t>
  </si>
  <si>
    <t>SRF Ltd.</t>
  </si>
  <si>
    <t>INE647A01010</t>
  </si>
  <si>
    <t>Chemicals &amp; Petrochemicals</t>
  </si>
  <si>
    <t>Shriram Finance Ltd.</t>
  </si>
  <si>
    <t>INE721A01047</t>
  </si>
  <si>
    <t>ITC Ltd.</t>
  </si>
  <si>
    <t>INE154A01025</t>
  </si>
  <si>
    <t>Dixon Technologies (India) Ltd.</t>
  </si>
  <si>
    <t>INE935N01020</t>
  </si>
  <si>
    <t>Eicher Motors Ltd.</t>
  </si>
  <si>
    <t>INE066A01021</t>
  </si>
  <si>
    <t>Asian Paints Ltd.</t>
  </si>
  <si>
    <t>INE021A01026</t>
  </si>
  <si>
    <t>ICICI Lombard General Insurance Co. Ltd.</t>
  </si>
  <si>
    <t>INE765G01017</t>
  </si>
  <si>
    <t>Insurance</t>
  </si>
  <si>
    <t>The Indian Hotels Company Ltd.</t>
  </si>
  <si>
    <t>INE053A01029</t>
  </si>
  <si>
    <t>Leisure Services</t>
  </si>
  <si>
    <t>ICICI Prudential Asset Mgmt Co Ltd.</t>
  </si>
  <si>
    <t>INE346A01027</t>
  </si>
  <si>
    <t>Capital Markets</t>
  </si>
  <si>
    <t>Samvardhana Motherson International Ltd.</t>
  </si>
  <si>
    <t>INE775A01035</t>
  </si>
  <si>
    <t>Auto Components</t>
  </si>
  <si>
    <t>Britannia Industries Ltd.</t>
  </si>
  <si>
    <t>INE216A01030</t>
  </si>
  <si>
    <t>Mankind Pharma Ltd.</t>
  </si>
  <si>
    <t>INE634S01028</t>
  </si>
  <si>
    <t>Tech Mahindra Ltd.</t>
  </si>
  <si>
    <t>INE669C01036</t>
  </si>
  <si>
    <t>Persistent Systems Ltd.</t>
  </si>
  <si>
    <t>INE262H01021</t>
  </si>
  <si>
    <t>Power Grid Corporation of India Ltd.</t>
  </si>
  <si>
    <t>INE752E01010</t>
  </si>
  <si>
    <t>Divi's Laboratories Ltd.</t>
  </si>
  <si>
    <t>INE361B01024</t>
  </si>
  <si>
    <t>JSW Steel Ltd.</t>
  </si>
  <si>
    <t>INE019A01038</t>
  </si>
  <si>
    <t>Muthoot Finance Ltd.</t>
  </si>
  <si>
    <t>INE414G01012</t>
  </si>
  <si>
    <t>SBI Life Insurance Company Ltd.</t>
  </si>
  <si>
    <t>INE123W01016</t>
  </si>
  <si>
    <t>HDFC Life Insurance Company Ltd.</t>
  </si>
  <si>
    <t>INE795G01014</t>
  </si>
  <si>
    <t>LG Electronics India Ltd.</t>
  </si>
  <si>
    <t>INE324D01010</t>
  </si>
  <si>
    <t>Cummins India Ltd.</t>
  </si>
  <si>
    <t>INE298A01020</t>
  </si>
  <si>
    <t>Industrial Products</t>
  </si>
  <si>
    <t>Hindalco Industries Ltd.</t>
  </si>
  <si>
    <t>INE038A01020</t>
  </si>
  <si>
    <t>Non - Ferrous Metals</t>
  </si>
  <si>
    <t>Solar Industries India Ltd.</t>
  </si>
  <si>
    <t>INE343H01029</t>
  </si>
  <si>
    <t>InterGlobe Aviation Ltd.</t>
  </si>
  <si>
    <t>INE646L01027</t>
  </si>
  <si>
    <t>Transport Services</t>
  </si>
  <si>
    <t>Exide Industries Ltd.</t>
  </si>
  <si>
    <t>INE302A01020</t>
  </si>
  <si>
    <t>Dr. Reddy's Laboratories Ltd.</t>
  </si>
  <si>
    <t>INE089A01031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</si>
  <si>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</si>
  <si>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</si>
  <si>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</si>
  <si>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</si>
  <si>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</si>
  <si>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</si>
  <si>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</si>
  <si>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7.1% Government of India</t>
  </si>
  <si>
    <t>IN0020240019</t>
  </si>
  <si>
    <t>SOVEREIGN</t>
  </si>
  <si>
    <t>7.18% Government of India</t>
  </si>
  <si>
    <t>IN0020230085</t>
  </si>
  <si>
    <t>8.87% Export Import Bank of India **</t>
  </si>
  <si>
    <t>INE514E08ED5</t>
  </si>
  <si>
    <t>CRISIL AAA</t>
  </si>
  <si>
    <t>8.28% Government of India</t>
  </si>
  <si>
    <t>IN0020070069</t>
  </si>
  <si>
    <t>7.98% Bajaj Housing Finance Ltd. **</t>
  </si>
  <si>
    <t>INE377Y07490</t>
  </si>
  <si>
    <t>6.54% Government of India</t>
  </si>
  <si>
    <t>IN0020210244</t>
  </si>
  <si>
    <t>(b)Privately Placed/Unlisted</t>
  </si>
  <si>
    <t>(c)Securitised Debt Instruments</t>
  </si>
  <si>
    <t>Preference Shares - (Listed / Awaiting listing on Stock Exchanges)</t>
  </si>
  <si>
    <t>INE494B04019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</si>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</sst>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/>
    <xf numFmtId="0" fontId="2" fillId="0" borderId="0" xfId="3" applyFont="1" applyAlignment="1">
      <alignment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2" applyNumberFormat="1" applyFont="1" applyFill="1" applyBorder="1" applyAlignment="1">
      <alignment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2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vertical="top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2" xfId="0" applyNumberFormat="1" applyFont="1" applyBorder="1" applyAlignment="1">
      <alignment horizontal="right" vertical="center"/>
    </xf>
    <xf numFmtId="43" fontId="2" fillId="0" borderId="9" xfId="2" applyNumberFormat="1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8" fillId="5" borderId="10" xfId="0" applyFont="1" applyFill="1" applyBorder="1" applyAlignment="1">
      <alignment horizontal="left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1" fontId="10" fillId="7" borderId="7" xfId="1" applyNumberFormat="1" applyFont="1" applyFill="1" applyBorder="1" applyAlignment="1">
      <alignment horizontal="center" vertical="center"/>
    </xf>
    <xf numFmtId="2" fontId="10" fillId="7" borderId="2" xfId="1" applyNumberFormat="1" applyFont="1" applyFill="1" applyBorder="1" applyAlignment="1">
      <alignment horizontal="center" vertical="center"/>
    </xf>
    <xf numFmtId="1" fontId="10" fillId="7" borderId="2" xfId="1" applyNumberFormat="1" applyFont="1" applyFill="1" applyBorder="1" applyAlignment="1">
      <alignment horizontal="center" vertical="center"/>
    </xf>
    <xf numFmtId="2" fontId="10" fillId="7" borderId="7" xfId="1" applyNumberFormat="1" applyFont="1" applyFill="1" applyBorder="1" applyAlignment="1">
      <alignment horizontal="center" vertical="center"/>
    </xf>
    <xf numFmtId="2" fontId="10" fillId="7" borderId="8" xfId="1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center"/>
    </xf>
    <xf numFmtId="2" fontId="3" fillId="0" borderId="9" xfId="1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6" borderId="7" xfId="0" applyFont="1" applyFill="1" applyBorder="1" applyAlignment="1">
      <alignment vertical="center"/>
    </xf>
    <xf numFmtId="0" fontId="6" fillId="5" borderId="12" xfId="0" applyFont="1" applyFill="1" applyBorder="1" applyAlignment="1">
      <alignment horizontal="center" vertical="center"/>
    </xf>
    <xf numFmtId="168" fontId="3" fillId="4" borderId="8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" fontId="6" fillId="5" borderId="3" xfId="0" applyNumberFormat="1" applyFont="1" applyFill="1" applyBorder="1" applyAlignment="1">
      <alignment horizontal="left" vertical="center" wrapText="1"/>
    </xf>
    <xf numFmtId="4" fontId="6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4" fontId="3" fillId="0" borderId="3" xfId="0" applyNumberFormat="1" applyFont="1" applyBorder="1" applyAlignment="1">
      <alignment horizontal="left" vertical="center"/>
    </xf>
    <xf numFmtId="4" fontId="3" fillId="0" borderId="3" xfId="0" applyNumberFormat="1" applyFont="1" applyBorder="1" applyAlignment="1">
      <alignment vertical="center"/>
    </xf>
    <xf numFmtId="169" fontId="2" fillId="0" borderId="0" xfId="0" applyNumberFormat="1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A8A34CB9-F9CD-42FF-8A17-0CCF802BF463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3</xdr:row>
      <xdr:rowOff>28575</xdr:rowOff>
    </xdr:from>
    <xdr:to>
      <xdr:col>6</xdr:col>
      <xdr:colOff>800823</xdr:colOff>
      <xdr:row>8</xdr:row>
      <xdr:rowOff>124575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F0E7F-0614-4624-B528-4A8BC6976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942975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806649-289C-4039-84B8-5CDD0151B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40CF-538E-4323-8640-1C29421EB8BC}">
  <sheetPr>
    <tabColor rgb="FFC00000"/>
  </sheetPr>
  <dimension ref="B1:M223"/>
  <sheetViews>
    <sheetView showGridLines="0" tabSelected="1" workbookViewId="0">
      <selection activeCell="B10" sqref="B10"/>
    </sheetView>
  </sheetViews>
  <sheetFormatPr defaultColWidth="9.140625" defaultRowHeight="24" customHeight="1" x14ac:dyDescent="0.2"/>
  <cols>
    <col min="1" max="1" width="3.5703125" style="4" customWidth="1"/>
    <col min="2" max="2" width="50.42578125" style="6" customWidth="1"/>
    <col min="3" max="3" width="15.7109375" style="6" customWidth="1"/>
    <col min="4" max="4" width="26.5703125" style="6" customWidth="1"/>
    <col min="5" max="5" width="15.28515625" style="2" customWidth="1"/>
    <col min="6" max="6" width="16.42578125" style="2" customWidth="1"/>
    <col min="7" max="7" width="15.28515625" style="52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">
      <c r="B10" s="1"/>
      <c r="C10" s="1"/>
      <c r="D10" s="1"/>
      <c r="E10" s="1"/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7"/>
      <c r="F11" s="4"/>
      <c r="G11" s="4"/>
      <c r="H11" s="4"/>
    </row>
    <row r="12" spans="2:8" ht="24" customHeight="1" thickBot="1" x14ac:dyDescent="0.25">
      <c r="B12" s="8" t="s">
        <v>7</v>
      </c>
      <c r="C12" s="8" t="s">
        <v>8</v>
      </c>
      <c r="D12" s="8" t="s">
        <v>9</v>
      </c>
      <c r="E12" s="9" t="s">
        <v>10</v>
      </c>
      <c r="F12" s="10" t="s">
        <v>11</v>
      </c>
      <c r="G12" s="11" t="s">
        <v>12</v>
      </c>
      <c r="H12" s="11" t="s">
        <v>13</v>
      </c>
    </row>
    <row r="13" spans="2:8" ht="24" customHeight="1" x14ac:dyDescent="0.2">
      <c r="B13" s="12" t="s">
        <v>14</v>
      </c>
      <c r="C13" s="13"/>
      <c r="D13" s="13"/>
      <c r="E13" s="14"/>
      <c r="F13" s="15"/>
      <c r="G13" s="16"/>
      <c r="H13" s="17"/>
    </row>
    <row r="14" spans="2:8" ht="24" customHeight="1" x14ac:dyDescent="0.2">
      <c r="B14" s="18"/>
      <c r="C14" s="18"/>
      <c r="D14" s="18"/>
      <c r="E14" s="19"/>
      <c r="F14" s="20"/>
      <c r="G14" s="21"/>
      <c r="H14" s="22"/>
    </row>
    <row r="15" spans="2:8" ht="24" customHeight="1" x14ac:dyDescent="0.2">
      <c r="B15" s="23" t="s">
        <v>15</v>
      </c>
      <c r="C15" s="24"/>
      <c r="D15" s="24"/>
      <c r="E15" s="25"/>
      <c r="F15" s="26"/>
      <c r="G15" s="27"/>
      <c r="H15" s="28"/>
    </row>
    <row r="16" spans="2:8" ht="24" customHeight="1" x14ac:dyDescent="0.2">
      <c r="B16" s="18" t="s">
        <v>16</v>
      </c>
      <c r="C16" s="18" t="s">
        <v>17</v>
      </c>
      <c r="D16" s="18" t="s">
        <v>18</v>
      </c>
      <c r="E16" s="19">
        <v>288529</v>
      </c>
      <c r="F16" s="20">
        <v>553.57000000000005</v>
      </c>
      <c r="G16" s="21">
        <v>8.89</v>
      </c>
      <c r="H16" s="22"/>
    </row>
    <row r="17" spans="2:8" ht="24" customHeight="1" x14ac:dyDescent="0.2">
      <c r="B17" s="18" t="s">
        <v>19</v>
      </c>
      <c r="C17" s="18" t="s">
        <v>20</v>
      </c>
      <c r="D17" s="18" t="s">
        <v>21</v>
      </c>
      <c r="E17" s="19">
        <v>35545</v>
      </c>
      <c r="F17" s="20">
        <v>477.69</v>
      </c>
      <c r="G17" s="21">
        <v>7.67</v>
      </c>
      <c r="H17" s="22"/>
    </row>
    <row r="18" spans="2:8" ht="24" customHeight="1" x14ac:dyDescent="0.2">
      <c r="B18" s="18" t="s">
        <v>22</v>
      </c>
      <c r="C18" s="18" t="s">
        <v>23</v>
      </c>
      <c r="D18" s="18" t="s">
        <v>24</v>
      </c>
      <c r="E18" s="19">
        <v>61761</v>
      </c>
      <c r="F18" s="20">
        <v>451.81</v>
      </c>
      <c r="G18" s="21">
        <v>7.26</v>
      </c>
      <c r="H18" s="22"/>
    </row>
    <row r="19" spans="2:8" ht="24" customHeight="1" x14ac:dyDescent="0.2">
      <c r="B19" s="18" t="s">
        <v>25</v>
      </c>
      <c r="C19" s="18" t="s">
        <v>26</v>
      </c>
      <c r="D19" s="18" t="s">
        <v>27</v>
      </c>
      <c r="E19" s="19">
        <v>49511</v>
      </c>
      <c r="F19" s="20">
        <v>396.86</v>
      </c>
      <c r="G19" s="21">
        <v>6.37</v>
      </c>
      <c r="H19" s="22"/>
    </row>
    <row r="20" spans="2:8" ht="24" customHeight="1" x14ac:dyDescent="0.2">
      <c r="B20" s="18" t="s">
        <v>28</v>
      </c>
      <c r="C20" s="18" t="s">
        <v>29</v>
      </c>
      <c r="D20" s="18" t="s">
        <v>30</v>
      </c>
      <c r="E20" s="19">
        <v>190981</v>
      </c>
      <c r="F20" s="20">
        <v>315.95999999999998</v>
      </c>
      <c r="G20" s="21">
        <v>5.07</v>
      </c>
      <c r="H20" s="22"/>
    </row>
    <row r="21" spans="2:8" ht="24" customHeight="1" x14ac:dyDescent="0.2">
      <c r="B21" s="18" t="s">
        <v>31</v>
      </c>
      <c r="C21" s="18" t="s">
        <v>32</v>
      </c>
      <c r="D21" s="18" t="s">
        <v>33</v>
      </c>
      <c r="E21" s="19">
        <v>88952</v>
      </c>
      <c r="F21" s="20">
        <v>287.93</v>
      </c>
      <c r="G21" s="21">
        <v>4.62</v>
      </c>
      <c r="H21" s="22"/>
    </row>
    <row r="22" spans="2:8" ht="24" customHeight="1" x14ac:dyDescent="0.2">
      <c r="B22" s="18" t="s">
        <v>34</v>
      </c>
      <c r="C22" s="18" t="s">
        <v>35</v>
      </c>
      <c r="D22" s="18" t="s">
        <v>36</v>
      </c>
      <c r="E22" s="19">
        <v>7198</v>
      </c>
      <c r="F22" s="20">
        <v>284.42</v>
      </c>
      <c r="G22" s="21">
        <v>4.57</v>
      </c>
      <c r="H22" s="22"/>
    </row>
    <row r="23" spans="2:8" ht="24" customHeight="1" x14ac:dyDescent="0.2">
      <c r="B23" s="18" t="s">
        <v>37</v>
      </c>
      <c r="C23" s="18" t="s">
        <v>38</v>
      </c>
      <c r="D23" s="18" t="s">
        <v>39</v>
      </c>
      <c r="E23" s="19">
        <v>19950</v>
      </c>
      <c r="F23" s="20">
        <v>261.86</v>
      </c>
      <c r="G23" s="21">
        <v>4.2</v>
      </c>
      <c r="H23" s="22"/>
    </row>
    <row r="24" spans="2:8" ht="24" customHeight="1" x14ac:dyDescent="0.2">
      <c r="B24" s="18" t="s">
        <v>40</v>
      </c>
      <c r="C24" s="18" t="s">
        <v>41</v>
      </c>
      <c r="D24" s="18" t="s">
        <v>42</v>
      </c>
      <c r="E24" s="19">
        <v>324000</v>
      </c>
      <c r="F24" s="20">
        <v>247.11</v>
      </c>
      <c r="G24" s="21">
        <v>3.97</v>
      </c>
      <c r="H24" s="22"/>
    </row>
    <row r="25" spans="2:8" ht="24" customHeight="1" x14ac:dyDescent="0.2">
      <c r="B25" s="18" t="s">
        <v>43</v>
      </c>
      <c r="C25" s="18" t="s">
        <v>44</v>
      </c>
      <c r="D25" s="18" t="s">
        <v>24</v>
      </c>
      <c r="E25" s="19">
        <v>15751</v>
      </c>
      <c r="F25" s="20">
        <v>189.94</v>
      </c>
      <c r="G25" s="21">
        <v>3.05</v>
      </c>
      <c r="H25" s="22"/>
    </row>
    <row r="26" spans="2:8" ht="24" customHeight="1" x14ac:dyDescent="0.2">
      <c r="B26" s="18" t="s">
        <v>45</v>
      </c>
      <c r="C26" s="18" t="s">
        <v>46</v>
      </c>
      <c r="D26" s="18" t="s">
        <v>47</v>
      </c>
      <c r="E26" s="19">
        <v>38850</v>
      </c>
      <c r="F26" s="20">
        <v>155.88999999999999</v>
      </c>
      <c r="G26" s="21">
        <v>2.5</v>
      </c>
      <c r="H26" s="22"/>
    </row>
    <row r="27" spans="2:8" ht="24" customHeight="1" x14ac:dyDescent="0.2">
      <c r="B27" s="18" t="s">
        <v>48</v>
      </c>
      <c r="C27" s="18" t="s">
        <v>49</v>
      </c>
      <c r="D27" s="18" t="s">
        <v>24</v>
      </c>
      <c r="E27" s="19">
        <v>42768</v>
      </c>
      <c r="F27" s="20">
        <v>151.13999999999999</v>
      </c>
      <c r="G27" s="21">
        <v>2.4300000000000002</v>
      </c>
      <c r="H27" s="22"/>
    </row>
    <row r="28" spans="2:8" ht="24" customHeight="1" x14ac:dyDescent="0.2">
      <c r="B28" s="18" t="s">
        <v>50</v>
      </c>
      <c r="C28" s="18" t="s">
        <v>51</v>
      </c>
      <c r="D28" s="18" t="s">
        <v>52</v>
      </c>
      <c r="E28" s="19">
        <v>2272</v>
      </c>
      <c r="F28" s="20">
        <v>79.61</v>
      </c>
      <c r="G28" s="21">
        <v>1.28</v>
      </c>
      <c r="H28" s="22"/>
    </row>
    <row r="29" spans="2:8" ht="24" customHeight="1" x14ac:dyDescent="0.2">
      <c r="B29" s="18" t="s">
        <v>53</v>
      </c>
      <c r="C29" s="18" t="s">
        <v>54</v>
      </c>
      <c r="D29" s="18" t="s">
        <v>55</v>
      </c>
      <c r="E29" s="19">
        <v>2940</v>
      </c>
      <c r="F29" s="20">
        <v>52.4</v>
      </c>
      <c r="G29" s="21">
        <v>0.84</v>
      </c>
      <c r="H29" s="22"/>
    </row>
    <row r="30" spans="2:8" ht="24" customHeight="1" x14ac:dyDescent="0.2">
      <c r="B30" s="18" t="s">
        <v>56</v>
      </c>
      <c r="C30" s="18" t="s">
        <v>57</v>
      </c>
      <c r="D30" s="18" t="s">
        <v>24</v>
      </c>
      <c r="E30" s="19">
        <v>5062</v>
      </c>
      <c r="F30" s="20">
        <v>49.58</v>
      </c>
      <c r="G30" s="21">
        <v>0.8</v>
      </c>
      <c r="H30" s="22"/>
    </row>
    <row r="31" spans="2:8" ht="24" customHeight="1" x14ac:dyDescent="0.2">
      <c r="B31" s="18" t="s">
        <v>58</v>
      </c>
      <c r="C31" s="18" t="s">
        <v>59</v>
      </c>
      <c r="D31" s="18" t="s">
        <v>60</v>
      </c>
      <c r="E31" s="19">
        <v>3992</v>
      </c>
      <c r="F31" s="20">
        <v>48.87</v>
      </c>
      <c r="G31" s="21">
        <v>0.78</v>
      </c>
      <c r="H31" s="22"/>
    </row>
    <row r="32" spans="2:8" ht="24" customHeight="1" x14ac:dyDescent="0.2">
      <c r="B32" s="18" t="s">
        <v>61</v>
      </c>
      <c r="C32" s="18" t="s">
        <v>62</v>
      </c>
      <c r="D32" s="18" t="s">
        <v>63</v>
      </c>
      <c r="E32" s="19">
        <v>3618</v>
      </c>
      <c r="F32" s="20">
        <v>45.25</v>
      </c>
      <c r="G32" s="21">
        <v>0.73</v>
      </c>
      <c r="H32" s="22"/>
    </row>
    <row r="33" spans="2:8" ht="24" customHeight="1" x14ac:dyDescent="0.2">
      <c r="B33" s="18" t="s">
        <v>64</v>
      </c>
      <c r="C33" s="18" t="s">
        <v>65</v>
      </c>
      <c r="D33" s="18" t="s">
        <v>66</v>
      </c>
      <c r="E33" s="19">
        <v>1800</v>
      </c>
      <c r="F33" s="20">
        <v>36.99</v>
      </c>
      <c r="G33" s="21">
        <v>0.59</v>
      </c>
      <c r="H33" s="22"/>
    </row>
    <row r="34" spans="2:8" ht="24" customHeight="1" x14ac:dyDescent="0.2">
      <c r="B34" s="18" t="s">
        <v>67</v>
      </c>
      <c r="C34" s="18" t="s">
        <v>68</v>
      </c>
      <c r="D34" s="18" t="s">
        <v>69</v>
      </c>
      <c r="E34" s="19">
        <v>1018</v>
      </c>
      <c r="F34" s="20">
        <v>30.08</v>
      </c>
      <c r="G34" s="21">
        <v>0.48</v>
      </c>
      <c r="H34" s="22"/>
    </row>
    <row r="35" spans="2:8" ht="24" customHeight="1" x14ac:dyDescent="0.2">
      <c r="B35" s="18" t="s">
        <v>70</v>
      </c>
      <c r="C35" s="18" t="s">
        <v>71</v>
      </c>
      <c r="D35" s="18" t="s">
        <v>63</v>
      </c>
      <c r="E35" s="19">
        <v>1156</v>
      </c>
      <c r="F35" s="20">
        <v>27.27</v>
      </c>
      <c r="G35" s="21">
        <v>0.44</v>
      </c>
      <c r="H35" s="22"/>
    </row>
    <row r="36" spans="2:8" ht="24" customHeight="1" x14ac:dyDescent="0.2">
      <c r="B36" s="18" t="s">
        <v>72</v>
      </c>
      <c r="C36" s="18" t="s">
        <v>73</v>
      </c>
      <c r="D36" s="18" t="s">
        <v>24</v>
      </c>
      <c r="E36" s="19">
        <v>2067</v>
      </c>
      <c r="F36" s="20">
        <v>24</v>
      </c>
      <c r="G36" s="21">
        <v>0.39</v>
      </c>
      <c r="H36" s="22"/>
    </row>
    <row r="37" spans="2:8" ht="24" customHeight="1" x14ac:dyDescent="0.2">
      <c r="B37" s="18" t="s">
        <v>74</v>
      </c>
      <c r="C37" s="18" t="s">
        <v>75</v>
      </c>
      <c r="D37" s="18" t="s">
        <v>76</v>
      </c>
      <c r="E37" s="19">
        <v>2422</v>
      </c>
      <c r="F37" s="20">
        <v>23.31</v>
      </c>
      <c r="G37" s="21">
        <v>0.37</v>
      </c>
      <c r="H37" s="22"/>
    </row>
    <row r="38" spans="2:8" ht="24" customHeight="1" x14ac:dyDescent="0.2">
      <c r="B38" s="18" t="s">
        <v>77</v>
      </c>
      <c r="C38" s="18" t="s">
        <v>78</v>
      </c>
      <c r="D38" s="18" t="s">
        <v>69</v>
      </c>
      <c r="E38" s="19">
        <v>688</v>
      </c>
      <c r="F38" s="20">
        <v>23.14</v>
      </c>
      <c r="G38" s="21">
        <v>0.37</v>
      </c>
      <c r="H38" s="22"/>
    </row>
    <row r="39" spans="2:8" ht="24" customHeight="1" x14ac:dyDescent="0.2">
      <c r="B39" s="18" t="s">
        <v>79</v>
      </c>
      <c r="C39" s="18" t="s">
        <v>80</v>
      </c>
      <c r="D39" s="18" t="s">
        <v>60</v>
      </c>
      <c r="E39" s="19">
        <v>1259</v>
      </c>
      <c r="F39" s="20">
        <v>22.12</v>
      </c>
      <c r="G39" s="21">
        <v>0.36</v>
      </c>
      <c r="H39" s="22"/>
    </row>
    <row r="40" spans="2:8" ht="24" customHeight="1" x14ac:dyDescent="0.2">
      <c r="B40" s="18" t="s">
        <v>81</v>
      </c>
      <c r="C40" s="18" t="s">
        <v>82</v>
      </c>
      <c r="D40" s="18" t="s">
        <v>69</v>
      </c>
      <c r="E40" s="19">
        <v>176</v>
      </c>
      <c r="F40" s="20">
        <v>21.66</v>
      </c>
      <c r="G40" s="21">
        <v>0.35</v>
      </c>
      <c r="H40" s="22"/>
    </row>
    <row r="41" spans="2:8" ht="24" customHeight="1" x14ac:dyDescent="0.2">
      <c r="B41" s="18" t="s">
        <v>83</v>
      </c>
      <c r="C41" s="18" t="s">
        <v>84</v>
      </c>
      <c r="D41" s="18" t="s">
        <v>60</v>
      </c>
      <c r="E41" s="19">
        <v>982</v>
      </c>
      <c r="F41" s="20">
        <v>20.27</v>
      </c>
      <c r="G41" s="21">
        <v>0.33</v>
      </c>
      <c r="H41" s="22"/>
    </row>
    <row r="42" spans="2:8" ht="24" customHeight="1" x14ac:dyDescent="0.2">
      <c r="B42" s="18" t="s">
        <v>85</v>
      </c>
      <c r="C42" s="18" t="s">
        <v>86</v>
      </c>
      <c r="D42" s="18" t="s">
        <v>30</v>
      </c>
      <c r="E42" s="19">
        <v>5362</v>
      </c>
      <c r="F42" s="20">
        <v>19.87</v>
      </c>
      <c r="G42" s="21">
        <v>0.32</v>
      </c>
      <c r="H42" s="22"/>
    </row>
    <row r="43" spans="2:8" ht="24" customHeight="1" x14ac:dyDescent="0.2">
      <c r="B43" s="18" t="s">
        <v>87</v>
      </c>
      <c r="C43" s="18" t="s">
        <v>88</v>
      </c>
      <c r="D43" s="18" t="s">
        <v>89</v>
      </c>
      <c r="E43" s="19">
        <v>8254</v>
      </c>
      <c r="F43" s="20">
        <v>18.899999999999999</v>
      </c>
      <c r="G43" s="21">
        <v>0.3</v>
      </c>
      <c r="H43" s="22"/>
    </row>
    <row r="44" spans="2:8" ht="24" customHeight="1" x14ac:dyDescent="0.2">
      <c r="B44" s="18" t="s">
        <v>90</v>
      </c>
      <c r="C44" s="18" t="s">
        <v>91</v>
      </c>
      <c r="D44" s="18" t="s">
        <v>92</v>
      </c>
      <c r="E44" s="19">
        <v>1514</v>
      </c>
      <c r="F44" s="20">
        <v>18.45</v>
      </c>
      <c r="G44" s="21">
        <v>0.3</v>
      </c>
      <c r="H44" s="22"/>
    </row>
    <row r="45" spans="2:8" ht="24" customHeight="1" x14ac:dyDescent="0.2">
      <c r="B45" s="18" t="s">
        <v>93</v>
      </c>
      <c r="C45" s="18" t="s">
        <v>94</v>
      </c>
      <c r="D45" s="18" t="s">
        <v>39</v>
      </c>
      <c r="E45" s="19">
        <v>13998</v>
      </c>
      <c r="F45" s="20">
        <v>17.28</v>
      </c>
      <c r="G45" s="21">
        <v>0.28000000000000003</v>
      </c>
      <c r="H45" s="22"/>
    </row>
    <row r="46" spans="2:8" ht="24" customHeight="1" x14ac:dyDescent="0.2">
      <c r="B46" s="18" t="s">
        <v>95</v>
      </c>
      <c r="C46" s="18" t="s">
        <v>96</v>
      </c>
      <c r="D46" s="18" t="s">
        <v>47</v>
      </c>
      <c r="E46" s="19">
        <v>157</v>
      </c>
      <c r="F46" s="20">
        <v>16.87</v>
      </c>
      <c r="G46" s="21">
        <v>0.27</v>
      </c>
      <c r="H46" s="22"/>
    </row>
    <row r="47" spans="2:8" ht="24" customHeight="1" x14ac:dyDescent="0.2">
      <c r="B47" s="18" t="s">
        <v>97</v>
      </c>
      <c r="C47" s="18" t="s">
        <v>98</v>
      </c>
      <c r="D47" s="18" t="s">
        <v>92</v>
      </c>
      <c r="E47" s="19">
        <v>4343</v>
      </c>
      <c r="F47" s="20">
        <v>16.68</v>
      </c>
      <c r="G47" s="21">
        <v>0.27</v>
      </c>
      <c r="H47" s="22"/>
    </row>
    <row r="48" spans="2:8" ht="24" customHeight="1" x14ac:dyDescent="0.2">
      <c r="B48" s="18" t="s">
        <v>99</v>
      </c>
      <c r="C48" s="18" t="s">
        <v>100</v>
      </c>
      <c r="D48" s="18" t="s">
        <v>101</v>
      </c>
      <c r="E48" s="19">
        <v>4055</v>
      </c>
      <c r="F48" s="20">
        <v>16.25</v>
      </c>
      <c r="G48" s="21">
        <v>0.26</v>
      </c>
      <c r="H48" s="22"/>
    </row>
    <row r="49" spans="2:8" ht="24" customHeight="1" x14ac:dyDescent="0.2">
      <c r="B49" s="18" t="s">
        <v>102</v>
      </c>
      <c r="C49" s="18" t="s">
        <v>103</v>
      </c>
      <c r="D49" s="18" t="s">
        <v>104</v>
      </c>
      <c r="E49" s="19">
        <v>1272</v>
      </c>
      <c r="F49" s="20">
        <v>14.94</v>
      </c>
      <c r="G49" s="21">
        <v>0.24</v>
      </c>
      <c r="H49" s="22"/>
    </row>
    <row r="50" spans="2:8" ht="24" customHeight="1" x14ac:dyDescent="0.2">
      <c r="B50" s="18" t="s">
        <v>105</v>
      </c>
      <c r="C50" s="18" t="s">
        <v>106</v>
      </c>
      <c r="D50" s="18" t="s">
        <v>107</v>
      </c>
      <c r="E50" s="19">
        <v>612</v>
      </c>
      <c r="F50" s="20">
        <v>14.92</v>
      </c>
      <c r="G50" s="21">
        <v>0.24</v>
      </c>
      <c r="H50" s="22"/>
    </row>
    <row r="51" spans="2:8" ht="24" customHeight="1" x14ac:dyDescent="0.2">
      <c r="B51" s="18" t="s">
        <v>108</v>
      </c>
      <c r="C51" s="18" t="s">
        <v>109</v>
      </c>
      <c r="D51" s="18" t="s">
        <v>27</v>
      </c>
      <c r="E51" s="19">
        <v>1667</v>
      </c>
      <c r="F51" s="20">
        <v>14.54</v>
      </c>
      <c r="G51" s="21">
        <v>0.23</v>
      </c>
      <c r="H51" s="22"/>
    </row>
    <row r="52" spans="2:8" ht="24" customHeight="1" x14ac:dyDescent="0.2">
      <c r="B52" s="18" t="s">
        <v>110</v>
      </c>
      <c r="C52" s="18" t="s">
        <v>111</v>
      </c>
      <c r="D52" s="18" t="s">
        <v>66</v>
      </c>
      <c r="E52" s="19">
        <v>4922</v>
      </c>
      <c r="F52" s="20">
        <v>14.16</v>
      </c>
      <c r="G52" s="21">
        <v>0.23</v>
      </c>
      <c r="H52" s="22"/>
    </row>
    <row r="53" spans="2:8" ht="24" customHeight="1" x14ac:dyDescent="0.2">
      <c r="B53" s="18" t="s">
        <v>112</v>
      </c>
      <c r="C53" s="18" t="s">
        <v>113</v>
      </c>
      <c r="D53" s="18" t="s">
        <v>36</v>
      </c>
      <c r="E53" s="19">
        <v>135</v>
      </c>
      <c r="F53" s="20">
        <v>13.06</v>
      </c>
      <c r="G53" s="21">
        <v>0.21</v>
      </c>
      <c r="H53" s="22"/>
    </row>
    <row r="54" spans="2:8" ht="24" customHeight="1" x14ac:dyDescent="0.2">
      <c r="B54" s="18" t="s">
        <v>114</v>
      </c>
      <c r="C54" s="18" t="s">
        <v>115</v>
      </c>
      <c r="D54" s="18" t="s">
        <v>69</v>
      </c>
      <c r="E54" s="19">
        <v>191</v>
      </c>
      <c r="F54" s="20">
        <v>12.58</v>
      </c>
      <c r="G54" s="21">
        <v>0.2</v>
      </c>
      <c r="H54" s="22"/>
    </row>
    <row r="55" spans="2:8" ht="24" customHeight="1" x14ac:dyDescent="0.2">
      <c r="B55" s="18" t="s">
        <v>116</v>
      </c>
      <c r="C55" s="18" t="s">
        <v>117</v>
      </c>
      <c r="D55" s="18" t="s">
        <v>36</v>
      </c>
      <c r="E55" s="19">
        <v>546</v>
      </c>
      <c r="F55" s="20">
        <v>11.82</v>
      </c>
      <c r="G55" s="21">
        <v>0.19</v>
      </c>
      <c r="H55" s="22"/>
    </row>
    <row r="56" spans="2:8" ht="24" customHeight="1" x14ac:dyDescent="0.2">
      <c r="B56" s="18" t="s">
        <v>118</v>
      </c>
      <c r="C56" s="18" t="s">
        <v>119</v>
      </c>
      <c r="D56" s="18" t="s">
        <v>120</v>
      </c>
      <c r="E56" s="19">
        <v>681</v>
      </c>
      <c r="F56" s="20">
        <v>11.65</v>
      </c>
      <c r="G56" s="21">
        <v>0.19</v>
      </c>
      <c r="H56" s="22"/>
    </row>
    <row r="57" spans="2:8" ht="24" customHeight="1" x14ac:dyDescent="0.2">
      <c r="B57" s="18" t="s">
        <v>121</v>
      </c>
      <c r="C57" s="18" t="s">
        <v>122</v>
      </c>
      <c r="D57" s="18" t="s">
        <v>123</v>
      </c>
      <c r="E57" s="19">
        <v>2000</v>
      </c>
      <c r="F57" s="20">
        <v>11.42</v>
      </c>
      <c r="G57" s="21">
        <v>0.18</v>
      </c>
      <c r="H57" s="22"/>
    </row>
    <row r="58" spans="2:8" ht="24" customHeight="1" x14ac:dyDescent="0.2">
      <c r="B58" s="18" t="s">
        <v>124</v>
      </c>
      <c r="C58" s="18" t="s">
        <v>125</v>
      </c>
      <c r="D58" s="18" t="s">
        <v>126</v>
      </c>
      <c r="E58" s="19">
        <v>400</v>
      </c>
      <c r="F58" s="20">
        <v>11.21</v>
      </c>
      <c r="G58" s="21">
        <v>0.18</v>
      </c>
      <c r="H58" s="22"/>
    </row>
    <row r="59" spans="2:8" ht="24" customHeight="1" x14ac:dyDescent="0.2">
      <c r="B59" s="18" t="s">
        <v>127</v>
      </c>
      <c r="C59" s="18" t="s">
        <v>128</v>
      </c>
      <c r="D59" s="18" t="s">
        <v>129</v>
      </c>
      <c r="E59" s="19">
        <v>10167</v>
      </c>
      <c r="F59" s="20">
        <v>10.68</v>
      </c>
      <c r="G59" s="21">
        <v>0.17</v>
      </c>
      <c r="H59" s="22"/>
    </row>
    <row r="60" spans="2:8" ht="24" customHeight="1" x14ac:dyDescent="0.2">
      <c r="B60" s="18" t="s">
        <v>130</v>
      </c>
      <c r="C60" s="18" t="s">
        <v>131</v>
      </c>
      <c r="D60" s="18" t="s">
        <v>104</v>
      </c>
      <c r="E60" s="19">
        <v>186</v>
      </c>
      <c r="F60" s="20">
        <v>10.09</v>
      </c>
      <c r="G60" s="21">
        <v>0.16</v>
      </c>
      <c r="H60" s="22"/>
    </row>
    <row r="61" spans="2:8" ht="24" customHeight="1" x14ac:dyDescent="0.2">
      <c r="B61" s="18" t="s">
        <v>132</v>
      </c>
      <c r="C61" s="18" t="s">
        <v>133</v>
      </c>
      <c r="D61" s="18" t="s">
        <v>60</v>
      </c>
      <c r="E61" s="19">
        <v>488</v>
      </c>
      <c r="F61" s="20">
        <v>9.7899999999999991</v>
      </c>
      <c r="G61" s="21">
        <v>0.16</v>
      </c>
      <c r="H61" s="22"/>
    </row>
    <row r="62" spans="2:8" ht="24" customHeight="1" x14ac:dyDescent="0.2">
      <c r="B62" s="18" t="s">
        <v>134</v>
      </c>
      <c r="C62" s="18" t="s">
        <v>135</v>
      </c>
      <c r="D62" s="18" t="s">
        <v>63</v>
      </c>
      <c r="E62" s="19">
        <v>706</v>
      </c>
      <c r="F62" s="20">
        <v>9.77</v>
      </c>
      <c r="G62" s="21">
        <v>0.16</v>
      </c>
      <c r="H62" s="22"/>
    </row>
    <row r="63" spans="2:8" ht="24" customHeight="1" x14ac:dyDescent="0.2">
      <c r="B63" s="18" t="s">
        <v>136</v>
      </c>
      <c r="C63" s="18" t="s">
        <v>137</v>
      </c>
      <c r="D63" s="18" t="s">
        <v>63</v>
      </c>
      <c r="E63" s="19">
        <v>197</v>
      </c>
      <c r="F63" s="20">
        <v>9.61</v>
      </c>
      <c r="G63" s="21">
        <v>0.15</v>
      </c>
      <c r="H63" s="22"/>
    </row>
    <row r="64" spans="2:8" ht="24" customHeight="1" x14ac:dyDescent="0.2">
      <c r="B64" s="18" t="s">
        <v>138</v>
      </c>
      <c r="C64" s="18" t="s">
        <v>139</v>
      </c>
      <c r="D64" s="18" t="s">
        <v>30</v>
      </c>
      <c r="E64" s="19">
        <v>3211</v>
      </c>
      <c r="F64" s="20">
        <v>9.51</v>
      </c>
      <c r="G64" s="21">
        <v>0.15</v>
      </c>
      <c r="H64" s="22"/>
    </row>
    <row r="65" spans="2:12" ht="24" customHeight="1" x14ac:dyDescent="0.2">
      <c r="B65" s="18" t="s">
        <v>140</v>
      </c>
      <c r="C65" s="18" t="s">
        <v>141</v>
      </c>
      <c r="D65" s="18" t="s">
        <v>60</v>
      </c>
      <c r="E65" s="19">
        <v>155</v>
      </c>
      <c r="F65" s="20">
        <v>9.2200000000000006</v>
      </c>
      <c r="G65" s="21">
        <v>0.15</v>
      </c>
      <c r="H65" s="22"/>
    </row>
    <row r="66" spans="2:12" ht="24" customHeight="1" x14ac:dyDescent="0.2">
      <c r="B66" s="18" t="s">
        <v>142</v>
      </c>
      <c r="C66" s="18" t="s">
        <v>143</v>
      </c>
      <c r="D66" s="18" t="s">
        <v>18</v>
      </c>
      <c r="E66" s="19">
        <v>820</v>
      </c>
      <c r="F66" s="20">
        <v>9.1999999999999993</v>
      </c>
      <c r="G66" s="21">
        <v>0.15</v>
      </c>
      <c r="H66" s="22"/>
    </row>
    <row r="67" spans="2:12" ht="24" customHeight="1" x14ac:dyDescent="0.2">
      <c r="B67" s="18" t="s">
        <v>144</v>
      </c>
      <c r="C67" s="18" t="s">
        <v>145</v>
      </c>
      <c r="D67" s="18" t="s">
        <v>27</v>
      </c>
      <c r="E67" s="19">
        <v>285</v>
      </c>
      <c r="F67" s="20">
        <v>9.01</v>
      </c>
      <c r="G67" s="21">
        <v>0.14000000000000001</v>
      </c>
      <c r="H67" s="22"/>
    </row>
    <row r="68" spans="2:12" ht="24" customHeight="1" x14ac:dyDescent="0.2">
      <c r="B68" s="18" t="s">
        <v>146</v>
      </c>
      <c r="C68" s="18" t="s">
        <v>147</v>
      </c>
      <c r="D68" s="18" t="s">
        <v>120</v>
      </c>
      <c r="E68" s="19">
        <v>499</v>
      </c>
      <c r="F68" s="20">
        <v>8.8699999999999992</v>
      </c>
      <c r="G68" s="21">
        <v>0.14000000000000001</v>
      </c>
      <c r="H68" s="22"/>
    </row>
    <row r="69" spans="2:12" ht="24" customHeight="1" x14ac:dyDescent="0.2">
      <c r="B69" s="18" t="s">
        <v>148</v>
      </c>
      <c r="C69" s="18" t="s">
        <v>149</v>
      </c>
      <c r="D69" s="18" t="s">
        <v>120</v>
      </c>
      <c r="E69" s="19">
        <v>1494</v>
      </c>
      <c r="F69" s="20">
        <v>8.82</v>
      </c>
      <c r="G69" s="21">
        <v>0.14000000000000001</v>
      </c>
      <c r="H69" s="22"/>
    </row>
    <row r="70" spans="2:12" ht="24" customHeight="1" x14ac:dyDescent="0.2">
      <c r="B70" s="18" t="s">
        <v>150</v>
      </c>
      <c r="C70" s="18" t="s">
        <v>151</v>
      </c>
      <c r="D70" s="18" t="s">
        <v>36</v>
      </c>
      <c r="E70" s="19">
        <v>510</v>
      </c>
      <c r="F70" s="20">
        <v>7.35</v>
      </c>
      <c r="G70" s="21">
        <v>0.12</v>
      </c>
      <c r="H70" s="22"/>
    </row>
    <row r="71" spans="2:12" ht="24" customHeight="1" x14ac:dyDescent="0.2">
      <c r="B71" s="18" t="s">
        <v>152</v>
      </c>
      <c r="C71" s="18" t="s">
        <v>153</v>
      </c>
      <c r="D71" s="18" t="s">
        <v>154</v>
      </c>
      <c r="E71" s="19">
        <v>163</v>
      </c>
      <c r="F71" s="20">
        <v>7.34</v>
      </c>
      <c r="G71" s="21">
        <v>0.12</v>
      </c>
      <c r="H71" s="22"/>
    </row>
    <row r="72" spans="2:12" ht="24" customHeight="1" x14ac:dyDescent="0.2">
      <c r="B72" s="18" t="s">
        <v>155</v>
      </c>
      <c r="C72" s="18" t="s">
        <v>156</v>
      </c>
      <c r="D72" s="18" t="s">
        <v>157</v>
      </c>
      <c r="E72" s="19">
        <v>728</v>
      </c>
      <c r="F72" s="20">
        <v>6.44</v>
      </c>
      <c r="G72" s="21">
        <v>0.1</v>
      </c>
      <c r="H72" s="22"/>
    </row>
    <row r="73" spans="2:12" ht="24" customHeight="1" x14ac:dyDescent="0.2">
      <c r="B73" s="18" t="s">
        <v>158</v>
      </c>
      <c r="C73" s="18" t="s">
        <v>159</v>
      </c>
      <c r="D73" s="18" t="s">
        <v>107</v>
      </c>
      <c r="E73" s="19">
        <v>49</v>
      </c>
      <c r="F73" s="20">
        <v>5.92</v>
      </c>
      <c r="G73" s="21">
        <v>0.1</v>
      </c>
      <c r="H73" s="22"/>
    </row>
    <row r="74" spans="2:12" ht="24" customHeight="1" x14ac:dyDescent="0.2">
      <c r="B74" s="18" t="s">
        <v>160</v>
      </c>
      <c r="C74" s="18" t="s">
        <v>161</v>
      </c>
      <c r="D74" s="18" t="s">
        <v>162</v>
      </c>
      <c r="E74" s="19">
        <v>147</v>
      </c>
      <c r="F74" s="20">
        <v>5.8</v>
      </c>
      <c r="G74" s="21">
        <v>0.09</v>
      </c>
      <c r="H74" s="22"/>
    </row>
    <row r="75" spans="2:12" ht="24" customHeight="1" x14ac:dyDescent="0.2">
      <c r="B75" s="18" t="s">
        <v>163</v>
      </c>
      <c r="C75" s="18" t="s">
        <v>164</v>
      </c>
      <c r="D75" s="18" t="s">
        <v>129</v>
      </c>
      <c r="E75" s="19">
        <v>1800</v>
      </c>
      <c r="F75" s="20">
        <v>5.18</v>
      </c>
      <c r="G75" s="21">
        <v>0.08</v>
      </c>
      <c r="H75" s="22"/>
    </row>
    <row r="76" spans="2:12" ht="24" customHeight="1" x14ac:dyDescent="0.2">
      <c r="B76" s="18" t="s">
        <v>165</v>
      </c>
      <c r="C76" s="18" t="s">
        <v>166</v>
      </c>
      <c r="D76" s="18" t="s">
        <v>60</v>
      </c>
      <c r="E76" s="19">
        <v>256</v>
      </c>
      <c r="F76" s="20">
        <v>3.21</v>
      </c>
      <c r="G76" s="21">
        <v>0.05</v>
      </c>
      <c r="H76" s="22"/>
      <c r="L76" s="29"/>
    </row>
    <row r="77" spans="2:12" ht="24" customHeight="1" x14ac:dyDescent="0.2">
      <c r="B77" s="30" t="s">
        <v>167</v>
      </c>
      <c r="C77" s="30"/>
      <c r="D77" s="30"/>
      <c r="E77" s="31"/>
      <c r="F77" s="32">
        <f>SUM(F16:F76)</f>
        <v>4679.1400000000012</v>
      </c>
      <c r="G77" s="32">
        <f>SUM(G16:G76)</f>
        <v>75.13000000000001</v>
      </c>
      <c r="H77" s="33"/>
      <c r="L77" s="29"/>
    </row>
    <row r="78" spans="2:12" ht="24" customHeight="1" x14ac:dyDescent="0.2">
      <c r="B78" s="18"/>
      <c r="C78" s="18"/>
      <c r="D78" s="18"/>
      <c r="E78" s="19"/>
      <c r="F78" s="20"/>
      <c r="G78" s="21"/>
      <c r="H78" s="22"/>
      <c r="L78" s="29"/>
    </row>
    <row r="79" spans="2:12" ht="24" customHeight="1" x14ac:dyDescent="0.2">
      <c r="B79" s="23" t="s">
        <v>168</v>
      </c>
      <c r="C79" s="24"/>
      <c r="D79" s="24"/>
      <c r="E79" s="25"/>
      <c r="F79" s="26"/>
      <c r="G79" s="27"/>
      <c r="H79" s="28"/>
      <c r="L79" s="29"/>
    </row>
    <row r="80" spans="2:12" ht="24" customHeight="1" x14ac:dyDescent="0.2">
      <c r="B80" s="18"/>
      <c r="C80" s="18"/>
      <c r="D80" s="18"/>
      <c r="E80" s="19"/>
      <c r="F80" s="21">
        <v>0</v>
      </c>
      <c r="G80" s="21">
        <v>0</v>
      </c>
      <c r="H80" s="22"/>
      <c r="L80" s="29"/>
    </row>
    <row r="81" spans="2:13" ht="24" customHeight="1" x14ac:dyDescent="0.2">
      <c r="B81" s="30" t="s">
        <v>167</v>
      </c>
      <c r="C81" s="18"/>
      <c r="D81" s="18"/>
      <c r="E81" s="19"/>
      <c r="F81" s="34" t="s">
        <v>169</v>
      </c>
      <c r="G81" s="34" t="s">
        <v>169</v>
      </c>
      <c r="H81" s="22"/>
      <c r="L81" s="29"/>
    </row>
    <row r="82" spans="2:13" ht="24" customHeight="1" x14ac:dyDescent="0.2">
      <c r="B82" s="18"/>
      <c r="C82" s="18"/>
      <c r="D82" s="18"/>
      <c r="E82" s="19"/>
      <c r="F82" s="20"/>
      <c r="G82" s="21"/>
      <c r="H82" s="22"/>
      <c r="L82" s="35"/>
      <c r="M82" s="35"/>
    </row>
    <row r="83" spans="2:13" ht="24" customHeight="1" x14ac:dyDescent="0.2">
      <c r="B83" s="36" t="s">
        <v>170</v>
      </c>
      <c r="C83" s="37"/>
      <c r="D83" s="37"/>
      <c r="E83" s="38"/>
      <c r="F83" s="32">
        <f>F77</f>
        <v>4679.1400000000012</v>
      </c>
      <c r="G83" s="32">
        <f>G77</f>
        <v>75.13000000000001</v>
      </c>
      <c r="H83" s="33"/>
    </row>
    <row r="84" spans="2:13" ht="24" customHeight="1" x14ac:dyDescent="0.2">
      <c r="B84" s="18"/>
      <c r="C84" s="18"/>
      <c r="D84" s="18"/>
      <c r="E84" s="19"/>
      <c r="F84" s="20"/>
      <c r="G84" s="21"/>
      <c r="H84" s="22"/>
    </row>
    <row r="85" spans="2:13" ht="24" customHeight="1" x14ac:dyDescent="0.2">
      <c r="B85" s="23" t="s">
        <v>171</v>
      </c>
      <c r="C85" s="24"/>
      <c r="D85" s="24"/>
      <c r="E85" s="25"/>
      <c r="F85" s="26"/>
      <c r="G85" s="27"/>
      <c r="H85" s="28"/>
      <c r="L85" s="39"/>
      <c r="M85" s="39"/>
    </row>
    <row r="86" spans="2:13" ht="24" customHeight="1" x14ac:dyDescent="0.2">
      <c r="B86" s="18" t="s">
        <v>16</v>
      </c>
      <c r="C86" s="18"/>
      <c r="D86" s="18"/>
      <c r="E86" s="40">
        <v>-280500</v>
      </c>
      <c r="F86" s="41">
        <v>-539.82000000000005</v>
      </c>
      <c r="G86" s="21">
        <v>-8.67</v>
      </c>
      <c r="H86" s="22"/>
      <c r="L86" s="39"/>
      <c r="M86" s="39"/>
    </row>
    <row r="87" spans="2:13" ht="24" customHeight="1" x14ac:dyDescent="0.2">
      <c r="B87" s="18" t="s">
        <v>19</v>
      </c>
      <c r="C87" s="18"/>
      <c r="D87" s="18"/>
      <c r="E87" s="40">
        <v>-27500</v>
      </c>
      <c r="F87" s="41">
        <v>-371.06</v>
      </c>
      <c r="G87" s="21">
        <v>-5.96</v>
      </c>
      <c r="H87" s="22"/>
      <c r="L87" s="39"/>
      <c r="M87" s="39"/>
    </row>
    <row r="88" spans="2:13" ht="24" customHeight="1" x14ac:dyDescent="0.2">
      <c r="B88" s="18" t="s">
        <v>25</v>
      </c>
      <c r="C88" s="18"/>
      <c r="D88" s="18"/>
      <c r="E88" s="40">
        <v>-45000</v>
      </c>
      <c r="F88" s="41">
        <v>-362.03</v>
      </c>
      <c r="G88" s="21">
        <v>-5.81</v>
      </c>
      <c r="H88" s="22"/>
      <c r="L88" s="39"/>
      <c r="M88" s="39"/>
    </row>
    <row r="89" spans="2:13" ht="24" customHeight="1" x14ac:dyDescent="0.2">
      <c r="B89" s="18" t="s">
        <v>22</v>
      </c>
      <c r="C89" s="18"/>
      <c r="D89" s="18"/>
      <c r="E89" s="40">
        <v>-44000</v>
      </c>
      <c r="F89" s="41">
        <v>-323.8</v>
      </c>
      <c r="G89" s="21">
        <v>-5.2</v>
      </c>
      <c r="H89" s="22"/>
      <c r="L89" s="39"/>
      <c r="M89" s="39"/>
    </row>
    <row r="90" spans="2:13" ht="24" customHeight="1" x14ac:dyDescent="0.2">
      <c r="B90" s="18" t="s">
        <v>34</v>
      </c>
      <c r="C90" s="18"/>
      <c r="D90" s="18"/>
      <c r="E90" s="40">
        <v>-6650</v>
      </c>
      <c r="F90" s="41">
        <v>-263.52999999999997</v>
      </c>
      <c r="G90" s="21">
        <v>-4.2300000000000004</v>
      </c>
      <c r="H90" s="22"/>
      <c r="L90" s="39"/>
      <c r="M90" s="39"/>
    </row>
    <row r="91" spans="2:13" ht="24" customHeight="1" x14ac:dyDescent="0.2">
      <c r="B91" s="18" t="s">
        <v>37</v>
      </c>
      <c r="C91" s="18"/>
      <c r="D91" s="18"/>
      <c r="E91" s="40">
        <v>-19950</v>
      </c>
      <c r="F91" s="41">
        <v>-262.38</v>
      </c>
      <c r="G91" s="21">
        <v>-4.21</v>
      </c>
      <c r="H91" s="22"/>
      <c r="L91" s="39"/>
      <c r="M91" s="39"/>
    </row>
    <row r="92" spans="2:13" ht="24" customHeight="1" x14ac:dyDescent="0.2">
      <c r="B92" s="18" t="s">
        <v>40</v>
      </c>
      <c r="C92" s="18"/>
      <c r="D92" s="18"/>
      <c r="E92" s="40">
        <v>-324000</v>
      </c>
      <c r="F92" s="41">
        <v>-247.96</v>
      </c>
      <c r="G92" s="21">
        <v>-3.98</v>
      </c>
      <c r="H92" s="22"/>
    </row>
    <row r="93" spans="2:13" ht="24" customHeight="1" x14ac:dyDescent="0.2">
      <c r="B93" s="18" t="s">
        <v>45</v>
      </c>
      <c r="C93" s="18"/>
      <c r="D93" s="18"/>
      <c r="E93" s="40">
        <v>-38850</v>
      </c>
      <c r="F93" s="41">
        <v>-156.37</v>
      </c>
      <c r="G93" s="21">
        <v>-2.5099999999999998</v>
      </c>
      <c r="H93" s="22"/>
      <c r="L93" s="29"/>
    </row>
    <row r="94" spans="2:13" ht="24" customHeight="1" x14ac:dyDescent="0.2">
      <c r="B94" s="18" t="s">
        <v>48</v>
      </c>
      <c r="C94" s="18"/>
      <c r="D94" s="18"/>
      <c r="E94" s="40">
        <v>-34000</v>
      </c>
      <c r="F94" s="41">
        <v>-120.55</v>
      </c>
      <c r="G94" s="21">
        <v>-1.94</v>
      </c>
      <c r="H94" s="22"/>
    </row>
    <row r="95" spans="2:13" ht="24" customHeight="1" x14ac:dyDescent="0.2">
      <c r="B95" s="18" t="s">
        <v>43</v>
      </c>
      <c r="C95" s="18"/>
      <c r="D95" s="18"/>
      <c r="E95" s="40">
        <v>-7700</v>
      </c>
      <c r="F95" s="41">
        <v>-93.31</v>
      </c>
      <c r="G95" s="21">
        <v>-1.5</v>
      </c>
      <c r="H95" s="22"/>
    </row>
    <row r="96" spans="2:13" ht="24" customHeight="1" x14ac:dyDescent="0.2">
      <c r="B96" s="18" t="s">
        <v>58</v>
      </c>
      <c r="C96" s="18"/>
      <c r="D96" s="18"/>
      <c r="E96" s="40">
        <v>-3750</v>
      </c>
      <c r="F96" s="41">
        <v>-46.02</v>
      </c>
      <c r="G96" s="21">
        <v>-0.74</v>
      </c>
      <c r="H96" s="22"/>
    </row>
    <row r="97" spans="2:8" ht="24" customHeight="1" x14ac:dyDescent="0.2">
      <c r="B97" s="18" t="s">
        <v>64</v>
      </c>
      <c r="C97" s="18"/>
      <c r="D97" s="18"/>
      <c r="E97" s="40">
        <v>-1800</v>
      </c>
      <c r="F97" s="41">
        <v>-37.11</v>
      </c>
      <c r="G97" s="21">
        <v>-0.6</v>
      </c>
      <c r="H97" s="22"/>
    </row>
    <row r="98" spans="2:8" ht="24" customHeight="1" x14ac:dyDescent="0.2">
      <c r="B98" s="18" t="s">
        <v>50</v>
      </c>
      <c r="C98" s="18"/>
      <c r="D98" s="18"/>
      <c r="E98" s="40">
        <v>-875</v>
      </c>
      <c r="F98" s="41">
        <v>-30.76</v>
      </c>
      <c r="G98" s="21">
        <v>-0.49</v>
      </c>
      <c r="H98" s="22"/>
    </row>
    <row r="99" spans="2:8" ht="24" customHeight="1" x14ac:dyDescent="0.2">
      <c r="B99" s="18" t="s">
        <v>121</v>
      </c>
      <c r="C99" s="18"/>
      <c r="D99" s="18"/>
      <c r="E99" s="40">
        <v>-2000</v>
      </c>
      <c r="F99" s="41">
        <v>-11.48</v>
      </c>
      <c r="G99" s="21">
        <v>-0.18</v>
      </c>
      <c r="H99" s="22"/>
    </row>
    <row r="100" spans="2:8" ht="24" customHeight="1" x14ac:dyDescent="0.2">
      <c r="B100" s="18" t="s">
        <v>163</v>
      </c>
      <c r="C100" s="18"/>
      <c r="D100" s="18"/>
      <c r="E100" s="40">
        <v>-1800</v>
      </c>
      <c r="F100" s="41">
        <v>-5.21</v>
      </c>
      <c r="G100" s="21">
        <v>-0.08</v>
      </c>
      <c r="H100" s="22"/>
    </row>
    <row r="101" spans="2:8" ht="24" customHeight="1" x14ac:dyDescent="0.2">
      <c r="B101" s="18"/>
      <c r="C101" s="18"/>
      <c r="D101" s="18"/>
      <c r="E101" s="19"/>
      <c r="F101" s="20"/>
      <c r="G101" s="21"/>
      <c r="H101" s="22"/>
    </row>
    <row r="102" spans="2:8" ht="24" customHeight="1" x14ac:dyDescent="0.2">
      <c r="B102" s="36" t="s">
        <v>170</v>
      </c>
      <c r="C102" s="37"/>
      <c r="D102" s="37"/>
      <c r="E102" s="38"/>
      <c r="F102" s="42">
        <v>-2871.39</v>
      </c>
      <c r="G102" s="43">
        <v>-46.1</v>
      </c>
      <c r="H102" s="33"/>
    </row>
    <row r="103" spans="2:8" ht="24" customHeight="1" x14ac:dyDescent="0.2">
      <c r="B103" s="18"/>
      <c r="C103" s="18"/>
      <c r="D103" s="18"/>
      <c r="E103" s="19"/>
      <c r="F103" s="20"/>
      <c r="G103" s="21"/>
      <c r="H103" s="22"/>
    </row>
    <row r="104" spans="2:8" ht="24" customHeight="1" x14ac:dyDescent="0.2">
      <c r="B104" s="12" t="s">
        <v>172</v>
      </c>
      <c r="C104" s="13"/>
      <c r="D104" s="13"/>
      <c r="E104" s="14"/>
      <c r="F104" s="15"/>
      <c r="G104" s="16"/>
      <c r="H104" s="17"/>
    </row>
    <row r="105" spans="2:8" ht="24" customHeight="1" x14ac:dyDescent="0.2">
      <c r="B105" s="18"/>
      <c r="C105" s="18"/>
      <c r="D105" s="18"/>
      <c r="E105" s="19"/>
      <c r="F105" s="20"/>
      <c r="G105" s="21"/>
      <c r="H105" s="22"/>
    </row>
    <row r="106" spans="2:8" ht="24" customHeight="1" x14ac:dyDescent="0.2">
      <c r="B106" s="23" t="s">
        <v>173</v>
      </c>
      <c r="C106" s="24"/>
      <c r="D106" s="24"/>
      <c r="E106" s="25"/>
      <c r="F106" s="26"/>
      <c r="G106" s="27"/>
      <c r="H106" s="28"/>
    </row>
    <row r="107" spans="2:8" ht="24" customHeight="1" x14ac:dyDescent="0.2">
      <c r="B107" s="18" t="s">
        <v>174</v>
      </c>
      <c r="C107" s="18" t="s">
        <v>175</v>
      </c>
      <c r="D107" s="18" t="s">
        <v>176</v>
      </c>
      <c r="E107" s="19">
        <v>500000</v>
      </c>
      <c r="F107" s="20">
        <v>502.28</v>
      </c>
      <c r="G107" s="21">
        <v>8.07</v>
      </c>
      <c r="H107" s="22">
        <v>7.1475</v>
      </c>
    </row>
    <row r="108" spans="2:8" ht="24" customHeight="1" x14ac:dyDescent="0.2">
      <c r="B108" s="18" t="s">
        <v>177</v>
      </c>
      <c r="C108" s="18" t="s">
        <v>178</v>
      </c>
      <c r="D108" s="18" t="s">
        <v>176</v>
      </c>
      <c r="E108" s="19">
        <v>300000</v>
      </c>
      <c r="F108" s="20">
        <v>301.5</v>
      </c>
      <c r="G108" s="21">
        <v>4.84</v>
      </c>
      <c r="H108" s="22">
        <v>7.2152000000000003</v>
      </c>
    </row>
    <row r="109" spans="2:8" ht="24" customHeight="1" x14ac:dyDescent="0.2">
      <c r="B109" s="18" t="s">
        <v>179</v>
      </c>
      <c r="C109" s="18" t="s">
        <v>180</v>
      </c>
      <c r="D109" s="18" t="s">
        <v>181</v>
      </c>
      <c r="E109" s="19">
        <v>200000</v>
      </c>
      <c r="F109" s="20">
        <v>208.75</v>
      </c>
      <c r="G109" s="21">
        <v>3.35</v>
      </c>
      <c r="H109" s="22">
        <v>7.41</v>
      </c>
    </row>
    <row r="110" spans="2:8" ht="24" customHeight="1" x14ac:dyDescent="0.2">
      <c r="B110" s="18" t="s">
        <v>182</v>
      </c>
      <c r="C110" s="18" t="s">
        <v>183</v>
      </c>
      <c r="D110" s="18" t="s">
        <v>176</v>
      </c>
      <c r="E110" s="19">
        <v>100000</v>
      </c>
      <c r="F110" s="20">
        <v>103.16</v>
      </c>
      <c r="G110" s="21">
        <v>1.66</v>
      </c>
      <c r="H110" s="22">
        <v>6.0936000000000003</v>
      </c>
    </row>
    <row r="111" spans="2:8" ht="24" customHeight="1" x14ac:dyDescent="0.2">
      <c r="B111" s="18" t="s">
        <v>184</v>
      </c>
      <c r="C111" s="18" t="s">
        <v>185</v>
      </c>
      <c r="D111" s="18" t="s">
        <v>181</v>
      </c>
      <c r="E111" s="19">
        <v>100000</v>
      </c>
      <c r="F111" s="20">
        <v>100.01</v>
      </c>
      <c r="G111" s="21">
        <v>1.61</v>
      </c>
      <c r="H111" s="22">
        <v>7.61</v>
      </c>
    </row>
    <row r="112" spans="2:8" ht="24" customHeight="1" x14ac:dyDescent="0.2">
      <c r="B112" s="18" t="s">
        <v>186</v>
      </c>
      <c r="C112" s="18" t="s">
        <v>187</v>
      </c>
      <c r="D112" s="18" t="s">
        <v>176</v>
      </c>
      <c r="E112" s="19">
        <v>50000</v>
      </c>
      <c r="F112" s="20">
        <v>49.01</v>
      </c>
      <c r="G112" s="21">
        <v>0.79</v>
      </c>
      <c r="H112" s="22">
        <v>7.0784000000000002</v>
      </c>
    </row>
    <row r="113" spans="2:8" ht="24" customHeight="1" x14ac:dyDescent="0.2">
      <c r="B113" s="30" t="s">
        <v>167</v>
      </c>
      <c r="C113" s="30"/>
      <c r="D113" s="30"/>
      <c r="E113" s="31"/>
      <c r="F113" s="32">
        <f>SUM(F107:F112)</f>
        <v>1264.71</v>
      </c>
      <c r="G113" s="32">
        <f>SUM(G107:G112)</f>
        <v>20.32</v>
      </c>
      <c r="H113" s="33"/>
    </row>
    <row r="114" spans="2:8" ht="24" customHeight="1" x14ac:dyDescent="0.2">
      <c r="B114" s="18"/>
      <c r="C114" s="18"/>
      <c r="D114" s="18"/>
      <c r="E114" s="19"/>
      <c r="F114" s="20"/>
      <c r="G114" s="21"/>
      <c r="H114" s="22"/>
    </row>
    <row r="115" spans="2:8" ht="24" customHeight="1" x14ac:dyDescent="0.2">
      <c r="B115" s="23" t="s">
        <v>188</v>
      </c>
      <c r="C115" s="24"/>
      <c r="D115" s="24"/>
      <c r="E115" s="25"/>
      <c r="F115" s="26"/>
      <c r="G115" s="27"/>
      <c r="H115" s="28"/>
    </row>
    <row r="116" spans="2:8" ht="24" customHeight="1" x14ac:dyDescent="0.2">
      <c r="B116" s="18"/>
      <c r="C116" s="18"/>
      <c r="D116" s="18"/>
      <c r="E116" s="19"/>
      <c r="F116" s="21">
        <v>0</v>
      </c>
      <c r="G116" s="21">
        <v>0</v>
      </c>
      <c r="H116" s="22"/>
    </row>
    <row r="117" spans="2:8" ht="24" customHeight="1" x14ac:dyDescent="0.2">
      <c r="B117" s="30" t="s">
        <v>167</v>
      </c>
      <c r="C117" s="18"/>
      <c r="D117" s="18"/>
      <c r="E117" s="19"/>
      <c r="F117" s="34" t="s">
        <v>169</v>
      </c>
      <c r="G117" s="34" t="s">
        <v>169</v>
      </c>
      <c r="H117" s="22"/>
    </row>
    <row r="118" spans="2:8" ht="24" customHeight="1" x14ac:dyDescent="0.2">
      <c r="B118" s="18"/>
      <c r="C118" s="18"/>
      <c r="D118" s="18"/>
      <c r="E118" s="19"/>
      <c r="F118" s="20"/>
      <c r="G118" s="21"/>
      <c r="H118" s="22"/>
    </row>
    <row r="119" spans="2:8" ht="24" customHeight="1" x14ac:dyDescent="0.2">
      <c r="B119" s="23" t="s">
        <v>189</v>
      </c>
      <c r="C119" s="24"/>
      <c r="D119" s="24"/>
      <c r="E119" s="25"/>
      <c r="F119" s="26"/>
      <c r="G119" s="27"/>
      <c r="H119" s="28"/>
    </row>
    <row r="120" spans="2:8" ht="24" customHeight="1" x14ac:dyDescent="0.2">
      <c r="B120" s="18"/>
      <c r="C120" s="18"/>
      <c r="D120" s="18"/>
      <c r="E120" s="19"/>
      <c r="F120" s="21">
        <v>0</v>
      </c>
      <c r="G120" s="21">
        <v>0</v>
      </c>
      <c r="H120" s="22"/>
    </row>
    <row r="121" spans="2:8" ht="24" customHeight="1" x14ac:dyDescent="0.2">
      <c r="B121" s="30" t="s">
        <v>167</v>
      </c>
      <c r="C121" s="18"/>
      <c r="D121" s="18"/>
      <c r="E121" s="19"/>
      <c r="F121" s="34" t="s">
        <v>169</v>
      </c>
      <c r="G121" s="34" t="s">
        <v>169</v>
      </c>
      <c r="H121" s="22"/>
    </row>
    <row r="122" spans="2:8" ht="24" customHeight="1" x14ac:dyDescent="0.2">
      <c r="B122" s="18"/>
      <c r="C122" s="18"/>
      <c r="D122" s="18"/>
      <c r="E122" s="19"/>
      <c r="F122" s="20"/>
      <c r="G122" s="21"/>
      <c r="H122" s="22"/>
    </row>
    <row r="123" spans="2:8" ht="24" customHeight="1" x14ac:dyDescent="0.2">
      <c r="B123" s="36" t="s">
        <v>170</v>
      </c>
      <c r="C123" s="37"/>
      <c r="D123" s="37"/>
      <c r="E123" s="38"/>
      <c r="F123" s="32">
        <f>F113</f>
        <v>1264.71</v>
      </c>
      <c r="G123" s="32">
        <f>G113</f>
        <v>20.32</v>
      </c>
      <c r="H123" s="33"/>
    </row>
    <row r="124" spans="2:8" ht="24" customHeight="1" x14ac:dyDescent="0.2">
      <c r="B124" s="44"/>
      <c r="C124" s="45"/>
      <c r="D124" s="45"/>
      <c r="E124" s="46"/>
      <c r="F124" s="47"/>
      <c r="G124" s="47"/>
      <c r="H124" s="33"/>
    </row>
    <row r="125" spans="2:8" ht="24" customHeight="1" x14ac:dyDescent="0.2">
      <c r="B125" s="23" t="s">
        <v>190</v>
      </c>
      <c r="C125" s="24"/>
      <c r="D125" s="24"/>
      <c r="E125" s="48"/>
      <c r="F125" s="26"/>
      <c r="G125" s="27"/>
      <c r="H125" s="28"/>
    </row>
    <row r="126" spans="2:8" ht="24" customHeight="1" x14ac:dyDescent="0.2">
      <c r="B126" s="18" t="s">
        <v>77</v>
      </c>
      <c r="C126" s="18" t="s">
        <v>191</v>
      </c>
      <c r="D126" s="18" t="s">
        <v>69</v>
      </c>
      <c r="E126" s="19">
        <v>5600</v>
      </c>
      <c r="F126" s="20">
        <v>0.56999999999999995</v>
      </c>
      <c r="G126" s="21">
        <v>0.01</v>
      </c>
      <c r="H126" s="22"/>
    </row>
    <row r="127" spans="2:8" ht="24" customHeight="1" x14ac:dyDescent="0.2">
      <c r="B127" s="30" t="s">
        <v>167</v>
      </c>
      <c r="C127" s="30"/>
      <c r="D127" s="30"/>
      <c r="E127" s="31"/>
      <c r="F127" s="32">
        <f>F126</f>
        <v>0.56999999999999995</v>
      </c>
      <c r="G127" s="32">
        <f>G126</f>
        <v>0.01</v>
      </c>
      <c r="H127" s="33"/>
    </row>
    <row r="128" spans="2:8" ht="24" customHeight="1" x14ac:dyDescent="0.2">
      <c r="B128" s="49"/>
      <c r="C128" s="49"/>
      <c r="D128" s="49"/>
      <c r="E128" s="46"/>
      <c r="F128" s="47"/>
      <c r="G128" s="50"/>
      <c r="H128" s="33"/>
    </row>
    <row r="129" spans="2:8" ht="24" customHeight="1" x14ac:dyDescent="0.2">
      <c r="B129" s="36" t="s">
        <v>170</v>
      </c>
      <c r="C129" s="37"/>
      <c r="D129" s="37"/>
      <c r="E129" s="38"/>
      <c r="F129" s="32">
        <f>F127</f>
        <v>0.56999999999999995</v>
      </c>
      <c r="G129" s="32">
        <f>G127</f>
        <v>0.01</v>
      </c>
      <c r="H129" s="33"/>
    </row>
    <row r="130" spans="2:8" ht="24" customHeight="1" x14ac:dyDescent="0.2">
      <c r="B130" s="18"/>
      <c r="C130" s="18"/>
      <c r="D130" s="18"/>
      <c r="E130" s="19"/>
      <c r="F130" s="20"/>
      <c r="G130" s="21"/>
      <c r="H130" s="22"/>
    </row>
    <row r="131" spans="2:8" ht="24" customHeight="1" x14ac:dyDescent="0.2">
      <c r="B131" s="12" t="s">
        <v>192</v>
      </c>
      <c r="C131" s="13"/>
      <c r="D131" s="13"/>
      <c r="E131" s="14"/>
      <c r="F131" s="15"/>
      <c r="G131" s="16"/>
      <c r="H131" s="17"/>
    </row>
    <row r="132" spans="2:8" ht="24" customHeight="1" x14ac:dyDescent="0.2">
      <c r="B132" s="18" t="s">
        <v>193</v>
      </c>
      <c r="C132" s="18"/>
      <c r="D132" s="18"/>
      <c r="E132" s="19"/>
      <c r="F132" s="20">
        <v>194.77</v>
      </c>
      <c r="G132" s="21">
        <v>3.13</v>
      </c>
      <c r="H132" s="22"/>
    </row>
    <row r="133" spans="2:8" ht="24" customHeight="1" x14ac:dyDescent="0.2">
      <c r="B133" s="30" t="s">
        <v>167</v>
      </c>
      <c r="C133" s="30"/>
      <c r="D133" s="30"/>
      <c r="E133" s="31"/>
      <c r="F133" s="32">
        <v>194.77</v>
      </c>
      <c r="G133" s="43">
        <v>3.13</v>
      </c>
      <c r="H133" s="33"/>
    </row>
    <row r="134" spans="2:8" ht="24" customHeight="1" x14ac:dyDescent="0.2">
      <c r="B134" s="18"/>
      <c r="C134" s="18"/>
      <c r="D134" s="18"/>
      <c r="E134" s="19"/>
      <c r="F134" s="20"/>
      <c r="G134" s="21"/>
      <c r="H134" s="22"/>
    </row>
    <row r="135" spans="2:8" ht="24" customHeight="1" x14ac:dyDescent="0.2">
      <c r="B135" s="36" t="s">
        <v>170</v>
      </c>
      <c r="C135" s="37"/>
      <c r="D135" s="37"/>
      <c r="E135" s="38"/>
      <c r="F135" s="32">
        <v>194.77</v>
      </c>
      <c r="G135" s="43">
        <v>3.13</v>
      </c>
      <c r="H135" s="33"/>
    </row>
    <row r="136" spans="2:8" ht="24" customHeight="1" x14ac:dyDescent="0.2">
      <c r="B136" s="18"/>
      <c r="C136" s="18"/>
      <c r="D136" s="18"/>
      <c r="E136" s="19"/>
      <c r="F136" s="20"/>
      <c r="G136" s="21"/>
      <c r="H136" s="22"/>
    </row>
    <row r="137" spans="2:8" ht="24" customHeight="1" x14ac:dyDescent="0.2">
      <c r="B137" s="18" t="s">
        <v>194</v>
      </c>
      <c r="C137" s="18"/>
      <c r="D137" s="18"/>
      <c r="E137" s="19"/>
      <c r="F137" s="20">
        <v>2959.64</v>
      </c>
      <c r="G137" s="21">
        <v>47.51</v>
      </c>
      <c r="H137" s="22"/>
    </row>
    <row r="138" spans="2:8" ht="24" customHeight="1" x14ac:dyDescent="0.2">
      <c r="B138" s="18"/>
      <c r="C138" s="18"/>
      <c r="D138" s="18"/>
      <c r="E138" s="19"/>
      <c r="F138" s="20"/>
      <c r="G138" s="21"/>
      <c r="H138" s="22"/>
    </row>
    <row r="139" spans="2:8" ht="24" customHeight="1" x14ac:dyDescent="0.2">
      <c r="B139" s="36" t="s">
        <v>195</v>
      </c>
      <c r="C139" s="37"/>
      <c r="D139" s="37"/>
      <c r="E139" s="38"/>
      <c r="F139" s="32">
        <v>6227.44</v>
      </c>
      <c r="G139" s="43">
        <v>100</v>
      </c>
      <c r="H139" s="51"/>
    </row>
    <row r="140" spans="2:8" ht="24" customHeight="1" x14ac:dyDescent="0.2">
      <c r="B140" s="4"/>
    </row>
    <row r="141" spans="2:8" ht="24" customHeight="1" x14ac:dyDescent="0.2">
      <c r="B141" s="53" t="s">
        <v>196</v>
      </c>
      <c r="F141" s="54"/>
      <c r="G141" s="54"/>
    </row>
    <row r="142" spans="2:8" ht="24" customHeight="1" x14ac:dyDescent="0.2">
      <c r="F142" s="54"/>
      <c r="G142" s="54"/>
    </row>
    <row r="148" spans="2:8" ht="24" customHeight="1" x14ac:dyDescent="0.2">
      <c r="B148" s="45" t="s">
        <v>197</v>
      </c>
    </row>
    <row r="149" spans="2:8" ht="24" customHeight="1" x14ac:dyDescent="0.2">
      <c r="B149" s="6" t="s">
        <v>198</v>
      </c>
    </row>
    <row r="150" spans="2:8" ht="24" customHeight="1" x14ac:dyDescent="0.2">
      <c r="B150" s="55" t="s">
        <v>199</v>
      </c>
      <c r="C150" s="56">
        <v>46080</v>
      </c>
      <c r="D150" s="57">
        <v>46112</v>
      </c>
    </row>
    <row r="151" spans="2:8" ht="24" customHeight="1" x14ac:dyDescent="0.2">
      <c r="B151" s="58" t="s">
        <v>200</v>
      </c>
      <c r="C151" s="59" t="s">
        <v>201</v>
      </c>
      <c r="D151" s="60" t="s">
        <v>201</v>
      </c>
      <c r="E151" s="4"/>
      <c r="F151" s="4"/>
      <c r="G151" s="4"/>
      <c r="H151" s="4"/>
    </row>
    <row r="152" spans="2:8" ht="24" customHeight="1" x14ac:dyDescent="0.2">
      <c r="B152" s="61" t="s">
        <v>202</v>
      </c>
      <c r="C152" s="62">
        <v>57.430900000000001</v>
      </c>
      <c r="D152" s="63">
        <v>55.766399999999997</v>
      </c>
      <c r="E152" s="4"/>
      <c r="F152" s="4"/>
      <c r="G152" s="4"/>
      <c r="H152" s="4"/>
    </row>
    <row r="153" spans="2:8" ht="24" customHeight="1" x14ac:dyDescent="0.2">
      <c r="B153" s="61" t="s">
        <v>203</v>
      </c>
      <c r="C153" s="62">
        <v>13.8675</v>
      </c>
      <c r="D153" s="63">
        <v>13.395799999999999</v>
      </c>
      <c r="E153" s="4"/>
      <c r="F153" s="4"/>
      <c r="G153" s="4"/>
      <c r="H153" s="4"/>
    </row>
    <row r="154" spans="2:8" ht="24" customHeight="1" x14ac:dyDescent="0.2">
      <c r="B154" s="61" t="s">
        <v>204</v>
      </c>
      <c r="C154" s="62">
        <v>16.515799999999999</v>
      </c>
      <c r="D154" s="63">
        <v>15.0267</v>
      </c>
      <c r="E154" s="4"/>
      <c r="F154" s="4"/>
      <c r="G154" s="4"/>
      <c r="H154" s="4"/>
    </row>
    <row r="155" spans="2:8" ht="24" customHeight="1" x14ac:dyDescent="0.2">
      <c r="B155" s="58" t="s">
        <v>205</v>
      </c>
      <c r="C155" s="59"/>
      <c r="D155" s="60"/>
      <c r="E155" s="4"/>
      <c r="F155" s="4"/>
      <c r="G155" s="4"/>
      <c r="H155" s="4"/>
    </row>
    <row r="156" spans="2:8" ht="24" customHeight="1" x14ac:dyDescent="0.2">
      <c r="B156" s="61" t="s">
        <v>202</v>
      </c>
      <c r="C156" s="62">
        <v>50.472299999999997</v>
      </c>
      <c r="D156" s="63">
        <v>48.978000000000002</v>
      </c>
      <c r="E156" s="4"/>
      <c r="F156" s="4"/>
      <c r="G156" s="4"/>
      <c r="H156" s="4"/>
    </row>
    <row r="157" spans="2:8" ht="24" customHeight="1" x14ac:dyDescent="0.2">
      <c r="B157" s="61" t="s">
        <v>203</v>
      </c>
      <c r="C157" s="62">
        <v>12.589</v>
      </c>
      <c r="D157" s="63">
        <v>12.1533</v>
      </c>
      <c r="E157" s="4"/>
      <c r="F157" s="4"/>
      <c r="G157" s="4"/>
      <c r="H157" s="4"/>
    </row>
    <row r="158" spans="2:8" ht="24" customHeight="1" x14ac:dyDescent="0.2">
      <c r="B158" s="64" t="s">
        <v>204</v>
      </c>
      <c r="C158" s="65">
        <v>15.510199999999999</v>
      </c>
      <c r="D158" s="66">
        <v>14.1015</v>
      </c>
      <c r="E158" s="4"/>
      <c r="F158" s="4"/>
      <c r="G158" s="4"/>
      <c r="H158" s="4"/>
    </row>
    <row r="159" spans="2:8" ht="24" customHeight="1" x14ac:dyDescent="0.2">
      <c r="C159" s="67"/>
      <c r="D159" s="67"/>
      <c r="E159" s="4"/>
      <c r="F159" s="4"/>
      <c r="G159" s="4"/>
      <c r="H159" s="4"/>
    </row>
    <row r="160" spans="2:8" ht="24" customHeight="1" x14ac:dyDescent="0.2">
      <c r="B160" s="6" t="s">
        <v>206</v>
      </c>
    </row>
    <row r="161" spans="2:7" ht="24" customHeight="1" x14ac:dyDescent="0.2">
      <c r="B161" s="68"/>
      <c r="C161" s="69" t="s">
        <v>207</v>
      </c>
      <c r="D161" s="69" t="s">
        <v>208</v>
      </c>
      <c r="E161" s="70" t="s">
        <v>209</v>
      </c>
    </row>
    <row r="162" spans="2:7" ht="24" customHeight="1" x14ac:dyDescent="0.2">
      <c r="B162" s="61" t="s">
        <v>210</v>
      </c>
      <c r="C162" s="71" t="s">
        <v>211</v>
      </c>
      <c r="D162" s="35" t="s">
        <v>169</v>
      </c>
      <c r="E162" s="72" t="s">
        <v>212</v>
      </c>
    </row>
    <row r="163" spans="2:7" ht="24" customHeight="1" x14ac:dyDescent="0.2">
      <c r="B163" s="64" t="s">
        <v>213</v>
      </c>
      <c r="C163" s="73" t="s">
        <v>169</v>
      </c>
      <c r="D163" s="73" t="s">
        <v>169</v>
      </c>
      <c r="E163" s="74" t="s">
        <v>212</v>
      </c>
    </row>
    <row r="165" spans="2:7" ht="24" customHeight="1" x14ac:dyDescent="0.2">
      <c r="B165" s="6" t="s">
        <v>214</v>
      </c>
    </row>
    <row r="166" spans="2:7" ht="24" customHeight="1" x14ac:dyDescent="0.2">
      <c r="B166" s="75" t="s">
        <v>207</v>
      </c>
      <c r="C166" s="76" t="s">
        <v>215</v>
      </c>
      <c r="D166" s="77"/>
      <c r="E166" s="77" t="s">
        <v>216</v>
      </c>
      <c r="F166" s="77"/>
      <c r="G166" s="78"/>
    </row>
    <row r="167" spans="2:7" ht="24" customHeight="1" x14ac:dyDescent="0.2">
      <c r="B167" s="79"/>
      <c r="C167" s="80" t="s">
        <v>217</v>
      </c>
      <c r="D167" s="80" t="s">
        <v>218</v>
      </c>
      <c r="E167" s="80" t="s">
        <v>217</v>
      </c>
      <c r="F167" s="81" t="s">
        <v>218</v>
      </c>
      <c r="G167" s="82"/>
    </row>
    <row r="168" spans="2:7" ht="24" customHeight="1" x14ac:dyDescent="0.2">
      <c r="B168" s="83" t="s">
        <v>219</v>
      </c>
      <c r="C168" s="84">
        <v>433</v>
      </c>
      <c r="D168" s="85">
        <v>2740.2772607000002</v>
      </c>
      <c r="E168" s="86">
        <v>0</v>
      </c>
      <c r="F168" s="87">
        <v>0</v>
      </c>
      <c r="G168" s="88"/>
    </row>
    <row r="169" spans="2:7" ht="24" customHeight="1" x14ac:dyDescent="0.2">
      <c r="B169" s="89" t="s">
        <v>220</v>
      </c>
      <c r="C169" s="90">
        <v>0</v>
      </c>
      <c r="D169" s="91">
        <v>0</v>
      </c>
      <c r="E169" s="92">
        <v>0</v>
      </c>
      <c r="F169" s="93">
        <v>0</v>
      </c>
      <c r="G169" s="94"/>
    </row>
    <row r="170" spans="2:7" ht="24" customHeight="1" x14ac:dyDescent="0.2">
      <c r="B170" s="95" t="s">
        <v>221</v>
      </c>
      <c r="C170" s="96"/>
      <c r="D170" s="96"/>
      <c r="E170" s="96"/>
      <c r="F170" s="97">
        <v>352.7028363</v>
      </c>
      <c r="G170" s="98"/>
    </row>
    <row r="171" spans="2:7" ht="24" customHeight="1" x14ac:dyDescent="0.2">
      <c r="B171" s="75" t="s">
        <v>222</v>
      </c>
      <c r="C171" s="77" t="s">
        <v>215</v>
      </c>
      <c r="D171" s="77"/>
      <c r="E171" s="77" t="s">
        <v>216</v>
      </c>
      <c r="F171" s="77"/>
      <c r="G171" s="78"/>
    </row>
    <row r="172" spans="2:7" ht="24" customHeight="1" x14ac:dyDescent="0.2">
      <c r="B172" s="99"/>
      <c r="C172" s="80" t="s">
        <v>217</v>
      </c>
      <c r="D172" s="80" t="s">
        <v>218</v>
      </c>
      <c r="E172" s="80" t="s">
        <v>217</v>
      </c>
      <c r="F172" s="81" t="s">
        <v>218</v>
      </c>
      <c r="G172" s="82"/>
    </row>
    <row r="173" spans="2:7" ht="24" customHeight="1" x14ac:dyDescent="0.2">
      <c r="B173" s="83" t="s">
        <v>219</v>
      </c>
      <c r="C173" s="84">
        <v>0</v>
      </c>
      <c r="D173" s="85">
        <v>0</v>
      </c>
      <c r="E173" s="86">
        <v>0</v>
      </c>
      <c r="F173" s="87">
        <v>0</v>
      </c>
      <c r="G173" s="88"/>
    </row>
    <row r="174" spans="2:7" ht="24" customHeight="1" x14ac:dyDescent="0.2">
      <c r="B174" s="89" t="s">
        <v>220</v>
      </c>
      <c r="C174" s="90">
        <v>0</v>
      </c>
      <c r="D174" s="91">
        <v>0</v>
      </c>
      <c r="E174" s="92">
        <v>0</v>
      </c>
      <c r="F174" s="93">
        <v>0</v>
      </c>
      <c r="G174" s="94"/>
    </row>
    <row r="175" spans="2:7" ht="24" customHeight="1" x14ac:dyDescent="0.2">
      <c r="B175" s="95" t="s">
        <v>221</v>
      </c>
      <c r="C175" s="96"/>
      <c r="D175" s="96"/>
      <c r="E175" s="96"/>
      <c r="F175" s="97">
        <v>0</v>
      </c>
      <c r="G175" s="98"/>
    </row>
    <row r="176" spans="2:7" ht="24" customHeight="1" x14ac:dyDescent="0.2">
      <c r="B176" s="75" t="s">
        <v>209</v>
      </c>
      <c r="C176" s="77" t="s">
        <v>215</v>
      </c>
      <c r="D176" s="77"/>
      <c r="E176" s="77" t="s">
        <v>216</v>
      </c>
      <c r="F176" s="77"/>
      <c r="G176" s="78"/>
    </row>
    <row r="177" spans="2:8" ht="24" customHeight="1" x14ac:dyDescent="0.2">
      <c r="B177" s="99"/>
      <c r="C177" s="80" t="s">
        <v>217</v>
      </c>
      <c r="D177" s="80" t="s">
        <v>218</v>
      </c>
      <c r="E177" s="80" t="s">
        <v>217</v>
      </c>
      <c r="F177" s="81" t="s">
        <v>218</v>
      </c>
      <c r="G177" s="82"/>
    </row>
    <row r="178" spans="2:8" ht="24" customHeight="1" x14ac:dyDescent="0.2">
      <c r="B178" s="83" t="s">
        <v>219</v>
      </c>
      <c r="C178" s="84">
        <v>0</v>
      </c>
      <c r="D178" s="85">
        <v>0</v>
      </c>
      <c r="E178" s="86">
        <v>0</v>
      </c>
      <c r="F178" s="87">
        <v>0</v>
      </c>
      <c r="G178" s="88"/>
    </row>
    <row r="179" spans="2:8" ht="24" customHeight="1" x14ac:dyDescent="0.2">
      <c r="B179" s="89" t="s">
        <v>220</v>
      </c>
      <c r="C179" s="90">
        <v>0</v>
      </c>
      <c r="D179" s="91">
        <v>0</v>
      </c>
      <c r="E179" s="92">
        <v>0</v>
      </c>
      <c r="F179" s="93">
        <v>0</v>
      </c>
      <c r="G179" s="94"/>
    </row>
    <row r="180" spans="2:8" ht="24" customHeight="1" x14ac:dyDescent="0.2">
      <c r="B180" s="95" t="s">
        <v>221</v>
      </c>
      <c r="C180" s="96"/>
      <c r="D180" s="96"/>
      <c r="E180" s="96"/>
      <c r="F180" s="97">
        <v>0</v>
      </c>
      <c r="G180" s="98"/>
    </row>
    <row r="182" spans="2:8" ht="24" customHeight="1" x14ac:dyDescent="0.2">
      <c r="B182" s="6" t="s">
        <v>223</v>
      </c>
      <c r="D182" s="35" t="s">
        <v>169</v>
      </c>
    </row>
    <row r="184" spans="2:8" ht="24" customHeight="1" x14ac:dyDescent="0.2">
      <c r="B184" s="6" t="s">
        <v>224</v>
      </c>
      <c r="D184" s="35" t="s">
        <v>169</v>
      </c>
    </row>
    <row r="186" spans="2:8" ht="24" customHeight="1" x14ac:dyDescent="0.2">
      <c r="B186" s="6" t="s">
        <v>225</v>
      </c>
      <c r="D186" s="35">
        <v>0.19</v>
      </c>
    </row>
    <row r="188" spans="2:8" ht="24" customHeight="1" x14ac:dyDescent="0.2">
      <c r="B188" s="6" t="s">
        <v>226</v>
      </c>
    </row>
    <row r="189" spans="2:8" ht="24" customHeight="1" x14ac:dyDescent="0.2">
      <c r="B189" s="55" t="s">
        <v>227</v>
      </c>
      <c r="C189" s="100" t="s">
        <v>228</v>
      </c>
      <c r="D189" s="45"/>
    </row>
    <row r="190" spans="2:8" ht="24" customHeight="1" x14ac:dyDescent="0.2">
      <c r="B190" s="58" t="s">
        <v>200</v>
      </c>
      <c r="C190" s="101"/>
      <c r="D190" s="4"/>
      <c r="E190" s="4"/>
      <c r="F190" s="4"/>
      <c r="G190" s="4"/>
      <c r="H190" s="4"/>
    </row>
    <row r="191" spans="2:8" ht="24" customHeight="1" x14ac:dyDescent="0.2">
      <c r="B191" s="61" t="s">
        <v>229</v>
      </c>
      <c r="C191" s="63">
        <v>7.0400000000000004E-2</v>
      </c>
      <c r="D191" s="4"/>
      <c r="E191" s="4"/>
      <c r="F191" s="4"/>
      <c r="G191" s="4"/>
      <c r="H191" s="4"/>
    </row>
    <row r="192" spans="2:8" ht="24" customHeight="1" x14ac:dyDescent="0.2">
      <c r="B192" s="61" t="s">
        <v>204</v>
      </c>
      <c r="C192" s="63">
        <v>1.0173000000000001</v>
      </c>
      <c r="D192" s="4"/>
      <c r="E192" s="4"/>
      <c r="F192" s="4"/>
      <c r="G192" s="4"/>
      <c r="H192" s="4"/>
    </row>
    <row r="193" spans="2:8" ht="24" customHeight="1" x14ac:dyDescent="0.2">
      <c r="B193" s="58" t="s">
        <v>205</v>
      </c>
      <c r="C193" s="101"/>
      <c r="D193" s="4"/>
      <c r="E193" s="4"/>
      <c r="F193" s="4"/>
      <c r="G193" s="4"/>
      <c r="H193" s="4"/>
    </row>
    <row r="194" spans="2:8" ht="24" customHeight="1" x14ac:dyDescent="0.2">
      <c r="B194" s="61" t="s">
        <v>229</v>
      </c>
      <c r="C194" s="63">
        <v>6.3899999999999998E-2</v>
      </c>
      <c r="D194" s="4"/>
      <c r="E194" s="4"/>
      <c r="F194" s="4"/>
      <c r="G194" s="4"/>
      <c r="H194" s="4"/>
    </row>
    <row r="195" spans="2:8" ht="24" customHeight="1" x14ac:dyDescent="0.2">
      <c r="B195" s="64" t="s">
        <v>204</v>
      </c>
      <c r="C195" s="66">
        <v>0.95489999999999997</v>
      </c>
      <c r="D195" s="4"/>
      <c r="E195" s="4"/>
      <c r="F195" s="4"/>
      <c r="G195" s="4"/>
      <c r="H195" s="4"/>
    </row>
    <row r="196" spans="2:8" ht="24" customHeight="1" x14ac:dyDescent="0.2">
      <c r="B196" s="6" t="s">
        <v>230</v>
      </c>
      <c r="C196" s="67"/>
      <c r="D196" s="4"/>
      <c r="E196" s="4"/>
      <c r="F196" s="4"/>
      <c r="G196" s="4"/>
      <c r="H196" s="4"/>
    </row>
    <row r="198" spans="2:8" ht="24" customHeight="1" x14ac:dyDescent="0.2">
      <c r="B198" s="6" t="s">
        <v>231</v>
      </c>
      <c r="D198" s="35" t="s">
        <v>169</v>
      </c>
    </row>
    <row r="199" spans="2:8" ht="24" customHeight="1" x14ac:dyDescent="0.2">
      <c r="B199" s="6" t="s">
        <v>232</v>
      </c>
      <c r="D199" s="35" t="s">
        <v>169</v>
      </c>
    </row>
    <row r="201" spans="2:8" ht="24" customHeight="1" x14ac:dyDescent="0.2">
      <c r="B201" s="102" t="s">
        <v>233</v>
      </c>
      <c r="D201" s="35" t="s">
        <v>169</v>
      </c>
    </row>
    <row r="203" spans="2:8" ht="24" customHeight="1" x14ac:dyDescent="0.2">
      <c r="B203" s="6" t="s">
        <v>234</v>
      </c>
      <c r="D203" s="35" t="s">
        <v>169</v>
      </c>
    </row>
    <row r="205" spans="2:8" ht="24" customHeight="1" x14ac:dyDescent="0.2">
      <c r="B205" s="45" t="s">
        <v>235</v>
      </c>
    </row>
    <row r="206" spans="2:8" s="107" customFormat="1" ht="24" customHeight="1" x14ac:dyDescent="0.2">
      <c r="B206" s="103" t="s">
        <v>236</v>
      </c>
      <c r="C206" s="103" t="s">
        <v>237</v>
      </c>
      <c r="D206" s="103" t="s">
        <v>238</v>
      </c>
      <c r="E206" s="104" t="s">
        <v>239</v>
      </c>
      <c r="F206" s="104" t="s">
        <v>240</v>
      </c>
      <c r="G206" s="105"/>
      <c r="H206" s="106"/>
    </row>
    <row r="207" spans="2:8" ht="24" customHeight="1" x14ac:dyDescent="0.2">
      <c r="B207" s="108" t="s">
        <v>37</v>
      </c>
      <c r="C207" s="108" t="s">
        <v>241</v>
      </c>
      <c r="D207" s="108">
        <v>1351.6476</v>
      </c>
      <c r="E207" s="109">
        <v>1315.2</v>
      </c>
      <c r="F207" s="109">
        <v>55.415162899999999</v>
      </c>
    </row>
    <row r="208" spans="2:8" ht="24" customHeight="1" x14ac:dyDescent="0.2">
      <c r="B208" s="108" t="s">
        <v>45</v>
      </c>
      <c r="C208" s="108" t="s">
        <v>241</v>
      </c>
      <c r="D208" s="108">
        <v>414.60939999999999</v>
      </c>
      <c r="E208" s="109">
        <v>402.5</v>
      </c>
      <c r="F208" s="109">
        <v>35.527548000000003</v>
      </c>
    </row>
    <row r="209" spans="2:6" ht="24" customHeight="1" x14ac:dyDescent="0.2">
      <c r="B209" s="108" t="s">
        <v>25</v>
      </c>
      <c r="C209" s="108" t="s">
        <v>241</v>
      </c>
      <c r="D209" s="108">
        <v>851.9</v>
      </c>
      <c r="E209" s="109">
        <v>804.5</v>
      </c>
      <c r="F209" s="109">
        <v>68.893357499999993</v>
      </c>
    </row>
    <row r="210" spans="2:6" ht="24" customHeight="1" x14ac:dyDescent="0.2">
      <c r="B210" s="108" t="s">
        <v>58</v>
      </c>
      <c r="C210" s="108" t="s">
        <v>241</v>
      </c>
      <c r="D210" s="108">
        <v>1242.83</v>
      </c>
      <c r="E210" s="109">
        <v>1227.2</v>
      </c>
      <c r="F210" s="109">
        <v>8.1455400000000004</v>
      </c>
    </row>
    <row r="211" spans="2:6" ht="24" customHeight="1" x14ac:dyDescent="0.2">
      <c r="B211" s="108" t="s">
        <v>163</v>
      </c>
      <c r="C211" s="108" t="s">
        <v>241</v>
      </c>
      <c r="D211" s="108">
        <v>302.5</v>
      </c>
      <c r="E211" s="109">
        <v>289.35000000000002</v>
      </c>
      <c r="F211" s="109">
        <v>0.98020209999999997</v>
      </c>
    </row>
    <row r="212" spans="2:6" ht="24" customHeight="1" x14ac:dyDescent="0.2">
      <c r="B212" s="108" t="s">
        <v>22</v>
      </c>
      <c r="C212" s="108" t="s">
        <v>241</v>
      </c>
      <c r="D212" s="108">
        <v>765.7</v>
      </c>
      <c r="E212" s="109">
        <v>735.9</v>
      </c>
      <c r="F212" s="109">
        <v>57.149994</v>
      </c>
    </row>
    <row r="213" spans="2:6" ht="24" customHeight="1" x14ac:dyDescent="0.2">
      <c r="B213" s="108" t="s">
        <v>64</v>
      </c>
      <c r="C213" s="108" t="s">
        <v>241</v>
      </c>
      <c r="D213" s="108">
        <v>2102.8332999999998</v>
      </c>
      <c r="E213" s="109">
        <v>2061.6999999999998</v>
      </c>
      <c r="F213" s="109">
        <v>6.5648650999999996</v>
      </c>
    </row>
    <row r="214" spans="2:6" ht="24" customHeight="1" x14ac:dyDescent="0.2">
      <c r="B214" s="108" t="s">
        <v>43</v>
      </c>
      <c r="C214" s="108" t="s">
        <v>241</v>
      </c>
      <c r="D214" s="108">
        <v>1238.7909</v>
      </c>
      <c r="E214" s="109">
        <v>1211.8</v>
      </c>
      <c r="F214" s="109">
        <v>16.487629600000002</v>
      </c>
    </row>
    <row r="215" spans="2:6" ht="24" customHeight="1" x14ac:dyDescent="0.2">
      <c r="B215" s="108" t="s">
        <v>48</v>
      </c>
      <c r="C215" s="108" t="s">
        <v>241</v>
      </c>
      <c r="D215" s="108">
        <v>364.76760000000002</v>
      </c>
      <c r="E215" s="109">
        <v>354.55</v>
      </c>
      <c r="F215" s="109">
        <v>21.324764299999998</v>
      </c>
    </row>
    <row r="216" spans="2:6" ht="24" customHeight="1" x14ac:dyDescent="0.2">
      <c r="B216" s="108" t="s">
        <v>50</v>
      </c>
      <c r="C216" s="108" t="s">
        <v>241</v>
      </c>
      <c r="D216" s="108">
        <v>3593.4</v>
      </c>
      <c r="E216" s="109">
        <v>3515</v>
      </c>
      <c r="F216" s="109">
        <v>5.4992175000000003</v>
      </c>
    </row>
    <row r="217" spans="2:6" ht="24" customHeight="1" x14ac:dyDescent="0.2">
      <c r="B217" s="108" t="s">
        <v>40</v>
      </c>
      <c r="C217" s="108" t="s">
        <v>241</v>
      </c>
      <c r="D217" s="108">
        <v>78.240399999999994</v>
      </c>
      <c r="E217" s="109">
        <v>76.53</v>
      </c>
      <c r="F217" s="109">
        <v>89.091021999999995</v>
      </c>
    </row>
    <row r="218" spans="2:6" ht="24" customHeight="1" x14ac:dyDescent="0.2">
      <c r="B218" s="108" t="s">
        <v>19</v>
      </c>
      <c r="C218" s="108" t="s">
        <v>241</v>
      </c>
      <c r="D218" s="108">
        <v>1379.1253999999999</v>
      </c>
      <c r="E218" s="109">
        <v>1349.3</v>
      </c>
      <c r="F218" s="109">
        <v>65.602965999999995</v>
      </c>
    </row>
    <row r="219" spans="2:6" ht="24" customHeight="1" x14ac:dyDescent="0.2">
      <c r="B219" s="108" t="s">
        <v>16</v>
      </c>
      <c r="C219" s="108" t="s">
        <v>241</v>
      </c>
      <c r="D219" s="108">
        <v>195.26050000000001</v>
      </c>
      <c r="E219" s="109">
        <v>192.45</v>
      </c>
      <c r="F219" s="109">
        <v>106.93878770000001</v>
      </c>
    </row>
    <row r="220" spans="2:6" ht="24" customHeight="1" x14ac:dyDescent="0.2">
      <c r="B220" s="108" t="s">
        <v>121</v>
      </c>
      <c r="C220" s="108" t="s">
        <v>241</v>
      </c>
      <c r="D220" s="108">
        <v>606.25</v>
      </c>
      <c r="E220" s="109">
        <v>573.85</v>
      </c>
      <c r="F220" s="109">
        <v>2.1668576000000002</v>
      </c>
    </row>
    <row r="221" spans="2:6" ht="24" customHeight="1" x14ac:dyDescent="0.2">
      <c r="B221" s="108" t="s">
        <v>34</v>
      </c>
      <c r="C221" s="108" t="s">
        <v>241</v>
      </c>
      <c r="D221" s="108">
        <v>4045.5893999999998</v>
      </c>
      <c r="E221" s="109">
        <v>3962.9</v>
      </c>
      <c r="F221" s="109">
        <v>46.645314499999998</v>
      </c>
    </row>
    <row r="223" spans="2:6" ht="24" customHeight="1" x14ac:dyDescent="0.2">
      <c r="B223" s="45" t="s">
        <v>242</v>
      </c>
      <c r="C223" s="110">
        <f>-G102/100</f>
        <v>0.46100000000000002</v>
      </c>
    </row>
  </sheetData>
  <mergeCells count="21">
    <mergeCell ref="C176:D176"/>
    <mergeCell ref="E176:G176"/>
    <mergeCell ref="F177:G177"/>
    <mergeCell ref="F178:G178"/>
    <mergeCell ref="F179:G179"/>
    <mergeCell ref="B180:E180"/>
    <mergeCell ref="F180:G180"/>
    <mergeCell ref="C171:D171"/>
    <mergeCell ref="E171:G171"/>
    <mergeCell ref="F172:G172"/>
    <mergeCell ref="F173:G173"/>
    <mergeCell ref="F174:G174"/>
    <mergeCell ref="B175:E175"/>
    <mergeCell ref="F175:G175"/>
    <mergeCell ref="C166:D166"/>
    <mergeCell ref="E166:G166"/>
    <mergeCell ref="F167:G167"/>
    <mergeCell ref="F168:G168"/>
    <mergeCell ref="F169:G169"/>
    <mergeCell ref="B170:E170"/>
    <mergeCell ref="F170:G170"/>
  </mergeCell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Equity Savings</vt:lpstr>
      <vt:lpstr>'Equity Savings'!Hedging_Positions_through_Futures_AS_ON_MMMM_DD__YYYY___NIL</vt:lpstr>
      <vt:lpstr>'Equity Savings'!JPM_Footer_disp</vt:lpstr>
      <vt:lpstr>'Equity Savings'!JPM_Footer_disp12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2026-04-08T08:38:08Z</dcterms:modified>
</cp:coreProperties>
</file>