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201D493C-B7C1-46FF-B2F7-BC1495F5D2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Mid'!$B$151:$C$155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Mid'!$L$76:$M$91</definedName>
    <definedName name="JPM_Footer_disp" localSheetId="0">'Large Mid'!$L$82:$M$91</definedName>
    <definedName name="JPM_Footer_disp12" localSheetId="0">'Large Mid'!$L$76:$M$93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2" l="1"/>
  <c r="G103" i="2" s="1"/>
  <c r="F101" i="2"/>
  <c r="F103" i="2" s="1"/>
  <c r="G91" i="2"/>
  <c r="G97" i="2" s="1"/>
  <c r="F91" i="2"/>
  <c r="F97" i="2" s="1"/>
</calcChain>
</file>

<file path=xl/sharedStrings.xml><?xml version="1.0" encoding="utf-8"?>
<sst xmlns="http://schemas.openxmlformats.org/spreadsheetml/2006/main" count="303" uniqueCount="233">
  <si>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</si>
  <si>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</si>
  <si>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</si>
  <si>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</si>
  <si>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</si>
  <si>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</si>
  <si>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</si>
  <si>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</si>
  <si>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</si>
  <si>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</si>
  <si>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</si>
  <si>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</si>
  <si>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</si>
  <si>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</si>
  <si>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</si>
  <si>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</si>
  <si>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Reliance Industries Ltd.</t>
  </si>
  <si>
    <t>INE002A01018</t>
  </si>
  <si>
    <t>Petroleum Products</t>
  </si>
  <si>
    <t>ICICI Bank Ltd.</t>
  </si>
  <si>
    <t>INE090A01021</t>
  </si>
  <si>
    <t>Banks</t>
  </si>
  <si>
    <t>HDFC Bank Ltd.</t>
  </si>
  <si>
    <t>INE040A01034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</si>
  <si>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</si>
  <si>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</si>
  <si>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</si>
  <si>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</si>
  <si>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</si>
  <si>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</si>
  <si>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</si>
  <si>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</si>
  <si>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</si>
  <si>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Eternal Ltd.</t>
  </si>
  <si>
    <t>INE758T01015</t>
  </si>
  <si>
    <t>Retailing</t>
  </si>
  <si>
    <t>Solar Industries India Ltd.</t>
  </si>
  <si>
    <t>INE343H01029</t>
  </si>
  <si>
    <t>Chemicals &amp; Petrochemicals</t>
  </si>
  <si>
    <t>Bajaj Finance Ltd.</t>
  </si>
  <si>
    <t>INE296A01032</t>
  </si>
  <si>
    <t>Finance</t>
  </si>
  <si>
    <t>Mankind Pharma Ltd.</t>
  </si>
  <si>
    <t>INE634S01028</t>
  </si>
  <si>
    <t>Pharmaceuticals &amp; Biotechnology</t>
  </si>
  <si>
    <t>JK Cement Ltd.</t>
  </si>
  <si>
    <t>INE823G01014</t>
  </si>
  <si>
    <t>Cement &amp; Cement Products</t>
  </si>
  <si>
    <t>FSN E-Commerce Ventures Ltd.</t>
  </si>
  <si>
    <t>INE388Y01029</t>
  </si>
  <si>
    <t>ICICI Lombard General Insurance Co. Ltd.</t>
  </si>
  <si>
    <t>INE765G01017</t>
  </si>
  <si>
    <t>Insurance</t>
  </si>
  <si>
    <t>Bharti Hexacom Ltd.</t>
  </si>
  <si>
    <t>INE343G01021</t>
  </si>
  <si>
    <t>Info Edge (India) Ltd.</t>
  </si>
  <si>
    <t>INE663F01032</t>
  </si>
  <si>
    <t>ICICI Prudential Asset Mgmt Co Ltd.</t>
  </si>
  <si>
    <t>INE346A01027</t>
  </si>
  <si>
    <t>Capital Markets</t>
  </si>
  <si>
    <t>VARUN BEVERAGES LIMITED</t>
  </si>
  <si>
    <t>INE200M01039</t>
  </si>
  <si>
    <t>Beverages</t>
  </si>
  <si>
    <t>Muthoot Finance Ltd.</t>
  </si>
  <si>
    <t>INE414G01012</t>
  </si>
  <si>
    <t>Nestle India Ltd.</t>
  </si>
  <si>
    <t>INE239A01024</t>
  </si>
  <si>
    <t>Food Products</t>
  </si>
  <si>
    <t>Max Healthcare Institute Ltd.</t>
  </si>
  <si>
    <t>INE027H01010</t>
  </si>
  <si>
    <t>Healthcare Services</t>
  </si>
  <si>
    <t>State Bank of India</t>
  </si>
  <si>
    <t>INE062A01020</t>
  </si>
  <si>
    <t>Divi's Laboratories Ltd.</t>
  </si>
  <si>
    <t>INE361B01024</t>
  </si>
  <si>
    <t>Coromandel International Ltd.</t>
  </si>
  <si>
    <t>INE169A01031</t>
  </si>
  <si>
    <t>Fertilizers &amp; Agrochemicals</t>
  </si>
  <si>
    <t>Supreme Industries Ltd.</t>
  </si>
  <si>
    <t>INE195A01028</t>
  </si>
  <si>
    <t>Industrial Products</t>
  </si>
  <si>
    <t>Bharat Electronics Ltd.</t>
  </si>
  <si>
    <t>INE263A01024</t>
  </si>
  <si>
    <t>Aerospace &amp; Defense</t>
  </si>
  <si>
    <t>UNO Minda Ltd.</t>
  </si>
  <si>
    <t>INE405E01023</t>
  </si>
  <si>
    <t>Auto Components</t>
  </si>
  <si>
    <t>PB Fintech Ltd.</t>
  </si>
  <si>
    <t>INE417T01026</t>
  </si>
  <si>
    <t>Financial Technology (Fintech)</t>
  </si>
  <si>
    <t>Maruti Suzuki India Ltd.</t>
  </si>
  <si>
    <t>INE585B01010</t>
  </si>
  <si>
    <t>Automobiles</t>
  </si>
  <si>
    <t>Multi Commodity Exchange Of India Ltd.</t>
  </si>
  <si>
    <t>INE745G01043</t>
  </si>
  <si>
    <t>SBI Life Insurance Company Ltd.</t>
  </si>
  <si>
    <t>INE123W01016</t>
  </si>
  <si>
    <t>Ajanta Pharma Ltd.</t>
  </si>
  <si>
    <t>INE031B01049</t>
  </si>
  <si>
    <t>AU Small Finance Bank Ltd.</t>
  </si>
  <si>
    <t>INE949L01017</t>
  </si>
  <si>
    <t>Dixon Technologies (India) Ltd.</t>
  </si>
  <si>
    <t>INE935N01020</t>
  </si>
  <si>
    <t>Consumer Durables</t>
  </si>
  <si>
    <t>JSW Infrastructure Ltd.</t>
  </si>
  <si>
    <t>INE880J01026</t>
  </si>
  <si>
    <t>Transport Infrastructure</t>
  </si>
  <si>
    <t>CG Power and Industrial Solutions Ltd.</t>
  </si>
  <si>
    <t>INE067A01029</t>
  </si>
  <si>
    <t>Electrical Equipment</t>
  </si>
  <si>
    <t>Power Finance Corporation Ltd.</t>
  </si>
  <si>
    <t>INE134E01011</t>
  </si>
  <si>
    <t>Blue Star Ltd.</t>
  </si>
  <si>
    <t>INE472A01039</t>
  </si>
  <si>
    <t>Vishal Mega Mart Ltd</t>
  </si>
  <si>
    <t>INE01EA01019</t>
  </si>
  <si>
    <t>Anthem Biosciences Ltd.</t>
  </si>
  <si>
    <t>INE0CZ201020</t>
  </si>
  <si>
    <t>NTPC Ltd.</t>
  </si>
  <si>
    <t>INE733E01010</t>
  </si>
  <si>
    <t>Power</t>
  </si>
  <si>
    <t>Max Financial Services Ltd.</t>
  </si>
  <si>
    <t>INE180A01020</t>
  </si>
  <si>
    <t>Global Health Ltd.</t>
  </si>
  <si>
    <t>INE474Q01031</t>
  </si>
  <si>
    <t>LG Electronics India Ltd.</t>
  </si>
  <si>
    <t>INE324D01010</t>
  </si>
  <si>
    <t>TVS Motor Company Ltd.</t>
  </si>
  <si>
    <t>INE494B01023</t>
  </si>
  <si>
    <t>Rubicon Research Ltd.</t>
  </si>
  <si>
    <t>INE506V01022</t>
  </si>
  <si>
    <t>Mahindra &amp; Mahindra Ltd.</t>
  </si>
  <si>
    <t>INE101A01026</t>
  </si>
  <si>
    <t>SRF Ltd.</t>
  </si>
  <si>
    <t>INE647A01010</t>
  </si>
  <si>
    <t>Shriram Finance Ltd.</t>
  </si>
  <si>
    <t>INE721A01047</t>
  </si>
  <si>
    <t>Prestige Estates Projects Ltd.</t>
  </si>
  <si>
    <t>INE811K01011</t>
  </si>
  <si>
    <t>Realty</t>
  </si>
  <si>
    <t>Tube Investments Of India Ltd.</t>
  </si>
  <si>
    <t>INE974X01010</t>
  </si>
  <si>
    <t>Bharat Petroleum Corporation Ltd.</t>
  </si>
  <si>
    <t>INE029A01011</t>
  </si>
  <si>
    <t>Pidilite Industries Ltd.</t>
  </si>
  <si>
    <t>INE318A01026</t>
  </si>
  <si>
    <t>JB Chemicals &amp; Pharmaceuticals Ltd.</t>
  </si>
  <si>
    <t>INE572A01036</t>
  </si>
  <si>
    <t>The Federal Bank Ltd.</t>
  </si>
  <si>
    <t>INE171A01029</t>
  </si>
  <si>
    <t>Ashok Leyland Ltd.</t>
  </si>
  <si>
    <t>INE208A01029</t>
  </si>
  <si>
    <t>Agricultural, Commercial &amp; Construction Vehicles</t>
  </si>
  <si>
    <t>Titan Company Ltd.</t>
  </si>
  <si>
    <t>INE280A01028</t>
  </si>
  <si>
    <t>One 97 Communications Ltd.</t>
  </si>
  <si>
    <t>INE982J01020</t>
  </si>
  <si>
    <t>Sun Pharmaceutical Industries Ltd.</t>
  </si>
  <si>
    <t>INE044A01036</t>
  </si>
  <si>
    <t>360 One Wam Ltd.</t>
  </si>
  <si>
    <t>INE466L01038</t>
  </si>
  <si>
    <t>Cholamandalam Investment &amp; Finance Company Ltd.</t>
  </si>
  <si>
    <t>INE121A01024</t>
  </si>
  <si>
    <t>Nippon Life India Asset Management Ltd.</t>
  </si>
  <si>
    <t>INE298J01013</t>
  </si>
  <si>
    <t>Voltas Ltd.</t>
  </si>
  <si>
    <t>INE226A01021</t>
  </si>
  <si>
    <t>Bharat Forge Ltd.</t>
  </si>
  <si>
    <t>INE465A01025</t>
  </si>
  <si>
    <t>Container Corporation Of India Ltd.</t>
  </si>
  <si>
    <t>INE111A01025</t>
  </si>
  <si>
    <t>Transport Services</t>
  </si>
  <si>
    <t>Physicswallah Ltd.</t>
  </si>
  <si>
    <t>INE0LP301011</t>
  </si>
  <si>
    <t>Other Consumer Services</t>
  </si>
  <si>
    <t>Astral Ltd.</t>
  </si>
  <si>
    <t>INE006I01046</t>
  </si>
  <si>
    <t>Urban Company Ltd.</t>
  </si>
  <si>
    <t>INE0CAZ01013</t>
  </si>
  <si>
    <t>KEI Industries Ltd.</t>
  </si>
  <si>
    <t>INE878B01027</t>
  </si>
  <si>
    <t>The Phoenix Mills Ltd.</t>
  </si>
  <si>
    <t>INE211B01039</t>
  </si>
  <si>
    <t>United Spirits Ltd.</t>
  </si>
  <si>
    <t>INE854D01024</t>
  </si>
  <si>
    <t>Hexaware Technologies Ltd.</t>
  </si>
  <si>
    <t>INE093A01041</t>
  </si>
  <si>
    <t>Endurance Technologies Ltd.</t>
  </si>
  <si>
    <t>INE913H01037</t>
  </si>
  <si>
    <t>Schaeffler India Ltd.</t>
  </si>
  <si>
    <t>INE513A01022</t>
  </si>
  <si>
    <t>Akzo Nobel India Ltd.</t>
  </si>
  <si>
    <t>INE133A01011</t>
  </si>
  <si>
    <t>Jubilant Foodworks Ltd.</t>
  </si>
  <si>
    <t>INE797F01020</t>
  </si>
  <si>
    <t>Leisure Services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</si>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</sst>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168" fontId="3" fillId="0" borderId="8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9A909203-9DE4-474D-B3EC-219B39AD851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95BCF-26B6-4ED9-8183-3A76AD9F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146050</xdr:colOff>
      <xdr:row>3</xdr:row>
      <xdr:rowOff>22225</xdr:rowOff>
    </xdr:from>
    <xdr:to>
      <xdr:col>6</xdr:col>
      <xdr:colOff>917575</xdr:colOff>
      <xdr:row>8</xdr:row>
      <xdr:rowOff>193675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57559-E40A-4DB5-93FC-500E5DAAE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5900" y="936625"/>
          <a:ext cx="28860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0C95-102F-494B-8713-B31889EA1EC6}">
  <sheetPr>
    <tabColor rgb="FFC00000"/>
  </sheetPr>
  <dimension ref="B1:M163"/>
  <sheetViews>
    <sheetView showGridLines="0" tabSelected="1" workbookViewId="0">
      <selection activeCell="B3" sqref="B3:H10"/>
    </sheetView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224891</v>
      </c>
      <c r="F16" s="19">
        <v>3022.31</v>
      </c>
      <c r="G16" s="20">
        <v>4.26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240460</v>
      </c>
      <c r="F17" s="19">
        <v>2899.71</v>
      </c>
      <c r="G17" s="20">
        <v>4.09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21</v>
      </c>
      <c r="E18" s="18">
        <v>376554</v>
      </c>
      <c r="F18" s="19">
        <v>2754.68</v>
      </c>
      <c r="G18" s="20">
        <v>3.89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60158</v>
      </c>
      <c r="F19" s="19">
        <v>2108</v>
      </c>
      <c r="G19" s="20">
        <v>2.97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113763</v>
      </c>
      <c r="F20" s="19">
        <v>2027.71</v>
      </c>
      <c r="G20" s="20">
        <v>2.86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76610</v>
      </c>
      <c r="F21" s="19">
        <v>1807.15</v>
      </c>
      <c r="G21" s="20">
        <v>2.5499999999999998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621953</v>
      </c>
      <c r="F22" s="19">
        <v>1424.15</v>
      </c>
      <c r="G22" s="20">
        <v>2.0099999999999998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38</v>
      </c>
      <c r="E23" s="18">
        <v>11748</v>
      </c>
      <c r="F23" s="19">
        <v>1418.69</v>
      </c>
      <c r="G23" s="20">
        <v>2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41</v>
      </c>
      <c r="E24" s="18">
        <v>174680</v>
      </c>
      <c r="F24" s="19">
        <v>1400.15</v>
      </c>
      <c r="G24" s="20">
        <v>1.98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44</v>
      </c>
      <c r="E25" s="18">
        <v>65470</v>
      </c>
      <c r="F25" s="19">
        <v>1313.2</v>
      </c>
      <c r="G25" s="20">
        <v>1.85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47</v>
      </c>
      <c r="E26" s="18">
        <v>25413</v>
      </c>
      <c r="F26" s="19">
        <v>1290.98</v>
      </c>
      <c r="G26" s="20">
        <v>1.82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35</v>
      </c>
      <c r="E27" s="18">
        <v>539952</v>
      </c>
      <c r="F27" s="19">
        <v>1268.8900000000001</v>
      </c>
      <c r="G27" s="20">
        <v>1.79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52</v>
      </c>
      <c r="E28" s="18">
        <v>71795</v>
      </c>
      <c r="F28" s="19">
        <v>1228.1300000000001</v>
      </c>
      <c r="G28" s="20">
        <v>1.73</v>
      </c>
      <c r="H28" s="21"/>
    </row>
    <row r="29" spans="2:8" ht="24" customHeight="1" x14ac:dyDescent="0.2">
      <c r="B29" s="17" t="s">
        <v>53</v>
      </c>
      <c r="C29" s="17" t="s">
        <v>54</v>
      </c>
      <c r="D29" s="17" t="s">
        <v>29</v>
      </c>
      <c r="E29" s="18">
        <v>81310</v>
      </c>
      <c r="F29" s="19">
        <v>1226.72</v>
      </c>
      <c r="G29" s="20">
        <v>1.73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35</v>
      </c>
      <c r="E30" s="18">
        <v>125959</v>
      </c>
      <c r="F30" s="19">
        <v>1218.9100000000001</v>
      </c>
      <c r="G30" s="20">
        <v>1.72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59</v>
      </c>
      <c r="E31" s="18">
        <v>42048</v>
      </c>
      <c r="F31" s="19">
        <v>1177.97</v>
      </c>
      <c r="G31" s="20">
        <v>1.66</v>
      </c>
      <c r="H31" s="21"/>
    </row>
    <row r="32" spans="2:8" ht="24" customHeight="1" x14ac:dyDescent="0.2">
      <c r="B32" s="17" t="s">
        <v>60</v>
      </c>
      <c r="C32" s="17" t="s">
        <v>61</v>
      </c>
      <c r="D32" s="17" t="s">
        <v>62</v>
      </c>
      <c r="E32" s="18">
        <v>302895</v>
      </c>
      <c r="F32" s="19">
        <v>1163.42</v>
      </c>
      <c r="G32" s="20">
        <v>1.64</v>
      </c>
      <c r="H32" s="21"/>
    </row>
    <row r="33" spans="2:8" ht="24" customHeight="1" x14ac:dyDescent="0.2">
      <c r="B33" s="17" t="s">
        <v>63</v>
      </c>
      <c r="C33" s="17" t="s">
        <v>64</v>
      </c>
      <c r="D33" s="17" t="s">
        <v>41</v>
      </c>
      <c r="E33" s="18">
        <v>35238</v>
      </c>
      <c r="F33" s="19">
        <v>1113.56</v>
      </c>
      <c r="G33" s="20">
        <v>1.57</v>
      </c>
      <c r="H33" s="21"/>
    </row>
    <row r="34" spans="2:8" ht="24" customHeight="1" x14ac:dyDescent="0.2">
      <c r="B34" s="17" t="s">
        <v>65</v>
      </c>
      <c r="C34" s="17" t="s">
        <v>66</v>
      </c>
      <c r="D34" s="17" t="s">
        <v>67</v>
      </c>
      <c r="E34" s="18">
        <v>93402</v>
      </c>
      <c r="F34" s="19">
        <v>1097.29</v>
      </c>
      <c r="G34" s="20">
        <v>1.55</v>
      </c>
      <c r="H34" s="21"/>
    </row>
    <row r="35" spans="2:8" ht="24" customHeight="1" x14ac:dyDescent="0.2">
      <c r="B35" s="17" t="s">
        <v>68</v>
      </c>
      <c r="C35" s="17" t="s">
        <v>69</v>
      </c>
      <c r="D35" s="17" t="s">
        <v>70</v>
      </c>
      <c r="E35" s="18">
        <v>112398</v>
      </c>
      <c r="F35" s="19">
        <v>1081.6099999999999</v>
      </c>
      <c r="G35" s="20">
        <v>1.53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21</v>
      </c>
      <c r="E36" s="18">
        <v>110131</v>
      </c>
      <c r="F36" s="19">
        <v>1078.6199999999999</v>
      </c>
      <c r="G36" s="20">
        <v>1.52</v>
      </c>
      <c r="H36" s="21"/>
    </row>
    <row r="37" spans="2:8" ht="24" customHeight="1" x14ac:dyDescent="0.2">
      <c r="B37" s="17" t="s">
        <v>73</v>
      </c>
      <c r="C37" s="17" t="s">
        <v>74</v>
      </c>
      <c r="D37" s="17" t="s">
        <v>44</v>
      </c>
      <c r="E37" s="18">
        <v>17640</v>
      </c>
      <c r="F37" s="19">
        <v>1049.05</v>
      </c>
      <c r="G37" s="20">
        <v>1.48</v>
      </c>
      <c r="H37" s="21"/>
    </row>
    <row r="38" spans="2:8" ht="24" customHeight="1" x14ac:dyDescent="0.2">
      <c r="B38" s="17" t="s">
        <v>75</v>
      </c>
      <c r="C38" s="17" t="s">
        <v>76</v>
      </c>
      <c r="D38" s="17" t="s">
        <v>77</v>
      </c>
      <c r="E38" s="18">
        <v>54577</v>
      </c>
      <c r="F38" s="19">
        <v>1042.31</v>
      </c>
      <c r="G38" s="20">
        <v>1.47</v>
      </c>
      <c r="H38" s="21"/>
    </row>
    <row r="39" spans="2:8" ht="24" customHeight="1" x14ac:dyDescent="0.2">
      <c r="B39" s="17" t="s">
        <v>78</v>
      </c>
      <c r="C39" s="17" t="s">
        <v>79</v>
      </c>
      <c r="D39" s="17" t="s">
        <v>80</v>
      </c>
      <c r="E39" s="18">
        <v>27778</v>
      </c>
      <c r="F39" s="19">
        <v>1040.31</v>
      </c>
      <c r="G39" s="20">
        <v>1.47</v>
      </c>
      <c r="H39" s="21"/>
    </row>
    <row r="40" spans="2:8" ht="24" customHeight="1" x14ac:dyDescent="0.2">
      <c r="B40" s="17" t="s">
        <v>81</v>
      </c>
      <c r="C40" s="17" t="s">
        <v>82</v>
      </c>
      <c r="D40" s="17" t="s">
        <v>83</v>
      </c>
      <c r="E40" s="18">
        <v>257207</v>
      </c>
      <c r="F40" s="19">
        <v>1030.5</v>
      </c>
      <c r="G40" s="20">
        <v>1.45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86</v>
      </c>
      <c r="E41" s="18">
        <v>99713</v>
      </c>
      <c r="F41" s="19">
        <v>1028.6400000000001</v>
      </c>
      <c r="G41" s="20">
        <v>1.45</v>
      </c>
      <c r="H41" s="21"/>
    </row>
    <row r="42" spans="2:8" ht="24" customHeight="1" x14ac:dyDescent="0.2">
      <c r="B42" s="17" t="s">
        <v>87</v>
      </c>
      <c r="C42" s="17" t="s">
        <v>88</v>
      </c>
      <c r="D42" s="17" t="s">
        <v>89</v>
      </c>
      <c r="E42" s="18">
        <v>69326</v>
      </c>
      <c r="F42" s="19">
        <v>989.84</v>
      </c>
      <c r="G42" s="20">
        <v>1.4</v>
      </c>
      <c r="H42" s="21"/>
    </row>
    <row r="43" spans="2:8" ht="24" customHeight="1" x14ac:dyDescent="0.2">
      <c r="B43" s="17" t="s">
        <v>90</v>
      </c>
      <c r="C43" s="17" t="s">
        <v>91</v>
      </c>
      <c r="D43" s="17" t="s">
        <v>92</v>
      </c>
      <c r="E43" s="18">
        <v>7725</v>
      </c>
      <c r="F43" s="19">
        <v>950.64</v>
      </c>
      <c r="G43" s="20">
        <v>1.34</v>
      </c>
      <c r="H43" s="21"/>
    </row>
    <row r="44" spans="2:8" ht="24" customHeight="1" x14ac:dyDescent="0.2">
      <c r="B44" s="17" t="s">
        <v>93</v>
      </c>
      <c r="C44" s="17" t="s">
        <v>94</v>
      </c>
      <c r="D44" s="17" t="s">
        <v>59</v>
      </c>
      <c r="E44" s="18">
        <v>39405</v>
      </c>
      <c r="F44" s="19">
        <v>941.54</v>
      </c>
      <c r="G44" s="20">
        <v>1.33</v>
      </c>
      <c r="H44" s="21"/>
    </row>
    <row r="45" spans="2:8" ht="24" customHeight="1" x14ac:dyDescent="0.2">
      <c r="B45" s="17" t="s">
        <v>95</v>
      </c>
      <c r="C45" s="17" t="s">
        <v>96</v>
      </c>
      <c r="D45" s="17" t="s">
        <v>52</v>
      </c>
      <c r="E45" s="18">
        <v>52695</v>
      </c>
      <c r="F45" s="19">
        <v>936.55</v>
      </c>
      <c r="G45" s="20">
        <v>1.32</v>
      </c>
      <c r="H45" s="21"/>
    </row>
    <row r="46" spans="2:8" ht="24" customHeight="1" x14ac:dyDescent="0.2">
      <c r="B46" s="17" t="s">
        <v>97</v>
      </c>
      <c r="C46" s="17" t="s">
        <v>98</v>
      </c>
      <c r="D46" s="17" t="s">
        <v>44</v>
      </c>
      <c r="E46" s="18">
        <v>33012</v>
      </c>
      <c r="F46" s="19">
        <v>926.02</v>
      </c>
      <c r="G46" s="20">
        <v>1.31</v>
      </c>
      <c r="H46" s="21"/>
    </row>
    <row r="47" spans="2:8" ht="24" customHeight="1" x14ac:dyDescent="0.2">
      <c r="B47" s="17" t="s">
        <v>99</v>
      </c>
      <c r="C47" s="17" t="s">
        <v>100</v>
      </c>
      <c r="D47" s="17" t="s">
        <v>21</v>
      </c>
      <c r="E47" s="18">
        <v>103147</v>
      </c>
      <c r="F47" s="19">
        <v>869.22</v>
      </c>
      <c r="G47" s="20">
        <v>1.23</v>
      </c>
      <c r="H47" s="21"/>
    </row>
    <row r="48" spans="2:8" ht="24" customHeight="1" x14ac:dyDescent="0.2">
      <c r="B48" s="17" t="s">
        <v>101</v>
      </c>
      <c r="C48" s="17" t="s">
        <v>102</v>
      </c>
      <c r="D48" s="17" t="s">
        <v>103</v>
      </c>
      <c r="E48" s="18">
        <v>8925</v>
      </c>
      <c r="F48" s="19">
        <v>863.32</v>
      </c>
      <c r="G48" s="20">
        <v>1.22</v>
      </c>
      <c r="H48" s="21"/>
    </row>
    <row r="49" spans="2:8" ht="24" customHeight="1" x14ac:dyDescent="0.2">
      <c r="B49" s="17" t="s">
        <v>104</v>
      </c>
      <c r="C49" s="17" t="s">
        <v>105</v>
      </c>
      <c r="D49" s="17" t="s">
        <v>106</v>
      </c>
      <c r="E49" s="18">
        <v>341254</v>
      </c>
      <c r="F49" s="19">
        <v>821.74</v>
      </c>
      <c r="G49" s="20">
        <v>1.1599999999999999</v>
      </c>
      <c r="H49" s="21"/>
    </row>
    <row r="50" spans="2:8" ht="24" customHeight="1" x14ac:dyDescent="0.2">
      <c r="B50" s="17" t="s">
        <v>107</v>
      </c>
      <c r="C50" s="17" t="s">
        <v>108</v>
      </c>
      <c r="D50" s="17" t="s">
        <v>109</v>
      </c>
      <c r="E50" s="18">
        <v>123974</v>
      </c>
      <c r="F50" s="19">
        <v>812.09</v>
      </c>
      <c r="G50" s="20">
        <v>1.1499999999999999</v>
      </c>
      <c r="H50" s="21"/>
    </row>
    <row r="51" spans="2:8" ht="24" customHeight="1" x14ac:dyDescent="0.2">
      <c r="B51" s="17" t="s">
        <v>110</v>
      </c>
      <c r="C51" s="17" t="s">
        <v>111</v>
      </c>
      <c r="D51" s="17" t="s">
        <v>41</v>
      </c>
      <c r="E51" s="18">
        <v>213558</v>
      </c>
      <c r="F51" s="19">
        <v>810.45</v>
      </c>
      <c r="G51" s="20">
        <v>1.1399999999999999</v>
      </c>
      <c r="H51" s="21"/>
    </row>
    <row r="52" spans="2:8" ht="24" customHeight="1" x14ac:dyDescent="0.2">
      <c r="B52" s="17" t="s">
        <v>112</v>
      </c>
      <c r="C52" s="17" t="s">
        <v>113</v>
      </c>
      <c r="D52" s="17" t="s">
        <v>103</v>
      </c>
      <c r="E52" s="18">
        <v>48550</v>
      </c>
      <c r="F52" s="19">
        <v>781.99</v>
      </c>
      <c r="G52" s="20">
        <v>1.1000000000000001</v>
      </c>
      <c r="H52" s="21"/>
    </row>
    <row r="53" spans="2:8" ht="24" customHeight="1" x14ac:dyDescent="0.2">
      <c r="B53" s="17" t="s">
        <v>114</v>
      </c>
      <c r="C53" s="17" t="s">
        <v>115</v>
      </c>
      <c r="D53" s="17" t="s">
        <v>35</v>
      </c>
      <c r="E53" s="18">
        <v>730577</v>
      </c>
      <c r="F53" s="19">
        <v>769.3</v>
      </c>
      <c r="G53" s="20">
        <v>1.0900000000000001</v>
      </c>
      <c r="H53" s="21"/>
    </row>
    <row r="54" spans="2:8" ht="24" customHeight="1" x14ac:dyDescent="0.2">
      <c r="B54" s="17" t="s">
        <v>116</v>
      </c>
      <c r="C54" s="17" t="s">
        <v>117</v>
      </c>
      <c r="D54" s="17" t="s">
        <v>44</v>
      </c>
      <c r="E54" s="18">
        <v>114823</v>
      </c>
      <c r="F54" s="19">
        <v>753.53</v>
      </c>
      <c r="G54" s="20">
        <v>1.06</v>
      </c>
      <c r="H54" s="21"/>
    </row>
    <row r="55" spans="2:8" ht="24" customHeight="1" x14ac:dyDescent="0.2">
      <c r="B55" s="17" t="s">
        <v>118</v>
      </c>
      <c r="C55" s="17" t="s">
        <v>119</v>
      </c>
      <c r="D55" s="17" t="s">
        <v>120</v>
      </c>
      <c r="E55" s="18">
        <v>201799</v>
      </c>
      <c r="F55" s="19">
        <v>747.97</v>
      </c>
      <c r="G55" s="20">
        <v>1.06</v>
      </c>
      <c r="H55" s="21"/>
    </row>
    <row r="56" spans="2:8" ht="24" customHeight="1" x14ac:dyDescent="0.2">
      <c r="B56" s="17" t="s">
        <v>121</v>
      </c>
      <c r="C56" s="17" t="s">
        <v>122</v>
      </c>
      <c r="D56" s="17" t="s">
        <v>52</v>
      </c>
      <c r="E56" s="18">
        <v>49389</v>
      </c>
      <c r="F56" s="19">
        <v>736.24</v>
      </c>
      <c r="G56" s="20">
        <v>1.04</v>
      </c>
      <c r="H56" s="21"/>
    </row>
    <row r="57" spans="2:8" ht="24" customHeight="1" x14ac:dyDescent="0.2">
      <c r="B57" s="17" t="s">
        <v>123</v>
      </c>
      <c r="C57" s="17" t="s">
        <v>124</v>
      </c>
      <c r="D57" s="17" t="s">
        <v>70</v>
      </c>
      <c r="E57" s="18">
        <v>75956</v>
      </c>
      <c r="F57" s="19">
        <v>730.01</v>
      </c>
      <c r="G57" s="20">
        <v>1.03</v>
      </c>
      <c r="H57" s="21"/>
    </row>
    <row r="58" spans="2:8" ht="24" customHeight="1" x14ac:dyDescent="0.2">
      <c r="B58" s="17" t="s">
        <v>125</v>
      </c>
      <c r="C58" s="17" t="s">
        <v>126</v>
      </c>
      <c r="D58" s="17" t="s">
        <v>103</v>
      </c>
      <c r="E58" s="18">
        <v>50029</v>
      </c>
      <c r="F58" s="19">
        <v>720.92</v>
      </c>
      <c r="G58" s="20">
        <v>1.02</v>
      </c>
      <c r="H58" s="21"/>
    </row>
    <row r="59" spans="2:8" ht="24" customHeight="1" x14ac:dyDescent="0.2">
      <c r="B59" s="17" t="s">
        <v>127</v>
      </c>
      <c r="C59" s="17" t="s">
        <v>128</v>
      </c>
      <c r="D59" s="17" t="s">
        <v>92</v>
      </c>
      <c r="E59" s="18">
        <v>20606</v>
      </c>
      <c r="F59" s="19">
        <v>693.14</v>
      </c>
      <c r="G59" s="20">
        <v>0.98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44</v>
      </c>
      <c r="E60" s="18">
        <v>89667</v>
      </c>
      <c r="F60" s="19">
        <v>692.95</v>
      </c>
      <c r="G60" s="20">
        <v>0.98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92</v>
      </c>
      <c r="E61" s="18">
        <v>23130</v>
      </c>
      <c r="F61" s="19">
        <v>683.42</v>
      </c>
      <c r="G61" s="20">
        <v>0.96</v>
      </c>
      <c r="H61" s="21"/>
    </row>
    <row r="62" spans="2:8" ht="24" customHeight="1" x14ac:dyDescent="0.2">
      <c r="B62" s="17" t="s">
        <v>133</v>
      </c>
      <c r="C62" s="17" t="s">
        <v>134</v>
      </c>
      <c r="D62" s="17" t="s">
        <v>38</v>
      </c>
      <c r="E62" s="18">
        <v>27764</v>
      </c>
      <c r="F62" s="19">
        <v>676.89</v>
      </c>
      <c r="G62" s="20">
        <v>0.95</v>
      </c>
      <c r="H62" s="21"/>
    </row>
    <row r="63" spans="2:8" ht="24" customHeight="1" x14ac:dyDescent="0.2">
      <c r="B63" s="17" t="s">
        <v>135</v>
      </c>
      <c r="C63" s="17" t="s">
        <v>136</v>
      </c>
      <c r="D63" s="17" t="s">
        <v>41</v>
      </c>
      <c r="E63" s="18">
        <v>76536</v>
      </c>
      <c r="F63" s="19">
        <v>667.47</v>
      </c>
      <c r="G63" s="20">
        <v>0.94</v>
      </c>
      <c r="H63" s="21"/>
    </row>
    <row r="64" spans="2:8" ht="24" customHeight="1" x14ac:dyDescent="0.2">
      <c r="B64" s="17" t="s">
        <v>137</v>
      </c>
      <c r="C64" s="17" t="s">
        <v>138</v>
      </c>
      <c r="D64" s="17" t="s">
        <v>139</v>
      </c>
      <c r="E64" s="18">
        <v>58032</v>
      </c>
      <c r="F64" s="19">
        <v>653.73</v>
      </c>
      <c r="G64" s="20">
        <v>0.92</v>
      </c>
      <c r="H64" s="21"/>
    </row>
    <row r="65" spans="2:12" ht="24" customHeight="1" x14ac:dyDescent="0.2">
      <c r="B65" s="17" t="s">
        <v>140</v>
      </c>
      <c r="C65" s="17" t="s">
        <v>141</v>
      </c>
      <c r="D65" s="17" t="s">
        <v>86</v>
      </c>
      <c r="E65" s="18">
        <v>25969</v>
      </c>
      <c r="F65" s="19">
        <v>653.72</v>
      </c>
      <c r="G65" s="20">
        <v>0.92</v>
      </c>
      <c r="H65" s="21"/>
    </row>
    <row r="66" spans="2:12" ht="24" customHeight="1" x14ac:dyDescent="0.2">
      <c r="B66" s="17" t="s">
        <v>142</v>
      </c>
      <c r="C66" s="17" t="s">
        <v>143</v>
      </c>
      <c r="D66" s="17" t="s">
        <v>18</v>
      </c>
      <c r="E66" s="18">
        <v>220002</v>
      </c>
      <c r="F66" s="19">
        <v>618.21</v>
      </c>
      <c r="G66" s="20">
        <v>0.87</v>
      </c>
      <c r="H66" s="21"/>
    </row>
    <row r="67" spans="2:12" ht="24" customHeight="1" x14ac:dyDescent="0.2">
      <c r="B67" s="17" t="s">
        <v>144</v>
      </c>
      <c r="C67" s="17" t="s">
        <v>145</v>
      </c>
      <c r="D67" s="17" t="s">
        <v>38</v>
      </c>
      <c r="E67" s="18">
        <v>45548</v>
      </c>
      <c r="F67" s="19">
        <v>585.29</v>
      </c>
      <c r="G67" s="20">
        <v>0.83</v>
      </c>
      <c r="H67" s="21"/>
    </row>
    <row r="68" spans="2:12" ht="24" customHeight="1" x14ac:dyDescent="0.2">
      <c r="B68" s="17" t="s">
        <v>146</v>
      </c>
      <c r="C68" s="17" t="s">
        <v>147</v>
      </c>
      <c r="D68" s="17" t="s">
        <v>44</v>
      </c>
      <c r="E68" s="18">
        <v>26991</v>
      </c>
      <c r="F68" s="19">
        <v>557.20000000000005</v>
      </c>
      <c r="G68" s="20">
        <v>0.79</v>
      </c>
      <c r="H68" s="21"/>
    </row>
    <row r="69" spans="2:12" ht="24" customHeight="1" x14ac:dyDescent="0.2">
      <c r="B69" s="17" t="s">
        <v>148</v>
      </c>
      <c r="C69" s="17" t="s">
        <v>149</v>
      </c>
      <c r="D69" s="17" t="s">
        <v>21</v>
      </c>
      <c r="E69" s="18">
        <v>210366</v>
      </c>
      <c r="F69" s="19">
        <v>545.69000000000005</v>
      </c>
      <c r="G69" s="20">
        <v>0.77</v>
      </c>
      <c r="H69" s="21"/>
    </row>
    <row r="70" spans="2:12" ht="24" customHeight="1" x14ac:dyDescent="0.2">
      <c r="B70" s="17" t="s">
        <v>150</v>
      </c>
      <c r="C70" s="17" t="s">
        <v>151</v>
      </c>
      <c r="D70" s="17" t="s">
        <v>152</v>
      </c>
      <c r="E70" s="18">
        <v>333098</v>
      </c>
      <c r="F70" s="19">
        <v>513.4</v>
      </c>
      <c r="G70" s="20">
        <v>0.72</v>
      </c>
      <c r="H70" s="21"/>
    </row>
    <row r="71" spans="2:12" ht="24" customHeight="1" x14ac:dyDescent="0.2">
      <c r="B71" s="17" t="s">
        <v>153</v>
      </c>
      <c r="C71" s="17" t="s">
        <v>154</v>
      </c>
      <c r="D71" s="17" t="s">
        <v>103</v>
      </c>
      <c r="E71" s="18">
        <v>12574</v>
      </c>
      <c r="F71" s="19">
        <v>496.85</v>
      </c>
      <c r="G71" s="20">
        <v>0.7</v>
      </c>
      <c r="H71" s="21"/>
    </row>
    <row r="72" spans="2:12" ht="24" customHeight="1" x14ac:dyDescent="0.2">
      <c r="B72" s="17" t="s">
        <v>155</v>
      </c>
      <c r="C72" s="17" t="s">
        <v>156</v>
      </c>
      <c r="D72" s="17" t="s">
        <v>89</v>
      </c>
      <c r="E72" s="18">
        <v>51582</v>
      </c>
      <c r="F72" s="19">
        <v>494.67</v>
      </c>
      <c r="G72" s="20">
        <v>0.7</v>
      </c>
      <c r="H72" s="21"/>
    </row>
    <row r="73" spans="2:12" ht="24" customHeight="1" x14ac:dyDescent="0.2">
      <c r="B73" s="17" t="s">
        <v>157</v>
      </c>
      <c r="C73" s="17" t="s">
        <v>158</v>
      </c>
      <c r="D73" s="17" t="s">
        <v>44</v>
      </c>
      <c r="E73" s="18">
        <v>27303</v>
      </c>
      <c r="F73" s="19">
        <v>479.77</v>
      </c>
      <c r="G73" s="20">
        <v>0.68</v>
      </c>
      <c r="H73" s="21"/>
    </row>
    <row r="74" spans="2:12" ht="24" customHeight="1" x14ac:dyDescent="0.2">
      <c r="B74" s="17" t="s">
        <v>159</v>
      </c>
      <c r="C74" s="17" t="s">
        <v>160</v>
      </c>
      <c r="D74" s="17" t="s">
        <v>59</v>
      </c>
      <c r="E74" s="18">
        <v>50338</v>
      </c>
      <c r="F74" s="19">
        <v>478.01</v>
      </c>
      <c r="G74" s="20">
        <v>0.67</v>
      </c>
      <c r="H74" s="21"/>
    </row>
    <row r="75" spans="2:12" ht="24" customHeight="1" x14ac:dyDescent="0.2">
      <c r="B75" s="17" t="s">
        <v>161</v>
      </c>
      <c r="C75" s="17" t="s">
        <v>162</v>
      </c>
      <c r="D75" s="17" t="s">
        <v>41</v>
      </c>
      <c r="E75" s="18">
        <v>35022</v>
      </c>
      <c r="F75" s="19">
        <v>474.44</v>
      </c>
      <c r="G75" s="20">
        <v>0.67</v>
      </c>
      <c r="H75" s="21"/>
    </row>
    <row r="76" spans="2:12" ht="24" customHeight="1" x14ac:dyDescent="0.2">
      <c r="B76" s="17" t="s">
        <v>163</v>
      </c>
      <c r="C76" s="17" t="s">
        <v>164</v>
      </c>
      <c r="D76" s="17" t="s">
        <v>59</v>
      </c>
      <c r="E76" s="18">
        <v>59020</v>
      </c>
      <c r="F76" s="19">
        <v>473.13</v>
      </c>
      <c r="G76" s="20">
        <v>0.67</v>
      </c>
      <c r="H76" s="21"/>
      <c r="L76" s="28"/>
    </row>
    <row r="77" spans="2:12" ht="24" customHeight="1" x14ac:dyDescent="0.2">
      <c r="B77" s="17" t="s">
        <v>165</v>
      </c>
      <c r="C77" s="17" t="s">
        <v>166</v>
      </c>
      <c r="D77" s="17" t="s">
        <v>103</v>
      </c>
      <c r="E77" s="18">
        <v>36742</v>
      </c>
      <c r="F77" s="19">
        <v>467.65</v>
      </c>
      <c r="G77" s="20">
        <v>0.66</v>
      </c>
      <c r="H77" s="21"/>
    </row>
    <row r="78" spans="2:12" ht="24" customHeight="1" x14ac:dyDescent="0.2">
      <c r="B78" s="17" t="s">
        <v>167</v>
      </c>
      <c r="C78" s="17" t="s">
        <v>168</v>
      </c>
      <c r="D78" s="17" t="s">
        <v>86</v>
      </c>
      <c r="E78" s="18">
        <v>27860</v>
      </c>
      <c r="F78" s="19">
        <v>466.54</v>
      </c>
      <c r="G78" s="20">
        <v>0.66</v>
      </c>
      <c r="H78" s="21"/>
      <c r="L78" s="28"/>
    </row>
    <row r="79" spans="2:12" ht="24" customHeight="1" x14ac:dyDescent="0.2">
      <c r="B79" s="17" t="s">
        <v>169</v>
      </c>
      <c r="C79" s="17" t="s">
        <v>170</v>
      </c>
      <c r="D79" s="17" t="s">
        <v>171</v>
      </c>
      <c r="E79" s="18">
        <v>107796</v>
      </c>
      <c r="F79" s="19">
        <v>458.46</v>
      </c>
      <c r="G79" s="20">
        <v>0.65</v>
      </c>
      <c r="H79" s="21"/>
      <c r="L79" s="28"/>
    </row>
    <row r="80" spans="2:12" ht="24" customHeight="1" x14ac:dyDescent="0.2">
      <c r="B80" s="17" t="s">
        <v>172</v>
      </c>
      <c r="C80" s="17" t="s">
        <v>173</v>
      </c>
      <c r="D80" s="17" t="s">
        <v>174</v>
      </c>
      <c r="E80" s="18">
        <v>522655</v>
      </c>
      <c r="F80" s="19">
        <v>456.28</v>
      </c>
      <c r="G80" s="20">
        <v>0.64</v>
      </c>
      <c r="H80" s="21"/>
      <c r="L80" s="28"/>
    </row>
    <row r="81" spans="2:13" ht="24" customHeight="1" x14ac:dyDescent="0.2">
      <c r="B81" s="17" t="s">
        <v>175</v>
      </c>
      <c r="C81" s="17" t="s">
        <v>176</v>
      </c>
      <c r="D81" s="17" t="s">
        <v>80</v>
      </c>
      <c r="E81" s="18">
        <v>28531</v>
      </c>
      <c r="F81" s="19">
        <v>456.21</v>
      </c>
      <c r="G81" s="20">
        <v>0.64</v>
      </c>
      <c r="H81" s="21"/>
      <c r="L81" s="28"/>
    </row>
    <row r="82" spans="2:13" ht="24" customHeight="1" x14ac:dyDescent="0.2">
      <c r="B82" s="17" t="s">
        <v>177</v>
      </c>
      <c r="C82" s="17" t="s">
        <v>178</v>
      </c>
      <c r="D82" s="17" t="s">
        <v>35</v>
      </c>
      <c r="E82" s="18">
        <v>363950</v>
      </c>
      <c r="F82" s="19">
        <v>432.59</v>
      </c>
      <c r="G82" s="20">
        <v>0.61</v>
      </c>
      <c r="H82" s="21"/>
      <c r="L82" s="28"/>
    </row>
    <row r="83" spans="2:13" ht="24" customHeight="1" x14ac:dyDescent="0.2">
      <c r="B83" s="17" t="s">
        <v>179</v>
      </c>
      <c r="C83" s="17" t="s">
        <v>180</v>
      </c>
      <c r="D83" s="17" t="s">
        <v>80</v>
      </c>
      <c r="E83" s="18">
        <v>10229</v>
      </c>
      <c r="F83" s="19">
        <v>413.05</v>
      </c>
      <c r="G83" s="20">
        <v>0.57999999999999996</v>
      </c>
      <c r="H83" s="21"/>
      <c r="L83" s="29"/>
      <c r="M83" s="29"/>
    </row>
    <row r="84" spans="2:13" ht="24" customHeight="1" x14ac:dyDescent="0.2">
      <c r="B84" s="17" t="s">
        <v>181</v>
      </c>
      <c r="C84" s="17" t="s">
        <v>182</v>
      </c>
      <c r="D84" s="17" t="s">
        <v>139</v>
      </c>
      <c r="E84" s="18">
        <v>25306</v>
      </c>
      <c r="F84" s="19">
        <v>381.18</v>
      </c>
      <c r="G84" s="20">
        <v>0.54</v>
      </c>
      <c r="H84" s="21"/>
    </row>
    <row r="85" spans="2:13" ht="24" customHeight="1" x14ac:dyDescent="0.2">
      <c r="B85" s="17" t="s">
        <v>183</v>
      </c>
      <c r="C85" s="17" t="s">
        <v>184</v>
      </c>
      <c r="D85" s="17" t="s">
        <v>62</v>
      </c>
      <c r="E85" s="18">
        <v>30897</v>
      </c>
      <c r="F85" s="19">
        <v>376.57</v>
      </c>
      <c r="G85" s="20">
        <v>0.53</v>
      </c>
      <c r="H85" s="21"/>
    </row>
    <row r="86" spans="2:13" ht="24" customHeight="1" x14ac:dyDescent="0.2">
      <c r="B86" s="17" t="s">
        <v>185</v>
      </c>
      <c r="C86" s="17" t="s">
        <v>186</v>
      </c>
      <c r="D86" s="17" t="s">
        <v>32</v>
      </c>
      <c r="E86" s="18">
        <v>85713</v>
      </c>
      <c r="F86" s="19">
        <v>364.28</v>
      </c>
      <c r="G86" s="20">
        <v>0.51</v>
      </c>
      <c r="H86" s="21"/>
      <c r="L86" s="30"/>
      <c r="M86" s="30"/>
    </row>
    <row r="87" spans="2:13" ht="24" customHeight="1" x14ac:dyDescent="0.2">
      <c r="B87" s="17" t="s">
        <v>187</v>
      </c>
      <c r="C87" s="17" t="s">
        <v>188</v>
      </c>
      <c r="D87" s="17" t="s">
        <v>86</v>
      </c>
      <c r="E87" s="18">
        <v>15540</v>
      </c>
      <c r="F87" s="19">
        <v>344.04</v>
      </c>
      <c r="G87" s="20">
        <v>0.49</v>
      </c>
      <c r="H87" s="21"/>
      <c r="L87" s="30"/>
      <c r="M87" s="30"/>
    </row>
    <row r="88" spans="2:13" ht="24" customHeight="1" x14ac:dyDescent="0.2">
      <c r="B88" s="17" t="s">
        <v>189</v>
      </c>
      <c r="C88" s="17" t="s">
        <v>190</v>
      </c>
      <c r="D88" s="17" t="s">
        <v>86</v>
      </c>
      <c r="E88" s="18">
        <v>7853</v>
      </c>
      <c r="F88" s="19">
        <v>301.93</v>
      </c>
      <c r="G88" s="20">
        <v>0.43</v>
      </c>
      <c r="H88" s="21"/>
      <c r="L88" s="30"/>
      <c r="M88" s="30"/>
    </row>
    <row r="89" spans="2:13" ht="24" customHeight="1" x14ac:dyDescent="0.2">
      <c r="B89" s="17" t="s">
        <v>191</v>
      </c>
      <c r="C89" s="17" t="s">
        <v>192</v>
      </c>
      <c r="D89" s="17" t="s">
        <v>103</v>
      </c>
      <c r="E89" s="18">
        <v>10344</v>
      </c>
      <c r="F89" s="19">
        <v>294.26</v>
      </c>
      <c r="G89" s="20">
        <v>0.42</v>
      </c>
      <c r="H89" s="21"/>
      <c r="L89" s="30"/>
      <c r="M89" s="30"/>
    </row>
    <row r="90" spans="2:13" ht="24" customHeight="1" x14ac:dyDescent="0.2">
      <c r="B90" s="17" t="s">
        <v>193</v>
      </c>
      <c r="C90" s="17" t="s">
        <v>194</v>
      </c>
      <c r="D90" s="17" t="s">
        <v>195</v>
      </c>
      <c r="E90" s="18">
        <v>63303</v>
      </c>
      <c r="F90" s="19">
        <v>274.8</v>
      </c>
      <c r="G90" s="20">
        <v>0.39</v>
      </c>
      <c r="H90" s="21"/>
      <c r="L90" s="30"/>
      <c r="M90" s="30"/>
    </row>
    <row r="91" spans="2:13" ht="24" customHeight="1" x14ac:dyDescent="0.2">
      <c r="B91" s="31" t="s">
        <v>196</v>
      </c>
      <c r="C91" s="31"/>
      <c r="D91" s="31"/>
      <c r="E91" s="32"/>
      <c r="F91" s="33">
        <f>SUM(F16:F90)</f>
        <v>68399.849999999977</v>
      </c>
      <c r="G91" s="33">
        <f>SUM(G16:G90)</f>
        <v>96.510000000000048</v>
      </c>
      <c r="H91" s="34"/>
      <c r="L91" s="30"/>
      <c r="M91" s="30"/>
    </row>
    <row r="92" spans="2:13" ht="24" customHeight="1" x14ac:dyDescent="0.2">
      <c r="B92" s="17"/>
      <c r="C92" s="17"/>
      <c r="D92" s="17"/>
      <c r="E92" s="18"/>
      <c r="F92" s="19"/>
      <c r="G92" s="20"/>
      <c r="H92" s="21"/>
    </row>
    <row r="93" spans="2:13" ht="24" customHeight="1" x14ac:dyDescent="0.2">
      <c r="B93" s="22" t="s">
        <v>197</v>
      </c>
      <c r="C93" s="23"/>
      <c r="D93" s="23"/>
      <c r="E93" s="24"/>
      <c r="F93" s="25"/>
      <c r="G93" s="26"/>
      <c r="H93" s="27"/>
      <c r="L93" s="28"/>
    </row>
    <row r="94" spans="2:13" ht="24" customHeight="1" x14ac:dyDescent="0.2">
      <c r="B94" s="17"/>
      <c r="C94" s="17"/>
      <c r="D94" s="17"/>
      <c r="E94" s="18"/>
      <c r="F94" s="20">
        <v>0</v>
      </c>
      <c r="G94" s="20">
        <v>0</v>
      </c>
      <c r="H94" s="21"/>
    </row>
    <row r="95" spans="2:13" ht="24" customHeight="1" x14ac:dyDescent="0.2">
      <c r="B95" s="31" t="s">
        <v>196</v>
      </c>
      <c r="C95" s="17"/>
      <c r="D95" s="17"/>
      <c r="E95" s="18"/>
      <c r="F95" s="35" t="s">
        <v>198</v>
      </c>
      <c r="G95" s="35" t="s">
        <v>198</v>
      </c>
      <c r="H95" s="21"/>
    </row>
    <row r="96" spans="2:13" ht="24" customHeight="1" x14ac:dyDescent="0.2">
      <c r="B96" s="17"/>
      <c r="C96" s="17"/>
      <c r="D96" s="17"/>
      <c r="E96" s="18"/>
      <c r="F96" s="19"/>
      <c r="G96" s="20"/>
      <c r="H96" s="21"/>
    </row>
    <row r="97" spans="2:8" ht="24" customHeight="1" x14ac:dyDescent="0.2">
      <c r="B97" s="36" t="s">
        <v>199</v>
      </c>
      <c r="C97" s="37"/>
      <c r="D97" s="37"/>
      <c r="E97" s="38"/>
      <c r="F97" s="33">
        <f>F91</f>
        <v>68399.849999999977</v>
      </c>
      <c r="G97" s="33">
        <f>G91</f>
        <v>96.510000000000048</v>
      </c>
      <c r="H97" s="34"/>
    </row>
    <row r="98" spans="2:8" ht="24" customHeight="1" x14ac:dyDescent="0.2">
      <c r="B98" s="39"/>
      <c r="C98" s="40"/>
      <c r="D98" s="40"/>
      <c r="E98" s="41"/>
      <c r="F98" s="42"/>
      <c r="G98" s="43"/>
      <c r="H98" s="34"/>
    </row>
    <row r="99" spans="2:8" ht="24" customHeight="1" x14ac:dyDescent="0.2">
      <c r="B99" s="22" t="s">
        <v>200</v>
      </c>
      <c r="C99" s="23"/>
      <c r="D99" s="23"/>
      <c r="E99" s="44"/>
      <c r="F99" s="25"/>
      <c r="G99" s="26"/>
      <c r="H99" s="27"/>
    </row>
    <row r="100" spans="2:8" ht="24" customHeight="1" x14ac:dyDescent="0.2">
      <c r="B100" s="17" t="s">
        <v>127</v>
      </c>
      <c r="C100" s="17" t="s">
        <v>201</v>
      </c>
      <c r="D100" s="17" t="s">
        <v>92</v>
      </c>
      <c r="E100" s="18">
        <v>82424</v>
      </c>
      <c r="F100" s="19">
        <v>8.4499999999999993</v>
      </c>
      <c r="G100" s="20">
        <v>0.01</v>
      </c>
      <c r="H100" s="21"/>
    </row>
    <row r="101" spans="2:8" ht="24" customHeight="1" x14ac:dyDescent="0.2">
      <c r="B101" s="31" t="s">
        <v>196</v>
      </c>
      <c r="C101" s="31"/>
      <c r="D101" s="31"/>
      <c r="E101" s="32"/>
      <c r="F101" s="33">
        <f>F100</f>
        <v>8.4499999999999993</v>
      </c>
      <c r="G101" s="33">
        <f>G100</f>
        <v>0.01</v>
      </c>
      <c r="H101" s="34"/>
    </row>
    <row r="102" spans="2:8" ht="24" customHeight="1" x14ac:dyDescent="0.2">
      <c r="B102" s="45"/>
      <c r="C102" s="45"/>
      <c r="D102" s="45"/>
      <c r="E102" s="41"/>
      <c r="F102" s="42"/>
      <c r="G102" s="43"/>
      <c r="H102" s="34"/>
    </row>
    <row r="103" spans="2:8" ht="24" customHeight="1" x14ac:dyDescent="0.2">
      <c r="B103" s="36" t="s">
        <v>199</v>
      </c>
      <c r="C103" s="37"/>
      <c r="D103" s="37"/>
      <c r="E103" s="38"/>
      <c r="F103" s="33">
        <f>F101</f>
        <v>8.4499999999999993</v>
      </c>
      <c r="G103" s="33">
        <f>G101</f>
        <v>0.01</v>
      </c>
      <c r="H103" s="34"/>
    </row>
    <row r="104" spans="2:8" ht="24" customHeight="1" x14ac:dyDescent="0.2">
      <c r="B104" s="17"/>
      <c r="C104" s="17"/>
      <c r="D104" s="17"/>
      <c r="E104" s="18"/>
      <c r="F104" s="19"/>
      <c r="G104" s="20"/>
      <c r="H104" s="21"/>
    </row>
    <row r="105" spans="2:8" ht="24" customHeight="1" x14ac:dyDescent="0.2">
      <c r="B105" s="11" t="s">
        <v>202</v>
      </c>
      <c r="C105" s="12"/>
      <c r="D105" s="12"/>
      <c r="E105" s="13"/>
      <c r="F105" s="14"/>
      <c r="G105" s="15"/>
      <c r="H105" s="16"/>
    </row>
    <row r="106" spans="2:8" ht="24" customHeight="1" x14ac:dyDescent="0.2">
      <c r="B106" s="17"/>
      <c r="C106" s="17"/>
      <c r="D106" s="17"/>
      <c r="E106" s="18"/>
      <c r="F106" s="19"/>
      <c r="G106" s="20"/>
      <c r="H106" s="21"/>
    </row>
    <row r="107" spans="2:8" ht="24" customHeight="1" x14ac:dyDescent="0.2">
      <c r="B107" s="22" t="s">
        <v>203</v>
      </c>
      <c r="C107" s="23"/>
      <c r="D107" s="23"/>
      <c r="E107" s="24"/>
      <c r="F107" s="25"/>
      <c r="G107" s="26"/>
      <c r="H107" s="27"/>
    </row>
    <row r="108" spans="2:8" ht="24" customHeight="1" x14ac:dyDescent="0.2">
      <c r="B108" s="17" t="s">
        <v>204</v>
      </c>
      <c r="C108" s="17" t="s">
        <v>205</v>
      </c>
      <c r="D108" s="17" t="s">
        <v>206</v>
      </c>
      <c r="E108" s="18">
        <v>150000</v>
      </c>
      <c r="F108" s="19">
        <v>145.35</v>
      </c>
      <c r="G108" s="20">
        <v>0.21</v>
      </c>
      <c r="H108" s="21">
        <v>5.5281000000000002</v>
      </c>
    </row>
    <row r="109" spans="2:8" ht="24" customHeight="1" x14ac:dyDescent="0.2">
      <c r="B109" s="31" t="s">
        <v>196</v>
      </c>
      <c r="C109" s="31"/>
      <c r="D109" s="31"/>
      <c r="E109" s="32"/>
      <c r="F109" s="33">
        <v>145.35</v>
      </c>
      <c r="G109" s="46">
        <v>0.21</v>
      </c>
      <c r="H109" s="34"/>
    </row>
    <row r="110" spans="2:8" ht="24" customHeight="1" x14ac:dyDescent="0.2">
      <c r="B110" s="17"/>
      <c r="C110" s="17"/>
      <c r="D110" s="17"/>
      <c r="E110" s="18"/>
      <c r="F110" s="19"/>
      <c r="G110" s="20"/>
      <c r="H110" s="21"/>
    </row>
    <row r="111" spans="2:8" ht="24" customHeight="1" x14ac:dyDescent="0.2">
      <c r="B111" s="36" t="s">
        <v>199</v>
      </c>
      <c r="C111" s="37"/>
      <c r="D111" s="37"/>
      <c r="E111" s="38"/>
      <c r="F111" s="33">
        <v>145.35</v>
      </c>
      <c r="G111" s="46">
        <v>0.21</v>
      </c>
      <c r="H111" s="34"/>
    </row>
    <row r="112" spans="2:8" ht="24" customHeight="1" x14ac:dyDescent="0.2">
      <c r="B112" s="17"/>
      <c r="C112" s="17"/>
      <c r="D112" s="17"/>
      <c r="E112" s="18"/>
      <c r="F112" s="19"/>
      <c r="G112" s="20"/>
      <c r="H112" s="21"/>
    </row>
    <row r="113" spans="2:8" ht="24" customHeight="1" x14ac:dyDescent="0.2">
      <c r="B113" s="11" t="s">
        <v>207</v>
      </c>
      <c r="C113" s="12"/>
      <c r="D113" s="12"/>
      <c r="E113" s="13"/>
      <c r="F113" s="14"/>
      <c r="G113" s="15"/>
      <c r="H113" s="16"/>
    </row>
    <row r="114" spans="2:8" ht="24" customHeight="1" x14ac:dyDescent="0.2">
      <c r="B114" s="17" t="s">
        <v>208</v>
      </c>
      <c r="C114" s="17"/>
      <c r="D114" s="17"/>
      <c r="E114" s="18"/>
      <c r="F114" s="19">
        <v>2575.0700000000002</v>
      </c>
      <c r="G114" s="20">
        <v>3.63</v>
      </c>
      <c r="H114" s="21"/>
    </row>
    <row r="115" spans="2:8" ht="24" customHeight="1" x14ac:dyDescent="0.2">
      <c r="B115" s="31" t="s">
        <v>196</v>
      </c>
      <c r="C115" s="31"/>
      <c r="D115" s="31"/>
      <c r="E115" s="32"/>
      <c r="F115" s="33">
        <v>2575.0700000000002</v>
      </c>
      <c r="G115" s="46">
        <v>3.63</v>
      </c>
      <c r="H115" s="34"/>
    </row>
    <row r="116" spans="2:8" ht="24" customHeight="1" x14ac:dyDescent="0.2">
      <c r="B116" s="17"/>
      <c r="C116" s="17"/>
      <c r="D116" s="17"/>
      <c r="E116" s="18"/>
      <c r="F116" s="19"/>
      <c r="G116" s="20"/>
      <c r="H116" s="21"/>
    </row>
    <row r="117" spans="2:8" ht="24" customHeight="1" x14ac:dyDescent="0.2">
      <c r="B117" s="36" t="s">
        <v>199</v>
      </c>
      <c r="C117" s="37"/>
      <c r="D117" s="37"/>
      <c r="E117" s="38"/>
      <c r="F117" s="33">
        <v>2575.0700000000002</v>
      </c>
      <c r="G117" s="46">
        <v>3.63</v>
      </c>
      <c r="H117" s="34"/>
    </row>
    <row r="118" spans="2:8" ht="24" customHeight="1" x14ac:dyDescent="0.2">
      <c r="B118" s="17"/>
      <c r="C118" s="17"/>
      <c r="D118" s="17"/>
      <c r="E118" s="18"/>
      <c r="F118" s="19"/>
      <c r="G118" s="20"/>
      <c r="H118" s="21"/>
    </row>
    <row r="119" spans="2:8" ht="24" customHeight="1" x14ac:dyDescent="0.2">
      <c r="B119" s="17" t="s">
        <v>209</v>
      </c>
      <c r="C119" s="17"/>
      <c r="D119" s="17"/>
      <c r="E119" s="18"/>
      <c r="F119" s="47">
        <v>-248.83</v>
      </c>
      <c r="G119" s="20">
        <v>-0.36</v>
      </c>
      <c r="H119" s="21"/>
    </row>
    <row r="120" spans="2:8" ht="24" customHeight="1" x14ac:dyDescent="0.2">
      <c r="B120" s="17"/>
      <c r="C120" s="17"/>
      <c r="D120" s="17"/>
      <c r="E120" s="18"/>
      <c r="F120" s="19"/>
      <c r="G120" s="20"/>
      <c r="H120" s="21"/>
    </row>
    <row r="121" spans="2:8" ht="24" customHeight="1" x14ac:dyDescent="0.2">
      <c r="B121" s="36" t="s">
        <v>210</v>
      </c>
      <c r="C121" s="37"/>
      <c r="D121" s="37"/>
      <c r="E121" s="38"/>
      <c r="F121" s="33">
        <v>70879.89</v>
      </c>
      <c r="G121" s="46">
        <v>100</v>
      </c>
      <c r="H121" s="48"/>
    </row>
    <row r="122" spans="2:8" ht="24" customHeight="1" x14ac:dyDescent="0.2">
      <c r="B122" s="4"/>
    </row>
    <row r="123" spans="2:8" ht="24" customHeight="1" x14ac:dyDescent="0.2">
      <c r="B123" s="51" t="s">
        <v>211</v>
      </c>
      <c r="F123" s="52"/>
      <c r="G123" s="52"/>
    </row>
    <row r="124" spans="2:8" ht="24" customHeight="1" x14ac:dyDescent="0.2">
      <c r="F124" s="52"/>
      <c r="G124" s="52"/>
    </row>
    <row r="130" spans="2:8" ht="24" customHeight="1" x14ac:dyDescent="0.2">
      <c r="B130" s="40" t="s">
        <v>212</v>
      </c>
    </row>
    <row r="131" spans="2:8" ht="24" customHeight="1" x14ac:dyDescent="0.2">
      <c r="B131" s="49" t="s">
        <v>213</v>
      </c>
    </row>
    <row r="132" spans="2:8" ht="24" customHeight="1" x14ac:dyDescent="0.2">
      <c r="B132" s="53" t="s">
        <v>214</v>
      </c>
      <c r="C132" s="54">
        <v>46080</v>
      </c>
      <c r="D132" s="55">
        <v>46112</v>
      </c>
    </row>
    <row r="133" spans="2:8" ht="24" customHeight="1" x14ac:dyDescent="0.2">
      <c r="B133" s="56" t="s">
        <v>215</v>
      </c>
      <c r="C133" s="57" t="s">
        <v>216</v>
      </c>
      <c r="D133" s="58" t="s">
        <v>216</v>
      </c>
      <c r="E133" s="4"/>
      <c r="F133" s="4"/>
      <c r="G133" s="4"/>
      <c r="H133" s="4"/>
    </row>
    <row r="134" spans="2:8" ht="24" customHeight="1" x14ac:dyDescent="0.2">
      <c r="B134" s="59" t="s">
        <v>217</v>
      </c>
      <c r="C134" s="60">
        <v>12.66</v>
      </c>
      <c r="D134" s="61">
        <v>11.3</v>
      </c>
      <c r="E134" s="4"/>
      <c r="F134" s="4"/>
      <c r="G134" s="4"/>
      <c r="H134" s="4"/>
    </row>
    <row r="135" spans="2:8" ht="24" customHeight="1" x14ac:dyDescent="0.2">
      <c r="B135" s="59" t="s">
        <v>218</v>
      </c>
      <c r="C135" s="60">
        <v>12.08</v>
      </c>
      <c r="D135" s="61">
        <v>10.25</v>
      </c>
      <c r="E135" s="4"/>
      <c r="F135" s="4"/>
      <c r="G135" s="4"/>
      <c r="H135" s="4"/>
    </row>
    <row r="136" spans="2:8" ht="24" customHeight="1" x14ac:dyDescent="0.2">
      <c r="B136" s="56" t="s">
        <v>219</v>
      </c>
      <c r="C136" s="57"/>
      <c r="D136" s="58"/>
      <c r="E136" s="4"/>
      <c r="F136" s="4"/>
      <c r="G136" s="4"/>
      <c r="H136" s="4"/>
    </row>
    <row r="137" spans="2:8" ht="24" customHeight="1" x14ac:dyDescent="0.2">
      <c r="B137" s="59" t="s">
        <v>218</v>
      </c>
      <c r="C137" s="60">
        <v>11.94</v>
      </c>
      <c r="D137" s="61">
        <v>10.1</v>
      </c>
      <c r="E137" s="4"/>
      <c r="F137" s="4"/>
      <c r="G137" s="4"/>
      <c r="H137" s="4"/>
    </row>
    <row r="138" spans="2:8" ht="24" customHeight="1" x14ac:dyDescent="0.2">
      <c r="B138" s="62" t="s">
        <v>217</v>
      </c>
      <c r="C138" s="63">
        <v>12.22</v>
      </c>
      <c r="D138" s="64">
        <v>10.89</v>
      </c>
      <c r="E138" s="4"/>
      <c r="F138" s="4"/>
      <c r="G138" s="4"/>
      <c r="H138" s="4"/>
    </row>
    <row r="139" spans="2:8" ht="24" customHeight="1" x14ac:dyDescent="0.2">
      <c r="C139" s="65"/>
      <c r="D139" s="65"/>
      <c r="E139" s="4"/>
      <c r="F139" s="4"/>
      <c r="G139" s="4"/>
      <c r="H139" s="4"/>
    </row>
    <row r="140" spans="2:8" ht="24" customHeight="1" x14ac:dyDescent="0.2">
      <c r="B140" s="49" t="s">
        <v>220</v>
      </c>
      <c r="D140" s="29" t="s">
        <v>198</v>
      </c>
    </row>
    <row r="142" spans="2:8" ht="24" customHeight="1" x14ac:dyDescent="0.2">
      <c r="B142" s="49" t="s">
        <v>221</v>
      </c>
      <c r="D142" s="29" t="s">
        <v>198</v>
      </c>
    </row>
    <row r="144" spans="2:8" ht="24" customHeight="1" x14ac:dyDescent="0.2">
      <c r="B144" s="49" t="s">
        <v>222</v>
      </c>
      <c r="D144" s="29" t="s">
        <v>198</v>
      </c>
    </row>
    <row r="146" spans="2:8" ht="24" customHeight="1" x14ac:dyDescent="0.2">
      <c r="B146" s="49" t="s">
        <v>223</v>
      </c>
      <c r="D146" s="29" t="s">
        <v>198</v>
      </c>
    </row>
    <row r="148" spans="2:8" ht="24" customHeight="1" x14ac:dyDescent="0.2">
      <c r="B148" s="49" t="s">
        <v>224</v>
      </c>
      <c r="D148" s="29">
        <v>0.24</v>
      </c>
    </row>
    <row r="150" spans="2:8" ht="24" customHeight="1" x14ac:dyDescent="0.2">
      <c r="B150" s="49" t="s">
        <v>225</v>
      </c>
    </row>
    <row r="151" spans="2:8" ht="24" customHeight="1" x14ac:dyDescent="0.2">
      <c r="B151" s="53" t="s">
        <v>226</v>
      </c>
      <c r="C151" s="66" t="s">
        <v>227</v>
      </c>
      <c r="D151" s="40"/>
    </row>
    <row r="152" spans="2:8" ht="24" customHeight="1" x14ac:dyDescent="0.2">
      <c r="B152" s="56" t="s">
        <v>215</v>
      </c>
      <c r="C152" s="67"/>
      <c r="D152" s="4"/>
      <c r="E152" s="4"/>
      <c r="F152" s="4"/>
      <c r="G152" s="4"/>
      <c r="H152" s="4"/>
    </row>
    <row r="153" spans="2:8" ht="24" customHeight="1" x14ac:dyDescent="0.2">
      <c r="B153" s="59" t="s">
        <v>218</v>
      </c>
      <c r="C153" s="68">
        <v>0.53800000000000003</v>
      </c>
      <c r="D153" s="4"/>
      <c r="E153" s="4"/>
      <c r="F153" s="4"/>
      <c r="G153" s="4"/>
      <c r="H153" s="4"/>
    </row>
    <row r="154" spans="2:8" ht="24" customHeight="1" x14ac:dyDescent="0.2">
      <c r="B154" s="56" t="s">
        <v>219</v>
      </c>
      <c r="C154" s="67"/>
      <c r="D154" s="4"/>
      <c r="E154" s="4"/>
      <c r="F154" s="4"/>
      <c r="G154" s="4"/>
      <c r="H154" s="4"/>
    </row>
    <row r="155" spans="2:8" ht="24" customHeight="1" x14ac:dyDescent="0.2">
      <c r="B155" s="62" t="s">
        <v>218</v>
      </c>
      <c r="C155" s="69">
        <v>0.55030000000000001</v>
      </c>
      <c r="D155" s="4"/>
      <c r="E155" s="4"/>
      <c r="F155" s="4"/>
      <c r="G155" s="4"/>
      <c r="H155" s="4"/>
    </row>
    <row r="156" spans="2:8" ht="24" customHeight="1" x14ac:dyDescent="0.2">
      <c r="B156" s="49" t="s">
        <v>228</v>
      </c>
      <c r="C156" s="70"/>
      <c r="D156" s="4"/>
      <c r="E156" s="4"/>
      <c r="F156" s="4"/>
      <c r="G156" s="4"/>
      <c r="H156" s="4"/>
    </row>
    <row r="158" spans="2:8" ht="24" customHeight="1" x14ac:dyDescent="0.2">
      <c r="B158" s="49" t="s">
        <v>229</v>
      </c>
      <c r="D158" s="29" t="s">
        <v>198</v>
      </c>
    </row>
    <row r="159" spans="2:8" ht="24" customHeight="1" x14ac:dyDescent="0.2">
      <c r="B159" s="49" t="s">
        <v>230</v>
      </c>
      <c r="D159" s="29" t="s">
        <v>198</v>
      </c>
    </row>
    <row r="161" spans="2:4" ht="24" customHeight="1" x14ac:dyDescent="0.2">
      <c r="B161" s="71" t="s">
        <v>231</v>
      </c>
      <c r="D161" s="29" t="s">
        <v>198</v>
      </c>
    </row>
    <row r="163" spans="2:4" ht="24" customHeight="1" x14ac:dyDescent="0.2">
      <c r="B163" s="49" t="s">
        <v>232</v>
      </c>
      <c r="D163" s="29" t="s">
        <v>198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2026-04-08T08:38:29Z</dcterms:modified>
</cp:coreProperties>
</file>