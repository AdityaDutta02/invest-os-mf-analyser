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A182DC2E-08FD-43E7-A8E3-AD18DA2802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Mid'!$B$134:$D$139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Mid'!$L$76:$M$91</definedName>
    <definedName name="JPM_Footer_disp" localSheetId="0">'Large Mid'!$L$82:$M$91</definedName>
    <definedName name="JPM_Footer_disp12" localSheetId="0">'Large Mid'!$L$76:$M$93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102" i="2"/>
  <c r="F102" i="2"/>
  <c r="F104" i="2" s="1"/>
  <c r="G92" i="2"/>
  <c r="G98" i="2" s="1"/>
  <c r="F92" i="2"/>
  <c r="F98" i="2" s="1"/>
</calcChain>
</file>

<file path=xl/sharedStrings.xml><?xml version="1.0" encoding="utf-8"?>
<sst xmlns="http://schemas.openxmlformats.org/spreadsheetml/2006/main" count="299" uniqueCount="231">
  <si>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</si>
  <si>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</si>
  <si>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</si>
  <si>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</si>
  <si>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</si>
  <si>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</si>
  <si>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</si>
  <si>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</si>
  <si>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</si>
  <si>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</si>
  <si>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</si>
  <si>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</si>
  <si>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</si>
  <si>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</si>
  <si>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</si>
  <si>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</si>
  <si>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</si>
  <si>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</si>
  <si>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</si>
  <si>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Reliance Industries Ltd.</t>
  </si>
  <si>
    <t>INE002A01018</t>
  </si>
  <si>
    <t>Petroleum Products</t>
  </si>
  <si>
    <t>HDFC Bank Ltd.</t>
  </si>
  <si>
    <t>INE040A01034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</si>
  <si>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</si>
  <si>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</si>
  <si>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</si>
  <si>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</si>
  <si>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</si>
  <si>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</si>
  <si>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</si>
  <si>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</si>
  <si>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</si>
  <si>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Solar Industries India Ltd.</t>
  </si>
  <si>
    <t>INE343H01029</t>
  </si>
  <si>
    <t>Chemicals &amp; Petrochemicals</t>
  </si>
  <si>
    <t>Bajaj Finance Ltd.</t>
  </si>
  <si>
    <t>INE296A01032</t>
  </si>
  <si>
    <t>Finance</t>
  </si>
  <si>
    <t>VARUN BEVERAGES LIMITED</t>
  </si>
  <si>
    <t>INE200M01039</t>
  </si>
  <si>
    <t>Beverages</t>
  </si>
  <si>
    <t>Eternal Ltd.</t>
  </si>
  <si>
    <t>INE758T01015</t>
  </si>
  <si>
    <t>Retailing</t>
  </si>
  <si>
    <t>Mankind Pharma Ltd.</t>
  </si>
  <si>
    <t>INE634S01028</t>
  </si>
  <si>
    <t>Pharmaceuticals &amp; Biotechnology</t>
  </si>
  <si>
    <t>FSN E-Commerce Ventures Ltd.</t>
  </si>
  <si>
    <t>INE388Y01029</t>
  </si>
  <si>
    <t>ICICI Prudential Asset Mgmt Co Ltd.</t>
  </si>
  <si>
    <t>INE346A01027</t>
  </si>
  <si>
    <t>Capital Markets</t>
  </si>
  <si>
    <t>Nestle India Ltd.</t>
  </si>
  <si>
    <t>INE239A01024</t>
  </si>
  <si>
    <t>Food Products</t>
  </si>
  <si>
    <t>JK Cement Ltd.</t>
  </si>
  <si>
    <t>INE823G01014</t>
  </si>
  <si>
    <t>Cement &amp; Cement Products</t>
  </si>
  <si>
    <t>ICICI Lombard General Insurance Co. Ltd.</t>
  </si>
  <si>
    <t>INE765G01017</t>
  </si>
  <si>
    <t>Insurance</t>
  </si>
  <si>
    <t>Bharti Hexacom Ltd.</t>
  </si>
  <si>
    <t>INE343G01021</t>
  </si>
  <si>
    <t>Info Edge (India) Ltd.</t>
  </si>
  <si>
    <t>INE663F01032</t>
  </si>
  <si>
    <t>State Bank of India</t>
  </si>
  <si>
    <t>INE062A01020</t>
  </si>
  <si>
    <t>Multi Commodity Exchange Of India Ltd.</t>
  </si>
  <si>
    <t>INE745G01043</t>
  </si>
  <si>
    <t>PB Fintech Ltd.</t>
  </si>
  <si>
    <t>INE417T01026</t>
  </si>
  <si>
    <t>Financial Technology (Fintech)</t>
  </si>
  <si>
    <t>Divi's Laboratories Ltd.</t>
  </si>
  <si>
    <t>INE361B01024</t>
  </si>
  <si>
    <t>Max Healthcare Institute Ltd.</t>
  </si>
  <si>
    <t>INE027H01010</t>
  </si>
  <si>
    <t>Healthcare Services</t>
  </si>
  <si>
    <t>Bharat Electronics Ltd.</t>
  </si>
  <si>
    <t>INE263A01024</t>
  </si>
  <si>
    <t>Aerospace &amp; Defense</t>
  </si>
  <si>
    <t>UNO Minda Ltd.</t>
  </si>
  <si>
    <t>INE405E01023</t>
  </si>
  <si>
    <t>Auto Components</t>
  </si>
  <si>
    <t>Coromandel International Ltd.</t>
  </si>
  <si>
    <t>INE169A01031</t>
  </si>
  <si>
    <t>Fertilizers &amp; Agrochemicals</t>
  </si>
  <si>
    <t>AU Small Finance Bank Ltd.</t>
  </si>
  <si>
    <t>INE949L01017</t>
  </si>
  <si>
    <t>Maruti Suzuki India Ltd.</t>
  </si>
  <si>
    <t>INE585B01010</t>
  </si>
  <si>
    <t>Automobiles</t>
  </si>
  <si>
    <t>CG Power and Industrial Solutions Ltd.</t>
  </si>
  <si>
    <t>INE067A01029</t>
  </si>
  <si>
    <t>Electrical Equipment</t>
  </si>
  <si>
    <t>Supreme Industries Ltd.</t>
  </si>
  <si>
    <t>INE195A01028</t>
  </si>
  <si>
    <t>Industrial Products</t>
  </si>
  <si>
    <t>Dixon Technologies (India) Ltd.</t>
  </si>
  <si>
    <t>INE935N01020</t>
  </si>
  <si>
    <t>Consumer Durables</t>
  </si>
  <si>
    <t>SBI Life Insurance Company Ltd.</t>
  </si>
  <si>
    <t>INE123W01016</t>
  </si>
  <si>
    <t>Power Finance Corporation Ltd.</t>
  </si>
  <si>
    <t>INE134E01011</t>
  </si>
  <si>
    <t>Ajanta Pharma Ltd.</t>
  </si>
  <si>
    <t>INE031B01049</t>
  </si>
  <si>
    <t>JSW Infrastructure Ltd.</t>
  </si>
  <si>
    <t>INE880J01026</t>
  </si>
  <si>
    <t>Transport Infrastructure</t>
  </si>
  <si>
    <t>Vishal Mega Mart Ltd</t>
  </si>
  <si>
    <t>INE01EA01019</t>
  </si>
  <si>
    <t>Anthem Biosciences Ltd.</t>
  </si>
  <si>
    <t>INE0CZ201020</t>
  </si>
  <si>
    <t>Rubicon Research Ltd.</t>
  </si>
  <si>
    <t>INE506V01022</t>
  </si>
  <si>
    <t>Blue Star Ltd.</t>
  </si>
  <si>
    <t>INE472A01039</t>
  </si>
  <si>
    <t>Global Health Ltd.</t>
  </si>
  <si>
    <t>INE474Q01031</t>
  </si>
  <si>
    <t>Prestige Estates Projects Ltd.</t>
  </si>
  <si>
    <t>INE811K01011</t>
  </si>
  <si>
    <t>Realty</t>
  </si>
  <si>
    <t>NTPC Ltd.</t>
  </si>
  <si>
    <t>INE733E01010</t>
  </si>
  <si>
    <t>Power</t>
  </si>
  <si>
    <t>LG Electronics India Ltd.</t>
  </si>
  <si>
    <t>INE324D01010</t>
  </si>
  <si>
    <t>Max Financial Services Ltd.</t>
  </si>
  <si>
    <t>INE180A01020</t>
  </si>
  <si>
    <t>The Federal Bank Ltd.</t>
  </si>
  <si>
    <t>INE171A01029</t>
  </si>
  <si>
    <t>Tube Investments Of India Ltd.</t>
  </si>
  <si>
    <t>INE974X01010</t>
  </si>
  <si>
    <t>Muthoot Finance Ltd.</t>
  </si>
  <si>
    <t>INE414G01012</t>
  </si>
  <si>
    <t>TVS Motor Company Ltd.</t>
  </si>
  <si>
    <t>INE494B01023</t>
  </si>
  <si>
    <t>Shriram Finance Ltd.</t>
  </si>
  <si>
    <t>INE721A01047</t>
  </si>
  <si>
    <t>Mahindra &amp; Mahindra Ltd.</t>
  </si>
  <si>
    <t>INE101A01026</t>
  </si>
  <si>
    <t>SRF Ltd.</t>
  </si>
  <si>
    <t>INE647A01010</t>
  </si>
  <si>
    <t>Bharat Petroleum Corporation Ltd.</t>
  </si>
  <si>
    <t>INE029A01011</t>
  </si>
  <si>
    <t>Pidilite Industries Ltd.</t>
  </si>
  <si>
    <t>INE318A01026</t>
  </si>
  <si>
    <t>Nippon Life India Asset Management Ltd.</t>
  </si>
  <si>
    <t>INE298J01013</t>
  </si>
  <si>
    <t>Physicswallah Ltd.</t>
  </si>
  <si>
    <t>INE0LP301011</t>
  </si>
  <si>
    <t>Other Consumer Services</t>
  </si>
  <si>
    <t>One 97 Communications Ltd.</t>
  </si>
  <si>
    <t>INE982J01020</t>
  </si>
  <si>
    <t>Urban Company Ltd.</t>
  </si>
  <si>
    <t>INE0CAZ01013</t>
  </si>
  <si>
    <t>JB Chemicals &amp; Pharmaceuticals Ltd.</t>
  </si>
  <si>
    <t>INE572A01036</t>
  </si>
  <si>
    <t>Titan Company Ltd.</t>
  </si>
  <si>
    <t>INE280A01028</t>
  </si>
  <si>
    <t>Container Corporation Of India Ltd.</t>
  </si>
  <si>
    <t>INE111A01025</t>
  </si>
  <si>
    <t>Transport Services</t>
  </si>
  <si>
    <t>Cholamandalam Investment &amp; Finance Company Ltd.</t>
  </si>
  <si>
    <t>INE121A01024</t>
  </si>
  <si>
    <t>InterGlobe Aviation Ltd.</t>
  </si>
  <si>
    <t>INE646L01027</t>
  </si>
  <si>
    <t>Ashok Leyland Ltd.</t>
  </si>
  <si>
    <t>INE208A01029</t>
  </si>
  <si>
    <t>Agricultural, Commercial &amp; Construction Vehicles</t>
  </si>
  <si>
    <t>Voltas Ltd.</t>
  </si>
  <si>
    <t>INE226A01021</t>
  </si>
  <si>
    <t>Bharat Forge Ltd.</t>
  </si>
  <si>
    <t>INE465A01025</t>
  </si>
  <si>
    <t>360 One Wam Ltd.</t>
  </si>
  <si>
    <t>INE466L01038</t>
  </si>
  <si>
    <t>KEI Industries Ltd.</t>
  </si>
  <si>
    <t>INE878B01027</t>
  </si>
  <si>
    <t>Sun Pharmaceutical Industries Ltd.</t>
  </si>
  <si>
    <t>INE044A01036</t>
  </si>
  <si>
    <t>The Phoenix Mills Ltd.</t>
  </si>
  <si>
    <t>INE211B01039</t>
  </si>
  <si>
    <t>Astral Ltd.</t>
  </si>
  <si>
    <t>INE006I01046</t>
  </si>
  <si>
    <t>United Spirits Ltd.</t>
  </si>
  <si>
    <t>INE854D01024</t>
  </si>
  <si>
    <t>Hexaware Technologies Ltd.</t>
  </si>
  <si>
    <t>INE093A01041</t>
  </si>
  <si>
    <t>Endurance Technologies Ltd.</t>
  </si>
  <si>
    <t>INE913H01037</t>
  </si>
  <si>
    <t>Schaeffler India Ltd.</t>
  </si>
  <si>
    <t>INE513A01022</t>
  </si>
  <si>
    <t>JSW Dulux Ltd.</t>
  </si>
  <si>
    <t>INE133A01011</t>
  </si>
  <si>
    <t>Jubilant Foodworks Ltd.</t>
  </si>
  <si>
    <t>INE797F01020</t>
  </si>
  <si>
    <t>Leisure Services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</si>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</sst>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B10415F1-174E-49B3-93BE-699B7396EC6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9F158-FB21-48A1-9F74-5B9627FB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146050</xdr:colOff>
      <xdr:row>3</xdr:row>
      <xdr:rowOff>22225</xdr:rowOff>
    </xdr:from>
    <xdr:to>
      <xdr:col>6</xdr:col>
      <xdr:colOff>917575</xdr:colOff>
      <xdr:row>8</xdr:row>
      <xdr:rowOff>193675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66A59B-CF21-4700-B6FF-32EC7AA4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3400" y="9366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95A0-79F2-421B-BB65-E7AFEA63D0E0}">
  <sheetPr>
    <tabColor rgb="FFC00000"/>
  </sheetPr>
  <dimension ref="B1:M158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296002</v>
      </c>
      <c r="F16" s="19">
        <v>3739.69</v>
      </c>
      <c r="G16" s="20">
        <v>4.7699999999999996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224891</v>
      </c>
      <c r="F17" s="19">
        <v>3217.74</v>
      </c>
      <c r="G17" s="20">
        <v>4.1100000000000003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376554</v>
      </c>
      <c r="F18" s="19">
        <v>2905.87</v>
      </c>
      <c r="G18" s="20">
        <v>3.71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60158</v>
      </c>
      <c r="F19" s="19">
        <v>2414.7399999999998</v>
      </c>
      <c r="G19" s="20">
        <v>3.08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113763</v>
      </c>
      <c r="F20" s="19">
        <v>2146.48</v>
      </c>
      <c r="G20" s="20">
        <v>2.74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1895.25</v>
      </c>
      <c r="G21" s="20">
        <v>2.42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11748</v>
      </c>
      <c r="F22" s="19">
        <v>1813.77</v>
      </c>
      <c r="G22" s="20">
        <v>2.31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174680</v>
      </c>
      <c r="F23" s="19">
        <v>1636.75</v>
      </c>
      <c r="G23" s="20">
        <v>2.09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302895</v>
      </c>
      <c r="F24" s="19">
        <v>1555.97</v>
      </c>
      <c r="G24" s="20">
        <v>1.99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621953</v>
      </c>
      <c r="F25" s="19">
        <v>1536.41</v>
      </c>
      <c r="G25" s="20">
        <v>1.96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65470</v>
      </c>
      <c r="F26" s="19">
        <v>1470.91</v>
      </c>
      <c r="G26" s="20">
        <v>1.88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44</v>
      </c>
      <c r="E27" s="18">
        <v>539952</v>
      </c>
      <c r="F27" s="19">
        <v>1429.58</v>
      </c>
      <c r="G27" s="20">
        <v>1.82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42048</v>
      </c>
      <c r="F28" s="19">
        <v>1383.46</v>
      </c>
      <c r="G28" s="20">
        <v>1.77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93402</v>
      </c>
      <c r="F29" s="19">
        <v>1362.36</v>
      </c>
      <c r="G29" s="20">
        <v>1.74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25413</v>
      </c>
      <c r="F30" s="19">
        <v>1343.59</v>
      </c>
      <c r="G30" s="20">
        <v>1.71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71795</v>
      </c>
      <c r="F31" s="19">
        <v>1265.8900000000001</v>
      </c>
      <c r="G31" s="20">
        <v>1.62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29</v>
      </c>
      <c r="E32" s="18">
        <v>81310</v>
      </c>
      <c r="F32" s="19">
        <v>1233.8</v>
      </c>
      <c r="G32" s="20">
        <v>1.57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44</v>
      </c>
      <c r="E33" s="18">
        <v>125959</v>
      </c>
      <c r="F33" s="19">
        <v>1225.3900000000001</v>
      </c>
      <c r="G33" s="20">
        <v>1.56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18</v>
      </c>
      <c r="E34" s="18">
        <v>110131</v>
      </c>
      <c r="F34" s="19">
        <v>1176.69</v>
      </c>
      <c r="G34" s="20">
        <v>1.5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52</v>
      </c>
      <c r="E35" s="18">
        <v>39405</v>
      </c>
      <c r="F35" s="19">
        <v>1170.92</v>
      </c>
      <c r="G35" s="20">
        <v>1.49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69326</v>
      </c>
      <c r="F36" s="19">
        <v>1155.1099999999999</v>
      </c>
      <c r="G36" s="20">
        <v>1.47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47</v>
      </c>
      <c r="E37" s="18">
        <v>17640</v>
      </c>
      <c r="F37" s="19">
        <v>1147.04</v>
      </c>
      <c r="G37" s="20">
        <v>1.46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77</v>
      </c>
      <c r="E38" s="18">
        <v>112398</v>
      </c>
      <c r="F38" s="19">
        <v>1116.17</v>
      </c>
      <c r="G38" s="20">
        <v>1.42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257207</v>
      </c>
      <c r="F39" s="19">
        <v>1109.33</v>
      </c>
      <c r="G39" s="20">
        <v>1.42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99713</v>
      </c>
      <c r="F40" s="19">
        <v>1109.31</v>
      </c>
      <c r="G40" s="20">
        <v>1.42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54577</v>
      </c>
      <c r="F41" s="19">
        <v>1081.55</v>
      </c>
      <c r="G41" s="20">
        <v>1.38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18</v>
      </c>
      <c r="E42" s="18">
        <v>103147</v>
      </c>
      <c r="F42" s="19">
        <v>1047.92</v>
      </c>
      <c r="G42" s="20">
        <v>1.34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7725</v>
      </c>
      <c r="F43" s="19">
        <v>1028.51</v>
      </c>
      <c r="G43" s="20">
        <v>1.31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123974</v>
      </c>
      <c r="F44" s="19">
        <v>1008.34</v>
      </c>
      <c r="G44" s="20">
        <v>1.29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97</v>
      </c>
      <c r="E45" s="18">
        <v>27778</v>
      </c>
      <c r="F45" s="19">
        <v>1006.29</v>
      </c>
      <c r="G45" s="20">
        <v>1.28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100</v>
      </c>
      <c r="E46" s="18">
        <v>8925</v>
      </c>
      <c r="F46" s="19">
        <v>996.61</v>
      </c>
      <c r="G46" s="20">
        <v>1.27</v>
      </c>
      <c r="H46" s="21"/>
    </row>
    <row r="47" spans="2:8" ht="24" customHeight="1" x14ac:dyDescent="0.25">
      <c r="B47" s="17" t="s">
        <v>101</v>
      </c>
      <c r="C47" s="17" t="s">
        <v>102</v>
      </c>
      <c r="D47" s="17" t="s">
        <v>61</v>
      </c>
      <c r="E47" s="18">
        <v>52695</v>
      </c>
      <c r="F47" s="19">
        <v>958.52</v>
      </c>
      <c r="G47" s="20">
        <v>1.22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38</v>
      </c>
      <c r="E48" s="18">
        <v>213558</v>
      </c>
      <c r="F48" s="19">
        <v>957.59</v>
      </c>
      <c r="G48" s="20">
        <v>1.22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47</v>
      </c>
      <c r="E49" s="18">
        <v>33012</v>
      </c>
      <c r="F49" s="19">
        <v>931.83</v>
      </c>
      <c r="G49" s="20">
        <v>1.19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341254</v>
      </c>
      <c r="F50" s="19">
        <v>928.14</v>
      </c>
      <c r="G50" s="20">
        <v>1.18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44</v>
      </c>
      <c r="E51" s="18">
        <v>730577</v>
      </c>
      <c r="F51" s="19">
        <v>893.42</v>
      </c>
      <c r="G51" s="20">
        <v>1.1399999999999999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47</v>
      </c>
      <c r="E52" s="18">
        <v>114823</v>
      </c>
      <c r="F52" s="19">
        <v>872.77</v>
      </c>
      <c r="G52" s="20">
        <v>1.1100000000000001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47</v>
      </c>
      <c r="E53" s="18">
        <v>89667</v>
      </c>
      <c r="F53" s="19">
        <v>869.73</v>
      </c>
      <c r="G53" s="20">
        <v>1.1100000000000001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100</v>
      </c>
      <c r="E54" s="18">
        <v>48550</v>
      </c>
      <c r="F54" s="19">
        <v>864.68</v>
      </c>
      <c r="G54" s="20">
        <v>1.1000000000000001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77</v>
      </c>
      <c r="E55" s="18">
        <v>75956</v>
      </c>
      <c r="F55" s="19">
        <v>848.62</v>
      </c>
      <c r="G55" s="20">
        <v>1.08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58032</v>
      </c>
      <c r="F56" s="19">
        <v>820.8</v>
      </c>
      <c r="G56" s="20">
        <v>1.05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201799</v>
      </c>
      <c r="F57" s="19">
        <v>805.48</v>
      </c>
      <c r="G57" s="20">
        <v>1.03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100</v>
      </c>
      <c r="E58" s="18">
        <v>50029</v>
      </c>
      <c r="F58" s="19">
        <v>796.96</v>
      </c>
      <c r="G58" s="20">
        <v>1.02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61</v>
      </c>
      <c r="E59" s="18">
        <v>49389</v>
      </c>
      <c r="F59" s="19">
        <v>783.16</v>
      </c>
      <c r="G59" s="20">
        <v>1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18</v>
      </c>
      <c r="E60" s="18">
        <v>269712</v>
      </c>
      <c r="F60" s="19">
        <v>773.94</v>
      </c>
      <c r="G60" s="20">
        <v>0.99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83</v>
      </c>
      <c r="E61" s="18">
        <v>25969</v>
      </c>
      <c r="F61" s="19">
        <v>765.54</v>
      </c>
      <c r="G61" s="20">
        <v>0.98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38</v>
      </c>
      <c r="E62" s="18">
        <v>21882</v>
      </c>
      <c r="F62" s="19">
        <v>749.28</v>
      </c>
      <c r="G62" s="20">
        <v>0.96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91</v>
      </c>
      <c r="E63" s="18">
        <v>20606</v>
      </c>
      <c r="F63" s="19">
        <v>719.75</v>
      </c>
      <c r="G63" s="20">
        <v>0.92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38</v>
      </c>
      <c r="E64" s="18">
        <v>76536</v>
      </c>
      <c r="F64" s="19">
        <v>717.41</v>
      </c>
      <c r="G64" s="20">
        <v>0.92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91</v>
      </c>
      <c r="E65" s="18">
        <v>23130</v>
      </c>
      <c r="F65" s="19">
        <v>716.45</v>
      </c>
      <c r="G65" s="20">
        <v>0.91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35</v>
      </c>
      <c r="E66" s="18">
        <v>27764</v>
      </c>
      <c r="F66" s="19">
        <v>699.26</v>
      </c>
      <c r="G66" s="20">
        <v>0.89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21</v>
      </c>
      <c r="E67" s="18">
        <v>220002</v>
      </c>
      <c r="F67" s="19">
        <v>661</v>
      </c>
      <c r="G67" s="20">
        <v>0.84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35</v>
      </c>
      <c r="E68" s="18">
        <v>45548</v>
      </c>
      <c r="F68" s="19">
        <v>626.6</v>
      </c>
      <c r="G68" s="20">
        <v>0.8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52</v>
      </c>
      <c r="E69" s="18">
        <v>59020</v>
      </c>
      <c r="F69" s="19">
        <v>596.07000000000005</v>
      </c>
      <c r="G69" s="20">
        <v>0.76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152</v>
      </c>
      <c r="E70" s="18">
        <v>522655</v>
      </c>
      <c r="F70" s="19">
        <v>567.5</v>
      </c>
      <c r="G70" s="20">
        <v>0.72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72</v>
      </c>
      <c r="E71" s="18">
        <v>51582</v>
      </c>
      <c r="F71" s="19">
        <v>565.24</v>
      </c>
      <c r="G71" s="20">
        <v>0.72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44</v>
      </c>
      <c r="E72" s="18">
        <v>363950</v>
      </c>
      <c r="F72" s="19">
        <v>551.97</v>
      </c>
      <c r="G72" s="20">
        <v>0.7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47</v>
      </c>
      <c r="E73" s="18">
        <v>26991</v>
      </c>
      <c r="F73" s="19">
        <v>551.53</v>
      </c>
      <c r="G73" s="20">
        <v>0.7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100</v>
      </c>
      <c r="E74" s="18">
        <v>12574</v>
      </c>
      <c r="F74" s="19">
        <v>551.4</v>
      </c>
      <c r="G74" s="20">
        <v>0.7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163</v>
      </c>
      <c r="E75" s="18">
        <v>107796</v>
      </c>
      <c r="F75" s="19">
        <v>548.52</v>
      </c>
      <c r="G75" s="20">
        <v>0.7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38</v>
      </c>
      <c r="E76" s="18">
        <v>35022</v>
      </c>
      <c r="F76" s="19">
        <v>547.36</v>
      </c>
      <c r="G76" s="20">
        <v>0.7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163</v>
      </c>
      <c r="E77" s="18">
        <v>12581</v>
      </c>
      <c r="F77" s="19">
        <v>540.39</v>
      </c>
      <c r="G77" s="20">
        <v>0.69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170</v>
      </c>
      <c r="E78" s="18">
        <v>333098</v>
      </c>
      <c r="F78" s="19">
        <v>539.91999999999996</v>
      </c>
      <c r="G78" s="20">
        <v>0.69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100</v>
      </c>
      <c r="E79" s="18">
        <v>36742</v>
      </c>
      <c r="F79" s="19">
        <v>525.55999999999995</v>
      </c>
      <c r="G79" s="20">
        <v>0.67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83</v>
      </c>
      <c r="E80" s="18">
        <v>27860</v>
      </c>
      <c r="F80" s="19">
        <v>524.21</v>
      </c>
      <c r="G80" s="20">
        <v>0.67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52</v>
      </c>
      <c r="E81" s="18">
        <v>50338</v>
      </c>
      <c r="F81" s="19">
        <v>520.82000000000005</v>
      </c>
      <c r="G81" s="20">
        <v>0.66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97</v>
      </c>
      <c r="E82" s="18">
        <v>10229</v>
      </c>
      <c r="F82" s="19">
        <v>496.87</v>
      </c>
      <c r="G82" s="20">
        <v>0.63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47</v>
      </c>
      <c r="E83" s="18">
        <v>27303</v>
      </c>
      <c r="F83" s="19">
        <v>493.72</v>
      </c>
      <c r="G83" s="20">
        <v>0.63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122</v>
      </c>
      <c r="E84" s="18">
        <v>25306</v>
      </c>
      <c r="F84" s="19">
        <v>446.65</v>
      </c>
      <c r="G84" s="20">
        <v>0.56999999999999995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97</v>
      </c>
      <c r="E85" s="18">
        <v>28531</v>
      </c>
      <c r="F85" s="19">
        <v>436.44</v>
      </c>
      <c r="G85" s="20">
        <v>0.56000000000000005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41</v>
      </c>
      <c r="E86" s="18">
        <v>30897</v>
      </c>
      <c r="F86" s="19">
        <v>409.57</v>
      </c>
      <c r="G86" s="20">
        <v>0.52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32</v>
      </c>
      <c r="E87" s="18">
        <v>85713</v>
      </c>
      <c r="F87" s="19">
        <v>383.69</v>
      </c>
      <c r="G87" s="20">
        <v>0.49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83</v>
      </c>
      <c r="E88" s="18">
        <v>15540</v>
      </c>
      <c r="F88" s="19">
        <v>362.18</v>
      </c>
      <c r="G88" s="20">
        <v>0.46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83</v>
      </c>
      <c r="E89" s="18">
        <v>7853</v>
      </c>
      <c r="F89" s="19">
        <v>323.92</v>
      </c>
      <c r="G89" s="20">
        <v>0.41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100</v>
      </c>
      <c r="E90" s="18">
        <v>10344</v>
      </c>
      <c r="F90" s="19">
        <v>305.22000000000003</v>
      </c>
      <c r="G90" s="20">
        <v>0.39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197</v>
      </c>
      <c r="E91" s="18">
        <v>63303</v>
      </c>
      <c r="F91" s="19">
        <v>302.97000000000003</v>
      </c>
      <c r="G91" s="20">
        <v>0.39</v>
      </c>
      <c r="H91" s="21"/>
      <c r="L91" s="30"/>
      <c r="M91" s="30"/>
    </row>
    <row r="92" spans="2:13" ht="24" customHeight="1" x14ac:dyDescent="0.25">
      <c r="B92" s="31" t="s">
        <v>198</v>
      </c>
      <c r="C92" s="31"/>
      <c r="D92" s="31"/>
      <c r="E92" s="32"/>
      <c r="F92" s="33">
        <f>SUM(F16:F91)</f>
        <v>76584.090000000011</v>
      </c>
      <c r="G92" s="33">
        <f>SUM(G16:G91)</f>
        <v>97.689999999999984</v>
      </c>
      <c r="H92" s="34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28"/>
    </row>
    <row r="94" spans="2:13" ht="24" customHeight="1" x14ac:dyDescent="0.25">
      <c r="B94" s="22" t="s">
        <v>199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</row>
    <row r="96" spans="2:13" ht="24" customHeight="1" x14ac:dyDescent="0.25">
      <c r="B96" s="31" t="s">
        <v>198</v>
      </c>
      <c r="C96" s="17"/>
      <c r="D96" s="17"/>
      <c r="E96" s="18"/>
      <c r="F96" s="35" t="s">
        <v>200</v>
      </c>
      <c r="G96" s="35" t="s">
        <v>200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6" t="s">
        <v>201</v>
      </c>
      <c r="C98" s="37"/>
      <c r="D98" s="37"/>
      <c r="E98" s="38"/>
      <c r="F98" s="33">
        <f>F92</f>
        <v>76584.090000000011</v>
      </c>
      <c r="G98" s="33">
        <f>G92</f>
        <v>97.689999999999984</v>
      </c>
      <c r="H98" s="34"/>
    </row>
    <row r="99" spans="2:8" ht="24" customHeight="1" x14ac:dyDescent="0.25">
      <c r="B99" s="39"/>
      <c r="C99" s="40"/>
      <c r="D99" s="40"/>
      <c r="E99" s="41"/>
      <c r="F99" s="42"/>
      <c r="G99" s="43"/>
      <c r="H99" s="34"/>
    </row>
    <row r="100" spans="2:8" ht="24" customHeight="1" x14ac:dyDescent="0.25">
      <c r="B100" s="22" t="s">
        <v>202</v>
      </c>
      <c r="C100" s="23"/>
      <c r="D100" s="23"/>
      <c r="E100" s="44"/>
      <c r="F100" s="25"/>
      <c r="G100" s="26"/>
      <c r="H100" s="27"/>
    </row>
    <row r="101" spans="2:8" ht="24" customHeight="1" x14ac:dyDescent="0.25">
      <c r="B101" s="17" t="s">
        <v>136</v>
      </c>
      <c r="C101" s="17" t="s">
        <v>203</v>
      </c>
      <c r="D101" s="17" t="s">
        <v>91</v>
      </c>
      <c r="E101" s="18">
        <v>82424</v>
      </c>
      <c r="F101" s="19">
        <v>8.41</v>
      </c>
      <c r="G101" s="20">
        <v>0.01</v>
      </c>
      <c r="H101" s="21"/>
    </row>
    <row r="102" spans="2:8" ht="24" customHeight="1" x14ac:dyDescent="0.25">
      <c r="B102" s="31" t="s">
        <v>198</v>
      </c>
      <c r="C102" s="31"/>
      <c r="D102" s="31"/>
      <c r="E102" s="32"/>
      <c r="F102" s="33">
        <f>F101</f>
        <v>8.41</v>
      </c>
      <c r="G102" s="33">
        <f>G101</f>
        <v>0.01</v>
      </c>
      <c r="H102" s="34"/>
    </row>
    <row r="103" spans="2:8" ht="24" customHeight="1" x14ac:dyDescent="0.25">
      <c r="B103" s="45"/>
      <c r="C103" s="45"/>
      <c r="D103" s="45"/>
      <c r="E103" s="41"/>
      <c r="F103" s="42"/>
      <c r="G103" s="43"/>
      <c r="H103" s="34"/>
    </row>
    <row r="104" spans="2:8" ht="24" customHeight="1" x14ac:dyDescent="0.25">
      <c r="B104" s="36" t="s">
        <v>201</v>
      </c>
      <c r="C104" s="37"/>
      <c r="D104" s="37"/>
      <c r="E104" s="38"/>
      <c r="F104" s="33">
        <f>F102</f>
        <v>8.41</v>
      </c>
      <c r="G104" s="33">
        <f>G102</f>
        <v>0.01</v>
      </c>
      <c r="H104" s="34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204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205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 t="s">
        <v>206</v>
      </c>
      <c r="C109" s="17" t="s">
        <v>207</v>
      </c>
      <c r="D109" s="17" t="s">
        <v>208</v>
      </c>
      <c r="E109" s="18">
        <v>150000</v>
      </c>
      <c r="F109" s="19">
        <v>146.05000000000001</v>
      </c>
      <c r="G109" s="20">
        <v>0.19</v>
      </c>
      <c r="H109" s="21">
        <v>5.46</v>
      </c>
    </row>
    <row r="110" spans="2:8" ht="24" customHeight="1" x14ac:dyDescent="0.25">
      <c r="B110" s="31" t="s">
        <v>198</v>
      </c>
      <c r="C110" s="31"/>
      <c r="D110" s="31"/>
      <c r="E110" s="32"/>
      <c r="F110" s="33">
        <v>146.05000000000001</v>
      </c>
      <c r="G110" s="46">
        <v>0.19</v>
      </c>
      <c r="H110" s="34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6" t="s">
        <v>201</v>
      </c>
      <c r="C112" s="37"/>
      <c r="D112" s="37"/>
      <c r="E112" s="38"/>
      <c r="F112" s="33">
        <v>146.05000000000001</v>
      </c>
      <c r="G112" s="46">
        <v>0.19</v>
      </c>
      <c r="H112" s="34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1" t="s">
        <v>209</v>
      </c>
      <c r="C114" s="12"/>
      <c r="D114" s="12"/>
      <c r="E114" s="13"/>
      <c r="F114" s="14"/>
      <c r="G114" s="15"/>
      <c r="H114" s="16"/>
    </row>
    <row r="115" spans="2:8" ht="24" customHeight="1" x14ac:dyDescent="0.25">
      <c r="B115" s="17" t="s">
        <v>210</v>
      </c>
      <c r="C115" s="17"/>
      <c r="D115" s="17"/>
      <c r="E115" s="18"/>
      <c r="F115" s="19">
        <v>1720.65</v>
      </c>
      <c r="G115" s="20">
        <v>2.2000000000000002</v>
      </c>
      <c r="H115" s="21"/>
    </row>
    <row r="116" spans="2:8" ht="24" customHeight="1" x14ac:dyDescent="0.25">
      <c r="B116" s="31" t="s">
        <v>198</v>
      </c>
      <c r="C116" s="31"/>
      <c r="D116" s="31"/>
      <c r="E116" s="32"/>
      <c r="F116" s="33">
        <v>1720.65</v>
      </c>
      <c r="G116" s="46">
        <v>2.2000000000000002</v>
      </c>
      <c r="H116" s="34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36" t="s">
        <v>201</v>
      </c>
      <c r="C118" s="37"/>
      <c r="D118" s="37"/>
      <c r="E118" s="38"/>
      <c r="F118" s="33">
        <v>1720.65</v>
      </c>
      <c r="G118" s="46">
        <v>2.2000000000000002</v>
      </c>
      <c r="H118" s="34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7" t="s">
        <v>211</v>
      </c>
      <c r="C120" s="17"/>
      <c r="D120" s="17"/>
      <c r="E120" s="18"/>
      <c r="F120" s="47">
        <v>-85.55</v>
      </c>
      <c r="G120" s="20">
        <v>-0.09</v>
      </c>
      <c r="H120" s="21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36" t="s">
        <v>212</v>
      </c>
      <c r="C122" s="37"/>
      <c r="D122" s="37"/>
      <c r="E122" s="38"/>
      <c r="F122" s="33">
        <v>78373.649999999994</v>
      </c>
      <c r="G122" s="46">
        <v>100</v>
      </c>
      <c r="H122" s="48"/>
    </row>
    <row r="123" spans="2:8" ht="24" customHeight="1" x14ac:dyDescent="0.25">
      <c r="B123" s="4"/>
    </row>
    <row r="124" spans="2:8" ht="24" customHeight="1" x14ac:dyDescent="0.25">
      <c r="F124" s="51"/>
      <c r="G124" s="51"/>
    </row>
    <row r="125" spans="2:8" ht="24" customHeight="1" x14ac:dyDescent="0.25">
      <c r="F125" s="51"/>
      <c r="G125" s="51"/>
    </row>
    <row r="131" spans="2:8" ht="24" customHeight="1" x14ac:dyDescent="0.25">
      <c r="B131" s="40" t="s">
        <v>213</v>
      </c>
    </row>
    <row r="132" spans="2:8" ht="24" customHeight="1" x14ac:dyDescent="0.25">
      <c r="B132" s="49" t="s">
        <v>214</v>
      </c>
    </row>
    <row r="133" spans="2:8" ht="24" customHeight="1" x14ac:dyDescent="0.25">
      <c r="B133" s="52" t="s">
        <v>215</v>
      </c>
      <c r="C133" s="53">
        <v>46112</v>
      </c>
      <c r="D133" s="54">
        <v>46142</v>
      </c>
    </row>
    <row r="134" spans="2:8" ht="24" customHeight="1" x14ac:dyDescent="0.25">
      <c r="B134" s="55" t="s">
        <v>216</v>
      </c>
      <c r="C134" s="56" t="s">
        <v>217</v>
      </c>
      <c r="D134" s="57" t="s">
        <v>217</v>
      </c>
      <c r="E134" s="4"/>
      <c r="F134" s="4"/>
      <c r="G134" s="4"/>
      <c r="H134" s="4"/>
    </row>
    <row r="135" spans="2:8" ht="24" customHeight="1" x14ac:dyDescent="0.25">
      <c r="B135" s="58" t="s">
        <v>218</v>
      </c>
      <c r="C135" s="59">
        <v>11.3</v>
      </c>
      <c r="D135" s="60">
        <v>12.45</v>
      </c>
      <c r="E135" s="4"/>
      <c r="F135" s="4"/>
      <c r="G135" s="4"/>
      <c r="H135" s="4"/>
    </row>
    <row r="136" spans="2:8" ht="24" customHeight="1" x14ac:dyDescent="0.25">
      <c r="B136" s="58" t="s">
        <v>219</v>
      </c>
      <c r="C136" s="59">
        <v>10.25</v>
      </c>
      <c r="D136" s="60">
        <v>11.3</v>
      </c>
      <c r="E136" s="4"/>
      <c r="F136" s="4"/>
      <c r="G136" s="4"/>
      <c r="H136" s="4"/>
    </row>
    <row r="137" spans="2:8" ht="24" customHeight="1" x14ac:dyDescent="0.25">
      <c r="B137" s="55" t="s">
        <v>220</v>
      </c>
      <c r="C137" s="56"/>
      <c r="D137" s="57"/>
      <c r="E137" s="4"/>
      <c r="F137" s="4"/>
      <c r="G137" s="4"/>
      <c r="H137" s="4"/>
    </row>
    <row r="138" spans="2:8" ht="24" customHeight="1" x14ac:dyDescent="0.25">
      <c r="B138" s="58" t="s">
        <v>219</v>
      </c>
      <c r="C138" s="59">
        <v>10.1</v>
      </c>
      <c r="D138" s="60">
        <v>11.11</v>
      </c>
      <c r="E138" s="4"/>
      <c r="F138" s="4"/>
      <c r="G138" s="4"/>
      <c r="H138" s="4"/>
    </row>
    <row r="139" spans="2:8" ht="24" customHeight="1" x14ac:dyDescent="0.25">
      <c r="B139" s="61" t="s">
        <v>218</v>
      </c>
      <c r="C139" s="62">
        <v>10.89</v>
      </c>
      <c r="D139" s="63">
        <v>11.98</v>
      </c>
      <c r="E139" s="4"/>
      <c r="F139" s="4"/>
      <c r="G139" s="4"/>
      <c r="H139" s="4"/>
    </row>
    <row r="140" spans="2:8" ht="24" customHeight="1" x14ac:dyDescent="0.25">
      <c r="C140" s="64"/>
      <c r="D140" s="64"/>
      <c r="E140" s="4"/>
      <c r="F140" s="4"/>
      <c r="G140" s="4"/>
      <c r="H140" s="4"/>
    </row>
    <row r="141" spans="2:8" ht="24" customHeight="1" x14ac:dyDescent="0.25">
      <c r="B141" s="49" t="s">
        <v>221</v>
      </c>
      <c r="D141" s="29" t="s">
        <v>200</v>
      </c>
    </row>
    <row r="143" spans="2:8" ht="24" customHeight="1" x14ac:dyDescent="0.25">
      <c r="B143" s="49" t="s">
        <v>222</v>
      </c>
      <c r="D143" s="29" t="s">
        <v>200</v>
      </c>
    </row>
    <row r="145" spans="2:4" ht="24" customHeight="1" x14ac:dyDescent="0.25">
      <c r="B145" s="49" t="s">
        <v>223</v>
      </c>
      <c r="D145" s="29" t="s">
        <v>200</v>
      </c>
    </row>
    <row r="147" spans="2:4" ht="24" customHeight="1" x14ac:dyDescent="0.25">
      <c r="B147" s="49" t="s">
        <v>224</v>
      </c>
      <c r="D147" s="29" t="s">
        <v>200</v>
      </c>
    </row>
    <row r="149" spans="2:4" ht="24" customHeight="1" x14ac:dyDescent="0.25">
      <c r="B149" s="49" t="s">
        <v>225</v>
      </c>
      <c r="D149" s="29">
        <v>0.24</v>
      </c>
    </row>
    <row r="151" spans="2:4" ht="24" customHeight="1" x14ac:dyDescent="0.25">
      <c r="B151" s="49" t="s">
        <v>226</v>
      </c>
      <c r="D151" s="29" t="s">
        <v>200</v>
      </c>
    </row>
    <row r="153" spans="2:4" ht="24" customHeight="1" x14ac:dyDescent="0.25">
      <c r="B153" s="49" t="s">
        <v>227</v>
      </c>
      <c r="D153" s="29" t="s">
        <v>200</v>
      </c>
    </row>
    <row r="154" spans="2:4" ht="24" customHeight="1" x14ac:dyDescent="0.25">
      <c r="B154" s="49" t="s">
        <v>228</v>
      </c>
      <c r="D154" s="29" t="s">
        <v>200</v>
      </c>
    </row>
    <row r="156" spans="2:4" ht="24" customHeight="1" x14ac:dyDescent="0.25">
      <c r="B156" s="65" t="s">
        <v>229</v>
      </c>
      <c r="D156" s="29" t="s">
        <v>200</v>
      </c>
    </row>
    <row r="158" spans="2:4" ht="24" customHeight="1" x14ac:dyDescent="0.25">
      <c r="B158" s="49" t="s">
        <v>230</v>
      </c>
      <c r="D158" s="29" t="s">
        <v>200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2026-05-08T07:06:49Z</dcterms:modified>
</cp:coreProperties>
</file>