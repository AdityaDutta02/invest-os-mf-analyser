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892D1E85-9B3B-4231-A6AE-C32AFDD02C40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Balanced Advantage" sheetId="2" r:id="rId1"/>
  </sheets>
  <externalReferences>
    <externalReference r:id="rId2"/>
  </externalReferences>
  <definedNames>
    <definedName name="_xlnm._FilterDatabase" localSheetId="0" hidden="1">'Balanced Advantage'!$B$151:$D$156</definedName>
    <definedName name="Derivatives_Transactions" localSheetId="0">'Balanced Advantage'!#REF!</definedName>
    <definedName name="Derivatives_Transactions">[1]Arbitrage!#REF!</definedName>
    <definedName name="Hedging_Positions_through_Futures_AS_ON_MMMM_DD__YYYY___NIL" localSheetId="0">'Balanced Advantage'!$L$77:$M$93</definedName>
    <definedName name="JPM_Footer_disp" localSheetId="0">'Balanced Advantage'!$L$83:$M$93</definedName>
    <definedName name="JPM_Footer_disp12" localSheetId="0">'Balanced Advantage'!$L$77:$M$95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2" l="1"/>
  <c r="G115" i="2" s="1"/>
  <c r="F113" i="2"/>
  <c r="F115" i="2" s="1"/>
  <c r="G100" i="2"/>
  <c r="G109" i="2" s="1"/>
  <c r="F100" i="2"/>
  <c r="F109" i="2" s="1"/>
</calcChain>
</file>

<file path=xl/sharedStrings.xml><?xml version="1.0" encoding="utf-8"?>
<sst xmlns="http://schemas.openxmlformats.org/spreadsheetml/2006/main" count="313" uniqueCount="237">
  <si>
    <t>PGIM INDIA BALANCED ADVANTAGE FUND</t>
  </si>
  <si>
    <t>(An Open Ended Dynamic Asset Allocation Fund)</t>
  </si>
  <si>
    <t xml:space="preserve">Riskometer of the Scheme </t>
  </si>
  <si>
    <t xml:space="preserve">Riskometer of the Benchmark (CRISIL Hybrid 35+65 - Aggresive Index) </t>
  </si>
  <si>
    <t>Investors understand that their 
principal will be at very high risk</t>
  </si>
  <si>
    <t>Benchmark riskometer is at  high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</si>
  <si>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</si>
  <si>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</si>
  <si>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</si>
  <si>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</si>
  <si>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</si>
  <si>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</si>
  <si>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</si>
  <si>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</si>
  <si>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</si>
  <si>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</si>
  <si>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</si>
  <si>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</si>
  <si>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</si>
  <si>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</si>
  <si>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</si>
  <si>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</si>
  <si>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</si>
  <si>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</si>
  <si>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</si>
  <si>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</si>
  <si>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</si>
  <si>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</si>
  <si>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</si>
  <si>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</si>
  <si>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Eternal Ltd.</t>
  </si>
  <si>
    <t>INE758T01015</t>
  </si>
  <si>
    <t>Retailing</t>
  </si>
  <si>
    <t>Tata Consultancy Services Ltd.</t>
  </si>
  <si>
    <t>INE467B01029</t>
  </si>
  <si>
    <t>Bajaj Finance Ltd.</t>
  </si>
  <si>
    <t>INE296A01032</t>
  </si>
  <si>
    <t>Finance</t>
  </si>
  <si>
    <t>VARUN BEVERAGES LIMITED</t>
  </si>
  <si>
    <t>INE200M01039</t>
  </si>
  <si>
    <t>Beverages</t>
  </si>
  <si>
    <t>Larsen &amp; Toubro Ltd.</t>
  </si>
  <si>
    <t>INE018A01030</t>
  </si>
  <si>
    <t>Construction</t>
  </si>
  <si>
    <t>SRF Ltd.</t>
  </si>
  <si>
    <t>INE647A01010</t>
  </si>
  <si>
    <t>Chemicals &amp; Petrochemicals</t>
  </si>
  <si>
    <t>Max Healthcare Institute Ltd.</t>
  </si>
  <si>
    <t>INE027H01010</t>
  </si>
  <si>
    <t>Healthcare Services</t>
  </si>
  <si>
    <t>Dr. Reddy's Laboratories Ltd.</t>
  </si>
  <si>
    <t>INE089A01031</t>
  </si>
  <si>
    <t>Pharmaceuticals &amp; Biotechnology</t>
  </si>
  <si>
    <t>JK Cement Ltd.</t>
  </si>
  <si>
    <t>INE823G01014</t>
  </si>
  <si>
    <t>Cement &amp; Cement Products</t>
  </si>
  <si>
    <t>Axis Bank Ltd.</t>
  </si>
  <si>
    <t>INE238A01034</t>
  </si>
  <si>
    <t>Muthoot Finance Ltd.</t>
  </si>
  <si>
    <t>INE414G01012</t>
  </si>
  <si>
    <t>United Spirits Ltd.</t>
  </si>
  <si>
    <t>INE854D01024</t>
  </si>
  <si>
    <t>InterGlobe Aviation Ltd.</t>
  </si>
  <si>
    <t>INE646L01027</t>
  </si>
  <si>
    <t>Transport Services</t>
  </si>
  <si>
    <t>Cummins India Ltd.</t>
  </si>
  <si>
    <t>INE298A01020</t>
  </si>
  <si>
    <t>Industrial Products</t>
  </si>
  <si>
    <t>Titan Company Ltd.</t>
  </si>
  <si>
    <t>INE280A01028</t>
  </si>
  <si>
    <t>Consumer Durables</t>
  </si>
  <si>
    <t>Britannia Industries Ltd.</t>
  </si>
  <si>
    <t>INE216A01030</t>
  </si>
  <si>
    <t>Food Products</t>
  </si>
  <si>
    <t>Mahindra &amp; Mahindra Ltd.</t>
  </si>
  <si>
    <t>INE101A01026</t>
  </si>
  <si>
    <t>Automobiles</t>
  </si>
  <si>
    <t>Dixon Technologies (India) Ltd.</t>
  </si>
  <si>
    <t>INE935N01020</t>
  </si>
  <si>
    <t>Maruti Suzuki India Ltd.</t>
  </si>
  <si>
    <t>INE585B01010</t>
  </si>
  <si>
    <t>ICICI Lombard General Insurance Co. Ltd.</t>
  </si>
  <si>
    <t>INE765G01017</t>
  </si>
  <si>
    <t>Insurance</t>
  </si>
  <si>
    <t>TVS Motor Company Ltd.</t>
  </si>
  <si>
    <t>INE494B01023</t>
  </si>
  <si>
    <t>CG Power and Industrial Solutions Ltd.</t>
  </si>
  <si>
    <t>INE067A01029</t>
  </si>
  <si>
    <t>Electrical Equipment</t>
  </si>
  <si>
    <t>Vishal Mega Mart Ltd</t>
  </si>
  <si>
    <t>INE01EA01019</t>
  </si>
  <si>
    <t>Tube Investments Of India Ltd.</t>
  </si>
  <si>
    <t>INE974X01010</t>
  </si>
  <si>
    <t>Auto Components</t>
  </si>
  <si>
    <t>Aster DM Healthcare Ltd.</t>
  </si>
  <si>
    <t>INE914M01019</t>
  </si>
  <si>
    <t>Blue Star Ltd.</t>
  </si>
  <si>
    <t>INE472A01039</t>
  </si>
  <si>
    <t>Ultratech Cement Ltd.</t>
  </si>
  <si>
    <t>INE481G01011</t>
  </si>
  <si>
    <t>Divi's Laboratories Ltd.</t>
  </si>
  <si>
    <t>INE361B01024</t>
  </si>
  <si>
    <t>PB Fintech Ltd.</t>
  </si>
  <si>
    <t>INE417T01026</t>
  </si>
  <si>
    <t>Financial Technology (Fintech)</t>
  </si>
  <si>
    <t>Havells India Ltd.</t>
  </si>
  <si>
    <t>INE176B01034</t>
  </si>
  <si>
    <t>UNO Minda Ltd.</t>
  </si>
  <si>
    <t>INE405E01023</t>
  </si>
  <si>
    <t>Supreme Industries Ltd.</t>
  </si>
  <si>
    <t>INE195A01028</t>
  </si>
  <si>
    <t>Persistent Systems Ltd.</t>
  </si>
  <si>
    <t>INE262H01021</t>
  </si>
  <si>
    <t>Abbott India Ltd.</t>
  </si>
  <si>
    <t>INE358A01014</t>
  </si>
  <si>
    <t>Bharat Electronics Ltd.</t>
  </si>
  <si>
    <t>INE263A01024</t>
  </si>
  <si>
    <t>Aerospace &amp; Defense</t>
  </si>
  <si>
    <t>NTPC Ltd.</t>
  </si>
  <si>
    <t>INE733E01010</t>
  </si>
  <si>
    <t>Power</t>
  </si>
  <si>
    <t>Multi Commodity Exchange Of India Ltd.</t>
  </si>
  <si>
    <t>INE745G01035</t>
  </si>
  <si>
    <t>Capital Markets</t>
  </si>
  <si>
    <t>Solar Industries India Ltd.</t>
  </si>
  <si>
    <t>INE343H01029</t>
  </si>
  <si>
    <t>Astral Ltd.</t>
  </si>
  <si>
    <t>INE006I01046</t>
  </si>
  <si>
    <t>JB Chemicals &amp; Pharmaceuticals Ltd.</t>
  </si>
  <si>
    <t>INE572A01036</t>
  </si>
  <si>
    <t>Navin Fluorine International Ltd.</t>
  </si>
  <si>
    <t>INE048G01026</t>
  </si>
  <si>
    <t>ITC Ltd.</t>
  </si>
  <si>
    <t>INE154A01025</t>
  </si>
  <si>
    <t>Diversified FMCG</t>
  </si>
  <si>
    <t>Torrent Power Ltd.</t>
  </si>
  <si>
    <t>INE813H01021</t>
  </si>
  <si>
    <t>Prestige Estates Projects Ltd.</t>
  </si>
  <si>
    <t>INE811K01011</t>
  </si>
  <si>
    <t>Realty</t>
  </si>
  <si>
    <t>CCL Products (India) Ltd.</t>
  </si>
  <si>
    <t>INE421D01022</t>
  </si>
  <si>
    <t>Agricultural Food &amp; other Products</t>
  </si>
  <si>
    <t>Safari Industries India Ltd.</t>
  </si>
  <si>
    <t>INE429E01023</t>
  </si>
  <si>
    <t>Trent Ltd.</t>
  </si>
  <si>
    <t>INE849A01020</t>
  </si>
  <si>
    <t>MRS Bectors Food Specialities Ltd.</t>
  </si>
  <si>
    <t>INE495P01012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</si>
  <si>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</si>
  <si>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</si>
  <si>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</si>
  <si>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</si>
  <si>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</si>
  <si>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</si>
  <si>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7.18% Government of India</t>
  </si>
  <si>
    <t>IN0020230085</t>
  </si>
  <si>
    <t>SOVEREIGN</t>
  </si>
  <si>
    <t>IN0020230077</t>
  </si>
  <si>
    <t>7.1% Government of India</t>
  </si>
  <si>
    <t>IN0020240019</t>
  </si>
  <si>
    <t>6.79% Government of India</t>
  </si>
  <si>
    <t>IN0020240126</t>
  </si>
  <si>
    <t>7.25% Government of India</t>
  </si>
  <si>
    <t>IN0020230044</t>
  </si>
  <si>
    <t>7.26% Government of India</t>
  </si>
  <si>
    <t>IN0020220151</t>
  </si>
  <si>
    <t>7.34% Government of India</t>
  </si>
  <si>
    <t>IN0020240035</t>
  </si>
  <si>
    <t>7.09% Government of India</t>
  </si>
  <si>
    <t>IN0020240118</t>
  </si>
  <si>
    <t>6.59% Power Finance Corporation Ltd. **</t>
  </si>
  <si>
    <t>INE134E08NU7</t>
  </si>
  <si>
    <t>CRISIL AAA</t>
  </si>
  <si>
    <t>7.17% Government of India</t>
  </si>
  <si>
    <t>IN0020170174</t>
  </si>
  <si>
    <t>IN0020240142</t>
  </si>
  <si>
    <t>7.82% Power Finance Corporation Ltd. **</t>
  </si>
  <si>
    <t>INE134E08ME3</t>
  </si>
  <si>
    <t>7.9% Jamnagar Utilities &amp; Power Pvt. Ltd. **</t>
  </si>
  <si>
    <t>INE936D07182</t>
  </si>
  <si>
    <t>7.51% Small Industries Development Bank of India **</t>
  </si>
  <si>
    <t>INE556F08KU4</t>
  </si>
  <si>
    <t>8.0359% Kotak Mahindra Investments Ltd. **</t>
  </si>
  <si>
    <t>INE975F07IM9</t>
  </si>
  <si>
    <t>7.34% Small Industries Development Bank of India **</t>
  </si>
  <si>
    <t>INE556F08KS8</t>
  </si>
  <si>
    <t>6.54% Government of India</t>
  </si>
  <si>
    <t>IN0020210244</t>
  </si>
  <si>
    <t>8.16% Aditya Birla Capital Ltd. **</t>
  </si>
  <si>
    <t>INE860H07IW8</t>
  </si>
  <si>
    <t>ICRA AAA</t>
  </si>
  <si>
    <t>8.7% Shriram Finance Ltd. **</t>
  </si>
  <si>
    <t>INE721A07SL9</t>
  </si>
  <si>
    <t>CRISIL AA+</t>
  </si>
  <si>
    <t>IN0020220060</t>
  </si>
  <si>
    <t>(b)Privately Placed/Unlisted</t>
  </si>
  <si>
    <t>(c)Securitised Debt Instruments</t>
  </si>
  <si>
    <t>Preference Shares - (Awaiting listing on Stock Exchanges)</t>
  </si>
  <si>
    <t>IN25H25DUM01</t>
  </si>
  <si>
    <t>Money Market Instruments</t>
  </si>
  <si>
    <t>Certificate of Deposit</t>
  </si>
  <si>
    <t>Indian Bank ** #</t>
  </si>
  <si>
    <t>INE562A16OS2</t>
  </si>
  <si>
    <t>FITCH A1+</t>
  </si>
  <si>
    <t>Punjab National Bank ** #</t>
  </si>
  <si>
    <t>INE160A16RP4</t>
  </si>
  <si>
    <t>CRISIL A1+</t>
  </si>
  <si>
    <t>Commercial Paper</t>
  </si>
  <si>
    <t>Bharti Telecom Ltd. **</t>
  </si>
  <si>
    <t>INE403D14551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</si>
  <si>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</si>
  <si>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</si>
  <si>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</si>
  <si>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</si>
  <si>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</si>
  <si>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</si>
  <si>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</si>
  <si>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</si>
  <si>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</si>
  <si>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</si>
  <si>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</si>
  <si>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</si>
  <si>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</si>
  <si>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</si>
  <si>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</si>
  <si>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</si>
  <si>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</si>
  <si>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</si>
  <si>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</si>
  <si>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</si>
  <si>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</si>
  <si>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</si>
  <si>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</si>
  <si>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</si>
  <si>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</si>
  <si>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Balanced Advantage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</si>
</sst>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" fontId="4" fillId="0" borderId="0" xfId="0" applyNumberFormat="1" applyFont="1"/>
    <xf numFmtId="4" fontId="4" fillId="0" borderId="2" xfId="1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 applyAlignment="1">
      <alignment horizontal="left" vertical="center"/>
    </xf>
  </cellXfs>
  <cellStyles count="4">
    <cellStyle name="Hyperlink" xfId="2" builtinId="8"/>
    <cellStyle name="Normal" xfId="0" builtinId="0"/>
    <cellStyle name="Normal 2" xfId="3" xr:uid="{0E7D5185-F87E-48CC-B715-8A2CB468064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2</xdr:row>
      <xdr:rowOff>295275</xdr:rowOff>
    </xdr:from>
    <xdr:to>
      <xdr:col>1</xdr:col>
      <xdr:colOff>2943225</xdr:colOff>
      <xdr:row>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4407F1-3F21-4D7F-AE7B-D0EEFE3CC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9048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1762125</xdr:colOff>
      <xdr:row>3</xdr:row>
      <xdr:rowOff>9525</xdr:rowOff>
    </xdr:from>
    <xdr:to>
      <xdr:col>6</xdr:col>
      <xdr:colOff>695325</xdr:colOff>
      <xdr:row>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E149EC-199A-459D-8F40-76D196639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2575" y="923925"/>
          <a:ext cx="300355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balanced-advantag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0CB8-25DC-4FDA-BB6E-F18EA773F753}">
  <sheetPr>
    <tabColor rgb="FFC00000"/>
  </sheetPr>
  <dimension ref="B1:M177"/>
  <sheetViews>
    <sheetView showGridLines="0" tabSelected="1" topLeftCell="A172" workbookViewId="0">
      <selection activeCell="C177" sqref="C177"/>
    </sheetView>
  </sheetViews>
  <sheetFormatPr defaultColWidth="9.1796875" defaultRowHeight="24" customHeight="1" x14ac:dyDescent="0.25"/>
  <cols>
    <col min="1" max="1" width="3.54296875" style="4" customWidth="1"/>
    <col min="2" max="2" width="50.453125" style="49" customWidth="1"/>
    <col min="3" max="3" width="15.7265625" style="49" customWidth="1"/>
    <col min="4" max="4" width="26.5429687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35">
      <c r="B7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756718</v>
      </c>
      <c r="F16" s="19">
        <v>7200.93</v>
      </c>
      <c r="G16" s="20">
        <v>7.61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496642</v>
      </c>
      <c r="F17" s="19">
        <v>6942.06</v>
      </c>
      <c r="G17" s="20">
        <v>7.33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432252</v>
      </c>
      <c r="F18" s="19">
        <v>5866.52</v>
      </c>
      <c r="G18" s="20">
        <v>6.2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202875</v>
      </c>
      <c r="F19" s="19">
        <v>2981.45</v>
      </c>
      <c r="G19" s="20">
        <v>3.15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126442</v>
      </c>
      <c r="F20" s="19">
        <v>2388.2399999999998</v>
      </c>
      <c r="G20" s="20">
        <v>2.52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658601</v>
      </c>
      <c r="F21" s="19">
        <v>2067.6799999999998</v>
      </c>
      <c r="G21" s="20">
        <v>2.1800000000000002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26</v>
      </c>
      <c r="E22" s="18">
        <v>65639</v>
      </c>
      <c r="F22" s="19">
        <v>2024.77</v>
      </c>
      <c r="G22" s="20">
        <v>2.14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185830</v>
      </c>
      <c r="F23" s="19">
        <v>1631.31</v>
      </c>
      <c r="G23" s="20">
        <v>1.72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311442</v>
      </c>
      <c r="F24" s="19">
        <v>1517.19</v>
      </c>
      <c r="G24" s="20">
        <v>1.6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38860</v>
      </c>
      <c r="F25" s="19">
        <v>1399.35</v>
      </c>
      <c r="G25" s="20">
        <v>1.48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48165</v>
      </c>
      <c r="F26" s="19">
        <v>1366.15</v>
      </c>
      <c r="G26" s="20">
        <v>1.44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105765</v>
      </c>
      <c r="F27" s="19">
        <v>1220.8499999999999</v>
      </c>
      <c r="G27" s="20">
        <v>1.29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96480</v>
      </c>
      <c r="F28" s="19">
        <v>1215.74</v>
      </c>
      <c r="G28" s="20">
        <v>1.28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17238</v>
      </c>
      <c r="F29" s="19">
        <v>1197.44</v>
      </c>
      <c r="G29" s="20">
        <v>1.26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18</v>
      </c>
      <c r="E30" s="18">
        <v>112521</v>
      </c>
      <c r="F30" s="19">
        <v>1176.07</v>
      </c>
      <c r="G30" s="20">
        <v>1.24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37</v>
      </c>
      <c r="E31" s="18">
        <v>41454</v>
      </c>
      <c r="F31" s="19">
        <v>1093.47</v>
      </c>
      <c r="G31" s="20">
        <v>1.1599999999999999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40</v>
      </c>
      <c r="E32" s="18">
        <v>81072</v>
      </c>
      <c r="F32" s="19">
        <v>1062.8499999999999</v>
      </c>
      <c r="G32" s="20">
        <v>1.1200000000000001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18750</v>
      </c>
      <c r="F33" s="19">
        <v>1058.6300000000001</v>
      </c>
      <c r="G33" s="20">
        <v>1.1200000000000001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27660</v>
      </c>
      <c r="F34" s="19">
        <v>1058.33</v>
      </c>
      <c r="G34" s="20">
        <v>1.1200000000000001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29007</v>
      </c>
      <c r="F35" s="19">
        <v>1052.6099999999999</v>
      </c>
      <c r="G35" s="20">
        <v>1.1100000000000001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17785</v>
      </c>
      <c r="F36" s="19">
        <v>1035.8</v>
      </c>
      <c r="G36" s="20">
        <v>1.0900000000000001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32102</v>
      </c>
      <c r="F37" s="19">
        <v>1027.0999999999999</v>
      </c>
      <c r="G37" s="20">
        <v>1.08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70</v>
      </c>
      <c r="E38" s="18">
        <v>5760</v>
      </c>
      <c r="F38" s="19">
        <v>961.34</v>
      </c>
      <c r="G38" s="20">
        <v>1.02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76</v>
      </c>
      <c r="E39" s="18">
        <v>5976</v>
      </c>
      <c r="F39" s="19">
        <v>883.91</v>
      </c>
      <c r="G39" s="20">
        <v>0.93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46719</v>
      </c>
      <c r="F40" s="19">
        <v>859.44</v>
      </c>
      <c r="G40" s="20">
        <v>0.91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76</v>
      </c>
      <c r="E41" s="18">
        <v>26110</v>
      </c>
      <c r="F41" s="19">
        <v>855.52</v>
      </c>
      <c r="G41" s="20">
        <v>0.9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88</v>
      </c>
      <c r="E42" s="18">
        <v>119674</v>
      </c>
      <c r="F42" s="19">
        <v>830.9</v>
      </c>
      <c r="G42" s="20">
        <v>0.88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32</v>
      </c>
      <c r="E43" s="18">
        <v>549312</v>
      </c>
      <c r="F43" s="19">
        <v>820.73</v>
      </c>
      <c r="G43" s="20">
        <v>0.87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26270</v>
      </c>
      <c r="F44" s="19">
        <v>778.01</v>
      </c>
      <c r="G44" s="20">
        <v>0.82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49</v>
      </c>
      <c r="E45" s="18">
        <v>125140</v>
      </c>
      <c r="F45" s="19">
        <v>752.15</v>
      </c>
      <c r="G45" s="20">
        <v>0.79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70</v>
      </c>
      <c r="E46" s="18">
        <v>39553</v>
      </c>
      <c r="F46" s="19">
        <v>744.27</v>
      </c>
      <c r="G46" s="20">
        <v>0.79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55</v>
      </c>
      <c r="E47" s="18">
        <v>5730</v>
      </c>
      <c r="F47" s="19">
        <v>724.27</v>
      </c>
      <c r="G47" s="20">
        <v>0.77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52</v>
      </c>
      <c r="E48" s="18">
        <v>11670</v>
      </c>
      <c r="F48" s="19">
        <v>715.55</v>
      </c>
      <c r="G48" s="20">
        <v>0.76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104</v>
      </c>
      <c r="E49" s="18">
        <v>40390</v>
      </c>
      <c r="F49" s="19">
        <v>715.23</v>
      </c>
      <c r="G49" s="20">
        <v>0.76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70</v>
      </c>
      <c r="E50" s="18">
        <v>46750</v>
      </c>
      <c r="F50" s="19">
        <v>713.22</v>
      </c>
      <c r="G50" s="20">
        <v>0.75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93</v>
      </c>
      <c r="E51" s="18">
        <v>55239</v>
      </c>
      <c r="F51" s="19">
        <v>706.51</v>
      </c>
      <c r="G51" s="20">
        <v>0.75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67</v>
      </c>
      <c r="E52" s="18">
        <v>15700</v>
      </c>
      <c r="F52" s="19">
        <v>701.98</v>
      </c>
      <c r="G52" s="20">
        <v>0.74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26</v>
      </c>
      <c r="E53" s="18">
        <v>12597</v>
      </c>
      <c r="F53" s="19">
        <v>668.33</v>
      </c>
      <c r="G53" s="20">
        <v>0.71</v>
      </c>
      <c r="H53" s="21"/>
    </row>
    <row r="54" spans="2:8" ht="24" customHeight="1" x14ac:dyDescent="0.25">
      <c r="B54" s="17" t="s">
        <v>113</v>
      </c>
      <c r="C54" s="17" t="s">
        <v>114</v>
      </c>
      <c r="D54" s="17" t="s">
        <v>52</v>
      </c>
      <c r="E54" s="18">
        <v>2045</v>
      </c>
      <c r="F54" s="19">
        <v>643.77</v>
      </c>
      <c r="G54" s="20">
        <v>0.68</v>
      </c>
      <c r="H54" s="21"/>
    </row>
    <row r="55" spans="2:8" ht="24" customHeight="1" x14ac:dyDescent="0.25">
      <c r="B55" s="17" t="s">
        <v>115</v>
      </c>
      <c r="C55" s="17" t="s">
        <v>116</v>
      </c>
      <c r="D55" s="17" t="s">
        <v>117</v>
      </c>
      <c r="E55" s="18">
        <v>172652</v>
      </c>
      <c r="F55" s="19">
        <v>637.78</v>
      </c>
      <c r="G55" s="20">
        <v>0.67</v>
      </c>
      <c r="H55" s="21"/>
    </row>
    <row r="56" spans="2:8" ht="24" customHeight="1" x14ac:dyDescent="0.25">
      <c r="B56" s="17" t="s">
        <v>118</v>
      </c>
      <c r="C56" s="17" t="s">
        <v>119</v>
      </c>
      <c r="D56" s="17" t="s">
        <v>120</v>
      </c>
      <c r="E56" s="18">
        <v>188753</v>
      </c>
      <c r="F56" s="19">
        <v>618.26</v>
      </c>
      <c r="G56" s="20">
        <v>0.65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123</v>
      </c>
      <c r="E57" s="18">
        <v>8355</v>
      </c>
      <c r="F57" s="19">
        <v>617.42999999999995</v>
      </c>
      <c r="G57" s="20">
        <v>0.65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46</v>
      </c>
      <c r="E58" s="18">
        <v>4389</v>
      </c>
      <c r="F58" s="19">
        <v>605.46</v>
      </c>
      <c r="G58" s="20">
        <v>0.64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67</v>
      </c>
      <c r="E59" s="18">
        <v>43988</v>
      </c>
      <c r="F59" s="19">
        <v>598.15</v>
      </c>
      <c r="G59" s="20">
        <v>0.63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52</v>
      </c>
      <c r="E60" s="18">
        <v>33636</v>
      </c>
      <c r="F60" s="19">
        <v>579.99</v>
      </c>
      <c r="G60" s="20">
        <v>0.61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46</v>
      </c>
      <c r="E61" s="18">
        <v>12069</v>
      </c>
      <c r="F61" s="19">
        <v>565.73</v>
      </c>
      <c r="G61" s="20">
        <v>0.6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134</v>
      </c>
      <c r="E62" s="18">
        <v>132585</v>
      </c>
      <c r="F62" s="19">
        <v>543.27</v>
      </c>
      <c r="G62" s="20">
        <v>0.56999999999999995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120</v>
      </c>
      <c r="E63" s="18">
        <v>42210</v>
      </c>
      <c r="F63" s="19">
        <v>518.04</v>
      </c>
      <c r="G63" s="20">
        <v>0.55000000000000004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139</v>
      </c>
      <c r="E64" s="18">
        <v>32776</v>
      </c>
      <c r="F64" s="19">
        <v>511.9</v>
      </c>
      <c r="G64" s="20">
        <v>0.54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142</v>
      </c>
      <c r="E65" s="18">
        <v>57125</v>
      </c>
      <c r="F65" s="19">
        <v>497.84</v>
      </c>
      <c r="G65" s="20">
        <v>0.53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70</v>
      </c>
      <c r="E66" s="18">
        <v>16999</v>
      </c>
      <c r="F66" s="19">
        <v>364.31</v>
      </c>
      <c r="G66" s="20">
        <v>0.38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32</v>
      </c>
      <c r="E67" s="18">
        <v>6674</v>
      </c>
      <c r="F67" s="19">
        <v>353.59</v>
      </c>
      <c r="G67" s="20">
        <v>0.37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73</v>
      </c>
      <c r="E68" s="18">
        <v>23650</v>
      </c>
      <c r="F68" s="19">
        <v>326.35000000000002</v>
      </c>
      <c r="G68" s="20">
        <v>0.34</v>
      </c>
      <c r="H68" s="21"/>
    </row>
    <row r="69" spans="2:12" ht="24" customHeight="1" x14ac:dyDescent="0.25">
      <c r="B69" s="28" t="s">
        <v>149</v>
      </c>
      <c r="C69" s="28"/>
      <c r="D69" s="28"/>
      <c r="E69" s="29"/>
      <c r="F69" s="30">
        <v>67997.77</v>
      </c>
      <c r="G69" s="31">
        <v>71.8</v>
      </c>
      <c r="H69" s="32"/>
    </row>
    <row r="70" spans="2:12" ht="24" customHeight="1" x14ac:dyDescent="0.25">
      <c r="B70" s="17"/>
      <c r="C70" s="17"/>
      <c r="D70" s="17"/>
      <c r="E70" s="18"/>
      <c r="F70" s="19"/>
      <c r="G70" s="20"/>
      <c r="H70" s="21"/>
    </row>
    <row r="71" spans="2:12" ht="24" customHeight="1" x14ac:dyDescent="0.25">
      <c r="B71" s="22" t="s">
        <v>150</v>
      </c>
      <c r="C71" s="23"/>
      <c r="D71" s="23"/>
      <c r="E71" s="24"/>
      <c r="F71" s="25"/>
      <c r="G71" s="26"/>
      <c r="H71" s="27"/>
    </row>
    <row r="72" spans="2:12" ht="24" customHeight="1" x14ac:dyDescent="0.25">
      <c r="B72" s="17"/>
      <c r="C72" s="17"/>
      <c r="D72" s="17"/>
      <c r="E72" s="18"/>
      <c r="F72" s="20">
        <v>0</v>
      </c>
      <c r="G72" s="20">
        <v>0</v>
      </c>
      <c r="H72" s="21"/>
    </row>
    <row r="73" spans="2:12" ht="24" customHeight="1" x14ac:dyDescent="0.25">
      <c r="B73" s="28" t="s">
        <v>149</v>
      </c>
      <c r="C73" s="17"/>
      <c r="D73" s="17"/>
      <c r="E73" s="18"/>
      <c r="F73" s="33" t="s">
        <v>151</v>
      </c>
      <c r="G73" s="33" t="s">
        <v>151</v>
      </c>
      <c r="H73" s="21"/>
    </row>
    <row r="74" spans="2:12" ht="24" customHeight="1" x14ac:dyDescent="0.25">
      <c r="B74" s="17"/>
      <c r="C74" s="17"/>
      <c r="D74" s="17"/>
      <c r="E74" s="18"/>
      <c r="F74" s="19"/>
      <c r="G74" s="20"/>
      <c r="H74" s="21"/>
    </row>
    <row r="75" spans="2:12" ht="24" customHeight="1" x14ac:dyDescent="0.25">
      <c r="B75" s="34" t="s">
        <v>152</v>
      </c>
      <c r="C75" s="35"/>
      <c r="D75" s="35"/>
      <c r="E75" s="36"/>
      <c r="F75" s="30">
        <v>67997.77</v>
      </c>
      <c r="G75" s="31">
        <v>71.8</v>
      </c>
      <c r="H75" s="32"/>
    </row>
    <row r="76" spans="2:12" ht="24" customHeight="1" x14ac:dyDescent="0.25">
      <c r="B76" s="37"/>
      <c r="C76" s="38"/>
      <c r="D76" s="38"/>
      <c r="E76" s="39"/>
      <c r="F76" s="40"/>
      <c r="G76" s="41"/>
      <c r="H76" s="32"/>
    </row>
    <row r="77" spans="2:12" ht="24" customHeight="1" x14ac:dyDescent="0.25">
      <c r="B77" s="11" t="s">
        <v>153</v>
      </c>
      <c r="C77" s="12"/>
      <c r="D77" s="12"/>
      <c r="E77" s="13"/>
      <c r="F77" s="14"/>
      <c r="G77" s="15"/>
      <c r="H77" s="16"/>
      <c r="L77" s="42"/>
    </row>
    <row r="78" spans="2:12" ht="24" customHeight="1" x14ac:dyDescent="0.25">
      <c r="B78" s="17"/>
      <c r="C78" s="17"/>
      <c r="D78" s="17"/>
      <c r="E78" s="18"/>
      <c r="F78" s="19"/>
      <c r="G78" s="20"/>
      <c r="H78" s="21"/>
    </row>
    <row r="79" spans="2:12" ht="24" customHeight="1" x14ac:dyDescent="0.25">
      <c r="B79" s="22" t="s">
        <v>154</v>
      </c>
      <c r="C79" s="23"/>
      <c r="D79" s="23"/>
      <c r="E79" s="24"/>
      <c r="F79" s="25"/>
      <c r="G79" s="26"/>
      <c r="H79" s="27"/>
      <c r="L79" s="42"/>
    </row>
    <row r="80" spans="2:12" ht="24" customHeight="1" x14ac:dyDescent="0.25">
      <c r="B80" s="17" t="s">
        <v>155</v>
      </c>
      <c r="C80" s="17" t="s">
        <v>156</v>
      </c>
      <c r="D80" s="17" t="s">
        <v>157</v>
      </c>
      <c r="E80" s="18">
        <v>5190000</v>
      </c>
      <c r="F80" s="19">
        <v>5346.01</v>
      </c>
      <c r="G80" s="20">
        <v>5.65</v>
      </c>
      <c r="H80" s="21">
        <v>6.7973999999999997</v>
      </c>
      <c r="L80" s="42"/>
    </row>
    <row r="81" spans="2:13" ht="24" customHeight="1" x14ac:dyDescent="0.25">
      <c r="B81" s="17" t="s">
        <v>155</v>
      </c>
      <c r="C81" s="17" t="s">
        <v>158</v>
      </c>
      <c r="D81" s="17" t="s">
        <v>157</v>
      </c>
      <c r="E81" s="18">
        <v>3400000</v>
      </c>
      <c r="F81" s="19">
        <v>3473.09</v>
      </c>
      <c r="G81" s="20">
        <v>3.67</v>
      </c>
      <c r="H81" s="21">
        <v>7.0301999999999998</v>
      </c>
      <c r="L81" s="42"/>
    </row>
    <row r="82" spans="2:13" ht="24" customHeight="1" x14ac:dyDescent="0.25">
      <c r="B82" s="17" t="s">
        <v>159</v>
      </c>
      <c r="C82" s="17" t="s">
        <v>160</v>
      </c>
      <c r="D82" s="17" t="s">
        <v>157</v>
      </c>
      <c r="E82" s="18">
        <v>1841667</v>
      </c>
      <c r="F82" s="19">
        <v>1889.56</v>
      </c>
      <c r="G82" s="20">
        <v>2</v>
      </c>
      <c r="H82" s="21">
        <v>6.8080999999999996</v>
      </c>
      <c r="L82" s="42"/>
    </row>
    <row r="83" spans="2:13" ht="24" customHeight="1" x14ac:dyDescent="0.25">
      <c r="B83" s="17" t="s">
        <v>161</v>
      </c>
      <c r="C83" s="17" t="s">
        <v>162</v>
      </c>
      <c r="D83" s="17" t="s">
        <v>157</v>
      </c>
      <c r="E83" s="18">
        <v>1840000</v>
      </c>
      <c r="F83" s="19">
        <v>1854.04</v>
      </c>
      <c r="G83" s="20">
        <v>1.96</v>
      </c>
      <c r="H83" s="21">
        <v>6.7868000000000004</v>
      </c>
      <c r="L83" s="42"/>
    </row>
    <row r="84" spans="2:13" ht="24" customHeight="1" x14ac:dyDescent="0.25">
      <c r="B84" s="17" t="s">
        <v>163</v>
      </c>
      <c r="C84" s="17" t="s">
        <v>164</v>
      </c>
      <c r="D84" s="17" t="s">
        <v>157</v>
      </c>
      <c r="E84" s="18">
        <v>1441600</v>
      </c>
      <c r="F84" s="19">
        <v>1416.36</v>
      </c>
      <c r="G84" s="20">
        <v>1.5</v>
      </c>
      <c r="H84" s="21">
        <v>7.5233999999999996</v>
      </c>
      <c r="L84" s="43"/>
      <c r="M84" s="43"/>
    </row>
    <row r="85" spans="2:13" ht="24" customHeight="1" x14ac:dyDescent="0.25">
      <c r="B85" s="17" t="s">
        <v>165</v>
      </c>
      <c r="C85" s="17" t="s">
        <v>166</v>
      </c>
      <c r="D85" s="17" t="s">
        <v>157</v>
      </c>
      <c r="E85" s="18">
        <v>860000</v>
      </c>
      <c r="F85" s="19">
        <v>890.01</v>
      </c>
      <c r="G85" s="20">
        <v>0.94</v>
      </c>
      <c r="H85" s="21">
        <v>6.7664999999999997</v>
      </c>
    </row>
    <row r="86" spans="2:13" ht="24" customHeight="1" x14ac:dyDescent="0.25">
      <c r="B86" s="17" t="s">
        <v>167</v>
      </c>
      <c r="C86" s="17" t="s">
        <v>168</v>
      </c>
      <c r="D86" s="17" t="s">
        <v>157</v>
      </c>
      <c r="E86" s="18">
        <v>887500</v>
      </c>
      <c r="F86" s="19">
        <v>880.76</v>
      </c>
      <c r="G86" s="20">
        <v>0.93</v>
      </c>
      <c r="H86" s="21">
        <v>7.5355999999999996</v>
      </c>
    </row>
    <row r="87" spans="2:13" ht="24" customHeight="1" x14ac:dyDescent="0.25">
      <c r="B87" s="17" t="s">
        <v>169</v>
      </c>
      <c r="C87" s="17" t="s">
        <v>170</v>
      </c>
      <c r="D87" s="17" t="s">
        <v>157</v>
      </c>
      <c r="E87" s="18">
        <v>900000</v>
      </c>
      <c r="F87" s="19">
        <v>875.58</v>
      </c>
      <c r="G87" s="20">
        <v>0.92</v>
      </c>
      <c r="H87" s="21">
        <v>7.45</v>
      </c>
      <c r="L87" s="44"/>
      <c r="M87" s="44"/>
    </row>
    <row r="88" spans="2:13" ht="24" customHeight="1" x14ac:dyDescent="0.25">
      <c r="B88" s="17" t="s">
        <v>171</v>
      </c>
      <c r="C88" s="17" t="s">
        <v>172</v>
      </c>
      <c r="D88" s="17" t="s">
        <v>173</v>
      </c>
      <c r="E88" s="18">
        <v>750000</v>
      </c>
      <c r="F88" s="19">
        <v>738.36</v>
      </c>
      <c r="G88" s="20">
        <v>0.78</v>
      </c>
      <c r="H88" s="21">
        <v>6.96</v>
      </c>
      <c r="L88" s="44"/>
      <c r="M88" s="44"/>
    </row>
    <row r="89" spans="2:13" ht="24" customHeight="1" x14ac:dyDescent="0.25">
      <c r="B89" s="17" t="s">
        <v>174</v>
      </c>
      <c r="C89" s="17" t="s">
        <v>175</v>
      </c>
      <c r="D89" s="17" t="s">
        <v>157</v>
      </c>
      <c r="E89" s="18">
        <v>640700</v>
      </c>
      <c r="F89" s="19">
        <v>657.1</v>
      </c>
      <c r="G89" s="20">
        <v>0.69</v>
      </c>
      <c r="H89" s="21">
        <v>6.0719000000000003</v>
      </c>
      <c r="L89" s="44"/>
      <c r="M89" s="44"/>
    </row>
    <row r="90" spans="2:13" ht="24" customHeight="1" x14ac:dyDescent="0.25">
      <c r="B90" s="17" t="s">
        <v>169</v>
      </c>
      <c r="C90" s="17" t="s">
        <v>176</v>
      </c>
      <c r="D90" s="17" t="s">
        <v>157</v>
      </c>
      <c r="E90" s="18">
        <v>600000</v>
      </c>
      <c r="F90" s="19">
        <v>578.4</v>
      </c>
      <c r="G90" s="20">
        <v>0.61</v>
      </c>
      <c r="H90" s="21">
        <v>7.4970999999999997</v>
      </c>
      <c r="L90" s="44"/>
      <c r="M90" s="44"/>
    </row>
    <row r="91" spans="2:13" ht="24" customHeight="1" x14ac:dyDescent="0.25">
      <c r="B91" s="17" t="s">
        <v>177</v>
      </c>
      <c r="C91" s="17" t="s">
        <v>178</v>
      </c>
      <c r="D91" s="17" t="s">
        <v>173</v>
      </c>
      <c r="E91" s="18">
        <v>500000</v>
      </c>
      <c r="F91" s="19">
        <v>516.92999999999995</v>
      </c>
      <c r="G91" s="20">
        <v>0.55000000000000004</v>
      </c>
      <c r="H91" s="21">
        <v>7.1398999999999999</v>
      </c>
      <c r="L91" s="44"/>
      <c r="M91" s="44"/>
    </row>
    <row r="92" spans="2:13" ht="24" customHeight="1" x14ac:dyDescent="0.25">
      <c r="B92" s="17" t="s">
        <v>179</v>
      </c>
      <c r="C92" s="17" t="s">
        <v>180</v>
      </c>
      <c r="D92" s="17" t="s">
        <v>173</v>
      </c>
      <c r="E92" s="18">
        <v>500000</v>
      </c>
      <c r="F92" s="19">
        <v>510.57</v>
      </c>
      <c r="G92" s="20">
        <v>0.54</v>
      </c>
      <c r="H92" s="21">
        <v>7.0724999999999998</v>
      </c>
      <c r="L92" s="44"/>
      <c r="M92" s="44"/>
    </row>
    <row r="93" spans="2:13" ht="24" customHeight="1" x14ac:dyDescent="0.25">
      <c r="B93" s="17" t="s">
        <v>181</v>
      </c>
      <c r="C93" s="17" t="s">
        <v>182</v>
      </c>
      <c r="D93" s="17" t="s">
        <v>173</v>
      </c>
      <c r="E93" s="18">
        <v>400000</v>
      </c>
      <c r="F93" s="19">
        <v>406.66</v>
      </c>
      <c r="G93" s="20">
        <v>0.43</v>
      </c>
      <c r="H93" s="21">
        <v>6.835</v>
      </c>
      <c r="L93" s="44"/>
      <c r="M93" s="44"/>
    </row>
    <row r="94" spans="2:13" ht="24" customHeight="1" x14ac:dyDescent="0.25">
      <c r="B94" s="17" t="s">
        <v>183</v>
      </c>
      <c r="C94" s="17" t="s">
        <v>184</v>
      </c>
      <c r="D94" s="17" t="s">
        <v>173</v>
      </c>
      <c r="E94" s="18">
        <v>350000</v>
      </c>
      <c r="F94" s="19">
        <v>353.57</v>
      </c>
      <c r="G94" s="20">
        <v>0.37</v>
      </c>
      <c r="H94" s="21">
        <v>7.0244999999999997</v>
      </c>
    </row>
    <row r="95" spans="2:13" ht="24" customHeight="1" x14ac:dyDescent="0.25">
      <c r="B95" s="17" t="s">
        <v>185</v>
      </c>
      <c r="C95" s="17" t="s">
        <v>186</v>
      </c>
      <c r="D95" s="17" t="s">
        <v>173</v>
      </c>
      <c r="E95" s="18">
        <v>300000</v>
      </c>
      <c r="F95" s="19">
        <v>303.61</v>
      </c>
      <c r="G95" s="20">
        <v>0.32</v>
      </c>
      <c r="H95" s="21">
        <v>6.95</v>
      </c>
      <c r="L95" s="42"/>
    </row>
    <row r="96" spans="2:13" ht="24" customHeight="1" x14ac:dyDescent="0.25">
      <c r="B96" s="17" t="s">
        <v>187</v>
      </c>
      <c r="C96" s="17" t="s">
        <v>188</v>
      </c>
      <c r="D96" s="17" t="s">
        <v>157</v>
      </c>
      <c r="E96" s="18">
        <v>248700</v>
      </c>
      <c r="F96" s="19">
        <v>248.2</v>
      </c>
      <c r="G96" s="20">
        <v>0.26</v>
      </c>
      <c r="H96" s="21">
        <v>6.6851000000000003</v>
      </c>
    </row>
    <row r="97" spans="2:10" ht="24" customHeight="1" x14ac:dyDescent="0.25">
      <c r="B97" s="17" t="s">
        <v>189</v>
      </c>
      <c r="C97" s="17" t="s">
        <v>190</v>
      </c>
      <c r="D97" s="17" t="s">
        <v>191</v>
      </c>
      <c r="E97" s="18">
        <v>200000</v>
      </c>
      <c r="F97" s="19">
        <v>204.27</v>
      </c>
      <c r="G97" s="20">
        <v>0.22</v>
      </c>
      <c r="H97" s="21">
        <v>7.4126000000000003</v>
      </c>
    </row>
    <row r="98" spans="2:10" ht="24" customHeight="1" x14ac:dyDescent="0.25">
      <c r="B98" s="17" t="s">
        <v>192</v>
      </c>
      <c r="C98" s="17" t="s">
        <v>193</v>
      </c>
      <c r="D98" s="17" t="s">
        <v>194</v>
      </c>
      <c r="E98" s="18">
        <v>100000</v>
      </c>
      <c r="F98" s="19">
        <v>102.09</v>
      </c>
      <c r="G98" s="20">
        <v>0.11</v>
      </c>
      <c r="H98" s="21">
        <v>7.75</v>
      </c>
    </row>
    <row r="99" spans="2:10" ht="24" customHeight="1" x14ac:dyDescent="0.25">
      <c r="B99" s="17" t="s">
        <v>165</v>
      </c>
      <c r="C99" s="17" t="s">
        <v>195</v>
      </c>
      <c r="D99" s="17" t="s">
        <v>157</v>
      </c>
      <c r="E99" s="18">
        <v>25000</v>
      </c>
      <c r="F99" s="19">
        <v>25.9</v>
      </c>
      <c r="G99" s="20">
        <v>0.03</v>
      </c>
      <c r="H99" s="21">
        <v>6.7161999999999997</v>
      </c>
    </row>
    <row r="100" spans="2:10" ht="24" customHeight="1" x14ac:dyDescent="0.25">
      <c r="B100" s="28" t="s">
        <v>149</v>
      </c>
      <c r="C100" s="28"/>
      <c r="D100" s="28"/>
      <c r="E100" s="29"/>
      <c r="F100" s="30">
        <f>SUM(F80:F99)</f>
        <v>21271.070000000007</v>
      </c>
      <c r="G100" s="30">
        <f>SUM(G80:G99)</f>
        <v>22.480000000000008</v>
      </c>
      <c r="H100" s="32"/>
    </row>
    <row r="101" spans="2:10" ht="24" customHeight="1" x14ac:dyDescent="0.25">
      <c r="B101" s="17"/>
      <c r="C101" s="17"/>
      <c r="D101" s="17"/>
      <c r="E101" s="18"/>
      <c r="F101" s="19"/>
      <c r="G101" s="20"/>
      <c r="H101" s="21"/>
    </row>
    <row r="102" spans="2:10" ht="24" customHeight="1" x14ac:dyDescent="0.25">
      <c r="B102" s="22" t="s">
        <v>196</v>
      </c>
      <c r="C102" s="23"/>
      <c r="D102" s="23"/>
      <c r="E102" s="24"/>
      <c r="F102" s="25"/>
      <c r="G102" s="26"/>
      <c r="H102" s="27"/>
    </row>
    <row r="103" spans="2:10" ht="24" customHeight="1" x14ac:dyDescent="0.25">
      <c r="B103" s="17"/>
      <c r="C103" s="17"/>
      <c r="D103" s="17"/>
      <c r="E103" s="18"/>
      <c r="F103" s="20">
        <v>0</v>
      </c>
      <c r="G103" s="20">
        <v>0</v>
      </c>
      <c r="H103" s="21"/>
      <c r="J103" s="45"/>
    </row>
    <row r="104" spans="2:10" ht="24" customHeight="1" x14ac:dyDescent="0.25">
      <c r="B104" s="28" t="s">
        <v>149</v>
      </c>
      <c r="C104" s="28"/>
      <c r="D104" s="28"/>
      <c r="E104" s="29"/>
      <c r="F104" s="33" t="s">
        <v>151</v>
      </c>
      <c r="G104" s="33" t="s">
        <v>151</v>
      </c>
      <c r="H104" s="32"/>
    </row>
    <row r="105" spans="2:10" ht="24" customHeight="1" x14ac:dyDescent="0.25">
      <c r="B105" s="22" t="s">
        <v>197</v>
      </c>
      <c r="C105" s="23"/>
      <c r="D105" s="23"/>
      <c r="E105" s="24"/>
      <c r="F105" s="25"/>
      <c r="G105" s="26"/>
      <c r="H105" s="27"/>
    </row>
    <row r="106" spans="2:10" ht="24" customHeight="1" x14ac:dyDescent="0.25">
      <c r="B106" s="17"/>
      <c r="C106" s="17"/>
      <c r="D106" s="17"/>
      <c r="E106" s="18"/>
      <c r="F106" s="20">
        <v>0</v>
      </c>
      <c r="G106" s="20">
        <v>0</v>
      </c>
      <c r="H106" s="21"/>
    </row>
    <row r="107" spans="2:10" ht="24" customHeight="1" x14ac:dyDescent="0.25">
      <c r="B107" s="28" t="s">
        <v>149</v>
      </c>
      <c r="C107" s="17"/>
      <c r="D107" s="17"/>
      <c r="E107" s="18"/>
      <c r="F107" s="33" t="s">
        <v>151</v>
      </c>
      <c r="G107" s="33" t="s">
        <v>151</v>
      </c>
      <c r="H107" s="21"/>
    </row>
    <row r="108" spans="2:10" ht="24" customHeight="1" x14ac:dyDescent="0.25">
      <c r="B108" s="17"/>
      <c r="C108" s="17"/>
      <c r="D108" s="17"/>
      <c r="E108" s="18"/>
      <c r="F108" s="19"/>
      <c r="G108" s="20"/>
      <c r="H108" s="21"/>
    </row>
    <row r="109" spans="2:10" ht="24" customHeight="1" x14ac:dyDescent="0.25">
      <c r="B109" s="34" t="s">
        <v>152</v>
      </c>
      <c r="C109" s="35"/>
      <c r="D109" s="35"/>
      <c r="E109" s="36"/>
      <c r="F109" s="30">
        <f>F100</f>
        <v>21271.070000000007</v>
      </c>
      <c r="G109" s="30">
        <f>G100</f>
        <v>22.480000000000008</v>
      </c>
      <c r="H109" s="32"/>
    </row>
    <row r="110" spans="2:10" ht="24" customHeight="1" x14ac:dyDescent="0.25">
      <c r="B110" s="37"/>
      <c r="C110" s="38"/>
      <c r="D110" s="38"/>
      <c r="E110" s="39"/>
      <c r="F110" s="40"/>
      <c r="G110" s="41"/>
      <c r="H110" s="32"/>
    </row>
    <row r="111" spans="2:10" ht="24" customHeight="1" x14ac:dyDescent="0.25">
      <c r="B111" s="22" t="s">
        <v>198</v>
      </c>
      <c r="C111" s="23"/>
      <c r="D111" s="23"/>
      <c r="E111" s="24"/>
      <c r="F111" s="25"/>
      <c r="G111" s="26"/>
      <c r="H111" s="27"/>
    </row>
    <row r="112" spans="2:10" ht="24" customHeight="1" x14ac:dyDescent="0.25">
      <c r="B112" s="17" t="s">
        <v>84</v>
      </c>
      <c r="C112" s="17" t="s">
        <v>199</v>
      </c>
      <c r="D112" s="17"/>
      <c r="E112" s="18">
        <v>104440</v>
      </c>
      <c r="F112" s="19">
        <v>10.44</v>
      </c>
      <c r="G112" s="20">
        <v>0.01</v>
      </c>
      <c r="H112" s="46">
        <v>0</v>
      </c>
    </row>
    <row r="113" spans="2:8" ht="24" customHeight="1" x14ac:dyDescent="0.25">
      <c r="B113" s="28" t="s">
        <v>149</v>
      </c>
      <c r="C113" s="17"/>
      <c r="D113" s="17"/>
      <c r="E113" s="18"/>
      <c r="F113" s="33">
        <f>F112</f>
        <v>10.44</v>
      </c>
      <c r="G113" s="33">
        <f>G112</f>
        <v>0.01</v>
      </c>
      <c r="H113" s="21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34" t="s">
        <v>152</v>
      </c>
      <c r="C115" s="35"/>
      <c r="D115" s="35"/>
      <c r="E115" s="36"/>
      <c r="F115" s="30">
        <f>F113</f>
        <v>10.44</v>
      </c>
      <c r="G115" s="30">
        <f>G113</f>
        <v>0.01</v>
      </c>
      <c r="H115" s="32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11" t="s">
        <v>200</v>
      </c>
      <c r="C117" s="12"/>
      <c r="D117" s="12"/>
      <c r="E117" s="13"/>
      <c r="F117" s="14"/>
      <c r="G117" s="15"/>
      <c r="H117" s="16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22" t="s">
        <v>201</v>
      </c>
      <c r="C119" s="23"/>
      <c r="D119" s="23"/>
      <c r="E119" s="24"/>
      <c r="F119" s="25"/>
      <c r="G119" s="26"/>
      <c r="H119" s="27"/>
    </row>
    <row r="120" spans="2:8" ht="24" customHeight="1" x14ac:dyDescent="0.25">
      <c r="B120" s="17" t="s">
        <v>202</v>
      </c>
      <c r="C120" s="17" t="s">
        <v>203</v>
      </c>
      <c r="D120" s="17" t="s">
        <v>204</v>
      </c>
      <c r="E120" s="18">
        <v>500000</v>
      </c>
      <c r="F120" s="19">
        <v>479.59</v>
      </c>
      <c r="G120" s="20">
        <v>0.51</v>
      </c>
      <c r="H120" s="21">
        <v>6.2899000000000003</v>
      </c>
    </row>
    <row r="121" spans="2:8" ht="24" customHeight="1" x14ac:dyDescent="0.25">
      <c r="B121" s="17" t="s">
        <v>205</v>
      </c>
      <c r="C121" s="17" t="s">
        <v>206</v>
      </c>
      <c r="D121" s="17" t="s">
        <v>207</v>
      </c>
      <c r="E121" s="18">
        <v>250000</v>
      </c>
      <c r="F121" s="19">
        <v>241.72</v>
      </c>
      <c r="G121" s="20">
        <v>0.26</v>
      </c>
      <c r="H121" s="21">
        <v>6.0998999999999999</v>
      </c>
    </row>
    <row r="122" spans="2:8" ht="24" customHeight="1" x14ac:dyDescent="0.25">
      <c r="B122" s="28" t="s">
        <v>149</v>
      </c>
      <c r="C122" s="28"/>
      <c r="D122" s="28"/>
      <c r="E122" s="29"/>
      <c r="F122" s="30">
        <v>721.31</v>
      </c>
      <c r="G122" s="31">
        <v>0.77</v>
      </c>
      <c r="H122" s="32"/>
    </row>
    <row r="123" spans="2:8" ht="24" customHeight="1" x14ac:dyDescent="0.25">
      <c r="B123" s="17"/>
      <c r="C123" s="17"/>
      <c r="D123" s="17"/>
      <c r="E123" s="18"/>
      <c r="F123" s="19"/>
      <c r="G123" s="20"/>
      <c r="H123" s="21"/>
    </row>
    <row r="124" spans="2:8" ht="24" customHeight="1" x14ac:dyDescent="0.25">
      <c r="B124" s="22" t="s">
        <v>208</v>
      </c>
      <c r="C124" s="23"/>
      <c r="D124" s="23"/>
      <c r="E124" s="24"/>
      <c r="F124" s="25"/>
      <c r="G124" s="26"/>
      <c r="H124" s="27"/>
    </row>
    <row r="125" spans="2:8" ht="24" customHeight="1" x14ac:dyDescent="0.25">
      <c r="B125" s="17" t="s">
        <v>209</v>
      </c>
      <c r="C125" s="17" t="s">
        <v>210</v>
      </c>
      <c r="D125" s="17" t="s">
        <v>207</v>
      </c>
      <c r="E125" s="18">
        <v>700000</v>
      </c>
      <c r="F125" s="19">
        <v>679.06</v>
      </c>
      <c r="G125" s="20">
        <v>0.72</v>
      </c>
      <c r="H125" s="21">
        <v>6.82</v>
      </c>
    </row>
    <row r="126" spans="2:8" ht="24" customHeight="1" x14ac:dyDescent="0.25">
      <c r="B126" s="28" t="s">
        <v>149</v>
      </c>
      <c r="C126" s="28"/>
      <c r="D126" s="28"/>
      <c r="E126" s="29"/>
      <c r="F126" s="30">
        <v>679.06</v>
      </c>
      <c r="G126" s="31">
        <v>0.72</v>
      </c>
      <c r="H126" s="32"/>
    </row>
    <row r="127" spans="2:8" ht="24" customHeight="1" x14ac:dyDescent="0.25">
      <c r="B127" s="17"/>
      <c r="C127" s="17"/>
      <c r="D127" s="17"/>
      <c r="E127" s="18"/>
      <c r="F127" s="19"/>
      <c r="G127" s="20"/>
      <c r="H127" s="21"/>
    </row>
    <row r="128" spans="2:8" ht="24" customHeight="1" x14ac:dyDescent="0.25">
      <c r="B128" s="34" t="s">
        <v>152</v>
      </c>
      <c r="C128" s="35"/>
      <c r="D128" s="35"/>
      <c r="E128" s="36"/>
      <c r="F128" s="30">
        <v>1400.37</v>
      </c>
      <c r="G128" s="31">
        <v>1.49</v>
      </c>
      <c r="H128" s="32"/>
    </row>
    <row r="129" spans="2:8" ht="24" customHeight="1" x14ac:dyDescent="0.25">
      <c r="B129" s="17"/>
      <c r="C129" s="17"/>
      <c r="D129" s="17"/>
      <c r="E129" s="18"/>
      <c r="F129" s="19"/>
      <c r="G129" s="20"/>
      <c r="H129" s="21"/>
    </row>
    <row r="130" spans="2:8" ht="24" customHeight="1" x14ac:dyDescent="0.25">
      <c r="B130" s="17"/>
      <c r="C130" s="17"/>
      <c r="D130" s="17"/>
      <c r="E130" s="18"/>
      <c r="F130" s="19"/>
      <c r="G130" s="20"/>
      <c r="H130" s="21"/>
    </row>
    <row r="131" spans="2:8" ht="24" customHeight="1" x14ac:dyDescent="0.25">
      <c r="B131" s="11" t="s">
        <v>211</v>
      </c>
      <c r="C131" s="12"/>
      <c r="D131" s="12"/>
      <c r="E131" s="13"/>
      <c r="F131" s="14"/>
      <c r="G131" s="15"/>
      <c r="H131" s="16"/>
    </row>
    <row r="132" spans="2:8" ht="24" customHeight="1" x14ac:dyDescent="0.25">
      <c r="B132" s="17" t="s">
        <v>212</v>
      </c>
      <c r="C132" s="17"/>
      <c r="D132" s="17"/>
      <c r="E132" s="18"/>
      <c r="F132" s="19">
        <v>4632.97</v>
      </c>
      <c r="G132" s="20">
        <v>4.8899999999999997</v>
      </c>
      <c r="H132" s="21"/>
    </row>
    <row r="133" spans="2:8" ht="24" customHeight="1" x14ac:dyDescent="0.25">
      <c r="B133" s="28" t="s">
        <v>149</v>
      </c>
      <c r="C133" s="28"/>
      <c r="D133" s="28"/>
      <c r="E133" s="29"/>
      <c r="F133" s="30">
        <v>4632.97</v>
      </c>
      <c r="G133" s="31">
        <v>4.8899999999999997</v>
      </c>
      <c r="H133" s="32"/>
    </row>
    <row r="134" spans="2:8" ht="24" customHeight="1" x14ac:dyDescent="0.25">
      <c r="B134" s="17"/>
      <c r="C134" s="17"/>
      <c r="D134" s="17"/>
      <c r="E134" s="18"/>
      <c r="F134" s="19"/>
      <c r="G134" s="20"/>
      <c r="H134" s="21"/>
    </row>
    <row r="135" spans="2:8" ht="24" customHeight="1" x14ac:dyDescent="0.25">
      <c r="B135" s="34" t="s">
        <v>152</v>
      </c>
      <c r="C135" s="35"/>
      <c r="D135" s="35"/>
      <c r="E135" s="36"/>
      <c r="F135" s="30">
        <v>4632.97</v>
      </c>
      <c r="G135" s="31">
        <v>4.8899999999999997</v>
      </c>
      <c r="H135" s="32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17" t="s">
        <v>213</v>
      </c>
      <c r="C137" s="17"/>
      <c r="D137" s="17"/>
      <c r="E137" s="18"/>
      <c r="F137" s="47">
        <v>-643.30999999999995</v>
      </c>
      <c r="G137" s="20">
        <v>-0.66999999999998749</v>
      </c>
      <c r="H137" s="21"/>
    </row>
    <row r="138" spans="2:8" ht="24" customHeight="1" x14ac:dyDescent="0.25">
      <c r="B138" s="17"/>
      <c r="C138" s="17"/>
      <c r="D138" s="17"/>
      <c r="E138" s="18"/>
      <c r="F138" s="19"/>
      <c r="G138" s="20"/>
      <c r="H138" s="21"/>
    </row>
    <row r="139" spans="2:8" ht="24" customHeight="1" x14ac:dyDescent="0.25">
      <c r="B139" s="34" t="s">
        <v>214</v>
      </c>
      <c r="C139" s="35"/>
      <c r="D139" s="35"/>
      <c r="E139" s="36"/>
      <c r="F139" s="30">
        <v>94669.31</v>
      </c>
      <c r="G139" s="31">
        <v>100</v>
      </c>
      <c r="H139" s="48"/>
    </row>
    <row r="140" spans="2:8" ht="24" customHeight="1" x14ac:dyDescent="0.25">
      <c r="B140" s="4"/>
    </row>
    <row r="141" spans="2:8" ht="24" customHeight="1" x14ac:dyDescent="0.25">
      <c r="B141" s="51" t="s">
        <v>215</v>
      </c>
    </row>
    <row r="142" spans="2:8" ht="24" customHeight="1" x14ac:dyDescent="0.25">
      <c r="B142" s="51" t="s">
        <v>216</v>
      </c>
    </row>
    <row r="148" spans="2:8" ht="24" customHeight="1" x14ac:dyDescent="0.25">
      <c r="B148" s="38" t="s">
        <v>217</v>
      </c>
    </row>
    <row r="149" spans="2:8" ht="24" customHeight="1" x14ac:dyDescent="0.25">
      <c r="B149" s="49" t="s">
        <v>218</v>
      </c>
    </row>
    <row r="150" spans="2:8" ht="24" customHeight="1" x14ac:dyDescent="0.25">
      <c r="B150" s="52" t="s">
        <v>219</v>
      </c>
      <c r="C150" s="53">
        <v>45869</v>
      </c>
      <c r="D150" s="54">
        <v>45898</v>
      </c>
    </row>
    <row r="151" spans="2:8" ht="24" customHeight="1" x14ac:dyDescent="0.25">
      <c r="B151" s="55" t="s">
        <v>220</v>
      </c>
      <c r="C151" s="56" t="s">
        <v>221</v>
      </c>
      <c r="D151" s="57" t="s">
        <v>221</v>
      </c>
      <c r="E151" s="4"/>
      <c r="F151" s="4"/>
      <c r="G151" s="4"/>
      <c r="H151" s="4"/>
    </row>
    <row r="152" spans="2:8" ht="24" customHeight="1" x14ac:dyDescent="0.25">
      <c r="B152" s="58" t="s">
        <v>222</v>
      </c>
      <c r="C152" s="59">
        <v>16.579999999999998</v>
      </c>
      <c r="D152" s="60">
        <v>16.38</v>
      </c>
      <c r="E152" s="4"/>
      <c r="F152" s="4"/>
      <c r="G152" s="4"/>
      <c r="H152" s="4"/>
    </row>
    <row r="153" spans="2:8" ht="24" customHeight="1" x14ac:dyDescent="0.25">
      <c r="B153" s="58" t="s">
        <v>223</v>
      </c>
      <c r="C153" s="59">
        <v>11.95</v>
      </c>
      <c r="D153" s="60">
        <v>11.81</v>
      </c>
      <c r="E153" s="4"/>
      <c r="F153" s="4"/>
      <c r="G153" s="4"/>
      <c r="H153" s="4"/>
    </row>
    <row r="154" spans="2:8" ht="24" customHeight="1" x14ac:dyDescent="0.25">
      <c r="B154" s="55" t="s">
        <v>224</v>
      </c>
      <c r="C154" s="56"/>
      <c r="D154" s="57"/>
      <c r="E154" s="4"/>
      <c r="F154" s="4"/>
      <c r="G154" s="4"/>
      <c r="H154" s="4"/>
    </row>
    <row r="155" spans="2:8" ht="24" customHeight="1" x14ac:dyDescent="0.25">
      <c r="B155" s="58" t="s">
        <v>222</v>
      </c>
      <c r="C155" s="59">
        <v>15.32</v>
      </c>
      <c r="D155" s="60">
        <v>15.12</v>
      </c>
      <c r="E155" s="4"/>
      <c r="F155" s="4"/>
      <c r="G155" s="4"/>
      <c r="H155" s="4"/>
    </row>
    <row r="156" spans="2:8" ht="24" customHeight="1" x14ac:dyDescent="0.25">
      <c r="B156" s="61" t="s">
        <v>223</v>
      </c>
      <c r="C156" s="62">
        <v>11.61</v>
      </c>
      <c r="D156" s="63">
        <v>11.45</v>
      </c>
      <c r="E156" s="4"/>
      <c r="F156" s="4"/>
      <c r="G156" s="4"/>
      <c r="H156" s="4"/>
    </row>
    <row r="157" spans="2:8" ht="24" customHeight="1" x14ac:dyDescent="0.25">
      <c r="C157" s="64"/>
      <c r="D157" s="64"/>
      <c r="E157" s="4"/>
      <c r="F157" s="4"/>
      <c r="G157" s="4"/>
      <c r="H157" s="4"/>
    </row>
    <row r="158" spans="2:8" ht="24" customHeight="1" x14ac:dyDescent="0.25">
      <c r="B158" s="49" t="s">
        <v>225</v>
      </c>
      <c r="D158" s="43" t="s">
        <v>151</v>
      </c>
    </row>
    <row r="160" spans="2:8" ht="24" customHeight="1" x14ac:dyDescent="0.25">
      <c r="B160" s="49" t="s">
        <v>226</v>
      </c>
      <c r="D160" s="43" t="s">
        <v>151</v>
      </c>
    </row>
    <row r="162" spans="2:4" ht="24" customHeight="1" x14ac:dyDescent="0.25">
      <c r="B162" s="49" t="s">
        <v>227</v>
      </c>
      <c r="D162" s="43" t="s">
        <v>151</v>
      </c>
    </row>
    <row r="164" spans="2:4" ht="24" customHeight="1" x14ac:dyDescent="0.25">
      <c r="B164" s="49" t="s">
        <v>228</v>
      </c>
      <c r="D164" s="43" t="s">
        <v>151</v>
      </c>
    </row>
    <row r="166" spans="2:4" ht="24" customHeight="1" x14ac:dyDescent="0.25">
      <c r="B166" s="49" t="s">
        <v>229</v>
      </c>
      <c r="D166" s="43">
        <v>0.8</v>
      </c>
    </row>
    <row r="168" spans="2:4" ht="24" customHeight="1" x14ac:dyDescent="0.25">
      <c r="B168" s="49" t="s">
        <v>230</v>
      </c>
      <c r="D168" s="43" t="s">
        <v>151</v>
      </c>
    </row>
    <row r="170" spans="2:4" ht="24" customHeight="1" x14ac:dyDescent="0.25">
      <c r="B170" s="49" t="s">
        <v>231</v>
      </c>
      <c r="D170" s="43" t="s">
        <v>151</v>
      </c>
    </row>
    <row r="171" spans="2:4" ht="24" customHeight="1" x14ac:dyDescent="0.25">
      <c r="B171" s="49" t="s">
        <v>232</v>
      </c>
      <c r="D171" s="43" t="s">
        <v>151</v>
      </c>
    </row>
    <row r="173" spans="2:4" ht="24" customHeight="1" x14ac:dyDescent="0.25">
      <c r="B173" s="65" t="s">
        <v>233</v>
      </c>
      <c r="D173" s="43" t="s">
        <v>151</v>
      </c>
    </row>
    <row r="175" spans="2:4" ht="24" customHeight="1" x14ac:dyDescent="0.25">
      <c r="B175" s="49" t="s">
        <v>234</v>
      </c>
      <c r="D175" s="43" t="s">
        <v>151</v>
      </c>
    </row>
    <row r="177" spans="2:3" ht="24" customHeight="1" x14ac:dyDescent="0.25">
      <c r="B177" s="49" t="s">
        <v>235</v>
      </c>
      <c r="C177" s="66" t="s">
        <v>236</v>
      </c>
    </row>
  </sheetData>
  <hyperlinks>
    <hyperlink ref="C177" r:id="rId1" xr:uid="{BC76947B-C166-4BB4-ABD4-1A1BA221B538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Balanced Advantage</vt:lpstr>
      <vt:lpstr>'Balanced Advantage'!Hedging_Positions_through_Futures_AS_ON_MMMM_DD__YYYY___NIL</vt:lpstr>
      <vt:lpstr>'Balanced Advantage'!JPM_Footer_disp</vt:lpstr>
      <vt:lpstr>'Balanced Advantage'!JPM_Footer_disp12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2025-09-09T16:48:16Z</dcterms:modified>
</cp:coreProperties>
</file>