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04116BC2-8C9F-42EF-9F56-F7F198871908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Cap'!$B$149:$D$154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Cap'!$L$77:$M$93</definedName>
    <definedName name="JPM_Footer_disp" localSheetId="0">'Flexi Cap'!$L$83:$M$93</definedName>
    <definedName name="JPM_Footer_disp12" localSheetId="0">'Flexi Cap'!$L$77:$M$95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2" l="1"/>
  <c r="G112" i="2" s="1"/>
  <c r="F110" i="2"/>
  <c r="F112" i="2" s="1"/>
  <c r="G100" i="2"/>
  <c r="G106" i="2" s="1"/>
  <c r="F100" i="2"/>
  <c r="F106" i="2" s="1"/>
</calcChain>
</file>

<file path=xl/sharedStrings.xml><?xml version="1.0" encoding="utf-8"?>
<sst xmlns="http://schemas.openxmlformats.org/spreadsheetml/2006/main" count="327" uniqueCount="253">
  <si>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</si>
  <si>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</si>
  <si>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</si>
  <si>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</si>
  <si>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</si>
  <si>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</si>
  <si>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</si>
  <si>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</si>
  <si>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</si>
  <si>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</si>
  <si>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</si>
  <si>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</si>
  <si>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</si>
  <si>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</si>
  <si>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</si>
  <si>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</si>
  <si>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</si>
  <si>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</si>
  <si>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</si>
  <si>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</si>
  <si>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</si>
  <si>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</si>
  <si>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</si>
  <si>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</si>
  <si>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</si>
  <si>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</si>
  <si>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</si>
  <si>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State Bank of India</t>
  </si>
  <si>
    <t>INE062A01020</t>
  </si>
  <si>
    <t>Eternal Ltd.</t>
  </si>
  <si>
    <t>INE758T01015</t>
  </si>
  <si>
    <t>Retailing</t>
  </si>
  <si>
    <t>TVS Motor Company Ltd.</t>
  </si>
  <si>
    <t>INE494B01023</t>
  </si>
  <si>
    <t>Automobiles</t>
  </si>
  <si>
    <t>Vishal Mega Mart Ltd</t>
  </si>
  <si>
    <t>INE01EA01019</t>
  </si>
  <si>
    <t>VARUN BEVERAGES LIMITED</t>
  </si>
  <si>
    <t>INE200M01039</t>
  </si>
  <si>
    <t>Beverages</t>
  </si>
  <si>
    <t>Bajaj Finance Ltd.</t>
  </si>
  <si>
    <t>INE296A01032</t>
  </si>
  <si>
    <t>Finance</t>
  </si>
  <si>
    <t>Divi's Laboratories Ltd.</t>
  </si>
  <si>
    <t>INE361B01024</t>
  </si>
  <si>
    <t>Pharmaceuticals &amp; Biotechnology</t>
  </si>
  <si>
    <t>NTPC Ltd.</t>
  </si>
  <si>
    <t>INE733E01010</t>
  </si>
  <si>
    <t>Power</t>
  </si>
  <si>
    <t>JSW Steel Ltd.</t>
  </si>
  <si>
    <t>INE019A01038</t>
  </si>
  <si>
    <t>Ferrous Metals</t>
  </si>
  <si>
    <t>Axis Bank Ltd.</t>
  </si>
  <si>
    <t>INE238A01034</t>
  </si>
  <si>
    <t>Mankind Pharma Ltd.</t>
  </si>
  <si>
    <t>INE634S01028</t>
  </si>
  <si>
    <t>JK Cement Ltd.</t>
  </si>
  <si>
    <t>INE823G01014</t>
  </si>
  <si>
    <t>Cement &amp; Cement Products</t>
  </si>
  <si>
    <t>Larsen &amp; Toubro Ltd.</t>
  </si>
  <si>
    <t>INE018A01030</t>
  </si>
  <si>
    <t>Construction</t>
  </si>
  <si>
    <t>Multi Commodity Exchange Of India Ltd.</t>
  </si>
  <si>
    <t>INE745G01043</t>
  </si>
  <si>
    <t>Capital Markets</t>
  </si>
  <si>
    <t>Titan Company Ltd.</t>
  </si>
  <si>
    <t>INE280A01028</t>
  </si>
  <si>
    <t>Consumer Durables</t>
  </si>
  <si>
    <t>Hindalco Industries Ltd.</t>
  </si>
  <si>
    <t>INE038A01020</t>
  </si>
  <si>
    <t>Non - Ferrous Metals</t>
  </si>
  <si>
    <t>Tech Mahindra Ltd.</t>
  </si>
  <si>
    <t>INE669C01036</t>
  </si>
  <si>
    <t>IT - Software</t>
  </si>
  <si>
    <t>CG Power and Industrial Solutions Ltd.</t>
  </si>
  <si>
    <t>INE067A01029</t>
  </si>
  <si>
    <t>Electrical Equipment</t>
  </si>
  <si>
    <t>Cummins India Ltd.</t>
  </si>
  <si>
    <t>INE298A01020</t>
  </si>
  <si>
    <t>Industrial Products</t>
  </si>
  <si>
    <t>AU Small Finance Bank Ltd.</t>
  </si>
  <si>
    <t>INE949L01017</t>
  </si>
  <si>
    <t>UNO Minda Ltd.</t>
  </si>
  <si>
    <t>INE405E01023</t>
  </si>
  <si>
    <t>Auto Components</t>
  </si>
  <si>
    <t>Max Healthcare Institute Ltd.</t>
  </si>
  <si>
    <t>INE027H01010</t>
  </si>
  <si>
    <t>Healthcare Services</t>
  </si>
  <si>
    <t>ICICI Prudential Asset Mgmt Co Ltd.</t>
  </si>
  <si>
    <t>INE346A01027</t>
  </si>
  <si>
    <t>Bharat Electronics Ltd.</t>
  </si>
  <si>
    <t>INE263A01024</t>
  </si>
  <si>
    <t>Aerospace &amp; Defense</t>
  </si>
  <si>
    <t>Infosys Ltd.</t>
  </si>
  <si>
    <t>INE009A01021</t>
  </si>
  <si>
    <t>Krishna Inst of Medical Sciences Ltd.</t>
  </si>
  <si>
    <t>INE967H01025</t>
  </si>
  <si>
    <t>Ather Energy Ltd.</t>
  </si>
  <si>
    <t>INE0LEZ01016</t>
  </si>
  <si>
    <t>Kotak Mahindra Bank Ltd.</t>
  </si>
  <si>
    <t>INE237A01036</t>
  </si>
  <si>
    <t>Global Health Ltd.</t>
  </si>
  <si>
    <t>INE474Q01031</t>
  </si>
  <si>
    <t>Affle 3i Ltd.</t>
  </si>
  <si>
    <t>INE00WC01027</t>
  </si>
  <si>
    <t>IT - Services</t>
  </si>
  <si>
    <t>Marico Ltd.</t>
  </si>
  <si>
    <t>INE196A01026</t>
  </si>
  <si>
    <t>Agricultural Food &amp; other Products</t>
  </si>
  <si>
    <t>Persistent Systems Ltd.</t>
  </si>
  <si>
    <t>INE262H01021</t>
  </si>
  <si>
    <t>SRF Ltd.</t>
  </si>
  <si>
    <t>INE647A01010</t>
  </si>
  <si>
    <t>Chemicals &amp; Petrochemicals</t>
  </si>
  <si>
    <t>Prestige Estates Projects Ltd.</t>
  </si>
  <si>
    <t>INE811K01011</t>
  </si>
  <si>
    <t>Realty</t>
  </si>
  <si>
    <t>GE Vernova T&amp;D India Limited</t>
  </si>
  <si>
    <t>INE200A01026</t>
  </si>
  <si>
    <t>Anthem Biosciences Ltd.</t>
  </si>
  <si>
    <t>INE0CZ201020</t>
  </si>
  <si>
    <t>Sundaram Finance Ltd.</t>
  </si>
  <si>
    <t>INE660A01013</t>
  </si>
  <si>
    <t>Ashok Leyland Ltd.</t>
  </si>
  <si>
    <t>INE208A01029</t>
  </si>
  <si>
    <t>Agricultural, Commercial &amp; Construction Vehicles</t>
  </si>
  <si>
    <t>Mahindra &amp; Mahindra Ltd.</t>
  </si>
  <si>
    <t>INE101A01026</t>
  </si>
  <si>
    <t>Doms Industries Ltd.</t>
  </si>
  <si>
    <t>INE321T01012</t>
  </si>
  <si>
    <t>Household Products</t>
  </si>
  <si>
    <t>Britannia Industries Ltd.</t>
  </si>
  <si>
    <t>INE216A01030</t>
  </si>
  <si>
    <t>Food Products</t>
  </si>
  <si>
    <t>Solar Industries India Ltd.</t>
  </si>
  <si>
    <t>INE343H01029</t>
  </si>
  <si>
    <t>Tata Consultancy Services Ltd.</t>
  </si>
  <si>
    <t>INE467B01029</t>
  </si>
  <si>
    <t>LG Electronics India Ltd.</t>
  </si>
  <si>
    <t>INE324D01010</t>
  </si>
  <si>
    <t>Eicher Motors Ltd.</t>
  </si>
  <si>
    <t>INE066A01021</t>
  </si>
  <si>
    <t>Triveni Turbine Ltd.</t>
  </si>
  <si>
    <t>INE152M01016</t>
  </si>
  <si>
    <t>Schaeffler India Ltd.</t>
  </si>
  <si>
    <t>INE513A01022</t>
  </si>
  <si>
    <t>Neuland Laboratories Ltd.</t>
  </si>
  <si>
    <t>INE794A01010</t>
  </si>
  <si>
    <t>Blue Star Ltd.</t>
  </si>
  <si>
    <t>INE472A01039</t>
  </si>
  <si>
    <t>Cholamandalam Investment &amp; Finance Company Ltd.</t>
  </si>
  <si>
    <t>INE121A01024</t>
  </si>
  <si>
    <t>Sagility Ltd.</t>
  </si>
  <si>
    <t>INE0W2G01015</t>
  </si>
  <si>
    <t>Navin Fluorine International Ltd.</t>
  </si>
  <si>
    <t>INE048G01026</t>
  </si>
  <si>
    <t>ICICI Lombard General Insurance Co. Ltd.</t>
  </si>
  <si>
    <t>INE765G01017</t>
  </si>
  <si>
    <t>Insurance</t>
  </si>
  <si>
    <t>JSW Dulux Ltd.</t>
  </si>
  <si>
    <t>INE133A01011</t>
  </si>
  <si>
    <t>Power Finance Corporation Ltd.</t>
  </si>
  <si>
    <t>INE134E01011</t>
  </si>
  <si>
    <t>Muthoot Finance Ltd.</t>
  </si>
  <si>
    <t>INE414G01012</t>
  </si>
  <si>
    <t>BlackBuck Ltd.</t>
  </si>
  <si>
    <t>INE0UIZ01018</t>
  </si>
  <si>
    <t>Transport Services</t>
  </si>
  <si>
    <t>Happy Forgings Ltd.</t>
  </si>
  <si>
    <t>INE330T01021</t>
  </si>
  <si>
    <t>MTAR Technologies Ltd.</t>
  </si>
  <si>
    <t>INE864I01014</t>
  </si>
  <si>
    <t>Dixon Technologies (India) Ltd.</t>
  </si>
  <si>
    <t>INE935N01020</t>
  </si>
  <si>
    <t>Acutaas Chemicals Ltd.</t>
  </si>
  <si>
    <t>INE00FF01025</t>
  </si>
  <si>
    <t>Endurance Technologies Ltd.</t>
  </si>
  <si>
    <t>INE913H01037</t>
  </si>
  <si>
    <t>Astral Ltd.</t>
  </si>
  <si>
    <t>INE006I01046</t>
  </si>
  <si>
    <t>HDFC Life Insurance Company Ltd.</t>
  </si>
  <si>
    <t>INE795G01014</t>
  </si>
  <si>
    <t>Pine Labs Ltd.</t>
  </si>
  <si>
    <t>INE15B701018</t>
  </si>
  <si>
    <t>Financial Technology (Fintech)</t>
  </si>
  <si>
    <t>Sai Life Sciences Ltd</t>
  </si>
  <si>
    <t>INE570L01029</t>
  </si>
  <si>
    <t>360 One Wam Ltd.</t>
  </si>
  <si>
    <t>INE466L01038</t>
  </si>
  <si>
    <t>JB Chemicals &amp; Pharmaceuticals Ltd.</t>
  </si>
  <si>
    <t>INE572A01036</t>
  </si>
  <si>
    <t>Maruti Suzuki India Ltd.</t>
  </si>
  <si>
    <t>INE585B01010</t>
  </si>
  <si>
    <t>Rubicon Research Ltd.</t>
  </si>
  <si>
    <t>INE506V01022</t>
  </si>
  <si>
    <t>TBO Tek Ltd.</t>
  </si>
  <si>
    <t>INE673O01025</t>
  </si>
  <si>
    <t>Leisure Services</t>
  </si>
  <si>
    <t>Gillette India Ltd.</t>
  </si>
  <si>
    <t>INE322A01010</t>
  </si>
  <si>
    <t>Personal Products</t>
  </si>
  <si>
    <t>Sedemac Mechatronics Ltd.</t>
  </si>
  <si>
    <t>INE00XB01019</t>
  </si>
  <si>
    <t>Amagi Media Labs Ltd.</t>
  </si>
  <si>
    <t>INE121R01077</t>
  </si>
  <si>
    <t>Brigade Enterprises Ltd.</t>
  </si>
  <si>
    <t>INE791I01019</t>
  </si>
  <si>
    <t>Bikaji Foods International Ltd.</t>
  </si>
  <si>
    <t>INE00E101023</t>
  </si>
  <si>
    <t>Clean Max Enviro Energy Solutions Ltd.</t>
  </si>
  <si>
    <t>INE647U01026</t>
  </si>
  <si>
    <t>Safari Industries India Ltd.</t>
  </si>
  <si>
    <t>INE429E01023</t>
  </si>
  <si>
    <t>Le Travenues Technology Ltd.</t>
  </si>
  <si>
    <t>INE0HV901016</t>
  </si>
  <si>
    <t>Sub Total</t>
  </si>
  <si>
    <t>(b) Unlisted</t>
  </si>
  <si>
    <t>NIL</t>
  </si>
  <si>
    <t>TOTAL</t>
  </si>
  <si>
    <t>Preference Shares - (Listed / Awaiting listing on Stock Exchanges)</t>
  </si>
  <si>
    <t>TVS Motor Company Ltd. **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</si>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</sst>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AF216480-CA81-465E-BB21-484E6B7801E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2809875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C70FF-970D-4AE4-A857-21205D96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289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2340B-4AF3-4D14-9F79-25E7C7565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15DD-352B-48C1-B769-EA1BA22992CC}">
  <sheetPr>
    <tabColor rgb="FFC00000"/>
  </sheetPr>
  <dimension ref="B1:M173"/>
  <sheetViews>
    <sheetView showGridLines="0" tabSelected="1" workbookViewId="0">
      <selection activeCell="B4" sqref="B4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5">
      <c r="B15" s="17"/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7" t="s">
        <v>16</v>
      </c>
      <c r="C17" s="17" t="s">
        <v>17</v>
      </c>
      <c r="D17" s="17" t="s">
        <v>18</v>
      </c>
      <c r="E17" s="18">
        <v>4449311</v>
      </c>
      <c r="F17" s="19">
        <v>33127.35</v>
      </c>
      <c r="G17" s="20">
        <v>5.78</v>
      </c>
      <c r="H17" s="21"/>
    </row>
    <row r="18" spans="2:8" ht="24" customHeight="1" x14ac:dyDescent="0.25">
      <c r="B18" s="17" t="s">
        <v>19</v>
      </c>
      <c r="C18" s="17" t="s">
        <v>20</v>
      </c>
      <c r="D18" s="17" t="s">
        <v>18</v>
      </c>
      <c r="E18" s="18">
        <v>2531519</v>
      </c>
      <c r="F18" s="19">
        <v>31806</v>
      </c>
      <c r="G18" s="20">
        <v>5.55</v>
      </c>
      <c r="H18" s="21"/>
    </row>
    <row r="19" spans="2:8" ht="24" customHeight="1" x14ac:dyDescent="0.25">
      <c r="B19" s="17" t="s">
        <v>21</v>
      </c>
      <c r="C19" s="17" t="s">
        <v>22</v>
      </c>
      <c r="D19" s="17" t="s">
        <v>23</v>
      </c>
      <c r="E19" s="18">
        <v>968053</v>
      </c>
      <c r="F19" s="19">
        <v>17705.689999999999</v>
      </c>
      <c r="G19" s="20">
        <v>3.09</v>
      </c>
      <c r="H19" s="21"/>
    </row>
    <row r="20" spans="2:8" ht="24" customHeight="1" x14ac:dyDescent="0.25">
      <c r="B20" s="17" t="s">
        <v>24</v>
      </c>
      <c r="C20" s="17" t="s">
        <v>25</v>
      </c>
      <c r="D20" s="17" t="s">
        <v>26</v>
      </c>
      <c r="E20" s="18">
        <v>1221708</v>
      </c>
      <c r="F20" s="19">
        <v>16141.21</v>
      </c>
      <c r="G20" s="20">
        <v>2.82</v>
      </c>
      <c r="H20" s="21"/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1393842</v>
      </c>
      <c r="F21" s="19">
        <v>13442.21</v>
      </c>
      <c r="G21" s="20">
        <v>2.34</v>
      </c>
      <c r="H21" s="21"/>
    </row>
    <row r="22" spans="2:8" ht="24" customHeight="1" x14ac:dyDescent="0.25">
      <c r="B22" s="17" t="s">
        <v>29</v>
      </c>
      <c r="C22" s="17" t="s">
        <v>30</v>
      </c>
      <c r="D22" s="17" t="s">
        <v>31</v>
      </c>
      <c r="E22" s="18">
        <v>5138776</v>
      </c>
      <c r="F22" s="19">
        <v>12876.74</v>
      </c>
      <c r="G22" s="20">
        <v>2.25</v>
      </c>
      <c r="H22" s="21"/>
    </row>
    <row r="23" spans="2:8" ht="24" customHeight="1" x14ac:dyDescent="0.25">
      <c r="B23" s="17" t="s">
        <v>32</v>
      </c>
      <c r="C23" s="17" t="s">
        <v>33</v>
      </c>
      <c r="D23" s="17" t="s">
        <v>34</v>
      </c>
      <c r="E23" s="18">
        <v>366887</v>
      </c>
      <c r="F23" s="19">
        <v>12311.63</v>
      </c>
      <c r="G23" s="20">
        <v>2.15</v>
      </c>
      <c r="H23" s="21"/>
    </row>
    <row r="24" spans="2:8" ht="24" customHeight="1" x14ac:dyDescent="0.25">
      <c r="B24" s="17" t="s">
        <v>35</v>
      </c>
      <c r="C24" s="17" t="s">
        <v>36</v>
      </c>
      <c r="D24" s="17" t="s">
        <v>31</v>
      </c>
      <c r="E24" s="18">
        <v>9290965</v>
      </c>
      <c r="F24" s="19">
        <v>11313.61</v>
      </c>
      <c r="G24" s="20">
        <v>1.97</v>
      </c>
      <c r="H24" s="21"/>
    </row>
    <row r="25" spans="2:8" ht="24" customHeight="1" x14ac:dyDescent="0.25">
      <c r="B25" s="17" t="s">
        <v>37</v>
      </c>
      <c r="C25" s="17" t="s">
        <v>38</v>
      </c>
      <c r="D25" s="17" t="s">
        <v>39</v>
      </c>
      <c r="E25" s="18">
        <v>2088626</v>
      </c>
      <c r="F25" s="19">
        <v>11027.95</v>
      </c>
      <c r="G25" s="20">
        <v>1.92</v>
      </c>
      <c r="H25" s="21"/>
    </row>
    <row r="26" spans="2:8" ht="24" customHeight="1" x14ac:dyDescent="0.25">
      <c r="B26" s="17" t="s">
        <v>40</v>
      </c>
      <c r="C26" s="17" t="s">
        <v>41</v>
      </c>
      <c r="D26" s="17" t="s">
        <v>42</v>
      </c>
      <c r="E26" s="18">
        <v>1123294</v>
      </c>
      <c r="F26" s="19">
        <v>10202.32</v>
      </c>
      <c r="G26" s="20">
        <v>1.78</v>
      </c>
      <c r="H26" s="21"/>
    </row>
    <row r="27" spans="2:8" ht="24" customHeight="1" x14ac:dyDescent="0.25">
      <c r="B27" s="17" t="s">
        <v>43</v>
      </c>
      <c r="C27" s="17" t="s">
        <v>44</v>
      </c>
      <c r="D27" s="17" t="s">
        <v>45</v>
      </c>
      <c r="E27" s="18">
        <v>150718</v>
      </c>
      <c r="F27" s="19">
        <v>10048.370000000001</v>
      </c>
      <c r="G27" s="20">
        <v>1.75</v>
      </c>
      <c r="H27" s="21"/>
    </row>
    <row r="28" spans="2:8" ht="24" customHeight="1" x14ac:dyDescent="0.25">
      <c r="B28" s="17" t="s">
        <v>46</v>
      </c>
      <c r="C28" s="17" t="s">
        <v>47</v>
      </c>
      <c r="D28" s="17" t="s">
        <v>48</v>
      </c>
      <c r="E28" s="18">
        <v>2579536</v>
      </c>
      <c r="F28" s="19">
        <v>9980.2199999999993</v>
      </c>
      <c r="G28" s="20">
        <v>1.74</v>
      </c>
      <c r="H28" s="21"/>
    </row>
    <row r="29" spans="2:8" ht="24" customHeight="1" x14ac:dyDescent="0.25">
      <c r="B29" s="17" t="s">
        <v>49</v>
      </c>
      <c r="C29" s="17" t="s">
        <v>50</v>
      </c>
      <c r="D29" s="17" t="s">
        <v>51</v>
      </c>
      <c r="E29" s="18">
        <v>779402</v>
      </c>
      <c r="F29" s="19">
        <v>9960.76</v>
      </c>
      <c r="G29" s="20">
        <v>1.74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18</v>
      </c>
      <c r="E30" s="18">
        <v>749331</v>
      </c>
      <c r="F30" s="19">
        <v>9640.89</v>
      </c>
      <c r="G30" s="20">
        <v>1.68</v>
      </c>
      <c r="H30" s="21"/>
    </row>
    <row r="31" spans="2:8" ht="24" customHeight="1" x14ac:dyDescent="0.25">
      <c r="B31" s="17" t="s">
        <v>54</v>
      </c>
      <c r="C31" s="17" t="s">
        <v>55</v>
      </c>
      <c r="D31" s="17" t="s">
        <v>45</v>
      </c>
      <c r="E31" s="18">
        <v>402060</v>
      </c>
      <c r="F31" s="19">
        <v>9551.34</v>
      </c>
      <c r="G31" s="20">
        <v>1.67</v>
      </c>
      <c r="H31" s="21"/>
    </row>
    <row r="32" spans="2:8" ht="24" customHeight="1" x14ac:dyDescent="0.25">
      <c r="B32" s="17" t="s">
        <v>56</v>
      </c>
      <c r="C32" s="17" t="s">
        <v>57</v>
      </c>
      <c r="D32" s="17" t="s">
        <v>58</v>
      </c>
      <c r="E32" s="18">
        <v>183729</v>
      </c>
      <c r="F32" s="19">
        <v>9500.6299999999992</v>
      </c>
      <c r="G32" s="20">
        <v>1.66</v>
      </c>
      <c r="H32" s="21"/>
    </row>
    <row r="33" spans="2:8" ht="24" customHeight="1" x14ac:dyDescent="0.25">
      <c r="B33" s="17" t="s">
        <v>59</v>
      </c>
      <c r="C33" s="17" t="s">
        <v>60</v>
      </c>
      <c r="D33" s="17" t="s">
        <v>61</v>
      </c>
      <c r="E33" s="18">
        <v>232425</v>
      </c>
      <c r="F33" s="19">
        <v>9474.81</v>
      </c>
      <c r="G33" s="20">
        <v>1.65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64</v>
      </c>
      <c r="E34" s="18">
        <v>318368</v>
      </c>
      <c r="F34" s="19">
        <v>9406.18</v>
      </c>
      <c r="G34" s="20">
        <v>1.64</v>
      </c>
      <c r="H34" s="21"/>
    </row>
    <row r="35" spans="2:8" ht="24" customHeight="1" x14ac:dyDescent="0.25">
      <c r="B35" s="17" t="s">
        <v>65</v>
      </c>
      <c r="C35" s="17" t="s">
        <v>66</v>
      </c>
      <c r="D35" s="17" t="s">
        <v>67</v>
      </c>
      <c r="E35" s="18">
        <v>225297</v>
      </c>
      <c r="F35" s="19">
        <v>9180.6299999999992</v>
      </c>
      <c r="G35" s="20">
        <v>1.6</v>
      </c>
      <c r="H35" s="21"/>
    </row>
    <row r="36" spans="2:8" ht="24" customHeight="1" x14ac:dyDescent="0.25">
      <c r="B36" s="17" t="s">
        <v>68</v>
      </c>
      <c r="C36" s="17" t="s">
        <v>69</v>
      </c>
      <c r="D36" s="17" t="s">
        <v>70</v>
      </c>
      <c r="E36" s="18">
        <v>786180</v>
      </c>
      <c r="F36" s="19">
        <v>8857.89</v>
      </c>
      <c r="G36" s="20">
        <v>1.55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73</v>
      </c>
      <c r="E37" s="18">
        <v>590784</v>
      </c>
      <c r="F37" s="19">
        <v>8766.64</v>
      </c>
      <c r="G37" s="20">
        <v>1.53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928389</v>
      </c>
      <c r="F38" s="19">
        <v>8517.5</v>
      </c>
      <c r="G38" s="20">
        <v>1.49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141455</v>
      </c>
      <c r="F39" s="19">
        <v>8318.9699999999993</v>
      </c>
      <c r="G39" s="20">
        <v>1.45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18</v>
      </c>
      <c r="E40" s="18">
        <v>783303</v>
      </c>
      <c r="F40" s="19">
        <v>7713.18</v>
      </c>
      <c r="G40" s="20">
        <v>1.35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692368</v>
      </c>
      <c r="F41" s="19">
        <v>7627.82</v>
      </c>
      <c r="G41" s="20">
        <v>1.33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760575</v>
      </c>
      <c r="F42" s="19">
        <v>7340.31</v>
      </c>
      <c r="G42" s="20">
        <v>1.28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64</v>
      </c>
      <c r="E43" s="18">
        <v>206521</v>
      </c>
      <c r="F43" s="19">
        <v>7307.75</v>
      </c>
      <c r="G43" s="20">
        <v>1.27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92</v>
      </c>
      <c r="E44" s="18">
        <v>1695126</v>
      </c>
      <c r="F44" s="19">
        <v>6962.73</v>
      </c>
      <c r="G44" s="20">
        <v>1.21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73</v>
      </c>
      <c r="E45" s="18">
        <v>562394</v>
      </c>
      <c r="F45" s="19">
        <v>6528.83</v>
      </c>
      <c r="G45" s="20">
        <v>1.1399999999999999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87</v>
      </c>
      <c r="E46" s="18">
        <v>853267</v>
      </c>
      <c r="F46" s="19">
        <v>6475.02</v>
      </c>
      <c r="G46" s="20">
        <v>1.1299999999999999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34</v>
      </c>
      <c r="E47" s="18">
        <v>657237</v>
      </c>
      <c r="F47" s="19">
        <v>6336.42</v>
      </c>
      <c r="G47" s="20">
        <v>1.1100000000000001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18</v>
      </c>
      <c r="E48" s="18">
        <v>1582483</v>
      </c>
      <c r="F48" s="19">
        <v>6079.9</v>
      </c>
      <c r="G48" s="20">
        <v>1.06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87</v>
      </c>
      <c r="E49" s="18">
        <v>507325</v>
      </c>
      <c r="F49" s="19">
        <v>6032.09</v>
      </c>
      <c r="G49" s="20">
        <v>1.05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105</v>
      </c>
      <c r="E50" s="18">
        <v>405481</v>
      </c>
      <c r="F50" s="19">
        <v>5932.19</v>
      </c>
      <c r="G50" s="20">
        <v>1.03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719545</v>
      </c>
      <c r="F51" s="19">
        <v>5912.5</v>
      </c>
      <c r="G51" s="20">
        <v>1.03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73</v>
      </c>
      <c r="E52" s="18">
        <v>113577</v>
      </c>
      <c r="F52" s="19">
        <v>5899.53</v>
      </c>
      <c r="G52" s="20">
        <v>1.03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215134</v>
      </c>
      <c r="F53" s="19">
        <v>5842.61</v>
      </c>
      <c r="G53" s="20">
        <v>1.02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407181</v>
      </c>
      <c r="F54" s="19">
        <v>5575.12</v>
      </c>
      <c r="G54" s="20">
        <v>0.97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76</v>
      </c>
      <c r="E55" s="18">
        <v>106660</v>
      </c>
      <c r="F55" s="19">
        <v>5491.5</v>
      </c>
      <c r="G55" s="20">
        <v>0.96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45</v>
      </c>
      <c r="E56" s="18">
        <v>712690</v>
      </c>
      <c r="F56" s="19">
        <v>5416.09</v>
      </c>
      <c r="G56" s="20">
        <v>0.94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42</v>
      </c>
      <c r="E57" s="18">
        <v>126952</v>
      </c>
      <c r="F57" s="19">
        <v>5317.89</v>
      </c>
      <c r="G57" s="20">
        <v>0.93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125</v>
      </c>
      <c r="E58" s="18">
        <v>3351332</v>
      </c>
      <c r="F58" s="19">
        <v>5209.3100000000004</v>
      </c>
      <c r="G58" s="20">
        <v>0.91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34</v>
      </c>
      <c r="E59" s="18">
        <v>168791</v>
      </c>
      <c r="F59" s="19">
        <v>5140.7</v>
      </c>
      <c r="G59" s="20">
        <v>0.9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234276</v>
      </c>
      <c r="F60" s="19">
        <v>5119.16</v>
      </c>
      <c r="G60" s="20">
        <v>0.89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97928</v>
      </c>
      <c r="F61" s="19">
        <v>5096.66</v>
      </c>
      <c r="G61" s="20">
        <v>0.89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113</v>
      </c>
      <c r="E62" s="18">
        <v>27755</v>
      </c>
      <c r="F62" s="19">
        <v>5064.45</v>
      </c>
      <c r="G62" s="20">
        <v>0.88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73</v>
      </c>
      <c r="E63" s="18">
        <v>216125</v>
      </c>
      <c r="F63" s="19">
        <v>4882.05</v>
      </c>
      <c r="G63" s="20">
        <v>0.85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67</v>
      </c>
      <c r="E64" s="18">
        <v>313748</v>
      </c>
      <c r="F64" s="19">
        <v>4781.21</v>
      </c>
      <c r="G64" s="20">
        <v>0.83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34</v>
      </c>
      <c r="E65" s="18">
        <v>63778</v>
      </c>
      <c r="F65" s="19">
        <v>4577.3500000000004</v>
      </c>
      <c r="G65" s="20">
        <v>0.8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76</v>
      </c>
      <c r="E66" s="18">
        <v>601254</v>
      </c>
      <c r="F66" s="19">
        <v>4458.3</v>
      </c>
      <c r="G66" s="20">
        <v>0.78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84</v>
      </c>
      <c r="E67" s="18">
        <v>106304</v>
      </c>
      <c r="F67" s="19">
        <v>4388.97</v>
      </c>
      <c r="G67" s="20">
        <v>0.77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45</v>
      </c>
      <c r="E68" s="18">
        <v>25605</v>
      </c>
      <c r="F68" s="19">
        <v>4375.38</v>
      </c>
      <c r="G68" s="20">
        <v>0.76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67</v>
      </c>
      <c r="E69" s="18">
        <v>270007</v>
      </c>
      <c r="F69" s="19">
        <v>4290.41</v>
      </c>
      <c r="G69" s="20">
        <v>0.75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42</v>
      </c>
      <c r="E70" s="18">
        <v>277856</v>
      </c>
      <c r="F70" s="19">
        <v>4272.59</v>
      </c>
      <c r="G70" s="20">
        <v>0.75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105</v>
      </c>
      <c r="E71" s="18">
        <v>10407932</v>
      </c>
      <c r="F71" s="19">
        <v>4271.42</v>
      </c>
      <c r="G71" s="20">
        <v>0.75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113</v>
      </c>
      <c r="E72" s="18">
        <v>59020</v>
      </c>
      <c r="F72" s="19">
        <v>4207.54</v>
      </c>
      <c r="G72" s="20">
        <v>0.73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158</v>
      </c>
      <c r="E73" s="18">
        <v>234311</v>
      </c>
      <c r="F73" s="19">
        <v>4199.32</v>
      </c>
      <c r="G73" s="20">
        <v>0.73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67</v>
      </c>
      <c r="E74" s="18">
        <v>132173</v>
      </c>
      <c r="F74" s="19">
        <v>4165.83</v>
      </c>
      <c r="G74" s="20">
        <v>0.73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42</v>
      </c>
      <c r="E75" s="18">
        <v>964856</v>
      </c>
      <c r="F75" s="19">
        <v>4135.37</v>
      </c>
      <c r="G75" s="20">
        <v>0.72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42</v>
      </c>
      <c r="E76" s="18">
        <v>123371</v>
      </c>
      <c r="F76" s="19">
        <v>4124.17</v>
      </c>
      <c r="G76" s="20">
        <v>0.72</v>
      </c>
      <c r="H76" s="21"/>
    </row>
    <row r="77" spans="2:12" ht="24" customHeight="1" x14ac:dyDescent="0.25">
      <c r="B77" s="17" t="s">
        <v>165</v>
      </c>
      <c r="C77" s="17" t="s">
        <v>166</v>
      </c>
      <c r="D77" s="17" t="s">
        <v>167</v>
      </c>
      <c r="E77" s="18">
        <v>806307</v>
      </c>
      <c r="F77" s="19">
        <v>4116.6000000000004</v>
      </c>
      <c r="G77" s="20">
        <v>0.72</v>
      </c>
      <c r="H77" s="21"/>
      <c r="L77" s="28"/>
    </row>
    <row r="78" spans="2:12" ht="24" customHeight="1" x14ac:dyDescent="0.25">
      <c r="B78" s="17" t="s">
        <v>168</v>
      </c>
      <c r="C78" s="17" t="s">
        <v>169</v>
      </c>
      <c r="D78" s="17" t="s">
        <v>79</v>
      </c>
      <c r="E78" s="18">
        <v>292038</v>
      </c>
      <c r="F78" s="19">
        <v>4051.74</v>
      </c>
      <c r="G78" s="20">
        <v>0.71</v>
      </c>
      <c r="H78" s="21"/>
    </row>
    <row r="79" spans="2:12" ht="24" customHeight="1" x14ac:dyDescent="0.25">
      <c r="B79" s="17" t="s">
        <v>170</v>
      </c>
      <c r="C79" s="17" t="s">
        <v>171</v>
      </c>
      <c r="D79" s="17" t="s">
        <v>76</v>
      </c>
      <c r="E79" s="18">
        <v>50939</v>
      </c>
      <c r="F79" s="19">
        <v>4013.74</v>
      </c>
      <c r="G79" s="20">
        <v>0.7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67</v>
      </c>
      <c r="E80" s="18">
        <v>34092</v>
      </c>
      <c r="F80" s="19">
        <v>3928.76</v>
      </c>
      <c r="G80" s="20">
        <v>0.69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45</v>
      </c>
      <c r="E81" s="18">
        <v>125000</v>
      </c>
      <c r="F81" s="19">
        <v>3915.63</v>
      </c>
      <c r="G81" s="20">
        <v>0.68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84</v>
      </c>
      <c r="E82" s="18">
        <v>137942</v>
      </c>
      <c r="F82" s="19">
        <v>3755.61</v>
      </c>
      <c r="G82" s="20">
        <v>0.66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79</v>
      </c>
      <c r="E83" s="18">
        <v>233985</v>
      </c>
      <c r="F83" s="19">
        <v>3692.75</v>
      </c>
      <c r="G83" s="20">
        <v>0.64</v>
      </c>
      <c r="H83" s="21"/>
      <c r="L83" s="28"/>
    </row>
    <row r="84" spans="2:13" ht="24" customHeight="1" x14ac:dyDescent="0.25">
      <c r="B84" s="17" t="s">
        <v>180</v>
      </c>
      <c r="C84" s="17" t="s">
        <v>181</v>
      </c>
      <c r="D84" s="17" t="s">
        <v>158</v>
      </c>
      <c r="E84" s="18">
        <v>614860</v>
      </c>
      <c r="F84" s="19">
        <v>3657.19</v>
      </c>
      <c r="G84" s="20">
        <v>0.64</v>
      </c>
      <c r="H84" s="21"/>
      <c r="L84" s="29"/>
      <c r="M84" s="29"/>
    </row>
    <row r="85" spans="2:13" ht="24" customHeight="1" x14ac:dyDescent="0.25">
      <c r="B85" s="17" t="s">
        <v>182</v>
      </c>
      <c r="C85" s="17" t="s">
        <v>183</v>
      </c>
      <c r="D85" s="17" t="s">
        <v>184</v>
      </c>
      <c r="E85" s="18">
        <v>2278057</v>
      </c>
      <c r="F85" s="19">
        <v>3292.02</v>
      </c>
      <c r="G85" s="20">
        <v>0.56999999999999995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45</v>
      </c>
      <c r="E86" s="18">
        <v>281249</v>
      </c>
      <c r="F86" s="19">
        <v>3262.49</v>
      </c>
      <c r="G86" s="20">
        <v>0.56999999999999995</v>
      </c>
      <c r="H86" s="21"/>
    </row>
    <row r="87" spans="2:13" ht="24" customHeight="1" x14ac:dyDescent="0.25">
      <c r="B87" s="17" t="s">
        <v>187</v>
      </c>
      <c r="C87" s="17" t="s">
        <v>188</v>
      </c>
      <c r="D87" s="17" t="s">
        <v>64</v>
      </c>
      <c r="E87" s="18">
        <v>279981</v>
      </c>
      <c r="F87" s="19">
        <v>3092.39</v>
      </c>
      <c r="G87" s="20">
        <v>0.54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45</v>
      </c>
      <c r="E88" s="18">
        <v>137406</v>
      </c>
      <c r="F88" s="19">
        <v>2978.14</v>
      </c>
      <c r="G88" s="20">
        <v>0.52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34</v>
      </c>
      <c r="E89" s="18">
        <v>22280</v>
      </c>
      <c r="F89" s="19">
        <v>2924.7</v>
      </c>
      <c r="G89" s="20">
        <v>0.51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45</v>
      </c>
      <c r="E90" s="18">
        <v>285000</v>
      </c>
      <c r="F90" s="19">
        <v>2865.96</v>
      </c>
      <c r="G90" s="20">
        <v>0.5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197</v>
      </c>
      <c r="E91" s="18">
        <v>220875</v>
      </c>
      <c r="F91" s="19">
        <v>2715.44</v>
      </c>
      <c r="G91" s="20">
        <v>0.47</v>
      </c>
      <c r="H91" s="21"/>
      <c r="L91" s="30"/>
      <c r="M91" s="30"/>
    </row>
    <row r="92" spans="2:13" ht="24" customHeight="1" x14ac:dyDescent="0.25">
      <c r="B92" s="17" t="s">
        <v>198</v>
      </c>
      <c r="C92" s="17" t="s">
        <v>199</v>
      </c>
      <c r="D92" s="17" t="s">
        <v>200</v>
      </c>
      <c r="E92" s="18">
        <v>33129</v>
      </c>
      <c r="F92" s="19">
        <v>2655.79</v>
      </c>
      <c r="G92" s="20">
        <v>0.46</v>
      </c>
      <c r="H92" s="21"/>
      <c r="L92" s="30"/>
      <c r="M92" s="30"/>
    </row>
    <row r="93" spans="2:13" ht="24" customHeight="1" x14ac:dyDescent="0.25">
      <c r="B93" s="17" t="s">
        <v>201</v>
      </c>
      <c r="C93" s="17" t="s">
        <v>202</v>
      </c>
      <c r="D93" s="17" t="s">
        <v>84</v>
      </c>
      <c r="E93" s="18">
        <v>105605</v>
      </c>
      <c r="F93" s="19">
        <v>2265.12</v>
      </c>
      <c r="G93" s="20">
        <v>0.4</v>
      </c>
      <c r="H93" s="21"/>
      <c r="L93" s="30"/>
      <c r="M93" s="30"/>
    </row>
    <row r="94" spans="2:13" ht="24" customHeight="1" x14ac:dyDescent="0.25">
      <c r="B94" s="17" t="s">
        <v>203</v>
      </c>
      <c r="C94" s="17" t="s">
        <v>204</v>
      </c>
      <c r="D94" s="17" t="s">
        <v>105</v>
      </c>
      <c r="E94" s="18">
        <v>544128</v>
      </c>
      <c r="F94" s="19">
        <v>2169.98</v>
      </c>
      <c r="G94" s="20">
        <v>0.38</v>
      </c>
      <c r="H94" s="21"/>
    </row>
    <row r="95" spans="2:13" ht="24" customHeight="1" x14ac:dyDescent="0.25">
      <c r="B95" s="17" t="s">
        <v>205</v>
      </c>
      <c r="C95" s="17" t="s">
        <v>206</v>
      </c>
      <c r="D95" s="17" t="s">
        <v>116</v>
      </c>
      <c r="E95" s="18">
        <v>321786</v>
      </c>
      <c r="F95" s="19">
        <v>2099.17</v>
      </c>
      <c r="G95" s="20">
        <v>0.37</v>
      </c>
      <c r="H95" s="21"/>
      <c r="L95" s="28"/>
    </row>
    <row r="96" spans="2:13" ht="24" customHeight="1" x14ac:dyDescent="0.25">
      <c r="B96" s="17" t="s">
        <v>207</v>
      </c>
      <c r="C96" s="17" t="s">
        <v>208</v>
      </c>
      <c r="D96" s="17" t="s">
        <v>133</v>
      </c>
      <c r="E96" s="18">
        <v>293345</v>
      </c>
      <c r="F96" s="19">
        <v>1906.89</v>
      </c>
      <c r="G96" s="20">
        <v>0.33</v>
      </c>
      <c r="H96" s="21"/>
    </row>
    <row r="97" spans="2:8" ht="24" customHeight="1" x14ac:dyDescent="0.25">
      <c r="B97" s="17" t="s">
        <v>209</v>
      </c>
      <c r="C97" s="17" t="s">
        <v>210</v>
      </c>
      <c r="D97" s="17" t="s">
        <v>48</v>
      </c>
      <c r="E97" s="18">
        <v>170954</v>
      </c>
      <c r="F97" s="19">
        <v>1897.42</v>
      </c>
      <c r="G97" s="20">
        <v>0.33</v>
      </c>
      <c r="H97" s="21"/>
    </row>
    <row r="98" spans="2:8" ht="24" customHeight="1" x14ac:dyDescent="0.25">
      <c r="B98" s="17" t="s">
        <v>211</v>
      </c>
      <c r="C98" s="17" t="s">
        <v>212</v>
      </c>
      <c r="D98" s="17" t="s">
        <v>67</v>
      </c>
      <c r="E98" s="18">
        <v>90640</v>
      </c>
      <c r="F98" s="19">
        <v>1362.95</v>
      </c>
      <c r="G98" s="20">
        <v>0.24</v>
      </c>
      <c r="H98" s="21"/>
    </row>
    <row r="99" spans="2:8" ht="24" customHeight="1" x14ac:dyDescent="0.25">
      <c r="B99" s="17" t="s">
        <v>213</v>
      </c>
      <c r="C99" s="17" t="s">
        <v>214</v>
      </c>
      <c r="D99" s="17" t="s">
        <v>197</v>
      </c>
      <c r="E99" s="18">
        <v>736990</v>
      </c>
      <c r="F99" s="19">
        <v>1240.8</v>
      </c>
      <c r="G99" s="20">
        <v>0.22</v>
      </c>
      <c r="H99" s="21"/>
    </row>
    <row r="100" spans="2:8" ht="24" customHeight="1" x14ac:dyDescent="0.25">
      <c r="B100" s="31" t="s">
        <v>215</v>
      </c>
      <c r="C100" s="31"/>
      <c r="D100" s="31"/>
      <c r="E100" s="32"/>
      <c r="F100" s="33">
        <f>SUM(F17:F99)</f>
        <v>559572.48999999987</v>
      </c>
      <c r="G100" s="33">
        <f>SUM(G17:G99)</f>
        <v>97.629999999999981</v>
      </c>
      <c r="H100" s="34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22" t="s">
        <v>216</v>
      </c>
      <c r="C102" s="23"/>
      <c r="D102" s="23"/>
      <c r="E102" s="24"/>
      <c r="F102" s="25"/>
      <c r="G102" s="26"/>
      <c r="H102" s="27"/>
    </row>
    <row r="103" spans="2:8" ht="24" customHeight="1" x14ac:dyDescent="0.25">
      <c r="B103" s="17"/>
      <c r="C103" s="17"/>
      <c r="D103" s="17"/>
      <c r="E103" s="18"/>
      <c r="F103" s="20">
        <v>0</v>
      </c>
      <c r="G103" s="20">
        <v>0</v>
      </c>
      <c r="H103" s="21"/>
    </row>
    <row r="104" spans="2:8" ht="24" customHeight="1" x14ac:dyDescent="0.25">
      <c r="B104" s="31" t="s">
        <v>215</v>
      </c>
      <c r="C104" s="17"/>
      <c r="D104" s="17"/>
      <c r="E104" s="18"/>
      <c r="F104" s="35" t="s">
        <v>217</v>
      </c>
      <c r="G104" s="35" t="s">
        <v>217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6" t="s">
        <v>218</v>
      </c>
      <c r="C106" s="37"/>
      <c r="D106" s="37"/>
      <c r="E106" s="38"/>
      <c r="F106" s="33">
        <f>F100</f>
        <v>559572.48999999987</v>
      </c>
      <c r="G106" s="33">
        <f>G100</f>
        <v>97.629999999999981</v>
      </c>
      <c r="H106" s="34"/>
    </row>
    <row r="107" spans="2:8" ht="24" customHeight="1" x14ac:dyDescent="0.25">
      <c r="B107" s="39"/>
      <c r="C107" s="40"/>
      <c r="D107" s="40"/>
      <c r="E107" s="41"/>
      <c r="F107" s="42"/>
      <c r="G107" s="43"/>
      <c r="H107" s="34"/>
    </row>
    <row r="108" spans="2:8" ht="24" customHeight="1" x14ac:dyDescent="0.25">
      <c r="B108" s="22" t="s">
        <v>219</v>
      </c>
      <c r="C108" s="23"/>
      <c r="D108" s="23"/>
      <c r="E108" s="44"/>
      <c r="F108" s="25"/>
      <c r="G108" s="26"/>
      <c r="H108" s="27"/>
    </row>
    <row r="109" spans="2:8" ht="24" customHeight="1" x14ac:dyDescent="0.25">
      <c r="B109" s="17" t="s">
        <v>220</v>
      </c>
      <c r="C109" s="17" t="s">
        <v>221</v>
      </c>
      <c r="D109" s="17" t="s">
        <v>34</v>
      </c>
      <c r="E109" s="18">
        <v>2196804</v>
      </c>
      <c r="F109" s="19">
        <v>227.37</v>
      </c>
      <c r="G109" s="20">
        <v>0.04</v>
      </c>
      <c r="H109" s="21"/>
    </row>
    <row r="110" spans="2:8" ht="24" customHeight="1" x14ac:dyDescent="0.25">
      <c r="B110" s="31" t="s">
        <v>215</v>
      </c>
      <c r="C110" s="31"/>
      <c r="D110" s="31"/>
      <c r="E110" s="32"/>
      <c r="F110" s="33">
        <f>F109</f>
        <v>227.37</v>
      </c>
      <c r="G110" s="33">
        <f>G109</f>
        <v>0.04</v>
      </c>
      <c r="H110" s="34"/>
    </row>
    <row r="111" spans="2:8" ht="24" customHeight="1" x14ac:dyDescent="0.25">
      <c r="B111" s="45"/>
      <c r="C111" s="45"/>
      <c r="D111" s="45"/>
      <c r="E111" s="41"/>
      <c r="F111" s="42"/>
      <c r="G111" s="43"/>
      <c r="H111" s="34"/>
    </row>
    <row r="112" spans="2:8" ht="24" customHeight="1" x14ac:dyDescent="0.25">
      <c r="B112" s="36" t="s">
        <v>218</v>
      </c>
      <c r="C112" s="37"/>
      <c r="D112" s="37"/>
      <c r="E112" s="38"/>
      <c r="F112" s="33">
        <f>F110</f>
        <v>227.37</v>
      </c>
      <c r="G112" s="33">
        <f>G110</f>
        <v>0.04</v>
      </c>
      <c r="H112" s="34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1" t="s">
        <v>222</v>
      </c>
      <c r="C114" s="12"/>
      <c r="D114" s="12"/>
      <c r="E114" s="13"/>
      <c r="F114" s="14"/>
      <c r="G114" s="15"/>
      <c r="H114" s="16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22" t="s">
        <v>223</v>
      </c>
      <c r="C116" s="23"/>
      <c r="D116" s="23"/>
      <c r="E116" s="24"/>
      <c r="F116" s="25"/>
      <c r="G116" s="26"/>
      <c r="H116" s="27"/>
    </row>
    <row r="117" spans="2:8" ht="24" customHeight="1" x14ac:dyDescent="0.25">
      <c r="B117" s="17" t="s">
        <v>224</v>
      </c>
      <c r="C117" s="17" t="s">
        <v>225</v>
      </c>
      <c r="D117" s="17" t="s">
        <v>226</v>
      </c>
      <c r="E117" s="18">
        <v>665000</v>
      </c>
      <c r="F117" s="19">
        <v>649.69000000000005</v>
      </c>
      <c r="G117" s="20">
        <v>0.11</v>
      </c>
      <c r="H117" s="21">
        <v>5.7344999999999997</v>
      </c>
    </row>
    <row r="118" spans="2:8" ht="24" customHeight="1" x14ac:dyDescent="0.25">
      <c r="B118" s="31" t="s">
        <v>215</v>
      </c>
      <c r="C118" s="31"/>
      <c r="D118" s="31"/>
      <c r="E118" s="32"/>
      <c r="F118" s="33">
        <v>649.69000000000005</v>
      </c>
      <c r="G118" s="46">
        <v>0.11</v>
      </c>
      <c r="H118" s="34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36" t="s">
        <v>218</v>
      </c>
      <c r="C120" s="37"/>
      <c r="D120" s="37"/>
      <c r="E120" s="38"/>
      <c r="F120" s="33">
        <v>649.69000000000005</v>
      </c>
      <c r="G120" s="46">
        <v>0.11</v>
      </c>
      <c r="H120" s="34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11" t="s">
        <v>227</v>
      </c>
      <c r="C122" s="12"/>
      <c r="D122" s="12"/>
      <c r="E122" s="13"/>
      <c r="F122" s="14"/>
      <c r="G122" s="15"/>
      <c r="H122" s="16"/>
    </row>
    <row r="123" spans="2:8" ht="24" customHeight="1" x14ac:dyDescent="0.25">
      <c r="B123" s="17" t="s">
        <v>228</v>
      </c>
      <c r="C123" s="17" t="s">
        <v>229</v>
      </c>
      <c r="D123" s="17"/>
      <c r="E123" s="18">
        <v>1182258.669</v>
      </c>
      <c r="F123" s="19">
        <v>4299.6899999999996</v>
      </c>
      <c r="G123" s="20">
        <v>0.75</v>
      </c>
      <c r="H123" s="21"/>
    </row>
    <row r="124" spans="2:8" ht="24" customHeight="1" x14ac:dyDescent="0.25">
      <c r="B124" s="31" t="s">
        <v>215</v>
      </c>
      <c r="C124" s="31"/>
      <c r="D124" s="31"/>
      <c r="E124" s="32"/>
      <c r="F124" s="33">
        <v>4299.6899999999996</v>
      </c>
      <c r="G124" s="46">
        <v>0.75</v>
      </c>
      <c r="H124" s="34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36" t="s">
        <v>218</v>
      </c>
      <c r="C126" s="37"/>
      <c r="D126" s="37"/>
      <c r="E126" s="38"/>
      <c r="F126" s="33">
        <v>4299.6899999999996</v>
      </c>
      <c r="G126" s="46">
        <v>0.75</v>
      </c>
      <c r="H126" s="34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1" t="s">
        <v>230</v>
      </c>
      <c r="C128" s="12"/>
      <c r="D128" s="12"/>
      <c r="E128" s="13"/>
      <c r="F128" s="14"/>
      <c r="G128" s="15"/>
      <c r="H128" s="16"/>
    </row>
    <row r="129" spans="2:8" ht="24" customHeight="1" x14ac:dyDescent="0.25">
      <c r="B129" s="17" t="s">
        <v>231</v>
      </c>
      <c r="C129" s="17"/>
      <c r="D129" s="17"/>
      <c r="E129" s="18"/>
      <c r="F129" s="19">
        <v>6264.67</v>
      </c>
      <c r="G129" s="20">
        <v>1.0900000000000001</v>
      </c>
      <c r="H129" s="21"/>
    </row>
    <row r="130" spans="2:8" ht="24" customHeight="1" x14ac:dyDescent="0.25">
      <c r="B130" s="17" t="s">
        <v>231</v>
      </c>
      <c r="C130" s="17"/>
      <c r="D130" s="17"/>
      <c r="E130" s="18"/>
      <c r="F130" s="19">
        <v>3627.27</v>
      </c>
      <c r="G130" s="20">
        <v>0.63</v>
      </c>
      <c r="H130" s="21"/>
    </row>
    <row r="131" spans="2:8" ht="24" customHeight="1" x14ac:dyDescent="0.25">
      <c r="B131" s="31" t="s">
        <v>215</v>
      </c>
      <c r="C131" s="31"/>
      <c r="D131" s="31"/>
      <c r="E131" s="32"/>
      <c r="F131" s="33">
        <v>9891.94</v>
      </c>
      <c r="G131" s="46">
        <v>1.72</v>
      </c>
      <c r="H131" s="34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36" t="s">
        <v>218</v>
      </c>
      <c r="C133" s="37"/>
      <c r="D133" s="37"/>
      <c r="E133" s="38"/>
      <c r="F133" s="33">
        <v>9891.94</v>
      </c>
      <c r="G133" s="46">
        <v>1.72</v>
      </c>
      <c r="H133" s="34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7" t="s">
        <v>232</v>
      </c>
      <c r="C135" s="17"/>
      <c r="D135" s="17"/>
      <c r="E135" s="18"/>
      <c r="F135" s="47">
        <v>-1343.42</v>
      </c>
      <c r="G135" s="20">
        <v>-0.25</v>
      </c>
      <c r="H135" s="21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36" t="s">
        <v>233</v>
      </c>
      <c r="C137" s="37"/>
      <c r="D137" s="37"/>
      <c r="E137" s="38"/>
      <c r="F137" s="33">
        <v>573297.76</v>
      </c>
      <c r="G137" s="46">
        <v>100</v>
      </c>
      <c r="H137" s="48"/>
    </row>
    <row r="138" spans="2:8" ht="24" customHeight="1" x14ac:dyDescent="0.25">
      <c r="B138" s="4"/>
    </row>
    <row r="139" spans="2:8" ht="24" customHeight="1" x14ac:dyDescent="0.25">
      <c r="B139" s="51" t="s">
        <v>234</v>
      </c>
      <c r="F139" s="52"/>
      <c r="G139" s="52"/>
    </row>
    <row r="140" spans="2:8" ht="24" customHeight="1" x14ac:dyDescent="0.25">
      <c r="F140" s="52"/>
      <c r="G140" s="52"/>
    </row>
    <row r="146" spans="2:8" ht="24" customHeight="1" x14ac:dyDescent="0.25">
      <c r="B146" s="40" t="s">
        <v>235</v>
      </c>
    </row>
    <row r="147" spans="2:8" ht="24" customHeight="1" x14ac:dyDescent="0.25">
      <c r="B147" s="49" t="s">
        <v>236</v>
      </c>
    </row>
    <row r="148" spans="2:8" ht="24" customHeight="1" x14ac:dyDescent="0.25">
      <c r="B148" s="53" t="s">
        <v>237</v>
      </c>
      <c r="C148" s="54">
        <v>46142</v>
      </c>
      <c r="D148" s="55">
        <v>46171</v>
      </c>
    </row>
    <row r="149" spans="2:8" ht="24" customHeight="1" x14ac:dyDescent="0.25">
      <c r="B149" s="56" t="s">
        <v>238</v>
      </c>
      <c r="C149" s="57" t="s">
        <v>239</v>
      </c>
      <c r="D149" s="58" t="s">
        <v>239</v>
      </c>
      <c r="E149" s="4"/>
      <c r="F149" s="4"/>
      <c r="G149" s="4"/>
      <c r="H149" s="4"/>
    </row>
    <row r="150" spans="2:8" ht="24" customHeight="1" x14ac:dyDescent="0.25">
      <c r="B150" s="59" t="s">
        <v>240</v>
      </c>
      <c r="C150" s="60">
        <v>41.41</v>
      </c>
      <c r="D150" s="61">
        <v>41.44</v>
      </c>
      <c r="E150" s="4"/>
      <c r="F150" s="4"/>
      <c r="G150" s="4"/>
      <c r="H150" s="4"/>
    </row>
    <row r="151" spans="2:8" ht="24" customHeight="1" x14ac:dyDescent="0.25">
      <c r="B151" s="59" t="s">
        <v>241</v>
      </c>
      <c r="C151" s="60">
        <v>19.57</v>
      </c>
      <c r="D151" s="61">
        <v>19.579999999999998</v>
      </c>
      <c r="E151" s="4"/>
      <c r="F151" s="4"/>
      <c r="G151" s="4"/>
      <c r="H151" s="4"/>
    </row>
    <row r="152" spans="2:8" ht="24" customHeight="1" x14ac:dyDescent="0.25">
      <c r="B152" s="56" t="s">
        <v>242</v>
      </c>
      <c r="C152" s="57"/>
      <c r="D152" s="58"/>
      <c r="E152" s="4"/>
      <c r="F152" s="4"/>
      <c r="G152" s="4"/>
      <c r="H152" s="4"/>
    </row>
    <row r="153" spans="2:8" ht="24" customHeight="1" x14ac:dyDescent="0.25">
      <c r="B153" s="59" t="s">
        <v>240</v>
      </c>
      <c r="C153" s="60">
        <v>35.06</v>
      </c>
      <c r="D153" s="61">
        <v>35.06</v>
      </c>
      <c r="E153" s="4"/>
      <c r="F153" s="4"/>
      <c r="G153" s="4"/>
      <c r="H153" s="4"/>
    </row>
    <row r="154" spans="2:8" ht="24" customHeight="1" x14ac:dyDescent="0.25">
      <c r="B154" s="62" t="s">
        <v>241</v>
      </c>
      <c r="C154" s="63">
        <v>17.14</v>
      </c>
      <c r="D154" s="64">
        <v>17.14</v>
      </c>
      <c r="E154" s="4"/>
      <c r="F154" s="4"/>
      <c r="G154" s="4"/>
      <c r="H154" s="4"/>
    </row>
    <row r="155" spans="2:8" ht="24" customHeight="1" x14ac:dyDescent="0.25">
      <c r="C155" s="65"/>
      <c r="D155" s="65"/>
      <c r="E155" s="4"/>
      <c r="F155" s="4"/>
      <c r="G155" s="4"/>
      <c r="H155" s="4"/>
    </row>
    <row r="156" spans="2:8" ht="24" customHeight="1" x14ac:dyDescent="0.25">
      <c r="B156" s="49" t="s">
        <v>243</v>
      </c>
      <c r="D156" s="29" t="s">
        <v>217</v>
      </c>
    </row>
    <row r="158" spans="2:8" ht="24" customHeight="1" x14ac:dyDescent="0.25">
      <c r="B158" s="49" t="s">
        <v>244</v>
      </c>
      <c r="D158" s="29" t="s">
        <v>217</v>
      </c>
    </row>
    <row r="160" spans="2:8" ht="24" customHeight="1" x14ac:dyDescent="0.25">
      <c r="B160" s="49" t="s">
        <v>245</v>
      </c>
      <c r="D160" s="29" t="s">
        <v>217</v>
      </c>
    </row>
    <row r="162" spans="2:4" ht="24" customHeight="1" x14ac:dyDescent="0.25">
      <c r="B162" s="49" t="s">
        <v>246</v>
      </c>
      <c r="D162" s="29" t="s">
        <v>217</v>
      </c>
    </row>
    <row r="164" spans="2:4" ht="24" customHeight="1" x14ac:dyDescent="0.25">
      <c r="B164" s="49" t="s">
        <v>247</v>
      </c>
      <c r="D164" s="29">
        <v>0.47</v>
      </c>
    </row>
    <row r="166" spans="2:4" ht="24" customHeight="1" x14ac:dyDescent="0.25">
      <c r="B166" s="49" t="s">
        <v>248</v>
      </c>
      <c r="D166" s="29" t="s">
        <v>217</v>
      </c>
    </row>
    <row r="168" spans="2:4" ht="24" customHeight="1" x14ac:dyDescent="0.25">
      <c r="B168" s="49" t="s">
        <v>249</v>
      </c>
      <c r="D168" s="29" t="s">
        <v>217</v>
      </c>
    </row>
    <row r="169" spans="2:4" ht="24" customHeight="1" x14ac:dyDescent="0.25">
      <c r="B169" s="49" t="s">
        <v>250</v>
      </c>
      <c r="D169" s="29" t="s">
        <v>217</v>
      </c>
    </row>
    <row r="171" spans="2:4" ht="24" customHeight="1" x14ac:dyDescent="0.25">
      <c r="B171" s="66" t="s">
        <v>251</v>
      </c>
      <c r="D171" s="29" t="s">
        <v>217</v>
      </c>
    </row>
    <row r="173" spans="2:4" ht="24" customHeight="1" x14ac:dyDescent="0.25">
      <c r="B173" s="49" t="s">
        <v>252</v>
      </c>
      <c r="D173" s="29" t="s">
        <v>217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2026-06-08T10:02:04Z</dcterms:modified>
</cp:coreProperties>
</file>