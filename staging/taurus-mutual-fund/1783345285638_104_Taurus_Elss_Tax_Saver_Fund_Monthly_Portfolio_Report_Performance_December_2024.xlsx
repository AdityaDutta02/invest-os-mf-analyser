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E50127E3-FE1C-4D41-8C16-F4FED2FB32B2}" xr6:coauthVersionLast="47" xr6:coauthVersionMax="47" xr10:uidLastSave="{00000000-0000-0000-0000-000000000000}"/>
  <bookViews>
    <workbookView xWindow="-120" yWindow="-120" windowWidth="20730" windowHeight="11040" xr2:uid="{A1ADAA1A-CA19-4D14-961A-3A7025021CD0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5?">TTS!$D$10:$D$41</definedName>
    <definedName name="XDO_?FINAL_ISIN?16?">TTS!$D$10:$D$82</definedName>
    <definedName name="XDO_?FINAL_ISIN?17?">TTS!$D$10:$D$86</definedName>
    <definedName name="XDO_?FINAL_MV?15?">TTS!$H$10:$H$41</definedName>
    <definedName name="XDO_?FINAL_MV?16?">TTS!$H$10:$H$82</definedName>
    <definedName name="XDO_?FINAL_MV?17?">TTS!$H$10:$H$86</definedName>
    <definedName name="XDO_?FINAL_NAME?15?">TTS!$C$10:$C$41</definedName>
    <definedName name="XDO_?FINAL_NAME?16?">TTS!$C$10:$C$82</definedName>
    <definedName name="XDO_?FINAL_NAME?17?">TTS!$C$10:$C$86</definedName>
    <definedName name="XDO_?FINAL_PER_NET?15?">TTS!$I$10:$I$41</definedName>
    <definedName name="XDO_?FINAL_PER_NET?16?">TTS!$I$10:$I$82</definedName>
    <definedName name="XDO_?FINAL_PER_NET?17?">TTS!$I$10:$I$86</definedName>
    <definedName name="XDO_?FINAL_QUANTITE?15?">TTS!$G$10:$G$41</definedName>
    <definedName name="XDO_?FINAL_QUANTITE?16?">TTS!$G$10:$G$82</definedName>
    <definedName name="XDO_?FINAL_QUANTITE?17?">TTS!$G$10:$G$86</definedName>
    <definedName name="XDO_?IND_01?15?">TTS!$F$10:$F$41</definedName>
    <definedName name="XDO_?IND_01?16?">TTS!$F$10:$F$82</definedName>
    <definedName name="XDO_?IND_01?17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TTS!$B$10:$B$41</definedName>
    <definedName name="XDO_?NOVAL?16?">TTS!$B$10:$B$82</definedName>
    <definedName name="XDO_?NOVAL?17?">TTS!$B$10:$B$86</definedName>
    <definedName name="XDO_?NPTF?7?">TTS!$D$2:$D$41</definedName>
    <definedName name="XDO_?RATING?15?">TTS!$E$10:$E$41</definedName>
    <definedName name="XDO_?RATING?16?">TTS!$E$10:$E$82</definedName>
    <definedName name="XDO_?RATING?17?">TTS!$E$10:$E$86</definedName>
    <definedName name="XDO_?REMARKS?15?">TTS!$J$10:$J$41</definedName>
    <definedName name="XDO_?REMARKS?16?">TTS!$J$10:$J$82</definedName>
    <definedName name="XDO_?REMARKS?17?">TTS!$J$10:$J$86</definedName>
    <definedName name="XDO_?TITL?7?">TTS!$A$8:$A$41</definedName>
    <definedName name="XDO_GROUP_?G_2?7?">TTS!$2:$89</definedName>
    <definedName name="XDO_GROUP_?G_3?7?">TTS!$8:$88</definedName>
    <definedName name="XDO_GROUP_?G_4?15?">TTS!$B$10:$IV$41</definedName>
    <definedName name="XDO_GROUP_?G_4?16?">TTS!$B$82:$IV$82</definedName>
    <definedName name="XDO_GROUP_?G_4?17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<sst xmlns="http://schemas.openxmlformats.org/spreadsheetml/2006/main" count="267" uniqueCount="198">
  <si>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</si>
  <si>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</si>
  <si>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</si>
  <si>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</si>
  <si>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</si>
  <si>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</si>
  <si>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</si>
  <si>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</si>
  <si>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</si>
  <si>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</si>
  <si>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</si>
  <si>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</si>
  <si>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</si>
  <si>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</si>
  <si>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</si>
  <si>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</si>
  <si>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</si>
  <si>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</si>
  <si>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</si>
  <si>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</si>
  <si>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</si>
  <si>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</si>
  <si>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</si>
  <si>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</si>
  <si>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</si>
  <si>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</si>
  <si>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</si>
  <si>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</si>
  <si>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</si>
  <si>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</si>
  <si>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100003</t>
  </si>
  <si>
    <t>Infosys Ltd.</t>
  </si>
  <si>
    <t>INE009A01021</t>
  </si>
  <si>
    <t>100147</t>
  </si>
  <si>
    <t>Tech Mahindra Ltd.</t>
  </si>
  <si>
    <t>INE669C01036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</si>
  <si>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</si>
  <si>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</si>
  <si>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</si>
  <si>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</si>
  <si>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</si>
  <si>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</si>
  <si>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</si>
  <si>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</si>
  <si>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</si>
  <si>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</si>
  <si>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</si>
  <si>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100083</t>
  </si>
  <si>
    <t>Samvardhana Motherson International Ltd.</t>
  </si>
  <si>
    <t>INE775A01035</t>
  </si>
  <si>
    <t>Auto Components</t>
  </si>
  <si>
    <t>100112</t>
  </si>
  <si>
    <t>Punjab National Bank</t>
  </si>
  <si>
    <t>INE160A01022</t>
  </si>
  <si>
    <t>100474</t>
  </si>
  <si>
    <t>Narayana Hrudayalaya Ltd.</t>
  </si>
  <si>
    <t>INE410P01011</t>
  </si>
  <si>
    <t>Healthcare Services</t>
  </si>
  <si>
    <t>102094</t>
  </si>
  <si>
    <t>HBL Engineering Ltd.</t>
  </si>
  <si>
    <t>INE292B01021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</si>
  <si>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</si>
  <si>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</si>
  <si>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</si>
  <si>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</si>
  <si>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</si>
  <si>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</si>
  <si>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</si>
  <si>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Capital Markets</t>
  </si>
  <si>
    <t>100292</t>
  </si>
  <si>
    <t>Steel Authority of India Ltd.</t>
  </si>
  <si>
    <t>INE114A01011</t>
  </si>
  <si>
    <t>Ferrous Metals</t>
  </si>
  <si>
    <t>100155</t>
  </si>
  <si>
    <t>Divi's Laboratories Ltd.</t>
  </si>
  <si>
    <t>INE361B01024</t>
  </si>
  <si>
    <t>100399</t>
  </si>
  <si>
    <t>Cholamandalam Investment &amp; Finance Co. Ltd.</t>
  </si>
  <si>
    <t>INE121A01024</t>
  </si>
  <si>
    <t>100080</t>
  </si>
  <si>
    <t>Dr. Reddy's Laboratories Ltd.</t>
  </si>
  <si>
    <t>INE089A01031</t>
  </si>
  <si>
    <t>100035</t>
  </si>
  <si>
    <t>NMDC Ltd.</t>
  </si>
  <si>
    <t>INE584A01023</t>
  </si>
  <si>
    <t>Minerals &amp; Mining</t>
  </si>
  <si>
    <t>102206</t>
  </si>
  <si>
    <t>Chemtech Industrial Valves Ltd.</t>
  </si>
  <si>
    <t>INE212P01011</t>
  </si>
  <si>
    <t>Industrial Manufacturing</t>
  </si>
  <si>
    <t>101181</t>
  </si>
  <si>
    <t>UTI Asset Management Co. Ltd.</t>
  </si>
  <si>
    <t>INE094J01016</t>
  </si>
  <si>
    <t>100056</t>
  </si>
  <si>
    <t>Supreme Industries Ltd.</t>
  </si>
  <si>
    <t>INE195A01028</t>
  </si>
  <si>
    <t>Industrial Products</t>
  </si>
  <si>
    <t>100045</t>
  </si>
  <si>
    <t>Gujarat Pipavav Port Ltd.</t>
  </si>
  <si>
    <t>INE517F01014</t>
  </si>
  <si>
    <t>Transport Infrastructure</t>
  </si>
  <si>
    <t>100342</t>
  </si>
  <si>
    <t>Vardhman Textiles Ltd.</t>
  </si>
  <si>
    <t>INE825A01020</t>
  </si>
  <si>
    <t>Textiles &amp; Apparels</t>
  </si>
  <si>
    <t>100759</t>
  </si>
  <si>
    <t>The New India Assurance Co. Ltd.</t>
  </si>
  <si>
    <t>INE470Y01017</t>
  </si>
  <si>
    <t>Insurance</t>
  </si>
  <si>
    <t>100095</t>
  </si>
  <si>
    <t>Bharti Airtel Ltd.</t>
  </si>
  <si>
    <t>INE397D01024</t>
  </si>
  <si>
    <t>Telecom - Services</t>
  </si>
  <si>
    <t>100191</t>
  </si>
  <si>
    <t>Canara Bank</t>
  </si>
  <si>
    <t>INE476A01022</t>
  </si>
  <si>
    <t>100078</t>
  </si>
  <si>
    <t>Sanghi Industries Ltd.</t>
  </si>
  <si>
    <t>INE999B01013</t>
  </si>
  <si>
    <t>Cement &amp; Cement Products</t>
  </si>
  <si>
    <t>100659</t>
  </si>
  <si>
    <t>Visaka Industries Ltd.</t>
  </si>
  <si>
    <t>INE392A01021</t>
  </si>
  <si>
    <t>102182</t>
  </si>
  <si>
    <t>Advani Hotels &amp; Resorts (India) Ltd.</t>
  </si>
  <si>
    <t>INE199C01026</t>
  </si>
  <si>
    <t>Leisure Services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</si>
  <si>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</si>
  <si>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</si>
  <si>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</si>
  <si>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</si>
  <si>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</si>
  <si>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</si>
  <si>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</si>
  <si>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</si>
  <si>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</si>
  <si>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</si>
  <si>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</si>
  <si>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</si>
  <si>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</si>
  <si>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</si>
  <si>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</si>
  <si>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</si>
  <si>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</si>
  <si>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</si>
  <si>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</si>
  <si>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</si>
  <si>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</si>
  <si>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</si>
  <si>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</si>
  <si>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</si>
  <si>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</si>
  <si>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</si>
  <si>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</si>
  <si>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</si>
  <si>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</si>
  <si>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</si>
  <si>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</si>
  <si>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</si>
  <si>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</si>
  <si>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</si>
  <si>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</si>
  <si>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</si>
  <si>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</si>
  <si>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</si>
  <si>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</si>
  <si>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</si>
  <si>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</si>
  <si>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</si>
  <si>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</si>
  <si>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</si>
  <si>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</si>
  <si>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</si>
  <si>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</si>
  <si>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December 31, 2024.</t>
  </si>
  <si>
    <t>(7) The Scheme did not declare any bonus during the month ended As on  December 31, 2024.</t>
  </si>
  <si>
    <t>(8) Total outstanding exposure in derivative instruments as on As on  December 31, 2024 is Nil</t>
  </si>
  <si>
    <t>(9) Total investments in Foreign Securities /ADRs/GDRs /Overseas ETFs as at As on  December 31, 2024 and its percentage to NAV is Nil.</t>
  </si>
  <si>
    <t>(10) During the period, the portfolio turnover ratio is 0.62 times.</t>
  </si>
  <si>
    <t>      Portfolio Turnover Ratio = Lower of sales or purchase of securities divided by average AUM for 12 months ended As on  December 31, 2024</t>
  </si>
  <si>
    <t>(11) The Scheme did not invest in repo transactions of corporate debt securities during the month ended As on  December 31, 2024.</t>
  </si>
  <si>
    <t>(12) The Scheme did not invest in credit default swaps during the month ended As on  December 31, 2024.</t>
  </si>
  <si>
    <t>(13) There are Nil instances of deviation from the valuation principles/guidelines during the month ended as on December 31st, 2024.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</si>
  <si>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</si>
  <si>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</si>
  <si>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</si>
  <si>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</si>
  <si>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</si>
  <si>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</si>
  <si>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</si>
  <si>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</si>
  <si>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</si>
  <si>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</si>
  <si>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</si>
  <si>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</si>
  <si>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December 31,2024 :184.9)</t>
  </si>
  <si>
    <t>Taurus Elss Tax Saver Fund - Direct Plan Growth Option</t>
  </si>
  <si>
    <t>NAV [Rs.] Per Unit (as on December 31,2024 :200.84)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</si>
</sst>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360C71D-075A-43A1-8A91-2E637C0B370E}"/>
    <cellStyle name="Hyperlink" xfId="2" builtinId="8"/>
    <cellStyle name="Normal" xfId="0" builtinId="0"/>
    <cellStyle name="Normal 2" xfId="4" xr:uid="{377D95D8-8FC2-40CB-AAFD-659B3D1DE7FF}"/>
    <cellStyle name="Style 1" xfId="3" xr:uid="{DDDF997D-E859-4BA7-ADDD-645A703FE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460ED828-18ED-4B36-812D-C6316EDA0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F979-A11E-4371-9E6B-6E5411011DDB}"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41375</v>
      </c>
      <c r="H10" s="32">
        <v>733.35</v>
      </c>
      <c r="I10" s="32">
        <v>9.1300000000000008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36757</v>
      </c>
      <c r="H11" s="32">
        <v>705.13</v>
      </c>
      <c r="I11" s="32">
        <v>8.7799999999999994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618.04999999999995</v>
      </c>
      <c r="I12" s="32">
        <v>7.69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535.94000000000005</v>
      </c>
      <c r="I13" s="32">
        <v>6.67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21339</v>
      </c>
      <c r="H14" s="32">
        <v>401.32</v>
      </c>
      <c r="I14" s="32">
        <v>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22792</v>
      </c>
      <c r="H15" s="32">
        <v>388.73</v>
      </c>
      <c r="I15" s="32">
        <v>4.84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80000</v>
      </c>
      <c r="H16" s="32">
        <v>386.92</v>
      </c>
      <c r="I16" s="32">
        <v>4.82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28650</v>
      </c>
      <c r="H17" s="32">
        <v>305.19</v>
      </c>
      <c r="I17" s="32">
        <v>3.8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65000</v>
      </c>
      <c r="H18" s="32">
        <v>249.54</v>
      </c>
      <c r="I18" s="32">
        <v>3.11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146565</v>
      </c>
      <c r="H19" s="32">
        <v>228.86</v>
      </c>
      <c r="I19" s="32">
        <v>2.85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219800</v>
      </c>
      <c r="H20" s="32">
        <v>225.84</v>
      </c>
      <c r="I20" s="32">
        <v>2.81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17513</v>
      </c>
      <c r="H21" s="32">
        <v>223.05</v>
      </c>
      <c r="I21" s="32">
        <v>2.78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50</v>
      </c>
      <c r="G22" s="31">
        <v>34504</v>
      </c>
      <c r="H22" s="32">
        <v>214.96</v>
      </c>
      <c r="I22" s="32">
        <v>2.68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13798</v>
      </c>
      <c r="H23" s="32">
        <v>211.04</v>
      </c>
      <c r="I23" s="32">
        <v>2.63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4035</v>
      </c>
      <c r="H24" s="32">
        <v>204.8</v>
      </c>
      <c r="I24" s="32">
        <v>2.5499999999999998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150110</v>
      </c>
      <c r="H25" s="32">
        <v>169.77</v>
      </c>
      <c r="I25" s="32">
        <v>2.11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64</v>
      </c>
      <c r="G26" s="31">
        <v>2780</v>
      </c>
      <c r="H26" s="32">
        <v>169.57</v>
      </c>
      <c r="I26" s="32">
        <v>2.11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26</v>
      </c>
      <c r="G27" s="31">
        <v>13735</v>
      </c>
      <c r="H27" s="32">
        <v>162.97</v>
      </c>
      <c r="I27" s="32">
        <v>2.0299999999999998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64</v>
      </c>
      <c r="G28" s="31">
        <v>10435</v>
      </c>
      <c r="H28" s="32">
        <v>144.86000000000001</v>
      </c>
      <c r="I28" s="32">
        <v>1.8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195000</v>
      </c>
      <c r="H29" s="32">
        <v>128.6</v>
      </c>
      <c r="I29" s="32">
        <v>1.6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50000</v>
      </c>
      <c r="H30" s="32">
        <v>107.98</v>
      </c>
      <c r="I30" s="32">
        <v>1.34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68</v>
      </c>
      <c r="G31" s="31">
        <v>7380</v>
      </c>
      <c r="H31" s="32">
        <v>99.21</v>
      </c>
      <c r="I31" s="32">
        <v>1.23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2008</v>
      </c>
      <c r="H32" s="32">
        <v>94.32</v>
      </c>
      <c r="I32" s="32">
        <v>1.17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45655</v>
      </c>
      <c r="H33" s="32">
        <v>83.16</v>
      </c>
      <c r="I33" s="32">
        <v>1.04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16000</v>
      </c>
      <c r="H34" s="32">
        <v>81.03</v>
      </c>
      <c r="I34" s="32">
        <v>1.01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38229</v>
      </c>
      <c r="H35" s="32">
        <v>77.41</v>
      </c>
      <c r="I35" s="32">
        <v>0.96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4805</v>
      </c>
      <c r="H36" s="32">
        <v>76.31</v>
      </c>
      <c r="I36" s="32">
        <v>0.95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18</v>
      </c>
      <c r="G37" s="31">
        <v>75000</v>
      </c>
      <c r="H37" s="32">
        <v>75.11</v>
      </c>
      <c r="I37" s="32">
        <v>0.93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72548</v>
      </c>
      <c r="H38" s="32">
        <v>44.09</v>
      </c>
      <c r="I38" s="32">
        <v>0.55000000000000004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119</v>
      </c>
      <c r="G39" s="31">
        <v>38828</v>
      </c>
      <c r="H39" s="32">
        <v>34.42</v>
      </c>
      <c r="I39" s="32">
        <v>0.43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44981</v>
      </c>
      <c r="H40" s="32">
        <v>31.18</v>
      </c>
      <c r="I40" s="32">
        <v>0.39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4330</v>
      </c>
      <c r="H41" s="32">
        <v>26.71</v>
      </c>
      <c r="I41" s="32">
        <v>0.33</v>
      </c>
      <c r="J41" s="33"/>
    </row>
    <row r="42" spans="2:10" x14ac:dyDescent="0.25">
      <c r="C42" s="28" t="s">
        <v>131</v>
      </c>
      <c r="D42" s="29"/>
      <c r="E42" s="30"/>
      <c r="F42" s="30"/>
      <c r="G42" s="31"/>
      <c r="H42" s="35">
        <v>7239.42</v>
      </c>
      <c r="I42" s="35">
        <v>90.12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132</v>
      </c>
      <c r="D44" s="29"/>
      <c r="E44" s="30"/>
      <c r="F44" s="30"/>
      <c r="G44" s="31"/>
      <c r="H44" s="32" t="s">
        <v>133</v>
      </c>
      <c r="I44" s="32" t="s">
        <v>133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134</v>
      </c>
      <c r="D46" s="29"/>
      <c r="E46" s="30"/>
      <c r="F46" s="30"/>
      <c r="G46" s="31"/>
      <c r="H46" s="32" t="s">
        <v>133</v>
      </c>
      <c r="I46" s="32" t="s">
        <v>133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135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136</v>
      </c>
      <c r="D50" s="29"/>
      <c r="E50" s="30"/>
      <c r="F50" s="30"/>
      <c r="G50" s="31"/>
      <c r="H50" s="32" t="s">
        <v>133</v>
      </c>
      <c r="I50" s="32" t="s">
        <v>133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137</v>
      </c>
      <c r="D52" s="29"/>
      <c r="E52" s="30"/>
      <c r="F52" s="30"/>
      <c r="G52" s="31"/>
      <c r="H52" s="32" t="s">
        <v>133</v>
      </c>
      <c r="I52" s="32" t="s">
        <v>133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138</v>
      </c>
      <c r="D54" s="29"/>
      <c r="E54" s="30"/>
      <c r="F54" s="30"/>
      <c r="G54" s="31"/>
      <c r="H54" s="32" t="s">
        <v>133</v>
      </c>
      <c r="I54" s="32" t="s">
        <v>133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139</v>
      </c>
      <c r="D56" s="29"/>
      <c r="E56" s="30"/>
      <c r="F56" s="30"/>
      <c r="G56" s="31"/>
      <c r="H56" s="32" t="s">
        <v>133</v>
      </c>
      <c r="I56" s="32" t="s">
        <v>133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140</v>
      </c>
      <c r="D58" s="29"/>
      <c r="E58" s="30"/>
      <c r="F58" s="30"/>
      <c r="G58" s="31"/>
      <c r="H58" s="32" t="s">
        <v>133</v>
      </c>
      <c r="I58" s="32" t="s">
        <v>133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141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142</v>
      </c>
      <c r="D62" s="29"/>
      <c r="E62" s="30"/>
      <c r="F62" s="30"/>
      <c r="G62" s="31"/>
      <c r="H62" s="32" t="s">
        <v>133</v>
      </c>
      <c r="I62" s="32" t="s">
        <v>133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143</v>
      </c>
      <c r="D64" s="29"/>
      <c r="E64" s="30"/>
      <c r="F64" s="30"/>
      <c r="G64" s="31"/>
      <c r="H64" s="32" t="s">
        <v>133</v>
      </c>
      <c r="I64" s="32" t="s">
        <v>133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144</v>
      </c>
      <c r="D66" s="29"/>
      <c r="E66" s="30"/>
      <c r="F66" s="30"/>
      <c r="G66" s="31"/>
      <c r="H66" s="32" t="s">
        <v>133</v>
      </c>
      <c r="I66" s="32" t="s">
        <v>133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145</v>
      </c>
      <c r="D68" s="29"/>
      <c r="E68" s="30"/>
      <c r="F68" s="30"/>
      <c r="G68" s="31"/>
      <c r="H68" s="32" t="s">
        <v>133</v>
      </c>
      <c r="I68" s="32" t="s">
        <v>133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146</v>
      </c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147</v>
      </c>
      <c r="D71" s="29"/>
      <c r="E71" s="30"/>
      <c r="F71" s="30"/>
      <c r="G71" s="31"/>
      <c r="H71" s="32" t="s">
        <v>133</v>
      </c>
      <c r="I71" s="32" t="s">
        <v>133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148</v>
      </c>
      <c r="D73" s="29"/>
      <c r="E73" s="30"/>
      <c r="F73" s="30"/>
      <c r="G73" s="31"/>
      <c r="H73" s="32" t="s">
        <v>133</v>
      </c>
      <c r="I73" s="32" t="s">
        <v>133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149</v>
      </c>
      <c r="D75" s="29"/>
      <c r="E75" s="30"/>
      <c r="F75" s="30"/>
      <c r="G75" s="31"/>
      <c r="H75" s="32" t="s">
        <v>133</v>
      </c>
      <c r="I75" s="32" t="s">
        <v>133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150</v>
      </c>
      <c r="D77" s="29"/>
      <c r="E77" s="30"/>
      <c r="F77" s="30"/>
      <c r="G77" s="31"/>
      <c r="H77" s="32" t="s">
        <v>133</v>
      </c>
      <c r="I77" s="32" t="s">
        <v>133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151</v>
      </c>
      <c r="D79" s="29"/>
      <c r="E79" s="30"/>
      <c r="F79" s="30"/>
      <c r="G79" s="31"/>
      <c r="H79" s="32" t="s">
        <v>133</v>
      </c>
      <c r="I79" s="32" t="s">
        <v>133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C81" s="34" t="s">
        <v>152</v>
      </c>
      <c r="D81" s="29"/>
      <c r="E81" s="30"/>
      <c r="F81" s="30"/>
      <c r="G81" s="31"/>
      <c r="H81" s="32"/>
      <c r="I81" s="32"/>
      <c r="J81" s="33"/>
    </row>
    <row r="82" spans="1:10" x14ac:dyDescent="0.25">
      <c r="B82" s="1" t="s">
        <v>153</v>
      </c>
      <c r="C82" s="20" t="s">
        <v>154</v>
      </c>
      <c r="D82" s="29"/>
      <c r="E82" s="30"/>
      <c r="F82" s="30"/>
      <c r="G82" s="31"/>
      <c r="H82" s="32">
        <v>350</v>
      </c>
      <c r="I82" s="32">
        <v>4.3600000000000003</v>
      </c>
      <c r="J82" s="33"/>
    </row>
    <row r="83" spans="1:10" x14ac:dyDescent="0.25">
      <c r="C83" s="28" t="s">
        <v>131</v>
      </c>
      <c r="D83" s="29"/>
      <c r="E83" s="30"/>
      <c r="F83" s="30"/>
      <c r="G83" s="31"/>
      <c r="H83" s="35">
        <v>350</v>
      </c>
      <c r="I83" s="35">
        <v>4.3600000000000003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155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156</v>
      </c>
      <c r="D86" s="29"/>
      <c r="E86" s="30"/>
      <c r="F86" s="30"/>
      <c r="G86" s="31"/>
      <c r="H86" s="32">
        <v>444.5</v>
      </c>
      <c r="I86" s="32">
        <v>5.5200000000000005</v>
      </c>
      <c r="J86" s="33"/>
    </row>
    <row r="87" spans="1:10" x14ac:dyDescent="0.25">
      <c r="C87" s="28" t="s">
        <v>131</v>
      </c>
      <c r="D87" s="29"/>
      <c r="E87" s="30"/>
      <c r="F87" s="30"/>
      <c r="G87" s="31"/>
      <c r="H87" s="35">
        <v>444.5</v>
      </c>
      <c r="I87" s="35">
        <v>5.5200000000000005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157</v>
      </c>
      <c r="D89" s="37"/>
      <c r="E89" s="38"/>
      <c r="F89" s="39"/>
      <c r="G89" s="40"/>
      <c r="H89" s="41">
        <v>8033.92</v>
      </c>
      <c r="I89" s="41">
        <f>SUMIFS(I:I,C:C,"Total")</f>
        <v>100</v>
      </c>
      <c r="J89" s="42"/>
    </row>
    <row r="92" spans="1:10" x14ac:dyDescent="0.25">
      <c r="C92" s="11" t="s">
        <v>158</v>
      </c>
    </row>
    <row r="93" spans="1:10" x14ac:dyDescent="0.25">
      <c r="C93" s="2" t="s">
        <v>159</v>
      </c>
    </row>
    <row r="94" spans="1:10" x14ac:dyDescent="0.25">
      <c r="C94" s="2" t="s">
        <v>160</v>
      </c>
    </row>
    <row r="95" spans="1:10" x14ac:dyDescent="0.25">
      <c r="C95" s="2" t="s">
        <v>161</v>
      </c>
    </row>
    <row r="96" spans="1:10" x14ac:dyDescent="0.25">
      <c r="C96" s="2" t="s">
        <v>162</v>
      </c>
    </row>
    <row r="97" spans="3:5" x14ac:dyDescent="0.25">
      <c r="C97" s="2" t="s">
        <v>163</v>
      </c>
    </row>
    <row r="98" spans="3:5" x14ac:dyDescent="0.25">
      <c r="C98" s="2" t="s">
        <v>164</v>
      </c>
    </row>
    <row r="99" spans="3:5" x14ac:dyDescent="0.25">
      <c r="D99" s="2" t="s">
        <v>165</v>
      </c>
    </row>
    <row r="100" spans="3:5" x14ac:dyDescent="0.25">
      <c r="C100" s="2" t="s">
        <v>166</v>
      </c>
      <c r="D100" s="2" t="s">
        <v>167</v>
      </c>
      <c r="E100" s="2" t="s">
        <v>167</v>
      </c>
    </row>
    <row r="101" spans="3:5" x14ac:dyDescent="0.25">
      <c r="D101" s="2" t="s">
        <v>168</v>
      </c>
      <c r="E101" s="2" t="s">
        <v>169</v>
      </c>
    </row>
    <row r="102" spans="3:5" x14ac:dyDescent="0.25">
      <c r="C102" s="2" t="s">
        <v>170</v>
      </c>
      <c r="D102" s="2">
        <v>86.31</v>
      </c>
      <c r="E102" s="2">
        <v>86.62</v>
      </c>
    </row>
    <row r="103" spans="3:5" x14ac:dyDescent="0.25">
      <c r="C103" s="2" t="s">
        <v>171</v>
      </c>
      <c r="D103" s="2">
        <v>184.25</v>
      </c>
      <c r="E103" s="2">
        <v>184.9</v>
      </c>
    </row>
    <row r="104" spans="3:5" x14ac:dyDescent="0.25">
      <c r="C104" s="2" t="s">
        <v>172</v>
      </c>
      <c r="D104" s="2">
        <v>92.19</v>
      </c>
      <c r="E104" s="2">
        <v>92.56</v>
      </c>
    </row>
    <row r="105" spans="3:5" x14ac:dyDescent="0.25">
      <c r="C105" s="2" t="s">
        <v>173</v>
      </c>
      <c r="D105" s="2">
        <v>200.03</v>
      </c>
      <c r="E105" s="2">
        <v>200.84</v>
      </c>
    </row>
    <row r="107" spans="3:5" x14ac:dyDescent="0.25">
      <c r="C107" s="2" t="s">
        <v>174</v>
      </c>
    </row>
    <row r="108" spans="3:5" x14ac:dyDescent="0.25">
      <c r="C108" s="2" t="s">
        <v>175</v>
      </c>
    </row>
    <row r="109" spans="3:5" x14ac:dyDescent="0.25">
      <c r="C109" s="2" t="s">
        <v>176</v>
      </c>
    </row>
    <row r="110" spans="3:5" x14ac:dyDescent="0.25">
      <c r="C110" s="2" t="s">
        <v>177</v>
      </c>
    </row>
    <row r="111" spans="3:5" x14ac:dyDescent="0.25">
      <c r="C111" s="2" t="s">
        <v>178</v>
      </c>
    </row>
    <row r="112" spans="3:5" x14ac:dyDescent="0.25">
      <c r="C112" s="2" t="s">
        <v>179</v>
      </c>
    </row>
    <row r="113" spans="3:3" x14ac:dyDescent="0.25">
      <c r="C113" s="2" t="s">
        <v>180</v>
      </c>
    </row>
    <row r="114" spans="3:3" x14ac:dyDescent="0.25">
      <c r="C114" s="2" t="s">
        <v>181</v>
      </c>
    </row>
    <row r="115" spans="3:3" x14ac:dyDescent="0.25">
      <c r="C115" s="2" t="s">
        <v>182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372B-79D0-4BCE-815E-91AD28C5C9E7}">
  <dimension ref="C3:K17"/>
  <sheetViews>
    <sheetView workbookViewId="0"/>
  </sheetViews>
  <sheetFormatPr defaultRowHeight="15" x14ac:dyDescent="0.25"/>
  <cols>
    <col min="3" max="3" width="47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184</v>
      </c>
      <c r="D4" s="46" t="s">
        <v>185</v>
      </c>
      <c r="E4" s="46"/>
      <c r="F4" s="46" t="s">
        <v>186</v>
      </c>
      <c r="G4" s="46"/>
      <c r="H4" s="46" t="s">
        <v>187</v>
      </c>
      <c r="I4" s="46"/>
      <c r="J4" s="47" t="s">
        <v>188</v>
      </c>
      <c r="K4" s="47"/>
    </row>
    <row r="5" spans="3:11" ht="63.75" x14ac:dyDescent="0.25">
      <c r="C5" s="48"/>
      <c r="D5" s="49" t="s">
        <v>189</v>
      </c>
      <c r="E5" s="49" t="s">
        <v>190</v>
      </c>
      <c r="F5" s="49" t="s">
        <v>189</v>
      </c>
      <c r="G5" s="49" t="s">
        <v>190</v>
      </c>
      <c r="H5" s="49" t="s">
        <v>189</v>
      </c>
      <c r="I5" s="49" t="s">
        <v>190</v>
      </c>
      <c r="J5" s="50" t="s">
        <v>189</v>
      </c>
      <c r="K5" s="50" t="s">
        <v>190</v>
      </c>
    </row>
    <row r="6" spans="3:11" x14ac:dyDescent="0.25">
      <c r="C6" s="51" t="s">
        <v>191</v>
      </c>
      <c r="D6" s="52">
        <v>21.268599999999999</v>
      </c>
      <c r="E6" s="52">
        <v>12146.094725087041</v>
      </c>
      <c r="F6" s="52">
        <v>18.544699999999999</v>
      </c>
      <c r="G6" s="52">
        <v>16666.666666666668</v>
      </c>
      <c r="H6" s="52">
        <v>17.851199999999999</v>
      </c>
      <c r="I6" s="52">
        <v>22754.122569529904</v>
      </c>
      <c r="J6" s="52">
        <v>12.289400000000001</v>
      </c>
      <c r="K6" s="52">
        <v>184900</v>
      </c>
    </row>
    <row r="7" spans="3:11" x14ac:dyDescent="0.25">
      <c r="C7" s="51" t="s">
        <v>192</v>
      </c>
      <c r="D7" s="52">
        <v>15.6714</v>
      </c>
      <c r="E7" s="52">
        <v>11567.14</v>
      </c>
      <c r="F7" s="52">
        <v>15.3491</v>
      </c>
      <c r="G7" s="52">
        <v>15347.676304745501</v>
      </c>
      <c r="H7" s="52">
        <v>19.044599999999999</v>
      </c>
      <c r="I7" s="52">
        <v>23908.289196457274</v>
      </c>
      <c r="J7" s="52" t="s">
        <v>193</v>
      </c>
      <c r="K7" s="52" t="s">
        <v>193</v>
      </c>
    </row>
    <row r="8" spans="3:11" x14ac:dyDescent="0.25">
      <c r="C8" s="51" t="s">
        <v>194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>
        <v>13.228300000000001</v>
      </c>
      <c r="K8" s="52">
        <v>356800.4586714324</v>
      </c>
    </row>
    <row r="9" spans="3:11" x14ac:dyDescent="0.25">
      <c r="C9" s="51" t="s">
        <v>195</v>
      </c>
      <c r="D9" s="53">
        <v>152.22999999999999</v>
      </c>
      <c r="E9" s="54"/>
      <c r="F9" s="53">
        <v>110.94</v>
      </c>
      <c r="G9" s="54"/>
      <c r="H9" s="53">
        <v>81.260000000000005</v>
      </c>
      <c r="I9" s="54"/>
      <c r="J9" s="53">
        <v>10</v>
      </c>
      <c r="K9" s="54"/>
    </row>
    <row r="11" spans="3:11" ht="15.75" x14ac:dyDescent="0.25">
      <c r="C11" s="43" t="s">
        <v>196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184</v>
      </c>
      <c r="D12" s="46" t="s">
        <v>185</v>
      </c>
      <c r="E12" s="46"/>
      <c r="F12" s="46" t="s">
        <v>186</v>
      </c>
      <c r="G12" s="46"/>
      <c r="H12" s="46" t="s">
        <v>187</v>
      </c>
      <c r="I12" s="46"/>
      <c r="J12" s="47" t="s">
        <v>188</v>
      </c>
      <c r="K12" s="47"/>
    </row>
    <row r="13" spans="3:11" ht="63.75" x14ac:dyDescent="0.25">
      <c r="C13" s="48"/>
      <c r="D13" s="49" t="s">
        <v>189</v>
      </c>
      <c r="E13" s="49" t="s">
        <v>190</v>
      </c>
      <c r="F13" s="49" t="s">
        <v>189</v>
      </c>
      <c r="G13" s="49" t="s">
        <v>190</v>
      </c>
      <c r="H13" s="49" t="s">
        <v>189</v>
      </c>
      <c r="I13" s="49" t="s">
        <v>190</v>
      </c>
      <c r="J13" s="50" t="s">
        <v>189</v>
      </c>
      <c r="K13" s="50" t="s">
        <v>190</v>
      </c>
    </row>
    <row r="14" spans="3:11" x14ac:dyDescent="0.25">
      <c r="C14" s="51" t="s">
        <v>191</v>
      </c>
      <c r="D14" s="52">
        <v>22.010400000000001</v>
      </c>
      <c r="E14" s="52">
        <v>12221.005233053425</v>
      </c>
      <c r="F14" s="52">
        <v>19.3093</v>
      </c>
      <c r="G14" s="52">
        <v>16991.539763113367</v>
      </c>
      <c r="H14" s="52">
        <v>18.669599999999999</v>
      </c>
      <c r="I14" s="52">
        <v>23556.181093126906</v>
      </c>
      <c r="J14" s="52">
        <v>14.6212</v>
      </c>
      <c r="K14" s="52">
        <v>51910.054277591109</v>
      </c>
    </row>
    <row r="15" spans="3:11" x14ac:dyDescent="0.25">
      <c r="C15" s="51" t="s">
        <v>192</v>
      </c>
      <c r="D15" s="52">
        <v>15.6714</v>
      </c>
      <c r="E15" s="52">
        <v>11567.14</v>
      </c>
      <c r="F15" s="52">
        <v>15.3491</v>
      </c>
      <c r="G15" s="52">
        <v>15347.676304745501</v>
      </c>
      <c r="H15" s="52">
        <v>19.044599999999999</v>
      </c>
      <c r="I15" s="52">
        <v>23908.289196457274</v>
      </c>
      <c r="J15" s="52">
        <v>14.978</v>
      </c>
      <c r="K15" s="52">
        <v>53400.222625239345</v>
      </c>
    </row>
    <row r="16" spans="3:11" x14ac:dyDescent="0.25">
      <c r="C16" s="51" t="s">
        <v>194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>
        <v>13.480499999999999</v>
      </c>
      <c r="K16" s="52">
        <v>45625.260482352176</v>
      </c>
    </row>
    <row r="17" spans="3:11" x14ac:dyDescent="0.25">
      <c r="C17" s="51" t="s">
        <v>197</v>
      </c>
      <c r="D17" s="53">
        <v>164.34</v>
      </c>
      <c r="E17" s="54"/>
      <c r="F17" s="53">
        <v>118.2</v>
      </c>
      <c r="G17" s="54"/>
      <c r="H17" s="53">
        <v>85.26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2025-01-06T13:57:49Z</dcterms:created>
  <dcterms:modified xsi:type="dcterms:W3CDTF">2025-01-07T11:47:23Z</dcterms:modified>
</cp:coreProperties>
</file>