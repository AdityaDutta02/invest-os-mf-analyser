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Portfolio'!$C$8:$C$35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Portfolio'!$D$10:$D$77</definedName>
    <definedName name="XDO_?FINAL_MV?">'TBF-Risk-o-meter &amp; Portfolio'!$H$10:$H$77</definedName>
    <definedName name="XDO_?FINAL_NAME?">'TBF-Risk-o-meter &amp; Portfolio'!$C$10:$C$77</definedName>
    <definedName name="XDO_?FINAL_PER_NET?">'TBF-Risk-o-meter &amp; Portfolio'!$I$10:$I$77</definedName>
    <definedName name="XDO_?FINAL_QUANTITE?">'TBF-Risk-o-meter &amp; Portfolio'!$G$10:$G$77</definedName>
    <definedName name="XDO_?IND_01?">'TBF-Risk-o-meter &amp; Portfolio'!$F$10:$F$77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Portfolio'!$C$2:$C$35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Portfolio'!$B$10:$B$77</definedName>
    <definedName name="XDO_?NPTF?">'TBF-Risk-o-meter &amp; Portfolio'!$D$2:$D$35</definedName>
    <definedName name="XDO_?RATING?">'TBF-Risk-o-meter &amp; Portfolio'!$E$10:$E$77</definedName>
    <definedName name="XDO_?REMARKS?">'TBF-Risk-o-meter &amp; Portfolio'!$J$10:$J$77</definedName>
    <definedName name="XDO_?TDATE?">'TBF-Risk-o-meter &amp; Portfolio'!$D$4</definedName>
    <definedName name="XDO_?TITL?">'TBF-Risk-o-meter &amp; Portfolio'!$A$8:$A$35</definedName>
    <definedName name="XDO_GROUP_?G_2?">'TBF-Risk-o-meter &amp; Portfolio'!$2:$80</definedName>
    <definedName name="XDO_GROUP_?G_3?">'TBF-Risk-o-meter &amp; Portfolio'!$8:$79</definedName>
    <definedName name="XDO_GROUP_?G_4?">'TBF-Risk-o-meter &amp; Portfolio'!$B$77:$IV$77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0" i="1"/>
</calcChain>
</file>

<file path=xl/sharedStrings.xml><?xml version="1.0" encoding="utf-8"?>
<sst xmlns="http://schemas.openxmlformats.org/spreadsheetml/2006/main" count="215" uniqueCount="152">
  <si>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</si>
  <si>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</si>
  <si>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</si>
  <si>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</si>
  <si>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</si>
  <si>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</si>
  <si>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</si>
  <si>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</si>
  <si>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</si>
  <si>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</si>
  <si>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</si>
  <si>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</si>
  <si>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</si>
  <si>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</si>
  <si>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</si>
  <si>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</si>
  <si>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</si>
  <si>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</si>
  <si>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</si>
  <si>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100115</t>
  </si>
  <si>
    <t>Siemens Ltd.</t>
  </si>
  <si>
    <t>INE003A01024</t>
  </si>
  <si>
    <t>Electrical Equipment</t>
  </si>
  <si>
    <t>100001</t>
  </si>
  <si>
    <t>Housing Development Finance Corporation Ltd.</t>
  </si>
  <si>
    <t>INE001A01036</t>
  </si>
  <si>
    <t>Finance</t>
  </si>
  <si>
    <t>100108</t>
  </si>
  <si>
    <t>Adani Ports and Special Economic Zone Ltd.</t>
  </si>
  <si>
    <t>INE742F01042</t>
  </si>
  <si>
    <t>Transport Infrastructure</t>
  </si>
  <si>
    <t>100027</t>
  </si>
  <si>
    <t>Pidilite Industries Ltd.</t>
  </si>
  <si>
    <t>INE318A01026</t>
  </si>
  <si>
    <t>Chemicals &amp; Petrochemicals</t>
  </si>
  <si>
    <t>100273</t>
  </si>
  <si>
    <t>Havells India Ltd.</t>
  </si>
  <si>
    <t>INE176B01034</t>
  </si>
  <si>
    <t>Consumer Durables</t>
  </si>
  <si>
    <t>100008</t>
  </si>
  <si>
    <t>Sun Pharmaceutical Industries Ltd.</t>
  </si>
  <si>
    <t>INE044A01036</t>
  </si>
  <si>
    <t>Pharmaceuticals &amp; Biotechnology</t>
  </si>
  <si>
    <t>100418</t>
  </si>
  <si>
    <t>Adani Enterprises Ltd.</t>
  </si>
  <si>
    <t>INE423A01024</t>
  </si>
  <si>
    <t>Metals &amp; Minerals Trading</t>
  </si>
  <si>
    <t>100012</t>
  </si>
  <si>
    <t>ICICI Bank Ltd.</t>
  </si>
  <si>
    <t>INE090A01021</t>
  </si>
  <si>
    <t>Banks</t>
  </si>
  <si>
    <t>100302</t>
  </si>
  <si>
    <t>DLF Ltd.</t>
  </si>
  <si>
    <t>INE271C01023</t>
  </si>
  <si>
    <t>Realty</t>
  </si>
  <si>
    <t>100095</t>
  </si>
  <si>
    <t>Bharti Airtel Ltd.</t>
  </si>
  <si>
    <t>INE397D01024</t>
  </si>
  <si>
    <t>Telecom - Services</t>
  </si>
  <si>
    <t>100139</t>
  </si>
  <si>
    <t>UPL Ltd.</t>
  </si>
  <si>
    <t>INE628A01036</t>
  </si>
  <si>
    <t>Fertilizers &amp; Agrochemicals</t>
  </si>
  <si>
    <t>100314</t>
  </si>
  <si>
    <t>SRF Ltd.</t>
  </si>
  <si>
    <t>INE647A01010</t>
  </si>
  <si>
    <t>100335</t>
  </si>
  <si>
    <t>Kajaria Ceramics Ltd.</t>
  </si>
  <si>
    <t>INE217B01036</t>
  </si>
  <si>
    <t>100104</t>
  </si>
  <si>
    <t>Kotak Mahindra Bank Ltd.</t>
  </si>
  <si>
    <t>INE237A01028</t>
  </si>
  <si>
    <t>100180</t>
  </si>
  <si>
    <t>Hindalco Industries Ltd.</t>
  </si>
  <si>
    <t>INE038A01020</t>
  </si>
  <si>
    <t>Non - Ferrous Metals</t>
  </si>
  <si>
    <t>100183</t>
  </si>
  <si>
    <t>Vedanta Ltd.</t>
  </si>
  <si>
    <t>INE205A01025</t>
  </si>
  <si>
    <t>Diversified Metals</t>
  </si>
  <si>
    <t>100109</t>
  </si>
  <si>
    <t>Piramal Enterprises Ltd.</t>
  </si>
  <si>
    <t>INE140A01024</t>
  </si>
  <si>
    <t>100235</t>
  </si>
  <si>
    <t>CRISIL Ltd.</t>
  </si>
  <si>
    <t>INE007A01025</t>
  </si>
  <si>
    <t>100081</t>
  </si>
  <si>
    <t>Titan Company Ltd.</t>
  </si>
  <si>
    <t>INE280A01028</t>
  </si>
  <si>
    <t>100461</t>
  </si>
  <si>
    <t>Astral Limited</t>
  </si>
  <si>
    <t>INE006I01046</t>
  </si>
  <si>
    <t>Industrial Products</t>
  </si>
  <si>
    <t>100505</t>
  </si>
  <si>
    <t>ICICI Prudential Life Insurance Company Ltd.</t>
  </si>
  <si>
    <t>INE726G01019</t>
  </si>
  <si>
    <t>Insurance</t>
  </si>
  <si>
    <t>100315</t>
  </si>
  <si>
    <t>Prestige Estates Projects Ltd.</t>
  </si>
  <si>
    <t>INE811K01011</t>
  </si>
  <si>
    <t>100553</t>
  </si>
  <si>
    <t>Kennametal India Ltd.</t>
  </si>
  <si>
    <t>INE717A01029</t>
  </si>
  <si>
    <t>Industrial Manufacturing</t>
  </si>
  <si>
    <t>101412</t>
  </si>
  <si>
    <t>Punjab Chemicals &amp; Crop Protection Ltd.</t>
  </si>
  <si>
    <t>INE277B01014</t>
  </si>
  <si>
    <t>101348</t>
  </si>
  <si>
    <t>Ami Organics Ltd.</t>
  </si>
  <si>
    <t>INE00FF01017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</si>
  <si>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</si>
  <si>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</si>
  <si>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</si>
  <si>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</si>
  <si>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</si>
  <si>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</si>
  <si>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</si>
  <si>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</si>
  <si>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</si>
  <si>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</si>
  <si>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</si>
  <si>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</si>
  <si>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</si>
  <si>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</si>
  <si>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</si>
  <si>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</si>
  <si>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</si>
  <si>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</si>
  <si>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</si>
  <si>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</si>
  <si>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</si>
  <si>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</si>
  <si>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</si>
  <si>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</si>
  <si>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</si>
  <si>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</si>
  <si>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</si>
  <si>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</si>
  <si>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</si>
  <si>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</si>
  <si>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</si>
  <si>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</si>
  <si>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</si>
  <si>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</si>
  <si>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</si>
  <si>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</si>
  <si>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</si>
  <si>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</si>
  <si>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</si>
  <si>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June 30, 2022 : 90.14)</t>
  </si>
  <si>
    <t>Taurus Largecap Equity Fund - Direct Plan Growth Option</t>
  </si>
  <si>
    <t>NAV [Rs.] Per Unit (as on June 30, 2022 : 95.04)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</si>
</sst>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ne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6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9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44742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19121</v>
      </c>
      <c r="H10" s="32">
        <v>209.38</v>
      </c>
      <c r="I10" s="32">
        <v>7.13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7097</v>
      </c>
      <c r="H11" s="32">
        <v>170.33</v>
      </c>
      <c r="I11" s="32">
        <v>5.8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7137</v>
      </c>
      <c r="H12" s="32">
        <v>154.41</v>
      </c>
      <c r="I12" s="32">
        <v>5.26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22403</v>
      </c>
      <c r="H13" s="32">
        <v>150.41999999999999</v>
      </c>
      <c r="I13" s="32">
        <v>5.12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7019</v>
      </c>
      <c r="H14" s="32">
        <v>146.71</v>
      </c>
      <c r="I14" s="32">
        <v>5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12908</v>
      </c>
      <c r="H15" s="32">
        <v>141.94999999999999</v>
      </c>
      <c r="I15" s="32">
        <v>4.83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16841</v>
      </c>
      <c r="H16" s="32">
        <v>139.91999999999999</v>
      </c>
      <c r="I16" s="32">
        <v>4.7699999999999996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6277</v>
      </c>
      <c r="H17" s="32">
        <v>137.46</v>
      </c>
      <c r="I17" s="32">
        <v>4.68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19245</v>
      </c>
      <c r="H18" s="32">
        <v>136.03</v>
      </c>
      <c r="I18" s="32">
        <v>4.63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42817</v>
      </c>
      <c r="H19" s="32">
        <v>133.76</v>
      </c>
      <c r="I19" s="32">
        <v>4.5599999999999996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18938</v>
      </c>
      <c r="H20" s="32">
        <v>129.52000000000001</v>
      </c>
      <c r="I20" s="32">
        <v>4.41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19142</v>
      </c>
      <c r="H21" s="32">
        <v>120.97</v>
      </c>
      <c r="I21" s="32">
        <v>4.12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34</v>
      </c>
      <c r="G22" s="31">
        <v>5035</v>
      </c>
      <c r="H22" s="32">
        <v>113.25</v>
      </c>
      <c r="I22" s="32">
        <v>3.86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38</v>
      </c>
      <c r="G23" s="31">
        <v>11550</v>
      </c>
      <c r="H23" s="32">
        <v>109.41</v>
      </c>
      <c r="I23" s="32">
        <v>3.73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50</v>
      </c>
      <c r="G24" s="31">
        <v>6396</v>
      </c>
      <c r="H24" s="32">
        <v>106.22</v>
      </c>
      <c r="I24" s="32">
        <v>3.62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30305</v>
      </c>
      <c r="H25" s="32">
        <v>102.67</v>
      </c>
      <c r="I25" s="32">
        <v>3.5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40785</v>
      </c>
      <c r="H26" s="32">
        <v>90.93</v>
      </c>
      <c r="I26" s="32">
        <v>3.1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26</v>
      </c>
      <c r="G27" s="31">
        <v>5210</v>
      </c>
      <c r="H27" s="32">
        <v>86.42</v>
      </c>
      <c r="I27" s="32">
        <v>2.94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26</v>
      </c>
      <c r="G28" s="31">
        <v>2598</v>
      </c>
      <c r="H28" s="32">
        <v>85.43</v>
      </c>
      <c r="I28" s="32">
        <v>2.91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38</v>
      </c>
      <c r="G29" s="31">
        <v>4167</v>
      </c>
      <c r="H29" s="32">
        <v>80.94</v>
      </c>
      <c r="I29" s="32">
        <v>2.76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4572</v>
      </c>
      <c r="H30" s="32">
        <v>75.69</v>
      </c>
      <c r="I30" s="32">
        <v>2.58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15260</v>
      </c>
      <c r="H31" s="32">
        <v>74.73</v>
      </c>
      <c r="I31" s="32">
        <v>2.5499999999999998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54</v>
      </c>
      <c r="G32" s="31">
        <v>15092</v>
      </c>
      <c r="H32" s="32">
        <v>58.34</v>
      </c>
      <c r="I32" s="32">
        <v>1.99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2454</v>
      </c>
      <c r="H33" s="32">
        <v>46.09</v>
      </c>
      <c r="I33" s="32">
        <v>1.57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62</v>
      </c>
      <c r="G34" s="31">
        <v>3489</v>
      </c>
      <c r="H34" s="32">
        <v>41.08</v>
      </c>
      <c r="I34" s="32">
        <v>1.4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42</v>
      </c>
      <c r="G35" s="31">
        <v>4225</v>
      </c>
      <c r="H35" s="32">
        <v>37.04</v>
      </c>
      <c r="I35" s="32">
        <v>1.26</v>
      </c>
      <c r="J35" s="33"/>
    </row>
    <row r="36" spans="2:10">
      <c r="C36" s="28" t="s">
        <v>110</v>
      </c>
      <c r="D36" s="29"/>
      <c r="E36" s="30"/>
      <c r="F36" s="30"/>
      <c r="G36" s="31"/>
      <c r="H36" s="35">
        <v>2879.1</v>
      </c>
      <c r="I36" s="35">
        <v>98.08</v>
      </c>
      <c r="J36" s="33"/>
    </row>
    <row r="37" spans="2:10">
      <c r="C37" s="20"/>
      <c r="D37" s="29"/>
      <c r="E37" s="30"/>
      <c r="F37" s="30"/>
      <c r="G37" s="31"/>
      <c r="H37" s="32"/>
      <c r="I37" s="32"/>
      <c r="J37" s="33"/>
    </row>
    <row r="38" spans="2:10">
      <c r="C38" s="28" t="s">
        <v>111</v>
      </c>
      <c r="D38" s="29"/>
      <c r="E38" s="30"/>
      <c r="F38" s="30"/>
      <c r="G38" s="31"/>
      <c r="H38" s="32" t="s">
        <v>112</v>
      </c>
      <c r="I38" s="32" t="s">
        <v>112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113</v>
      </c>
      <c r="D40" s="29"/>
      <c r="E40" s="30"/>
      <c r="F40" s="30"/>
      <c r="G40" s="31"/>
      <c r="H40" s="32" t="s">
        <v>112</v>
      </c>
      <c r="I40" s="32" t="s">
        <v>112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114</v>
      </c>
      <c r="D42" s="29"/>
      <c r="E42" s="30"/>
      <c r="F42" s="30"/>
      <c r="G42" s="31"/>
      <c r="H42" s="32"/>
      <c r="I42" s="32"/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115</v>
      </c>
      <c r="D44" s="29"/>
      <c r="E44" s="30"/>
      <c r="F44" s="30"/>
      <c r="G44" s="31"/>
      <c r="H44" s="32" t="s">
        <v>112</v>
      </c>
      <c r="I44" s="32" t="s">
        <v>112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116</v>
      </c>
      <c r="D46" s="29"/>
      <c r="E46" s="30"/>
      <c r="F46" s="30"/>
      <c r="G46" s="31"/>
      <c r="H46" s="32" t="s">
        <v>112</v>
      </c>
      <c r="I46" s="32" t="s">
        <v>112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117</v>
      </c>
      <c r="D48" s="29"/>
      <c r="E48" s="30"/>
      <c r="F48" s="30"/>
      <c r="G48" s="31"/>
      <c r="H48" s="32" t="s">
        <v>112</v>
      </c>
      <c r="I48" s="32" t="s">
        <v>112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118</v>
      </c>
      <c r="D50" s="29"/>
      <c r="E50" s="30"/>
      <c r="F50" s="30"/>
      <c r="G50" s="31"/>
      <c r="H50" s="32" t="s">
        <v>112</v>
      </c>
      <c r="I50" s="32" t="s">
        <v>112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119</v>
      </c>
      <c r="D52" s="29"/>
      <c r="E52" s="30"/>
      <c r="F52" s="30"/>
      <c r="G52" s="31"/>
      <c r="H52" s="32" t="s">
        <v>112</v>
      </c>
      <c r="I52" s="32" t="s">
        <v>112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120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121</v>
      </c>
      <c r="D56" s="29"/>
      <c r="E56" s="30"/>
      <c r="F56" s="30"/>
      <c r="G56" s="31"/>
      <c r="H56" s="32" t="s">
        <v>112</v>
      </c>
      <c r="I56" s="32" t="s">
        <v>112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122</v>
      </c>
      <c r="D58" s="29"/>
      <c r="E58" s="30"/>
      <c r="F58" s="30"/>
      <c r="G58" s="31"/>
      <c r="H58" s="32" t="s">
        <v>112</v>
      </c>
      <c r="I58" s="32" t="s">
        <v>112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123</v>
      </c>
      <c r="D60" s="29"/>
      <c r="E60" s="30"/>
      <c r="F60" s="30"/>
      <c r="G60" s="31"/>
      <c r="H60" s="32" t="s">
        <v>112</v>
      </c>
      <c r="I60" s="32" t="s">
        <v>112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124</v>
      </c>
      <c r="D62" s="29"/>
      <c r="E62" s="30"/>
      <c r="F62" s="30"/>
      <c r="G62" s="31"/>
      <c r="H62" s="32" t="s">
        <v>112</v>
      </c>
      <c r="I62" s="32" t="s">
        <v>112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125</v>
      </c>
      <c r="D64" s="29"/>
      <c r="E64" s="30"/>
      <c r="F64" s="30"/>
      <c r="G64" s="31"/>
      <c r="H64" s="32"/>
      <c r="I64" s="32"/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126</v>
      </c>
      <c r="D66" s="29"/>
      <c r="E66" s="30"/>
      <c r="F66" s="30"/>
      <c r="G66" s="31"/>
      <c r="H66" s="32" t="s">
        <v>112</v>
      </c>
      <c r="I66" s="32" t="s">
        <v>112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127</v>
      </c>
      <c r="D68" s="29"/>
      <c r="E68" s="30"/>
      <c r="F68" s="30"/>
      <c r="G68" s="31"/>
      <c r="H68" s="32" t="s">
        <v>112</v>
      </c>
      <c r="I68" s="32" t="s">
        <v>112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128</v>
      </c>
      <c r="D70" s="29"/>
      <c r="E70" s="30"/>
      <c r="F70" s="30"/>
      <c r="G70" s="31"/>
      <c r="H70" s="32" t="s">
        <v>112</v>
      </c>
      <c r="I70" s="32" t="s">
        <v>112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129</v>
      </c>
      <c r="D72" s="29"/>
      <c r="E72" s="30"/>
      <c r="F72" s="30"/>
      <c r="G72" s="31"/>
      <c r="H72" s="32" t="s">
        <v>112</v>
      </c>
      <c r="I72" s="32" t="s">
        <v>112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130</v>
      </c>
      <c r="D74" s="29"/>
      <c r="E74" s="30"/>
      <c r="F74" s="30"/>
      <c r="G74" s="31"/>
      <c r="H74" s="32" t="s">
        <v>112</v>
      </c>
      <c r="I74" s="32" t="s">
        <v>112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A76" s="26"/>
      <c r="B76" s="27"/>
      <c r="C76" s="28" t="s">
        <v>131</v>
      </c>
      <c r="D76" s="29"/>
      <c r="E76" s="30"/>
      <c r="F76" s="30"/>
      <c r="G76" s="31"/>
      <c r="H76" s="32"/>
      <c r="I76" s="32"/>
      <c r="J76" s="33"/>
    </row>
    <row r="77" spans="1:10">
      <c r="B77" s="1"/>
      <c r="C77" s="20" t="s">
        <v>132</v>
      </c>
      <c r="D77" s="29"/>
      <c r="E77" s="30"/>
      <c r="F77" s="30"/>
      <c r="G77" s="31"/>
      <c r="H77" s="32">
        <v>56.99</v>
      </c>
      <c r="I77" s="32">
        <v>1.92</v>
      </c>
      <c r="J77" s="33"/>
    </row>
    <row r="78" spans="1:10">
      <c r="C78" s="28" t="s">
        <v>110</v>
      </c>
      <c r="D78" s="29"/>
      <c r="E78" s="30"/>
      <c r="F78" s="30"/>
      <c r="G78" s="31"/>
      <c r="H78" s="35">
        <v>56.99</v>
      </c>
      <c r="I78" s="35">
        <v>1.92</v>
      </c>
      <c r="J78" s="33"/>
    </row>
    <row r="79" spans="1:10">
      <c r="C79" s="20"/>
      <c r="D79" s="29"/>
      <c r="E79" s="30"/>
      <c r="F79" s="30"/>
      <c r="G79" s="31"/>
      <c r="H79" s="32"/>
      <c r="I79" s="32"/>
      <c r="J79" s="33"/>
    </row>
    <row r="80" spans="1:10" ht="13.8" thickBot="1">
      <c r="C80" s="36" t="s">
        <v>133</v>
      </c>
      <c r="D80" s="37"/>
      <c r="E80" s="38"/>
      <c r="F80" s="39"/>
      <c r="G80" s="40"/>
      <c r="H80" s="41">
        <v>2936.09</v>
      </c>
      <c r="I80" s="41">
        <f>SUMIFS(I:I,C:C,"Total")</f>
        <v>100</v>
      </c>
      <c r="J80" s="42"/>
    </row>
    <row r="83" spans="3:3">
      <c r="C83" s="11" t="s">
        <v>134</v>
      </c>
    </row>
    <row r="84" spans="3:3">
      <c r="C84" s="2" t="s">
        <v>135</v>
      </c>
    </row>
    <row r="85" spans="3:3">
      <c r="C85" s="2" t="s">
        <v>136</v>
      </c>
    </row>
    <row r="86" spans="3:3">
      <c r="C86" s="2" t="s">
        <v>137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138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139</v>
      </c>
      <c r="B5" s="46" t="s">
        <v>140</v>
      </c>
      <c r="C5" s="46"/>
      <c r="D5" s="46" t="s">
        <v>141</v>
      </c>
      <c r="E5" s="46"/>
      <c r="F5" s="46" t="s">
        <v>142</v>
      </c>
      <c r="G5" s="46"/>
      <c r="H5" s="46" t="s">
        <v>143</v>
      </c>
      <c r="I5" s="46"/>
    </row>
    <row r="6" spans="1:9" ht="66">
      <c r="A6" s="47"/>
      <c r="B6" s="48" t="s">
        <v>144</v>
      </c>
      <c r="C6" s="48" t="s">
        <v>145</v>
      </c>
      <c r="D6" s="48" t="s">
        <v>144</v>
      </c>
      <c r="E6" s="48" t="s">
        <v>145</v>
      </c>
      <c r="F6" s="48" t="s">
        <v>144</v>
      </c>
      <c r="G6" s="48" t="s">
        <v>145</v>
      </c>
      <c r="H6" s="48" t="s">
        <v>144</v>
      </c>
      <c r="I6" s="48" t="s">
        <v>145</v>
      </c>
    </row>
    <row r="7" spans="1:9">
      <c r="A7" s="49" t="s">
        <v>146</v>
      </c>
      <c r="B7" s="50">
        <v>-5.2454535898244448</v>
      </c>
      <c r="C7" s="50">
        <v>9475.4546410175553</v>
      </c>
      <c r="D7" s="50">
        <v>6.1293645232001204</v>
      </c>
      <c r="E7" s="50">
        <v>11959.66564946265</v>
      </c>
      <c r="F7" s="50">
        <v>5.3505135715443464</v>
      </c>
      <c r="G7" s="50">
        <v>12979.121670266379</v>
      </c>
      <c r="H7" s="50">
        <v>9.8500733613298372</v>
      </c>
      <c r="I7" s="50">
        <v>90140</v>
      </c>
    </row>
    <row r="8" spans="1:9">
      <c r="A8" s="49" t="s">
        <v>147</v>
      </c>
      <c r="B8" s="50">
        <v>1.4007618689495516</v>
      </c>
      <c r="C8" s="50">
        <v>10140.076186894956</v>
      </c>
      <c r="D8" s="50">
        <v>11.809147693323085</v>
      </c>
      <c r="E8" s="50">
        <v>13977.580777100109</v>
      </c>
      <c r="F8" s="50">
        <v>11.639861596030542</v>
      </c>
      <c r="G8" s="50">
        <v>17341.890793650131</v>
      </c>
      <c r="H8" s="50">
        <v>11.698838595323746</v>
      </c>
      <c r="I8" s="50">
        <v>206203.16778381274</v>
      </c>
    </row>
    <row r="9" spans="1:9">
      <c r="A9" s="49" t="s">
        <v>148</v>
      </c>
      <c r="B9" s="50">
        <v>1.662072435951667</v>
      </c>
      <c r="C9" s="50">
        <v>10166.207243595167</v>
      </c>
      <c r="D9" s="50">
        <v>11.545504890981984</v>
      </c>
      <c r="E9" s="50">
        <v>13878.93752284471</v>
      </c>
      <c r="F9" s="50">
        <v>12.030099818677375</v>
      </c>
      <c r="G9" s="50">
        <v>17647.110887766743</v>
      </c>
      <c r="H9" s="50">
        <v>11.82393418081633</v>
      </c>
      <c r="I9" s="50">
        <v>212614.12146287278</v>
      </c>
    </row>
    <row r="10" spans="1:9">
      <c r="A10" s="49" t="s">
        <v>149</v>
      </c>
      <c r="B10" s="51">
        <v>95.13</v>
      </c>
      <c r="C10" s="52"/>
      <c r="D10" s="51">
        <v>75.37</v>
      </c>
      <c r="E10" s="52"/>
      <c r="F10" s="51">
        <v>69.45</v>
      </c>
      <c r="G10" s="52"/>
      <c r="H10" s="51">
        <v>10</v>
      </c>
      <c r="I10" s="52"/>
    </row>
    <row r="12" spans="1:9" ht="15.6">
      <c r="A12" s="43" t="s">
        <v>150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139</v>
      </c>
      <c r="B13" s="46" t="s">
        <v>140</v>
      </c>
      <c r="C13" s="46"/>
      <c r="D13" s="46" t="s">
        <v>141</v>
      </c>
      <c r="E13" s="46"/>
      <c r="F13" s="46" t="s">
        <v>142</v>
      </c>
      <c r="G13" s="46"/>
      <c r="H13" s="46" t="s">
        <v>143</v>
      </c>
      <c r="I13" s="46"/>
    </row>
    <row r="14" spans="1:9" ht="66">
      <c r="A14" s="47"/>
      <c r="B14" s="48" t="s">
        <v>144</v>
      </c>
      <c r="C14" s="48" t="s">
        <v>145</v>
      </c>
      <c r="D14" s="48" t="s">
        <v>144</v>
      </c>
      <c r="E14" s="48" t="s">
        <v>145</v>
      </c>
      <c r="F14" s="48" t="s">
        <v>144</v>
      </c>
      <c r="G14" s="48" t="s">
        <v>145</v>
      </c>
      <c r="H14" s="48" t="s">
        <v>144</v>
      </c>
      <c r="I14" s="48" t="s">
        <v>145</v>
      </c>
    </row>
    <row r="15" spans="1:9">
      <c r="A15" s="49" t="s">
        <v>146</v>
      </c>
      <c r="B15" s="50">
        <v>-5.1591657519209573</v>
      </c>
      <c r="C15" s="50">
        <v>9484.0834248079045</v>
      </c>
      <c r="D15" s="50">
        <v>6.2839131608404042</v>
      </c>
      <c r="E15" s="50">
        <v>12012.133468149646</v>
      </c>
      <c r="F15" s="50">
        <v>5.688873089386437</v>
      </c>
      <c r="G15" s="50">
        <v>13189.009159034138</v>
      </c>
      <c r="H15" s="50">
        <v>8.3137416609940562</v>
      </c>
      <c r="I15" s="50">
        <v>21347.708894878706</v>
      </c>
    </row>
    <row r="16" spans="1:9">
      <c r="A16" s="49" t="s">
        <v>147</v>
      </c>
      <c r="B16" s="50">
        <v>1.4007618689495516</v>
      </c>
      <c r="C16" s="50">
        <v>10140.076186894956</v>
      </c>
      <c r="D16" s="50">
        <v>11.809147693323085</v>
      </c>
      <c r="E16" s="50">
        <v>13977.580777100109</v>
      </c>
      <c r="F16" s="50">
        <v>11.639861596030542</v>
      </c>
      <c r="G16" s="50">
        <v>17341.890793650131</v>
      </c>
      <c r="H16" s="50">
        <v>12.281631979010864</v>
      </c>
      <c r="I16" s="50">
        <v>30041.807374263793</v>
      </c>
    </row>
    <row r="17" spans="1:9">
      <c r="A17" s="49" t="s">
        <v>148</v>
      </c>
      <c r="B17" s="50">
        <v>1.662072435951667</v>
      </c>
      <c r="C17" s="50">
        <v>10166.207243595167</v>
      </c>
      <c r="D17" s="50">
        <v>11.545504890981984</v>
      </c>
      <c r="E17" s="50">
        <v>13878.93752284471</v>
      </c>
      <c r="F17" s="50">
        <v>12.030099818677375</v>
      </c>
      <c r="G17" s="50">
        <v>17647.110887766743</v>
      </c>
      <c r="H17" s="50">
        <v>12.117483944997298</v>
      </c>
      <c r="I17" s="50">
        <v>29627.337334011649</v>
      </c>
    </row>
    <row r="18" spans="1:9">
      <c r="A18" s="49" t="s">
        <v>151</v>
      </c>
      <c r="B18" s="51">
        <v>100.21</v>
      </c>
      <c r="C18" s="52"/>
      <c r="D18" s="51">
        <v>79.12</v>
      </c>
      <c r="E18" s="52"/>
      <c r="F18" s="51">
        <v>72.06</v>
      </c>
      <c r="G18" s="52"/>
      <c r="H18" s="51">
        <v>44.52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2022-07-03T09:32:43Z</dcterms:created>
  <dcterms:modified xsi:type="dcterms:W3CDTF">2022-07-06T09:51:49Z</dcterms:modified>
</cp:coreProperties>
</file>