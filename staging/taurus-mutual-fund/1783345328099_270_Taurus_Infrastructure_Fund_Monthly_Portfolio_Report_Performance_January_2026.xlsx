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1. Feb 2026\Monthly Portfolio\Ops\"/>
    </mc:Choice>
  </mc:AlternateContent>
  <xr:revisionPtr revIDLastSave="0" documentId="13_ncr:1_{6A8ECDE4-32C7-41EF-AEF2-6011E5E42885}" xr6:coauthVersionLast="47" xr6:coauthVersionMax="47" xr10:uidLastSave="{00000000-0000-0000-0000-000000000000}"/>
  <bookViews>
    <workbookView xWindow="-120" yWindow="-120" windowWidth="20730" windowHeight="11040" xr2:uid="{EE0F3EA8-FB38-43BC-8347-E9A1241DF549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TISF!$C$8:$C$42</definedName>
    <definedName name="XDO_?FINAL_ISIN?7?">TISF!$D$10:$D$42</definedName>
    <definedName name="XDO_?FINAL_ISIN?8?">TISF!$D$10:$D$86</definedName>
    <definedName name="XDO_?FINAL_MV?7?">TISF!$H$10:$H$42</definedName>
    <definedName name="XDO_?FINAL_MV?8?">TISF!$H$10:$H$86</definedName>
    <definedName name="XDO_?FINAL_NAME?7?">TISF!$C$10:$C$42</definedName>
    <definedName name="XDO_?FINAL_NAME?8?">TISF!$C$10:$C$86</definedName>
    <definedName name="XDO_?FINAL_PER_NET?7?">TISF!$I$10:$I$42</definedName>
    <definedName name="XDO_?FINAL_PER_NET?8?">TISF!$I$10:$I$86</definedName>
    <definedName name="XDO_?FINAL_QUANTITE?7?">TISF!$G$10:$G$42</definedName>
    <definedName name="XDO_?FINAL_QUANTITE?8?">TISF!$G$10:$G$86</definedName>
    <definedName name="XDO_?IND_01?7?">TISF!$F$10:$F$42</definedName>
    <definedName name="XDO_?IND_01?8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TISF!$B$10:$B$42</definedName>
    <definedName name="XDO_?NOVAL?8?">TISF!$B$10:$B$86</definedName>
    <definedName name="XDO_?NPTF?4?">TISF!$D$2:$D$42</definedName>
    <definedName name="XDO_?RATING?7?">TISF!$E$10:$E$42</definedName>
    <definedName name="XDO_?RATING?8?">TISF!$E$10:$E$86</definedName>
    <definedName name="XDO_?REMARKS?7?">TISF!$J$10:$J$42</definedName>
    <definedName name="XDO_?REMARKS?8?">TISF!$J$10:$J$86</definedName>
    <definedName name="XDO_?TITL?4?">TISF!$A$8:$A$42</definedName>
    <definedName name="XDO_GROUP_?G_2?4?">TISF!$2:$89</definedName>
    <definedName name="XDO_GROUP_?G_3?4?">TISF!$8:$88</definedName>
    <definedName name="XDO_GROUP_?G_4?7?">TISF!$B$10:$IV$42</definedName>
    <definedName name="XDO_GROUP_?G_4?8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<sst xmlns="http://schemas.openxmlformats.org/spreadsheetml/2006/main" count="274" uniqueCount="197">
  <si>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</si>
  <si>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</si>
  <si>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</si>
  <si>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</si>
  <si>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</si>
  <si>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</si>
  <si>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</si>
  <si>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</si>
  <si>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</si>
  <si>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</si>
  <si>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</si>
  <si>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</si>
  <si>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</si>
  <si>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</si>
  <si>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</si>
  <si>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</si>
  <si>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</si>
  <si>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</si>
  <si>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</si>
  <si>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</si>
  <si>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</si>
  <si>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</si>
  <si>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</si>
  <si>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</si>
  <si>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</si>
  <si>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</si>
  <si>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</si>
  <si>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</si>
  <si>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</si>
  <si>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</si>
  <si>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</si>
  <si>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</si>
  <si>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</si>
  <si>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</si>
  <si>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</si>
  <si>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</si>
  <si>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</si>
  <si>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</si>
  <si>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100111</t>
  </si>
  <si>
    <t>Oil &amp; Natural Gas Corporation Ltd.</t>
  </si>
  <si>
    <t>INE213A01029</t>
  </si>
  <si>
    <t>Oil</t>
  </si>
  <si>
    <t>100177</t>
  </si>
  <si>
    <t>Grasim Industries Ltd.</t>
  </si>
  <si>
    <t>INE047A01021</t>
  </si>
  <si>
    <t>100174</t>
  </si>
  <si>
    <t>Vodafone Idea Ltd.</t>
  </si>
  <si>
    <t>INE669E01016</t>
  </si>
  <si>
    <t>102447</t>
  </si>
  <si>
    <t>Afcons Infrastructure Ltd.</t>
  </si>
  <si>
    <t>INE101I01011</t>
  </si>
  <si>
    <t>102135</t>
  </si>
  <si>
    <t>Le Travenues Technology Ltd.</t>
  </si>
  <si>
    <t>INE0HV901016</t>
  </si>
  <si>
    <t>Leisure Services</t>
  </si>
  <si>
    <t>100094</t>
  </si>
  <si>
    <t>Bharat Petroleum Corporation Ltd.</t>
  </si>
  <si>
    <t>INE029A01011</t>
  </si>
  <si>
    <t>100263</t>
  </si>
  <si>
    <t>BEML Ltd.</t>
  </si>
  <si>
    <t>INE258A01024</t>
  </si>
  <si>
    <t>Agricultural, Commercial &amp; Construction Vehicles</t>
  </si>
  <si>
    <t>100169</t>
  </si>
  <si>
    <t>Indian Oil Corporation Ltd.</t>
  </si>
  <si>
    <t>INE242A01010</t>
  </si>
  <si>
    <t>100418</t>
  </si>
  <si>
    <t>Adani Enterprises Ltd.</t>
  </si>
  <si>
    <t>INE423A01024</t>
  </si>
  <si>
    <t>Metals &amp; Minerals Trading</t>
  </si>
  <si>
    <t>101365</t>
  </si>
  <si>
    <t>Voltamp Transformers Ltd.</t>
  </si>
  <si>
    <t>INE540H01012</t>
  </si>
  <si>
    <t>Electrical Equipment</t>
  </si>
  <si>
    <t>100465</t>
  </si>
  <si>
    <t>Interglobe Aviation Ltd.</t>
  </si>
  <si>
    <t>INE646L01027</t>
  </si>
  <si>
    <t>Transport Services</t>
  </si>
  <si>
    <t>101184</t>
  </si>
  <si>
    <t>Mazagon Dock Shipbuilders Ltd.</t>
  </si>
  <si>
    <t>INE249Z01020</t>
  </si>
  <si>
    <t>Industrial Manufacturing</t>
  </si>
  <si>
    <t>100100</t>
  </si>
  <si>
    <t>Hindustan Petroleum Corporation Ltd.</t>
  </si>
  <si>
    <t>INE094A01015</t>
  </si>
  <si>
    <t>100694</t>
  </si>
  <si>
    <t>Indian Energy Exchange Ltd.</t>
  </si>
  <si>
    <t>INE022Q01020</t>
  </si>
  <si>
    <t>Capital Markets</t>
  </si>
  <si>
    <t>100292</t>
  </si>
  <si>
    <t>Steel Authority of India Ltd.</t>
  </si>
  <si>
    <t>INE114A01011</t>
  </si>
  <si>
    <t>Ferrous Metals</t>
  </si>
  <si>
    <t>100809</t>
  </si>
  <si>
    <t>Rites Ltd.</t>
  </si>
  <si>
    <t>INE320J01015</t>
  </si>
  <si>
    <t>100430</t>
  </si>
  <si>
    <t>Salzer Electronics Ltd.</t>
  </si>
  <si>
    <t>INE457F01013</t>
  </si>
  <si>
    <t>100014</t>
  </si>
  <si>
    <t>Mahindra &amp; Mahindra Ltd.</t>
  </si>
  <si>
    <t>INE101A01026</t>
  </si>
  <si>
    <t>Automobiles</t>
  </si>
  <si>
    <t>101949</t>
  </si>
  <si>
    <t>Samhi Hotels Ltd.</t>
  </si>
  <si>
    <t>INE08U801020</t>
  </si>
  <si>
    <t>102206</t>
  </si>
  <si>
    <t>Chemtech Industrial Valves Ltd.</t>
  </si>
  <si>
    <t>INE212P01011</t>
  </si>
  <si>
    <t>100498</t>
  </si>
  <si>
    <t>Ahluwalia Contracts (India) Ltd.</t>
  </si>
  <si>
    <t>INE758C01029</t>
  </si>
  <si>
    <t>100156</t>
  </si>
  <si>
    <t>Finolex Cables Ltd.</t>
  </si>
  <si>
    <t>INE235A01022</t>
  </si>
  <si>
    <t>Industrial Products</t>
  </si>
  <si>
    <t>100560</t>
  </si>
  <si>
    <t>NESCO Ltd.</t>
  </si>
  <si>
    <t>INE317F01035</t>
  </si>
  <si>
    <t>Commercial Services &amp; Supplies</t>
  </si>
  <si>
    <t>102220</t>
  </si>
  <si>
    <t>Interarch Building Solutions Ltd.</t>
  </si>
  <si>
    <t>INE00M901018</t>
  </si>
  <si>
    <t>100134</t>
  </si>
  <si>
    <t>Inox Wind Ltd.</t>
  </si>
  <si>
    <t>INE066P01011</t>
  </si>
  <si>
    <t>102094</t>
  </si>
  <si>
    <t>HBL Engineering Ltd.</t>
  </si>
  <si>
    <t>INE292B01021</t>
  </si>
  <si>
    <t>102611</t>
  </si>
  <si>
    <t>Kalpataru Ltd.</t>
  </si>
  <si>
    <t>INE227J01012</t>
  </si>
  <si>
    <t>Realty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</si>
  <si>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</si>
  <si>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</si>
  <si>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</si>
  <si>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</si>
  <si>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</si>
  <si>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</si>
  <si>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</si>
  <si>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</si>
  <si>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</si>
  <si>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</si>
  <si>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</si>
  <si>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</si>
  <si>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</si>
  <si>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</si>
  <si>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</si>
  <si>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</si>
  <si>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</si>
  <si>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</si>
  <si>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</si>
  <si>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</si>
  <si>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</si>
  <si>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</si>
  <si>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</si>
  <si>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</si>
  <si>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</si>
  <si>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</si>
  <si>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</si>
  <si>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</si>
  <si>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</si>
  <si>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</si>
  <si>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</si>
  <si>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 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</si>
  <si>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</si>
  <si>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</si>
  <si>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</si>
  <si>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</si>
  <si>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</si>
  <si>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</si>
  <si>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</si>
  <si>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</si>
  <si>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</si>
  <si>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January 31, 2026.</t>
  </si>
  <si>
    <t>7. The Scheme did not declare any bonus during the month ended as on January 31, 2026.</t>
  </si>
  <si>
    <t>8. Total outstanding exposure in derivative instruments as on January 31, 2026 is Nil</t>
  </si>
  <si>
    <t>9. Total investments in Foreign Securities /ADRs/GDRs /Overseas ETFs as on January 31, 2026 and its percentage to NAV is Nil.</t>
  </si>
  <si>
    <t>10. During the period, the portfolio turnover ratio is 0.69 times.</t>
  </si>
  <si>
    <t>      Portfolio Turnover Ratio = Lower of sales or purchase of securities divided by average AUM for 12 months ended as on January 31, 2026</t>
  </si>
  <si>
    <t>11. The Scheme did not invest in repo transactions of corporate debt securities during the month ended as on January 31, 2026.</t>
  </si>
  <si>
    <t>12.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</si>
  <si>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</si>
  <si>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</si>
  <si>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</si>
  <si>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</si>
  <si>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</si>
  <si>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</si>
  <si>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</si>
  <si>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</si>
  <si>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</si>
  <si>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</si>
  <si>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</si>
  <si>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</si>
  <si>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</si>
  <si>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January 30,2026 :63.87)</t>
  </si>
  <si>
    <t>Taurus Infrastructure Fund - Direct Plan Growth Option</t>
  </si>
  <si>
    <t>NAV [Rs.] Per Unit (as on January 30,2026 :68.74)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</si>
</sst>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7E6710B1-7CF8-4079-B777-F1DECE8F3A00}"/>
    <cellStyle name="Hyperlink" xfId="2" builtinId="8"/>
    <cellStyle name="Normal" xfId="0" builtinId="0"/>
    <cellStyle name="Normal 2" xfId="4" xr:uid="{75A03CEA-CE78-43D5-975C-282B49EE2C75}"/>
    <cellStyle name="Style 1" xfId="3" xr:uid="{1967256F-0FB8-4721-B94B-3DCA9FDA8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E5F0B7F8-FFFF-43D0-B71D-E5399735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593F-EF30-4762-85C7-6F9AFE81EBB7}"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46053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96.44</v>
      </c>
      <c r="I10" s="32">
        <v>10.99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67.62</v>
      </c>
      <c r="I11" s="32">
        <v>7.71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4802</v>
      </c>
      <c r="H12" s="32">
        <v>67.03</v>
      </c>
      <c r="I12" s="32">
        <v>7.64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43.28</v>
      </c>
      <c r="I13" s="32">
        <v>4.93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280</v>
      </c>
      <c r="H14" s="32">
        <v>35.56</v>
      </c>
      <c r="I14" s="32">
        <v>4.05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8787</v>
      </c>
      <c r="H15" s="32">
        <v>31.26</v>
      </c>
      <c r="I15" s="32">
        <v>3.56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11318</v>
      </c>
      <c r="H16" s="32">
        <v>30.44</v>
      </c>
      <c r="I16" s="32">
        <v>3.47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34</v>
      </c>
      <c r="G17" s="31">
        <v>1015</v>
      </c>
      <c r="H17" s="32">
        <v>28.61</v>
      </c>
      <c r="I17" s="32">
        <v>3.26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255518</v>
      </c>
      <c r="H18" s="32">
        <v>28.54</v>
      </c>
      <c r="I18" s="32">
        <v>3.25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8600</v>
      </c>
      <c r="H19" s="32">
        <v>28.52</v>
      </c>
      <c r="I19" s="32">
        <v>3.25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13619</v>
      </c>
      <c r="H20" s="32">
        <v>28.21</v>
      </c>
      <c r="I20" s="32">
        <v>3.22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26</v>
      </c>
      <c r="G21" s="31">
        <v>6894</v>
      </c>
      <c r="H21" s="32">
        <v>25.09</v>
      </c>
      <c r="I21" s="32">
        <v>2.86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1330</v>
      </c>
      <c r="H22" s="32">
        <v>23.87</v>
      </c>
      <c r="I22" s="32">
        <v>2.72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26</v>
      </c>
      <c r="G23" s="31">
        <v>14625</v>
      </c>
      <c r="H23" s="32">
        <v>23.85</v>
      </c>
      <c r="I23" s="32">
        <v>2.72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1171</v>
      </c>
      <c r="H24" s="32">
        <v>23.65</v>
      </c>
      <c r="I24" s="32">
        <v>2.7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293</v>
      </c>
      <c r="H25" s="32">
        <v>21.62</v>
      </c>
      <c r="I25" s="32">
        <v>2.4700000000000002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469</v>
      </c>
      <c r="H26" s="32">
        <v>21.56</v>
      </c>
      <c r="I26" s="32">
        <v>2.46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795</v>
      </c>
      <c r="H27" s="32">
        <v>20.45</v>
      </c>
      <c r="I27" s="32">
        <v>2.33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26</v>
      </c>
      <c r="G28" s="31">
        <v>4702</v>
      </c>
      <c r="H28" s="32">
        <v>20.07</v>
      </c>
      <c r="I28" s="32">
        <v>2.29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15410</v>
      </c>
      <c r="H29" s="32">
        <v>19.54</v>
      </c>
      <c r="I29" s="32">
        <v>2.23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12800</v>
      </c>
      <c r="H30" s="32">
        <v>19.329999999999998</v>
      </c>
      <c r="I30" s="32">
        <v>2.2000000000000002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8404</v>
      </c>
      <c r="H31" s="32">
        <v>19.190000000000001</v>
      </c>
      <c r="I31" s="32">
        <v>2.19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72</v>
      </c>
      <c r="G32" s="31">
        <v>3336</v>
      </c>
      <c r="H32" s="32">
        <v>18.850000000000001</v>
      </c>
      <c r="I32" s="32">
        <v>2.15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523</v>
      </c>
      <c r="H33" s="32">
        <v>17.95</v>
      </c>
      <c r="I33" s="32">
        <v>2.0499999999999998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54</v>
      </c>
      <c r="G34" s="31">
        <v>10392</v>
      </c>
      <c r="H34" s="32">
        <v>17.62</v>
      </c>
      <c r="I34" s="32">
        <v>2.0099999999999998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80</v>
      </c>
      <c r="G35" s="31">
        <v>25000</v>
      </c>
      <c r="H35" s="32">
        <v>17.489999999999998</v>
      </c>
      <c r="I35" s="32">
        <v>1.99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22</v>
      </c>
      <c r="G36" s="31">
        <v>2005</v>
      </c>
      <c r="H36" s="32">
        <v>17.440000000000001</v>
      </c>
      <c r="I36" s="32">
        <v>1.99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1903</v>
      </c>
      <c r="H37" s="32">
        <v>13.73</v>
      </c>
      <c r="I37" s="32">
        <v>1.57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815</v>
      </c>
      <c r="H38" s="32">
        <v>9.26</v>
      </c>
      <c r="I38" s="32">
        <v>1.06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463</v>
      </c>
      <c r="H39" s="32">
        <v>9.1</v>
      </c>
      <c r="I39" s="32">
        <v>1.04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72</v>
      </c>
      <c r="G40" s="31">
        <v>7672</v>
      </c>
      <c r="H40" s="32">
        <v>8.2899999999999991</v>
      </c>
      <c r="I40" s="32">
        <v>0.94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114</v>
      </c>
      <c r="G41" s="31">
        <v>1050</v>
      </c>
      <c r="H41" s="32">
        <v>8.2200000000000006</v>
      </c>
      <c r="I41" s="32">
        <v>0.94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1926</v>
      </c>
      <c r="H42" s="32">
        <v>6.37</v>
      </c>
      <c r="I42" s="32">
        <v>0.73</v>
      </c>
      <c r="J42" s="33"/>
    </row>
    <row r="43" spans="2:10" x14ac:dyDescent="0.25">
      <c r="C43" s="28" t="s">
        <v>132</v>
      </c>
      <c r="D43" s="29"/>
      <c r="E43" s="30"/>
      <c r="F43" s="30"/>
      <c r="G43" s="31"/>
      <c r="H43" s="35">
        <v>868.05</v>
      </c>
      <c r="I43" s="35">
        <v>98.97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133</v>
      </c>
      <c r="D45" s="29"/>
      <c r="E45" s="30"/>
      <c r="F45" s="30"/>
      <c r="G45" s="31"/>
      <c r="H45" s="32" t="s">
        <v>134</v>
      </c>
      <c r="I45" s="32" t="s">
        <v>134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135</v>
      </c>
      <c r="D47" s="29"/>
      <c r="E47" s="30"/>
      <c r="F47" s="30"/>
      <c r="G47" s="31"/>
      <c r="H47" s="32" t="s">
        <v>134</v>
      </c>
      <c r="I47" s="32" t="s">
        <v>134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136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137</v>
      </c>
      <c r="D51" s="29"/>
      <c r="E51" s="30"/>
      <c r="F51" s="30"/>
      <c r="G51" s="31"/>
      <c r="H51" s="32" t="s">
        <v>134</v>
      </c>
      <c r="I51" s="32" t="s">
        <v>134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138</v>
      </c>
      <c r="D53" s="29"/>
      <c r="E53" s="30"/>
      <c r="F53" s="30"/>
      <c r="G53" s="31"/>
      <c r="H53" s="32" t="s">
        <v>134</v>
      </c>
      <c r="I53" s="32" t="s">
        <v>134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139</v>
      </c>
      <c r="D55" s="29"/>
      <c r="E55" s="30"/>
      <c r="F55" s="30"/>
      <c r="G55" s="31"/>
      <c r="H55" s="32" t="s">
        <v>134</v>
      </c>
      <c r="I55" s="32" t="s">
        <v>134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140</v>
      </c>
      <c r="D57" s="29"/>
      <c r="E57" s="30"/>
      <c r="F57" s="30"/>
      <c r="G57" s="31"/>
      <c r="H57" s="32" t="s">
        <v>134</v>
      </c>
      <c r="I57" s="32" t="s">
        <v>134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141</v>
      </c>
      <c r="D59" s="29"/>
      <c r="E59" s="30"/>
      <c r="F59" s="30"/>
      <c r="G59" s="31"/>
      <c r="H59" s="32" t="s">
        <v>134</v>
      </c>
      <c r="I59" s="32" t="s">
        <v>134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142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143</v>
      </c>
      <c r="D63" s="29"/>
      <c r="E63" s="30"/>
      <c r="F63" s="30"/>
      <c r="G63" s="31"/>
      <c r="H63" s="32" t="s">
        <v>134</v>
      </c>
      <c r="I63" s="32" t="s">
        <v>134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144</v>
      </c>
      <c r="D65" s="29"/>
      <c r="E65" s="30"/>
      <c r="F65" s="30"/>
      <c r="G65" s="31"/>
      <c r="H65" s="32" t="s">
        <v>134</v>
      </c>
      <c r="I65" s="32" t="s">
        <v>134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145</v>
      </c>
      <c r="D67" s="29"/>
      <c r="E67" s="30"/>
      <c r="F67" s="30"/>
      <c r="G67" s="31"/>
      <c r="H67" s="32" t="s">
        <v>134</v>
      </c>
      <c r="I67" s="32" t="s">
        <v>134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146</v>
      </c>
      <c r="D69" s="29"/>
      <c r="E69" s="30"/>
      <c r="F69" s="30"/>
      <c r="G69" s="31"/>
      <c r="H69" s="32" t="s">
        <v>134</v>
      </c>
      <c r="I69" s="32" t="s">
        <v>134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147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148</v>
      </c>
      <c r="D73" s="29"/>
      <c r="E73" s="30"/>
      <c r="F73" s="30"/>
      <c r="G73" s="31"/>
      <c r="H73" s="32" t="s">
        <v>134</v>
      </c>
      <c r="I73" s="32" t="s">
        <v>134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149</v>
      </c>
      <c r="D75" s="29"/>
      <c r="E75" s="30"/>
      <c r="F75" s="30"/>
      <c r="G75" s="31"/>
      <c r="H75" s="32" t="s">
        <v>134</v>
      </c>
      <c r="I75" s="32" t="s">
        <v>134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150</v>
      </c>
      <c r="D77" s="29"/>
      <c r="E77" s="30"/>
      <c r="F77" s="30"/>
      <c r="G77" s="31"/>
      <c r="H77" s="32" t="s">
        <v>134</v>
      </c>
      <c r="I77" s="32" t="s">
        <v>134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151</v>
      </c>
      <c r="D79" s="29"/>
      <c r="E79" s="30"/>
      <c r="F79" s="30"/>
      <c r="G79" s="31"/>
      <c r="H79" s="32" t="s">
        <v>134</v>
      </c>
      <c r="I79" s="32" t="s">
        <v>134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152</v>
      </c>
      <c r="D81" s="29"/>
      <c r="E81" s="30"/>
      <c r="F81" s="30"/>
      <c r="G81" s="31"/>
      <c r="H81" s="32" t="s">
        <v>134</v>
      </c>
      <c r="I81" s="32" t="s">
        <v>134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153</v>
      </c>
      <c r="D83" s="29"/>
      <c r="E83" s="30"/>
      <c r="F83" s="30"/>
      <c r="G83" s="31"/>
      <c r="H83" s="32" t="s">
        <v>134</v>
      </c>
      <c r="I83" s="32" t="s">
        <v>134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154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155</v>
      </c>
      <c r="D86" s="29"/>
      <c r="E86" s="30"/>
      <c r="F86" s="30"/>
      <c r="G86" s="31"/>
      <c r="H86" s="32">
        <v>9.1</v>
      </c>
      <c r="I86" s="32">
        <v>1.03</v>
      </c>
      <c r="J86" s="33"/>
    </row>
    <row r="87" spans="1:10" x14ac:dyDescent="0.25">
      <c r="C87" s="28" t="s">
        <v>132</v>
      </c>
      <c r="D87" s="29"/>
      <c r="E87" s="30"/>
      <c r="F87" s="30"/>
      <c r="G87" s="31"/>
      <c r="H87" s="35">
        <v>9.1</v>
      </c>
      <c r="I87" s="35">
        <v>1.03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156</v>
      </c>
      <c r="D89" s="37"/>
      <c r="E89" s="38"/>
      <c r="F89" s="39"/>
      <c r="G89" s="40"/>
      <c r="H89" s="41">
        <v>877.15</v>
      </c>
      <c r="I89" s="41">
        <f>SUMIFS(I:I,C:C,"Total")</f>
        <v>100</v>
      </c>
      <c r="J89" s="42"/>
    </row>
    <row r="92" spans="1:10" x14ac:dyDescent="0.25">
      <c r="C92" s="11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43" t="s">
        <v>161</v>
      </c>
      <c r="D96" s="44"/>
      <c r="E96" s="44"/>
    </row>
    <row r="97" spans="3:5" x14ac:dyDescent="0.25">
      <c r="C97" s="43" t="s">
        <v>162</v>
      </c>
      <c r="D97" s="44"/>
      <c r="E97" s="44"/>
    </row>
    <row r="98" spans="3:5" ht="14.25" thickBot="1" x14ac:dyDescent="0.3">
      <c r="C98" s="43" t="s">
        <v>163</v>
      </c>
      <c r="D98" s="44"/>
      <c r="E98" s="44"/>
    </row>
    <row r="99" spans="3:5" ht="14.25" thickBot="1" x14ac:dyDescent="0.3">
      <c r="C99" s="45"/>
      <c r="D99" s="55" t="s">
        <v>164</v>
      </c>
      <c r="E99" s="56"/>
    </row>
    <row r="100" spans="3:5" x14ac:dyDescent="0.25">
      <c r="C100" s="46" t="s">
        <v>165</v>
      </c>
      <c r="D100" s="47" t="s">
        <v>166</v>
      </c>
      <c r="E100" s="48" t="s">
        <v>166</v>
      </c>
    </row>
    <row r="101" spans="3:5" ht="14.25" thickBot="1" x14ac:dyDescent="0.3">
      <c r="C101" s="49"/>
      <c r="D101" s="50" t="s">
        <v>167</v>
      </c>
      <c r="E101" s="51" t="s">
        <v>168</v>
      </c>
    </row>
    <row r="102" spans="3:5" ht="14.25" thickBot="1" x14ac:dyDescent="0.3">
      <c r="C102" s="52" t="s">
        <v>169</v>
      </c>
      <c r="D102" s="53">
        <v>63.37</v>
      </c>
      <c r="E102" s="53">
        <v>59.99</v>
      </c>
    </row>
    <row r="103" spans="3:5" ht="14.25" thickBot="1" x14ac:dyDescent="0.3">
      <c r="C103" s="52" t="s">
        <v>170</v>
      </c>
      <c r="D103" s="53">
        <v>67.459999999999994</v>
      </c>
      <c r="E103" s="53">
        <v>63.87</v>
      </c>
    </row>
    <row r="104" spans="3:5" ht="14.25" thickBot="1" x14ac:dyDescent="0.3">
      <c r="C104" s="52" t="s">
        <v>171</v>
      </c>
      <c r="D104" s="53">
        <v>67.58</v>
      </c>
      <c r="E104" s="53">
        <v>64.02</v>
      </c>
    </row>
    <row r="105" spans="3:5" ht="14.25" thickBot="1" x14ac:dyDescent="0.3">
      <c r="C105" s="52" t="s">
        <v>172</v>
      </c>
      <c r="D105" s="53">
        <v>72.569999999999993</v>
      </c>
      <c r="E105" s="53">
        <v>68.739999999999995</v>
      </c>
    </row>
    <row r="106" spans="3:5" x14ac:dyDescent="0.25">
      <c r="C106" s="44"/>
      <c r="D106" s="44"/>
      <c r="E106" s="44"/>
    </row>
    <row r="107" spans="3:5" x14ac:dyDescent="0.25">
      <c r="C107" s="43" t="s">
        <v>173</v>
      </c>
      <c r="D107" s="43"/>
      <c r="E107" s="54"/>
    </row>
    <row r="108" spans="3:5" x14ac:dyDescent="0.25">
      <c r="C108" s="43" t="s">
        <v>174</v>
      </c>
      <c r="D108" s="43"/>
      <c r="E108" s="54"/>
    </row>
    <row r="109" spans="3:5" x14ac:dyDescent="0.25">
      <c r="C109" s="43" t="s">
        <v>175</v>
      </c>
      <c r="D109" s="43"/>
      <c r="E109" s="54"/>
    </row>
    <row r="110" spans="3:5" x14ac:dyDescent="0.25">
      <c r="C110" s="43" t="s">
        <v>176</v>
      </c>
      <c r="D110" s="43"/>
      <c r="E110" s="43"/>
    </row>
    <row r="111" spans="3:5" x14ac:dyDescent="0.25">
      <c r="C111" s="43" t="s">
        <v>177</v>
      </c>
      <c r="D111" s="43"/>
      <c r="E111" s="44"/>
    </row>
    <row r="112" spans="3:5" x14ac:dyDescent="0.25">
      <c r="C112" s="43" t="s">
        <v>178</v>
      </c>
      <c r="D112" s="43"/>
      <c r="E112" s="43"/>
    </row>
    <row r="113" spans="3:5" x14ac:dyDescent="0.25">
      <c r="C113" s="43" t="s">
        <v>179</v>
      </c>
      <c r="D113" s="43"/>
      <c r="E113" s="43"/>
    </row>
    <row r="114" spans="3:5" x14ac:dyDescent="0.25">
      <c r="C114" s="43" t="s">
        <v>180</v>
      </c>
      <c r="D114" s="43"/>
      <c r="E114" s="43"/>
    </row>
    <row r="115" spans="3:5" ht="15" x14ac:dyDescent="0.25">
      <c r="C115" s="43" t="s">
        <v>181</v>
      </c>
      <c r="D115"/>
      <c r="E115"/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772C-3DC7-43E7-9DD5-77B75E5C260B}">
  <dimension ref="C3:M17"/>
  <sheetViews>
    <sheetView workbookViewId="0"/>
  </sheetViews>
  <sheetFormatPr defaultRowHeight="15" x14ac:dyDescent="0.25"/>
  <cols>
    <col min="3" max="3" width="44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7" t="s">
        <v>182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3:13" x14ac:dyDescent="0.25">
      <c r="C4" s="59" t="s">
        <v>183</v>
      </c>
      <c r="D4" s="60" t="s">
        <v>184</v>
      </c>
      <c r="E4" s="60"/>
      <c r="F4" s="60" t="s">
        <v>185</v>
      </c>
      <c r="G4" s="60"/>
      <c r="H4" s="60" t="s">
        <v>186</v>
      </c>
      <c r="I4" s="60"/>
      <c r="J4" s="61" t="s">
        <v>187</v>
      </c>
      <c r="K4" s="62"/>
      <c r="L4" s="63" t="s">
        <v>188</v>
      </c>
      <c r="M4" s="63"/>
    </row>
    <row r="5" spans="3:13" ht="63.75" x14ac:dyDescent="0.25">
      <c r="C5" s="64"/>
      <c r="D5" s="65" t="s">
        <v>189</v>
      </c>
      <c r="E5" s="65" t="s">
        <v>190</v>
      </c>
      <c r="F5" s="65" t="s">
        <v>189</v>
      </c>
      <c r="G5" s="65" t="s">
        <v>190</v>
      </c>
      <c r="H5" s="65" t="s">
        <v>189</v>
      </c>
      <c r="I5" s="65" t="s">
        <v>190</v>
      </c>
      <c r="J5" s="65" t="s">
        <v>189</v>
      </c>
      <c r="K5" s="65" t="s">
        <v>190</v>
      </c>
      <c r="L5" s="66" t="s">
        <v>189</v>
      </c>
      <c r="M5" s="66" t="s">
        <v>190</v>
      </c>
    </row>
    <row r="6" spans="3:13" x14ac:dyDescent="0.25">
      <c r="C6" s="67" t="s">
        <v>191</v>
      </c>
      <c r="D6" s="68">
        <v>2.7014</v>
      </c>
      <c r="E6" s="68">
        <v>10270.139893873613</v>
      </c>
      <c r="F6" s="68">
        <v>18.691299999999998</v>
      </c>
      <c r="G6" s="68">
        <v>16728.65374541645</v>
      </c>
      <c r="H6" s="68">
        <v>18.524899999999999</v>
      </c>
      <c r="I6" s="68">
        <v>23412.756598240467</v>
      </c>
      <c r="J6" s="68">
        <v>14.9444</v>
      </c>
      <c r="K6" s="68">
        <v>40321.969696969696</v>
      </c>
      <c r="L6" s="68">
        <v>10.2966</v>
      </c>
      <c r="M6" s="68">
        <v>63870</v>
      </c>
    </row>
    <row r="7" spans="3:13" x14ac:dyDescent="0.25">
      <c r="C7" s="67" t="s">
        <v>192</v>
      </c>
      <c r="D7" s="68">
        <v>12.2219</v>
      </c>
      <c r="E7" s="68">
        <v>11222.19</v>
      </c>
      <c r="F7" s="68">
        <v>23.191800000000001</v>
      </c>
      <c r="G7" s="68">
        <v>18695.858081473529</v>
      </c>
      <c r="H7" s="68">
        <v>21.287500000000001</v>
      </c>
      <c r="I7" s="68">
        <v>26247.033281701115</v>
      </c>
      <c r="J7" s="68">
        <v>15.7624</v>
      </c>
      <c r="K7" s="68">
        <v>20789.192001452502</v>
      </c>
      <c r="L7" s="68">
        <v>7.6718000000000002</v>
      </c>
      <c r="M7" s="68">
        <v>40493.65022419727</v>
      </c>
    </row>
    <row r="8" spans="3:13" x14ac:dyDescent="0.25">
      <c r="C8" s="67" t="s">
        <v>193</v>
      </c>
      <c r="D8" s="68">
        <v>10.217000000000001</v>
      </c>
      <c r="E8" s="68">
        <v>11021.7</v>
      </c>
      <c r="F8" s="68">
        <v>14.098599999999999</v>
      </c>
      <c r="G8" s="68">
        <v>14853.915426689055</v>
      </c>
      <c r="H8" s="68">
        <v>14.522399999999999</v>
      </c>
      <c r="I8" s="68">
        <v>19699.363947534817</v>
      </c>
      <c r="J8" s="68">
        <v>14.2287</v>
      </c>
      <c r="K8" s="68">
        <v>19448.054876599468</v>
      </c>
      <c r="L8" s="68">
        <v>12.225099999999999</v>
      </c>
      <c r="M8" s="68">
        <v>88660.518463796034</v>
      </c>
    </row>
    <row r="9" spans="3:13" x14ac:dyDescent="0.25">
      <c r="C9" s="67" t="s">
        <v>194</v>
      </c>
      <c r="D9" s="69">
        <v>62.19</v>
      </c>
      <c r="E9" s="70"/>
      <c r="F9" s="69">
        <v>38.18</v>
      </c>
      <c r="G9" s="70"/>
      <c r="H9" s="69">
        <v>27.28</v>
      </c>
      <c r="I9" s="70"/>
      <c r="J9" s="69">
        <v>15.84</v>
      </c>
      <c r="K9" s="70"/>
      <c r="L9" s="69">
        <v>10</v>
      </c>
      <c r="M9" s="70"/>
    </row>
    <row r="11" spans="3:13" ht="15.75" x14ac:dyDescent="0.25">
      <c r="C11" s="57" t="s">
        <v>195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3:13" x14ac:dyDescent="0.25">
      <c r="C12" s="59" t="s">
        <v>183</v>
      </c>
      <c r="D12" s="60" t="s">
        <v>184</v>
      </c>
      <c r="E12" s="60"/>
      <c r="F12" s="60" t="s">
        <v>185</v>
      </c>
      <c r="G12" s="60"/>
      <c r="H12" s="60" t="s">
        <v>186</v>
      </c>
      <c r="I12" s="60"/>
      <c r="J12" s="61" t="s">
        <v>187</v>
      </c>
      <c r="K12" s="62"/>
      <c r="L12" s="63" t="s">
        <v>188</v>
      </c>
      <c r="M12" s="63"/>
    </row>
    <row r="13" spans="3:13" ht="63.75" x14ac:dyDescent="0.25">
      <c r="C13" s="64"/>
      <c r="D13" s="65" t="s">
        <v>189</v>
      </c>
      <c r="E13" s="65" t="s">
        <v>190</v>
      </c>
      <c r="F13" s="65" t="s">
        <v>189</v>
      </c>
      <c r="G13" s="65" t="s">
        <v>190</v>
      </c>
      <c r="H13" s="65" t="s">
        <v>189</v>
      </c>
      <c r="I13" s="65" t="s">
        <v>190</v>
      </c>
      <c r="J13" s="65" t="s">
        <v>189</v>
      </c>
      <c r="K13" s="65" t="s">
        <v>190</v>
      </c>
      <c r="L13" s="66" t="s">
        <v>189</v>
      </c>
      <c r="M13" s="66" t="s">
        <v>190</v>
      </c>
    </row>
    <row r="14" spans="3:13" x14ac:dyDescent="0.25">
      <c r="C14" s="67" t="s">
        <v>191</v>
      </c>
      <c r="D14" s="68">
        <v>3.2442000000000002</v>
      </c>
      <c r="E14" s="68">
        <v>10324.421748272754</v>
      </c>
      <c r="F14" s="68">
        <v>19.275300000000001</v>
      </c>
      <c r="G14" s="68">
        <v>16977.031365769322</v>
      </c>
      <c r="H14" s="68">
        <v>19.064599999999999</v>
      </c>
      <c r="I14" s="68">
        <v>23951.219512195123</v>
      </c>
      <c r="J14" s="68">
        <v>15.5458</v>
      </c>
      <c r="K14" s="68">
        <v>42484.54882571075</v>
      </c>
      <c r="L14" s="68">
        <v>13.6332</v>
      </c>
      <c r="M14" s="68">
        <v>53619.344773790945</v>
      </c>
    </row>
    <row r="15" spans="3:13" x14ac:dyDescent="0.25">
      <c r="C15" s="67" t="s">
        <v>192</v>
      </c>
      <c r="D15" s="68">
        <v>12.2219</v>
      </c>
      <c r="E15" s="68">
        <v>11222.19</v>
      </c>
      <c r="F15" s="68">
        <v>23.191800000000001</v>
      </c>
      <c r="G15" s="68">
        <v>18695.858081473529</v>
      </c>
      <c r="H15" s="68">
        <v>21.287500000000001</v>
      </c>
      <c r="I15" s="68">
        <v>26247.033281701115</v>
      </c>
      <c r="J15" s="68">
        <v>15.7624</v>
      </c>
      <c r="K15" s="68">
        <v>20789.192001452502</v>
      </c>
      <c r="L15" s="68">
        <v>11.4716</v>
      </c>
      <c r="M15" s="68">
        <v>41413.389955772356</v>
      </c>
    </row>
    <row r="16" spans="3:13" x14ac:dyDescent="0.25">
      <c r="C16" s="67" t="s">
        <v>193</v>
      </c>
      <c r="D16" s="68">
        <v>10.217000000000001</v>
      </c>
      <c r="E16" s="68">
        <v>11021.7</v>
      </c>
      <c r="F16" s="68">
        <v>14.098599999999999</v>
      </c>
      <c r="G16" s="68">
        <v>14853.915426689055</v>
      </c>
      <c r="H16" s="68">
        <v>14.522399999999999</v>
      </c>
      <c r="I16" s="68">
        <v>19699.363947534817</v>
      </c>
      <c r="J16" s="68">
        <v>14.2287</v>
      </c>
      <c r="K16" s="68">
        <v>19448.054876599468</v>
      </c>
      <c r="L16" s="68">
        <v>13.0009</v>
      </c>
      <c r="M16" s="68">
        <v>49496.336759310369</v>
      </c>
    </row>
    <row r="17" spans="3:13" x14ac:dyDescent="0.25">
      <c r="C17" s="67" t="s">
        <v>196</v>
      </c>
      <c r="D17" s="69">
        <v>66.58</v>
      </c>
      <c r="E17" s="70"/>
      <c r="F17" s="69">
        <v>40.49</v>
      </c>
      <c r="G17" s="70"/>
      <c r="H17" s="69">
        <v>28.7</v>
      </c>
      <c r="I17" s="70"/>
      <c r="J17" s="69">
        <v>16.18</v>
      </c>
      <c r="K17" s="70"/>
      <c r="L17" s="69">
        <v>12.82</v>
      </c>
      <c r="M17" s="70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2026-02-06T11:30:17Z</dcterms:created>
  <dcterms:modified xsi:type="dcterms:W3CDTF">2026-02-06T13:06:46Z</dcterms:modified>
</cp:coreProperties>
</file>