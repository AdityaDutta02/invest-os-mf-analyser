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5C7FF5B0-622E-4EAB-873D-9986016CB818}" xr6:coauthVersionLast="47" xr6:coauthVersionMax="47" xr10:uidLastSave="{00000000-0000-0000-0000-000000000000}"/>
  <bookViews>
    <workbookView xWindow="-120" yWindow="-120" windowWidth="20730" windowHeight="11160" xr2:uid="{4D61B63E-8776-43D9-81BD-E3EE47064844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TEF!$C$8:$C$53</definedName>
    <definedName name="XDO_?FINAL_ISIN?5?">TEF!$D$10:$D$53</definedName>
    <definedName name="XDO_?FINAL_ISIN?6?">TEF!$D$10:$D$95</definedName>
    <definedName name="XDO_?FINAL_MV?5?">TEF!$H$10:$H$53</definedName>
    <definedName name="XDO_?FINAL_MV?6?">TEF!$H$10:$H$95</definedName>
    <definedName name="XDO_?FINAL_NAME?5?">TEF!$C$10:$C$53</definedName>
    <definedName name="XDO_?FINAL_NAME?6?">TEF!$C$10:$C$95</definedName>
    <definedName name="XDO_?FINAL_PER_NET?5?">TEF!$I$10:$I$53</definedName>
    <definedName name="XDO_?FINAL_PER_NET?6?">TEF!$I$10:$I$95</definedName>
    <definedName name="XDO_?FINAL_QUANTITE?5?">TEF!$G$10:$G$53</definedName>
    <definedName name="XDO_?FINAL_QUANTITE?6?">TEF!$G$10:$G$95</definedName>
    <definedName name="XDO_?IND_01?5?">TEF!$F$10:$F$53</definedName>
    <definedName name="XDO_?IND_01?6?">TEF!$F$10:$F$95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TEF!$C$2:$C$53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TEF!$B$10:$B$53</definedName>
    <definedName name="XDO_?NOVAL?6?">TEF!$B$10:$B$95</definedName>
    <definedName name="XDO_?NPTF?3?">TEF!$D$2:$D$53</definedName>
    <definedName name="XDO_?RATING?5?">TEF!$E$10:$E$53</definedName>
    <definedName name="XDO_?RATING?6?">TEF!$E$10:$E$95</definedName>
    <definedName name="XDO_?REMARKS?5?">TEF!$J$10:$J$53</definedName>
    <definedName name="XDO_?REMARKS?6?">TEF!$J$10:$J$95</definedName>
    <definedName name="XDO_?TITL?3?">TEF!$A$8:$A$53</definedName>
    <definedName name="XDO_GROUP_?G_2?3?">TEF!$2:$98</definedName>
    <definedName name="XDO_GROUP_?G_3?3?">TEF!$8:$97</definedName>
    <definedName name="XDO_GROUP_?G_4?5?">TEF!$B$10:$IV$53</definedName>
    <definedName name="XDO_GROUP_?G_4?6?">TEF!$B$95:$IV$95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 l="1"/>
</calcChain>
</file>

<file path=xl/sharedStrings.xml><?xml version="1.0" encoding="utf-8"?>
<sst xmlns="http://schemas.openxmlformats.org/spreadsheetml/2006/main" count="287" uniqueCount="214">
  <si>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</si>
  <si>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</si>
  <si>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</si>
  <si>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</si>
  <si>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</si>
  <si>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</si>
  <si>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</si>
  <si>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</si>
  <si>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</si>
  <si>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</si>
  <si>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</si>
  <si>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</si>
  <si>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</si>
  <si>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</si>
  <si>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</si>
  <si>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</si>
  <si>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</si>
  <si>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</si>
  <si>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</si>
  <si>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</si>
  <si>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</si>
  <si>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</si>
  <si>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</si>
  <si>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</si>
  <si>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</si>
  <si>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</si>
  <si>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</si>
  <si>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100003</t>
  </si>
  <si>
    <t>Infosys Ltd.</t>
  </si>
  <si>
    <t>INE009A01021</t>
  </si>
  <si>
    <t>100032</t>
  </si>
  <si>
    <t>Tata Consultancy Services Ltd.</t>
  </si>
  <si>
    <t>INE467B01029</t>
  </si>
  <si>
    <t>100147</t>
  </si>
  <si>
    <t>Tech Mahindra Ltd.</t>
  </si>
  <si>
    <t>INE669C01036</t>
  </si>
  <si>
    <t>100474</t>
  </si>
  <si>
    <t>Narayana Hrudayalaya Ltd.</t>
  </si>
  <si>
    <t>INE410P01011</t>
  </si>
  <si>
    <t>Healthcare Services</t>
  </si>
  <si>
    <t>100153</t>
  </si>
  <si>
    <t>Cipla Ltd.</t>
  </si>
  <si>
    <t>INE059A01026</t>
  </si>
  <si>
    <t>Pharmaceuticals &amp; Biotechnology</t>
  </si>
  <si>
    <t>100164</t>
  </si>
  <si>
    <t>Petronet LNG Ltd.</t>
  </si>
  <si>
    <t>INE347G01014</t>
  </si>
  <si>
    <t>Gas</t>
  </si>
  <si>
    <t>100271</t>
  </si>
  <si>
    <t>Balkrishna Industries Ltd.</t>
  </si>
  <si>
    <t>INE787D01026</t>
  </si>
  <si>
    <t>Auto Components</t>
  </si>
  <si>
    <t>100020</t>
  </si>
  <si>
    <t>Tata Consumer Products Ltd.</t>
  </si>
  <si>
    <t>INE192A01025</t>
  </si>
  <si>
    <t>Agricultural Food &amp; other Products</t>
  </si>
  <si>
    <t>100133</t>
  </si>
  <si>
    <t>Oracle Financial Services Software Ltd.</t>
  </si>
  <si>
    <t>INE881D01027</t>
  </si>
  <si>
    <t>100008</t>
  </si>
  <si>
    <t>Sun Pharmaceutical Industries Ltd.</t>
  </si>
  <si>
    <t>INE044A01036</t>
  </si>
  <si>
    <t>100035</t>
  </si>
  <si>
    <t>NMDC Ltd.</t>
  </si>
  <si>
    <t>INE584A01023</t>
  </si>
  <si>
    <t>Minerals &amp; Mining</t>
  </si>
  <si>
    <t>100027</t>
  </si>
  <si>
    <t>Pidilite Industries Ltd.</t>
  </si>
  <si>
    <t>INE318A01026</t>
  </si>
  <si>
    <t>Chemicals &amp; Petrochemicals</t>
  </si>
  <si>
    <t>100099</t>
  </si>
  <si>
    <t>Hindustan Unilever Ltd.</t>
  </si>
  <si>
    <t>INE030A01027</t>
  </si>
  <si>
    <t>Diversified FMCG</t>
  </si>
  <si>
    <t>100442</t>
  </si>
  <si>
    <t>Coromandel International Ltd.</t>
  </si>
  <si>
    <t>INE169A01031</t>
  </si>
  <si>
    <t>Fertilizers &amp; Agrochemicals</t>
  </si>
  <si>
    <t>100089</t>
  </si>
  <si>
    <t>Bharat Electronics Ltd.</t>
  </si>
  <si>
    <t>INE263A01024</t>
  </si>
  <si>
    <t>Aerospace &amp; Defense</t>
  </si>
  <si>
    <t>100029</t>
  </si>
  <si>
    <t>Mphasis Ltd.</t>
  </si>
  <si>
    <t>INE356A01018</t>
  </si>
  <si>
    <t>100106</t>
  </si>
  <si>
    <t>Maruti Suzuki India Ltd.</t>
  </si>
  <si>
    <t>INE585B01010</t>
  </si>
  <si>
    <t>Automobiles</t>
  </si>
  <si>
    <t>100132</t>
  </si>
  <si>
    <t>Info Edge (India) Ltd.</t>
  </si>
  <si>
    <t>INE663F01024</t>
  </si>
  <si>
    <t>Retailing</t>
  </si>
  <si>
    <t>100018</t>
  </si>
  <si>
    <t>Tata Communications Ltd.</t>
  </si>
  <si>
    <t>INE151A01013</t>
  </si>
  <si>
    <t>Telecom - Services</t>
  </si>
  <si>
    <t>100004</t>
  </si>
  <si>
    <t>Zydus Lifesciences Ltd.</t>
  </si>
  <si>
    <t>INE010B01027</t>
  </si>
  <si>
    <t>100944</t>
  </si>
  <si>
    <t>Mishra Dhatu Nigam Ltd.</t>
  </si>
  <si>
    <t>INE099Z01011</t>
  </si>
  <si>
    <t>100176</t>
  </si>
  <si>
    <t>GAIL (India) Ltd.</t>
  </si>
  <si>
    <t>INE129A01019</t>
  </si>
  <si>
    <t>100155</t>
  </si>
  <si>
    <t>Divi's Laboratories Ltd.</t>
  </si>
  <si>
    <t>INE361B01024</t>
  </si>
  <si>
    <t>100565</t>
  </si>
  <si>
    <t>Glaxosmithkline Pharmaceuticals Ltd.</t>
  </si>
  <si>
    <t>INE159A01016</t>
  </si>
  <si>
    <t>100130</t>
  </si>
  <si>
    <t>Gujarat Gas Ltd.</t>
  </si>
  <si>
    <t>INE844O01030</t>
  </si>
  <si>
    <t>100096</t>
  </si>
  <si>
    <t>Container Corporation of India Ltd.</t>
  </si>
  <si>
    <t>INE111A01025</t>
  </si>
  <si>
    <t>Transport Services</t>
  </si>
  <si>
    <t>100080</t>
  </si>
  <si>
    <t>Dr. Reddy's Laboratories Ltd.</t>
  </si>
  <si>
    <t>INE089A01023</t>
  </si>
  <si>
    <t>100635</t>
  </si>
  <si>
    <t>L&amp;T Technology Services Ltd.</t>
  </si>
  <si>
    <t>INE010V01017</t>
  </si>
  <si>
    <t>IT - Services</t>
  </si>
  <si>
    <t>100293</t>
  </si>
  <si>
    <t>AIA Engineering Ltd.</t>
  </si>
  <si>
    <t>INE212H01026</t>
  </si>
  <si>
    <t>Industrial Products</t>
  </si>
  <si>
    <t>100534</t>
  </si>
  <si>
    <t>Sheela Foam Ltd.</t>
  </si>
  <si>
    <t>INE916U01025</t>
  </si>
  <si>
    <t>Consumer Durables</t>
  </si>
  <si>
    <t>100093</t>
  </si>
  <si>
    <t>Blue Dart Express Ltd.</t>
  </si>
  <si>
    <t>INE233B01017</t>
  </si>
  <si>
    <t>100090</t>
  </si>
  <si>
    <t>Bharat Forge Ltd.</t>
  </si>
  <si>
    <t>INE465A01025</t>
  </si>
  <si>
    <t>100172</t>
  </si>
  <si>
    <t>ACC Ltd.</t>
  </si>
  <si>
    <t>INE012A01025</t>
  </si>
  <si>
    <t>Cement &amp; Cement Products</t>
  </si>
  <si>
    <t>100031</t>
  </si>
  <si>
    <t>Bayer Cropscience Ltd.</t>
  </si>
  <si>
    <t>INE462A01022</t>
  </si>
  <si>
    <t>100342</t>
  </si>
  <si>
    <t>Vardhman Textiles Ltd.</t>
  </si>
  <si>
    <t>INE825A01020</t>
  </si>
  <si>
    <t>Textiles &amp; Apparels</t>
  </si>
  <si>
    <t>100830</t>
  </si>
  <si>
    <t>Varun Beverages Ltd.</t>
  </si>
  <si>
    <t>INE200M01021</t>
  </si>
  <si>
    <t>Beverages</t>
  </si>
  <si>
    <t>100045</t>
  </si>
  <si>
    <t>Gujarat Pipavav Port Ltd.</t>
  </si>
  <si>
    <t>INE517F01014</t>
  </si>
  <si>
    <t>Transport Infrastructure</t>
  </si>
  <si>
    <t>100283</t>
  </si>
  <si>
    <t>Honeywell Automation India Ltd.</t>
  </si>
  <si>
    <t>INE671A01010</t>
  </si>
  <si>
    <t>Industrial Manufacturing</t>
  </si>
  <si>
    <t>100473</t>
  </si>
  <si>
    <t>Aarti Industries Ltd.</t>
  </si>
  <si>
    <t>INE769A01020</t>
  </si>
  <si>
    <t>100514</t>
  </si>
  <si>
    <t>Grindwell Norton Ltd.</t>
  </si>
  <si>
    <t>INE536A01023</t>
  </si>
  <si>
    <t>100159</t>
  </si>
  <si>
    <t>Sanofi India Ltd.</t>
  </si>
  <si>
    <t>INE058A01010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</si>
  <si>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</si>
  <si>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</si>
  <si>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</si>
  <si>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</si>
  <si>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</si>
  <si>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</si>
  <si>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</si>
  <si>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</si>
  <si>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</si>
  <si>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</si>
  <si>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</si>
  <si>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</si>
  <si>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</si>
  <si>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</si>
  <si>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</si>
  <si>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</si>
  <si>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</si>
  <si>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</si>
  <si>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</si>
  <si>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</si>
  <si>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</si>
  <si>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</si>
  <si>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</si>
  <si>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</si>
  <si>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</si>
  <si>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</si>
  <si>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</si>
  <si>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</si>
  <si>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</si>
  <si>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</si>
  <si>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</si>
  <si>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</si>
  <si>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</si>
  <si>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</si>
  <si>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</si>
  <si>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</si>
  <si>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</si>
  <si>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</si>
  <si>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</si>
  <si>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November 30, 2023 : 101.13)</t>
  </si>
  <si>
    <t>Taurus Ethical Fund - Direct Plan Growth Option</t>
  </si>
  <si>
    <t>NAV [Rs.] Per Unit  (as on November 30, 2023 : 111.53)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</si>
</sst>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0" borderId="0" xfId="0" applyFont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37AEF87-52DE-40D7-A5B3-A240F73A6AA3}"/>
    <cellStyle name="Hyperlink" xfId="2" builtinId="8"/>
    <cellStyle name="Normal" xfId="0" builtinId="0"/>
    <cellStyle name="Normal 2" xfId="4" xr:uid="{A0DD2E86-7F0D-4A60-9986-7361D5147D4E}"/>
    <cellStyle name="Style 1" xfId="3" xr:uid="{069CB6D0-07CF-46BC-AA95-A379028AA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5E150061-53BC-42D0-B4DE-3CE4FAB8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0F76-2F52-40EB-AA7D-511CC4AB78FD}">
  <dimension ref="A1:BB10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7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61267</v>
      </c>
      <c r="H10" s="32">
        <v>821.16</v>
      </c>
      <c r="I10" s="32">
        <v>6.53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30367</v>
      </c>
      <c r="H11" s="32">
        <v>721.64</v>
      </c>
      <c r="I11" s="32">
        <v>5.74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20770</v>
      </c>
      <c r="H12" s="32">
        <v>582.82000000000005</v>
      </c>
      <c r="I12" s="32">
        <v>4.6399999999999997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38815</v>
      </c>
      <c r="H13" s="32">
        <v>564.87</v>
      </c>
      <c r="I13" s="32">
        <v>4.49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15245</v>
      </c>
      <c r="H14" s="32">
        <v>532.57000000000005</v>
      </c>
      <c r="I14" s="32">
        <v>4.24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34086</v>
      </c>
      <c r="H15" s="32">
        <v>416.05</v>
      </c>
      <c r="I15" s="32">
        <v>3.31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29770</v>
      </c>
      <c r="H16" s="32">
        <v>365.16</v>
      </c>
      <c r="I16" s="32">
        <v>2.9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29372</v>
      </c>
      <c r="H17" s="32">
        <v>355.84</v>
      </c>
      <c r="I17" s="32">
        <v>2.83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171525</v>
      </c>
      <c r="H18" s="32">
        <v>347.94</v>
      </c>
      <c r="I18" s="32">
        <v>2.77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13407</v>
      </c>
      <c r="H19" s="32">
        <v>345.74</v>
      </c>
      <c r="I19" s="32">
        <v>2.75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36157</v>
      </c>
      <c r="H20" s="32">
        <v>340.26</v>
      </c>
      <c r="I20" s="32">
        <v>2.71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7993</v>
      </c>
      <c r="H21" s="32">
        <v>320.63</v>
      </c>
      <c r="I21" s="32">
        <v>2.5499999999999998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43</v>
      </c>
      <c r="G22" s="31">
        <v>25000</v>
      </c>
      <c r="H22" s="32">
        <v>306.79000000000002</v>
      </c>
      <c r="I22" s="32">
        <v>2.44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166650</v>
      </c>
      <c r="H23" s="32">
        <v>302.3</v>
      </c>
      <c r="I23" s="32">
        <v>2.4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11809</v>
      </c>
      <c r="H24" s="32">
        <v>301.45</v>
      </c>
      <c r="I24" s="32">
        <v>2.4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11408</v>
      </c>
      <c r="H25" s="32">
        <v>290.52999999999997</v>
      </c>
      <c r="I25" s="32">
        <v>2.31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23768</v>
      </c>
      <c r="H26" s="32">
        <v>276.2</v>
      </c>
      <c r="I26" s="32">
        <v>2.2000000000000002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182312</v>
      </c>
      <c r="H27" s="32">
        <v>265.89999999999998</v>
      </c>
      <c r="I27" s="32">
        <v>2.11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18</v>
      </c>
      <c r="G28" s="31">
        <v>11133</v>
      </c>
      <c r="H28" s="32">
        <v>262.13</v>
      </c>
      <c r="I28" s="32">
        <v>2.08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2440</v>
      </c>
      <c r="H29" s="32">
        <v>258.74</v>
      </c>
      <c r="I29" s="32">
        <v>2.06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5603</v>
      </c>
      <c r="H30" s="32">
        <v>258.45999999999998</v>
      </c>
      <c r="I30" s="32">
        <v>2.06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14775</v>
      </c>
      <c r="H31" s="32">
        <v>252.1</v>
      </c>
      <c r="I31" s="32">
        <v>2.0099999999999998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43</v>
      </c>
      <c r="G32" s="31">
        <v>37887</v>
      </c>
      <c r="H32" s="32">
        <v>241.66</v>
      </c>
      <c r="I32" s="32">
        <v>1.92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81</v>
      </c>
      <c r="G33" s="31">
        <v>63316</v>
      </c>
      <c r="H33" s="32">
        <v>237.66</v>
      </c>
      <c r="I33" s="32">
        <v>1.89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47</v>
      </c>
      <c r="G34" s="31">
        <v>177835</v>
      </c>
      <c r="H34" s="32">
        <v>234.12</v>
      </c>
      <c r="I34" s="32">
        <v>1.86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43</v>
      </c>
      <c r="G35" s="31">
        <v>5530</v>
      </c>
      <c r="H35" s="32">
        <v>209.42</v>
      </c>
      <c r="I35" s="32">
        <v>1.67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43</v>
      </c>
      <c r="G36" s="31">
        <v>12003</v>
      </c>
      <c r="H36" s="32">
        <v>198.76</v>
      </c>
      <c r="I36" s="32">
        <v>1.58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47</v>
      </c>
      <c r="G37" s="31">
        <v>44857</v>
      </c>
      <c r="H37" s="32">
        <v>194.28</v>
      </c>
      <c r="I37" s="32">
        <v>1.55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22872</v>
      </c>
      <c r="H38" s="32">
        <v>177.48</v>
      </c>
      <c r="I38" s="32">
        <v>1.41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43</v>
      </c>
      <c r="G39" s="31">
        <v>3050</v>
      </c>
      <c r="H39" s="32">
        <v>176.53</v>
      </c>
      <c r="I39" s="32">
        <v>1.4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3680</v>
      </c>
      <c r="H40" s="32">
        <v>175.4</v>
      </c>
      <c r="I40" s="32">
        <v>1.4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4614</v>
      </c>
      <c r="H41" s="32">
        <v>165.86</v>
      </c>
      <c r="I41" s="32">
        <v>1.32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14021</v>
      </c>
      <c r="H42" s="32">
        <v>160.97</v>
      </c>
      <c r="I42" s="32">
        <v>1.28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118</v>
      </c>
      <c r="G43" s="31">
        <v>2080</v>
      </c>
      <c r="H43" s="32">
        <v>147.35</v>
      </c>
      <c r="I43" s="32">
        <v>1.17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129</v>
      </c>
      <c r="G44" s="31">
        <v>13000</v>
      </c>
      <c r="H44" s="32">
        <v>145.66</v>
      </c>
      <c r="I44" s="32">
        <v>1.1599999999999999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7622</v>
      </c>
      <c r="H45" s="32">
        <v>143</v>
      </c>
      <c r="I45" s="32">
        <v>1.1399999999999999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77</v>
      </c>
      <c r="G46" s="31">
        <v>2461</v>
      </c>
      <c r="H46" s="32">
        <v>132.29</v>
      </c>
      <c r="I46" s="32">
        <v>1.05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31552</v>
      </c>
      <c r="H47" s="32">
        <v>127.99</v>
      </c>
      <c r="I47" s="32">
        <v>1.02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11454</v>
      </c>
      <c r="H48" s="32">
        <v>126.61</v>
      </c>
      <c r="I48" s="32">
        <v>1.01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72134</v>
      </c>
      <c r="H49" s="32">
        <v>101.75</v>
      </c>
      <c r="I49" s="32">
        <v>0.81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249</v>
      </c>
      <c r="H50" s="32">
        <v>91.27</v>
      </c>
      <c r="I50" s="32">
        <v>0.73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69</v>
      </c>
      <c r="G51" s="31">
        <v>9322</v>
      </c>
      <c r="H51" s="32">
        <v>51.67</v>
      </c>
      <c r="I51" s="32">
        <v>0.41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129</v>
      </c>
      <c r="G52" s="31">
        <v>2447</v>
      </c>
      <c r="H52" s="32">
        <v>51.18</v>
      </c>
      <c r="I52" s="32">
        <v>0.41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43</v>
      </c>
      <c r="G53" s="31">
        <v>600</v>
      </c>
      <c r="H53" s="32">
        <v>48.14</v>
      </c>
      <c r="I53" s="32">
        <v>0.38</v>
      </c>
      <c r="J53" s="33"/>
    </row>
    <row r="54" spans="2:10" x14ac:dyDescent="0.25">
      <c r="C54" s="28" t="s">
        <v>172</v>
      </c>
      <c r="D54" s="29"/>
      <c r="E54" s="30"/>
      <c r="F54" s="30"/>
      <c r="G54" s="31"/>
      <c r="H54" s="35">
        <v>11828.33</v>
      </c>
      <c r="I54" s="35">
        <v>94.1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173</v>
      </c>
      <c r="D56" s="29"/>
      <c r="E56" s="30"/>
      <c r="F56" s="30"/>
      <c r="G56" s="31"/>
      <c r="H56" s="32" t="s">
        <v>174</v>
      </c>
      <c r="I56" s="32" t="s">
        <v>174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175</v>
      </c>
      <c r="D58" s="29"/>
      <c r="E58" s="30"/>
      <c r="F58" s="30"/>
      <c r="G58" s="31"/>
      <c r="H58" s="32" t="s">
        <v>174</v>
      </c>
      <c r="I58" s="32" t="s">
        <v>174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176</v>
      </c>
      <c r="D60" s="29"/>
      <c r="E60" s="30"/>
      <c r="F60" s="30"/>
      <c r="G60" s="31"/>
      <c r="H60" s="32"/>
      <c r="I60" s="32"/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177</v>
      </c>
      <c r="D62" s="29"/>
      <c r="E62" s="30"/>
      <c r="F62" s="30"/>
      <c r="G62" s="31"/>
      <c r="H62" s="32" t="s">
        <v>174</v>
      </c>
      <c r="I62" s="32" t="s">
        <v>174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178</v>
      </c>
      <c r="D64" s="29"/>
      <c r="E64" s="30"/>
      <c r="F64" s="30"/>
      <c r="G64" s="31"/>
      <c r="H64" s="32" t="s">
        <v>174</v>
      </c>
      <c r="I64" s="32" t="s">
        <v>174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179</v>
      </c>
      <c r="D66" s="29"/>
      <c r="E66" s="30"/>
      <c r="F66" s="30"/>
      <c r="G66" s="31"/>
      <c r="H66" s="32" t="s">
        <v>174</v>
      </c>
      <c r="I66" s="32" t="s">
        <v>174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180</v>
      </c>
      <c r="D68" s="29"/>
      <c r="E68" s="30"/>
      <c r="F68" s="30"/>
      <c r="G68" s="31"/>
      <c r="H68" s="32" t="s">
        <v>174</v>
      </c>
      <c r="I68" s="32" t="s">
        <v>174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181</v>
      </c>
      <c r="D70" s="29"/>
      <c r="E70" s="30"/>
      <c r="F70" s="30"/>
      <c r="G70" s="31"/>
      <c r="H70" s="32" t="s">
        <v>174</v>
      </c>
      <c r="I70" s="32" t="s">
        <v>174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182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183</v>
      </c>
      <c r="D74" s="29"/>
      <c r="E74" s="30"/>
      <c r="F74" s="30"/>
      <c r="G74" s="31"/>
      <c r="H74" s="32" t="s">
        <v>174</v>
      </c>
      <c r="I74" s="32" t="s">
        <v>174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184</v>
      </c>
      <c r="D76" s="29"/>
      <c r="E76" s="30"/>
      <c r="F76" s="30"/>
      <c r="G76" s="31"/>
      <c r="H76" s="32" t="s">
        <v>174</v>
      </c>
      <c r="I76" s="32" t="s">
        <v>174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185</v>
      </c>
      <c r="D78" s="29"/>
      <c r="E78" s="30"/>
      <c r="F78" s="30"/>
      <c r="G78" s="31"/>
      <c r="H78" s="32" t="s">
        <v>174</v>
      </c>
      <c r="I78" s="32" t="s">
        <v>174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186</v>
      </c>
      <c r="D80" s="29"/>
      <c r="E80" s="30"/>
      <c r="F80" s="30"/>
      <c r="G80" s="31"/>
      <c r="H80" s="32" t="s">
        <v>174</v>
      </c>
      <c r="I80" s="32" t="s">
        <v>174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187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188</v>
      </c>
      <c r="D84" s="29"/>
      <c r="E84" s="30"/>
      <c r="F84" s="30"/>
      <c r="G84" s="31"/>
      <c r="H84" s="32" t="s">
        <v>174</v>
      </c>
      <c r="I84" s="32" t="s">
        <v>174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189</v>
      </c>
      <c r="D86" s="29"/>
      <c r="E86" s="30"/>
      <c r="F86" s="30"/>
      <c r="G86" s="31"/>
      <c r="H86" s="32" t="s">
        <v>174</v>
      </c>
      <c r="I86" s="32" t="s">
        <v>174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190</v>
      </c>
      <c r="D88" s="29"/>
      <c r="E88" s="30"/>
      <c r="F88" s="30"/>
      <c r="G88" s="31"/>
      <c r="H88" s="32" t="s">
        <v>174</v>
      </c>
      <c r="I88" s="32" t="s">
        <v>174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191</v>
      </c>
      <c r="D90" s="29"/>
      <c r="E90" s="30"/>
      <c r="F90" s="30"/>
      <c r="G90" s="31"/>
      <c r="H90" s="32" t="s">
        <v>174</v>
      </c>
      <c r="I90" s="32" t="s">
        <v>174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192</v>
      </c>
      <c r="D92" s="29"/>
      <c r="E92" s="30"/>
      <c r="F92" s="30"/>
      <c r="G92" s="31"/>
      <c r="H92" s="32" t="s">
        <v>174</v>
      </c>
      <c r="I92" s="32" t="s">
        <v>174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A94" s="26"/>
      <c r="B94" s="27"/>
      <c r="C94" s="28" t="s">
        <v>193</v>
      </c>
      <c r="D94" s="29"/>
      <c r="E94" s="30"/>
      <c r="F94" s="30"/>
      <c r="G94" s="31"/>
      <c r="H94" s="32"/>
      <c r="I94" s="32"/>
      <c r="J94" s="33"/>
    </row>
    <row r="95" spans="1:10" x14ac:dyDescent="0.25">
      <c r="B95" s="1"/>
      <c r="C95" s="20" t="s">
        <v>194</v>
      </c>
      <c r="D95" s="29"/>
      <c r="E95" s="30"/>
      <c r="F95" s="30"/>
      <c r="G95" s="31"/>
      <c r="H95" s="32">
        <v>744.64</v>
      </c>
      <c r="I95" s="32">
        <v>5.9</v>
      </c>
      <c r="J95" s="33"/>
    </row>
    <row r="96" spans="1:10" x14ac:dyDescent="0.25">
      <c r="C96" s="28" t="s">
        <v>172</v>
      </c>
      <c r="D96" s="29"/>
      <c r="E96" s="30"/>
      <c r="F96" s="30"/>
      <c r="G96" s="31"/>
      <c r="H96" s="35">
        <v>744.64</v>
      </c>
      <c r="I96" s="35">
        <v>5.9</v>
      </c>
      <c r="J96" s="33"/>
    </row>
    <row r="97" spans="3:10" x14ac:dyDescent="0.25">
      <c r="C97" s="20"/>
      <c r="D97" s="29"/>
      <c r="E97" s="30"/>
      <c r="F97" s="30"/>
      <c r="G97" s="31"/>
      <c r="H97" s="32"/>
      <c r="I97" s="32"/>
      <c r="J97" s="33"/>
    </row>
    <row r="98" spans="3:10" ht="14.25" thickBot="1" x14ac:dyDescent="0.3">
      <c r="C98" s="36" t="s">
        <v>195</v>
      </c>
      <c r="D98" s="37"/>
      <c r="E98" s="38"/>
      <c r="F98" s="39"/>
      <c r="G98" s="40"/>
      <c r="H98" s="41">
        <v>12572.97</v>
      </c>
      <c r="I98" s="41">
        <f>SUMIFS(I:I,C:C,"Total")</f>
        <v>100</v>
      </c>
      <c r="J98" s="42"/>
    </row>
    <row r="101" spans="3:10" x14ac:dyDescent="0.25">
      <c r="C101" s="11" t="s">
        <v>196</v>
      </c>
    </row>
    <row r="102" spans="3:10" x14ac:dyDescent="0.25">
      <c r="C102" s="2" t="s">
        <v>197</v>
      </c>
    </row>
    <row r="103" spans="3:10" x14ac:dyDescent="0.25">
      <c r="C103" s="2" t="s">
        <v>198</v>
      </c>
    </row>
    <row r="104" spans="3:10" x14ac:dyDescent="0.25">
      <c r="C104" s="2" t="s">
        <v>199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AF64-BD9B-48B6-BABE-23F5F035F35A}">
  <dimension ref="B4:K18"/>
  <sheetViews>
    <sheetView workbookViewId="0"/>
  </sheetViews>
  <sheetFormatPr defaultRowHeight="15" x14ac:dyDescent="0.25"/>
  <cols>
    <col min="2" max="2" width="57.1406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4" spans="2:11" ht="15.75" x14ac:dyDescent="0.25">
      <c r="B4" s="43" t="s">
        <v>200</v>
      </c>
      <c r="C4" s="44"/>
      <c r="D4" s="44"/>
      <c r="E4" s="44"/>
      <c r="F4" s="44"/>
      <c r="G4" s="44"/>
      <c r="H4" s="44"/>
      <c r="I4" s="44"/>
      <c r="J4" s="44"/>
      <c r="K4" s="44"/>
    </row>
    <row r="5" spans="2:11" x14ac:dyDescent="0.25">
      <c r="B5" s="45" t="s">
        <v>201</v>
      </c>
      <c r="C5" s="52" t="s">
        <v>202</v>
      </c>
      <c r="D5" s="52"/>
      <c r="E5" s="52" t="s">
        <v>203</v>
      </c>
      <c r="F5" s="52"/>
      <c r="G5" s="52" t="s">
        <v>204</v>
      </c>
      <c r="H5" s="52"/>
      <c r="I5" s="52" t="s">
        <v>205</v>
      </c>
      <c r="J5" s="52"/>
      <c r="K5" s="46"/>
    </row>
    <row r="6" spans="2:11" ht="63.75" x14ac:dyDescent="0.25">
      <c r="B6" s="47"/>
      <c r="C6" s="48" t="s">
        <v>206</v>
      </c>
      <c r="D6" s="48" t="s">
        <v>207</v>
      </c>
      <c r="E6" s="48" t="s">
        <v>206</v>
      </c>
      <c r="F6" s="48" t="s">
        <v>207</v>
      </c>
      <c r="G6" s="48" t="s">
        <v>206</v>
      </c>
      <c r="H6" s="48" t="s">
        <v>207</v>
      </c>
      <c r="I6" s="48" t="s">
        <v>206</v>
      </c>
      <c r="J6" s="48" t="s">
        <v>207</v>
      </c>
      <c r="K6" s="49"/>
    </row>
    <row r="7" spans="2:11" x14ac:dyDescent="0.25">
      <c r="B7" s="50" t="s">
        <v>208</v>
      </c>
      <c r="C7" s="51">
        <v>14.478152592257176</v>
      </c>
      <c r="D7" s="51">
        <v>11447.815259225717</v>
      </c>
      <c r="E7" s="51">
        <v>17.118141160940393</v>
      </c>
      <c r="F7" s="51">
        <v>16085.573405439796</v>
      </c>
      <c r="G7" s="51">
        <v>15.123996751012903</v>
      </c>
      <c r="H7" s="51">
        <v>20230.04600920184</v>
      </c>
      <c r="I7" s="51">
        <v>17.09318382167875</v>
      </c>
      <c r="J7" s="51">
        <v>101130</v>
      </c>
    </row>
    <row r="8" spans="2:11" x14ac:dyDescent="0.25">
      <c r="B8" s="50" t="s">
        <v>209</v>
      </c>
      <c r="C8" s="51">
        <v>10.202271452074063</v>
      </c>
      <c r="D8" s="51">
        <v>11020.227145207406</v>
      </c>
      <c r="E8" s="51">
        <v>17.574957427576642</v>
      </c>
      <c r="F8" s="51">
        <v>16253.409989367192</v>
      </c>
      <c r="G8" s="51">
        <v>16.80342352458424</v>
      </c>
      <c r="H8" s="51">
        <v>21740.917146770862</v>
      </c>
      <c r="I8" s="51">
        <v>16.559375210606287</v>
      </c>
      <c r="J8" s="51">
        <v>94536.679245386505</v>
      </c>
    </row>
    <row r="9" spans="2:11" x14ac:dyDescent="0.25">
      <c r="B9" s="50" t="s">
        <v>210</v>
      </c>
      <c r="C9" s="51">
        <v>8.4665975705390917</v>
      </c>
      <c r="D9" s="51">
        <v>10846.659757053909</v>
      </c>
      <c r="E9" s="51">
        <v>17.118015846042802</v>
      </c>
      <c r="F9" s="51">
        <v>16064.644470298446</v>
      </c>
      <c r="G9" s="51">
        <v>14.451605518387399</v>
      </c>
      <c r="H9" s="51">
        <v>19638.551254443326</v>
      </c>
      <c r="I9" s="51">
        <v>14.600533682225404</v>
      </c>
      <c r="J9" s="51">
        <v>73738.170691941865</v>
      </c>
    </row>
    <row r="10" spans="2:11" x14ac:dyDescent="0.25">
      <c r="B10" s="50" t="s">
        <v>211</v>
      </c>
      <c r="C10" s="53">
        <v>88.34</v>
      </c>
      <c r="D10" s="54"/>
      <c r="E10" s="53">
        <v>62.87</v>
      </c>
      <c r="F10" s="54"/>
      <c r="G10" s="53">
        <v>49.99</v>
      </c>
      <c r="H10" s="54"/>
      <c r="I10" s="53">
        <v>10</v>
      </c>
      <c r="J10" s="54"/>
    </row>
    <row r="12" spans="2:11" ht="15.75" x14ac:dyDescent="0.25">
      <c r="B12" s="43" t="s">
        <v>212</v>
      </c>
      <c r="C12" s="44"/>
      <c r="D12" s="44"/>
      <c r="E12" s="44"/>
      <c r="F12" s="44"/>
      <c r="G12" s="44"/>
      <c r="H12" s="44"/>
      <c r="I12" s="44"/>
      <c r="J12" s="44"/>
      <c r="K12" s="44"/>
    </row>
    <row r="13" spans="2:11" x14ac:dyDescent="0.25">
      <c r="B13" s="45" t="s">
        <v>201</v>
      </c>
      <c r="C13" s="52" t="s">
        <v>202</v>
      </c>
      <c r="D13" s="52"/>
      <c r="E13" s="52" t="s">
        <v>203</v>
      </c>
      <c r="F13" s="52"/>
      <c r="G13" s="52" t="s">
        <v>204</v>
      </c>
      <c r="H13" s="52"/>
      <c r="I13" s="52" t="s">
        <v>205</v>
      </c>
      <c r="J13" s="52"/>
      <c r="K13" s="46"/>
    </row>
    <row r="14" spans="2:11" ht="63.75" x14ac:dyDescent="0.25">
      <c r="B14" s="47"/>
      <c r="C14" s="48" t="s">
        <v>206</v>
      </c>
      <c r="D14" s="48" t="s">
        <v>207</v>
      </c>
      <c r="E14" s="48" t="s">
        <v>206</v>
      </c>
      <c r="F14" s="48" t="s">
        <v>207</v>
      </c>
      <c r="G14" s="48" t="s">
        <v>206</v>
      </c>
      <c r="H14" s="48" t="s">
        <v>207</v>
      </c>
      <c r="I14" s="48" t="s">
        <v>206</v>
      </c>
      <c r="J14" s="48" t="s">
        <v>207</v>
      </c>
      <c r="K14" s="49"/>
    </row>
    <row r="15" spans="2:11" x14ac:dyDescent="0.25">
      <c r="B15" s="50" t="s">
        <v>208</v>
      </c>
      <c r="C15" s="51">
        <v>15.923500675605462</v>
      </c>
      <c r="D15" s="51">
        <v>11592.350067560545</v>
      </c>
      <c r="E15" s="51">
        <v>18.336560740376374</v>
      </c>
      <c r="F15" s="51">
        <v>16594.256807022764</v>
      </c>
      <c r="G15" s="51">
        <v>16.365707132789396</v>
      </c>
      <c r="H15" s="51">
        <v>21345.454545454548</v>
      </c>
      <c r="I15" s="51">
        <v>15.349207993203628</v>
      </c>
      <c r="J15" s="51">
        <v>47540.494458653026</v>
      </c>
    </row>
    <row r="16" spans="2:11" x14ac:dyDescent="0.25">
      <c r="B16" s="50" t="s">
        <v>209</v>
      </c>
      <c r="C16" s="51">
        <v>10.202271452074063</v>
      </c>
      <c r="D16" s="51">
        <v>11020.227145207406</v>
      </c>
      <c r="E16" s="51">
        <v>17.574957427576642</v>
      </c>
      <c r="F16" s="51">
        <v>16253.409989367192</v>
      </c>
      <c r="G16" s="51">
        <v>16.80342352458424</v>
      </c>
      <c r="H16" s="51">
        <v>21740.917146770862</v>
      </c>
      <c r="I16" s="51">
        <v>15.983017759072604</v>
      </c>
      <c r="J16" s="51">
        <v>50471.447260687455</v>
      </c>
    </row>
    <row r="17" spans="2:10" x14ac:dyDescent="0.25">
      <c r="B17" s="50" t="s">
        <v>210</v>
      </c>
      <c r="C17" s="51">
        <v>8.4665975705390917</v>
      </c>
      <c r="D17" s="51">
        <v>10846.659757053909</v>
      </c>
      <c r="E17" s="51">
        <v>17.118015846042802</v>
      </c>
      <c r="F17" s="51">
        <v>16064.644470298446</v>
      </c>
      <c r="G17" s="51">
        <v>14.451605518387399</v>
      </c>
      <c r="H17" s="51">
        <v>19638.551254443326</v>
      </c>
      <c r="I17" s="51">
        <v>13.187679545772401</v>
      </c>
      <c r="J17" s="51">
        <v>38669.52823357498</v>
      </c>
    </row>
    <row r="18" spans="2:10" x14ac:dyDescent="0.25">
      <c r="B18" s="50" t="s">
        <v>213</v>
      </c>
      <c r="C18" s="53">
        <v>96.21</v>
      </c>
      <c r="D18" s="54"/>
      <c r="E18" s="53">
        <v>67.209999999999994</v>
      </c>
      <c r="F18" s="54"/>
      <c r="G18" s="53">
        <v>52.25</v>
      </c>
      <c r="H18" s="54"/>
      <c r="I18" s="53">
        <v>23.46</v>
      </c>
      <c r="J18" s="54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2023-12-01T11:46:27Z</dcterms:created>
  <dcterms:modified xsi:type="dcterms:W3CDTF">2023-12-07T04:10:57Z</dcterms:modified>
</cp:coreProperties>
</file>