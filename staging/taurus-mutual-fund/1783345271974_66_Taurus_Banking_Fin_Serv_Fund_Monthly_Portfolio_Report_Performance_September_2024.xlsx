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7. Oct 2024\Portfolio\Ops\"/>
    </mc:Choice>
  </mc:AlternateContent>
  <xr:revisionPtr revIDLastSave="0" documentId="13_ncr:1_{B3734885-AEC9-4565-B5B5-AF7FCC536ECE}" xr6:coauthVersionLast="47" xr6:coauthVersionMax="47" xr10:uidLastSave="{00000000-0000-0000-0000-000000000000}"/>
  <bookViews>
    <workbookView xWindow="-120" yWindow="-120" windowWidth="20730" windowHeight="11040" xr2:uid="{D4DC61BA-FEB5-4511-9517-A5E69BA73A1F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TBFS!$C$8:$C$30</definedName>
    <definedName name="XDO_?FINAL_ISIN?1?">TBFS!$D$10:$D$30</definedName>
    <definedName name="XDO_?FINAL_ISIN?2?">TBFS!$D$10:$D$74</definedName>
    <definedName name="XDO_?FINAL_MV?1?">TBFS!$H$10:$H$30</definedName>
    <definedName name="XDO_?FINAL_MV?2?">TBFS!$H$10:$H$74</definedName>
    <definedName name="XDO_?FINAL_NAME?1?">TBFS!$C$10:$C$30</definedName>
    <definedName name="XDO_?FINAL_NAME?2?">TBFS!$C$10:$C$74</definedName>
    <definedName name="XDO_?FINAL_PER_NET?1?">TBFS!$I$10:$I$30</definedName>
    <definedName name="XDO_?FINAL_PER_NET?2?">TBFS!$I$10:$I$74</definedName>
    <definedName name="XDO_?FINAL_QUANTITE?1?">TBFS!$G$10:$G$30</definedName>
    <definedName name="XDO_?FINAL_QUANTITE?2?">TBFS!$G$10:$G$74</definedName>
    <definedName name="XDO_?IND_01?1?">TBFS!$F$10:$F$30</definedName>
    <definedName name="XDO_?IND_01?2?">TBFS!$F$10:$F$74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TBFS!$C$2:$C$30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TBFS!$B$10:$B$30</definedName>
    <definedName name="XDO_?NOVAL?2?">TBFS!$B$10:$B$74</definedName>
    <definedName name="XDO_?NPTF?1?">TBFS!$D$2:$D$30</definedName>
    <definedName name="XDO_?RATING?1?">TBFS!$E$10:$E$30</definedName>
    <definedName name="XDO_?RATING?2?">TBFS!$E$10:$E$74</definedName>
    <definedName name="XDO_?REMARKS?1?">TBFS!$J$10:$J$30</definedName>
    <definedName name="XDO_?REMARKS?2?">TBFS!$J$10:$J$74</definedName>
    <definedName name="XDO_?TITL?1?">TBFS!$A$8:$A$30</definedName>
    <definedName name="XDO_GROUP_?G_2?1?">TBFS!$2:$77</definedName>
    <definedName name="XDO_GROUP_?G_3?1?">TBFS!$8:$76</definedName>
    <definedName name="XDO_GROUP_?G_4?1?">TBFS!$B$10:$IV$30</definedName>
    <definedName name="XDO_GROUP_?G_4?2?">TBFS!$B$74:$IV$74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1" l="1"/>
</calcChain>
</file>

<file path=xl/sharedStrings.xml><?xml version="1.0" encoding="utf-8"?>
<sst xmlns="http://schemas.openxmlformats.org/spreadsheetml/2006/main" count="220" uniqueCount="146">
  <si>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</si>
  <si>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</si>
  <si>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</si>
  <si>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</si>
  <si>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</si>
  <si>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</si>
  <si>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</si>
  <si>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</si>
  <si>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</si>
  <si>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</si>
  <si>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</si>
  <si>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</si>
  <si>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</si>
  <si>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</si>
  <si>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</si>
  <si>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</si>
  <si>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</si>
  <si>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</si>
  <si>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</si>
  <si>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</si>
  <si>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</si>
  <si>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</si>
  <si>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</si>
  <si>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</si>
  <si>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</si>
  <si>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</si>
  <si>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</si>
  <si>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</si>
  <si>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</si>
  <si>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</si>
  <si>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</si>
  <si>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100361</t>
  </si>
  <si>
    <t>Bank of India</t>
  </si>
  <si>
    <t>INE084A01016</t>
  </si>
  <si>
    <t>100013</t>
  </si>
  <si>
    <t>IndusInd Bank Ltd.</t>
  </si>
  <si>
    <t>INE095A01012</t>
  </si>
  <si>
    <t>100325</t>
  </si>
  <si>
    <t>Bajaj Holdings &amp; Investment Ltd.</t>
  </si>
  <si>
    <t>INE118A01012</t>
  </si>
  <si>
    <t>Finance</t>
  </si>
  <si>
    <t>100706</t>
  </si>
  <si>
    <t>HDFC Life Insurance Company Ltd.</t>
  </si>
  <si>
    <t>INE795G01014</t>
  </si>
  <si>
    <t>Insurance</t>
  </si>
  <si>
    <t>101740</t>
  </si>
  <si>
    <t>Prudent Corporate Advisory Services Ltd.</t>
  </si>
  <si>
    <t>INE00F201020</t>
  </si>
  <si>
    <t>Capital Markets</t>
  </si>
  <si>
    <t>101210</t>
  </si>
  <si>
    <t>Credit Access Grameen Ltd.</t>
  </si>
  <si>
    <t>INE741K01010</t>
  </si>
  <si>
    <t>101178</t>
  </si>
  <si>
    <t>Computer Age Management Services Ltd.</t>
  </si>
  <si>
    <t>INE596I01012</t>
  </si>
  <si>
    <t>101181</t>
  </si>
  <si>
    <t>UTI Asset Management Co. Ltd.</t>
  </si>
  <si>
    <t>INE094J01016</t>
  </si>
  <si>
    <t>100055</t>
  </si>
  <si>
    <t>The Federal Bank Ltd.</t>
  </si>
  <si>
    <t>INE171A01029</t>
  </si>
  <si>
    <t>100191</t>
  </si>
  <si>
    <t>Canara Bank</t>
  </si>
  <si>
    <t>INE476A01022</t>
  </si>
  <si>
    <t>100665</t>
  </si>
  <si>
    <t>Aditya Birla Capital Ltd.</t>
  </si>
  <si>
    <t>INE674K01013</t>
  </si>
  <si>
    <t>100399</t>
  </si>
  <si>
    <t>Cholamandalam Investment &amp; Finance Co. Ltd.</t>
  </si>
  <si>
    <t>INE121A01024</t>
  </si>
  <si>
    <t>100211</t>
  </si>
  <si>
    <t>IDFC First Bank Ltd.</t>
  </si>
  <si>
    <t>INE092T01019</t>
  </si>
  <si>
    <t>101632</t>
  </si>
  <si>
    <t>Angel One Ltd.</t>
  </si>
  <si>
    <t>INE732I01013</t>
  </si>
  <si>
    <t>100663</t>
  </si>
  <si>
    <t>AU Small Finance Bank Ltd.</t>
  </si>
  <si>
    <t>INE949L01017</t>
  </si>
  <si>
    <t>100073</t>
  </si>
  <si>
    <t>CARE Ratings Ltd.</t>
  </si>
  <si>
    <t>INE752H01013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</si>
  <si>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</si>
  <si>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</si>
  <si>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</si>
  <si>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</si>
  <si>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</si>
  <si>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</si>
  <si>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</si>
  <si>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</si>
  <si>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</si>
  <si>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</si>
  <si>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</si>
  <si>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</si>
  <si>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</si>
  <si>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</si>
  <si>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</si>
  <si>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</si>
  <si>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</si>
  <si>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</si>
  <si>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</si>
  <si>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</si>
  <si>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</si>
  <si>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</si>
  <si>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</si>
  <si>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</si>
  <si>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</si>
  <si>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</si>
  <si>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</si>
  <si>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(1). Non Convertible Debentures and  Bonds are considered as Traded based on information provided by external agencies.</t>
  </si>
  <si>
    <t>(2).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</si>
  <si>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</si>
  <si>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</si>
  <si>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</si>
  <si>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</si>
  <si>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</si>
  <si>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</si>
  <si>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August 30, 2024</t>
  </si>
  <si>
    <t>September 30,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</si>
  <si>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</si>
  <si>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</si>
  <si>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</si>
  <si>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</si>
  <si>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September 30, 2024.</t>
  </si>
  <si>
    <t>(7) The Scheme did not declare any bonus during the month ended As on  September 30, 2024.</t>
  </si>
  <si>
    <t>(8) Total outstanding exposure in derivative instruments as on As on  September 30, 2024 is Nil</t>
  </si>
  <si>
    <t>(9) Total investments in Foreign Securities /ADRs/GDRs /Overseas ETFs as at As on  September 30, 2024 and its percentage to NAV is Nil.</t>
  </si>
  <si>
    <t>(10) During the period, the portfolio turnover ratio is 0.31 times.</t>
  </si>
  <si>
    <t>      Portfolio Turnover Ratio = Lower of sales or purchase of securities divided by average AUM for 12 months ended As on  September 30, 2024</t>
  </si>
  <si>
    <t>(11) The Scheme did not invest in repo transactions of corporate debt securities during the month ended As on  September 30, 2024.</t>
  </si>
  <si>
    <t>(12) The Scheme did not invest in credit default swaps during the month ended As on  September 30, 2024.</t>
  </si>
  <si>
    <t>(13) There are Nil instances of deviation from the valuation principles/guidelines during the month ended as on September 30th, 2024.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</si>
  <si>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</si>
  <si>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</si>
  <si>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</si>
  <si>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</si>
  <si>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</si>
  <si>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</si>
  <si>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</si>
  <si>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</si>
  <si>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</si>
  <si>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</si>
  <si>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</si>
  <si>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September 30, 2024 : 51.70)</t>
  </si>
  <si>
    <t>Taurus Banking &amp; Financial Services Fund - Direct Plan Growth Option</t>
  </si>
  <si>
    <t>NAV [Rs.] Per Unit (as on September 30, 2024 : 57.42)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</si>
</sst>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9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167" fontId="3" fillId="0" borderId="0" xfId="0" applyNumberFormat="1" applyFont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3E194E3D-B238-492E-B38B-BD64A7AD30E5}"/>
    <cellStyle name="Hyperlink" xfId="2" builtinId="8"/>
    <cellStyle name="Normal" xfId="0" builtinId="0"/>
    <cellStyle name="Normal 2" xfId="4" xr:uid="{6B65AF2D-76D0-48CF-869E-4DC90C1937D6}"/>
    <cellStyle name="Style 1" xfId="3" xr:uid="{D85A5EF8-F039-4640-BC61-3A119E3F15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285290</xdr:colOff>
      <xdr:row>0</xdr:row>
      <xdr:rowOff>2127250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183987-E527-44C4-8519-DCD52A6CF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037457" cy="212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Sep_2024\Client%20Report\TMF_Monthly_Portfolio_Report_September%2024.xls" TargetMode="External"/><Relationship Id="rId1" Type="http://schemas.openxmlformats.org/officeDocument/2006/relationships/externalLinkPath" Target="file:///Q:\5.TMF\Reporting\Monthly%20Reports\Monthly%20Portfolio\2024-25\Sep_2024\Client%20Report\TMF_Monthly_Portfolio_Report_Sept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17CB-A0D4-437B-BD15-EE97E8D31120}">
  <dimension ref="A1:BB10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45565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12857</v>
      </c>
      <c r="H10" s="32">
        <v>222.68</v>
      </c>
      <c r="I10" s="32">
        <v>19.63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213.84</v>
      </c>
      <c r="I11" s="32">
        <v>18.850000000000001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16568</v>
      </c>
      <c r="H12" s="32">
        <v>130.49</v>
      </c>
      <c r="I12" s="32">
        <v>11.5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9110</v>
      </c>
      <c r="H13" s="32">
        <v>112.28</v>
      </c>
      <c r="I13" s="32">
        <v>9.9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3916</v>
      </c>
      <c r="H14" s="32">
        <v>72.540000000000006</v>
      </c>
      <c r="I14" s="32">
        <v>6.39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52889</v>
      </c>
      <c r="H15" s="32">
        <v>58.55</v>
      </c>
      <c r="I15" s="32">
        <v>5.16</v>
      </c>
      <c r="J15" s="33"/>
    </row>
    <row r="16" spans="1:54" x14ac:dyDescent="0.25">
      <c r="B16" s="1" t="s">
        <v>34</v>
      </c>
      <c r="C16" s="20" t="s">
        <v>35</v>
      </c>
      <c r="D16" s="29" t="s">
        <v>36</v>
      </c>
      <c r="E16" s="30"/>
      <c r="F16" s="30" t="s">
        <v>18</v>
      </c>
      <c r="G16" s="31">
        <v>2636</v>
      </c>
      <c r="H16" s="32">
        <v>38.17</v>
      </c>
      <c r="I16" s="32">
        <v>3.36</v>
      </c>
      <c r="J16" s="33"/>
    </row>
    <row r="17" spans="2:10" x14ac:dyDescent="0.25">
      <c r="B17" s="1" t="s">
        <v>37</v>
      </c>
      <c r="C17" s="20" t="s">
        <v>38</v>
      </c>
      <c r="D17" s="29" t="s">
        <v>39</v>
      </c>
      <c r="E17" s="30"/>
      <c r="F17" s="30" t="s">
        <v>40</v>
      </c>
      <c r="G17" s="31">
        <v>346</v>
      </c>
      <c r="H17" s="32">
        <v>36.36</v>
      </c>
      <c r="I17" s="32">
        <v>3.2</v>
      </c>
      <c r="J17" s="33"/>
    </row>
    <row r="18" spans="2:10" x14ac:dyDescent="0.25">
      <c r="B18" s="1" t="s">
        <v>41</v>
      </c>
      <c r="C18" s="20" t="s">
        <v>42</v>
      </c>
      <c r="D18" s="29" t="s">
        <v>43</v>
      </c>
      <c r="E18" s="30"/>
      <c r="F18" s="30" t="s">
        <v>44</v>
      </c>
      <c r="G18" s="31">
        <v>3981</v>
      </c>
      <c r="H18" s="32">
        <v>28.55</v>
      </c>
      <c r="I18" s="32">
        <v>2.52</v>
      </c>
      <c r="J18" s="33"/>
    </row>
    <row r="19" spans="2:10" x14ac:dyDescent="0.25">
      <c r="B19" s="1" t="s">
        <v>45</v>
      </c>
      <c r="C19" s="20" t="s">
        <v>46</v>
      </c>
      <c r="D19" s="29" t="s">
        <v>47</v>
      </c>
      <c r="E19" s="30"/>
      <c r="F19" s="30" t="s">
        <v>48</v>
      </c>
      <c r="G19" s="31">
        <v>1097</v>
      </c>
      <c r="H19" s="32">
        <v>28.47</v>
      </c>
      <c r="I19" s="32">
        <v>2.5099999999999998</v>
      </c>
      <c r="J19" s="33"/>
    </row>
    <row r="20" spans="2:10" x14ac:dyDescent="0.25">
      <c r="B20" s="1" t="s">
        <v>49</v>
      </c>
      <c r="C20" s="20" t="s">
        <v>50</v>
      </c>
      <c r="D20" s="29" t="s">
        <v>51</v>
      </c>
      <c r="E20" s="30"/>
      <c r="F20" s="30" t="s">
        <v>40</v>
      </c>
      <c r="G20" s="31">
        <v>2008</v>
      </c>
      <c r="H20" s="32">
        <v>24.04</v>
      </c>
      <c r="I20" s="32">
        <v>2.12</v>
      </c>
      <c r="J20" s="33"/>
    </row>
    <row r="21" spans="2:10" x14ac:dyDescent="0.25">
      <c r="B21" s="1" t="s">
        <v>52</v>
      </c>
      <c r="C21" s="20" t="s">
        <v>53</v>
      </c>
      <c r="D21" s="29" t="s">
        <v>54</v>
      </c>
      <c r="E21" s="30"/>
      <c r="F21" s="30" t="s">
        <v>48</v>
      </c>
      <c r="G21" s="31">
        <v>536</v>
      </c>
      <c r="H21" s="32">
        <v>23.63</v>
      </c>
      <c r="I21" s="32">
        <v>2.08</v>
      </c>
      <c r="J21" s="33"/>
    </row>
    <row r="22" spans="2:10" x14ac:dyDescent="0.25">
      <c r="B22" s="1" t="s">
        <v>55</v>
      </c>
      <c r="C22" s="20" t="s">
        <v>56</v>
      </c>
      <c r="D22" s="29" t="s">
        <v>57</v>
      </c>
      <c r="E22" s="30"/>
      <c r="F22" s="30" t="s">
        <v>48</v>
      </c>
      <c r="G22" s="31">
        <v>1899</v>
      </c>
      <c r="H22" s="32">
        <v>23.54</v>
      </c>
      <c r="I22" s="32">
        <v>2.0699999999999998</v>
      </c>
      <c r="J22" s="33"/>
    </row>
    <row r="23" spans="2:10" x14ac:dyDescent="0.25">
      <c r="B23" s="1" t="s">
        <v>58</v>
      </c>
      <c r="C23" s="20" t="s">
        <v>59</v>
      </c>
      <c r="D23" s="29" t="s">
        <v>60</v>
      </c>
      <c r="E23" s="30"/>
      <c r="F23" s="30" t="s">
        <v>18</v>
      </c>
      <c r="G23" s="31">
        <v>11415</v>
      </c>
      <c r="H23" s="32">
        <v>22.45</v>
      </c>
      <c r="I23" s="32">
        <v>1.98</v>
      </c>
      <c r="J23" s="33"/>
    </row>
    <row r="24" spans="2:10" x14ac:dyDescent="0.25">
      <c r="B24" s="1" t="s">
        <v>61</v>
      </c>
      <c r="C24" s="20" t="s">
        <v>62</v>
      </c>
      <c r="D24" s="29" t="s">
        <v>63</v>
      </c>
      <c r="E24" s="30"/>
      <c r="F24" s="30" t="s">
        <v>18</v>
      </c>
      <c r="G24" s="31">
        <v>18875</v>
      </c>
      <c r="H24" s="32">
        <v>21.04</v>
      </c>
      <c r="I24" s="32">
        <v>1.85</v>
      </c>
      <c r="J24" s="33"/>
    </row>
    <row r="25" spans="2:10" x14ac:dyDescent="0.25">
      <c r="B25" s="1" t="s">
        <v>64</v>
      </c>
      <c r="C25" s="20" t="s">
        <v>65</v>
      </c>
      <c r="D25" s="29" t="s">
        <v>66</v>
      </c>
      <c r="E25" s="30"/>
      <c r="F25" s="30" t="s">
        <v>40</v>
      </c>
      <c r="G25" s="31">
        <v>6780</v>
      </c>
      <c r="H25" s="32">
        <v>16.09</v>
      </c>
      <c r="I25" s="32">
        <v>1.42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40</v>
      </c>
      <c r="G26" s="31">
        <v>853</v>
      </c>
      <c r="H26" s="32">
        <v>13.72</v>
      </c>
      <c r="I26" s="32">
        <v>1.21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18</v>
      </c>
      <c r="G27" s="31">
        <v>16184</v>
      </c>
      <c r="H27" s="32">
        <v>12.03</v>
      </c>
      <c r="I27" s="32">
        <v>1.06</v>
      </c>
      <c r="J27" s="33"/>
    </row>
    <row r="28" spans="2:10" x14ac:dyDescent="0.25">
      <c r="B28" s="1" t="s">
        <v>73</v>
      </c>
      <c r="C28" s="20" t="s">
        <v>74</v>
      </c>
      <c r="D28" s="29" t="s">
        <v>75</v>
      </c>
      <c r="E28" s="30"/>
      <c r="F28" s="30" t="s">
        <v>48</v>
      </c>
      <c r="G28" s="31">
        <v>419</v>
      </c>
      <c r="H28" s="32">
        <v>10.73</v>
      </c>
      <c r="I28" s="32">
        <v>0.95</v>
      </c>
      <c r="J28" s="33"/>
    </row>
    <row r="29" spans="2:10" x14ac:dyDescent="0.25">
      <c r="B29" s="1" t="s">
        <v>76</v>
      </c>
      <c r="C29" s="20" t="s">
        <v>77</v>
      </c>
      <c r="D29" s="29" t="s">
        <v>78</v>
      </c>
      <c r="E29" s="30"/>
      <c r="F29" s="30" t="s">
        <v>18</v>
      </c>
      <c r="G29" s="31">
        <v>708</v>
      </c>
      <c r="H29" s="32">
        <v>5.24</v>
      </c>
      <c r="I29" s="32">
        <v>0.46</v>
      </c>
      <c r="J29" s="33"/>
    </row>
    <row r="30" spans="2:10" x14ac:dyDescent="0.25">
      <c r="B30" s="1" t="s">
        <v>79</v>
      </c>
      <c r="C30" s="20" t="s">
        <v>80</v>
      </c>
      <c r="D30" s="29" t="s">
        <v>81</v>
      </c>
      <c r="E30" s="30"/>
      <c r="F30" s="30" t="s">
        <v>48</v>
      </c>
      <c r="G30" s="31">
        <v>435</v>
      </c>
      <c r="H30" s="32">
        <v>4.3899999999999997</v>
      </c>
      <c r="I30" s="32">
        <v>0.39</v>
      </c>
      <c r="J30" s="33"/>
    </row>
    <row r="31" spans="2:10" x14ac:dyDescent="0.25">
      <c r="C31" s="28" t="s">
        <v>82</v>
      </c>
      <c r="D31" s="29"/>
      <c r="E31" s="30"/>
      <c r="F31" s="30"/>
      <c r="G31" s="31"/>
      <c r="H31" s="35">
        <v>1118.83</v>
      </c>
      <c r="I31" s="35">
        <v>98.61</v>
      </c>
      <c r="J31" s="33"/>
    </row>
    <row r="32" spans="2:10" x14ac:dyDescent="0.25">
      <c r="C32" s="20"/>
      <c r="D32" s="29"/>
      <c r="E32" s="30"/>
      <c r="F32" s="30"/>
      <c r="G32" s="31"/>
      <c r="H32" s="32"/>
      <c r="I32" s="32"/>
      <c r="J32" s="33"/>
    </row>
    <row r="33" spans="3:10" x14ac:dyDescent="0.25">
      <c r="C33" s="28" t="s">
        <v>83</v>
      </c>
      <c r="D33" s="29"/>
      <c r="E33" s="30"/>
      <c r="F33" s="30"/>
      <c r="G33" s="31"/>
      <c r="H33" s="32" t="s">
        <v>84</v>
      </c>
      <c r="I33" s="32" t="s">
        <v>84</v>
      </c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85</v>
      </c>
      <c r="D35" s="29"/>
      <c r="E35" s="30"/>
      <c r="F35" s="30"/>
      <c r="G35" s="31"/>
      <c r="H35" s="32" t="s">
        <v>84</v>
      </c>
      <c r="I35" s="32" t="s">
        <v>84</v>
      </c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86</v>
      </c>
      <c r="D37" s="29"/>
      <c r="E37" s="30"/>
      <c r="F37" s="30"/>
      <c r="G37" s="31"/>
      <c r="H37" s="32"/>
      <c r="I37" s="32"/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87</v>
      </c>
      <c r="D39" s="29"/>
      <c r="E39" s="30"/>
      <c r="F39" s="30"/>
      <c r="G39" s="31"/>
      <c r="H39" s="32" t="s">
        <v>84</v>
      </c>
      <c r="I39" s="32" t="s">
        <v>84</v>
      </c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88</v>
      </c>
      <c r="D41" s="29"/>
      <c r="E41" s="30"/>
      <c r="F41" s="30"/>
      <c r="G41" s="31"/>
      <c r="H41" s="32" t="s">
        <v>84</v>
      </c>
      <c r="I41" s="32" t="s">
        <v>84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89</v>
      </c>
      <c r="D43" s="29"/>
      <c r="E43" s="30"/>
      <c r="F43" s="30"/>
      <c r="G43" s="31"/>
      <c r="H43" s="32" t="s">
        <v>84</v>
      </c>
      <c r="I43" s="32" t="s">
        <v>84</v>
      </c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90</v>
      </c>
      <c r="D45" s="29"/>
      <c r="E45" s="30"/>
      <c r="F45" s="30"/>
      <c r="G45" s="31"/>
      <c r="H45" s="32" t="s">
        <v>84</v>
      </c>
      <c r="I45" s="32" t="s">
        <v>84</v>
      </c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91</v>
      </c>
      <c r="D47" s="29"/>
      <c r="E47" s="30"/>
      <c r="F47" s="30"/>
      <c r="G47" s="31"/>
      <c r="H47" s="32" t="s">
        <v>84</v>
      </c>
      <c r="I47" s="32" t="s">
        <v>84</v>
      </c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92</v>
      </c>
      <c r="D49" s="29"/>
      <c r="E49" s="30"/>
      <c r="F49" s="30"/>
      <c r="G49" s="31"/>
      <c r="H49" s="32"/>
      <c r="I49" s="32"/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93</v>
      </c>
      <c r="D51" s="29"/>
      <c r="E51" s="30"/>
      <c r="F51" s="30"/>
      <c r="G51" s="31"/>
      <c r="H51" s="32" t="s">
        <v>84</v>
      </c>
      <c r="I51" s="32" t="s">
        <v>84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94</v>
      </c>
      <c r="D53" s="29"/>
      <c r="E53" s="30"/>
      <c r="F53" s="30"/>
      <c r="G53" s="31"/>
      <c r="H53" s="32" t="s">
        <v>84</v>
      </c>
      <c r="I53" s="32" t="s">
        <v>84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95</v>
      </c>
      <c r="D55" s="29"/>
      <c r="E55" s="30"/>
      <c r="F55" s="30"/>
      <c r="G55" s="31"/>
      <c r="H55" s="32" t="s">
        <v>84</v>
      </c>
      <c r="I55" s="32" t="s">
        <v>84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96</v>
      </c>
      <c r="D57" s="29"/>
      <c r="E57" s="30"/>
      <c r="F57" s="30"/>
      <c r="G57" s="31"/>
      <c r="H57" s="32" t="s">
        <v>84</v>
      </c>
      <c r="I57" s="32" t="s">
        <v>84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97</v>
      </c>
      <c r="D59" s="29"/>
      <c r="E59" s="30"/>
      <c r="F59" s="30"/>
      <c r="G59" s="31"/>
      <c r="H59" s="32"/>
      <c r="I59" s="32"/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98</v>
      </c>
      <c r="D61" s="29"/>
      <c r="E61" s="30"/>
      <c r="F61" s="30"/>
      <c r="G61" s="31"/>
      <c r="H61" s="32" t="s">
        <v>84</v>
      </c>
      <c r="I61" s="32" t="s">
        <v>84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99</v>
      </c>
      <c r="D63" s="29"/>
      <c r="E63" s="30"/>
      <c r="F63" s="30"/>
      <c r="G63" s="31"/>
      <c r="H63" s="32" t="s">
        <v>84</v>
      </c>
      <c r="I63" s="32" t="s">
        <v>84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100</v>
      </c>
      <c r="D65" s="29"/>
      <c r="E65" s="30"/>
      <c r="F65" s="30"/>
      <c r="G65" s="31"/>
      <c r="H65" s="32" t="s">
        <v>84</v>
      </c>
      <c r="I65" s="32" t="s">
        <v>84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101</v>
      </c>
      <c r="D67" s="29"/>
      <c r="E67" s="30"/>
      <c r="F67" s="30"/>
      <c r="G67" s="31"/>
      <c r="H67" s="32" t="s">
        <v>84</v>
      </c>
      <c r="I67" s="32" t="s">
        <v>84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102</v>
      </c>
      <c r="D69" s="29"/>
      <c r="E69" s="30"/>
      <c r="F69" s="30"/>
      <c r="G69" s="31"/>
      <c r="H69" s="32" t="s">
        <v>84</v>
      </c>
      <c r="I69" s="32" t="s">
        <v>84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C71" s="28" t="s">
        <v>103</v>
      </c>
      <c r="D71" s="29"/>
      <c r="E71" s="30"/>
      <c r="F71" s="30"/>
      <c r="G71" s="31"/>
      <c r="H71" s="32" t="s">
        <v>84</v>
      </c>
      <c r="I71" s="32" t="s">
        <v>84</v>
      </c>
      <c r="J71" s="33"/>
    </row>
    <row r="72" spans="1:10" x14ac:dyDescent="0.25">
      <c r="C72" s="20"/>
      <c r="D72" s="29"/>
      <c r="E72" s="30"/>
      <c r="F72" s="30"/>
      <c r="G72" s="31"/>
      <c r="H72" s="32"/>
      <c r="I72" s="32"/>
      <c r="J72" s="33"/>
    </row>
    <row r="73" spans="1:10" x14ac:dyDescent="0.25">
      <c r="A73" s="26"/>
      <c r="B73" s="27"/>
      <c r="C73" s="28" t="s">
        <v>104</v>
      </c>
      <c r="D73" s="29"/>
      <c r="E73" s="30"/>
      <c r="F73" s="30"/>
      <c r="G73" s="31"/>
      <c r="H73" s="32"/>
      <c r="I73" s="32"/>
      <c r="J73" s="33"/>
    </row>
    <row r="74" spans="1:10" x14ac:dyDescent="0.25">
      <c r="B74" s="1"/>
      <c r="C74" s="20" t="s">
        <v>105</v>
      </c>
      <c r="D74" s="29"/>
      <c r="E74" s="30"/>
      <c r="F74" s="30"/>
      <c r="G74" s="31"/>
      <c r="H74" s="32">
        <v>15.78</v>
      </c>
      <c r="I74" s="32">
        <v>1.39</v>
      </c>
      <c r="J74" s="33"/>
    </row>
    <row r="75" spans="1:10" x14ac:dyDescent="0.25">
      <c r="C75" s="28" t="s">
        <v>82</v>
      </c>
      <c r="D75" s="29"/>
      <c r="E75" s="30"/>
      <c r="F75" s="30"/>
      <c r="G75" s="31"/>
      <c r="H75" s="35">
        <v>15.78</v>
      </c>
      <c r="I75" s="35">
        <v>1.39</v>
      </c>
      <c r="J75" s="33"/>
    </row>
    <row r="76" spans="1:10" x14ac:dyDescent="0.25">
      <c r="C76" s="20"/>
      <c r="D76" s="29"/>
      <c r="E76" s="30"/>
      <c r="F76" s="30"/>
      <c r="G76" s="31"/>
      <c r="H76" s="32"/>
      <c r="I76" s="32"/>
      <c r="J76" s="33"/>
    </row>
    <row r="77" spans="1:10" ht="14.25" thickBot="1" x14ac:dyDescent="0.3">
      <c r="C77" s="36" t="s">
        <v>106</v>
      </c>
      <c r="D77" s="37"/>
      <c r="E77" s="38"/>
      <c r="F77" s="39"/>
      <c r="G77" s="40"/>
      <c r="H77" s="41">
        <v>1134.6099999999999</v>
      </c>
      <c r="I77" s="41">
        <f>SUMIFS(I:I,C:C,"Total")</f>
        <v>100</v>
      </c>
      <c r="J77" s="42"/>
    </row>
    <row r="80" spans="1:10" x14ac:dyDescent="0.25">
      <c r="C80" s="11" t="s">
        <v>107</v>
      </c>
    </row>
    <row r="81" spans="3:5" x14ac:dyDescent="0.25">
      <c r="C81" s="2" t="s">
        <v>108</v>
      </c>
    </row>
    <row r="82" spans="3:5" x14ac:dyDescent="0.25">
      <c r="C82" s="2" t="s">
        <v>109</v>
      </c>
    </row>
    <row r="83" spans="3:5" x14ac:dyDescent="0.25">
      <c r="C83" s="2" t="s">
        <v>110</v>
      </c>
    </row>
    <row r="85" spans="3:5" x14ac:dyDescent="0.25">
      <c r="C85" s="2" t="s">
        <v>111</v>
      </c>
    </row>
    <row r="86" spans="3:5" x14ac:dyDescent="0.25">
      <c r="C86" s="2" t="s">
        <v>112</v>
      </c>
    </row>
    <row r="87" spans="3:5" x14ac:dyDescent="0.25">
      <c r="C87" s="2" t="s">
        <v>113</v>
      </c>
    </row>
    <row r="88" spans="3:5" x14ac:dyDescent="0.25">
      <c r="D88" s="2" t="s">
        <v>114</v>
      </c>
    </row>
    <row r="89" spans="3:5" x14ac:dyDescent="0.25">
      <c r="C89" s="2" t="s">
        <v>115</v>
      </c>
      <c r="D89" s="2" t="s">
        <v>116</v>
      </c>
      <c r="E89" s="2" t="s">
        <v>116</v>
      </c>
    </row>
    <row r="90" spans="3:5" x14ac:dyDescent="0.25">
      <c r="D90" s="2" t="s">
        <v>117</v>
      </c>
      <c r="E90" s="2" t="s">
        <v>118</v>
      </c>
    </row>
    <row r="91" spans="3:5" x14ac:dyDescent="0.25">
      <c r="C91" s="2" t="s">
        <v>119</v>
      </c>
      <c r="D91" s="43">
        <v>45.27</v>
      </c>
      <c r="E91" s="43">
        <v>46.28</v>
      </c>
    </row>
    <row r="92" spans="3:5" x14ac:dyDescent="0.25">
      <c r="C92" s="2" t="s">
        <v>120</v>
      </c>
      <c r="D92" s="43">
        <v>50.57</v>
      </c>
      <c r="E92" s="43">
        <v>51.7</v>
      </c>
    </row>
    <row r="93" spans="3:5" x14ac:dyDescent="0.25">
      <c r="C93" s="2" t="s">
        <v>121</v>
      </c>
      <c r="D93" s="43">
        <v>55.48</v>
      </c>
      <c r="E93" s="43">
        <v>56.76</v>
      </c>
    </row>
    <row r="94" spans="3:5" x14ac:dyDescent="0.25">
      <c r="C94" s="2" t="s">
        <v>122</v>
      </c>
      <c r="D94" s="43">
        <v>56.13</v>
      </c>
      <c r="E94" s="43">
        <v>57.42</v>
      </c>
    </row>
    <row r="96" spans="3:5" x14ac:dyDescent="0.25">
      <c r="C96" s="2" t="s">
        <v>123</v>
      </c>
    </row>
    <row r="97" spans="3:3" x14ac:dyDescent="0.25">
      <c r="C97" s="2" t="s">
        <v>124</v>
      </c>
    </row>
    <row r="98" spans="3:3" x14ac:dyDescent="0.25">
      <c r="C98" s="2" t="s">
        <v>125</v>
      </c>
    </row>
    <row r="99" spans="3:3" x14ac:dyDescent="0.25">
      <c r="C99" s="2" t="s">
        <v>126</v>
      </c>
    </row>
    <row r="100" spans="3:3" x14ac:dyDescent="0.25">
      <c r="C100" s="2" t="s">
        <v>127</v>
      </c>
    </row>
    <row r="101" spans="3:3" x14ac:dyDescent="0.25">
      <c r="C101" s="2" t="s">
        <v>128</v>
      </c>
    </row>
    <row r="102" spans="3:3" x14ac:dyDescent="0.25">
      <c r="C102" s="2" t="s">
        <v>129</v>
      </c>
    </row>
    <row r="103" spans="3:3" x14ac:dyDescent="0.25">
      <c r="C103" s="2" t="s">
        <v>130</v>
      </c>
    </row>
    <row r="104" spans="3:3" x14ac:dyDescent="0.25">
      <c r="C104" s="2" t="s">
        <v>131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EBC3-6389-4FF3-A3F0-A5156164E440}">
  <dimension ref="C3:K17"/>
  <sheetViews>
    <sheetView zoomScaleNormal="100" workbookViewId="0"/>
  </sheetViews>
  <sheetFormatPr defaultRowHeight="15" x14ac:dyDescent="0.25"/>
  <cols>
    <col min="3" max="3" width="57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4" t="s">
        <v>132</v>
      </c>
      <c r="D3" s="45"/>
      <c r="E3" s="45"/>
      <c r="F3" s="45"/>
      <c r="G3" s="45"/>
      <c r="H3" s="45"/>
      <c r="I3" s="45"/>
      <c r="J3" s="45"/>
      <c r="K3" s="45"/>
    </row>
    <row r="4" spans="3:11" x14ac:dyDescent="0.25">
      <c r="C4" s="46" t="s">
        <v>133</v>
      </c>
      <c r="D4" s="47" t="s">
        <v>134</v>
      </c>
      <c r="E4" s="47"/>
      <c r="F4" s="47" t="s">
        <v>135</v>
      </c>
      <c r="G4" s="47"/>
      <c r="H4" s="47" t="s">
        <v>136</v>
      </c>
      <c r="I4" s="47"/>
      <c r="J4" s="47" t="s">
        <v>137</v>
      </c>
      <c r="K4" s="47"/>
    </row>
    <row r="5" spans="3:11" ht="63.75" x14ac:dyDescent="0.25">
      <c r="C5" s="48"/>
      <c r="D5" s="49" t="s">
        <v>138</v>
      </c>
      <c r="E5" s="49" t="s">
        <v>139</v>
      </c>
      <c r="F5" s="49" t="s">
        <v>138</v>
      </c>
      <c r="G5" s="49" t="s">
        <v>139</v>
      </c>
      <c r="H5" s="49" t="s">
        <v>138</v>
      </c>
      <c r="I5" s="49" t="s">
        <v>139</v>
      </c>
      <c r="J5" s="49" t="s">
        <v>138</v>
      </c>
      <c r="K5" s="49" t="s">
        <v>139</v>
      </c>
    </row>
    <row r="6" spans="3:11" x14ac:dyDescent="0.25">
      <c r="C6" s="50" t="s">
        <v>140</v>
      </c>
      <c r="D6" s="51">
        <v>22.289905393651701</v>
      </c>
      <c r="E6" s="51">
        <v>12242.481648117455</v>
      </c>
      <c r="F6" s="51">
        <v>13.722202368368475</v>
      </c>
      <c r="G6" s="51">
        <v>14712.578258394991</v>
      </c>
      <c r="H6" s="51">
        <v>14.035758386713715</v>
      </c>
      <c r="I6" s="51">
        <v>19298.245614035088</v>
      </c>
      <c r="J6" s="51">
        <v>14.203587026209185</v>
      </c>
      <c r="K6" s="51">
        <v>51700</v>
      </c>
    </row>
    <row r="7" spans="3:11" x14ac:dyDescent="0.25">
      <c r="C7" s="50" t="s">
        <v>141</v>
      </c>
      <c r="D7" s="51">
        <v>20.62346909648527</v>
      </c>
      <c r="E7" s="51">
        <v>12062.346909648528</v>
      </c>
      <c r="F7" s="51">
        <v>12.919499490093811</v>
      </c>
      <c r="G7" s="51">
        <v>14398.154632779338</v>
      </c>
      <c r="H7" s="51">
        <v>13.413151827160231</v>
      </c>
      <c r="I7" s="51">
        <v>18763.640334916527</v>
      </c>
      <c r="J7" s="51">
        <v>15.942565555164357</v>
      </c>
      <c r="K7" s="51">
        <v>62301.706197853047</v>
      </c>
    </row>
    <row r="8" spans="3:11" x14ac:dyDescent="0.25">
      <c r="C8" s="50" t="s">
        <v>142</v>
      </c>
      <c r="D8" s="51">
        <v>32.796483310772587</v>
      </c>
      <c r="E8" s="51">
        <v>13279.648331077258</v>
      </c>
      <c r="F8" s="51">
        <v>14.92202528918618</v>
      </c>
      <c r="G8" s="51">
        <v>15177.834504935277</v>
      </c>
      <c r="H8" s="51">
        <v>18.952877574845761</v>
      </c>
      <c r="I8" s="51">
        <v>23816.325780111703</v>
      </c>
      <c r="J8" s="51">
        <v>15.899407856644876</v>
      </c>
      <c r="K8" s="51">
        <v>62015.508976390163</v>
      </c>
    </row>
    <row r="9" spans="3:11" x14ac:dyDescent="0.25">
      <c r="C9" s="50" t="s">
        <v>143</v>
      </c>
      <c r="D9" s="52">
        <v>42.23</v>
      </c>
      <c r="E9" s="53"/>
      <c r="F9" s="52">
        <v>35.14</v>
      </c>
      <c r="G9" s="53"/>
      <c r="H9" s="52">
        <v>26.79</v>
      </c>
      <c r="I9" s="53"/>
      <c r="J9" s="52">
        <v>10</v>
      </c>
      <c r="K9" s="53"/>
    </row>
    <row r="11" spans="3:11" ht="15.75" x14ac:dyDescent="0.25">
      <c r="C11" s="44" t="s">
        <v>144</v>
      </c>
      <c r="D11" s="45"/>
      <c r="E11" s="45"/>
      <c r="F11" s="45"/>
      <c r="G11" s="45"/>
      <c r="H11" s="45"/>
      <c r="I11" s="45"/>
      <c r="J11" s="45"/>
      <c r="K11" s="45"/>
    </row>
    <row r="12" spans="3:11" x14ac:dyDescent="0.25">
      <c r="C12" s="46" t="s">
        <v>133</v>
      </c>
      <c r="D12" s="47" t="s">
        <v>134</v>
      </c>
      <c r="E12" s="47"/>
      <c r="F12" s="47" t="s">
        <v>135</v>
      </c>
      <c r="G12" s="47"/>
      <c r="H12" s="47" t="s">
        <v>136</v>
      </c>
      <c r="I12" s="47"/>
      <c r="J12" s="47" t="s">
        <v>137</v>
      </c>
      <c r="K12" s="47"/>
    </row>
    <row r="13" spans="3:11" ht="63.75" x14ac:dyDescent="0.25">
      <c r="C13" s="48"/>
      <c r="D13" s="49" t="s">
        <v>138</v>
      </c>
      <c r="E13" s="49" t="s">
        <v>139</v>
      </c>
      <c r="F13" s="49" t="s">
        <v>138</v>
      </c>
      <c r="G13" s="49" t="s">
        <v>139</v>
      </c>
      <c r="H13" s="49" t="s">
        <v>138</v>
      </c>
      <c r="I13" s="49" t="s">
        <v>139</v>
      </c>
      <c r="J13" s="49" t="s">
        <v>138</v>
      </c>
      <c r="K13" s="49" t="s">
        <v>139</v>
      </c>
    </row>
    <row r="14" spans="3:11" x14ac:dyDescent="0.25">
      <c r="C14" s="50" t="s">
        <v>140</v>
      </c>
      <c r="D14" s="51">
        <v>23.210241268916132</v>
      </c>
      <c r="E14" s="51">
        <v>12335.123523093449</v>
      </c>
      <c r="F14" s="51">
        <v>14.59705583744617</v>
      </c>
      <c r="G14" s="51">
        <v>15055.060304142633</v>
      </c>
      <c r="H14" s="51">
        <v>14.900417438051061</v>
      </c>
      <c r="I14" s="51">
        <v>20041.884816753929</v>
      </c>
      <c r="J14" s="51">
        <v>13.004926214814084</v>
      </c>
      <c r="K14" s="51">
        <v>42065.934065934067</v>
      </c>
    </row>
    <row r="15" spans="3:11" x14ac:dyDescent="0.25">
      <c r="C15" s="50" t="s">
        <v>141</v>
      </c>
      <c r="D15" s="51">
        <v>20.62346909648527</v>
      </c>
      <c r="E15" s="51">
        <v>12062.346909648528</v>
      </c>
      <c r="F15" s="51">
        <v>12.919499490093811</v>
      </c>
      <c r="G15" s="51">
        <v>14398.154632779338</v>
      </c>
      <c r="H15" s="51">
        <v>13.413151827160231</v>
      </c>
      <c r="I15" s="51">
        <v>18763.640334916527</v>
      </c>
      <c r="J15" s="51">
        <v>13.570716050220067</v>
      </c>
      <c r="K15" s="51">
        <v>44608.501064031625</v>
      </c>
    </row>
    <row r="16" spans="3:11" x14ac:dyDescent="0.25">
      <c r="C16" s="50" t="s">
        <v>142</v>
      </c>
      <c r="D16" s="51">
        <v>32.796483310772587</v>
      </c>
      <c r="E16" s="51">
        <v>13279.648331077258</v>
      </c>
      <c r="F16" s="51">
        <v>14.92202528918618</v>
      </c>
      <c r="G16" s="51">
        <v>15177.834504935277</v>
      </c>
      <c r="H16" s="51">
        <v>18.952877574845761</v>
      </c>
      <c r="I16" s="51">
        <v>23816.325780111703</v>
      </c>
      <c r="J16" s="51">
        <v>14.625119647446372</v>
      </c>
      <c r="K16" s="51">
        <v>49725.398943073415</v>
      </c>
    </row>
    <row r="17" spans="3:11" x14ac:dyDescent="0.25">
      <c r="C17" s="50" t="s">
        <v>145</v>
      </c>
      <c r="D17" s="52">
        <v>46.55</v>
      </c>
      <c r="E17" s="53"/>
      <c r="F17" s="52">
        <v>38.14</v>
      </c>
      <c r="G17" s="53"/>
      <c r="H17" s="52">
        <v>28.65</v>
      </c>
      <c r="I17" s="53"/>
      <c r="J17" s="52">
        <v>13.65</v>
      </c>
      <c r="K17" s="53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2024-10-01T13:01:19Z</dcterms:created>
  <dcterms:modified xsi:type="dcterms:W3CDTF">2024-10-07T05:58:55Z</dcterms:modified>
</cp:coreProperties>
</file>