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520B9028-BC4C-4C23-9983-87162026F2F0}" xr6:coauthVersionLast="47" xr6:coauthVersionMax="47" xr10:uidLastSave="{00000000-0000-0000-0000-000000000000}"/>
  <bookViews>
    <workbookView xWindow="-120" yWindow="-120" windowWidth="20730" windowHeight="11040" xr2:uid="{8B5BB009-93FE-4100-9BA0-6625A2D7E200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<sst xmlns="http://schemas.openxmlformats.org/spreadsheetml/2006/main" count="266" uniqueCount="197">
  <si>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</si>
  <si>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</si>
  <si>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</si>
  <si>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</si>
  <si>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</si>
  <si>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</si>
  <si>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</si>
  <si>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</si>
  <si>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</si>
  <si>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</si>
  <si>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</si>
  <si>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</si>
  <si>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</si>
  <si>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</si>
  <si>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</si>
  <si>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</si>
  <si>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</si>
  <si>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</si>
  <si>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</si>
  <si>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</si>
  <si>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</si>
  <si>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</si>
  <si>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</si>
  <si>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</si>
  <si>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</si>
  <si>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</si>
  <si>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</si>
  <si>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</si>
  <si>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</si>
  <si>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</si>
  <si>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</si>
  <si>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</si>
  <si>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</si>
  <si>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</si>
  <si>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100182</t>
  </si>
  <si>
    <t>Power Grid Corporation of India Ltd.</t>
  </si>
  <si>
    <t>INE752E01010</t>
  </si>
  <si>
    <t>Power</t>
  </si>
  <si>
    <t>100024</t>
  </si>
  <si>
    <t>Axis Bank Ltd.</t>
  </si>
  <si>
    <t>INE238A01034</t>
  </si>
  <si>
    <t>100100</t>
  </si>
  <si>
    <t>Hindustan Petroleum Corporation Ltd.</t>
  </si>
  <si>
    <t>INE094A01015</t>
  </si>
  <si>
    <t>Petroleum Products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</si>
  <si>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</si>
  <si>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</si>
  <si>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</si>
  <si>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</si>
  <si>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</si>
  <si>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</si>
  <si>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</si>
  <si>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</si>
  <si>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</si>
  <si>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</si>
  <si>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</si>
  <si>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</si>
  <si>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102094</t>
  </si>
  <si>
    <t>HBL Engineering Ltd.</t>
  </si>
  <si>
    <t>INE292B01021</t>
  </si>
  <si>
    <t>Industrial Products</t>
  </si>
  <si>
    <t>100389</t>
  </si>
  <si>
    <t>Zydus Wellness Ltd.</t>
  </si>
  <si>
    <t>INE768C01010</t>
  </si>
  <si>
    <t>Food Products</t>
  </si>
  <si>
    <t>100153</t>
  </si>
  <si>
    <t>Cipla Ltd.</t>
  </si>
  <si>
    <t>INE059A01026</t>
  </si>
  <si>
    <t>Pharmaceuticals &amp; Biotechnology</t>
  </si>
  <si>
    <t>100095</t>
  </si>
  <si>
    <t>Bharti Airtel Ltd.</t>
  </si>
  <si>
    <t>INE397D01024</t>
  </si>
  <si>
    <t>Telecom - Services</t>
  </si>
  <si>
    <t>101178</t>
  </si>
  <si>
    <t>Computer Age Management Services Ltd.</t>
  </si>
  <si>
    <t>INE596I01012</t>
  </si>
  <si>
    <t>Capital Markets</t>
  </si>
  <si>
    <t>100133</t>
  </si>
  <si>
    <t>Oracle Financial Services Software Ltd.</t>
  </si>
  <si>
    <t>INE881D01027</t>
  </si>
  <si>
    <t>100003</t>
  </si>
  <si>
    <t>Infosys Ltd.</t>
  </si>
  <si>
    <t>INE009A01021</t>
  </si>
  <si>
    <t>101345</t>
  </si>
  <si>
    <t>CarTrade Tech Ltd.</t>
  </si>
  <si>
    <t>INE290S01011</t>
  </si>
  <si>
    <t>Retailing</t>
  </si>
  <si>
    <t>100155</t>
  </si>
  <si>
    <t>Divi's Laboratories Ltd.</t>
  </si>
  <si>
    <t>INE361B01024</t>
  </si>
  <si>
    <t>100112</t>
  </si>
  <si>
    <t>Punjab National Bank</t>
  </si>
  <si>
    <t>INE160A01022</t>
  </si>
  <si>
    <t>100177</t>
  </si>
  <si>
    <t>Grasim Industries Ltd.</t>
  </si>
  <si>
    <t>INE047A01021</t>
  </si>
  <si>
    <t>Cement &amp; Cement Products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</si>
  <si>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</si>
  <si>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</si>
  <si>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</si>
  <si>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</si>
  <si>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</si>
  <si>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</si>
  <si>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</si>
  <si>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100566</t>
  </si>
  <si>
    <t>Laurus Labs Ltd.</t>
  </si>
  <si>
    <t>INE947Q01028</t>
  </si>
  <si>
    <t>101550</t>
  </si>
  <si>
    <t>Life Insurance Corporation of India</t>
  </si>
  <si>
    <t>INE0J1Y01017</t>
  </si>
  <si>
    <t>Insurance</t>
  </si>
  <si>
    <t>102206</t>
  </si>
  <si>
    <t>Chemtech Industrial Valves Ltd.</t>
  </si>
  <si>
    <t>INE212P01011</t>
  </si>
  <si>
    <t>Industrial Manufacturing</t>
  </si>
  <si>
    <t>102042</t>
  </si>
  <si>
    <t>Associated Alcohols &amp; Breweries Ltd.</t>
  </si>
  <si>
    <t>INE073G01016</t>
  </si>
  <si>
    <t>Beverages</t>
  </si>
  <si>
    <t>100292</t>
  </si>
  <si>
    <t>Steel Authority of India Ltd.</t>
  </si>
  <si>
    <t>INE114A01011</t>
  </si>
  <si>
    <t>Ferrous Metals</t>
  </si>
  <si>
    <t>100659</t>
  </si>
  <si>
    <t>Visaka Industries Ltd.</t>
  </si>
  <si>
    <t>INE392A01021</t>
  </si>
  <si>
    <t>100156</t>
  </si>
  <si>
    <t>Finolex Cables Ltd.</t>
  </si>
  <si>
    <t>INE235A01022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</si>
  <si>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</si>
  <si>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</si>
  <si>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</si>
  <si>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</si>
  <si>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</si>
  <si>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</si>
  <si>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</si>
  <si>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</si>
  <si>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</si>
  <si>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</si>
  <si>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</si>
  <si>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</si>
  <si>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</si>
  <si>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</si>
  <si>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</si>
  <si>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</si>
  <si>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</si>
  <si>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</si>
  <si>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</si>
  <si>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</si>
  <si>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</si>
  <si>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</si>
  <si>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</si>
  <si>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</si>
  <si>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</si>
  <si>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</si>
  <si>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</si>
  <si>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</si>
  <si>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</si>
  <si>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</si>
  <si>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</si>
  <si>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</si>
  <si>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</si>
  <si>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</si>
  <si>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</si>
  <si>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</si>
  <si>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</si>
  <si>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</si>
  <si>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</si>
  <si>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</si>
  <si>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</si>
  <si>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</si>
  <si>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</si>
  <si>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</si>
  <si>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June 30, 2025.</t>
  </si>
  <si>
    <t>7. The Scheme did not declare any bonus during the month ended As on June 30, 2025.</t>
  </si>
  <si>
    <t>8. Total outstanding exposure in derivative instruments as on As on June 30, 2025 is Nil</t>
  </si>
  <si>
    <t>9. Total investments in Foreign Securities /ADRs/GDRs /Overseas ETFs as at As on June 30, 2025 and its percentage to NAV is Nil.</t>
  </si>
  <si>
    <t>10. During the period, the portfolio turnover ratio is 0.75 times.</t>
  </si>
  <si>
    <t>      Portfolio Turnover Ratio = Lower of sales or purchase of securities divided by average AUM for 12 months ended As on June 30, 2025</t>
  </si>
  <si>
    <t>11. The Scheme did not invest in repo transactions of corporate debt securities during the month ended As on 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</si>
  <si>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</si>
  <si>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</si>
  <si>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</si>
  <si>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</si>
  <si>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</si>
  <si>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</si>
  <si>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</si>
  <si>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</si>
  <si>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</si>
  <si>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</si>
  <si>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</si>
  <si>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</si>
  <si>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</si>
  <si>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</si>
  <si>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June 30,2025 :190.94)</t>
  </si>
  <si>
    <t>Taurus Elss Tax Saver Fund - Direct Plan Growth Option</t>
  </si>
  <si>
    <t>NAV [Rs.] Per Unit (as on June 30,2025 :208.03)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</si>
</sst>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60FD512-87B6-4FCE-8127-CCF54CDCF660}"/>
    <cellStyle name="Hyperlink" xfId="2" builtinId="8"/>
    <cellStyle name="Normal" xfId="0" builtinId="0"/>
    <cellStyle name="Normal 2" xfId="4" xr:uid="{C798D6F7-DBEA-4AF9-8CF5-DF86C2F98C90}"/>
    <cellStyle name="Style 1" xfId="3" xr:uid="{35047576-CF12-4609-96D2-50B92FC522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28D9EFF7-2757-4C25-A84F-5B842E87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10C5-28FB-442B-808F-8B28DC0E67E9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38245</v>
      </c>
      <c r="H10" s="32">
        <v>765.17</v>
      </c>
      <c r="I10" s="32">
        <v>9.4499999999999993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748.02</v>
      </c>
      <c r="I11" s="32">
        <v>9.24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147908</v>
      </c>
      <c r="H12" s="32">
        <v>616.04</v>
      </c>
      <c r="I12" s="32">
        <v>7.61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604.41999999999996</v>
      </c>
      <c r="I13" s="32">
        <v>7.46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505.71</v>
      </c>
      <c r="I14" s="32">
        <v>6.24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114996</v>
      </c>
      <c r="H15" s="32">
        <v>344.76</v>
      </c>
      <c r="I15" s="32">
        <v>4.26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28650</v>
      </c>
      <c r="H16" s="32">
        <v>343.51</v>
      </c>
      <c r="I16" s="32">
        <v>4.24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67742</v>
      </c>
      <c r="H17" s="32">
        <v>296.68</v>
      </c>
      <c r="I17" s="32">
        <v>3.66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65000</v>
      </c>
      <c r="H18" s="32">
        <v>254.77</v>
      </c>
      <c r="I18" s="32">
        <v>3.15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14191</v>
      </c>
      <c r="H19" s="32">
        <v>245.18</v>
      </c>
      <c r="I19" s="32">
        <v>3.03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7337</v>
      </c>
      <c r="H20" s="32">
        <v>233.62</v>
      </c>
      <c r="I20" s="32">
        <v>2.88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38661</v>
      </c>
      <c r="H21" s="32">
        <v>229.16</v>
      </c>
      <c r="I21" s="32">
        <v>2.83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10995</v>
      </c>
      <c r="H22" s="32">
        <v>222.6</v>
      </c>
      <c r="I22" s="32">
        <v>2.75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13798</v>
      </c>
      <c r="H23" s="32">
        <v>207.7</v>
      </c>
      <c r="I23" s="32">
        <v>2.56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8882</v>
      </c>
      <c r="H24" s="32">
        <v>178.47</v>
      </c>
      <c r="I24" s="32">
        <v>2.2000000000000002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4035</v>
      </c>
      <c r="H25" s="32">
        <v>173.48</v>
      </c>
      <c r="I25" s="32">
        <v>2.14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52</v>
      </c>
      <c r="G26" s="31">
        <v>1912</v>
      </c>
      <c r="H26" s="32">
        <v>171.83</v>
      </c>
      <c r="I26" s="32">
        <v>2.12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52</v>
      </c>
      <c r="G27" s="31">
        <v>10579</v>
      </c>
      <c r="H27" s="32">
        <v>169.4</v>
      </c>
      <c r="I27" s="32">
        <v>2.09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8000</v>
      </c>
      <c r="H28" s="32">
        <v>136.55000000000001</v>
      </c>
      <c r="I28" s="32">
        <v>1.69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68</v>
      </c>
      <c r="G29" s="31">
        <v>1928</v>
      </c>
      <c r="H29" s="32">
        <v>131.32</v>
      </c>
      <c r="I29" s="32">
        <v>1.62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18</v>
      </c>
      <c r="G30" s="31">
        <v>114600</v>
      </c>
      <c r="H30" s="32">
        <v>126.63</v>
      </c>
      <c r="I30" s="32">
        <v>1.56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3981</v>
      </c>
      <c r="H31" s="32">
        <v>113.34</v>
      </c>
      <c r="I31" s="32">
        <v>1.4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71565</v>
      </c>
      <c r="H32" s="32">
        <v>110.78</v>
      </c>
      <c r="I32" s="32">
        <v>1.37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18</v>
      </c>
      <c r="G33" s="31">
        <v>93200</v>
      </c>
      <c r="H33" s="32">
        <v>106.43</v>
      </c>
      <c r="I33" s="32">
        <v>1.31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68</v>
      </c>
      <c r="G34" s="31">
        <v>14250</v>
      </c>
      <c r="H34" s="32">
        <v>103.3</v>
      </c>
      <c r="I34" s="32">
        <v>1.28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8000</v>
      </c>
      <c r="H35" s="32">
        <v>77.84</v>
      </c>
      <c r="I35" s="32">
        <v>0.96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50000</v>
      </c>
      <c r="H36" s="32">
        <v>61.98</v>
      </c>
      <c r="I36" s="32">
        <v>0.77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5252</v>
      </c>
      <c r="H37" s="32">
        <v>59.84</v>
      </c>
      <c r="I37" s="32">
        <v>0.74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45110</v>
      </c>
      <c r="H38" s="32">
        <v>59.52</v>
      </c>
      <c r="I38" s="32">
        <v>0.73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96</v>
      </c>
      <c r="G39" s="31">
        <v>58242</v>
      </c>
      <c r="H39" s="32">
        <v>54.33</v>
      </c>
      <c r="I39" s="32">
        <v>0.67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60</v>
      </c>
      <c r="G40" s="31">
        <v>5000</v>
      </c>
      <c r="H40" s="32">
        <v>49.08</v>
      </c>
      <c r="I40" s="32">
        <v>0.61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52</v>
      </c>
      <c r="G41" s="31">
        <v>2739</v>
      </c>
      <c r="H41" s="32">
        <v>46.22</v>
      </c>
      <c r="I41" s="32">
        <v>0.56999999999999995</v>
      </c>
      <c r="J41" s="33"/>
    </row>
    <row r="42" spans="2:10" x14ac:dyDescent="0.25">
      <c r="C42" s="28" t="s">
        <v>132</v>
      </c>
      <c r="D42" s="29"/>
      <c r="E42" s="30"/>
      <c r="F42" s="30"/>
      <c r="G42" s="31"/>
      <c r="H42" s="35">
        <v>7547.68</v>
      </c>
      <c r="I42" s="35">
        <v>93.19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133</v>
      </c>
      <c r="D44" s="29"/>
      <c r="E44" s="30"/>
      <c r="F44" s="30"/>
      <c r="G44" s="31"/>
      <c r="H44" s="32" t="s">
        <v>134</v>
      </c>
      <c r="I44" s="32" t="s">
        <v>134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135</v>
      </c>
      <c r="D46" s="29"/>
      <c r="E46" s="30"/>
      <c r="F46" s="30"/>
      <c r="G46" s="31"/>
      <c r="H46" s="32" t="s">
        <v>134</v>
      </c>
      <c r="I46" s="32" t="s">
        <v>134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 t="s">
        <v>134</v>
      </c>
      <c r="I50" s="32" t="s">
        <v>134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134</v>
      </c>
      <c r="I52" s="32" t="s">
        <v>134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134</v>
      </c>
      <c r="I54" s="32" t="s">
        <v>134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134</v>
      </c>
      <c r="I56" s="32" t="s">
        <v>134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134</v>
      </c>
      <c r="I58" s="32" t="s">
        <v>134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 t="s">
        <v>134</v>
      </c>
      <c r="I62" s="32" t="s">
        <v>134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134</v>
      </c>
      <c r="I64" s="32" t="s">
        <v>134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145</v>
      </c>
      <c r="D66" s="29"/>
      <c r="E66" s="30"/>
      <c r="F66" s="30"/>
      <c r="G66" s="31"/>
      <c r="H66" s="32" t="s">
        <v>134</v>
      </c>
      <c r="I66" s="32" t="s">
        <v>134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146</v>
      </c>
      <c r="D68" s="29"/>
      <c r="E68" s="30"/>
      <c r="F68" s="30"/>
      <c r="G68" s="31"/>
      <c r="H68" s="32" t="s">
        <v>134</v>
      </c>
      <c r="I68" s="32" t="s">
        <v>134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147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148</v>
      </c>
      <c r="D72" s="29"/>
      <c r="E72" s="30"/>
      <c r="F72" s="30"/>
      <c r="G72" s="31"/>
      <c r="H72" s="32" t="s">
        <v>134</v>
      </c>
      <c r="I72" s="32" t="s">
        <v>134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149</v>
      </c>
      <c r="D74" s="29"/>
      <c r="E74" s="30"/>
      <c r="F74" s="30"/>
      <c r="G74" s="31"/>
      <c r="H74" s="32" t="s">
        <v>134</v>
      </c>
      <c r="I74" s="32" t="s">
        <v>134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150</v>
      </c>
      <c r="D76" s="29"/>
      <c r="E76" s="30"/>
      <c r="F76" s="30"/>
      <c r="G76" s="31"/>
      <c r="H76" s="32" t="s">
        <v>134</v>
      </c>
      <c r="I76" s="32" t="s">
        <v>134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151</v>
      </c>
      <c r="D78" s="29"/>
      <c r="E78" s="30"/>
      <c r="F78" s="30"/>
      <c r="G78" s="31"/>
      <c r="H78" s="32" t="s">
        <v>134</v>
      </c>
      <c r="I78" s="32" t="s">
        <v>134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152</v>
      </c>
      <c r="D80" s="29"/>
      <c r="E80" s="30"/>
      <c r="F80" s="30"/>
      <c r="G80" s="31"/>
      <c r="H80" s="32" t="s">
        <v>134</v>
      </c>
      <c r="I80" s="32" t="s">
        <v>134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153</v>
      </c>
      <c r="D82" s="29"/>
      <c r="E82" s="30"/>
      <c r="F82" s="30"/>
      <c r="G82" s="31"/>
      <c r="H82" s="32" t="s">
        <v>134</v>
      </c>
      <c r="I82" s="32" t="s">
        <v>134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154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155</v>
      </c>
      <c r="D85" s="29"/>
      <c r="E85" s="30"/>
      <c r="F85" s="30"/>
      <c r="G85" s="31"/>
      <c r="H85" s="32">
        <v>550.72</v>
      </c>
      <c r="I85" s="32">
        <v>6.81</v>
      </c>
      <c r="J85" s="33"/>
    </row>
    <row r="86" spans="1:10" x14ac:dyDescent="0.25">
      <c r="C86" s="28" t="s">
        <v>132</v>
      </c>
      <c r="D86" s="29"/>
      <c r="E86" s="30"/>
      <c r="F86" s="30"/>
      <c r="G86" s="31"/>
      <c r="H86" s="35">
        <v>550.72</v>
      </c>
      <c r="I86" s="35">
        <v>6.81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156</v>
      </c>
      <c r="D88" s="37"/>
      <c r="E88" s="38"/>
      <c r="F88" s="39"/>
      <c r="G88" s="40"/>
      <c r="H88" s="41">
        <v>8098.4</v>
      </c>
      <c r="I88" s="41">
        <f>SUMIFS(I:I,C:C,"Total")</f>
        <v>100</v>
      </c>
      <c r="J88" s="42"/>
    </row>
    <row r="91" spans="1:10" x14ac:dyDescent="0.25">
      <c r="C91" s="11" t="s">
        <v>157</v>
      </c>
    </row>
    <row r="92" spans="1:10" x14ac:dyDescent="0.25">
      <c r="C92" s="2" t="s">
        <v>158</v>
      </c>
    </row>
    <row r="93" spans="1:10" x14ac:dyDescent="0.25">
      <c r="C93" s="2" t="s">
        <v>159</v>
      </c>
    </row>
    <row r="94" spans="1:10" x14ac:dyDescent="0.25">
      <c r="C94" s="2" t="s">
        <v>160</v>
      </c>
    </row>
    <row r="95" spans="1:10" x14ac:dyDescent="0.25">
      <c r="C95" s="2" t="s">
        <v>161</v>
      </c>
    </row>
    <row r="96" spans="1:10" x14ac:dyDescent="0.25">
      <c r="C96" s="2" t="s">
        <v>162</v>
      </c>
    </row>
    <row r="97" spans="3:5" x14ac:dyDescent="0.25">
      <c r="C97" s="2" t="s">
        <v>163</v>
      </c>
    </row>
    <row r="98" spans="3:5" x14ac:dyDescent="0.25">
      <c r="D98" s="2" t="s">
        <v>164</v>
      </c>
    </row>
    <row r="99" spans="3:5" x14ac:dyDescent="0.25">
      <c r="C99" s="2" t="s">
        <v>165</v>
      </c>
      <c r="D99" s="2" t="s">
        <v>166</v>
      </c>
      <c r="E99" s="2" t="s">
        <v>166</v>
      </c>
    </row>
    <row r="100" spans="3:5" x14ac:dyDescent="0.25">
      <c r="D100" s="2" t="s">
        <v>167</v>
      </c>
      <c r="E100" s="2" t="s">
        <v>168</v>
      </c>
    </row>
    <row r="101" spans="3:5" x14ac:dyDescent="0.25">
      <c r="C101" s="2" t="s">
        <v>169</v>
      </c>
      <c r="D101" s="2">
        <v>85.85</v>
      </c>
      <c r="E101" s="2">
        <v>89.45</v>
      </c>
    </row>
    <row r="102" spans="3:5" x14ac:dyDescent="0.25">
      <c r="C102" s="2" t="s">
        <v>170</v>
      </c>
      <c r="D102" s="2">
        <v>183.26</v>
      </c>
      <c r="E102" s="2">
        <v>190.94</v>
      </c>
    </row>
    <row r="103" spans="3:5" x14ac:dyDescent="0.25">
      <c r="C103" s="2" t="s">
        <v>171</v>
      </c>
      <c r="D103" s="2">
        <v>91.97</v>
      </c>
      <c r="E103" s="2">
        <v>95.88</v>
      </c>
    </row>
    <row r="104" spans="3:5" x14ac:dyDescent="0.25">
      <c r="C104" s="2" t="s">
        <v>172</v>
      </c>
      <c r="D104" s="2">
        <v>199.56</v>
      </c>
      <c r="E104" s="2">
        <v>208.03</v>
      </c>
    </row>
    <row r="106" spans="3:5" x14ac:dyDescent="0.25">
      <c r="C106" s="2" t="s">
        <v>173</v>
      </c>
    </row>
    <row r="107" spans="3:5" x14ac:dyDescent="0.25">
      <c r="C107" s="2" t="s">
        <v>174</v>
      </c>
    </row>
    <row r="108" spans="3:5" x14ac:dyDescent="0.25">
      <c r="C108" s="2" t="s">
        <v>175</v>
      </c>
    </row>
    <row r="109" spans="3:5" x14ac:dyDescent="0.25">
      <c r="C109" s="2" t="s">
        <v>176</v>
      </c>
    </row>
    <row r="110" spans="3:5" x14ac:dyDescent="0.25">
      <c r="C110" s="2" t="s">
        <v>177</v>
      </c>
    </row>
    <row r="111" spans="3:5" x14ac:dyDescent="0.25">
      <c r="C111" s="2" t="s">
        <v>178</v>
      </c>
    </row>
    <row r="112" spans="3:5" x14ac:dyDescent="0.25">
      <c r="C112" s="2" t="s">
        <v>179</v>
      </c>
    </row>
    <row r="113" spans="3:3" x14ac:dyDescent="0.25">
      <c r="C113" s="2" t="s">
        <v>180</v>
      </c>
    </row>
    <row r="114" spans="3:3" x14ac:dyDescent="0.25">
      <c r="C114" s="2" t="s">
        <v>181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D10F-9773-489F-8EF0-B8F6008B0CEF}">
  <dimension ref="C3:K17"/>
  <sheetViews>
    <sheetView workbookViewId="0"/>
  </sheetViews>
  <sheetFormatPr defaultRowHeight="15" x14ac:dyDescent="0.25"/>
  <cols>
    <col min="3" max="3" width="43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182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183</v>
      </c>
      <c r="D4" s="46" t="s">
        <v>184</v>
      </c>
      <c r="E4" s="46"/>
      <c r="F4" s="46" t="s">
        <v>185</v>
      </c>
      <c r="G4" s="46"/>
      <c r="H4" s="46" t="s">
        <v>186</v>
      </c>
      <c r="I4" s="46"/>
      <c r="J4" s="47" t="s">
        <v>187</v>
      </c>
      <c r="K4" s="47"/>
    </row>
    <row r="5" spans="3:11" ht="63.75" x14ac:dyDescent="0.25">
      <c r="C5" s="48"/>
      <c r="D5" s="49" t="s">
        <v>188</v>
      </c>
      <c r="E5" s="49" t="s">
        <v>189</v>
      </c>
      <c r="F5" s="49" t="s">
        <v>188</v>
      </c>
      <c r="G5" s="49" t="s">
        <v>189</v>
      </c>
      <c r="H5" s="49" t="s">
        <v>188</v>
      </c>
      <c r="I5" s="49" t="s">
        <v>189</v>
      </c>
      <c r="J5" s="50" t="s">
        <v>188</v>
      </c>
      <c r="K5" s="50" t="s">
        <v>189</v>
      </c>
    </row>
    <row r="6" spans="3:11" x14ac:dyDescent="0.25">
      <c r="C6" s="51" t="s">
        <v>190</v>
      </c>
      <c r="D6" s="52">
        <v>10.2536</v>
      </c>
      <c r="E6" s="52">
        <v>11031.255416257438</v>
      </c>
      <c r="F6" s="52">
        <v>22.777100000000001</v>
      </c>
      <c r="G6" s="52">
        <v>18518.087479390942</v>
      </c>
      <c r="H6" s="52">
        <v>21.817499999999999</v>
      </c>
      <c r="I6" s="52">
        <v>26840.03373629463</v>
      </c>
      <c r="J6" s="52">
        <v>12.195211</v>
      </c>
      <c r="K6" s="52">
        <v>190940</v>
      </c>
    </row>
    <row r="7" spans="3:11" x14ac:dyDescent="0.25">
      <c r="C7" s="51" t="s">
        <v>191</v>
      </c>
      <c r="D7" s="52">
        <v>5.0903372999999998</v>
      </c>
      <c r="E7" s="52">
        <v>10509.033729999999</v>
      </c>
      <c r="F7" s="52">
        <v>21.669526999999999</v>
      </c>
      <c r="G7" s="52">
        <v>18011.31655252014</v>
      </c>
      <c r="H7" s="52">
        <v>24.019601999999999</v>
      </c>
      <c r="I7" s="52">
        <v>29339.429610201565</v>
      </c>
      <c r="J7" s="52" t="s">
        <v>192</v>
      </c>
      <c r="K7" s="52" t="s">
        <v>192</v>
      </c>
    </row>
    <row r="8" spans="3:11" x14ac:dyDescent="0.25">
      <c r="C8" s="51" t="s">
        <v>193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13.3131</v>
      </c>
      <c r="K8" s="52">
        <v>387879.96837636933</v>
      </c>
    </row>
    <row r="9" spans="3:11" x14ac:dyDescent="0.25">
      <c r="C9" s="51" t="s">
        <v>194</v>
      </c>
      <c r="D9" s="53">
        <v>173.09</v>
      </c>
      <c r="E9" s="54"/>
      <c r="F9" s="53">
        <v>103.11</v>
      </c>
      <c r="G9" s="54"/>
      <c r="H9" s="53">
        <v>71.14</v>
      </c>
      <c r="I9" s="54"/>
      <c r="J9" s="53">
        <v>10</v>
      </c>
      <c r="K9" s="54"/>
    </row>
    <row r="11" spans="3:11" ht="15.75" x14ac:dyDescent="0.25">
      <c r="C11" s="43" t="s">
        <v>195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183</v>
      </c>
      <c r="D12" s="46" t="s">
        <v>184</v>
      </c>
      <c r="E12" s="46"/>
      <c r="F12" s="46" t="s">
        <v>185</v>
      </c>
      <c r="G12" s="46"/>
      <c r="H12" s="46" t="s">
        <v>186</v>
      </c>
      <c r="I12" s="46"/>
      <c r="J12" s="47" t="s">
        <v>187</v>
      </c>
      <c r="K12" s="47"/>
    </row>
    <row r="13" spans="3:11" ht="63.75" x14ac:dyDescent="0.25">
      <c r="C13" s="48"/>
      <c r="D13" s="49" t="s">
        <v>188</v>
      </c>
      <c r="E13" s="49" t="s">
        <v>189</v>
      </c>
      <c r="F13" s="49" t="s">
        <v>188</v>
      </c>
      <c r="G13" s="49" t="s">
        <v>189</v>
      </c>
      <c r="H13" s="49" t="s">
        <v>188</v>
      </c>
      <c r="I13" s="49" t="s">
        <v>189</v>
      </c>
      <c r="J13" s="50" t="s">
        <v>188</v>
      </c>
      <c r="K13" s="50" t="s">
        <v>189</v>
      </c>
    </row>
    <row r="14" spans="3:11" x14ac:dyDescent="0.25">
      <c r="C14" s="51" t="s">
        <v>190</v>
      </c>
      <c r="D14" s="52">
        <v>10.8924</v>
      </c>
      <c r="E14" s="52">
        <v>11095.525094671715</v>
      </c>
      <c r="F14" s="52">
        <v>23.561900000000001</v>
      </c>
      <c r="G14" s="52">
        <v>18875.782596860543</v>
      </c>
      <c r="H14" s="52">
        <v>22.604500000000002</v>
      </c>
      <c r="I14" s="52">
        <v>27718.85409726849</v>
      </c>
      <c r="J14" s="52">
        <v>14.323499999999999</v>
      </c>
      <c r="K14" s="52">
        <v>53768.415611269062</v>
      </c>
    </row>
    <row r="15" spans="3:11" x14ac:dyDescent="0.25">
      <c r="C15" s="51" t="s">
        <v>191</v>
      </c>
      <c r="D15" s="52">
        <v>5.0903372999999998</v>
      </c>
      <c r="E15" s="52">
        <v>10509.033729999999</v>
      </c>
      <c r="F15" s="52">
        <v>21.669526999999999</v>
      </c>
      <c r="G15" s="52">
        <v>18011.31655252014</v>
      </c>
      <c r="H15" s="52">
        <v>24.019601999999999</v>
      </c>
      <c r="I15" s="52">
        <v>29339.429610201565</v>
      </c>
      <c r="J15" s="52">
        <v>14.86924</v>
      </c>
      <c r="K15" s="52">
        <v>56554.136436159366</v>
      </c>
    </row>
    <row r="16" spans="3:11" x14ac:dyDescent="0.25">
      <c r="C16" s="51" t="s">
        <v>193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13.6694</v>
      </c>
      <c r="K16" s="52">
        <v>49598.480408466232</v>
      </c>
    </row>
    <row r="17" spans="3:11" x14ac:dyDescent="0.25">
      <c r="C17" s="51" t="s">
        <v>196</v>
      </c>
      <c r="D17" s="53">
        <v>187.49</v>
      </c>
      <c r="E17" s="54"/>
      <c r="F17" s="53">
        <v>110.21</v>
      </c>
      <c r="G17" s="54"/>
      <c r="H17" s="53">
        <v>75.05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2025-07-07T10:23:50Z</dcterms:created>
  <dcterms:modified xsi:type="dcterms:W3CDTF">2025-07-08T08:17:05Z</dcterms:modified>
</cp:coreProperties>
</file>