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Sep 2024\Portfolio\Ops\"/>
    </mc:Choice>
  </mc:AlternateContent>
  <xr:revisionPtr revIDLastSave="0" documentId="13_ncr:1_{D96F9030-0B89-4C05-9CD7-D199D17E5BB0}" xr6:coauthVersionLast="47" xr6:coauthVersionMax="47" xr10:uidLastSave="{00000000-0000-0000-0000-000000000000}"/>
  <bookViews>
    <workbookView xWindow="-120" yWindow="-120" windowWidth="20730" windowHeight="11040" xr2:uid="{3418E3D0-6B54-4472-8D19-54D39E1489AD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TBF!$C$8:$C$46</definedName>
    <definedName name="XDO_?CLASS_4?">TBF!$C$9</definedName>
    <definedName name="XDO_?CS_1?">TBF!$H$11</definedName>
    <definedName name="XDO_?CS_2?">TBF!$I$11</definedName>
    <definedName name="XDO_?FINAL_ISIN?">TBF!$D$10:$D$90</definedName>
    <definedName name="XDO_?FINAL_MV?">TBF!$H$10:$H$90</definedName>
    <definedName name="XDO_?FINAL_NAME?">TBF!$C$10:$C$90</definedName>
    <definedName name="XDO_?FINAL_PER_NET?">TBF!$I$10:$I$90</definedName>
    <definedName name="XDO_?FINAL_QUANTITE?">TBF!$G$10:$G$90</definedName>
    <definedName name="XDO_?IND_01?">TBF!$F$10:$F$90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TBF!$C$2:$C$46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TBF!$B$10:$B$90</definedName>
    <definedName name="XDO_?NPTF?">TBF!$D$2:$D$46</definedName>
    <definedName name="XDO_?RATING?">TBF!$E$10:$E$90</definedName>
    <definedName name="XDO_?REMARKS?">TBF!$J$10:$J$90</definedName>
    <definedName name="XDO_?TDATE?">TBF!$D$4</definedName>
    <definedName name="XDO_?TITL?">TBF!$A$8:$A$46</definedName>
    <definedName name="XDO_GROUP_?G_2?">TBF!$2:$93</definedName>
    <definedName name="XDO_GROUP_?G_3?">TBF!$8:$92</definedName>
    <definedName name="XDO_GROUP_?G_4?">TBF!$B$90:$IV$90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 l="1"/>
</calcChain>
</file>

<file path=xl/sharedStrings.xml><?xml version="1.0" encoding="utf-8"?>
<sst xmlns="http://schemas.openxmlformats.org/spreadsheetml/2006/main" count="262" uniqueCount="191">
  <si>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</si>
  <si>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</si>
  <si>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</si>
  <si>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</si>
  <si>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</si>
  <si>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</si>
  <si>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</si>
  <si>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</si>
  <si>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</si>
  <si>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</si>
  <si>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</si>
  <si>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</si>
  <si>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</si>
  <si>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</si>
  <si>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</si>
  <si>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</si>
  <si>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</si>
  <si>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</si>
  <si>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</si>
  <si>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</si>
  <si>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</si>
  <si>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</si>
  <si>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</si>
  <si>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</si>
  <si>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</si>
  <si>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</si>
  <si>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100037</t>
  </si>
  <si>
    <t>HCL Technologies Ltd.</t>
  </si>
  <si>
    <t>INE860A01027</t>
  </si>
  <si>
    <t>IT - Software</t>
  </si>
  <si>
    <t>100097</t>
  </si>
  <si>
    <t>Coal India Ltd.</t>
  </si>
  <si>
    <t>INE522F01014</t>
  </si>
  <si>
    <t>Consumable Fuels</t>
  </si>
  <si>
    <t>100012</t>
  </si>
  <si>
    <t>ICICI Bank Ltd.</t>
  </si>
  <si>
    <t>INE090A01021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</si>
  <si>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</si>
  <si>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</si>
  <si>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</si>
  <si>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</si>
  <si>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</si>
  <si>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</si>
  <si>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</si>
  <si>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100106</t>
  </si>
  <si>
    <t>Maruti Suzuki India Ltd.</t>
  </si>
  <si>
    <t>INE585B01010</t>
  </si>
  <si>
    <t>100005</t>
  </si>
  <si>
    <t>Larsen &amp; Toubro Ltd.</t>
  </si>
  <si>
    <t>INE018A01030</t>
  </si>
  <si>
    <t>Construction</t>
  </si>
  <si>
    <t>101178</t>
  </si>
  <si>
    <t>Computer Age Management Services Ltd.</t>
  </si>
  <si>
    <t>INE596I01012</t>
  </si>
  <si>
    <t>Capital Markets</t>
  </si>
  <si>
    <t>100003</t>
  </si>
  <si>
    <t>Infosys Ltd.</t>
  </si>
  <si>
    <t>INE009A01021</t>
  </si>
  <si>
    <t>100111</t>
  </si>
  <si>
    <t>Oil &amp; Natural Gas Corporation Ltd.</t>
  </si>
  <si>
    <t>INE213A01029</t>
  </si>
  <si>
    <t>Oil</t>
  </si>
  <si>
    <t>100830</t>
  </si>
  <si>
    <t>Varun Beverages Ltd.</t>
  </si>
  <si>
    <t>INE200M01021</t>
  </si>
  <si>
    <t>Beverages</t>
  </si>
  <si>
    <t>100181</t>
  </si>
  <si>
    <t>NTPC Ltd.</t>
  </si>
  <si>
    <t>INE733E01010</t>
  </si>
  <si>
    <t>Power</t>
  </si>
  <si>
    <t>100169</t>
  </si>
  <si>
    <t>Indian Oil Corporation Ltd.</t>
  </si>
  <si>
    <t>INE242A01010</t>
  </si>
  <si>
    <t>Petroleum Products</t>
  </si>
  <si>
    <t>100002</t>
  </si>
  <si>
    <t>Reliance Industries Ltd.</t>
  </si>
  <si>
    <t>INE002A01018</t>
  </si>
  <si>
    <t>100182</t>
  </si>
  <si>
    <t>Power Grid Corporation of India Ltd.</t>
  </si>
  <si>
    <t>INE752E01010</t>
  </si>
  <si>
    <t>100153</t>
  </si>
  <si>
    <t>Cipla Ltd.</t>
  </si>
  <si>
    <t>INE059A01026</t>
  </si>
  <si>
    <t>Pharmaceuticals &amp; Biotechnology</t>
  </si>
  <si>
    <t>100008</t>
  </si>
  <si>
    <t>Sun Pharmaceutical Industries Ltd.</t>
  </si>
  <si>
    <t>INE044A01036</t>
  </si>
  <si>
    <t>100150</t>
  </si>
  <si>
    <t>Apollo Hospitals Enterprise Ltd.</t>
  </si>
  <si>
    <t>INE437A01024</t>
  </si>
  <si>
    <t>Healthcare Services</t>
  </si>
  <si>
    <t>102135</t>
  </si>
  <si>
    <t>Le Travenues Technology Pvt. Ltd.</t>
  </si>
  <si>
    <t>INE0HV901016</t>
  </si>
  <si>
    <t>Leisure Services</t>
  </si>
  <si>
    <t>100184</t>
  </si>
  <si>
    <t>Tata Steel Ltd.</t>
  </si>
  <si>
    <t>INE081A01020</t>
  </si>
  <si>
    <t>Ferrous Metals</t>
  </si>
  <si>
    <t>101698</t>
  </si>
  <si>
    <t>Swan Energy Ltd.</t>
  </si>
  <si>
    <t>INE665A01038</t>
  </si>
  <si>
    <t>Diversified</t>
  </si>
  <si>
    <t>100119</t>
  </si>
  <si>
    <t>Tata Motors Ltd.</t>
  </si>
  <si>
    <t>INE155A01022</t>
  </si>
  <si>
    <t>100147</t>
  </si>
  <si>
    <t>Tech Mahindra Ltd.</t>
  </si>
  <si>
    <t>INE669C01036</t>
  </si>
  <si>
    <t>100302</t>
  </si>
  <si>
    <t>DLF Ltd.</t>
  </si>
  <si>
    <t>INE271C01023</t>
  </si>
  <si>
    <t>Realty</t>
  </si>
  <si>
    <t>100100</t>
  </si>
  <si>
    <t>Hindustan Petroleum Corporation Ltd.</t>
  </si>
  <si>
    <t>INE094A01015</t>
  </si>
  <si>
    <t>100132</t>
  </si>
  <si>
    <t>Info Edge (India) Ltd.</t>
  </si>
  <si>
    <t>INE663F01024</t>
  </si>
  <si>
    <t>Retailing</t>
  </si>
  <si>
    <t>101949</t>
  </si>
  <si>
    <t>Samhi Hotels Ltd.</t>
  </si>
  <si>
    <t>INE08U801020</t>
  </si>
  <si>
    <t>100292</t>
  </si>
  <si>
    <t>Steel Authority of India Ltd.</t>
  </si>
  <si>
    <t>INE114A01011</t>
  </si>
  <si>
    <t>100080</t>
  </si>
  <si>
    <t>Dr. Reddy's Laboratories Ltd.</t>
  </si>
  <si>
    <t>INE089A01023</t>
  </si>
  <si>
    <t>101433</t>
  </si>
  <si>
    <t>Metro Brands Ltd.</t>
  </si>
  <si>
    <t>INE317I01021</t>
  </si>
  <si>
    <t>Consumer Durables</t>
  </si>
  <si>
    <t>100081</t>
  </si>
  <si>
    <t>Titan Company Ltd.</t>
  </si>
  <si>
    <t>INE280A01028</t>
  </si>
  <si>
    <t>100326</t>
  </si>
  <si>
    <t>E.I.D-Parry (India) Ltd.</t>
  </si>
  <si>
    <t>INE126A01031</t>
  </si>
  <si>
    <t>Fertilizers &amp; Agrochemicals</t>
  </si>
  <si>
    <t>100083</t>
  </si>
  <si>
    <t>Samvardhana Motherson International Ltd.</t>
  </si>
  <si>
    <t>INE775A01035</t>
  </si>
  <si>
    <t>Auto Components</t>
  </si>
  <si>
    <t>100399</t>
  </si>
  <si>
    <t>Cholamandalam Investment &amp; Finance Co. Ltd.</t>
  </si>
  <si>
    <t>INE121A01024</t>
  </si>
  <si>
    <t>Finance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</si>
  <si>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</si>
  <si>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</si>
  <si>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</si>
  <si>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</si>
  <si>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</si>
  <si>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</si>
  <si>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</si>
  <si>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</si>
  <si>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</si>
  <si>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</si>
  <si>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</si>
  <si>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</si>
  <si>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</si>
  <si>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</si>
  <si>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</si>
  <si>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</si>
  <si>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</si>
  <si>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</si>
  <si>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</si>
  <si>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</si>
  <si>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</si>
  <si>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</si>
  <si>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</si>
  <si>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</si>
  <si>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</si>
  <si>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</si>
  <si>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</si>
  <si>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</si>
  <si>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</si>
  <si>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</si>
  <si>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</si>
  <si>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</si>
  <si>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</si>
  <si>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</si>
  <si>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</si>
  <si>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</si>
  <si>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</si>
  <si>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</si>
  <si>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</si>
  <si>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</si>
  <si>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August 30, 2024 : 162.57)</t>
  </si>
  <si>
    <t>Taurus Largecap Equity Fund - Direct Plan Growth Option</t>
  </si>
  <si>
    <t>NAV [Rs.] Per Unit (as on August 30, 2024 : 171.74)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</si>
</sst>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6AE299FD-B178-4E8E-B9DA-931301AE4464}"/>
    <cellStyle name="Hyperlink" xfId="2" builtinId="8"/>
    <cellStyle name="Normal" xfId="0" builtinId="0"/>
    <cellStyle name="Normal 2" xfId="4" xr:uid="{2CEE2384-142B-412E-8551-B96F1526D62E}"/>
    <cellStyle name="Style 1" xfId="3" xr:uid="{027B634A-1BF0-4C94-9624-B5A7302E1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707359</xdr:colOff>
      <xdr:row>0</xdr:row>
      <xdr:rowOff>2053166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DE603-0CBA-4748-9E85-5BB41564D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28859" cy="2053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ug_2024\Client%20Report\TMF_Monthly_Portfolio_Report_August%2024.xls" TargetMode="External"/><Relationship Id="rId1" Type="http://schemas.openxmlformats.org/officeDocument/2006/relationships/externalLinkPath" Target="TMF_Monthly_Portfolio_Report_August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352C-460C-499A-B155-AABA69C8F34F}">
  <sheetPr codeName="Sheet1"/>
  <dimension ref="A1:BB9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45535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26985</v>
      </c>
      <c r="H10" s="32">
        <v>440.65</v>
      </c>
      <c r="I10" s="32">
        <v>8.48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34404</v>
      </c>
      <c r="H11" s="32">
        <v>280.62</v>
      </c>
      <c r="I11" s="32">
        <v>5.4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54880</v>
      </c>
      <c r="H12" s="32">
        <v>275.42</v>
      </c>
      <c r="I12" s="32">
        <v>5.3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15577</v>
      </c>
      <c r="H13" s="32">
        <v>272.93</v>
      </c>
      <c r="I13" s="32">
        <v>5.25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48149</v>
      </c>
      <c r="H14" s="32">
        <v>252.78</v>
      </c>
      <c r="I14" s="32">
        <v>4.8600000000000003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19245</v>
      </c>
      <c r="H15" s="32">
        <v>236.74</v>
      </c>
      <c r="I15" s="32">
        <v>4.55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8410</v>
      </c>
      <c r="H16" s="32">
        <v>235.99</v>
      </c>
      <c r="I16" s="32">
        <v>4.54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19761</v>
      </c>
      <c r="H17" s="32">
        <v>232.29</v>
      </c>
      <c r="I17" s="32">
        <v>4.47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40</v>
      </c>
      <c r="G18" s="31">
        <v>1553</v>
      </c>
      <c r="H18" s="32">
        <v>192.9</v>
      </c>
      <c r="I18" s="32">
        <v>3.71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5056</v>
      </c>
      <c r="H19" s="32">
        <v>187.23</v>
      </c>
      <c r="I19" s="32">
        <v>3.6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3807</v>
      </c>
      <c r="H20" s="32">
        <v>162.25</v>
      </c>
      <c r="I20" s="32">
        <v>3.12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29</v>
      </c>
      <c r="G21" s="31">
        <v>8147</v>
      </c>
      <c r="H21" s="32">
        <v>158.32</v>
      </c>
      <c r="I21" s="32">
        <v>3.05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42238</v>
      </c>
      <c r="H22" s="32">
        <v>139.63999999999999</v>
      </c>
      <c r="I22" s="32">
        <v>2.69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9086</v>
      </c>
      <c r="H23" s="32">
        <v>136.38</v>
      </c>
      <c r="I23" s="32">
        <v>2.62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31179</v>
      </c>
      <c r="H24" s="32">
        <v>129.83000000000001</v>
      </c>
      <c r="I24" s="32">
        <v>2.5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68770</v>
      </c>
      <c r="H25" s="32">
        <v>121.69</v>
      </c>
      <c r="I25" s="32">
        <v>2.34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73</v>
      </c>
      <c r="G26" s="31">
        <v>3795</v>
      </c>
      <c r="H26" s="32">
        <v>114.6</v>
      </c>
      <c r="I26" s="32">
        <v>2.2000000000000002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69</v>
      </c>
      <c r="G27" s="31">
        <v>33010</v>
      </c>
      <c r="H27" s="32">
        <v>111.38</v>
      </c>
      <c r="I27" s="32">
        <v>2.14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6725</v>
      </c>
      <c r="H28" s="32">
        <v>111.35</v>
      </c>
      <c r="I28" s="32">
        <v>2.14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83</v>
      </c>
      <c r="G29" s="31">
        <v>5849</v>
      </c>
      <c r="H29" s="32">
        <v>106.5</v>
      </c>
      <c r="I29" s="32">
        <v>2.0499999999999998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1517</v>
      </c>
      <c r="H30" s="32">
        <v>105.11</v>
      </c>
      <c r="I30" s="32">
        <v>2.02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63724</v>
      </c>
      <c r="H31" s="32">
        <v>104.99</v>
      </c>
      <c r="I31" s="32">
        <v>2.02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67885</v>
      </c>
      <c r="H32" s="32">
        <v>103.73</v>
      </c>
      <c r="I32" s="32">
        <v>2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14538</v>
      </c>
      <c r="H33" s="32">
        <v>98.49</v>
      </c>
      <c r="I33" s="32">
        <v>1.89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40</v>
      </c>
      <c r="G34" s="31">
        <v>8674</v>
      </c>
      <c r="H34" s="32">
        <v>96.23</v>
      </c>
      <c r="I34" s="32">
        <v>1.85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29</v>
      </c>
      <c r="G35" s="31">
        <v>5523</v>
      </c>
      <c r="H35" s="32">
        <v>90.34</v>
      </c>
      <c r="I35" s="32">
        <v>1.74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10345</v>
      </c>
      <c r="H36" s="32">
        <v>87.47</v>
      </c>
      <c r="I36" s="32">
        <v>1.68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73</v>
      </c>
      <c r="G37" s="31">
        <v>16902</v>
      </c>
      <c r="H37" s="32">
        <v>70.86</v>
      </c>
      <c r="I37" s="32">
        <v>1.36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876</v>
      </c>
      <c r="H38" s="32">
        <v>67.290000000000006</v>
      </c>
      <c r="I38" s="32">
        <v>1.29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94</v>
      </c>
      <c r="G39" s="31">
        <v>31683</v>
      </c>
      <c r="H39" s="32">
        <v>65.459999999999994</v>
      </c>
      <c r="I39" s="32">
        <v>1.26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98</v>
      </c>
      <c r="G40" s="31">
        <v>46227</v>
      </c>
      <c r="H40" s="32">
        <v>61.81</v>
      </c>
      <c r="I40" s="32">
        <v>1.19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83</v>
      </c>
      <c r="G41" s="31">
        <v>855</v>
      </c>
      <c r="H41" s="32">
        <v>60.1</v>
      </c>
      <c r="I41" s="32">
        <v>1.1599999999999999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3825</v>
      </c>
      <c r="H42" s="32">
        <v>50.06</v>
      </c>
      <c r="I42" s="32">
        <v>0.96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132</v>
      </c>
      <c r="G43" s="31">
        <v>1393</v>
      </c>
      <c r="H43" s="32">
        <v>49.69</v>
      </c>
      <c r="I43" s="32">
        <v>0.96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3661</v>
      </c>
      <c r="H44" s="32">
        <v>30.39</v>
      </c>
      <c r="I44" s="32">
        <v>0.57999999999999996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15341</v>
      </c>
      <c r="H45" s="32">
        <v>29.95</v>
      </c>
      <c r="I45" s="32">
        <v>0.57999999999999996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1900</v>
      </c>
      <c r="H46" s="32">
        <v>27.68</v>
      </c>
      <c r="I46" s="32">
        <v>0.53</v>
      </c>
      <c r="J46" s="33"/>
    </row>
    <row r="47" spans="2:10" x14ac:dyDescent="0.25">
      <c r="C47" s="28" t="s">
        <v>148</v>
      </c>
      <c r="D47" s="29"/>
      <c r="E47" s="30"/>
      <c r="F47" s="30"/>
      <c r="G47" s="31"/>
      <c r="H47" s="35">
        <v>5099.1400000000003</v>
      </c>
      <c r="I47" s="35">
        <v>98.08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149</v>
      </c>
      <c r="D49" s="29"/>
      <c r="E49" s="30"/>
      <c r="F49" s="30"/>
      <c r="G49" s="31"/>
      <c r="H49" s="32" t="s">
        <v>150</v>
      </c>
      <c r="I49" s="32" t="s">
        <v>150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151</v>
      </c>
      <c r="D51" s="29"/>
      <c r="E51" s="30"/>
      <c r="F51" s="30"/>
      <c r="G51" s="31"/>
      <c r="H51" s="32" t="s">
        <v>150</v>
      </c>
      <c r="I51" s="32" t="s">
        <v>150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152</v>
      </c>
      <c r="D53" s="29"/>
      <c r="E53" s="30"/>
      <c r="F53" s="30"/>
      <c r="G53" s="31"/>
      <c r="H53" s="32"/>
      <c r="I53" s="32"/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153</v>
      </c>
      <c r="D55" s="29"/>
      <c r="E55" s="30"/>
      <c r="F55" s="30"/>
      <c r="G55" s="31"/>
      <c r="H55" s="32" t="s">
        <v>150</v>
      </c>
      <c r="I55" s="32" t="s">
        <v>150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154</v>
      </c>
      <c r="D57" s="29"/>
      <c r="E57" s="30"/>
      <c r="F57" s="30"/>
      <c r="G57" s="31"/>
      <c r="H57" s="32" t="s">
        <v>150</v>
      </c>
      <c r="I57" s="32" t="s">
        <v>150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155</v>
      </c>
      <c r="D59" s="29"/>
      <c r="E59" s="30"/>
      <c r="F59" s="30"/>
      <c r="G59" s="31"/>
      <c r="H59" s="32" t="s">
        <v>150</v>
      </c>
      <c r="I59" s="32" t="s">
        <v>150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156</v>
      </c>
      <c r="D61" s="29"/>
      <c r="E61" s="30"/>
      <c r="F61" s="30"/>
      <c r="G61" s="31"/>
      <c r="H61" s="32" t="s">
        <v>150</v>
      </c>
      <c r="I61" s="32" t="s">
        <v>150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157</v>
      </c>
      <c r="D63" s="29"/>
      <c r="E63" s="30"/>
      <c r="F63" s="30"/>
      <c r="G63" s="31"/>
      <c r="H63" s="32" t="s">
        <v>150</v>
      </c>
      <c r="I63" s="32" t="s">
        <v>150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158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159</v>
      </c>
      <c r="D67" s="29"/>
      <c r="E67" s="30"/>
      <c r="F67" s="30"/>
      <c r="G67" s="31"/>
      <c r="H67" s="32" t="s">
        <v>150</v>
      </c>
      <c r="I67" s="32" t="s">
        <v>150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160</v>
      </c>
      <c r="D69" s="29"/>
      <c r="E69" s="30"/>
      <c r="F69" s="30"/>
      <c r="G69" s="31"/>
      <c r="H69" s="32" t="s">
        <v>150</v>
      </c>
      <c r="I69" s="32" t="s">
        <v>150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161</v>
      </c>
      <c r="D71" s="29"/>
      <c r="E71" s="30"/>
      <c r="F71" s="30"/>
      <c r="G71" s="31"/>
      <c r="H71" s="32" t="s">
        <v>150</v>
      </c>
      <c r="I71" s="32" t="s">
        <v>150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162</v>
      </c>
      <c r="D73" s="29"/>
      <c r="E73" s="30"/>
      <c r="F73" s="30"/>
      <c r="G73" s="31"/>
      <c r="H73" s="32" t="s">
        <v>150</v>
      </c>
      <c r="I73" s="32" t="s">
        <v>150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163</v>
      </c>
      <c r="D75" s="29"/>
      <c r="E75" s="30"/>
      <c r="F75" s="30"/>
      <c r="G75" s="31"/>
      <c r="H75" s="32"/>
      <c r="I75" s="32"/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164</v>
      </c>
      <c r="D77" s="29"/>
      <c r="E77" s="30"/>
      <c r="F77" s="30"/>
      <c r="G77" s="31"/>
      <c r="H77" s="32" t="s">
        <v>150</v>
      </c>
      <c r="I77" s="32" t="s">
        <v>150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165</v>
      </c>
      <c r="D79" s="29"/>
      <c r="E79" s="30"/>
      <c r="F79" s="30"/>
      <c r="G79" s="31"/>
      <c r="H79" s="32" t="s">
        <v>150</v>
      </c>
      <c r="I79" s="32" t="s">
        <v>150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166</v>
      </c>
      <c r="D81" s="29"/>
      <c r="E81" s="30"/>
      <c r="F81" s="30"/>
      <c r="G81" s="31"/>
      <c r="H81" s="32" t="s">
        <v>150</v>
      </c>
      <c r="I81" s="32" t="s">
        <v>150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167</v>
      </c>
      <c r="D83" s="29"/>
      <c r="E83" s="30"/>
      <c r="F83" s="30"/>
      <c r="G83" s="31"/>
      <c r="H83" s="32" t="s">
        <v>150</v>
      </c>
      <c r="I83" s="32" t="s">
        <v>150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168</v>
      </c>
      <c r="D85" s="29"/>
      <c r="E85" s="30"/>
      <c r="F85" s="30"/>
      <c r="G85" s="31"/>
      <c r="H85" s="32" t="s">
        <v>150</v>
      </c>
      <c r="I85" s="32" t="s">
        <v>150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169</v>
      </c>
      <c r="D87" s="29"/>
      <c r="E87" s="30"/>
      <c r="F87" s="30"/>
      <c r="G87" s="31"/>
      <c r="H87" s="32" t="s">
        <v>150</v>
      </c>
      <c r="I87" s="32" t="s">
        <v>150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A89" s="26"/>
      <c r="B89" s="27"/>
      <c r="C89" s="28" t="s">
        <v>170</v>
      </c>
      <c r="D89" s="29"/>
      <c r="E89" s="30"/>
      <c r="F89" s="30"/>
      <c r="G89" s="31"/>
      <c r="H89" s="32"/>
      <c r="I89" s="32"/>
      <c r="J89" s="33"/>
    </row>
    <row r="90" spans="1:10" x14ac:dyDescent="0.25">
      <c r="B90" s="1"/>
      <c r="C90" s="20" t="s">
        <v>171</v>
      </c>
      <c r="D90" s="29"/>
      <c r="E90" s="30"/>
      <c r="F90" s="30"/>
      <c r="G90" s="31"/>
      <c r="H90" s="32">
        <v>99.34</v>
      </c>
      <c r="I90" s="32">
        <v>1.92</v>
      </c>
      <c r="J90" s="33"/>
    </row>
    <row r="91" spans="1:10" x14ac:dyDescent="0.25">
      <c r="C91" s="28" t="s">
        <v>148</v>
      </c>
      <c r="D91" s="29"/>
      <c r="E91" s="30"/>
      <c r="F91" s="30"/>
      <c r="G91" s="31"/>
      <c r="H91" s="35">
        <v>99.34</v>
      </c>
      <c r="I91" s="35">
        <v>1.92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ht="14.25" thickBot="1" x14ac:dyDescent="0.3">
      <c r="C93" s="36" t="s">
        <v>172</v>
      </c>
      <c r="D93" s="37"/>
      <c r="E93" s="38"/>
      <c r="F93" s="39"/>
      <c r="G93" s="40"/>
      <c r="H93" s="41">
        <v>5198.4799999999996</v>
      </c>
      <c r="I93" s="41">
        <f>SUMIFS(I:I,C:C,"Total")</f>
        <v>100</v>
      </c>
      <c r="J93" s="42"/>
    </row>
    <row r="96" spans="1:10" x14ac:dyDescent="0.25">
      <c r="C96" s="11" t="s">
        <v>173</v>
      </c>
    </row>
    <row r="97" spans="3:3" x14ac:dyDescent="0.25">
      <c r="C97" s="2" t="s">
        <v>174</v>
      </c>
    </row>
    <row r="98" spans="3:3" x14ac:dyDescent="0.25">
      <c r="C98" s="2" t="s">
        <v>175</v>
      </c>
    </row>
    <row r="99" spans="3:3" x14ac:dyDescent="0.25">
      <c r="C99" s="2" t="s">
        <v>176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F929-ED71-44D1-98AD-DF9F20DB4797}">
  <dimension ref="C3:K17"/>
  <sheetViews>
    <sheetView workbookViewId="0"/>
  </sheetViews>
  <sheetFormatPr defaultRowHeight="15" x14ac:dyDescent="0.25"/>
  <cols>
    <col min="3" max="3" width="47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177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178</v>
      </c>
      <c r="D4" s="46" t="s">
        <v>179</v>
      </c>
      <c r="E4" s="46"/>
      <c r="F4" s="46" t="s">
        <v>180</v>
      </c>
      <c r="G4" s="46"/>
      <c r="H4" s="46" t="s">
        <v>181</v>
      </c>
      <c r="I4" s="46"/>
      <c r="J4" s="46" t="s">
        <v>182</v>
      </c>
      <c r="K4" s="46"/>
    </row>
    <row r="5" spans="3:11" ht="63.75" x14ac:dyDescent="0.25">
      <c r="C5" s="47"/>
      <c r="D5" s="48" t="s">
        <v>183</v>
      </c>
      <c r="E5" s="48" t="s">
        <v>184</v>
      </c>
      <c r="F5" s="48" t="s">
        <v>183</v>
      </c>
      <c r="G5" s="48" t="s">
        <v>184</v>
      </c>
      <c r="H5" s="48" t="s">
        <v>183</v>
      </c>
      <c r="I5" s="48" t="s">
        <v>184</v>
      </c>
      <c r="J5" s="48" t="s">
        <v>183</v>
      </c>
      <c r="K5" s="48" t="s">
        <v>184</v>
      </c>
    </row>
    <row r="6" spans="3:11" x14ac:dyDescent="0.25">
      <c r="C6" s="49" t="s">
        <v>185</v>
      </c>
      <c r="D6" s="50">
        <v>43.994685562444637</v>
      </c>
      <c r="E6" s="50">
        <v>14399.468556244463</v>
      </c>
      <c r="F6" s="50">
        <v>16.986141090491813</v>
      </c>
      <c r="G6" s="50">
        <v>16010.439235769152</v>
      </c>
      <c r="H6" s="50">
        <v>17.955697579255727</v>
      </c>
      <c r="I6" s="50">
        <v>22855.335301560524</v>
      </c>
      <c r="J6" s="50">
        <v>11.295195641830503</v>
      </c>
      <c r="K6" s="50">
        <v>162570</v>
      </c>
    </row>
    <row r="7" spans="3:11" x14ac:dyDescent="0.25">
      <c r="C7" s="49" t="s">
        <v>186</v>
      </c>
      <c r="D7" s="50">
        <v>36.929441193325616</v>
      </c>
      <c r="E7" s="50">
        <v>13692.944119332562</v>
      </c>
      <c r="F7" s="50">
        <v>17.046834095451004</v>
      </c>
      <c r="G7" s="50">
        <v>16035.3710579542</v>
      </c>
      <c r="H7" s="50">
        <v>20.670724814391185</v>
      </c>
      <c r="I7" s="50">
        <v>25586.424844011235</v>
      </c>
      <c r="J7" s="50">
        <v>12.848853609596912</v>
      </c>
      <c r="K7" s="50">
        <v>354722.31371301226</v>
      </c>
    </row>
    <row r="8" spans="3:11" x14ac:dyDescent="0.25">
      <c r="C8" s="49" t="s">
        <v>187</v>
      </c>
      <c r="D8" s="50">
        <v>32.637285288704689</v>
      </c>
      <c r="E8" s="50">
        <v>13263.728528870468</v>
      </c>
      <c r="F8" s="50">
        <v>15.165415879249267</v>
      </c>
      <c r="G8" s="50">
        <v>15274.473195679144</v>
      </c>
      <c r="H8" s="50">
        <v>19.371647399859615</v>
      </c>
      <c r="I8" s="50">
        <v>24238.511002957006</v>
      </c>
      <c r="J8" s="50">
        <v>12.785463879034854</v>
      </c>
      <c r="K8" s="50">
        <v>348886.52167353785</v>
      </c>
    </row>
    <row r="9" spans="3:11" x14ac:dyDescent="0.25">
      <c r="C9" s="49" t="s">
        <v>188</v>
      </c>
      <c r="D9" s="51">
        <v>112.9</v>
      </c>
      <c r="E9" s="52"/>
      <c r="F9" s="51">
        <v>101.54</v>
      </c>
      <c r="G9" s="52"/>
      <c r="H9" s="51">
        <v>71.13</v>
      </c>
      <c r="I9" s="52"/>
      <c r="J9" s="51">
        <v>10</v>
      </c>
      <c r="K9" s="52"/>
    </row>
    <row r="11" spans="3:11" ht="15.75" x14ac:dyDescent="0.25">
      <c r="C11" s="43" t="s">
        <v>189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178</v>
      </c>
      <c r="D12" s="46" t="s">
        <v>179</v>
      </c>
      <c r="E12" s="46"/>
      <c r="F12" s="46" t="s">
        <v>180</v>
      </c>
      <c r="G12" s="46"/>
      <c r="H12" s="46" t="s">
        <v>181</v>
      </c>
      <c r="I12" s="46"/>
      <c r="J12" s="46" t="s">
        <v>182</v>
      </c>
      <c r="K12" s="46"/>
    </row>
    <row r="13" spans="3:11" ht="63.75" x14ac:dyDescent="0.25">
      <c r="C13" s="47"/>
      <c r="D13" s="48" t="s">
        <v>183</v>
      </c>
      <c r="E13" s="48" t="s">
        <v>184</v>
      </c>
      <c r="F13" s="48" t="s">
        <v>183</v>
      </c>
      <c r="G13" s="48" t="s">
        <v>184</v>
      </c>
      <c r="H13" s="48" t="s">
        <v>183</v>
      </c>
      <c r="I13" s="48" t="s">
        <v>184</v>
      </c>
      <c r="J13" s="48" t="s">
        <v>183</v>
      </c>
      <c r="K13" s="48" t="s">
        <v>184</v>
      </c>
    </row>
    <row r="14" spans="3:11" x14ac:dyDescent="0.25">
      <c r="C14" s="49" t="s">
        <v>185</v>
      </c>
      <c r="D14" s="50">
        <v>44.137641628199752</v>
      </c>
      <c r="E14" s="50">
        <v>14413.764162819974</v>
      </c>
      <c r="F14" s="50">
        <v>17.09084900407445</v>
      </c>
      <c r="G14" s="50">
        <v>16053.467937932324</v>
      </c>
      <c r="H14" s="50">
        <v>18.094865010600358</v>
      </c>
      <c r="I14" s="50">
        <v>22990.629183400266</v>
      </c>
      <c r="J14" s="50">
        <v>12.268938732805768</v>
      </c>
      <c r="K14" s="50">
        <v>38575.920934411501</v>
      </c>
    </row>
    <row r="15" spans="3:11" x14ac:dyDescent="0.25">
      <c r="C15" s="49" t="s">
        <v>186</v>
      </c>
      <c r="D15" s="50">
        <v>36.929441193325616</v>
      </c>
      <c r="E15" s="50">
        <v>13692.944119332562</v>
      </c>
      <c r="F15" s="50">
        <v>17.046834095451004</v>
      </c>
      <c r="G15" s="50">
        <v>16035.3710579542</v>
      </c>
      <c r="H15" s="50">
        <v>20.670724814391185</v>
      </c>
      <c r="I15" s="50">
        <v>25586.424844011235</v>
      </c>
      <c r="J15" s="50">
        <v>15.119124929196847</v>
      </c>
      <c r="K15" s="50">
        <v>51681.060932266664</v>
      </c>
    </row>
    <row r="16" spans="3:11" x14ac:dyDescent="0.25">
      <c r="C16" s="49" t="s">
        <v>187</v>
      </c>
      <c r="D16" s="50">
        <v>32.637285288704689</v>
      </c>
      <c r="E16" s="50">
        <v>13263.728528870468</v>
      </c>
      <c r="F16" s="50">
        <v>15.165415879249267</v>
      </c>
      <c r="G16" s="50">
        <v>15274.473195679144</v>
      </c>
      <c r="H16" s="50">
        <v>19.371647399859615</v>
      </c>
      <c r="I16" s="50">
        <v>24238.511002957006</v>
      </c>
      <c r="J16" s="50">
        <v>14.517733054188419</v>
      </c>
      <c r="K16" s="50">
        <v>48617.754394343639</v>
      </c>
    </row>
    <row r="17" spans="3:11" x14ac:dyDescent="0.25">
      <c r="C17" s="49" t="s">
        <v>190</v>
      </c>
      <c r="D17" s="51">
        <v>119.15</v>
      </c>
      <c r="E17" s="52"/>
      <c r="F17" s="51">
        <v>106.98</v>
      </c>
      <c r="G17" s="52"/>
      <c r="H17" s="51">
        <v>74.7</v>
      </c>
      <c r="I17" s="52"/>
      <c r="J17" s="51">
        <v>44.52</v>
      </c>
      <c r="K17" s="52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2024-09-02T11:17:23Z</dcterms:created>
  <dcterms:modified xsi:type="dcterms:W3CDTF">2024-09-05T08:45:34Z</dcterms:modified>
</cp:coreProperties>
</file>