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Performance'!$C$8:$C$46</definedName>
    <definedName name="XDO_?FINAL_ISIN?7?">'TISF-Risk-O-Meter &amp; Performance'!$D$10:$D$46</definedName>
    <definedName name="XDO_?FINAL_ISIN?8?">'TISF-Risk-O-Meter &amp; Performance'!$D$10:$D$88</definedName>
    <definedName name="XDO_?FINAL_MV?7?">'TISF-Risk-O-Meter &amp; Performance'!$H$10:$H$46</definedName>
    <definedName name="XDO_?FINAL_MV?8?">'TISF-Risk-O-Meter &amp; Performance'!$H$10:$H$88</definedName>
    <definedName name="XDO_?FINAL_NAME?7?">'TISF-Risk-O-Meter &amp; Performance'!$C$10:$C$46</definedName>
    <definedName name="XDO_?FINAL_NAME?8?">'TISF-Risk-O-Meter &amp; Performance'!$C$10:$C$88</definedName>
    <definedName name="XDO_?FINAL_PER_NET?7?">'TISF-Risk-O-Meter &amp; Performance'!$I$10:$I$46</definedName>
    <definedName name="XDO_?FINAL_PER_NET?8?">'TISF-Risk-O-Meter &amp; Performance'!$I$10:$I$88</definedName>
    <definedName name="XDO_?FINAL_QUANTITE?7?">'TISF-Risk-O-Meter &amp; Performance'!$G$10:$G$46</definedName>
    <definedName name="XDO_?FINAL_QUANTITE?8?">'TISF-Risk-O-Meter &amp; Performance'!$G$10:$G$88</definedName>
    <definedName name="XDO_?IND_01?7?">'TISF-Risk-O-Meter &amp; Performance'!$F$10:$F$46</definedName>
    <definedName name="XDO_?IND_01?8?">'TISF-Risk-O-Meter &amp; Performance'!$F$10:$F$88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Performance'!$C$2:$C$46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Performance'!$B$10:$B$46</definedName>
    <definedName name="XDO_?NOVAL?8?">'TISF-Risk-O-Meter &amp; Performance'!$B$10:$B$88</definedName>
    <definedName name="XDO_?NPTF?4?">'TISF-Risk-O-Meter &amp; Performance'!$D$2:$D$46</definedName>
    <definedName name="XDO_?RATING?7?">'TISF-Risk-O-Meter &amp; Performance'!$E$10:$E$46</definedName>
    <definedName name="XDO_?RATING?8?">'TISF-Risk-O-Meter &amp; Performance'!$E$10:$E$88</definedName>
    <definedName name="XDO_?REMARKS?7?">'TISF-Risk-O-Meter &amp; Performance'!$J$10:$J$46</definedName>
    <definedName name="XDO_?REMARKS?8?">'TISF-Risk-O-Meter &amp; Performance'!$J$10:$J$88</definedName>
    <definedName name="XDO_?TITL?4?">'TISF-Risk-O-Meter &amp; Performance'!$A$8:$A$46</definedName>
    <definedName name="XDO_GROUP_?G_2?4?">'TISF-Risk-O-Meter &amp; Performance'!$2:$91</definedName>
    <definedName name="XDO_GROUP_?G_3?4?">'TISF-Risk-O-Meter &amp; Performance'!$8:$90</definedName>
    <definedName name="XDO_GROUP_?G_4?7?">'TISF-Risk-O-Meter &amp; Performance'!$B$10:$IV$46</definedName>
    <definedName name="XDO_GROUP_?G_4?8?">'TISF-Risk-O-Meter &amp; Performance'!$B$88:$IV$88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/>
</calcChain>
</file>

<file path=xl/sharedStrings.xml><?xml version="1.0" encoding="utf-8"?>
<sst xmlns="http://schemas.openxmlformats.org/spreadsheetml/2006/main" count="260" uniqueCount="189">
  <si>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</si>
  <si>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</si>
  <si>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</si>
  <si>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</si>
  <si>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</si>
  <si>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</si>
  <si>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</si>
  <si>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</si>
  <si>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</si>
  <si>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</si>
  <si>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</si>
  <si>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</si>
  <si>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</si>
  <si>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</si>
  <si>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</si>
  <si>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100005</t>
  </si>
  <si>
    <t>Larsen &amp; Toubro Ltd.</t>
  </si>
  <si>
    <t>INE018A01030</t>
  </si>
  <si>
    <t>Construction</t>
  </si>
  <si>
    <t>100024</t>
  </si>
  <si>
    <t>Axis Bank Ltd.</t>
  </si>
  <si>
    <t>INE238A01034</t>
  </si>
  <si>
    <t>Banks</t>
  </si>
  <si>
    <t>100115</t>
  </si>
  <si>
    <t>Siemens Ltd.</t>
  </si>
  <si>
    <t>INE003A01024</t>
  </si>
  <si>
    <t>Electrical Equipment</t>
  </si>
  <si>
    <t>100002</t>
  </si>
  <si>
    <t>Reliance Industries Ltd.</t>
  </si>
  <si>
    <t>INE002A01018</t>
  </si>
  <si>
    <t>Petroleum Products</t>
  </si>
  <si>
    <t>100282</t>
  </si>
  <si>
    <t>Blue Star Ltd.</t>
  </si>
  <si>
    <t>INE472A01039</t>
  </si>
  <si>
    <t>Consumer Durables</t>
  </si>
  <si>
    <t>100431</t>
  </si>
  <si>
    <t>Atul Auto Ltd.</t>
  </si>
  <si>
    <t>INE951D01028</t>
  </si>
  <si>
    <t>Agricultural, Commercial &amp; Construction Vehicles</t>
  </si>
  <si>
    <t>100896</t>
  </si>
  <si>
    <t>Polycab India Ltd.</t>
  </si>
  <si>
    <t>INE455K01017</t>
  </si>
  <si>
    <t>Industrial Products</t>
  </si>
  <si>
    <t>100055</t>
  </si>
  <si>
    <t>The Federal Bank Ltd.</t>
  </si>
  <si>
    <t>INE171A01029</t>
  </si>
  <si>
    <t>101306</t>
  </si>
  <si>
    <t>Apollo Pipes Ltd.</t>
  </si>
  <si>
    <t>INE126J01016</t>
  </si>
  <si>
    <t>100221</t>
  </si>
  <si>
    <t>Sundram Fasteners Ltd.</t>
  </si>
  <si>
    <t>INE387A01021</t>
  </si>
  <si>
    <t>Auto Components</t>
  </si>
  <si>
    <t>100302</t>
  </si>
  <si>
    <t>DLF Ltd.</t>
  </si>
  <si>
    <t>INE271C01023</t>
  </si>
  <si>
    <t>Realty</t>
  </si>
  <si>
    <t>100180</t>
  </si>
  <si>
    <t>Hindalco Industries Ltd.</t>
  </si>
  <si>
    <t>INE038A01020</t>
  </si>
  <si>
    <t>Non - Ferrous Metals</t>
  </si>
  <si>
    <t>100178</t>
  </si>
  <si>
    <t>Ambuja Cements Ltd.</t>
  </si>
  <si>
    <t>INE079A01024</t>
  </si>
  <si>
    <t>Cement &amp; Cement Products</t>
  </si>
  <si>
    <t>100090</t>
  </si>
  <si>
    <t>Bharat Forge Ltd.</t>
  </si>
  <si>
    <t>INE465A01025</t>
  </si>
  <si>
    <t>100014</t>
  </si>
  <si>
    <t>Mahindra &amp; Mahindra Ltd.</t>
  </si>
  <si>
    <t>INE101A01026</t>
  </si>
  <si>
    <t>Automobiles</t>
  </si>
  <si>
    <t>100210</t>
  </si>
  <si>
    <t>IRB Infrastructure Developers Ltd.</t>
  </si>
  <si>
    <t>INE821I01022</t>
  </si>
  <si>
    <t>100128</t>
  </si>
  <si>
    <t>Eicher Motors Ltd.</t>
  </si>
  <si>
    <t>INE066A01021</t>
  </si>
  <si>
    <t>100194</t>
  </si>
  <si>
    <t>Power Finance Corporation Ltd.</t>
  </si>
  <si>
    <t>INE134E01011</t>
  </si>
  <si>
    <t>Finance</t>
  </si>
  <si>
    <t>100161</t>
  </si>
  <si>
    <t>Cummins India Ltd.</t>
  </si>
  <si>
    <t>INE298A01020</t>
  </si>
  <si>
    <t>100314</t>
  </si>
  <si>
    <t>SRF Ltd.</t>
  </si>
  <si>
    <t>INE647A01010</t>
  </si>
  <si>
    <t>Chemicals &amp; Petrochemicals</t>
  </si>
  <si>
    <t>100707</t>
  </si>
  <si>
    <t>Cera Sanitaryware Ltd.</t>
  </si>
  <si>
    <t>INE739E01017</t>
  </si>
  <si>
    <t>100013</t>
  </si>
  <si>
    <t>IndusInd Bank Ltd.</t>
  </si>
  <si>
    <t>INE095A01012</t>
  </si>
  <si>
    <t>100315</t>
  </si>
  <si>
    <t>Prestige Estates Projects Ltd.</t>
  </si>
  <si>
    <t>INE811K01011</t>
  </si>
  <si>
    <t>100752</t>
  </si>
  <si>
    <t>Praj Industries Ltd.</t>
  </si>
  <si>
    <t>INE074A01025</t>
  </si>
  <si>
    <t>Industrial Manufacturing</t>
  </si>
  <si>
    <t>101800</t>
  </si>
  <si>
    <t>Hindware Home Innovation Ltd.</t>
  </si>
  <si>
    <t>INE05AN01011</t>
  </si>
  <si>
    <t>100106</t>
  </si>
  <si>
    <t>Maruti Suzuki India Ltd.</t>
  </si>
  <si>
    <t>INE585B01010</t>
  </si>
  <si>
    <t>100181</t>
  </si>
  <si>
    <t>NTPC Ltd.</t>
  </si>
  <si>
    <t>INE733E01010</t>
  </si>
  <si>
    <t>Power</t>
  </si>
  <si>
    <t>100281</t>
  </si>
  <si>
    <t>Century Textiles &amp; Industries Ltd.</t>
  </si>
  <si>
    <t>INE055A01016</t>
  </si>
  <si>
    <t>Paper, Forest &amp; Jute Products</t>
  </si>
  <si>
    <t>100461</t>
  </si>
  <si>
    <t>Astral Limited</t>
  </si>
  <si>
    <t>INE006I01046</t>
  </si>
  <si>
    <t>100095</t>
  </si>
  <si>
    <t>Bharti Airtel Ltd.</t>
  </si>
  <si>
    <t>INE397D01024</t>
  </si>
  <si>
    <t>Telecom - Services</t>
  </si>
  <si>
    <t>101574</t>
  </si>
  <si>
    <t>Linde India Ltd.</t>
  </si>
  <si>
    <t>INE473A01011</t>
  </si>
  <si>
    <t>100740</t>
  </si>
  <si>
    <t>Sterlite Technologies Ltd.</t>
  </si>
  <si>
    <t>INE089C01029</t>
  </si>
  <si>
    <t>100654</t>
  </si>
  <si>
    <t>Automotive Axles Ltd.</t>
  </si>
  <si>
    <t>INE449A01011</t>
  </si>
  <si>
    <t>100113</t>
  </si>
  <si>
    <t>Shipping Corporation of India Ltd.</t>
  </si>
  <si>
    <t>INE109A01011</t>
  </si>
  <si>
    <t>Transport Services</t>
  </si>
  <si>
    <t>100229</t>
  </si>
  <si>
    <t>NCC Ltd.</t>
  </si>
  <si>
    <t>INE868B01028</t>
  </si>
  <si>
    <t>100372</t>
  </si>
  <si>
    <t>Apollo Tyres Ltd.</t>
  </si>
  <si>
    <t>INE438A01022</t>
  </si>
  <si>
    <t>100184</t>
  </si>
  <si>
    <t>Tata Steel Ltd.</t>
  </si>
  <si>
    <t>INE081A01020</t>
  </si>
  <si>
    <t>Ferrous Metals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</si>
  <si>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</si>
  <si>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</si>
  <si>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</si>
  <si>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</si>
  <si>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</si>
  <si>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</si>
  <si>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</si>
  <si>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</si>
  <si>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</si>
  <si>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</si>
  <si>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</si>
  <si>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</si>
  <si>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</si>
  <si>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</si>
  <si>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</si>
  <si>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</si>
  <si>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</si>
  <si>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</si>
  <si>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</si>
  <si>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</si>
  <si>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</si>
  <si>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</si>
  <si>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</si>
  <si>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</si>
  <si>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</si>
  <si>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</si>
  <si>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</si>
  <si>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</si>
  <si>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</si>
  <si>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</si>
  <si>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</si>
  <si>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</si>
  <si>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</si>
  <si>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</si>
  <si>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</si>
  <si>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</si>
  <si>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</si>
  <si>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</si>
  <si>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</si>
  <si>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February 28, 2023 : 37.77)</t>
  </si>
  <si>
    <t>Taurus Infrastructure Fund - Direct Plan Growth Option</t>
  </si>
  <si>
    <t>NAV [Rs.] Per Unit (as on February 28, 2023 : 40.07)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</si>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</sst>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Infra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793146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Februar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7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1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44985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1515</v>
      </c>
      <c r="H10" s="32">
        <v>31.91</v>
      </c>
      <c r="I10" s="32">
        <v>6.23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2912</v>
      </c>
      <c r="H11" s="32">
        <v>24.57</v>
      </c>
      <c r="I11" s="32">
        <v>4.8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652</v>
      </c>
      <c r="H12" s="32">
        <v>21.17</v>
      </c>
      <c r="I12" s="32">
        <v>4.13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908</v>
      </c>
      <c r="H13" s="32">
        <v>21.08</v>
      </c>
      <c r="I13" s="32">
        <v>4.12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1403</v>
      </c>
      <c r="H14" s="32">
        <v>20.149999999999999</v>
      </c>
      <c r="I14" s="32">
        <v>3.93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5575</v>
      </c>
      <c r="H15" s="32">
        <v>19.18</v>
      </c>
      <c r="I15" s="32">
        <v>3.74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600</v>
      </c>
      <c r="H16" s="32">
        <v>18.48</v>
      </c>
      <c r="I16" s="32">
        <v>3.61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22</v>
      </c>
      <c r="G17" s="31">
        <v>13366</v>
      </c>
      <c r="H17" s="32">
        <v>17.260000000000002</v>
      </c>
      <c r="I17" s="32">
        <v>3.37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42</v>
      </c>
      <c r="G18" s="31">
        <v>3531</v>
      </c>
      <c r="H18" s="32">
        <v>17.18</v>
      </c>
      <c r="I18" s="32">
        <v>3.35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1725</v>
      </c>
      <c r="H19" s="32">
        <v>16.93</v>
      </c>
      <c r="I19" s="32">
        <v>3.31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4771</v>
      </c>
      <c r="H20" s="32">
        <v>16.760000000000002</v>
      </c>
      <c r="I20" s="32">
        <v>3.27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4092</v>
      </c>
      <c r="H21" s="32">
        <v>16.34</v>
      </c>
      <c r="I21" s="32">
        <v>3.19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4705</v>
      </c>
      <c r="H22" s="32">
        <v>16.09</v>
      </c>
      <c r="I22" s="32">
        <v>3.14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42</v>
      </c>
      <c r="G23" s="31">
        <v>1937</v>
      </c>
      <c r="H23" s="32">
        <v>15.81</v>
      </c>
      <c r="I23" s="32">
        <v>3.09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1158</v>
      </c>
      <c r="H24" s="32">
        <v>14.7</v>
      </c>
      <c r="I24" s="32">
        <v>2.87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18</v>
      </c>
      <c r="G25" s="31">
        <v>47730</v>
      </c>
      <c r="H25" s="32">
        <v>14.06</v>
      </c>
      <c r="I25" s="32">
        <v>2.74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71</v>
      </c>
      <c r="G26" s="31">
        <v>430</v>
      </c>
      <c r="H26" s="32">
        <v>13.35</v>
      </c>
      <c r="I26" s="32">
        <v>2.61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9060</v>
      </c>
      <c r="H27" s="32">
        <v>13.17</v>
      </c>
      <c r="I27" s="32">
        <v>2.57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42</v>
      </c>
      <c r="G28" s="31">
        <v>812</v>
      </c>
      <c r="H28" s="32">
        <v>12.76</v>
      </c>
      <c r="I28" s="32">
        <v>2.4900000000000002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570</v>
      </c>
      <c r="H29" s="32">
        <v>12.36</v>
      </c>
      <c r="I29" s="32">
        <v>2.41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34</v>
      </c>
      <c r="G30" s="31">
        <v>179</v>
      </c>
      <c r="H30" s="32">
        <v>11.66</v>
      </c>
      <c r="I30" s="32">
        <v>2.2799999999999998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22</v>
      </c>
      <c r="G31" s="31">
        <v>1041</v>
      </c>
      <c r="H31" s="32">
        <v>11.22</v>
      </c>
      <c r="I31" s="32">
        <v>2.19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56</v>
      </c>
      <c r="G32" s="31">
        <v>2703</v>
      </c>
      <c r="H32" s="32">
        <v>10.97</v>
      </c>
      <c r="I32" s="32">
        <v>2.14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3086</v>
      </c>
      <c r="H33" s="32">
        <v>10.89</v>
      </c>
      <c r="I33" s="32">
        <v>2.13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34</v>
      </c>
      <c r="G34" s="31">
        <v>2418</v>
      </c>
      <c r="H34" s="32">
        <v>8.9</v>
      </c>
      <c r="I34" s="32">
        <v>1.74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71</v>
      </c>
      <c r="G35" s="31">
        <v>102</v>
      </c>
      <c r="H35" s="32">
        <v>8.8000000000000007</v>
      </c>
      <c r="I35" s="32">
        <v>1.72</v>
      </c>
      <c r="J35" s="33"/>
    </row>
    <row r="36" spans="2:10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5154</v>
      </c>
      <c r="H36" s="32">
        <v>8.7899999999999991</v>
      </c>
      <c r="I36" s="32">
        <v>1.72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1415</v>
      </c>
      <c r="H37" s="32">
        <v>8.58</v>
      </c>
      <c r="I37" s="32">
        <v>1.68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42</v>
      </c>
      <c r="G38" s="31">
        <v>411</v>
      </c>
      <c r="H38" s="32">
        <v>7.76</v>
      </c>
      <c r="I38" s="32">
        <v>1.52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1040</v>
      </c>
      <c r="H39" s="32">
        <v>7.73</v>
      </c>
      <c r="I39" s="32">
        <v>1.51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88</v>
      </c>
      <c r="G40" s="31">
        <v>206</v>
      </c>
      <c r="H40" s="32">
        <v>7.67</v>
      </c>
      <c r="I40" s="32">
        <v>1.5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122</v>
      </c>
      <c r="G41" s="31">
        <v>3850</v>
      </c>
      <c r="H41" s="32">
        <v>6.11</v>
      </c>
      <c r="I41" s="32">
        <v>1.19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52</v>
      </c>
      <c r="G42" s="31">
        <v>219</v>
      </c>
      <c r="H42" s="32">
        <v>4.9000000000000004</v>
      </c>
      <c r="I42" s="32">
        <v>0.96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135</v>
      </c>
      <c r="G43" s="31">
        <v>4000</v>
      </c>
      <c r="H43" s="32">
        <v>4.8</v>
      </c>
      <c r="I43" s="32">
        <v>0.94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18</v>
      </c>
      <c r="G44" s="31">
        <v>5200</v>
      </c>
      <c r="H44" s="32">
        <v>4.63</v>
      </c>
      <c r="I44" s="32">
        <v>0.9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52</v>
      </c>
      <c r="G45" s="31">
        <v>1288</v>
      </c>
      <c r="H45" s="32">
        <v>4.03</v>
      </c>
      <c r="I45" s="32">
        <v>0.79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145</v>
      </c>
      <c r="G46" s="31">
        <v>912</v>
      </c>
      <c r="H46" s="32">
        <v>0.95</v>
      </c>
      <c r="I46" s="32">
        <v>0.19</v>
      </c>
      <c r="J46" s="33"/>
    </row>
    <row r="47" spans="2:10">
      <c r="C47" s="28" t="s">
        <v>146</v>
      </c>
      <c r="D47" s="29"/>
      <c r="E47" s="30"/>
      <c r="F47" s="30"/>
      <c r="G47" s="31"/>
      <c r="H47" s="35">
        <v>481.7</v>
      </c>
      <c r="I47" s="35">
        <v>94.07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147</v>
      </c>
      <c r="D49" s="29"/>
      <c r="E49" s="30"/>
      <c r="F49" s="30"/>
      <c r="G49" s="31"/>
      <c r="H49" s="32" t="s">
        <v>148</v>
      </c>
      <c r="I49" s="32" t="s">
        <v>148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149</v>
      </c>
      <c r="D51" s="29"/>
      <c r="E51" s="30"/>
      <c r="F51" s="30"/>
      <c r="G51" s="31"/>
      <c r="H51" s="32" t="s">
        <v>148</v>
      </c>
      <c r="I51" s="32" t="s">
        <v>148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150</v>
      </c>
      <c r="D53" s="29"/>
      <c r="E53" s="30"/>
      <c r="F53" s="30"/>
      <c r="G53" s="31"/>
      <c r="H53" s="32"/>
      <c r="I53" s="32"/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151</v>
      </c>
      <c r="D55" s="29"/>
      <c r="E55" s="30"/>
      <c r="F55" s="30"/>
      <c r="G55" s="31"/>
      <c r="H55" s="32" t="s">
        <v>148</v>
      </c>
      <c r="I55" s="32" t="s">
        <v>148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152</v>
      </c>
      <c r="D57" s="29"/>
      <c r="E57" s="30"/>
      <c r="F57" s="30"/>
      <c r="G57" s="31"/>
      <c r="H57" s="32" t="s">
        <v>148</v>
      </c>
      <c r="I57" s="32" t="s">
        <v>148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153</v>
      </c>
      <c r="D59" s="29"/>
      <c r="E59" s="30"/>
      <c r="F59" s="30"/>
      <c r="G59" s="31"/>
      <c r="H59" s="32" t="s">
        <v>148</v>
      </c>
      <c r="I59" s="32" t="s">
        <v>148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154</v>
      </c>
      <c r="D61" s="29"/>
      <c r="E61" s="30"/>
      <c r="F61" s="30"/>
      <c r="G61" s="31"/>
      <c r="H61" s="32" t="s">
        <v>148</v>
      </c>
      <c r="I61" s="32" t="s">
        <v>148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155</v>
      </c>
      <c r="D63" s="29"/>
      <c r="E63" s="30"/>
      <c r="F63" s="30"/>
      <c r="G63" s="31"/>
      <c r="H63" s="32" t="s">
        <v>148</v>
      </c>
      <c r="I63" s="32" t="s">
        <v>148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156</v>
      </c>
      <c r="D65" s="29"/>
      <c r="E65" s="30"/>
      <c r="F65" s="30"/>
      <c r="G65" s="31"/>
      <c r="H65" s="32"/>
      <c r="I65" s="32"/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157</v>
      </c>
      <c r="D67" s="29"/>
      <c r="E67" s="30"/>
      <c r="F67" s="30"/>
      <c r="G67" s="31"/>
      <c r="H67" s="32" t="s">
        <v>148</v>
      </c>
      <c r="I67" s="32" t="s">
        <v>148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158</v>
      </c>
      <c r="D69" s="29"/>
      <c r="E69" s="30"/>
      <c r="F69" s="30"/>
      <c r="G69" s="31"/>
      <c r="H69" s="32" t="s">
        <v>148</v>
      </c>
      <c r="I69" s="32" t="s">
        <v>148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159</v>
      </c>
      <c r="D71" s="29"/>
      <c r="E71" s="30"/>
      <c r="F71" s="30"/>
      <c r="G71" s="31"/>
      <c r="H71" s="32" t="s">
        <v>148</v>
      </c>
      <c r="I71" s="32" t="s">
        <v>148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160</v>
      </c>
      <c r="D73" s="29"/>
      <c r="E73" s="30"/>
      <c r="F73" s="30"/>
      <c r="G73" s="31"/>
      <c r="H73" s="32" t="s">
        <v>148</v>
      </c>
      <c r="I73" s="32" t="s">
        <v>148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161</v>
      </c>
      <c r="D75" s="29"/>
      <c r="E75" s="30"/>
      <c r="F75" s="30"/>
      <c r="G75" s="31"/>
      <c r="H75" s="32"/>
      <c r="I75" s="32"/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162</v>
      </c>
      <c r="D77" s="29"/>
      <c r="E77" s="30"/>
      <c r="F77" s="30"/>
      <c r="G77" s="31"/>
      <c r="H77" s="32" t="s">
        <v>148</v>
      </c>
      <c r="I77" s="32" t="s">
        <v>148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163</v>
      </c>
      <c r="D79" s="29"/>
      <c r="E79" s="30"/>
      <c r="F79" s="30"/>
      <c r="G79" s="31"/>
      <c r="H79" s="32" t="s">
        <v>148</v>
      </c>
      <c r="I79" s="32" t="s">
        <v>148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164</v>
      </c>
      <c r="D81" s="29"/>
      <c r="E81" s="30"/>
      <c r="F81" s="30"/>
      <c r="G81" s="31"/>
      <c r="H81" s="32" t="s">
        <v>148</v>
      </c>
      <c r="I81" s="32" t="s">
        <v>148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165</v>
      </c>
      <c r="D83" s="29"/>
      <c r="E83" s="30"/>
      <c r="F83" s="30"/>
      <c r="G83" s="31"/>
      <c r="H83" s="32" t="s">
        <v>148</v>
      </c>
      <c r="I83" s="32" t="s">
        <v>148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166</v>
      </c>
      <c r="D85" s="29"/>
      <c r="E85" s="30"/>
      <c r="F85" s="30"/>
      <c r="G85" s="31"/>
      <c r="H85" s="32" t="s">
        <v>148</v>
      </c>
      <c r="I85" s="32" t="s">
        <v>148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A87" s="26"/>
      <c r="B87" s="27"/>
      <c r="C87" s="28" t="s">
        <v>167</v>
      </c>
      <c r="D87" s="29"/>
      <c r="E87" s="30"/>
      <c r="F87" s="30"/>
      <c r="G87" s="31"/>
      <c r="H87" s="32"/>
      <c r="I87" s="32"/>
      <c r="J87" s="33"/>
    </row>
    <row r="88" spans="1:10">
      <c r="B88" s="1"/>
      <c r="C88" s="20" t="s">
        <v>168</v>
      </c>
      <c r="D88" s="29"/>
      <c r="E88" s="30"/>
      <c r="F88" s="30"/>
      <c r="G88" s="31"/>
      <c r="H88" s="32">
        <v>30.4</v>
      </c>
      <c r="I88" s="32">
        <v>5.9300000000000006</v>
      </c>
      <c r="J88" s="33"/>
    </row>
    <row r="89" spans="1:10">
      <c r="C89" s="28" t="s">
        <v>146</v>
      </c>
      <c r="D89" s="29"/>
      <c r="E89" s="30"/>
      <c r="F89" s="30"/>
      <c r="G89" s="31"/>
      <c r="H89" s="35">
        <v>30.4</v>
      </c>
      <c r="I89" s="35">
        <v>5.9300000000000006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 ht="13.5" thickBot="1">
      <c r="C91" s="36" t="s">
        <v>169</v>
      </c>
      <c r="D91" s="37"/>
      <c r="E91" s="38"/>
      <c r="F91" s="39"/>
      <c r="G91" s="40"/>
      <c r="H91" s="41">
        <v>512.1</v>
      </c>
      <c r="I91" s="41">
        <f>SUMIFS(I:I,C:C,"Total")</f>
        <v>100</v>
      </c>
      <c r="J91" s="42"/>
    </row>
    <row r="94" spans="1:10">
      <c r="C94" s="11" t="s">
        <v>170</v>
      </c>
    </row>
    <row r="95" spans="1:10">
      <c r="C95" s="2" t="s">
        <v>171</v>
      </c>
    </row>
    <row r="96" spans="1:10">
      <c r="C96" s="2" t="s">
        <v>172</v>
      </c>
    </row>
    <row r="97" spans="3:3">
      <c r="C97" s="2" t="s">
        <v>173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5"/>
  <cols>
    <col min="2" max="2" width="45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174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175</v>
      </c>
      <c r="C5" s="50" t="s">
        <v>176</v>
      </c>
      <c r="D5" s="50"/>
      <c r="E5" s="50" t="s">
        <v>177</v>
      </c>
      <c r="F5" s="50"/>
      <c r="G5" s="50" t="s">
        <v>178</v>
      </c>
      <c r="H5" s="50"/>
      <c r="I5" s="50" t="s">
        <v>179</v>
      </c>
      <c r="J5" s="50"/>
    </row>
    <row r="6" spans="2:10" ht="63.75">
      <c r="B6" s="46"/>
      <c r="C6" s="47" t="s">
        <v>180</v>
      </c>
      <c r="D6" s="47" t="s">
        <v>181</v>
      </c>
      <c r="E6" s="47" t="s">
        <v>180</v>
      </c>
      <c r="F6" s="47" t="s">
        <v>181</v>
      </c>
      <c r="G6" s="47" t="s">
        <v>180</v>
      </c>
      <c r="H6" s="47" t="s">
        <v>181</v>
      </c>
      <c r="I6" s="47" t="s">
        <v>180</v>
      </c>
      <c r="J6" s="47" t="s">
        <v>181</v>
      </c>
    </row>
    <row r="7" spans="2:10">
      <c r="B7" s="48" t="s">
        <v>182</v>
      </c>
      <c r="C7" s="49">
        <v>1.696284329563813</v>
      </c>
      <c r="D7" s="49">
        <v>10169.62843295638</v>
      </c>
      <c r="E7" s="49">
        <v>15.98052593235948</v>
      </c>
      <c r="F7" s="49">
        <v>15607.438016528928</v>
      </c>
      <c r="G7" s="49">
        <v>7.4460069842079646</v>
      </c>
      <c r="H7" s="49">
        <v>14323.094425483503</v>
      </c>
      <c r="I7" s="49">
        <v>8.6604968596193608</v>
      </c>
      <c r="J7" s="49">
        <v>37770</v>
      </c>
    </row>
    <row r="8" spans="2:10">
      <c r="B8" s="48" t="s">
        <v>183</v>
      </c>
      <c r="C8" s="49">
        <v>5.527700087206866</v>
      </c>
      <c r="D8" s="49">
        <v>10552.770008720687</v>
      </c>
      <c r="E8" s="49">
        <v>20.452340881192232</v>
      </c>
      <c r="F8" s="49">
        <v>17476.148790402076</v>
      </c>
      <c r="G8" s="49">
        <v>9.5502335631097992</v>
      </c>
      <c r="H8" s="49">
        <v>15778.529971271097</v>
      </c>
      <c r="I8" s="49">
        <v>4.9531124687033135</v>
      </c>
      <c r="J8" s="49">
        <v>21670.435436523334</v>
      </c>
    </row>
    <row r="9" spans="2:10">
      <c r="B9" s="48" t="s">
        <v>184</v>
      </c>
      <c r="C9" s="49">
        <v>4.2705236324582341</v>
      </c>
      <c r="D9" s="49">
        <v>10427.052363245823</v>
      </c>
      <c r="E9" s="49">
        <v>16.977100801067714</v>
      </c>
      <c r="F9" s="49">
        <v>16006.727826404724</v>
      </c>
      <c r="G9" s="49">
        <v>11.886258528558491</v>
      </c>
      <c r="H9" s="49">
        <v>17534.111201090232</v>
      </c>
      <c r="I9" s="49">
        <v>11.678171205285137</v>
      </c>
      <c r="J9" s="49">
        <v>58527.675544517675</v>
      </c>
    </row>
    <row r="10" spans="2:10">
      <c r="B10" s="48" t="s">
        <v>185</v>
      </c>
      <c r="C10" s="51">
        <v>37.14</v>
      </c>
      <c r="D10" s="52"/>
      <c r="E10" s="51">
        <v>24.2</v>
      </c>
      <c r="F10" s="52"/>
      <c r="G10" s="51">
        <v>26.37</v>
      </c>
      <c r="H10" s="52"/>
      <c r="I10" s="51">
        <v>10</v>
      </c>
      <c r="J10" s="52"/>
    </row>
    <row r="12" spans="2:10" ht="15.75">
      <c r="B12" s="43" t="s">
        <v>186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175</v>
      </c>
      <c r="C13" s="50" t="s">
        <v>176</v>
      </c>
      <c r="D13" s="50"/>
      <c r="E13" s="50" t="s">
        <v>177</v>
      </c>
      <c r="F13" s="50"/>
      <c r="G13" s="50" t="s">
        <v>178</v>
      </c>
      <c r="H13" s="50"/>
      <c r="I13" s="50" t="s">
        <v>179</v>
      </c>
      <c r="J13" s="50"/>
    </row>
    <row r="14" spans="2:10" ht="63.75">
      <c r="B14" s="46"/>
      <c r="C14" s="47" t="s">
        <v>180</v>
      </c>
      <c r="D14" s="47" t="s">
        <v>181</v>
      </c>
      <c r="E14" s="47" t="s">
        <v>180</v>
      </c>
      <c r="F14" s="47" t="s">
        <v>181</v>
      </c>
      <c r="G14" s="47" t="s">
        <v>180</v>
      </c>
      <c r="H14" s="47" t="s">
        <v>181</v>
      </c>
      <c r="I14" s="47" t="s">
        <v>180</v>
      </c>
      <c r="J14" s="47" t="s">
        <v>181</v>
      </c>
    </row>
    <row r="15" spans="2:10">
      <c r="B15" s="48" t="s">
        <v>182</v>
      </c>
      <c r="C15" s="49">
        <v>2.0631686194600096</v>
      </c>
      <c r="D15" s="49">
        <v>10206.316861946001</v>
      </c>
      <c r="E15" s="49">
        <v>16.425717461202606</v>
      </c>
      <c r="F15" s="49">
        <v>15788.02206461781</v>
      </c>
      <c r="G15" s="49">
        <v>7.9014708690959612</v>
      </c>
      <c r="H15" s="49">
        <v>14629.426798101498</v>
      </c>
      <c r="I15" s="49">
        <v>11.864607643508318</v>
      </c>
      <c r="J15" s="49">
        <v>31255.850234009362</v>
      </c>
    </row>
    <row r="16" spans="2:10">
      <c r="B16" s="48" t="s">
        <v>183</v>
      </c>
      <c r="C16" s="49">
        <v>5.527700087206866</v>
      </c>
      <c r="D16" s="49">
        <v>10552.770008720687</v>
      </c>
      <c r="E16" s="49">
        <v>20.452340881192232</v>
      </c>
      <c r="F16" s="49">
        <v>17476.148790402076</v>
      </c>
      <c r="G16" s="49">
        <v>9.5502335631097992</v>
      </c>
      <c r="H16" s="49">
        <v>15778.529971271097</v>
      </c>
      <c r="I16" s="49">
        <v>8.2433787033502561</v>
      </c>
      <c r="J16" s="49">
        <v>22370.125122720532</v>
      </c>
    </row>
    <row r="17" spans="2:10">
      <c r="B17" s="48" t="s">
        <v>184</v>
      </c>
      <c r="C17" s="49">
        <v>4.2705236324582341</v>
      </c>
      <c r="D17" s="49">
        <v>10427.052363245823</v>
      </c>
      <c r="E17" s="49">
        <v>16.977100801067714</v>
      </c>
      <c r="F17" s="49">
        <v>16006.727826404724</v>
      </c>
      <c r="G17" s="49">
        <v>11.886258528558491</v>
      </c>
      <c r="H17" s="49">
        <v>17534.111201090232</v>
      </c>
      <c r="I17" s="49">
        <v>12.436075240682577</v>
      </c>
      <c r="J17" s="49">
        <v>32917.347421583596</v>
      </c>
    </row>
    <row r="18" spans="2:10">
      <c r="B18" s="48" t="s">
        <v>187</v>
      </c>
      <c r="C18" s="51">
        <v>39.26</v>
      </c>
      <c r="D18" s="52"/>
      <c r="E18" s="51">
        <v>25.38</v>
      </c>
      <c r="F18" s="52"/>
      <c r="G18" s="51">
        <v>27.39</v>
      </c>
      <c r="H18" s="52"/>
      <c r="I18" s="51">
        <v>12.82</v>
      </c>
      <c r="J18" s="52"/>
    </row>
    <row r="20" spans="2:10">
      <c r="B20" t="s">
        <v>188</v>
      </c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2023-03-01T10:10:54Z</dcterms:created>
  <dcterms:modified xsi:type="dcterms:W3CDTF">2023-03-09T10:54:57Z</dcterms:modified>
</cp:coreProperties>
</file>