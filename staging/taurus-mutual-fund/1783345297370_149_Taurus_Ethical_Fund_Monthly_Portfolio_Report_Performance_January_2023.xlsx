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Performance'!$C$8:$C$39</definedName>
    <definedName name="XDO_?FINAL_ISIN?5?">'TEF-Risk-O-Meter &amp; Performance'!$D$10:$D$39</definedName>
    <definedName name="XDO_?FINAL_ISIN?6?">'TEF-Risk-O-Meter &amp; Performance'!$D$10:$D$81</definedName>
    <definedName name="XDO_?FINAL_MV?5?">'TEF-Risk-O-Meter &amp; Performance'!$H$10:$H$39</definedName>
    <definedName name="XDO_?FINAL_MV?6?">'TEF-Risk-O-Meter &amp; Performance'!$H$10:$H$81</definedName>
    <definedName name="XDO_?FINAL_NAME?5?">'TEF-Risk-O-Meter &amp; Performance'!$C$10:$C$39</definedName>
    <definedName name="XDO_?FINAL_NAME?6?">'TEF-Risk-O-Meter &amp; Performance'!$C$10:$C$81</definedName>
    <definedName name="XDO_?FINAL_PER_NET?5?">'TEF-Risk-O-Meter &amp; Performance'!$I$10:$I$39</definedName>
    <definedName name="XDO_?FINAL_PER_NET?6?">'TEF-Risk-O-Meter &amp; Performance'!$I$10:$I$81</definedName>
    <definedName name="XDO_?FINAL_QUANTITE?5?">'TEF-Risk-O-Meter &amp; Performance'!$G$10:$G$39</definedName>
    <definedName name="XDO_?FINAL_QUANTITE?6?">'TEF-Risk-O-Meter &amp; Performance'!$G$10:$G$81</definedName>
    <definedName name="XDO_?IND_01?5?">'TEF-Risk-O-Meter &amp; Performance'!$F$10:$F$39</definedName>
    <definedName name="XDO_?IND_01?6?">'TEF-Risk-O-Meter &amp; Performance'!$F$10:$F$81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Performance'!$C$2:$C$39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Performance'!$B$10:$B$39</definedName>
    <definedName name="XDO_?NOVAL?6?">'TEF-Risk-O-Meter &amp; Performance'!$B$10:$B$81</definedName>
    <definedName name="XDO_?NPTF?3?">'TEF-Risk-O-Meter &amp; Performance'!$D$2:$D$39</definedName>
    <definedName name="XDO_?RATING?5?">'TEF-Risk-O-Meter &amp; Performance'!$E$10:$E$39</definedName>
    <definedName name="XDO_?RATING?6?">'TEF-Risk-O-Meter &amp; Performance'!$E$10:$E$81</definedName>
    <definedName name="XDO_?REMARKS?5?">'TEF-Risk-O-Meter &amp; Performance'!$J$10:$J$39</definedName>
    <definedName name="XDO_?REMARKS?6?">'TEF-Risk-O-Meter &amp; Performance'!$J$10:$J$81</definedName>
    <definedName name="XDO_?TITL?3?">'TEF-Risk-O-Meter &amp; Performance'!$A$8:$A$39</definedName>
    <definedName name="XDO_GROUP_?G_2?3?">'TEF-Risk-O-Meter &amp; Performance'!$2:$84</definedName>
    <definedName name="XDO_GROUP_?G_3?3?">'TEF-Risk-O-Meter &amp; Performance'!$8:$83</definedName>
    <definedName name="XDO_GROUP_?G_4?5?">'TEF-Risk-O-Meter &amp; Performance'!$B$10:$IV$39</definedName>
    <definedName name="XDO_GROUP_?G_4?6?">'TEF-Risk-O-Meter &amp; Performance'!$B$81:$IV$81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/>
</calcChain>
</file>

<file path=xl/sharedStrings.xml><?xml version="1.0" encoding="utf-8"?>
<sst xmlns="http://schemas.openxmlformats.org/spreadsheetml/2006/main" count="231" uniqueCount="166">
  <si>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</si>
  <si>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</si>
  <si>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</si>
  <si>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</si>
  <si>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</si>
  <si>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</si>
  <si>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</si>
  <si>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</si>
  <si>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</si>
  <si>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</si>
  <si>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</si>
  <si>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</si>
  <si>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</si>
  <si>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</si>
  <si>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</si>
  <si>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</si>
  <si>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</si>
  <si>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</si>
  <si>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</si>
  <si>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100147</t>
  </si>
  <si>
    <t>Tech Mahindra Ltd.</t>
  </si>
  <si>
    <t>INE669C01036</t>
  </si>
  <si>
    <t>IT - Software</t>
  </si>
  <si>
    <t>100003</t>
  </si>
  <si>
    <t>Infosys Ltd.</t>
  </si>
  <si>
    <t>INE009A01021</t>
  </si>
  <si>
    <t>100176</t>
  </si>
  <si>
    <t>GAIL (India) Ltd.</t>
  </si>
  <si>
    <t>INE129A01019</t>
  </si>
  <si>
    <t>Gas</t>
  </si>
  <si>
    <t>100944</t>
  </si>
  <si>
    <t>Mishra Dhatu Nigam Ltd.</t>
  </si>
  <si>
    <t>INE099Z01011</t>
  </si>
  <si>
    <t>Aerospace &amp; Defense</t>
  </si>
  <si>
    <t>101670</t>
  </si>
  <si>
    <t>Patanjali Foods Ltd.</t>
  </si>
  <si>
    <t>INE619A01035</t>
  </si>
  <si>
    <t>Agricultural Food &amp; other Products</t>
  </si>
  <si>
    <t>100367</t>
  </si>
  <si>
    <t>Exide Industries Ltd.</t>
  </si>
  <si>
    <t>INE302A01020</t>
  </si>
  <si>
    <t>Auto Components</t>
  </si>
  <si>
    <t>100474</t>
  </si>
  <si>
    <t>Narayana Hrudayalaya Ltd.</t>
  </si>
  <si>
    <t>INE410P01011</t>
  </si>
  <si>
    <t>Healthcare Services</t>
  </si>
  <si>
    <t>100032</t>
  </si>
  <si>
    <t>Tata Consultancy Services Ltd.</t>
  </si>
  <si>
    <t>INE467B01029</t>
  </si>
  <si>
    <t>100570</t>
  </si>
  <si>
    <t>K.P.R. Mill Ltd.</t>
  </si>
  <si>
    <t>INE930H01031</t>
  </si>
  <si>
    <t>Textiles &amp; Apparels</t>
  </si>
  <si>
    <t>100037</t>
  </si>
  <si>
    <t>HCL Technologies Ltd.</t>
  </si>
  <si>
    <t>INE860A01027</t>
  </si>
  <si>
    <t>100017</t>
  </si>
  <si>
    <t>National Aluminium Company Ltd.</t>
  </si>
  <si>
    <t>INE139A01034</t>
  </si>
  <si>
    <t>Non - Ferrous Metals</t>
  </si>
  <si>
    <t>100281</t>
  </si>
  <si>
    <t>Century Textiles &amp; Industries Ltd.</t>
  </si>
  <si>
    <t>INE055A01016</t>
  </si>
  <si>
    <t>Paper, Forest &amp; Jute Products</t>
  </si>
  <si>
    <t>100447</t>
  </si>
  <si>
    <t>LTIMindtree Ltd.</t>
  </si>
  <si>
    <t>INE214T01019</t>
  </si>
  <si>
    <t>100821</t>
  </si>
  <si>
    <t>TTK Prestige Ltd.</t>
  </si>
  <si>
    <t>INE690A01028</t>
  </si>
  <si>
    <t>Consumer Durables</t>
  </si>
  <si>
    <t>100008</t>
  </si>
  <si>
    <t>Sun Pharmaceutical Industries Ltd.</t>
  </si>
  <si>
    <t>INE044A01036</t>
  </si>
  <si>
    <t>Pharmaceuticals &amp; Biotechnology</t>
  </si>
  <si>
    <t>100370</t>
  </si>
  <si>
    <t>Biocon Ltd.</t>
  </si>
  <si>
    <t>INE376G01013</t>
  </si>
  <si>
    <t>100089</t>
  </si>
  <si>
    <t>Bharat Electronics Ltd.</t>
  </si>
  <si>
    <t>INE263A01024</t>
  </si>
  <si>
    <t>101229</t>
  </si>
  <si>
    <t>Jubilant Ingrevia Ltd.</t>
  </si>
  <si>
    <t>INE0BY001018</t>
  </si>
  <si>
    <t>Chemicals &amp; Petrochemicals</t>
  </si>
  <si>
    <t>100099</t>
  </si>
  <si>
    <t>Hindustan Unilever Ltd.</t>
  </si>
  <si>
    <t>INE030A01027</t>
  </si>
  <si>
    <t>Diversified FMCG</t>
  </si>
  <si>
    <t>100153</t>
  </si>
  <si>
    <t>Cipla Ltd.</t>
  </si>
  <si>
    <t>INE059A01026</t>
  </si>
  <si>
    <t>100945</t>
  </si>
  <si>
    <t>Indian Railway Catering &amp; Tourism Corporation Ltd.</t>
  </si>
  <si>
    <t>INE335Y01020</t>
  </si>
  <si>
    <t>Leisure Services</t>
  </si>
  <si>
    <t>101101</t>
  </si>
  <si>
    <t>LA Opala RG Ltd.</t>
  </si>
  <si>
    <t>INE059D01020</t>
  </si>
  <si>
    <t>100161</t>
  </si>
  <si>
    <t>Cummins India Ltd.</t>
  </si>
  <si>
    <t>INE298A01020</t>
  </si>
  <si>
    <t>Industrial Products</t>
  </si>
  <si>
    <t>100132</t>
  </si>
  <si>
    <t>Info Edge (India) Ltd.</t>
  </si>
  <si>
    <t>INE663F01024</t>
  </si>
  <si>
    <t>Retailing</t>
  </si>
  <si>
    <t>100284</t>
  </si>
  <si>
    <t>Dr. Lal Path labs Ltd.</t>
  </si>
  <si>
    <t>INE600L01024</t>
  </si>
  <si>
    <t>100285</t>
  </si>
  <si>
    <t>Alkem Laboratories Ltd.</t>
  </si>
  <si>
    <t>INE540L01014</t>
  </si>
  <si>
    <t>100689</t>
  </si>
  <si>
    <t>Godrej Agrovet Ltd.</t>
  </si>
  <si>
    <t>INE850D01014</t>
  </si>
  <si>
    <t>Food Products</t>
  </si>
  <si>
    <t>100090</t>
  </si>
  <si>
    <t>Bharat Forge Ltd.</t>
  </si>
  <si>
    <t>INE465A01025</t>
  </si>
  <si>
    <t>100544</t>
  </si>
  <si>
    <t>Quess Corp Ltd.</t>
  </si>
  <si>
    <t>INE615P01015</t>
  </si>
  <si>
    <t>Commercial Services &amp; Supplies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</si>
  <si>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</si>
  <si>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</si>
  <si>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</si>
  <si>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</si>
  <si>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</si>
  <si>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</si>
  <si>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</si>
  <si>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</si>
  <si>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</si>
  <si>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</si>
  <si>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</si>
  <si>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</si>
  <si>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</si>
  <si>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</si>
  <si>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</si>
  <si>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</si>
  <si>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</si>
  <si>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</si>
  <si>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</si>
  <si>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</si>
  <si>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</si>
  <si>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</si>
  <si>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</si>
  <si>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</si>
  <si>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</si>
  <si>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</si>
  <si>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</si>
  <si>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</si>
  <si>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</si>
  <si>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</si>
  <si>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</si>
  <si>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</si>
  <si>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</si>
  <si>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</si>
  <si>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</si>
  <si>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</si>
  <si>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</si>
  <si>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</si>
  <si>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</si>
  <si>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January 31, 2023 : 81.59)</t>
  </si>
  <si>
    <t>Taurus Ethical Fund - Direct Plan Growth Option</t>
  </si>
  <si>
    <t>NAV [Rs.] Per Unit  (as on January 31, 2023 : 89.05)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</si>
</sst>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24640</v>
      </c>
      <c r="H10" s="32">
        <v>580</v>
      </c>
      <c r="I10" s="32">
        <v>6.88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46900</v>
      </c>
      <c r="H11" s="32">
        <v>476.18</v>
      </c>
      <c r="I11" s="32">
        <v>5.65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30157</v>
      </c>
      <c r="H12" s="32">
        <v>462.35</v>
      </c>
      <c r="I12" s="32">
        <v>5.49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447658</v>
      </c>
      <c r="H13" s="32">
        <v>426.39</v>
      </c>
      <c r="I13" s="32">
        <v>5.0599999999999996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200000</v>
      </c>
      <c r="H14" s="32">
        <v>423.2</v>
      </c>
      <c r="I14" s="32">
        <v>5.0199999999999996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39000</v>
      </c>
      <c r="H15" s="32">
        <v>403.96</v>
      </c>
      <c r="I15" s="32">
        <v>4.8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220000</v>
      </c>
      <c r="H16" s="32">
        <v>397.76</v>
      </c>
      <c r="I16" s="32">
        <v>4.72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52560</v>
      </c>
      <c r="H17" s="32">
        <v>381.72</v>
      </c>
      <c r="I17" s="32">
        <v>4.53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22</v>
      </c>
      <c r="G18" s="31">
        <v>11350</v>
      </c>
      <c r="H18" s="32">
        <v>381.07</v>
      </c>
      <c r="I18" s="32">
        <v>4.5199999999999996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70281</v>
      </c>
      <c r="H19" s="32">
        <v>371.54</v>
      </c>
      <c r="I19" s="32">
        <v>4.41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22</v>
      </c>
      <c r="G20" s="31">
        <v>32008</v>
      </c>
      <c r="H20" s="32">
        <v>359.47</v>
      </c>
      <c r="I20" s="32">
        <v>4.2699999999999996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330708</v>
      </c>
      <c r="H21" s="32">
        <v>275.64999999999998</v>
      </c>
      <c r="I21" s="32">
        <v>3.27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38500</v>
      </c>
      <c r="H22" s="32">
        <v>270.64</v>
      </c>
      <c r="I22" s="32">
        <v>3.21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22</v>
      </c>
      <c r="G23" s="31">
        <v>6000</v>
      </c>
      <c r="H23" s="32">
        <v>262.13</v>
      </c>
      <c r="I23" s="32">
        <v>3.11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33400</v>
      </c>
      <c r="H24" s="32">
        <v>260.87</v>
      </c>
      <c r="I24" s="32">
        <v>3.1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25000</v>
      </c>
      <c r="H25" s="32">
        <v>258.75</v>
      </c>
      <c r="I25" s="32">
        <v>3.07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101850</v>
      </c>
      <c r="H26" s="32">
        <v>239.45</v>
      </c>
      <c r="I26" s="32">
        <v>2.84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33</v>
      </c>
      <c r="G27" s="31">
        <v>234668</v>
      </c>
      <c r="H27" s="32">
        <v>222.82</v>
      </c>
      <c r="I27" s="32">
        <v>2.64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43760</v>
      </c>
      <c r="H28" s="32">
        <v>213.79</v>
      </c>
      <c r="I28" s="32">
        <v>2.54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7250</v>
      </c>
      <c r="H29" s="32">
        <v>186.88</v>
      </c>
      <c r="I29" s="32">
        <v>2.2200000000000002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74</v>
      </c>
      <c r="G30" s="31">
        <v>18049</v>
      </c>
      <c r="H30" s="32">
        <v>183.56</v>
      </c>
      <c r="I30" s="32">
        <v>2.1800000000000002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28000</v>
      </c>
      <c r="H31" s="32">
        <v>178.43</v>
      </c>
      <c r="I31" s="32">
        <v>2.12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70</v>
      </c>
      <c r="G32" s="31">
        <v>41600</v>
      </c>
      <c r="H32" s="32">
        <v>155.77000000000001</v>
      </c>
      <c r="I32" s="32">
        <v>1.85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10000</v>
      </c>
      <c r="H33" s="32">
        <v>143.43</v>
      </c>
      <c r="I33" s="32">
        <v>1.7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3350</v>
      </c>
      <c r="H34" s="32">
        <v>123</v>
      </c>
      <c r="I34" s="32">
        <v>1.46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45</v>
      </c>
      <c r="G35" s="31">
        <v>5400</v>
      </c>
      <c r="H35" s="32">
        <v>113.34</v>
      </c>
      <c r="I35" s="32">
        <v>1.35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74</v>
      </c>
      <c r="G36" s="31">
        <v>3654</v>
      </c>
      <c r="H36" s="32">
        <v>109.98</v>
      </c>
      <c r="I36" s="32">
        <v>1.31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20000</v>
      </c>
      <c r="H37" s="32">
        <v>90.05</v>
      </c>
      <c r="I37" s="32">
        <v>1.07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102</v>
      </c>
      <c r="G38" s="31">
        <v>10000</v>
      </c>
      <c r="H38" s="32">
        <v>87.52</v>
      </c>
      <c r="I38" s="32">
        <v>1.04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10500</v>
      </c>
      <c r="H39" s="32">
        <v>37.409999999999997</v>
      </c>
      <c r="I39" s="32">
        <v>0.44</v>
      </c>
      <c r="J39" s="33"/>
    </row>
    <row r="40" spans="2:10">
      <c r="C40" s="28" t="s">
        <v>124</v>
      </c>
      <c r="D40" s="29"/>
      <c r="E40" s="30"/>
      <c r="F40" s="30"/>
      <c r="G40" s="31"/>
      <c r="H40" s="35">
        <v>8077.11</v>
      </c>
      <c r="I40" s="35">
        <v>95.87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125</v>
      </c>
      <c r="D42" s="29"/>
      <c r="E42" s="30"/>
      <c r="F42" s="30"/>
      <c r="G42" s="31"/>
      <c r="H42" s="32" t="s">
        <v>126</v>
      </c>
      <c r="I42" s="32" t="s">
        <v>126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127</v>
      </c>
      <c r="D44" s="29"/>
      <c r="E44" s="30"/>
      <c r="F44" s="30"/>
      <c r="G44" s="31"/>
      <c r="H44" s="32" t="s">
        <v>126</v>
      </c>
      <c r="I44" s="32" t="s">
        <v>126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128</v>
      </c>
      <c r="D46" s="29"/>
      <c r="E46" s="30"/>
      <c r="F46" s="30"/>
      <c r="G46" s="31"/>
      <c r="H46" s="32"/>
      <c r="I46" s="32"/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129</v>
      </c>
      <c r="D48" s="29"/>
      <c r="E48" s="30"/>
      <c r="F48" s="30"/>
      <c r="G48" s="31"/>
      <c r="H48" s="32" t="s">
        <v>126</v>
      </c>
      <c r="I48" s="32" t="s">
        <v>126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130</v>
      </c>
      <c r="D50" s="29"/>
      <c r="E50" s="30"/>
      <c r="F50" s="30"/>
      <c r="G50" s="31"/>
      <c r="H50" s="32" t="s">
        <v>126</v>
      </c>
      <c r="I50" s="32" t="s">
        <v>126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131</v>
      </c>
      <c r="D52" s="29"/>
      <c r="E52" s="30"/>
      <c r="F52" s="30"/>
      <c r="G52" s="31"/>
      <c r="H52" s="32" t="s">
        <v>126</v>
      </c>
      <c r="I52" s="32" t="s">
        <v>126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132</v>
      </c>
      <c r="D54" s="29"/>
      <c r="E54" s="30"/>
      <c r="F54" s="30"/>
      <c r="G54" s="31"/>
      <c r="H54" s="32" t="s">
        <v>126</v>
      </c>
      <c r="I54" s="32" t="s">
        <v>126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133</v>
      </c>
      <c r="D56" s="29"/>
      <c r="E56" s="30"/>
      <c r="F56" s="30"/>
      <c r="G56" s="31"/>
      <c r="H56" s="32" t="s">
        <v>126</v>
      </c>
      <c r="I56" s="32" t="s">
        <v>126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134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135</v>
      </c>
      <c r="D60" s="29"/>
      <c r="E60" s="30"/>
      <c r="F60" s="30"/>
      <c r="G60" s="31"/>
      <c r="H60" s="32" t="s">
        <v>126</v>
      </c>
      <c r="I60" s="32" t="s">
        <v>126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136</v>
      </c>
      <c r="D62" s="29"/>
      <c r="E62" s="30"/>
      <c r="F62" s="30"/>
      <c r="G62" s="31"/>
      <c r="H62" s="32" t="s">
        <v>126</v>
      </c>
      <c r="I62" s="32" t="s">
        <v>126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137</v>
      </c>
      <c r="D64" s="29"/>
      <c r="E64" s="30"/>
      <c r="F64" s="30"/>
      <c r="G64" s="31"/>
      <c r="H64" s="32" t="s">
        <v>126</v>
      </c>
      <c r="I64" s="32" t="s">
        <v>126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138</v>
      </c>
      <c r="D66" s="29"/>
      <c r="E66" s="30"/>
      <c r="F66" s="30"/>
      <c r="G66" s="31"/>
      <c r="H66" s="32" t="s">
        <v>126</v>
      </c>
      <c r="I66" s="32" t="s">
        <v>126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139</v>
      </c>
      <c r="D68" s="29"/>
      <c r="E68" s="30"/>
      <c r="F68" s="30"/>
      <c r="G68" s="31"/>
      <c r="H68" s="32"/>
      <c r="I68" s="32"/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140</v>
      </c>
      <c r="D70" s="29"/>
      <c r="E70" s="30"/>
      <c r="F70" s="30"/>
      <c r="G70" s="31"/>
      <c r="H70" s="32" t="s">
        <v>126</v>
      </c>
      <c r="I70" s="32" t="s">
        <v>126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141</v>
      </c>
      <c r="D72" s="29"/>
      <c r="E72" s="30"/>
      <c r="F72" s="30"/>
      <c r="G72" s="31"/>
      <c r="H72" s="32" t="s">
        <v>126</v>
      </c>
      <c r="I72" s="32" t="s">
        <v>126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142</v>
      </c>
      <c r="D74" s="29"/>
      <c r="E74" s="30"/>
      <c r="F74" s="30"/>
      <c r="G74" s="31"/>
      <c r="H74" s="32" t="s">
        <v>126</v>
      </c>
      <c r="I74" s="32" t="s">
        <v>126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143</v>
      </c>
      <c r="D76" s="29"/>
      <c r="E76" s="30"/>
      <c r="F76" s="30"/>
      <c r="G76" s="31"/>
      <c r="H76" s="32" t="s">
        <v>126</v>
      </c>
      <c r="I76" s="32" t="s">
        <v>126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C78" s="28" t="s">
        <v>144</v>
      </c>
      <c r="D78" s="29"/>
      <c r="E78" s="30"/>
      <c r="F78" s="30"/>
      <c r="G78" s="31"/>
      <c r="H78" s="32" t="s">
        <v>126</v>
      </c>
      <c r="I78" s="32" t="s">
        <v>126</v>
      </c>
      <c r="J78" s="33"/>
    </row>
    <row r="79" spans="1:10">
      <c r="C79" s="20"/>
      <c r="D79" s="29"/>
      <c r="E79" s="30"/>
      <c r="F79" s="30"/>
      <c r="G79" s="31"/>
      <c r="H79" s="32"/>
      <c r="I79" s="32"/>
      <c r="J79" s="33"/>
    </row>
    <row r="80" spans="1:10">
      <c r="A80" s="26"/>
      <c r="B80" s="27"/>
      <c r="C80" s="28" t="s">
        <v>145</v>
      </c>
      <c r="D80" s="29"/>
      <c r="E80" s="30"/>
      <c r="F80" s="30"/>
      <c r="G80" s="31"/>
      <c r="H80" s="32"/>
      <c r="I80" s="32"/>
      <c r="J80" s="33"/>
    </row>
    <row r="81" spans="2:10">
      <c r="B81" s="1"/>
      <c r="C81" s="20" t="s">
        <v>146</v>
      </c>
      <c r="D81" s="29"/>
      <c r="E81" s="30"/>
      <c r="F81" s="30"/>
      <c r="G81" s="31"/>
      <c r="H81" s="32">
        <v>347.07</v>
      </c>
      <c r="I81" s="32">
        <v>4.13</v>
      </c>
      <c r="J81" s="33"/>
    </row>
    <row r="82" spans="2:10">
      <c r="C82" s="28" t="s">
        <v>124</v>
      </c>
      <c r="D82" s="29"/>
      <c r="E82" s="30"/>
      <c r="F82" s="30"/>
      <c r="G82" s="31"/>
      <c r="H82" s="35">
        <v>347.07</v>
      </c>
      <c r="I82" s="35">
        <v>4.13</v>
      </c>
      <c r="J82" s="33"/>
    </row>
    <row r="83" spans="2:10">
      <c r="C83" s="20"/>
      <c r="D83" s="29"/>
      <c r="E83" s="30"/>
      <c r="F83" s="30"/>
      <c r="G83" s="31"/>
      <c r="H83" s="32"/>
      <c r="I83" s="32"/>
      <c r="J83" s="33"/>
    </row>
    <row r="84" spans="2:10" ht="13.5" thickBot="1">
      <c r="C84" s="36" t="s">
        <v>147</v>
      </c>
      <c r="D84" s="37"/>
      <c r="E84" s="38"/>
      <c r="F84" s="39"/>
      <c r="G84" s="40"/>
      <c r="H84" s="41">
        <v>8424.18</v>
      </c>
      <c r="I84" s="41">
        <f>SUMIFS(I:I,C:C,"Total")</f>
        <v>100</v>
      </c>
      <c r="J84" s="42"/>
    </row>
    <row r="87" spans="2:10">
      <c r="C87" s="11" t="s">
        <v>148</v>
      </c>
    </row>
    <row r="88" spans="2:10">
      <c r="C88" s="2" t="s">
        <v>149</v>
      </c>
    </row>
    <row r="89" spans="2:10">
      <c r="C89" s="2" t="s">
        <v>150</v>
      </c>
    </row>
    <row r="90" spans="2:10">
      <c r="C90" s="2" t="s">
        <v>151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152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153</v>
      </c>
      <c r="C5" s="46" t="s">
        <v>154</v>
      </c>
      <c r="D5" s="46"/>
      <c r="E5" s="46" t="s">
        <v>155</v>
      </c>
      <c r="F5" s="46"/>
      <c r="G5" s="46" t="s">
        <v>156</v>
      </c>
      <c r="H5" s="46"/>
      <c r="I5" s="46" t="s">
        <v>157</v>
      </c>
      <c r="J5" s="46"/>
    </row>
    <row r="6" spans="2:10" ht="63.75">
      <c r="B6" s="47"/>
      <c r="C6" s="48" t="s">
        <v>158</v>
      </c>
      <c r="D6" s="48" t="s">
        <v>159</v>
      </c>
      <c r="E6" s="48" t="s">
        <v>158</v>
      </c>
      <c r="F6" s="48" t="s">
        <v>159</v>
      </c>
      <c r="G6" s="48" t="s">
        <v>158</v>
      </c>
      <c r="H6" s="48" t="s">
        <v>159</v>
      </c>
      <c r="I6" s="48" t="s">
        <v>158</v>
      </c>
      <c r="J6" s="48" t="s">
        <v>159</v>
      </c>
    </row>
    <row r="7" spans="2:10">
      <c r="B7" s="49" t="s">
        <v>160</v>
      </c>
      <c r="C7" s="50">
        <v>-2.2405942966690517</v>
      </c>
      <c r="D7" s="50">
        <v>9775.9405703330958</v>
      </c>
      <c r="E7" s="50">
        <v>14.187618387656986</v>
      </c>
      <c r="F7" s="50">
        <v>14894.121942314714</v>
      </c>
      <c r="G7" s="50">
        <v>10.142839989606101</v>
      </c>
      <c r="H7" s="50">
        <v>16214.228934817171</v>
      </c>
      <c r="I7" s="50">
        <v>16.386776634091383</v>
      </c>
      <c r="J7" s="50">
        <v>81590</v>
      </c>
    </row>
    <row r="8" spans="2:10">
      <c r="B8" s="49" t="s">
        <v>161</v>
      </c>
      <c r="C8" s="50">
        <v>-4.8753903121336322</v>
      </c>
      <c r="D8" s="50">
        <v>9512.4609687866359</v>
      </c>
      <c r="E8" s="50">
        <v>18.12893840140346</v>
      </c>
      <c r="F8" s="50">
        <v>16484.239023364607</v>
      </c>
      <c r="G8" s="50">
        <v>12.44751391263874</v>
      </c>
      <c r="H8" s="50">
        <v>17978.327630564025</v>
      </c>
      <c r="I8" s="50">
        <v>16.090568341724754</v>
      </c>
      <c r="J8" s="50">
        <v>78731.86154217938</v>
      </c>
    </row>
    <row r="9" spans="2:10">
      <c r="B9" s="49" t="s">
        <v>162</v>
      </c>
      <c r="C9" s="50">
        <v>3.1786787667375416</v>
      </c>
      <c r="D9" s="50">
        <v>10317.867876673754</v>
      </c>
      <c r="E9" s="50">
        <v>15.20948157089097</v>
      </c>
      <c r="F9" s="50">
        <v>15292.013299900276</v>
      </c>
      <c r="G9" s="50">
        <v>11.250631257369781</v>
      </c>
      <c r="H9" s="50">
        <v>17041.680532244904</v>
      </c>
      <c r="I9" s="50">
        <v>14.367120349032136</v>
      </c>
      <c r="J9" s="50">
        <v>64019.664047095321</v>
      </c>
    </row>
    <row r="10" spans="2:10">
      <c r="B10" s="49" t="s">
        <v>163</v>
      </c>
      <c r="C10" s="51">
        <v>83.46</v>
      </c>
      <c r="D10" s="52"/>
      <c r="E10" s="51">
        <v>54.78</v>
      </c>
      <c r="F10" s="52"/>
      <c r="G10" s="51">
        <v>50.32</v>
      </c>
      <c r="H10" s="52"/>
      <c r="I10" s="51">
        <v>10</v>
      </c>
      <c r="J10" s="52"/>
    </row>
    <row r="12" spans="2:10" ht="15.75">
      <c r="B12" s="43" t="s">
        <v>164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153</v>
      </c>
      <c r="C13" s="46" t="s">
        <v>154</v>
      </c>
      <c r="D13" s="46"/>
      <c r="E13" s="46" t="s">
        <v>155</v>
      </c>
      <c r="F13" s="46"/>
      <c r="G13" s="46" t="s">
        <v>156</v>
      </c>
      <c r="H13" s="46"/>
      <c r="I13" s="46" t="s">
        <v>157</v>
      </c>
      <c r="J13" s="46"/>
    </row>
    <row r="14" spans="2:10" ht="63.75">
      <c r="B14" s="47"/>
      <c r="C14" s="48" t="s">
        <v>158</v>
      </c>
      <c r="D14" s="48" t="s">
        <v>159</v>
      </c>
      <c r="E14" s="48" t="s">
        <v>158</v>
      </c>
      <c r="F14" s="48" t="s">
        <v>159</v>
      </c>
      <c r="G14" s="48" t="s">
        <v>158</v>
      </c>
      <c r="H14" s="48" t="s">
        <v>159</v>
      </c>
      <c r="I14" s="48" t="s">
        <v>158</v>
      </c>
      <c r="J14" s="48" t="s">
        <v>159</v>
      </c>
    </row>
    <row r="15" spans="2:10">
      <c r="B15" s="49" t="s">
        <v>160</v>
      </c>
      <c r="C15" s="50">
        <v>-1.231144631765746</v>
      </c>
      <c r="D15" s="50">
        <v>9876.8855368234254</v>
      </c>
      <c r="E15" s="50">
        <v>15.394915538183218</v>
      </c>
      <c r="F15" s="50">
        <v>15372.000690488519</v>
      </c>
      <c r="G15" s="50">
        <v>11.237428789691695</v>
      </c>
      <c r="H15" s="50">
        <v>17036.541036923663</v>
      </c>
      <c r="I15" s="50">
        <v>14.137175471537432</v>
      </c>
      <c r="J15" s="50">
        <v>37958.226768968452</v>
      </c>
    </row>
    <row r="16" spans="2:10">
      <c r="B16" s="49" t="s">
        <v>161</v>
      </c>
      <c r="C16" s="50">
        <v>-4.8753903121336322</v>
      </c>
      <c r="D16" s="50">
        <v>9512.4609687866359</v>
      </c>
      <c r="E16" s="50">
        <v>18.12893840140346</v>
      </c>
      <c r="F16" s="50">
        <v>16484.239023364607</v>
      </c>
      <c r="G16" s="50">
        <v>12.44751391263874</v>
      </c>
      <c r="H16" s="50">
        <v>17978.327630564025</v>
      </c>
      <c r="I16" s="50">
        <v>15.296773858518108</v>
      </c>
      <c r="J16" s="50">
        <v>42033.07281074857</v>
      </c>
    </row>
    <row r="17" spans="2:10">
      <c r="B17" s="49" t="s">
        <v>162</v>
      </c>
      <c r="C17" s="50">
        <v>3.1786787667375416</v>
      </c>
      <c r="D17" s="50">
        <v>10317.867876673754</v>
      </c>
      <c r="E17" s="50">
        <v>15.20948157089097</v>
      </c>
      <c r="F17" s="50">
        <v>15292.013299900276</v>
      </c>
      <c r="G17" s="50">
        <v>11.250631257369781</v>
      </c>
      <c r="H17" s="50">
        <v>17041.680532244904</v>
      </c>
      <c r="I17" s="50">
        <v>12.75650757861635</v>
      </c>
      <c r="J17" s="50">
        <v>33572.793504487097</v>
      </c>
    </row>
    <row r="18" spans="2:10">
      <c r="B18" s="49" t="s">
        <v>165</v>
      </c>
      <c r="C18" s="51">
        <v>90.16</v>
      </c>
      <c r="D18" s="52"/>
      <c r="E18" s="51">
        <v>57.93</v>
      </c>
      <c r="F18" s="52"/>
      <c r="G18" s="51">
        <v>52.27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2023-02-02T04:50:16Z</dcterms:created>
  <dcterms:modified xsi:type="dcterms:W3CDTF">2023-02-09T07:08:37Z</dcterms:modified>
</cp:coreProperties>
</file>