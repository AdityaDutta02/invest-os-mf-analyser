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4FCDA533-A284-4B30-B873-2E5CED5D482B}" xr6:coauthVersionLast="47" xr6:coauthVersionMax="47" xr10:uidLastSave="{00000000-0000-0000-0000-000000000000}"/>
  <bookViews>
    <workbookView xWindow="-120" yWindow="-120" windowWidth="20730" windowHeight="11040" xr2:uid="{0CC36931-6E29-4939-8DF8-FA5A5B307F3B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<sst xmlns="http://schemas.openxmlformats.org/spreadsheetml/2006/main" count="258" uniqueCount="187">
  <si>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</si>
  <si>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</si>
  <si>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</si>
  <si>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</si>
  <si>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</si>
  <si>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</si>
  <si>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</si>
  <si>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</si>
  <si>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</si>
  <si>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</si>
  <si>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</si>
  <si>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</si>
  <si>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</si>
  <si>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</si>
  <si>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</si>
  <si>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</si>
  <si>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</si>
  <si>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</si>
  <si>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</si>
  <si>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</si>
  <si>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</si>
  <si>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</si>
  <si>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</si>
  <si>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</si>
  <si>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</si>
  <si>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</si>
  <si>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</si>
  <si>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</si>
  <si>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</si>
  <si>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</si>
  <si>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100019</t>
  </si>
  <si>
    <t>ITC Ltd.</t>
  </si>
  <si>
    <t>INE154A01025</t>
  </si>
  <si>
    <t>Diversified FMCG</t>
  </si>
  <si>
    <t>100106</t>
  </si>
  <si>
    <t>Maruti Suzuki India Ltd.</t>
  </si>
  <si>
    <t>INE585B01010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</si>
  <si>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</si>
  <si>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</si>
  <si>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</si>
  <si>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</si>
  <si>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</si>
  <si>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</si>
  <si>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</si>
  <si>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100014</t>
  </si>
  <si>
    <t>Mahindra &amp; Mahindra Ltd.</t>
  </si>
  <si>
    <t>INE101A01026</t>
  </si>
  <si>
    <t>100003</t>
  </si>
  <si>
    <t>Infosys Ltd.</t>
  </si>
  <si>
    <t>INE009A01021</t>
  </si>
  <si>
    <t>101178</t>
  </si>
  <si>
    <t>Computer Age Management Services Ltd.</t>
  </si>
  <si>
    <t>INE596I01012</t>
  </si>
  <si>
    <t>Capital Markets</t>
  </si>
  <si>
    <t>100153</t>
  </si>
  <si>
    <t>Cipla Ltd.</t>
  </si>
  <si>
    <t>INE059A01026</t>
  </si>
  <si>
    <t>Pharmaceuticals &amp; Biotechnology</t>
  </si>
  <si>
    <t>100132</t>
  </si>
  <si>
    <t>Info Edge (India) Ltd.</t>
  </si>
  <si>
    <t>INE663F01024</t>
  </si>
  <si>
    <t>Retailing</t>
  </si>
  <si>
    <t>100008</t>
  </si>
  <si>
    <t>Sun Pharmaceutical Industries Ltd.</t>
  </si>
  <si>
    <t>INE044A01036</t>
  </si>
  <si>
    <t>100181</t>
  </si>
  <si>
    <t>NTPC Ltd.</t>
  </si>
  <si>
    <t>INE733E01010</t>
  </si>
  <si>
    <t>Power</t>
  </si>
  <si>
    <t>100830</t>
  </si>
  <si>
    <t>Varun Beverages Ltd.</t>
  </si>
  <si>
    <t>INE200M01021</t>
  </si>
  <si>
    <t>Beverages</t>
  </si>
  <si>
    <t>100150</t>
  </si>
  <si>
    <t>Apollo Hospitals Enterprise Ltd.</t>
  </si>
  <si>
    <t>INE437A01024</t>
  </si>
  <si>
    <t>Healthcare Services</t>
  </si>
  <si>
    <t>100219</t>
  </si>
  <si>
    <t>Indraprastha Gas Ltd.</t>
  </si>
  <si>
    <t>INE203G01027</t>
  </si>
  <si>
    <t>Gas</t>
  </si>
  <si>
    <t>100302</t>
  </si>
  <si>
    <t>DLF Ltd.</t>
  </si>
  <si>
    <t>INE271C01023</t>
  </si>
  <si>
    <t>Realty</t>
  </si>
  <si>
    <t>100080</t>
  </si>
  <si>
    <t>Dr. Reddy's Laboratories Ltd.</t>
  </si>
  <si>
    <t>INE089A01023</t>
  </si>
  <si>
    <t>100182</t>
  </si>
  <si>
    <t>Power Grid Corporation of India Ltd.</t>
  </si>
  <si>
    <t>INE752E01010</t>
  </si>
  <si>
    <t>100292</t>
  </si>
  <si>
    <t>Steel Authority of India Ltd.</t>
  </si>
  <si>
    <t>INE114A01011</t>
  </si>
  <si>
    <t>Ferrous Metals</t>
  </si>
  <si>
    <t>100005</t>
  </si>
  <si>
    <t>Larsen &amp; Toubro Ltd.</t>
  </si>
  <si>
    <t>INE018A01030</t>
  </si>
  <si>
    <t>Construction</t>
  </si>
  <si>
    <t>100119</t>
  </si>
  <si>
    <t>Tata Motors Ltd.</t>
  </si>
  <si>
    <t>INE155A01022</t>
  </si>
  <si>
    <t>100104</t>
  </si>
  <si>
    <t>Kotak Mahindra Bank Ltd.</t>
  </si>
  <si>
    <t>INE237A01028</t>
  </si>
  <si>
    <t>100147</t>
  </si>
  <si>
    <t>Tech Mahindra Ltd.</t>
  </si>
  <si>
    <t>INE669C01036</t>
  </si>
  <si>
    <t>100002</t>
  </si>
  <si>
    <t>Reliance Industries Ltd.</t>
  </si>
  <si>
    <t>INE002A01018</t>
  </si>
  <si>
    <t>Petroleum Products</t>
  </si>
  <si>
    <t>100682</t>
  </si>
  <si>
    <t>ICICI Lombard General Insurance Company Ltd.</t>
  </si>
  <si>
    <t>INE765G01017</t>
  </si>
  <si>
    <t>Insurance</t>
  </si>
  <si>
    <t>100128</t>
  </si>
  <si>
    <t>Eicher Motors Ltd.</t>
  </si>
  <si>
    <t>INE066A01021</t>
  </si>
  <si>
    <t>100081</t>
  </si>
  <si>
    <t>Titan Company Ltd.</t>
  </si>
  <si>
    <t>INE280A01028</t>
  </si>
  <si>
    <t>Consumer Durables</t>
  </si>
  <si>
    <t>100184</t>
  </si>
  <si>
    <t>Tata Steel Ltd.</t>
  </si>
  <si>
    <t>INE081A01020</t>
  </si>
  <si>
    <t>100263</t>
  </si>
  <si>
    <t>BEML Ltd.</t>
  </si>
  <si>
    <t>INE258A01016</t>
  </si>
  <si>
    <t>Agricultural, Commercial &amp; Construction Vehicles</t>
  </si>
  <si>
    <t>101434</t>
  </si>
  <si>
    <t>CMS Info Systems Ltd.</t>
  </si>
  <si>
    <t>INE925R01014</t>
  </si>
  <si>
    <t>Commercial Services &amp; Supplies</t>
  </si>
  <si>
    <t>101550</t>
  </si>
  <si>
    <t>Life Insurance Corporation of India</t>
  </si>
  <si>
    <t>INE0J1Y01017</t>
  </si>
  <si>
    <t>102070</t>
  </si>
  <si>
    <t>Juniper Hotels Ltd.</t>
  </si>
  <si>
    <t>INE696F01016</t>
  </si>
  <si>
    <t>Leisure Services</t>
  </si>
  <si>
    <t>100280</t>
  </si>
  <si>
    <t>TVS Motor Company Ltd.</t>
  </si>
  <si>
    <t>INE494B01023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</si>
  <si>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</si>
  <si>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</si>
  <si>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</si>
  <si>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</si>
  <si>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</si>
  <si>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</si>
  <si>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</si>
  <si>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</si>
  <si>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</si>
  <si>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</si>
  <si>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</si>
  <si>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</si>
  <si>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</si>
  <si>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</si>
  <si>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</si>
  <si>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</si>
  <si>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</si>
  <si>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</si>
  <si>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</si>
  <si>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</si>
  <si>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</si>
  <si>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</si>
  <si>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</si>
  <si>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</si>
  <si>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</si>
  <si>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</si>
  <si>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</si>
  <si>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</si>
  <si>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</si>
  <si>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</si>
  <si>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</si>
  <si>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</si>
  <si>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</si>
  <si>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</si>
  <si>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</si>
  <si>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</si>
  <si>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</si>
  <si>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</si>
  <si>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</si>
  <si>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</si>
  <si>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March 31, 2024 : 141.24)</t>
  </si>
  <si>
    <t>Taurus Large Cap Fund - Direct Plan Growth Option</t>
  </si>
  <si>
    <t>NAV [Rs.] Per Unit (as on March 31, 2024 : 149.14)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</si>
</sst>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591A9E6-ACDD-4444-B148-FED79728A729}"/>
    <cellStyle name="Hyperlink" xfId="2" builtinId="8"/>
    <cellStyle name="Normal" xfId="0" builtinId="0"/>
    <cellStyle name="Normal 2" xfId="4" xr:uid="{51FF51F9-B407-420D-BE79-88CDD7D42CDD}"/>
    <cellStyle name="Style 1" xfId="3" xr:uid="{4917787D-2620-448D-8B99-180FC31F8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1375834</xdr:colOff>
      <xdr:row>0</xdr:row>
      <xdr:rowOff>2042583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35F4F-ED75-428C-AB95-F7D1E037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551084" cy="204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hil\Downloads\0096E_Monthly_Portfolio_Report.xls" TargetMode="External"/><Relationship Id="rId1" Type="http://schemas.openxmlformats.org/officeDocument/2006/relationships/externalLinkPath" Target="file:///C:\Users\jsahil\Downloads\0096E_Monthly_Portfolio_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E1EE-C584-441F-AF14-4813B53F7027}">
  <sheetPr codeName="Sheet1"/>
  <dimension ref="A1:IV98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9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23999</v>
      </c>
      <c r="H10" s="32">
        <v>347.55</v>
      </c>
      <c r="I10" s="32">
        <v>7.82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17307</v>
      </c>
      <c r="H11" s="32">
        <v>267.10000000000002</v>
      </c>
      <c r="I11" s="32">
        <v>6.01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34404</v>
      </c>
      <c r="H12" s="32">
        <v>258.92</v>
      </c>
      <c r="I12" s="32">
        <v>5.83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57649</v>
      </c>
      <c r="H13" s="32">
        <v>250.05</v>
      </c>
      <c r="I13" s="32">
        <v>5.63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54880</v>
      </c>
      <c r="H14" s="32">
        <v>235.19</v>
      </c>
      <c r="I14" s="32">
        <v>5.29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1733</v>
      </c>
      <c r="H15" s="32">
        <v>218.59</v>
      </c>
      <c r="I15" s="32">
        <v>4.92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19245</v>
      </c>
      <c r="H16" s="32">
        <v>210.9</v>
      </c>
      <c r="I16" s="32">
        <v>4.75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19761</v>
      </c>
      <c r="H17" s="32">
        <v>207.15</v>
      </c>
      <c r="I17" s="32">
        <v>4.66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37</v>
      </c>
      <c r="G18" s="31">
        <v>8410</v>
      </c>
      <c r="H18" s="32">
        <v>161.59</v>
      </c>
      <c r="I18" s="32">
        <v>3.64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22</v>
      </c>
      <c r="G19" s="31">
        <v>8147</v>
      </c>
      <c r="H19" s="32">
        <v>122.11</v>
      </c>
      <c r="I19" s="32">
        <v>2.75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4111</v>
      </c>
      <c r="H20" s="32">
        <v>119.85</v>
      </c>
      <c r="I20" s="32">
        <v>2.7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7725</v>
      </c>
      <c r="H21" s="32">
        <v>115.46</v>
      </c>
      <c r="I21" s="32">
        <v>2.6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1972</v>
      </c>
      <c r="H22" s="32">
        <v>110.29</v>
      </c>
      <c r="I22" s="32">
        <v>2.48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57</v>
      </c>
      <c r="G23" s="31">
        <v>6749</v>
      </c>
      <c r="H23" s="32">
        <v>109.37</v>
      </c>
      <c r="I23" s="32">
        <v>2.46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31179</v>
      </c>
      <c r="H24" s="32">
        <v>104.75</v>
      </c>
      <c r="I24" s="32">
        <v>2.36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7139</v>
      </c>
      <c r="H25" s="32">
        <v>99.81</v>
      </c>
      <c r="I25" s="32">
        <v>2.25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1517</v>
      </c>
      <c r="H26" s="32">
        <v>96.36</v>
      </c>
      <c r="I26" s="32">
        <v>2.17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22275</v>
      </c>
      <c r="H27" s="32">
        <v>95.99</v>
      </c>
      <c r="I27" s="32">
        <v>2.16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10345</v>
      </c>
      <c r="H28" s="32">
        <v>92.93</v>
      </c>
      <c r="I28" s="32">
        <v>2.09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57</v>
      </c>
      <c r="G29" s="31">
        <v>1505</v>
      </c>
      <c r="H29" s="32">
        <v>92.64</v>
      </c>
      <c r="I29" s="32">
        <v>2.08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68</v>
      </c>
      <c r="G30" s="31">
        <v>33010</v>
      </c>
      <c r="H30" s="32">
        <v>91.45</v>
      </c>
      <c r="I30" s="32">
        <v>2.06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67072</v>
      </c>
      <c r="H31" s="32">
        <v>89.98</v>
      </c>
      <c r="I31" s="32">
        <v>2.0299999999999998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2309</v>
      </c>
      <c r="H32" s="32">
        <v>87.14</v>
      </c>
      <c r="I32" s="32">
        <v>1.96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37</v>
      </c>
      <c r="G33" s="31">
        <v>8674</v>
      </c>
      <c r="H33" s="32">
        <v>86.13</v>
      </c>
      <c r="I33" s="32">
        <v>1.94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18</v>
      </c>
      <c r="G34" s="31">
        <v>4784</v>
      </c>
      <c r="H34" s="32">
        <v>85.43</v>
      </c>
      <c r="I34" s="32">
        <v>1.92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22</v>
      </c>
      <c r="G35" s="31">
        <v>6430</v>
      </c>
      <c r="H35" s="32">
        <v>80.400000000000006</v>
      </c>
      <c r="I35" s="32">
        <v>1.81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2478</v>
      </c>
      <c r="H36" s="32">
        <v>73.77</v>
      </c>
      <c r="I36" s="32">
        <v>1.66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3624</v>
      </c>
      <c r="H37" s="32">
        <v>61.07</v>
      </c>
      <c r="I37" s="32">
        <v>1.37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37</v>
      </c>
      <c r="G38" s="31">
        <v>1412</v>
      </c>
      <c r="H38" s="32">
        <v>56.75</v>
      </c>
      <c r="I38" s="32">
        <v>1.28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1393</v>
      </c>
      <c r="H39" s="32">
        <v>53</v>
      </c>
      <c r="I39" s="32">
        <v>1.19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94</v>
      </c>
      <c r="G40" s="31">
        <v>32171</v>
      </c>
      <c r="H40" s="32">
        <v>50.15</v>
      </c>
      <c r="I40" s="32">
        <v>1.1299999999999999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1569</v>
      </c>
      <c r="H41" s="32">
        <v>49.95</v>
      </c>
      <c r="I41" s="32">
        <v>1.1200000000000001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10500</v>
      </c>
      <c r="H42" s="32">
        <v>41</v>
      </c>
      <c r="I42" s="32">
        <v>0.92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115</v>
      </c>
      <c r="G43" s="31">
        <v>4281</v>
      </c>
      <c r="H43" s="32">
        <v>39.15</v>
      </c>
      <c r="I43" s="32">
        <v>0.88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4305</v>
      </c>
      <c r="H44" s="32">
        <v>22.12</v>
      </c>
      <c r="I44" s="32">
        <v>0.5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37</v>
      </c>
      <c r="G45" s="31">
        <v>546</v>
      </c>
      <c r="H45" s="32">
        <v>11.75</v>
      </c>
      <c r="I45" s="32">
        <v>0.26</v>
      </c>
      <c r="J45" s="33"/>
    </row>
    <row r="46" spans="2:10" x14ac:dyDescent="0.25">
      <c r="C46" s="28" t="s">
        <v>144</v>
      </c>
      <c r="D46" s="29"/>
      <c r="E46" s="30"/>
      <c r="F46" s="30"/>
      <c r="G46" s="31"/>
      <c r="H46" s="35">
        <v>4295.84</v>
      </c>
      <c r="I46" s="35">
        <v>96.68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145</v>
      </c>
      <c r="D48" s="29"/>
      <c r="E48" s="30"/>
      <c r="F48" s="30"/>
      <c r="G48" s="31"/>
      <c r="H48" s="32" t="s">
        <v>146</v>
      </c>
      <c r="I48" s="32" t="s">
        <v>146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147</v>
      </c>
      <c r="D50" s="29"/>
      <c r="E50" s="30"/>
      <c r="F50" s="30"/>
      <c r="G50" s="31"/>
      <c r="H50" s="32" t="s">
        <v>146</v>
      </c>
      <c r="I50" s="32" t="s">
        <v>146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148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149</v>
      </c>
      <c r="D54" s="29"/>
      <c r="E54" s="30"/>
      <c r="F54" s="30"/>
      <c r="G54" s="31"/>
      <c r="H54" s="32" t="s">
        <v>146</v>
      </c>
      <c r="I54" s="32" t="s">
        <v>146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150</v>
      </c>
      <c r="D56" s="29"/>
      <c r="E56" s="30"/>
      <c r="F56" s="30"/>
      <c r="G56" s="31"/>
      <c r="H56" s="32" t="s">
        <v>146</v>
      </c>
      <c r="I56" s="32" t="s">
        <v>146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151</v>
      </c>
      <c r="D58" s="29"/>
      <c r="E58" s="30"/>
      <c r="F58" s="30"/>
      <c r="G58" s="31"/>
      <c r="H58" s="32" t="s">
        <v>146</v>
      </c>
      <c r="I58" s="32" t="s">
        <v>146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152</v>
      </c>
      <c r="D60" s="29"/>
      <c r="E60" s="30"/>
      <c r="F60" s="30"/>
      <c r="G60" s="31"/>
      <c r="H60" s="32" t="s">
        <v>146</v>
      </c>
      <c r="I60" s="32" t="s">
        <v>146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153</v>
      </c>
      <c r="D62" s="29"/>
      <c r="E62" s="30"/>
      <c r="F62" s="30"/>
      <c r="G62" s="31"/>
      <c r="H62" s="32" t="s">
        <v>146</v>
      </c>
      <c r="I62" s="32" t="s">
        <v>146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154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155</v>
      </c>
      <c r="D66" s="29"/>
      <c r="E66" s="30"/>
      <c r="F66" s="30"/>
      <c r="G66" s="31"/>
      <c r="H66" s="32" t="s">
        <v>146</v>
      </c>
      <c r="I66" s="32" t="s">
        <v>146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156</v>
      </c>
      <c r="D68" s="29"/>
      <c r="E68" s="30"/>
      <c r="F68" s="30"/>
      <c r="G68" s="31"/>
      <c r="H68" s="32" t="s">
        <v>146</v>
      </c>
      <c r="I68" s="32" t="s">
        <v>146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157</v>
      </c>
      <c r="D70" s="29"/>
      <c r="E70" s="30"/>
      <c r="F70" s="30"/>
      <c r="G70" s="31"/>
      <c r="H70" s="32" t="s">
        <v>146</v>
      </c>
      <c r="I70" s="32" t="s">
        <v>146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158</v>
      </c>
      <c r="D72" s="29"/>
      <c r="E72" s="30"/>
      <c r="F72" s="30"/>
      <c r="G72" s="31"/>
      <c r="H72" s="32" t="s">
        <v>146</v>
      </c>
      <c r="I72" s="32" t="s">
        <v>146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159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160</v>
      </c>
      <c r="D76" s="29"/>
      <c r="E76" s="30"/>
      <c r="F76" s="30"/>
      <c r="G76" s="31"/>
      <c r="H76" s="32" t="s">
        <v>146</v>
      </c>
      <c r="I76" s="32" t="s">
        <v>146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161</v>
      </c>
      <c r="D78" s="29"/>
      <c r="E78" s="30"/>
      <c r="F78" s="30"/>
      <c r="G78" s="31"/>
      <c r="H78" s="32" t="s">
        <v>146</v>
      </c>
      <c r="I78" s="32" t="s">
        <v>146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162</v>
      </c>
      <c r="D80" s="29"/>
      <c r="E80" s="30"/>
      <c r="F80" s="30"/>
      <c r="G80" s="31"/>
      <c r="H80" s="32" t="s">
        <v>146</v>
      </c>
      <c r="I80" s="32" t="s">
        <v>146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163</v>
      </c>
      <c r="D82" s="29"/>
      <c r="E82" s="30"/>
      <c r="F82" s="30"/>
      <c r="G82" s="31"/>
      <c r="H82" s="32" t="s">
        <v>146</v>
      </c>
      <c r="I82" s="32" t="s">
        <v>146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164</v>
      </c>
      <c r="D84" s="29"/>
      <c r="E84" s="30"/>
      <c r="F84" s="30"/>
      <c r="G84" s="31"/>
      <c r="H84" s="32" t="s">
        <v>146</v>
      </c>
      <c r="I84" s="32" t="s">
        <v>146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165</v>
      </c>
      <c r="D86" s="29"/>
      <c r="E86" s="30"/>
      <c r="F86" s="30"/>
      <c r="G86" s="31"/>
      <c r="H86" s="32" t="s">
        <v>146</v>
      </c>
      <c r="I86" s="32" t="s">
        <v>146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166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167</v>
      </c>
      <c r="D89" s="29"/>
      <c r="E89" s="30"/>
      <c r="F89" s="30"/>
      <c r="G89" s="31"/>
      <c r="H89" s="32">
        <v>147.36000000000001</v>
      </c>
      <c r="I89" s="32">
        <v>3.32</v>
      </c>
      <c r="J89" s="33"/>
    </row>
    <row r="90" spans="1:10" x14ac:dyDescent="0.25">
      <c r="C90" s="28" t="s">
        <v>144</v>
      </c>
      <c r="D90" s="29"/>
      <c r="E90" s="30"/>
      <c r="F90" s="30"/>
      <c r="G90" s="31"/>
      <c r="H90" s="35">
        <v>147.36000000000001</v>
      </c>
      <c r="I90" s="35">
        <v>3.32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5.75" thickBot="1" x14ac:dyDescent="0.3">
      <c r="C92" s="36" t="s">
        <v>168</v>
      </c>
      <c r="D92" s="37"/>
      <c r="E92" s="38"/>
      <c r="F92" s="39"/>
      <c r="G92" s="40"/>
      <c r="H92" s="41">
        <v>4443.2</v>
      </c>
      <c r="I92" s="41">
        <f>SUMIFS(I:I,C:C,"Total")</f>
        <v>100</v>
      </c>
      <c r="J92" s="42"/>
    </row>
    <row r="95" spans="1:10" x14ac:dyDescent="0.25">
      <c r="C95" s="11" t="s">
        <v>169</v>
      </c>
    </row>
    <row r="96" spans="1:10" x14ac:dyDescent="0.25">
      <c r="C96" s="2" t="s">
        <v>170</v>
      </c>
    </row>
    <row r="97" spans="3:3" x14ac:dyDescent="0.25">
      <c r="C97" s="2" t="s">
        <v>171</v>
      </c>
    </row>
    <row r="98" spans="3:3" x14ac:dyDescent="0.25">
      <c r="C98" s="2" t="s">
        <v>172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6EDE-3809-425D-84AC-0D7D9B876BF3}">
  <dimension ref="B3:J17"/>
  <sheetViews>
    <sheetView workbookViewId="0"/>
  </sheetViews>
  <sheetFormatPr defaultRowHeight="15" x14ac:dyDescent="0.25"/>
  <cols>
    <col min="2" max="2" width="47.42578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173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174</v>
      </c>
      <c r="C4" s="46" t="s">
        <v>175</v>
      </c>
      <c r="D4" s="46"/>
      <c r="E4" s="46" t="s">
        <v>176</v>
      </c>
      <c r="F4" s="46"/>
      <c r="G4" s="46" t="s">
        <v>177</v>
      </c>
      <c r="H4" s="46"/>
      <c r="I4" s="46" t="s">
        <v>178</v>
      </c>
      <c r="J4" s="46"/>
    </row>
    <row r="5" spans="2:10" ht="63.75" x14ac:dyDescent="0.25">
      <c r="B5" s="47"/>
      <c r="C5" s="48" t="s">
        <v>179</v>
      </c>
      <c r="D5" s="48" t="s">
        <v>180</v>
      </c>
      <c r="E5" s="48" t="s">
        <v>179</v>
      </c>
      <c r="F5" s="48" t="s">
        <v>180</v>
      </c>
      <c r="G5" s="48" t="s">
        <v>179</v>
      </c>
      <c r="H5" s="48" t="s">
        <v>180</v>
      </c>
      <c r="I5" s="48" t="s">
        <v>179</v>
      </c>
      <c r="J5" s="48" t="s">
        <v>180</v>
      </c>
    </row>
    <row r="6" spans="2:10" x14ac:dyDescent="0.25">
      <c r="B6" s="49" t="s">
        <v>181</v>
      </c>
      <c r="C6" s="50">
        <v>43.861481032674263</v>
      </c>
      <c r="D6" s="50">
        <v>14400.489396411094</v>
      </c>
      <c r="E6" s="50">
        <v>17.176537238019908</v>
      </c>
      <c r="F6" s="50">
        <v>16095.726495726496</v>
      </c>
      <c r="G6" s="50">
        <v>13.7103943896294</v>
      </c>
      <c r="H6" s="50">
        <v>19037.606146380916</v>
      </c>
      <c r="I6" s="50">
        <v>10.928447052900969</v>
      </c>
      <c r="J6" s="50">
        <v>141240</v>
      </c>
    </row>
    <row r="7" spans="2:10" x14ac:dyDescent="0.25">
      <c r="B7" s="49" t="s">
        <v>182</v>
      </c>
      <c r="C7" s="50">
        <v>34.071814041999147</v>
      </c>
      <c r="D7" s="50">
        <v>13407.181404199915</v>
      </c>
      <c r="E7" s="50">
        <v>17.688256081246401</v>
      </c>
      <c r="F7" s="50">
        <v>16300.442059611107</v>
      </c>
      <c r="G7" s="50">
        <v>16.023290460729033</v>
      </c>
      <c r="H7" s="50">
        <v>21024.510357165502</v>
      </c>
      <c r="I7" s="50">
        <v>12.480529678333664</v>
      </c>
      <c r="J7" s="50">
        <v>306690.84453240933</v>
      </c>
    </row>
    <row r="8" spans="2:10" x14ac:dyDescent="0.25">
      <c r="B8" s="49" t="s">
        <v>183</v>
      </c>
      <c r="C8" s="50">
        <v>29.991061160818866</v>
      </c>
      <c r="D8" s="50">
        <v>12999.106116081886</v>
      </c>
      <c r="E8" s="50">
        <v>16.298056124779148</v>
      </c>
      <c r="F8" s="50">
        <v>15729.588715574562</v>
      </c>
      <c r="G8" s="50">
        <v>15.240203602027647</v>
      </c>
      <c r="H8" s="50">
        <v>20324.510021371232</v>
      </c>
      <c r="I8" s="50">
        <v>12.473072909579109</v>
      </c>
      <c r="J8" s="50">
        <v>306099.60322007444</v>
      </c>
    </row>
    <row r="9" spans="2:10" x14ac:dyDescent="0.25">
      <c r="B9" s="49" t="s">
        <v>184</v>
      </c>
      <c r="C9" s="51">
        <v>98.08</v>
      </c>
      <c r="D9" s="52"/>
      <c r="E9" s="51">
        <v>87.75</v>
      </c>
      <c r="F9" s="52"/>
      <c r="G9" s="51">
        <v>74.19</v>
      </c>
      <c r="H9" s="52"/>
      <c r="I9" s="51">
        <v>10</v>
      </c>
      <c r="J9" s="52"/>
    </row>
    <row r="11" spans="2:10" ht="15.75" x14ac:dyDescent="0.25">
      <c r="B11" s="43" t="s">
        <v>185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174</v>
      </c>
      <c r="C12" s="46" t="s">
        <v>175</v>
      </c>
      <c r="D12" s="46"/>
      <c r="E12" s="46" t="s">
        <v>176</v>
      </c>
      <c r="F12" s="46"/>
      <c r="G12" s="46" t="s">
        <v>177</v>
      </c>
      <c r="H12" s="46"/>
      <c r="I12" s="46" t="s">
        <v>178</v>
      </c>
      <c r="J12" s="46"/>
    </row>
    <row r="13" spans="2:10" ht="63.75" x14ac:dyDescent="0.25">
      <c r="B13" s="47"/>
      <c r="C13" s="48" t="s">
        <v>179</v>
      </c>
      <c r="D13" s="48" t="s">
        <v>180</v>
      </c>
      <c r="E13" s="48" t="s">
        <v>179</v>
      </c>
      <c r="F13" s="48" t="s">
        <v>180</v>
      </c>
      <c r="G13" s="48" t="s">
        <v>179</v>
      </c>
      <c r="H13" s="48" t="s">
        <v>180</v>
      </c>
      <c r="I13" s="48" t="s">
        <v>179</v>
      </c>
      <c r="J13" s="48" t="s">
        <v>180</v>
      </c>
    </row>
    <row r="14" spans="2:10" x14ac:dyDescent="0.25">
      <c r="B14" s="49" t="s">
        <v>181</v>
      </c>
      <c r="C14" s="50">
        <v>43.980609965788872</v>
      </c>
      <c r="D14" s="50">
        <v>14412.446849632777</v>
      </c>
      <c r="E14" s="50">
        <v>17.277000573374245</v>
      </c>
      <c r="F14" s="50">
        <v>16137.199740315948</v>
      </c>
      <c r="G14" s="50">
        <v>13.852772674781978</v>
      </c>
      <c r="H14" s="50">
        <v>19157.353885677585</v>
      </c>
      <c r="I14" s="50">
        <v>11.345577834619714</v>
      </c>
      <c r="J14" s="50">
        <v>33499.550763701707</v>
      </c>
    </row>
    <row r="15" spans="2:10" x14ac:dyDescent="0.25">
      <c r="B15" s="49" t="s">
        <v>182</v>
      </c>
      <c r="C15" s="50">
        <v>34.071814041999147</v>
      </c>
      <c r="D15" s="50">
        <v>13407.181404199915</v>
      </c>
      <c r="E15" s="50">
        <v>17.688256081246401</v>
      </c>
      <c r="F15" s="50">
        <v>16300.442059611107</v>
      </c>
      <c r="G15" s="50">
        <v>16.023290460729033</v>
      </c>
      <c r="H15" s="50">
        <v>21024.510357165502</v>
      </c>
      <c r="I15" s="50">
        <v>14.2335638439409</v>
      </c>
      <c r="J15" s="50">
        <v>44682.743786791441</v>
      </c>
    </row>
    <row r="16" spans="2:10" x14ac:dyDescent="0.25">
      <c r="B16" s="49" t="s">
        <v>183</v>
      </c>
      <c r="C16" s="50">
        <v>29.991061160818866</v>
      </c>
      <c r="D16" s="50">
        <v>12999.106116081886</v>
      </c>
      <c r="E16" s="50">
        <v>16.298056124779148</v>
      </c>
      <c r="F16" s="50">
        <v>15729.588715574562</v>
      </c>
      <c r="G16" s="50">
        <v>15.240203602027647</v>
      </c>
      <c r="H16" s="50">
        <v>20324.510021371232</v>
      </c>
      <c r="I16" s="50">
        <v>13.762927117252355</v>
      </c>
      <c r="J16" s="50">
        <v>42655.021958740355</v>
      </c>
    </row>
    <row r="17" spans="2:10" x14ac:dyDescent="0.25">
      <c r="B17" s="49" t="s">
        <v>186</v>
      </c>
      <c r="C17" s="51">
        <v>103.48</v>
      </c>
      <c r="D17" s="52"/>
      <c r="E17" s="51">
        <v>92.42</v>
      </c>
      <c r="F17" s="52"/>
      <c r="G17" s="51">
        <v>77.849999999999994</v>
      </c>
      <c r="H17" s="52"/>
      <c r="I17" s="51">
        <v>44.52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2024-03-31T14:00:05Z</dcterms:created>
  <dcterms:modified xsi:type="dcterms:W3CDTF">2024-04-05T10:10:25Z</dcterms:modified>
</cp:coreProperties>
</file>