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SEPT 2023\Portfolio\SAHU\"/>
    </mc:Choice>
  </mc:AlternateContent>
  <xr:revisionPtr revIDLastSave="0" documentId="13_ncr:1_{C5BC831F-F1E2-4DC3-8442-7EA3EF746E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Portfolio'!$C$8:$C$51</definedName>
    <definedName name="XDO_?FINAL_ISIN?3?">'TDF-Risk-O-Meter &amp; Portfolio'!$D$10:$D$51</definedName>
    <definedName name="XDO_?FINAL_ISIN?4?">'TDF-Risk-O-Meter &amp; Portfolio'!$D$10:$D$93</definedName>
    <definedName name="XDO_?FINAL_MV?3?">'TDF-Risk-O-Meter &amp; Portfolio'!$H$10:$H$51</definedName>
    <definedName name="XDO_?FINAL_MV?4?">'TDF-Risk-O-Meter &amp; Portfolio'!$H$10:$H$93</definedName>
    <definedName name="XDO_?FINAL_NAME?3?">'TDF-Risk-O-Meter &amp; Portfolio'!$C$10:$C$51</definedName>
    <definedName name="XDO_?FINAL_NAME?4?">'TDF-Risk-O-Meter &amp; Portfolio'!$C$10:$C$93</definedName>
    <definedName name="XDO_?FINAL_PER_NET?3?">'TDF-Risk-O-Meter &amp; Portfolio'!$I$10:$I$51</definedName>
    <definedName name="XDO_?FINAL_PER_NET?4?">'TDF-Risk-O-Meter &amp; Portfolio'!$I$10:$I$93</definedName>
    <definedName name="XDO_?FINAL_QUANTITE?3?">'TDF-Risk-O-Meter &amp; Portfolio'!$G$10:$G$51</definedName>
    <definedName name="XDO_?FINAL_QUANTITE?4?">'TDF-Risk-O-Meter &amp; Portfolio'!$G$10:$G$93</definedName>
    <definedName name="XDO_?IND_01?3?">'TDF-Risk-O-Meter &amp; Portfolio'!$F$10:$F$51</definedName>
    <definedName name="XDO_?IND_01?4?">'TDF-Risk-O-Meter &amp; Portfolio'!$F$10:$F$93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Portfolio'!$C$2:$C$51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Portfolio'!$B$10:$B$51</definedName>
    <definedName name="XDO_?NOVAL?4?">'TDF-Risk-O-Meter &amp; Portfolio'!$B$10:$B$93</definedName>
    <definedName name="XDO_?NPTF?2?">'TDF-Risk-O-Meter &amp; Portfolio'!$D$2:$D$51</definedName>
    <definedName name="XDO_?RATING?3?">'TDF-Risk-O-Meter &amp; Portfolio'!$E$10:$E$51</definedName>
    <definedName name="XDO_?RATING?4?">'TDF-Risk-O-Meter &amp; Portfolio'!$E$10:$E$93</definedName>
    <definedName name="XDO_?REMARKS?3?">'TDF-Risk-O-Meter &amp; Portfolio'!$J$10:$J$51</definedName>
    <definedName name="XDO_?REMARKS?4?">'TDF-Risk-O-Meter &amp; Portfolio'!$J$10:$J$93</definedName>
    <definedName name="XDO_?TITL?2?">'TDF-Risk-O-Meter &amp; Portfolio'!$A$8:$A$51</definedName>
    <definedName name="XDO_GROUP_?G_2?2?">'TDF-Risk-O-Meter &amp; Portfolio'!$2:$96</definedName>
    <definedName name="XDO_GROUP_?G_3?2?">'TDF-Risk-O-Meter &amp; Portfolio'!$8:$95</definedName>
    <definedName name="XDO_GROUP_?G_4?3?">'TDF-Risk-O-Meter &amp; Portfolio'!$B$10:$IV$51</definedName>
    <definedName name="XDO_GROUP_?G_4?4?">'TDF-Risk-O-Meter &amp; Portfolio'!$B$93:$IV$93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" l="1"/>
</calcChain>
</file>

<file path=xl/sharedStrings.xml><?xml version="1.0" encoding="utf-8"?>
<sst xmlns="http://schemas.openxmlformats.org/spreadsheetml/2006/main" count="280" uniqueCount="204">
  <si>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</si>
  <si>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</si>
  <si>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</si>
  <si>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</si>
  <si>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</si>
  <si>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</si>
  <si>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</si>
  <si>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</si>
  <si>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</si>
  <si>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</si>
  <si>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</si>
  <si>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</si>
  <si>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</si>
  <si>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</si>
  <si>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</si>
  <si>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101348</t>
  </si>
  <si>
    <t>Ami Organics Ltd.</t>
  </si>
  <si>
    <t>INE00FF01017</t>
  </si>
  <si>
    <t>Pharmaceuticals &amp; Biotechnology</t>
  </si>
  <si>
    <t>101800</t>
  </si>
  <si>
    <t>Hindware Home Innovation Ltd.</t>
  </si>
  <si>
    <t>INE05AN01011</t>
  </si>
  <si>
    <t>Consumer Durables</t>
  </si>
  <si>
    <t>100281</t>
  </si>
  <si>
    <t>Century Textiles &amp; Industries Ltd.</t>
  </si>
  <si>
    <t>INE055A01016</t>
  </si>
  <si>
    <t>Paper, Forest &amp; Jute Products</t>
  </si>
  <si>
    <t>100195</t>
  </si>
  <si>
    <t>REC Ltd.</t>
  </si>
  <si>
    <t>INE020B01018</t>
  </si>
  <si>
    <t>Finance</t>
  </si>
  <si>
    <t>100719</t>
  </si>
  <si>
    <t>Mayur Uniquoters Ltd.</t>
  </si>
  <si>
    <t>INE040D01038</t>
  </si>
  <si>
    <t>100055</t>
  </si>
  <si>
    <t>The Federal Bank Ltd.</t>
  </si>
  <si>
    <t>INE171A01029</t>
  </si>
  <si>
    <t>Banks</t>
  </si>
  <si>
    <t>100570</t>
  </si>
  <si>
    <t>K.P.R. Mill Ltd.</t>
  </si>
  <si>
    <t>INE930H01031</t>
  </si>
  <si>
    <t>Textiles &amp; Apparels</t>
  </si>
  <si>
    <t>100088</t>
  </si>
  <si>
    <t>Bharat Heavy Electricals Ltd.</t>
  </si>
  <si>
    <t>INE257A01026</t>
  </si>
  <si>
    <t>Electrical Equipment</t>
  </si>
  <si>
    <t>101718</t>
  </si>
  <si>
    <t>Faze Three Ltd.</t>
  </si>
  <si>
    <t>INE963C01033</t>
  </si>
  <si>
    <t>100814</t>
  </si>
  <si>
    <t>HDFC Asset Management Co. Ltd.</t>
  </si>
  <si>
    <t>INE127D01025</t>
  </si>
  <si>
    <t>Capital Markets</t>
  </si>
  <si>
    <t>100398</t>
  </si>
  <si>
    <t>Aditya Birla Fashion and Retail Ltd.</t>
  </si>
  <si>
    <t>INE647O01011</t>
  </si>
  <si>
    <t>Retailing</t>
  </si>
  <si>
    <t>101152</t>
  </si>
  <si>
    <t>Sumitomo Chemical India Ltd.</t>
  </si>
  <si>
    <t>INE258G01013</t>
  </si>
  <si>
    <t>Fertilizers &amp; Agrochemicals</t>
  </si>
  <si>
    <t>100234</t>
  </si>
  <si>
    <t>Coforge Ltd.</t>
  </si>
  <si>
    <t>INE591G01017</t>
  </si>
  <si>
    <t>IT - Software</t>
  </si>
  <si>
    <t>100029</t>
  </si>
  <si>
    <t>Mphasis Ltd.</t>
  </si>
  <si>
    <t>INE356A01018</t>
  </si>
  <si>
    <t>100843</t>
  </si>
  <si>
    <t>Dalmia Bharat Ltd.</t>
  </si>
  <si>
    <t>INE00R701025</t>
  </si>
  <si>
    <t>Cement &amp; Cement Products</t>
  </si>
  <si>
    <t>100090</t>
  </si>
  <si>
    <t>Bharat Forge Ltd.</t>
  </si>
  <si>
    <t>INE465A01025</t>
  </si>
  <si>
    <t>Industrial Products</t>
  </si>
  <si>
    <t>100042</t>
  </si>
  <si>
    <t>LIC Housing Finance Ltd.</t>
  </si>
  <si>
    <t>INE115A01026</t>
  </si>
  <si>
    <t>100476</t>
  </si>
  <si>
    <t>Caplin Point Laboratories Ltd.</t>
  </si>
  <si>
    <t>INE475E01026</t>
  </si>
  <si>
    <t>100107</t>
  </si>
  <si>
    <t>Max Financial Services Ltd.</t>
  </si>
  <si>
    <t>INE180A01020</t>
  </si>
  <si>
    <t>Insurance</t>
  </si>
  <si>
    <t>100116</t>
  </si>
  <si>
    <t>Sundaram Finance Ltd.</t>
  </si>
  <si>
    <t>INE660A01013</t>
  </si>
  <si>
    <t>100471</t>
  </si>
  <si>
    <t>Endurance Technologies Ltd.</t>
  </si>
  <si>
    <t>INE913H01037</t>
  </si>
  <si>
    <t>Auto Components</t>
  </si>
  <si>
    <t>101883</t>
  </si>
  <si>
    <t>Anant Raj Ltd.</t>
  </si>
  <si>
    <t>INE242C01024</t>
  </si>
  <si>
    <t>Realty</t>
  </si>
  <si>
    <t>100426</t>
  </si>
  <si>
    <t>Relaxo Footwears Ltd.</t>
  </si>
  <si>
    <t>INE131B01039</t>
  </si>
  <si>
    <t>100144</t>
  </si>
  <si>
    <t>Voltas Ltd.</t>
  </si>
  <si>
    <t>INE226A01021</t>
  </si>
  <si>
    <t>100466</t>
  </si>
  <si>
    <t>Igarashi Motors India Ltd.</t>
  </si>
  <si>
    <t>INE188B01013</t>
  </si>
  <si>
    <t>100566</t>
  </si>
  <si>
    <t>Laurus Labs Ltd.</t>
  </si>
  <si>
    <t>INE947Q01028</t>
  </si>
  <si>
    <t>100461</t>
  </si>
  <si>
    <t>Astral Ltd.</t>
  </si>
  <si>
    <t>INE006I01046</t>
  </si>
  <si>
    <t>100109</t>
  </si>
  <si>
    <t>Piramal Enterprises Ltd.</t>
  </si>
  <si>
    <t>INE140A01024</t>
  </si>
  <si>
    <t>100227</t>
  </si>
  <si>
    <t>Jubilant Foodworks Ltd.</t>
  </si>
  <si>
    <t>INE797F01020</t>
  </si>
  <si>
    <t>Leisure Services</t>
  </si>
  <si>
    <t>100335</t>
  </si>
  <si>
    <t>Kajaria Ceramics Ltd.</t>
  </si>
  <si>
    <t>INE217B01036</t>
  </si>
  <si>
    <t>100258</t>
  </si>
  <si>
    <t>Arvind Ltd.</t>
  </si>
  <si>
    <t>INE034A01011</t>
  </si>
  <si>
    <t>100054</t>
  </si>
  <si>
    <t>Oberoi Realty Ltd.</t>
  </si>
  <si>
    <t>INE093I01010</t>
  </si>
  <si>
    <t>100242</t>
  </si>
  <si>
    <t>Schaeffler India Ltd.</t>
  </si>
  <si>
    <t>INE513A01022</t>
  </si>
  <si>
    <t>101574</t>
  </si>
  <si>
    <t>Linde India Ltd.</t>
  </si>
  <si>
    <t>INE473A01011</t>
  </si>
  <si>
    <t>Chemicals &amp; Petrochemicals</t>
  </si>
  <si>
    <t>100271</t>
  </si>
  <si>
    <t>Balkrishna Industries Ltd.</t>
  </si>
  <si>
    <t>INE787D01026</t>
  </si>
  <si>
    <t>100161</t>
  </si>
  <si>
    <t>Cummins India Ltd.</t>
  </si>
  <si>
    <t>INE298A01020</t>
  </si>
  <si>
    <t>100168</t>
  </si>
  <si>
    <t>Escorts Kubota Ltd.</t>
  </si>
  <si>
    <t>INE042A01014</t>
  </si>
  <si>
    <t>Agricultural, Commercial &amp; Construction Vehicles</t>
  </si>
  <si>
    <t>100018</t>
  </si>
  <si>
    <t>Tata Communications Ltd.</t>
  </si>
  <si>
    <t>INE151A01013</t>
  </si>
  <si>
    <t>Telecom - Services</t>
  </si>
  <si>
    <t>100143</t>
  </si>
  <si>
    <t>Thermax Ltd.</t>
  </si>
  <si>
    <t>INE152A01029</t>
  </si>
  <si>
    <t>100222</t>
  </si>
  <si>
    <t>The Indian Hotels Company Ltd.</t>
  </si>
  <si>
    <t>INE053A01029</t>
  </si>
  <si>
    <t>100665</t>
  </si>
  <si>
    <t>Aditya Birla Capital Ltd.</t>
  </si>
  <si>
    <t>INE674K01013</t>
  </si>
  <si>
    <t>100740</t>
  </si>
  <si>
    <t>Sterlite Technologies Ltd.</t>
  </si>
  <si>
    <t>INE089C01029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</si>
  <si>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</si>
  <si>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</si>
  <si>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</si>
  <si>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</si>
  <si>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</si>
  <si>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</si>
  <si>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</si>
  <si>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</si>
  <si>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</si>
  <si>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</si>
  <si>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</si>
  <si>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</si>
  <si>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</si>
  <si>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</si>
  <si>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</si>
  <si>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</si>
  <si>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</si>
  <si>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</si>
  <si>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</si>
  <si>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</si>
  <si>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</si>
  <si>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</si>
  <si>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</si>
  <si>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</si>
  <si>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</si>
  <si>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</si>
  <si>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</si>
  <si>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</si>
  <si>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</si>
  <si>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</si>
  <si>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</si>
  <si>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</si>
  <si>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</si>
  <si>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</si>
  <si>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</si>
  <si>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</si>
  <si>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</si>
  <si>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</si>
  <si>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</si>
  <si>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August 31, 2023 : 97.19)</t>
  </si>
  <si>
    <t>Taurus Discovery (Midcap) Fund-Direct Plan-Growth Option</t>
  </si>
  <si>
    <t>NAV [Rs.] Per Unit (as on August 31, 2023 : 101.84)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</si>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</sst>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Discovery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2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53750</v>
      </c>
      <c r="H10" s="32">
        <v>704.47</v>
      </c>
      <c r="I10" s="32">
        <v>7.06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87250</v>
      </c>
      <c r="H11" s="32">
        <v>514.69000000000005</v>
      </c>
      <c r="I11" s="32">
        <v>5.16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50000</v>
      </c>
      <c r="H12" s="32">
        <v>514.04999999999995</v>
      </c>
      <c r="I12" s="32">
        <v>5.15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185000</v>
      </c>
      <c r="H13" s="32">
        <v>440.76</v>
      </c>
      <c r="I13" s="32">
        <v>4.42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22</v>
      </c>
      <c r="G14" s="31">
        <v>71522</v>
      </c>
      <c r="H14" s="32">
        <v>401.49</v>
      </c>
      <c r="I14" s="32">
        <v>4.0199999999999996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260000</v>
      </c>
      <c r="H15" s="32">
        <v>374.14</v>
      </c>
      <c r="I15" s="32">
        <v>3.75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44500</v>
      </c>
      <c r="H16" s="32">
        <v>336.89</v>
      </c>
      <c r="I16" s="32">
        <v>3.38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265000</v>
      </c>
      <c r="H17" s="32">
        <v>321.45</v>
      </c>
      <c r="I17" s="32">
        <v>3.22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41</v>
      </c>
      <c r="G18" s="31">
        <v>78000</v>
      </c>
      <c r="H18" s="32">
        <v>305.95999999999998</v>
      </c>
      <c r="I18" s="32">
        <v>3.07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12000</v>
      </c>
      <c r="H19" s="32">
        <v>302.38</v>
      </c>
      <c r="I19" s="32">
        <v>3.03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135000</v>
      </c>
      <c r="H20" s="32">
        <v>296.12</v>
      </c>
      <c r="I20" s="32">
        <v>2.97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65000</v>
      </c>
      <c r="H21" s="32">
        <v>286.33</v>
      </c>
      <c r="I21" s="32">
        <v>2.87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5200</v>
      </c>
      <c r="H22" s="32">
        <v>284.3</v>
      </c>
      <c r="I22" s="32">
        <v>2.85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64</v>
      </c>
      <c r="G23" s="31">
        <v>11500</v>
      </c>
      <c r="H23" s="32">
        <v>279.20999999999998</v>
      </c>
      <c r="I23" s="32">
        <v>2.8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12400</v>
      </c>
      <c r="H24" s="32">
        <v>258.13</v>
      </c>
      <c r="I24" s="32">
        <v>2.59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22750</v>
      </c>
      <c r="H25" s="32">
        <v>242.75</v>
      </c>
      <c r="I25" s="32">
        <v>2.4300000000000002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30</v>
      </c>
      <c r="G26" s="31">
        <v>57000</v>
      </c>
      <c r="H26" s="32">
        <v>241.48</v>
      </c>
      <c r="I26" s="32">
        <v>2.42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18</v>
      </c>
      <c r="G27" s="31">
        <v>21958</v>
      </c>
      <c r="H27" s="32">
        <v>231.61</v>
      </c>
      <c r="I27" s="32">
        <v>2.3199999999999998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24500</v>
      </c>
      <c r="H28" s="32">
        <v>228.52</v>
      </c>
      <c r="I28" s="32">
        <v>2.29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30</v>
      </c>
      <c r="G29" s="31">
        <v>8500</v>
      </c>
      <c r="H29" s="32">
        <v>220.86</v>
      </c>
      <c r="I29" s="32">
        <v>2.21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12875</v>
      </c>
      <c r="H30" s="32">
        <v>213.76</v>
      </c>
      <c r="I30" s="32">
        <v>2.14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90000</v>
      </c>
      <c r="H31" s="32">
        <v>197.37</v>
      </c>
      <c r="I31" s="32">
        <v>1.98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22</v>
      </c>
      <c r="G32" s="31">
        <v>21500</v>
      </c>
      <c r="H32" s="32">
        <v>195.49</v>
      </c>
      <c r="I32" s="32">
        <v>1.96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22</v>
      </c>
      <c r="G33" s="31">
        <v>21500</v>
      </c>
      <c r="H33" s="32">
        <v>187.03</v>
      </c>
      <c r="I33" s="32">
        <v>1.87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92</v>
      </c>
      <c r="G34" s="31">
        <v>31000</v>
      </c>
      <c r="H34" s="32">
        <v>179.94</v>
      </c>
      <c r="I34" s="32">
        <v>1.8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18</v>
      </c>
      <c r="G35" s="31">
        <v>45000</v>
      </c>
      <c r="H35" s="32">
        <v>179.87</v>
      </c>
      <c r="I35" s="32">
        <v>1.8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75</v>
      </c>
      <c r="G36" s="31">
        <v>8500</v>
      </c>
      <c r="H36" s="32">
        <v>165.82</v>
      </c>
      <c r="I36" s="32">
        <v>1.66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30</v>
      </c>
      <c r="G37" s="31">
        <v>15500</v>
      </c>
      <c r="H37" s="32">
        <v>163.19999999999999</v>
      </c>
      <c r="I37" s="32">
        <v>1.64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30000</v>
      </c>
      <c r="H38" s="32">
        <v>153.81</v>
      </c>
      <c r="I38" s="32">
        <v>1.54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22</v>
      </c>
      <c r="G39" s="31">
        <v>10250</v>
      </c>
      <c r="H39" s="32">
        <v>150.37</v>
      </c>
      <c r="I39" s="32">
        <v>1.51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41</v>
      </c>
      <c r="G40" s="31">
        <v>82000</v>
      </c>
      <c r="H40" s="32">
        <v>144.44</v>
      </c>
      <c r="I40" s="32">
        <v>1.45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96</v>
      </c>
      <c r="G41" s="31">
        <v>12300</v>
      </c>
      <c r="H41" s="32">
        <v>137.78</v>
      </c>
      <c r="I41" s="32">
        <v>1.38</v>
      </c>
      <c r="J41" s="33"/>
    </row>
    <row r="42" spans="2:10" x14ac:dyDescent="0.25">
      <c r="B42" s="1" t="s">
        <v>128</v>
      </c>
      <c r="C42" s="20" t="s">
        <v>129</v>
      </c>
      <c r="D42" s="29" t="s">
        <v>130</v>
      </c>
      <c r="E42" s="30"/>
      <c r="F42" s="30" t="s">
        <v>92</v>
      </c>
      <c r="G42" s="31">
        <v>4500</v>
      </c>
      <c r="H42" s="32">
        <v>137.32</v>
      </c>
      <c r="I42" s="32">
        <v>1.38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2000</v>
      </c>
      <c r="H43" s="32">
        <v>125.61</v>
      </c>
      <c r="I43" s="32">
        <v>1.26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92</v>
      </c>
      <c r="G44" s="31">
        <v>5000</v>
      </c>
      <c r="H44" s="32">
        <v>116.29</v>
      </c>
      <c r="I44" s="32">
        <v>1.17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75</v>
      </c>
      <c r="G45" s="31">
        <v>6500</v>
      </c>
      <c r="H45" s="32">
        <v>110.78</v>
      </c>
      <c r="I45" s="32">
        <v>1.1100000000000001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3500</v>
      </c>
      <c r="H46" s="32">
        <v>110.55</v>
      </c>
      <c r="I46" s="32">
        <v>1.1100000000000001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6000</v>
      </c>
      <c r="H47" s="32">
        <v>107.42</v>
      </c>
      <c r="I47" s="32">
        <v>1.08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45</v>
      </c>
      <c r="G48" s="31">
        <v>3800</v>
      </c>
      <c r="H48" s="32">
        <v>106.81</v>
      </c>
      <c r="I48" s="32">
        <v>1.07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118</v>
      </c>
      <c r="G49" s="31">
        <v>25000</v>
      </c>
      <c r="H49" s="32">
        <v>105.25</v>
      </c>
      <c r="I49" s="32">
        <v>1.06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30</v>
      </c>
      <c r="G50" s="31">
        <v>57026</v>
      </c>
      <c r="H50" s="32">
        <v>103.56</v>
      </c>
      <c r="I50" s="32">
        <v>1.04</v>
      </c>
      <c r="J50" s="33"/>
    </row>
    <row r="51" spans="2:10" x14ac:dyDescent="0.25">
      <c r="B51" s="1" t="s">
        <v>158</v>
      </c>
      <c r="C51" s="20" t="s">
        <v>159</v>
      </c>
      <c r="D51" s="29" t="s">
        <v>160</v>
      </c>
      <c r="E51" s="30"/>
      <c r="F51" s="30" t="s">
        <v>148</v>
      </c>
      <c r="G51" s="31">
        <v>15000</v>
      </c>
      <c r="H51" s="32">
        <v>25.73</v>
      </c>
      <c r="I51" s="32">
        <v>0.26</v>
      </c>
      <c r="J51" s="33"/>
    </row>
    <row r="52" spans="2:10" x14ac:dyDescent="0.25">
      <c r="C52" s="28" t="s">
        <v>161</v>
      </c>
      <c r="D52" s="29"/>
      <c r="E52" s="30"/>
      <c r="F52" s="30"/>
      <c r="G52" s="31"/>
      <c r="H52" s="35">
        <v>9903.7900000000009</v>
      </c>
      <c r="I52" s="35">
        <v>99.28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28" t="s">
        <v>162</v>
      </c>
      <c r="D54" s="29"/>
      <c r="E54" s="30"/>
      <c r="F54" s="30"/>
      <c r="G54" s="31"/>
      <c r="H54" s="32" t="s">
        <v>163</v>
      </c>
      <c r="I54" s="32" t="s">
        <v>163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164</v>
      </c>
      <c r="D56" s="29"/>
      <c r="E56" s="30"/>
      <c r="F56" s="30"/>
      <c r="G56" s="31"/>
      <c r="H56" s="32" t="s">
        <v>163</v>
      </c>
      <c r="I56" s="32" t="s">
        <v>163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165</v>
      </c>
      <c r="D58" s="29"/>
      <c r="E58" s="30"/>
      <c r="F58" s="30"/>
      <c r="G58" s="31"/>
      <c r="H58" s="32"/>
      <c r="I58" s="32"/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166</v>
      </c>
      <c r="D60" s="29"/>
      <c r="E60" s="30"/>
      <c r="F60" s="30"/>
      <c r="G60" s="31"/>
      <c r="H60" s="32" t="s">
        <v>163</v>
      </c>
      <c r="I60" s="32" t="s">
        <v>163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167</v>
      </c>
      <c r="D62" s="29"/>
      <c r="E62" s="30"/>
      <c r="F62" s="30"/>
      <c r="G62" s="31"/>
      <c r="H62" s="32" t="s">
        <v>163</v>
      </c>
      <c r="I62" s="32" t="s">
        <v>163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168</v>
      </c>
      <c r="D64" s="29"/>
      <c r="E64" s="30"/>
      <c r="F64" s="30"/>
      <c r="G64" s="31"/>
      <c r="H64" s="32" t="s">
        <v>163</v>
      </c>
      <c r="I64" s="32" t="s">
        <v>163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169</v>
      </c>
      <c r="D66" s="29"/>
      <c r="E66" s="30"/>
      <c r="F66" s="30"/>
      <c r="G66" s="31"/>
      <c r="H66" s="32" t="s">
        <v>163</v>
      </c>
      <c r="I66" s="32" t="s">
        <v>163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170</v>
      </c>
      <c r="D68" s="29"/>
      <c r="E68" s="30"/>
      <c r="F68" s="30"/>
      <c r="G68" s="31"/>
      <c r="H68" s="32" t="s">
        <v>163</v>
      </c>
      <c r="I68" s="32" t="s">
        <v>163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171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172</v>
      </c>
      <c r="D72" s="29"/>
      <c r="E72" s="30"/>
      <c r="F72" s="30"/>
      <c r="G72" s="31"/>
      <c r="H72" s="32" t="s">
        <v>163</v>
      </c>
      <c r="I72" s="32" t="s">
        <v>163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173</v>
      </c>
      <c r="D74" s="29"/>
      <c r="E74" s="30"/>
      <c r="F74" s="30"/>
      <c r="G74" s="31"/>
      <c r="H74" s="32" t="s">
        <v>163</v>
      </c>
      <c r="I74" s="32" t="s">
        <v>163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174</v>
      </c>
      <c r="D76" s="29"/>
      <c r="E76" s="30"/>
      <c r="F76" s="30"/>
      <c r="G76" s="31"/>
      <c r="H76" s="32" t="s">
        <v>163</v>
      </c>
      <c r="I76" s="32" t="s">
        <v>163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175</v>
      </c>
      <c r="D78" s="29"/>
      <c r="E78" s="30"/>
      <c r="F78" s="30"/>
      <c r="G78" s="31"/>
      <c r="H78" s="32" t="s">
        <v>163</v>
      </c>
      <c r="I78" s="32" t="s">
        <v>163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176</v>
      </c>
      <c r="D80" s="29"/>
      <c r="E80" s="30"/>
      <c r="F80" s="30"/>
      <c r="G80" s="31"/>
      <c r="H80" s="32"/>
      <c r="I80" s="32"/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177</v>
      </c>
      <c r="D82" s="29"/>
      <c r="E82" s="30"/>
      <c r="F82" s="30"/>
      <c r="G82" s="31"/>
      <c r="H82" s="32" t="s">
        <v>163</v>
      </c>
      <c r="I82" s="32" t="s">
        <v>163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178</v>
      </c>
      <c r="D84" s="29"/>
      <c r="E84" s="30"/>
      <c r="F84" s="30"/>
      <c r="G84" s="31"/>
      <c r="H84" s="32" t="s">
        <v>163</v>
      </c>
      <c r="I84" s="32" t="s">
        <v>163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179</v>
      </c>
      <c r="D86" s="29"/>
      <c r="E86" s="30"/>
      <c r="F86" s="30"/>
      <c r="G86" s="31"/>
      <c r="H86" s="32" t="s">
        <v>163</v>
      </c>
      <c r="I86" s="32" t="s">
        <v>163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180</v>
      </c>
      <c r="D88" s="29"/>
      <c r="E88" s="30"/>
      <c r="F88" s="30"/>
      <c r="G88" s="31"/>
      <c r="H88" s="32" t="s">
        <v>163</v>
      </c>
      <c r="I88" s="32" t="s">
        <v>163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C90" s="28" t="s">
        <v>181</v>
      </c>
      <c r="D90" s="29"/>
      <c r="E90" s="30"/>
      <c r="F90" s="30"/>
      <c r="G90" s="31"/>
      <c r="H90" s="32" t="s">
        <v>163</v>
      </c>
      <c r="I90" s="32" t="s">
        <v>163</v>
      </c>
      <c r="J90" s="33"/>
    </row>
    <row r="91" spans="1:10" x14ac:dyDescent="0.25">
      <c r="C91" s="20"/>
      <c r="D91" s="29"/>
      <c r="E91" s="30"/>
      <c r="F91" s="30"/>
      <c r="G91" s="31"/>
      <c r="H91" s="32"/>
      <c r="I91" s="32"/>
      <c r="J91" s="33"/>
    </row>
    <row r="92" spans="1:10" x14ac:dyDescent="0.25">
      <c r="A92" s="26"/>
      <c r="B92" s="27"/>
      <c r="C92" s="28" t="s">
        <v>182</v>
      </c>
      <c r="D92" s="29"/>
      <c r="E92" s="30"/>
      <c r="F92" s="30"/>
      <c r="G92" s="31"/>
      <c r="H92" s="32"/>
      <c r="I92" s="32"/>
      <c r="J92" s="33"/>
    </row>
    <row r="93" spans="1:10" x14ac:dyDescent="0.25">
      <c r="B93" s="1"/>
      <c r="C93" s="20" t="s">
        <v>183</v>
      </c>
      <c r="D93" s="29"/>
      <c r="E93" s="30"/>
      <c r="F93" s="30"/>
      <c r="G93" s="31"/>
      <c r="H93" s="32">
        <v>71.430000000000007</v>
      </c>
      <c r="I93" s="32">
        <v>0.72</v>
      </c>
      <c r="J93" s="33"/>
    </row>
    <row r="94" spans="1:10" x14ac:dyDescent="0.25">
      <c r="C94" s="28" t="s">
        <v>161</v>
      </c>
      <c r="D94" s="29"/>
      <c r="E94" s="30"/>
      <c r="F94" s="30"/>
      <c r="G94" s="31"/>
      <c r="H94" s="35">
        <v>71.430000000000007</v>
      </c>
      <c r="I94" s="35">
        <v>0.72</v>
      </c>
      <c r="J94" s="33"/>
    </row>
    <row r="95" spans="1:10" x14ac:dyDescent="0.25">
      <c r="C95" s="20"/>
      <c r="D95" s="29"/>
      <c r="E95" s="30"/>
      <c r="F95" s="30"/>
      <c r="G95" s="31"/>
      <c r="H95" s="32"/>
      <c r="I95" s="32"/>
      <c r="J95" s="33"/>
    </row>
    <row r="96" spans="1:10" ht="14.25" thickBot="1" x14ac:dyDescent="0.3">
      <c r="C96" s="36" t="s">
        <v>184</v>
      </c>
      <c r="D96" s="37"/>
      <c r="E96" s="38"/>
      <c r="F96" s="39"/>
      <c r="G96" s="40"/>
      <c r="H96" s="41">
        <v>9975.2199999999993</v>
      </c>
      <c r="I96" s="41">
        <f>SUMIFS(I:I,C:C,"Total")</f>
        <v>100</v>
      </c>
      <c r="J96" s="42"/>
    </row>
    <row r="99" spans="3:3" x14ac:dyDescent="0.25">
      <c r="C99" s="11" t="s">
        <v>185</v>
      </c>
    </row>
    <row r="100" spans="3:3" x14ac:dyDescent="0.25">
      <c r="C100" s="2" t="s">
        <v>186</v>
      </c>
    </row>
    <row r="101" spans="3:3" x14ac:dyDescent="0.25">
      <c r="C101" s="2" t="s">
        <v>187</v>
      </c>
    </row>
    <row r="102" spans="3:3" x14ac:dyDescent="0.25">
      <c r="C102" s="2" t="s">
        <v>188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/>
  </sheetViews>
  <sheetFormatPr defaultRowHeight="15" x14ac:dyDescent="0.25"/>
  <cols>
    <col min="2" max="2" width="45.5703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 x14ac:dyDescent="0.25">
      <c r="B4" s="43" t="s">
        <v>189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190</v>
      </c>
      <c r="C5" s="50" t="s">
        <v>191</v>
      </c>
      <c r="D5" s="50"/>
      <c r="E5" s="50" t="s">
        <v>192</v>
      </c>
      <c r="F5" s="50"/>
      <c r="G5" s="50" t="s">
        <v>193</v>
      </c>
      <c r="H5" s="50"/>
      <c r="I5" s="50" t="s">
        <v>194</v>
      </c>
      <c r="J5" s="50"/>
    </row>
    <row r="6" spans="2:10" ht="63.75" x14ac:dyDescent="0.25">
      <c r="B6" s="46"/>
      <c r="C6" s="47" t="s">
        <v>195</v>
      </c>
      <c r="D6" s="47" t="s">
        <v>196</v>
      </c>
      <c r="E6" s="47" t="s">
        <v>195</v>
      </c>
      <c r="F6" s="47" t="s">
        <v>196</v>
      </c>
      <c r="G6" s="47" t="s">
        <v>195</v>
      </c>
      <c r="H6" s="47" t="s">
        <v>196</v>
      </c>
      <c r="I6" s="47" t="s">
        <v>195</v>
      </c>
      <c r="J6" s="47" t="s">
        <v>196</v>
      </c>
    </row>
    <row r="7" spans="2:10" x14ac:dyDescent="0.25">
      <c r="B7" s="48" t="s">
        <v>197</v>
      </c>
      <c r="C7" s="49">
        <v>30.065662199697552</v>
      </c>
      <c r="D7" s="49">
        <v>13015.936788536226</v>
      </c>
      <c r="E7" s="49">
        <v>28.031136425472837</v>
      </c>
      <c r="F7" s="49">
        <v>20986.827898941912</v>
      </c>
      <c r="G7" s="49">
        <v>15.492703175570167</v>
      </c>
      <c r="H7" s="49">
        <v>20556.260575296106</v>
      </c>
      <c r="I7" s="49">
        <v>8.1549167183250439</v>
      </c>
      <c r="J7" s="49">
        <v>97190</v>
      </c>
    </row>
    <row r="8" spans="2:10" x14ac:dyDescent="0.25">
      <c r="B8" s="48" t="s">
        <v>198</v>
      </c>
      <c r="C8" s="49">
        <v>24.55655696471981</v>
      </c>
      <c r="D8" s="49">
        <v>12455.65569647198</v>
      </c>
      <c r="E8" s="49">
        <v>33.307307392064004</v>
      </c>
      <c r="F8" s="49">
        <v>23689.825910915584</v>
      </c>
      <c r="G8" s="49">
        <v>16.874208000068425</v>
      </c>
      <c r="H8" s="49">
        <v>21806.873508043856</v>
      </c>
      <c r="I8" s="49">
        <v>0</v>
      </c>
      <c r="J8" s="49">
        <v>0</v>
      </c>
    </row>
    <row r="9" spans="2:10" x14ac:dyDescent="0.25">
      <c r="B9" s="48" t="s">
        <v>199</v>
      </c>
      <c r="C9" s="49">
        <v>9.5015556201178519</v>
      </c>
      <c r="D9" s="49">
        <v>10950.155562011785</v>
      </c>
      <c r="E9" s="49">
        <v>20.579901791269894</v>
      </c>
      <c r="F9" s="49">
        <v>17531.730153872704</v>
      </c>
      <c r="G9" s="49">
        <v>11.829978219909387</v>
      </c>
      <c r="H9" s="49">
        <v>17490.056062883898</v>
      </c>
      <c r="I9" s="49">
        <v>10.826543944009837</v>
      </c>
      <c r="J9" s="49">
        <v>197203.46460056078</v>
      </c>
    </row>
    <row r="10" spans="2:10" x14ac:dyDescent="0.25">
      <c r="B10" s="48" t="s">
        <v>200</v>
      </c>
      <c r="C10" s="51">
        <v>74.67</v>
      </c>
      <c r="D10" s="52"/>
      <c r="E10" s="51">
        <v>46.31</v>
      </c>
      <c r="F10" s="52"/>
      <c r="G10" s="51">
        <v>47.28</v>
      </c>
      <c r="H10" s="52"/>
      <c r="I10" s="51">
        <v>10</v>
      </c>
      <c r="J10" s="52"/>
    </row>
    <row r="12" spans="2:10" ht="15.75" x14ac:dyDescent="0.25">
      <c r="B12" s="43" t="s">
        <v>201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190</v>
      </c>
      <c r="C13" s="50" t="s">
        <v>191</v>
      </c>
      <c r="D13" s="50"/>
      <c r="E13" s="50" t="s">
        <v>192</v>
      </c>
      <c r="F13" s="50"/>
      <c r="G13" s="50" t="s">
        <v>193</v>
      </c>
      <c r="H13" s="50"/>
      <c r="I13" s="50" t="s">
        <v>194</v>
      </c>
      <c r="J13" s="50"/>
    </row>
    <row r="14" spans="2:10" ht="63.75" x14ac:dyDescent="0.25">
      <c r="B14" s="46"/>
      <c r="C14" s="47" t="s">
        <v>195</v>
      </c>
      <c r="D14" s="47" t="s">
        <v>196</v>
      </c>
      <c r="E14" s="47" t="s">
        <v>195</v>
      </c>
      <c r="F14" s="47" t="s">
        <v>196</v>
      </c>
      <c r="G14" s="47" t="s">
        <v>195</v>
      </c>
      <c r="H14" s="47" t="s">
        <v>196</v>
      </c>
      <c r="I14" s="47" t="s">
        <v>195</v>
      </c>
      <c r="J14" s="47" t="s">
        <v>196</v>
      </c>
    </row>
    <row r="15" spans="2:10" x14ac:dyDescent="0.25">
      <c r="B15" s="48" t="s">
        <v>197</v>
      </c>
      <c r="C15" s="49">
        <v>30.519061257474831</v>
      </c>
      <c r="D15" s="49">
        <v>13061.433884827498</v>
      </c>
      <c r="E15" s="49">
        <v>28.478979479916799</v>
      </c>
      <c r="F15" s="49">
        <v>21207.83007080383</v>
      </c>
      <c r="G15" s="49">
        <v>15.946319343884173</v>
      </c>
      <c r="H15" s="49">
        <v>20963.359407163443</v>
      </c>
      <c r="I15" s="49">
        <v>17.817462694204455</v>
      </c>
      <c r="J15" s="49">
        <v>57504.234895539237</v>
      </c>
    </row>
    <row r="16" spans="2:10" x14ac:dyDescent="0.25">
      <c r="B16" s="48" t="s">
        <v>198</v>
      </c>
      <c r="C16" s="49">
        <v>24.55655696471981</v>
      </c>
      <c r="D16" s="49">
        <v>12455.65569647198</v>
      </c>
      <c r="E16" s="49">
        <v>33.307307392064004</v>
      </c>
      <c r="F16" s="49">
        <v>23689.825910915584</v>
      </c>
      <c r="G16" s="49">
        <v>16.874208000068425</v>
      </c>
      <c r="H16" s="49">
        <v>21806.873508043856</v>
      </c>
      <c r="I16" s="49">
        <v>18.469780812932402</v>
      </c>
      <c r="J16" s="49">
        <v>60993.28379914855</v>
      </c>
    </row>
    <row r="17" spans="2:10" x14ac:dyDescent="0.25">
      <c r="B17" s="48" t="s">
        <v>199</v>
      </c>
      <c r="C17" s="49">
        <v>9.5015556201178519</v>
      </c>
      <c r="D17" s="49">
        <v>10950.155562011785</v>
      </c>
      <c r="E17" s="49">
        <v>20.579901791269894</v>
      </c>
      <c r="F17" s="49">
        <v>17531.730153872704</v>
      </c>
      <c r="G17" s="49">
        <v>11.829978219909387</v>
      </c>
      <c r="H17" s="49">
        <v>17490.056062883898</v>
      </c>
      <c r="I17" s="49">
        <v>13.023103701596806</v>
      </c>
      <c r="J17" s="49">
        <v>36915.964563275607</v>
      </c>
    </row>
    <row r="18" spans="2:10" x14ac:dyDescent="0.25">
      <c r="B18" s="48" t="s">
        <v>202</v>
      </c>
      <c r="C18" s="51">
        <v>77.97</v>
      </c>
      <c r="D18" s="52"/>
      <c r="E18" s="51">
        <v>48.02</v>
      </c>
      <c r="F18" s="52"/>
      <c r="G18" s="51">
        <v>48.58</v>
      </c>
      <c r="H18" s="52"/>
      <c r="I18" s="51">
        <v>17.71</v>
      </c>
      <c r="J18" s="52"/>
    </row>
    <row r="20" spans="2:10" x14ac:dyDescent="0.25">
      <c r="B20" t="s">
        <v>203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Madhura Shinde</cp:lastModifiedBy>
  <dcterms:created xsi:type="dcterms:W3CDTF">2023-09-02T11:45:12Z</dcterms:created>
  <dcterms:modified xsi:type="dcterms:W3CDTF">2023-09-08T10:24:51Z</dcterms:modified>
</cp:coreProperties>
</file>