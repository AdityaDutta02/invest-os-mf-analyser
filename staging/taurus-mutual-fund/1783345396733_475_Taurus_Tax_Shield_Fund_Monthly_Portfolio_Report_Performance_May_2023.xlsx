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 activeTab="1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Portfolio'!$C$8:$C$36</definedName>
    <definedName name="XDO_?FINAL_ISIN?15?">'TTS-Risk-O-Meter &amp; Portfolio'!$D$10:$D$36</definedName>
    <definedName name="XDO_?FINAL_ISIN?16?">'TTS-Risk-O-Meter &amp; Portfolio'!$D$10:$D$75</definedName>
    <definedName name="XDO_?FINAL_ISIN?17?">'TTS-Risk-O-Meter &amp; Portfolio'!$D$10:$D$79</definedName>
    <definedName name="XDO_?FINAL_MV?15?">'TTS-Risk-O-Meter &amp; Portfolio'!$H$10:$H$36</definedName>
    <definedName name="XDO_?FINAL_MV?16?">'TTS-Risk-O-Meter &amp; Portfolio'!$H$10:$H$75</definedName>
    <definedName name="XDO_?FINAL_MV?17?">'TTS-Risk-O-Meter &amp; Portfolio'!$H$10:$H$79</definedName>
    <definedName name="XDO_?FINAL_NAME?15?">'TTS-Risk-O-Meter &amp; Portfolio'!$C$10:$C$36</definedName>
    <definedName name="XDO_?FINAL_NAME?16?">'TTS-Risk-O-Meter &amp; Portfolio'!$C$10:$C$75</definedName>
    <definedName name="XDO_?FINAL_NAME?17?">'TTS-Risk-O-Meter &amp; Portfolio'!$C$10:$C$79</definedName>
    <definedName name="XDO_?FINAL_PER_NET?15?">'TTS-Risk-O-Meter &amp; Portfolio'!$I$10:$I$36</definedName>
    <definedName name="XDO_?FINAL_PER_NET?16?">'TTS-Risk-O-Meter &amp; Portfolio'!$I$10:$I$75</definedName>
    <definedName name="XDO_?FINAL_PER_NET?17?">'TTS-Risk-O-Meter &amp; Portfolio'!$I$10:$I$79</definedName>
    <definedName name="XDO_?FINAL_QUANTITE?15?">'TTS-Risk-O-Meter &amp; Portfolio'!$G$10:$G$36</definedName>
    <definedName name="XDO_?FINAL_QUANTITE?16?">'TTS-Risk-O-Meter &amp; Portfolio'!$G$10:$G$75</definedName>
    <definedName name="XDO_?FINAL_QUANTITE?17?">'TTS-Risk-O-Meter &amp; Portfolio'!$G$10:$G$79</definedName>
    <definedName name="XDO_?IND_01?15?">'TTS-Risk-O-Meter &amp; Portfolio'!$F$10:$F$36</definedName>
    <definedName name="XDO_?IND_01?16?">'TTS-Risk-O-Meter &amp; Portfolio'!$F$10:$F$75</definedName>
    <definedName name="XDO_?IND_01?17?">'TTS-Risk-O-Meter &amp; Portfolio'!$F$10:$F$79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5?">'TTS-Risk-O-Meter &amp; Portfolio'!$B$10:$B$36</definedName>
    <definedName name="XDO_?NOVAL?16?">'TTS-Risk-O-Meter &amp; Portfolio'!$B$10:$B$75</definedName>
    <definedName name="XDO_?NOVAL?17?">'TTS-Risk-O-Meter &amp; Portfolio'!$B$10:$B$79</definedName>
    <definedName name="XDO_?NPTF?7?">'TTS-Risk-O-Meter &amp; Portfolio'!$D$2:$D$36</definedName>
    <definedName name="XDO_?RATING?15?">'TTS-Risk-O-Meter &amp; Portfolio'!$E$10:$E$36</definedName>
    <definedName name="XDO_?RATING?16?">'TTS-Risk-O-Meter &amp; Portfolio'!$E$10:$E$75</definedName>
    <definedName name="XDO_?RATING?17?">'TTS-Risk-O-Meter &amp; Portfolio'!$E$10:$E$79</definedName>
    <definedName name="XDO_?REMARKS?15?">'TTS-Risk-O-Meter &amp; Portfolio'!$J$10:$J$36</definedName>
    <definedName name="XDO_?REMARKS?16?">'TTS-Risk-O-Meter &amp; Portfolio'!$J$10:$J$75</definedName>
    <definedName name="XDO_?REMARKS?17?">'TTS-Risk-O-Meter &amp; Portfolio'!$J$10:$J$79</definedName>
    <definedName name="XDO_?TITL?7?">'TTS-Risk-O-Meter &amp; Portfolio'!$A$8:$A$36</definedName>
    <definedName name="XDO_GROUP_?G_2?7?">'TTS-Risk-O-Meter &amp; Portfolio'!$2:$82</definedName>
    <definedName name="XDO_GROUP_?G_3?7?">'TTS-Risk-O-Meter &amp; Portfolio'!$8:$81</definedName>
    <definedName name="XDO_GROUP_?G_4?15?">'TTS-Risk-O-Meter &amp; Portfolio'!$B$10:$IV$36</definedName>
    <definedName name="XDO_GROUP_?G_4?16?">'TTS-Risk-O-Meter &amp; Portfolio'!$B$75:$IV$75</definedName>
    <definedName name="XDO_GROUP_?G_4?17?">'TTS-Risk-O-Meter &amp; Portfolio'!$B$79:$IV$79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<sst xmlns="http://schemas.openxmlformats.org/spreadsheetml/2006/main" count="221" uniqueCount="156">
  <si>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</si>
  <si>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</si>
  <si>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</si>
  <si>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</si>
  <si>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</si>
  <si>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</si>
  <si>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</si>
  <si>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</si>
  <si>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</si>
  <si>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</si>
  <si>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</si>
  <si>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</si>
  <si>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</si>
  <si>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</si>
  <si>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</si>
  <si>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</si>
  <si>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</si>
  <si>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</si>
  <si>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</si>
  <si>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100001</t>
  </si>
  <si>
    <t>Housing Development Finance Corporation Ltd.</t>
  </si>
  <si>
    <t>INE001A01036</t>
  </si>
  <si>
    <t>Finance</t>
  </si>
  <si>
    <t>100325</t>
  </si>
  <si>
    <t>Bajaj Holdings &amp; Investment Ltd.</t>
  </si>
  <si>
    <t>INE118A01012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</si>
  <si>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</si>
  <si>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</si>
  <si>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</si>
  <si>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</si>
  <si>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</si>
  <si>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</si>
  <si>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</si>
  <si>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Banks</t>
  </si>
  <si>
    <t>100147</t>
  </si>
  <si>
    <t>Tech Mahindra Ltd.</t>
  </si>
  <si>
    <t>INE669C01036</t>
  </si>
  <si>
    <t>100024</t>
  </si>
  <si>
    <t>Axis Bank Ltd.</t>
  </si>
  <si>
    <t>INE238A01034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</si>
  <si>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</si>
  <si>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</si>
  <si>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</si>
  <si>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</si>
  <si>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</si>
  <si>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</si>
  <si>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</si>
  <si>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100474</t>
  </si>
  <si>
    <t>Narayana Hrudayalaya Ltd.</t>
  </si>
  <si>
    <t>INE410P01011</t>
  </si>
  <si>
    <t>Healthcare Services</t>
  </si>
  <si>
    <t>100172</t>
  </si>
  <si>
    <t>ACC Ltd.</t>
  </si>
  <si>
    <t>INE012A01025</t>
  </si>
  <si>
    <t>Cement &amp; Cement Products</t>
  </si>
  <si>
    <t>100045</t>
  </si>
  <si>
    <t>Gujarat Pipavav Port Ltd.</t>
  </si>
  <si>
    <t>INE517F01014</t>
  </si>
  <si>
    <t>Transport Infrastructure</t>
  </si>
  <si>
    <t>101181</t>
  </si>
  <si>
    <t>UTI Asset Management Co. Ltd.</t>
  </si>
  <si>
    <t>INE094J01016</t>
  </si>
  <si>
    <t>Capital Markets</t>
  </si>
  <si>
    <t>101178</t>
  </si>
  <si>
    <t>Computer Age Management Services Ltd.</t>
  </si>
  <si>
    <t>INE596I01012</t>
  </si>
  <si>
    <t>100148</t>
  </si>
  <si>
    <t>Motilal Oswal Financial Services Ltd.</t>
  </si>
  <si>
    <t>INE338I01027</t>
  </si>
  <si>
    <t>100153</t>
  </si>
  <si>
    <t>Cipla Ltd.</t>
  </si>
  <si>
    <t>INE059A01026</t>
  </si>
  <si>
    <t>Pharmaceuticals &amp; Biotechnology</t>
  </si>
  <si>
    <t>100401</t>
  </si>
  <si>
    <t>Jamna Auto Industries Ltd.</t>
  </si>
  <si>
    <t>INE039C01032</t>
  </si>
  <si>
    <t>Auto Components</t>
  </si>
  <si>
    <t>100440</t>
  </si>
  <si>
    <t>Birla Corporation Ltd.</t>
  </si>
  <si>
    <t>INE340A01012</t>
  </si>
  <si>
    <t>100096</t>
  </si>
  <si>
    <t>Container Corporation of India Ltd.</t>
  </si>
  <si>
    <t>INE111A01025</t>
  </si>
  <si>
    <t>Transport Services</t>
  </si>
  <si>
    <t>100342</t>
  </si>
  <si>
    <t>Vardhman Textiles Ltd.</t>
  </si>
  <si>
    <t>INE825A01020</t>
  </si>
  <si>
    <t>Textiles &amp; Apparels</t>
  </si>
  <si>
    <t>100410</t>
  </si>
  <si>
    <t>Healthcare Global Enterprises Ltd.</t>
  </si>
  <si>
    <t>INE075I01017</t>
  </si>
  <si>
    <t>100747</t>
  </si>
  <si>
    <t>Mahindra Logistics Ltd.</t>
  </si>
  <si>
    <t>INE766P01016</t>
  </si>
  <si>
    <t>100080</t>
  </si>
  <si>
    <t>Dr. Reddy's Laboratories Ltd.</t>
  </si>
  <si>
    <t>INE089A01023</t>
  </si>
  <si>
    <t>100035</t>
  </si>
  <si>
    <t>NMDC Ltd.</t>
  </si>
  <si>
    <t>INE584A01023</t>
  </si>
  <si>
    <t>Minerals &amp; Mining</t>
  </si>
  <si>
    <t>100155</t>
  </si>
  <si>
    <t>Divi's Laboratories Ltd.</t>
  </si>
  <si>
    <t>INE361B01024</t>
  </si>
  <si>
    <t>100271</t>
  </si>
  <si>
    <t>Balkrishna Industries Ltd.</t>
  </si>
  <si>
    <t>INE787D01026</t>
  </si>
  <si>
    <t>100165</t>
  </si>
  <si>
    <t>Rallis India Ltd.</t>
  </si>
  <si>
    <t>INE613A01020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</si>
  <si>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</si>
  <si>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</si>
  <si>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</si>
  <si>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</si>
  <si>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</si>
  <si>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</si>
  <si>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</si>
  <si>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</si>
  <si>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</si>
  <si>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</si>
  <si>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</si>
  <si>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</si>
  <si>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</si>
  <si>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</si>
  <si>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</si>
  <si>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</si>
  <si>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</si>
  <si>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</si>
  <si>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</si>
  <si>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</si>
  <si>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</si>
  <si>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</si>
  <si>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</si>
  <si>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</si>
  <si>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</si>
  <si>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</si>
  <si>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</si>
  <si>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</si>
  <si>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</si>
  <si>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</si>
  <si>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</si>
  <si>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</si>
  <si>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</si>
  <si>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</si>
  <si>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</si>
  <si>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</si>
  <si>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</si>
  <si>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</si>
  <si>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</si>
  <si>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</si>
  <si>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</si>
  <si>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</si>
  <si>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May 31, 2023 : 125.75)</t>
  </si>
  <si>
    <t>Taurus Tax Shield - Direct Plan Growth Option</t>
  </si>
  <si>
    <t>NAV [Rs.] Per Unit (as on May 31, 2023 : 135.27)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</si>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</sst>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8"/>
  <sheetViews>
    <sheetView showGridLines="0" zoomScale="90" zoomScaleNormal="90" workbookViewId="0">
      <selection activeCell="C1" sqref="C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48200</v>
      </c>
      <c r="H10" s="32">
        <v>552.17999999999995</v>
      </c>
      <c r="I10" s="32">
        <v>8.81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20000</v>
      </c>
      <c r="H11" s="32">
        <v>527.95000000000005</v>
      </c>
      <c r="I11" s="32">
        <v>8.42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6000</v>
      </c>
      <c r="H12" s="32">
        <v>437.65</v>
      </c>
      <c r="I12" s="32">
        <v>6.98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80000</v>
      </c>
      <c r="H13" s="32">
        <v>356.24</v>
      </c>
      <c r="I13" s="32">
        <v>5.68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36000</v>
      </c>
      <c r="H14" s="32">
        <v>341.44</v>
      </c>
      <c r="I14" s="32">
        <v>5.45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29000</v>
      </c>
      <c r="H15" s="32">
        <v>324.14999999999998</v>
      </c>
      <c r="I15" s="32">
        <v>5.17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33</v>
      </c>
      <c r="G16" s="31">
        <v>35000</v>
      </c>
      <c r="H16" s="32">
        <v>320.14999999999998</v>
      </c>
      <c r="I16" s="32">
        <v>5.1100000000000003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23000</v>
      </c>
      <c r="H17" s="32">
        <v>304.08</v>
      </c>
      <c r="I17" s="32">
        <v>4.8499999999999996</v>
      </c>
      <c r="J17" s="33"/>
    </row>
    <row r="18" spans="2:10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120000</v>
      </c>
      <c r="H18" s="32">
        <v>289.44</v>
      </c>
      <c r="I18" s="32">
        <v>4.62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30155</v>
      </c>
      <c r="H19" s="32">
        <v>269.25</v>
      </c>
      <c r="I19" s="32">
        <v>4.3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14500</v>
      </c>
      <c r="H20" s="32">
        <v>258.66000000000003</v>
      </c>
      <c r="I20" s="32">
        <v>4.13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240000</v>
      </c>
      <c r="H21" s="32">
        <v>257.76</v>
      </c>
      <c r="I21" s="32">
        <v>4.1100000000000003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155.63999999999999</v>
      </c>
      <c r="I22" s="32">
        <v>2.48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62</v>
      </c>
      <c r="G23" s="31">
        <v>5500</v>
      </c>
      <c r="H23" s="32">
        <v>121.84</v>
      </c>
      <c r="I23" s="32">
        <v>1.94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62</v>
      </c>
      <c r="G24" s="31">
        <v>17300</v>
      </c>
      <c r="H24" s="32">
        <v>110.09</v>
      </c>
      <c r="I24" s="32">
        <v>1.76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11000</v>
      </c>
      <c r="H25" s="32">
        <v>104.96</v>
      </c>
      <c r="I25" s="32">
        <v>1.67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80000</v>
      </c>
      <c r="H26" s="32">
        <v>78.92</v>
      </c>
      <c r="I26" s="32">
        <v>1.26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54</v>
      </c>
      <c r="G27" s="31">
        <v>7000</v>
      </c>
      <c r="H27" s="32">
        <v>78.47</v>
      </c>
      <c r="I27" s="32">
        <v>1.25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10500</v>
      </c>
      <c r="H28" s="32">
        <v>70.52</v>
      </c>
      <c r="I28" s="32">
        <v>1.1200000000000001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20000</v>
      </c>
      <c r="H29" s="32">
        <v>64.48</v>
      </c>
      <c r="I29" s="32">
        <v>1.03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50</v>
      </c>
      <c r="G30" s="31">
        <v>20000</v>
      </c>
      <c r="H30" s="32">
        <v>62.99</v>
      </c>
      <c r="I30" s="32">
        <v>1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83</v>
      </c>
      <c r="G31" s="31">
        <v>17000</v>
      </c>
      <c r="H31" s="32">
        <v>61.28</v>
      </c>
      <c r="I31" s="32">
        <v>0.98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72</v>
      </c>
      <c r="G32" s="31">
        <v>1200</v>
      </c>
      <c r="H32" s="32">
        <v>54.05</v>
      </c>
      <c r="I32" s="32">
        <v>0.86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50000</v>
      </c>
      <c r="H33" s="32">
        <v>53.38</v>
      </c>
      <c r="I33" s="32">
        <v>0.85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72</v>
      </c>
      <c r="G34" s="31">
        <v>1500</v>
      </c>
      <c r="H34" s="32">
        <v>51.78</v>
      </c>
      <c r="I34" s="32">
        <v>0.83</v>
      </c>
      <c r="J34" s="33"/>
    </row>
    <row r="35" spans="2:10">
      <c r="B35" s="1" t="s">
        <v>104</v>
      </c>
      <c r="C35" s="20" t="s">
        <v>105</v>
      </c>
      <c r="D35" s="29" t="s">
        <v>106</v>
      </c>
      <c r="E35" s="30"/>
      <c r="F35" s="30" t="s">
        <v>76</v>
      </c>
      <c r="G35" s="31">
        <v>1500</v>
      </c>
      <c r="H35" s="32">
        <v>34.090000000000003</v>
      </c>
      <c r="I35" s="32">
        <v>0.54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9405</v>
      </c>
      <c r="H36" s="32">
        <v>17.829999999999998</v>
      </c>
      <c r="I36" s="32">
        <v>0.28000000000000003</v>
      </c>
      <c r="J36" s="33"/>
    </row>
    <row r="37" spans="2:10">
      <c r="C37" s="28" t="s">
        <v>111</v>
      </c>
      <c r="D37" s="29"/>
      <c r="E37" s="30"/>
      <c r="F37" s="30"/>
      <c r="G37" s="31"/>
      <c r="H37" s="35">
        <v>5359.27</v>
      </c>
      <c r="I37" s="35">
        <v>85.48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112</v>
      </c>
      <c r="D39" s="29"/>
      <c r="E39" s="30"/>
      <c r="F39" s="30"/>
      <c r="G39" s="31"/>
      <c r="H39" s="32" t="s">
        <v>113</v>
      </c>
      <c r="I39" s="32" t="s">
        <v>113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114</v>
      </c>
      <c r="D41" s="29"/>
      <c r="E41" s="30"/>
      <c r="F41" s="30"/>
      <c r="G41" s="31"/>
      <c r="H41" s="32" t="s">
        <v>113</v>
      </c>
      <c r="I41" s="32" t="s">
        <v>113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115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116</v>
      </c>
      <c r="D45" s="29"/>
      <c r="E45" s="30"/>
      <c r="F45" s="30"/>
      <c r="G45" s="31"/>
      <c r="H45" s="32" t="s">
        <v>113</v>
      </c>
      <c r="I45" s="32" t="s">
        <v>113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117</v>
      </c>
      <c r="D47" s="29"/>
      <c r="E47" s="30"/>
      <c r="F47" s="30"/>
      <c r="G47" s="31"/>
      <c r="H47" s="32" t="s">
        <v>113</v>
      </c>
      <c r="I47" s="32" t="s">
        <v>113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118</v>
      </c>
      <c r="D49" s="29"/>
      <c r="E49" s="30"/>
      <c r="F49" s="30"/>
      <c r="G49" s="31"/>
      <c r="H49" s="32" t="s">
        <v>113</v>
      </c>
      <c r="I49" s="32" t="s">
        <v>113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119</v>
      </c>
      <c r="D51" s="29"/>
      <c r="E51" s="30"/>
      <c r="F51" s="30"/>
      <c r="G51" s="31"/>
      <c r="H51" s="32" t="s">
        <v>113</v>
      </c>
      <c r="I51" s="32" t="s">
        <v>113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120</v>
      </c>
      <c r="D53" s="29"/>
      <c r="E53" s="30"/>
      <c r="F53" s="30"/>
      <c r="G53" s="31"/>
      <c r="H53" s="32" t="s">
        <v>113</v>
      </c>
      <c r="I53" s="32" t="s">
        <v>113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121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122</v>
      </c>
      <c r="D57" s="29"/>
      <c r="E57" s="30"/>
      <c r="F57" s="30"/>
      <c r="G57" s="31"/>
      <c r="H57" s="32" t="s">
        <v>113</v>
      </c>
      <c r="I57" s="32" t="s">
        <v>113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123</v>
      </c>
      <c r="D59" s="29"/>
      <c r="E59" s="30"/>
      <c r="F59" s="30"/>
      <c r="G59" s="31"/>
      <c r="H59" s="32" t="s">
        <v>113</v>
      </c>
      <c r="I59" s="32" t="s">
        <v>113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124</v>
      </c>
      <c r="D61" s="29"/>
      <c r="E61" s="30"/>
      <c r="F61" s="30"/>
      <c r="G61" s="31"/>
      <c r="H61" s="32" t="s">
        <v>113</v>
      </c>
      <c r="I61" s="32" t="s">
        <v>113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125</v>
      </c>
      <c r="D63" s="29"/>
      <c r="E63" s="30"/>
      <c r="F63" s="30"/>
      <c r="G63" s="31"/>
      <c r="H63" s="32" t="s">
        <v>113</v>
      </c>
      <c r="I63" s="32" t="s">
        <v>113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A65" s="26"/>
      <c r="B65" s="27"/>
      <c r="C65" s="28" t="s">
        <v>126</v>
      </c>
      <c r="D65" s="29"/>
      <c r="E65" s="30"/>
      <c r="F65" s="30"/>
      <c r="G65" s="31"/>
      <c r="H65" s="32"/>
      <c r="I65" s="32"/>
      <c r="J65" s="33"/>
    </row>
    <row r="66" spans="1:10">
      <c r="A66" s="27"/>
      <c r="B66" s="27"/>
      <c r="C66" s="28" t="s">
        <v>127</v>
      </c>
      <c r="D66" s="29"/>
      <c r="E66" s="30"/>
      <c r="F66" s="30"/>
      <c r="G66" s="31"/>
      <c r="H66" s="32" t="s">
        <v>113</v>
      </c>
      <c r="I66" s="32" t="s">
        <v>113</v>
      </c>
      <c r="J66" s="33"/>
    </row>
    <row r="67" spans="1:10">
      <c r="A67" s="27"/>
      <c r="B67" s="27"/>
      <c r="C67" s="28"/>
      <c r="D67" s="29"/>
      <c r="E67" s="30"/>
      <c r="F67" s="30"/>
      <c r="G67" s="31"/>
      <c r="H67" s="32"/>
      <c r="I67" s="32"/>
      <c r="J67" s="33"/>
    </row>
    <row r="68" spans="1:10">
      <c r="A68" s="27"/>
      <c r="B68" s="27"/>
      <c r="C68" s="28" t="s">
        <v>128</v>
      </c>
      <c r="D68" s="29"/>
      <c r="E68" s="30"/>
      <c r="F68" s="30"/>
      <c r="G68" s="31"/>
      <c r="H68" s="32" t="s">
        <v>113</v>
      </c>
      <c r="I68" s="32" t="s">
        <v>113</v>
      </c>
      <c r="J68" s="33"/>
    </row>
    <row r="69" spans="1:10">
      <c r="A69" s="27"/>
      <c r="B69" s="27"/>
      <c r="C69" s="28"/>
      <c r="D69" s="29"/>
      <c r="E69" s="30"/>
      <c r="F69" s="30"/>
      <c r="G69" s="31"/>
      <c r="H69" s="32"/>
      <c r="I69" s="32"/>
      <c r="J69" s="33"/>
    </row>
    <row r="70" spans="1:10">
      <c r="A70" s="27"/>
      <c r="B70" s="27"/>
      <c r="C70" s="28" t="s">
        <v>129</v>
      </c>
      <c r="D70" s="29"/>
      <c r="E70" s="30"/>
      <c r="F70" s="30"/>
      <c r="G70" s="31"/>
      <c r="H70" s="32" t="s">
        <v>113</v>
      </c>
      <c r="I70" s="32" t="s">
        <v>113</v>
      </c>
      <c r="J70" s="33"/>
    </row>
    <row r="71" spans="1:10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>
      <c r="A72" s="27"/>
      <c r="B72" s="27"/>
      <c r="C72" s="28" t="s">
        <v>130</v>
      </c>
      <c r="D72" s="29"/>
      <c r="E72" s="30"/>
      <c r="F72" s="30"/>
      <c r="G72" s="31"/>
      <c r="H72" s="32" t="s">
        <v>113</v>
      </c>
      <c r="I72" s="32" t="s">
        <v>113</v>
      </c>
      <c r="J72" s="33"/>
    </row>
    <row r="73" spans="1:10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>
      <c r="C74" s="34" t="s">
        <v>131</v>
      </c>
      <c r="D74" s="29"/>
      <c r="E74" s="30"/>
      <c r="F74" s="30"/>
      <c r="G74" s="31"/>
      <c r="H74" s="32"/>
      <c r="I74" s="32"/>
      <c r="J74" s="33"/>
    </row>
    <row r="75" spans="1:10">
      <c r="B75" s="1" t="s">
        <v>132</v>
      </c>
      <c r="C75" s="20" t="s">
        <v>133</v>
      </c>
      <c r="D75" s="29"/>
      <c r="E75" s="30"/>
      <c r="F75" s="30"/>
      <c r="G75" s="31"/>
      <c r="H75" s="32">
        <v>600</v>
      </c>
      <c r="I75" s="32">
        <v>9.57</v>
      </c>
      <c r="J75" s="33"/>
    </row>
    <row r="76" spans="1:10">
      <c r="C76" s="28" t="s">
        <v>111</v>
      </c>
      <c r="D76" s="29"/>
      <c r="E76" s="30"/>
      <c r="F76" s="30"/>
      <c r="G76" s="31"/>
      <c r="H76" s="35">
        <v>600</v>
      </c>
      <c r="I76" s="35">
        <v>9.57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134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135</v>
      </c>
      <c r="D79" s="29"/>
      <c r="E79" s="30"/>
      <c r="F79" s="30"/>
      <c r="G79" s="31"/>
      <c r="H79" s="32">
        <v>309.05</v>
      </c>
      <c r="I79" s="32">
        <v>4.9499999999999993</v>
      </c>
      <c r="J79" s="33"/>
    </row>
    <row r="80" spans="1:10">
      <c r="C80" s="28" t="s">
        <v>111</v>
      </c>
      <c r="D80" s="29"/>
      <c r="E80" s="30"/>
      <c r="F80" s="30"/>
      <c r="G80" s="31"/>
      <c r="H80" s="35">
        <v>309.05</v>
      </c>
      <c r="I80" s="35">
        <v>4.9499999999999993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5" thickBot="1">
      <c r="C82" s="36" t="s">
        <v>136</v>
      </c>
      <c r="D82" s="37"/>
      <c r="E82" s="38"/>
      <c r="F82" s="39"/>
      <c r="G82" s="40"/>
      <c r="H82" s="41">
        <v>6268.32</v>
      </c>
      <c r="I82" s="41">
        <f>SUMIFS(I:I,C:C,"Total")</f>
        <v>100.00000000000001</v>
      </c>
      <c r="J82" s="42"/>
    </row>
    <row r="85" spans="3:10">
      <c r="C85" s="11" t="s">
        <v>137</v>
      </c>
    </row>
    <row r="86" spans="3:10">
      <c r="C86" s="2" t="s">
        <v>138</v>
      </c>
    </row>
    <row r="87" spans="3:10">
      <c r="C87" s="2" t="s">
        <v>139</v>
      </c>
    </row>
    <row r="88" spans="3:10">
      <c r="C88" s="2" t="s">
        <v>140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tabSelected="1" workbookViewId="0">
      <selection activeCell="A4" sqref="A4"/>
    </sheetView>
  </sheetViews>
  <sheetFormatPr defaultRowHeight="15"/>
  <cols>
    <col min="2" max="2" width="46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141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142</v>
      </c>
      <c r="C5" s="46" t="s">
        <v>143</v>
      </c>
      <c r="D5" s="46"/>
      <c r="E5" s="46" t="s">
        <v>144</v>
      </c>
      <c r="F5" s="46"/>
      <c r="G5" s="46" t="s">
        <v>145</v>
      </c>
      <c r="H5" s="46"/>
      <c r="I5" s="46" t="s">
        <v>146</v>
      </c>
      <c r="J5" s="46"/>
    </row>
    <row r="6" spans="2:10" ht="63.75">
      <c r="B6" s="47"/>
      <c r="C6" s="48" t="s">
        <v>147</v>
      </c>
      <c r="D6" s="48" t="s">
        <v>148</v>
      </c>
      <c r="E6" s="48" t="s">
        <v>147</v>
      </c>
      <c r="F6" s="48" t="s">
        <v>148</v>
      </c>
      <c r="G6" s="48" t="s">
        <v>147</v>
      </c>
      <c r="H6" s="48" t="s">
        <v>148</v>
      </c>
      <c r="I6" s="48" t="s">
        <v>147</v>
      </c>
      <c r="J6" s="48" t="s">
        <v>148</v>
      </c>
    </row>
    <row r="7" spans="2:10">
      <c r="B7" s="49" t="s">
        <v>149</v>
      </c>
      <c r="C7" s="50">
        <v>17.020286618276572</v>
      </c>
      <c r="D7" s="50">
        <v>11702.028661827657</v>
      </c>
      <c r="E7" s="50">
        <v>23.3840080654393</v>
      </c>
      <c r="F7" s="50">
        <v>18805.144309854939</v>
      </c>
      <c r="G7" s="50">
        <v>10.289720736972985</v>
      </c>
      <c r="H7" s="50">
        <v>16322.689511941848</v>
      </c>
      <c r="I7" s="50">
        <v>11.459622809737159</v>
      </c>
      <c r="J7" s="50">
        <v>125750</v>
      </c>
    </row>
    <row r="8" spans="2:10">
      <c r="B8" s="49" t="s">
        <v>150</v>
      </c>
      <c r="C8" s="50">
        <v>12.852212392251982</v>
      </c>
      <c r="D8" s="50">
        <v>11285.221239225199</v>
      </c>
      <c r="E8" s="50">
        <v>27.949910833768211</v>
      </c>
      <c r="F8" s="50">
        <v>20946.909806027412</v>
      </c>
      <c r="G8" s="50">
        <v>12.580590069051279</v>
      </c>
      <c r="H8" s="50">
        <v>18084.962101395391</v>
      </c>
      <c r="I8" s="50">
        <v>0</v>
      </c>
      <c r="J8" s="50">
        <v>0</v>
      </c>
    </row>
    <row r="9" spans="2:10">
      <c r="B9" s="49" t="s">
        <v>151</v>
      </c>
      <c r="C9" s="50">
        <v>12.936501642450771</v>
      </c>
      <c r="D9" s="50">
        <v>11293.650164245077</v>
      </c>
      <c r="E9" s="50">
        <v>26.017411031737048</v>
      </c>
      <c r="F9" s="50">
        <v>20012.053672132919</v>
      </c>
      <c r="G9" s="50">
        <v>12.893398277148327</v>
      </c>
      <c r="H9" s="50">
        <v>18337.609960208683</v>
      </c>
      <c r="I9" s="50">
        <v>12.725629493959701</v>
      </c>
      <c r="J9" s="50">
        <v>259514.38472726138</v>
      </c>
    </row>
    <row r="10" spans="2:10">
      <c r="B10" s="49" t="s">
        <v>152</v>
      </c>
      <c r="C10" s="51">
        <v>107.46</v>
      </c>
      <c r="D10" s="52"/>
      <c r="E10" s="51">
        <v>66.87</v>
      </c>
      <c r="F10" s="52"/>
      <c r="G10" s="51">
        <v>77.040000000000006</v>
      </c>
      <c r="H10" s="52"/>
      <c r="I10" s="51">
        <v>10</v>
      </c>
      <c r="J10" s="52"/>
    </row>
    <row r="12" spans="2:10" ht="15.75">
      <c r="B12" s="43" t="s">
        <v>153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142</v>
      </c>
      <c r="C13" s="46" t="s">
        <v>143</v>
      </c>
      <c r="D13" s="46"/>
      <c r="E13" s="46" t="s">
        <v>144</v>
      </c>
      <c r="F13" s="46"/>
      <c r="G13" s="46" t="s">
        <v>145</v>
      </c>
      <c r="H13" s="46"/>
      <c r="I13" s="46" t="s">
        <v>146</v>
      </c>
      <c r="J13" s="46"/>
    </row>
    <row r="14" spans="2:10" ht="63.75">
      <c r="B14" s="47"/>
      <c r="C14" s="48" t="s">
        <v>147</v>
      </c>
      <c r="D14" s="48" t="s">
        <v>148</v>
      </c>
      <c r="E14" s="48" t="s">
        <v>147</v>
      </c>
      <c r="F14" s="48" t="s">
        <v>148</v>
      </c>
      <c r="G14" s="48" t="s">
        <v>147</v>
      </c>
      <c r="H14" s="48" t="s">
        <v>148</v>
      </c>
      <c r="I14" s="48" t="s">
        <v>147</v>
      </c>
      <c r="J14" s="48" t="s">
        <v>148</v>
      </c>
    </row>
    <row r="15" spans="2:10">
      <c r="B15" s="49" t="s">
        <v>149</v>
      </c>
      <c r="C15" s="50">
        <v>17.831010452961692</v>
      </c>
      <c r="D15" s="50">
        <v>11783.101045296169</v>
      </c>
      <c r="E15" s="50">
        <v>24.236004432190406</v>
      </c>
      <c r="F15" s="50">
        <v>19198.126596650585</v>
      </c>
      <c r="G15" s="50">
        <v>11.064589470459364</v>
      </c>
      <c r="H15" s="50">
        <v>16904.523869032746</v>
      </c>
      <c r="I15" s="50">
        <v>12.768293609664493</v>
      </c>
      <c r="J15" s="50">
        <v>34962.522615662965</v>
      </c>
    </row>
    <row r="16" spans="2:10">
      <c r="B16" s="49" t="s">
        <v>150</v>
      </c>
      <c r="C16" s="50">
        <v>12.852212392251982</v>
      </c>
      <c r="D16" s="50">
        <v>11285.221239225199</v>
      </c>
      <c r="E16" s="50">
        <v>27.949910833768211</v>
      </c>
      <c r="F16" s="50">
        <v>20946.909806027412</v>
      </c>
      <c r="G16" s="50">
        <v>12.580590069051279</v>
      </c>
      <c r="H16" s="50">
        <v>18084.962101395391</v>
      </c>
      <c r="I16" s="50">
        <v>13.548411172136587</v>
      </c>
      <c r="J16" s="50">
        <v>37565.582535165995</v>
      </c>
    </row>
    <row r="17" spans="2:10">
      <c r="B17" s="49" t="s">
        <v>151</v>
      </c>
      <c r="C17" s="50">
        <v>12.936501642450771</v>
      </c>
      <c r="D17" s="50">
        <v>11293.650164245077</v>
      </c>
      <c r="E17" s="50">
        <v>26.017411031737048</v>
      </c>
      <c r="F17" s="50">
        <v>20012.053672132919</v>
      </c>
      <c r="G17" s="50">
        <v>12.893398277148327</v>
      </c>
      <c r="H17" s="50">
        <v>18337.609960208683</v>
      </c>
      <c r="I17" s="50">
        <v>12.892401427699873</v>
      </c>
      <c r="J17" s="50">
        <v>35365.411812067206</v>
      </c>
    </row>
    <row r="18" spans="2:10">
      <c r="B18" s="49" t="s">
        <v>154</v>
      </c>
      <c r="C18" s="51">
        <v>114.8</v>
      </c>
      <c r="D18" s="52"/>
      <c r="E18" s="51">
        <v>70.459999999999994</v>
      </c>
      <c r="F18" s="52"/>
      <c r="G18" s="51">
        <v>80.02</v>
      </c>
      <c r="H18" s="52"/>
      <c r="I18" s="51">
        <v>38.69</v>
      </c>
      <c r="J18" s="52"/>
    </row>
    <row r="20" spans="2:10">
      <c r="B20" t="s">
        <v>155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TTS-Risk-O-Meter &amp; Portfolio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2023-06-02T17:10:32Z</dcterms:created>
  <dcterms:modified xsi:type="dcterms:W3CDTF">2023-06-07T10:50:14Z</dcterms:modified>
</cp:coreProperties>
</file>