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8A7F44FA-5A73-42EA-8AB1-E2F0DB69BB4A}" xr6:coauthVersionLast="47" xr6:coauthVersionMax="47" xr10:uidLastSave="{00000000-0000-0000-0000-000000000000}"/>
  <bookViews>
    <workbookView xWindow="-120" yWindow="-120" windowWidth="20730" windowHeight="11160" xr2:uid="{5CC6C750-2B7B-4F4C-AF62-9A62E73D2786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TBF!$C$2:$C$45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TBF!$B$10:$B$89</definedName>
    <definedName name="XDO_?NPTF?">TBF!$D$2:$D$45</definedName>
    <definedName name="XDO_?RATING?">TBF!$E$10:$E$89</definedName>
    <definedName name="XDO_?REMARKS?">TBF!$J$10:$J$89</definedName>
    <definedName name="XDO_?TDATE?">TBF!$D$4</definedName>
    <definedName name="XDO_?TITL?">TBF!$A$8:$A$45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<sst xmlns="http://schemas.openxmlformats.org/spreadsheetml/2006/main" count="258" uniqueCount="187">
  <si>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</si>
  <si>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</si>
  <si>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</si>
  <si>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</si>
  <si>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</si>
  <si>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</si>
  <si>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</si>
  <si>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</si>
  <si>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</si>
  <si>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</si>
  <si>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</si>
  <si>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</si>
  <si>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</si>
  <si>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</si>
  <si>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</si>
  <si>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</si>
  <si>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</si>
  <si>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</si>
  <si>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</si>
  <si>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100010</t>
  </si>
  <si>
    <t>State Bank of India</t>
  </si>
  <si>
    <t>INE062A01020</t>
  </si>
  <si>
    <t>100097</t>
  </si>
  <si>
    <t>Coal India Ltd.</t>
  </si>
  <si>
    <t>INE522F01014</t>
  </si>
  <si>
    <t>Consumable Fuels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</si>
  <si>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</si>
  <si>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</si>
  <si>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</si>
  <si>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</si>
  <si>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</si>
  <si>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</si>
  <si>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</si>
  <si>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</si>
  <si>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</si>
  <si>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</si>
  <si>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</si>
  <si>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100012</t>
  </si>
  <si>
    <t>ICICI Bank Ltd.</t>
  </si>
  <si>
    <t>INE090A01021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</si>
  <si>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</si>
  <si>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</si>
  <si>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</si>
  <si>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</si>
  <si>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</si>
  <si>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</si>
  <si>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</si>
  <si>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101178</t>
  </si>
  <si>
    <t>Computer Age Management Services Ltd.</t>
  </si>
  <si>
    <t>INE596I01012</t>
  </si>
  <si>
    <t>Capital Markets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</si>
  <si>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</si>
  <si>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</si>
  <si>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</si>
  <si>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</si>
  <si>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</si>
  <si>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</si>
  <si>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</si>
  <si>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100104</t>
  </si>
  <si>
    <t>Kotak Mahindra Bank Ltd.</t>
  </si>
  <si>
    <t>INE237A01028</t>
  </si>
  <si>
    <t>100181</t>
  </si>
  <si>
    <t>NTPC Ltd.</t>
  </si>
  <si>
    <t>INE733E01010</t>
  </si>
  <si>
    <t>Power</t>
  </si>
  <si>
    <t>100002</t>
  </si>
  <si>
    <t>Reliance Industries Ltd.</t>
  </si>
  <si>
    <t>INE002A01018</t>
  </si>
  <si>
    <t>Petroleum Products</t>
  </si>
  <si>
    <t>100153</t>
  </si>
  <si>
    <t>Cipla Ltd.</t>
  </si>
  <si>
    <t>INE059A01026</t>
  </si>
  <si>
    <t>Pharmaceuticals &amp; Biotechnology</t>
  </si>
  <si>
    <t>100830</t>
  </si>
  <si>
    <t>Varun Beverages Ltd.</t>
  </si>
  <si>
    <t>INE200M01021</t>
  </si>
  <si>
    <t>Beverages</t>
  </si>
  <si>
    <t>100219</t>
  </si>
  <si>
    <t>Indraprastha Gas Ltd.</t>
  </si>
  <si>
    <t>INE203G01027</t>
  </si>
  <si>
    <t>Gas</t>
  </si>
  <si>
    <t>100008</t>
  </si>
  <si>
    <t>Sun Pharmaceutical Industries Ltd.</t>
  </si>
  <si>
    <t>INE044A01036</t>
  </si>
  <si>
    <t>100182</t>
  </si>
  <si>
    <t>Power Grid Corporation of India Ltd.</t>
  </si>
  <si>
    <t>INE752E01010</t>
  </si>
  <si>
    <t>100132</t>
  </si>
  <si>
    <t>Info Edge (India) Ltd.</t>
  </si>
  <si>
    <t>INE663F01024</t>
  </si>
  <si>
    <t>Retailing</t>
  </si>
  <si>
    <t>100080</t>
  </si>
  <si>
    <t>Dr. Reddy's Laboratories Ltd.</t>
  </si>
  <si>
    <t>INE089A01023</t>
  </si>
  <si>
    <t>100302</t>
  </si>
  <si>
    <t>DLF Ltd.</t>
  </si>
  <si>
    <t>INE271C01023</t>
  </si>
  <si>
    <t>Realty</t>
  </si>
  <si>
    <t>100150</t>
  </si>
  <si>
    <t>Apollo Hospitals Enterprise Ltd.</t>
  </si>
  <si>
    <t>INE437A01024</t>
  </si>
  <si>
    <t>Healthcare Services</t>
  </si>
  <si>
    <t>100292</t>
  </si>
  <si>
    <t>Steel Authority of India Ltd.</t>
  </si>
  <si>
    <t>INE114A01011</t>
  </si>
  <si>
    <t>Ferrous Metals</t>
  </si>
  <si>
    <t>100119</t>
  </si>
  <si>
    <t>Tata Motors Ltd.</t>
  </si>
  <si>
    <t>INE155A01022</t>
  </si>
  <si>
    <t>100263</t>
  </si>
  <si>
    <t>BEML Ltd.</t>
  </si>
  <si>
    <t>INE258A01016</t>
  </si>
  <si>
    <t>Agricultural, Commercial &amp; Construction Vehicles</t>
  </si>
  <si>
    <t>100147</t>
  </si>
  <si>
    <t>Tech Mahindra Ltd.</t>
  </si>
  <si>
    <t>INE669C01036</t>
  </si>
  <si>
    <t>101434</t>
  </si>
  <si>
    <t>CMS Info Systems Ltd.</t>
  </si>
  <si>
    <t>INE925R01014</t>
  </si>
  <si>
    <t>Commercial Services &amp; Supplies</t>
  </si>
  <si>
    <t>100184</t>
  </si>
  <si>
    <t>Tata Steel Ltd.</t>
  </si>
  <si>
    <t>INE081A01020</t>
  </si>
  <si>
    <t>100682</t>
  </si>
  <si>
    <t>ICICI Lombard General Insurance Company Ltd.</t>
  </si>
  <si>
    <t>INE765G01017</t>
  </si>
  <si>
    <t>Insurance</t>
  </si>
  <si>
    <t>100081</t>
  </si>
  <si>
    <t>Titan Company Ltd.</t>
  </si>
  <si>
    <t>INE280A01028</t>
  </si>
  <si>
    <t>Consumer Durables</t>
  </si>
  <si>
    <t>100128</t>
  </si>
  <si>
    <t>Eicher Motors Ltd.</t>
  </si>
  <si>
    <t>INE066A01021</t>
  </si>
  <si>
    <t>100100</t>
  </si>
  <si>
    <t>Hindustan Petroleum Corporation Ltd.</t>
  </si>
  <si>
    <t>INE094A01015</t>
  </si>
  <si>
    <t>101949</t>
  </si>
  <si>
    <t>Samhi Hotels Ltd.</t>
  </si>
  <si>
    <t>INE08U801020</t>
  </si>
  <si>
    <t>Leisure Services</t>
  </si>
  <si>
    <t>100280</t>
  </si>
  <si>
    <t>TVS Motor Company Ltd.</t>
  </si>
  <si>
    <t>INE494B01023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</si>
  <si>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</si>
  <si>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</si>
  <si>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</si>
  <si>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</si>
  <si>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</si>
  <si>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</si>
  <si>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</si>
  <si>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</si>
  <si>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</si>
  <si>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</si>
  <si>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</si>
  <si>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</si>
  <si>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</si>
  <si>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</si>
  <si>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</si>
  <si>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</si>
  <si>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</si>
  <si>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</si>
  <si>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</si>
  <si>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</si>
  <si>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</si>
  <si>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</si>
  <si>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</si>
  <si>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</si>
  <si>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</si>
  <si>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</si>
  <si>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</si>
  <si>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</si>
  <si>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</si>
  <si>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</si>
  <si>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</si>
  <si>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</si>
  <si>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</si>
  <si>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</si>
  <si>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</si>
  <si>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</si>
  <si>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</si>
  <si>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</si>
  <si>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</si>
  <si>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</si>
  <si>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April 30, 2024 : 145.28)</t>
  </si>
  <si>
    <t>Taurus Large cap Fund - Direct Plan Growth Option</t>
  </si>
  <si>
    <t>NAV [Rs.] Per Unit (as on April 30, 2024 : 153.42)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</si>
</sst>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81F4D7A-2A73-413F-A9D4-3CF5985DE3A8}"/>
    <cellStyle name="Hyperlink" xfId="2" builtinId="8"/>
    <cellStyle name="Normal" xfId="0" builtinId="0"/>
    <cellStyle name="Normal 2" xfId="4" xr:uid="{FEBFB209-6166-46D0-8250-60D10D8870F6}"/>
    <cellStyle name="Style 1" xfId="3" xr:uid="{03E9B8F1-0A3A-4FF7-9B2E-8B85D179A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21167</xdr:rowOff>
    </xdr:from>
    <xdr:to>
      <xdr:col>5</xdr:col>
      <xdr:colOff>776343</xdr:colOff>
      <xdr:row>0</xdr:row>
      <xdr:rowOff>2181437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1F7E9-2818-4E47-9EA6-451A935A5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167"/>
          <a:ext cx="7528510" cy="21602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CEBD-1BF0-4DA5-9C94-F61EB0121F91}">
  <sheetPr codeName="Sheet1"/>
  <dimension ref="A1:BB9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8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23999</v>
      </c>
      <c r="H10" s="32">
        <v>364.08</v>
      </c>
      <c r="I10" s="32">
        <v>7.89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34404</v>
      </c>
      <c r="H11" s="32">
        <v>284.07</v>
      </c>
      <c r="I11" s="32">
        <v>6.16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57649</v>
      </c>
      <c r="H12" s="32">
        <v>261.89999999999998</v>
      </c>
      <c r="I12" s="32">
        <v>5.68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54880</v>
      </c>
      <c r="H13" s="32">
        <v>239.06</v>
      </c>
      <c r="I13" s="32">
        <v>5.18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17307</v>
      </c>
      <c r="H14" s="32">
        <v>236.68</v>
      </c>
      <c r="I14" s="32">
        <v>5.13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19761</v>
      </c>
      <c r="H15" s="32">
        <v>230.44</v>
      </c>
      <c r="I15" s="32">
        <v>5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19245</v>
      </c>
      <c r="H16" s="32">
        <v>221.71</v>
      </c>
      <c r="I16" s="32">
        <v>4.8099999999999996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1553</v>
      </c>
      <c r="H17" s="32">
        <v>198.88</v>
      </c>
      <c r="I17" s="32">
        <v>4.3099999999999996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43</v>
      </c>
      <c r="G18" s="31">
        <v>8410</v>
      </c>
      <c r="H18" s="32">
        <v>181.34</v>
      </c>
      <c r="I18" s="32">
        <v>3.93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3807</v>
      </c>
      <c r="H19" s="32">
        <v>121.99</v>
      </c>
      <c r="I19" s="32">
        <v>2.64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3299</v>
      </c>
      <c r="H20" s="32">
        <v>118.57</v>
      </c>
      <c r="I20" s="32">
        <v>2.57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33</v>
      </c>
      <c r="G21" s="31">
        <v>8147</v>
      </c>
      <c r="H21" s="32">
        <v>115.78</v>
      </c>
      <c r="I21" s="32">
        <v>2.5099999999999998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18</v>
      </c>
      <c r="G22" s="31">
        <v>7067</v>
      </c>
      <c r="H22" s="32">
        <v>114.75</v>
      </c>
      <c r="I22" s="32">
        <v>2.4900000000000002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31179</v>
      </c>
      <c r="H23" s="32">
        <v>113.21</v>
      </c>
      <c r="I23" s="32">
        <v>2.4500000000000002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3795</v>
      </c>
      <c r="H24" s="32">
        <v>111.24</v>
      </c>
      <c r="I24" s="32">
        <v>2.41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7725</v>
      </c>
      <c r="H25" s="32">
        <v>108.24</v>
      </c>
      <c r="I25" s="32">
        <v>2.35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7139</v>
      </c>
      <c r="H26" s="32">
        <v>105.59</v>
      </c>
      <c r="I26" s="32">
        <v>2.29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22275</v>
      </c>
      <c r="H27" s="32">
        <v>104.56</v>
      </c>
      <c r="I27" s="32">
        <v>2.27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72</v>
      </c>
      <c r="G28" s="31">
        <v>6749</v>
      </c>
      <c r="H28" s="32">
        <v>101.39</v>
      </c>
      <c r="I28" s="32">
        <v>2.2000000000000002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64</v>
      </c>
      <c r="G29" s="31">
        <v>33010</v>
      </c>
      <c r="H29" s="32">
        <v>99.57</v>
      </c>
      <c r="I29" s="32">
        <v>2.16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1626</v>
      </c>
      <c r="H30" s="32">
        <v>98.42</v>
      </c>
      <c r="I30" s="32">
        <v>2.13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72</v>
      </c>
      <c r="G31" s="31">
        <v>1505</v>
      </c>
      <c r="H31" s="32">
        <v>93.39</v>
      </c>
      <c r="I31" s="32">
        <v>2.02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10345</v>
      </c>
      <c r="H32" s="32">
        <v>92.28</v>
      </c>
      <c r="I32" s="32">
        <v>2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1517</v>
      </c>
      <c r="H33" s="32">
        <v>90.2</v>
      </c>
      <c r="I33" s="32">
        <v>1.96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53727</v>
      </c>
      <c r="H34" s="32">
        <v>88.25</v>
      </c>
      <c r="I34" s="32">
        <v>1.91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43</v>
      </c>
      <c r="G35" s="31">
        <v>8674</v>
      </c>
      <c r="H35" s="32">
        <v>87.42</v>
      </c>
      <c r="I35" s="32">
        <v>1.9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2469</v>
      </c>
      <c r="H36" s="32">
        <v>86.56</v>
      </c>
      <c r="I36" s="32">
        <v>1.88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33</v>
      </c>
      <c r="G37" s="31">
        <v>5523</v>
      </c>
      <c r="H37" s="32">
        <v>69.7</v>
      </c>
      <c r="I37" s="32">
        <v>1.51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14716</v>
      </c>
      <c r="H38" s="32">
        <v>61.21</v>
      </c>
      <c r="I38" s="32">
        <v>1.33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105</v>
      </c>
      <c r="G39" s="31">
        <v>32171</v>
      </c>
      <c r="H39" s="32">
        <v>53.07</v>
      </c>
      <c r="I39" s="32">
        <v>1.1499999999999999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2945</v>
      </c>
      <c r="H40" s="32">
        <v>50.36</v>
      </c>
      <c r="I40" s="32">
        <v>1.0900000000000001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1393</v>
      </c>
      <c r="H41" s="32">
        <v>50</v>
      </c>
      <c r="I41" s="32">
        <v>1.08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43</v>
      </c>
      <c r="G42" s="31">
        <v>1012</v>
      </c>
      <c r="H42" s="32">
        <v>46.51</v>
      </c>
      <c r="I42" s="32">
        <v>1.01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68</v>
      </c>
      <c r="G43" s="31">
        <v>8566</v>
      </c>
      <c r="H43" s="32">
        <v>42.42</v>
      </c>
      <c r="I43" s="32">
        <v>0.92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12700</v>
      </c>
      <c r="H44" s="32">
        <v>24.78</v>
      </c>
      <c r="I44" s="32">
        <v>0.54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43</v>
      </c>
      <c r="G45" s="31">
        <v>111</v>
      </c>
      <c r="H45" s="32">
        <v>2.29</v>
      </c>
      <c r="I45" s="32">
        <v>0.05</v>
      </c>
      <c r="J45" s="33"/>
    </row>
    <row r="46" spans="2:10" x14ac:dyDescent="0.25">
      <c r="C46" s="28" t="s">
        <v>144</v>
      </c>
      <c r="D46" s="29"/>
      <c r="E46" s="30"/>
      <c r="F46" s="30"/>
      <c r="G46" s="31"/>
      <c r="H46" s="35">
        <v>4469.91</v>
      </c>
      <c r="I46" s="35">
        <v>96.91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145</v>
      </c>
      <c r="D48" s="29"/>
      <c r="E48" s="30"/>
      <c r="F48" s="30"/>
      <c r="G48" s="31"/>
      <c r="H48" s="32" t="s">
        <v>146</v>
      </c>
      <c r="I48" s="32" t="s">
        <v>146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147</v>
      </c>
      <c r="D50" s="29"/>
      <c r="E50" s="30"/>
      <c r="F50" s="30"/>
      <c r="G50" s="31"/>
      <c r="H50" s="32" t="s">
        <v>146</v>
      </c>
      <c r="I50" s="32" t="s">
        <v>146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148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149</v>
      </c>
      <c r="D54" s="29"/>
      <c r="E54" s="30"/>
      <c r="F54" s="30"/>
      <c r="G54" s="31"/>
      <c r="H54" s="32" t="s">
        <v>146</v>
      </c>
      <c r="I54" s="32" t="s">
        <v>146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150</v>
      </c>
      <c r="D56" s="29"/>
      <c r="E56" s="30"/>
      <c r="F56" s="30"/>
      <c r="G56" s="31"/>
      <c r="H56" s="32" t="s">
        <v>146</v>
      </c>
      <c r="I56" s="32" t="s">
        <v>146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151</v>
      </c>
      <c r="D58" s="29"/>
      <c r="E58" s="30"/>
      <c r="F58" s="30"/>
      <c r="G58" s="31"/>
      <c r="H58" s="32" t="s">
        <v>146</v>
      </c>
      <c r="I58" s="32" t="s">
        <v>146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152</v>
      </c>
      <c r="D60" s="29"/>
      <c r="E60" s="30"/>
      <c r="F60" s="30"/>
      <c r="G60" s="31"/>
      <c r="H60" s="32" t="s">
        <v>146</v>
      </c>
      <c r="I60" s="32" t="s">
        <v>146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153</v>
      </c>
      <c r="D62" s="29"/>
      <c r="E62" s="30"/>
      <c r="F62" s="30"/>
      <c r="G62" s="31"/>
      <c r="H62" s="32" t="s">
        <v>146</v>
      </c>
      <c r="I62" s="32" t="s">
        <v>146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154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155</v>
      </c>
      <c r="D66" s="29"/>
      <c r="E66" s="30"/>
      <c r="F66" s="30"/>
      <c r="G66" s="31"/>
      <c r="H66" s="32" t="s">
        <v>146</v>
      </c>
      <c r="I66" s="32" t="s">
        <v>146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156</v>
      </c>
      <c r="D68" s="29"/>
      <c r="E68" s="30"/>
      <c r="F68" s="30"/>
      <c r="G68" s="31"/>
      <c r="H68" s="32" t="s">
        <v>146</v>
      </c>
      <c r="I68" s="32" t="s">
        <v>146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157</v>
      </c>
      <c r="D70" s="29"/>
      <c r="E70" s="30"/>
      <c r="F70" s="30"/>
      <c r="G70" s="31"/>
      <c r="H70" s="32" t="s">
        <v>146</v>
      </c>
      <c r="I70" s="32" t="s">
        <v>146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158</v>
      </c>
      <c r="D72" s="29"/>
      <c r="E72" s="30"/>
      <c r="F72" s="30"/>
      <c r="G72" s="31"/>
      <c r="H72" s="32" t="s">
        <v>146</v>
      </c>
      <c r="I72" s="32" t="s">
        <v>146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159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160</v>
      </c>
      <c r="D76" s="29"/>
      <c r="E76" s="30"/>
      <c r="F76" s="30"/>
      <c r="G76" s="31"/>
      <c r="H76" s="32" t="s">
        <v>146</v>
      </c>
      <c r="I76" s="32" t="s">
        <v>146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161</v>
      </c>
      <c r="D78" s="29"/>
      <c r="E78" s="30"/>
      <c r="F78" s="30"/>
      <c r="G78" s="31"/>
      <c r="H78" s="32" t="s">
        <v>146</v>
      </c>
      <c r="I78" s="32" t="s">
        <v>146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162</v>
      </c>
      <c r="D80" s="29"/>
      <c r="E80" s="30"/>
      <c r="F80" s="30"/>
      <c r="G80" s="31"/>
      <c r="H80" s="32" t="s">
        <v>146</v>
      </c>
      <c r="I80" s="32" t="s">
        <v>146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163</v>
      </c>
      <c r="D82" s="29"/>
      <c r="E82" s="30"/>
      <c r="F82" s="30"/>
      <c r="G82" s="31"/>
      <c r="H82" s="32" t="s">
        <v>146</v>
      </c>
      <c r="I82" s="32" t="s">
        <v>146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164</v>
      </c>
      <c r="D84" s="29"/>
      <c r="E84" s="30"/>
      <c r="F84" s="30"/>
      <c r="G84" s="31"/>
      <c r="H84" s="32" t="s">
        <v>146</v>
      </c>
      <c r="I84" s="32" t="s">
        <v>146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165</v>
      </c>
      <c r="D86" s="29"/>
      <c r="E86" s="30"/>
      <c r="F86" s="30"/>
      <c r="G86" s="31"/>
      <c r="H86" s="32" t="s">
        <v>146</v>
      </c>
      <c r="I86" s="32" t="s">
        <v>146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166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167</v>
      </c>
      <c r="D89" s="29"/>
      <c r="E89" s="30"/>
      <c r="F89" s="30"/>
      <c r="G89" s="31"/>
      <c r="H89" s="32">
        <v>142.38999999999999</v>
      </c>
      <c r="I89" s="32">
        <v>3.09</v>
      </c>
      <c r="J89" s="33"/>
    </row>
    <row r="90" spans="1:10" x14ac:dyDescent="0.25">
      <c r="C90" s="28" t="s">
        <v>144</v>
      </c>
      <c r="D90" s="29"/>
      <c r="E90" s="30"/>
      <c r="F90" s="30"/>
      <c r="G90" s="31"/>
      <c r="H90" s="35">
        <v>142.38999999999999</v>
      </c>
      <c r="I90" s="35">
        <v>3.09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168</v>
      </c>
      <c r="D92" s="37"/>
      <c r="E92" s="38"/>
      <c r="F92" s="39"/>
      <c r="G92" s="40"/>
      <c r="H92" s="41">
        <v>4612.3</v>
      </c>
      <c r="I92" s="41">
        <f>SUMIFS(I:I,C:C,"Total")</f>
        <v>100</v>
      </c>
      <c r="J92" s="42"/>
    </row>
    <row r="95" spans="1:10" x14ac:dyDescent="0.25">
      <c r="C95" s="11" t="s">
        <v>169</v>
      </c>
    </row>
    <row r="96" spans="1:10" x14ac:dyDescent="0.25">
      <c r="C96" s="2" t="s">
        <v>170</v>
      </c>
    </row>
    <row r="97" spans="3:3" x14ac:dyDescent="0.25">
      <c r="C97" s="2" t="s">
        <v>171</v>
      </c>
    </row>
    <row r="98" spans="3:3" x14ac:dyDescent="0.25">
      <c r="C98" s="2" t="s">
        <v>172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C376-385C-4768-8250-E01827CB943D}">
  <dimension ref="B3:J17"/>
  <sheetViews>
    <sheetView workbookViewId="0"/>
  </sheetViews>
  <sheetFormatPr defaultRowHeight="15" x14ac:dyDescent="0.25"/>
  <cols>
    <col min="2" max="2" width="60.710937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.5703125" bestFit="1" customWidth="1"/>
  </cols>
  <sheetData>
    <row r="3" spans="2:10" ht="15.75" x14ac:dyDescent="0.25">
      <c r="B3" s="43" t="s">
        <v>173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174</v>
      </c>
      <c r="C4" s="50" t="s">
        <v>175</v>
      </c>
      <c r="D4" s="50"/>
      <c r="E4" s="50" t="s">
        <v>176</v>
      </c>
      <c r="F4" s="50"/>
      <c r="G4" s="50" t="s">
        <v>177</v>
      </c>
      <c r="H4" s="50"/>
      <c r="I4" s="50" t="s">
        <v>178</v>
      </c>
      <c r="J4" s="50"/>
    </row>
    <row r="5" spans="2:10" ht="63.75" x14ac:dyDescent="0.25">
      <c r="B5" s="46"/>
      <c r="C5" s="47" t="s">
        <v>179</v>
      </c>
      <c r="D5" s="47" t="s">
        <v>180</v>
      </c>
      <c r="E5" s="47" t="s">
        <v>179</v>
      </c>
      <c r="F5" s="47" t="s">
        <v>180</v>
      </c>
      <c r="G5" s="47" t="s">
        <v>179</v>
      </c>
      <c r="H5" s="47" t="s">
        <v>180</v>
      </c>
      <c r="I5" s="47" t="s">
        <v>179</v>
      </c>
      <c r="J5" s="47" t="s">
        <v>180</v>
      </c>
    </row>
    <row r="6" spans="2:10" x14ac:dyDescent="0.25">
      <c r="B6" s="48" t="s">
        <v>181</v>
      </c>
      <c r="C6" s="49">
        <v>39.086659989718584</v>
      </c>
      <c r="D6" s="49">
        <v>13946.433714121149</v>
      </c>
      <c r="E6" s="49">
        <v>18.232929287166556</v>
      </c>
      <c r="F6" s="49">
        <v>16535.397222854539</v>
      </c>
      <c r="G6" s="49">
        <v>14.124165772054109</v>
      </c>
      <c r="H6" s="49">
        <v>19373.249766635552</v>
      </c>
      <c r="I6" s="49">
        <v>11.003247715537356</v>
      </c>
      <c r="J6" s="49">
        <v>145280</v>
      </c>
    </row>
    <row r="7" spans="2:10" x14ac:dyDescent="0.25">
      <c r="B7" s="48" t="s">
        <v>182</v>
      </c>
      <c r="C7" s="49">
        <v>31.098241649227475</v>
      </c>
      <c r="D7" s="49">
        <v>13109.824164922748</v>
      </c>
      <c r="E7" s="49">
        <v>18.537970814250681</v>
      </c>
      <c r="F7" s="49">
        <v>16656.067246077429</v>
      </c>
      <c r="G7" s="49">
        <v>16.38689725699485</v>
      </c>
      <c r="H7" s="49">
        <v>21356.026580091166</v>
      </c>
      <c r="I7" s="49">
        <v>12.519795535022894</v>
      </c>
      <c r="J7" s="49">
        <v>312840.85854949668</v>
      </c>
    </row>
    <row r="8" spans="2:10" x14ac:dyDescent="0.25">
      <c r="B8" s="48" t="s">
        <v>183</v>
      </c>
      <c r="C8" s="49">
        <v>26.269918639546354</v>
      </c>
      <c r="D8" s="49">
        <v>12626.991863954636</v>
      </c>
      <c r="E8" s="49">
        <v>16.918958875763913</v>
      </c>
      <c r="F8" s="49">
        <v>15982.871888687458</v>
      </c>
      <c r="G8" s="49">
        <v>15.298230905326005</v>
      </c>
      <c r="H8" s="49">
        <v>20375.731937849556</v>
      </c>
      <c r="I8" s="49">
        <v>12.483520548202431</v>
      </c>
      <c r="J8" s="49">
        <v>309910.30596325774</v>
      </c>
    </row>
    <row r="9" spans="2:10" x14ac:dyDescent="0.25">
      <c r="B9" s="48" t="s">
        <v>184</v>
      </c>
      <c r="C9" s="51">
        <v>104.17</v>
      </c>
      <c r="D9" s="52"/>
      <c r="E9" s="51">
        <v>87.86</v>
      </c>
      <c r="F9" s="52"/>
      <c r="G9" s="51">
        <v>74.989999999999995</v>
      </c>
      <c r="H9" s="52"/>
      <c r="I9" s="51">
        <v>10</v>
      </c>
      <c r="J9" s="52"/>
    </row>
    <row r="11" spans="2:10" ht="15.75" x14ac:dyDescent="0.25">
      <c r="B11" s="43" t="s">
        <v>185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174</v>
      </c>
      <c r="C12" s="50" t="s">
        <v>175</v>
      </c>
      <c r="D12" s="50"/>
      <c r="E12" s="50" t="s">
        <v>176</v>
      </c>
      <c r="F12" s="50"/>
      <c r="G12" s="50" t="s">
        <v>177</v>
      </c>
      <c r="H12" s="50"/>
      <c r="I12" s="50" t="s">
        <v>178</v>
      </c>
      <c r="J12" s="50"/>
    </row>
    <row r="13" spans="2:10" ht="63.75" x14ac:dyDescent="0.25">
      <c r="B13" s="46"/>
      <c r="C13" s="47" t="s">
        <v>179</v>
      </c>
      <c r="D13" s="47" t="s">
        <v>180</v>
      </c>
      <c r="E13" s="47" t="s">
        <v>179</v>
      </c>
      <c r="F13" s="47" t="s">
        <v>180</v>
      </c>
      <c r="G13" s="47" t="s">
        <v>179</v>
      </c>
      <c r="H13" s="47" t="s">
        <v>180</v>
      </c>
      <c r="I13" s="47" t="s">
        <v>179</v>
      </c>
      <c r="J13" s="47" t="s">
        <v>180</v>
      </c>
    </row>
    <row r="14" spans="2:10" x14ac:dyDescent="0.25">
      <c r="B14" s="48" t="s">
        <v>181</v>
      </c>
      <c r="C14" s="49">
        <v>39.207928447146557</v>
      </c>
      <c r="D14" s="49">
        <v>13958.693476480756</v>
      </c>
      <c r="E14" s="49">
        <v>18.336136803293932</v>
      </c>
      <c r="F14" s="49">
        <v>16578.776745191266</v>
      </c>
      <c r="G14" s="49">
        <v>14.266250672160051</v>
      </c>
      <c r="H14" s="49">
        <v>19494.282083862767</v>
      </c>
      <c r="I14" s="49">
        <v>11.536967420066757</v>
      </c>
      <c r="J14" s="49">
        <v>34460.916442048518</v>
      </c>
    </row>
    <row r="15" spans="2:10" x14ac:dyDescent="0.25">
      <c r="B15" s="48" t="s">
        <v>182</v>
      </c>
      <c r="C15" s="49">
        <v>31.098241649227475</v>
      </c>
      <c r="D15" s="49">
        <v>13109.824164922748</v>
      </c>
      <c r="E15" s="49">
        <v>18.537970814250681</v>
      </c>
      <c r="F15" s="49">
        <v>16656.067246077429</v>
      </c>
      <c r="G15" s="49">
        <v>16.38689725699485</v>
      </c>
      <c r="H15" s="49">
        <v>21356.026580091166</v>
      </c>
      <c r="I15" s="49">
        <v>14.323498969851677</v>
      </c>
      <c r="J15" s="49">
        <v>45578.802056765417</v>
      </c>
    </row>
    <row r="16" spans="2:10" x14ac:dyDescent="0.25">
      <c r="B16" s="48" t="s">
        <v>183</v>
      </c>
      <c r="C16" s="49">
        <v>26.269918639546354</v>
      </c>
      <c r="D16" s="49">
        <v>12626.991863954636</v>
      </c>
      <c r="E16" s="49">
        <v>16.918958875763913</v>
      </c>
      <c r="F16" s="49">
        <v>15982.871888687458</v>
      </c>
      <c r="G16" s="49">
        <v>15.298230905326005</v>
      </c>
      <c r="H16" s="49">
        <v>20375.731937849556</v>
      </c>
      <c r="I16" s="49">
        <v>13.78074145203534</v>
      </c>
      <c r="J16" s="49">
        <v>43186.054902042211</v>
      </c>
    </row>
    <row r="17" spans="2:10" x14ac:dyDescent="0.25">
      <c r="B17" s="48" t="s">
        <v>186</v>
      </c>
      <c r="C17" s="51">
        <v>109.91</v>
      </c>
      <c r="D17" s="52"/>
      <c r="E17" s="51">
        <v>92.54</v>
      </c>
      <c r="F17" s="52"/>
      <c r="G17" s="51">
        <v>78.7</v>
      </c>
      <c r="H17" s="52"/>
      <c r="I17" s="51">
        <v>44.52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2024-05-01T12:51:57Z</dcterms:created>
  <dcterms:modified xsi:type="dcterms:W3CDTF">2024-05-07T03:49:12Z</dcterms:modified>
</cp:coreProperties>
</file>