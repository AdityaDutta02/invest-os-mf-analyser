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ISF-Risk-O-Meter &amp; Performance" sheetId="1" r:id="rId1"/>
    <sheet name="TISF-Portfolio" sheetId="2" r:id="rId2"/>
  </sheets>
  <externalReferences>
    <externalReference r:id="rId3"/>
  </externalReferences>
  <definedNames>
    <definedName name="XDO_?CLASS_3?4?">'TISF-Risk-O-Meter &amp; Performance'!$C$8:$C$47</definedName>
    <definedName name="XDO_?FINAL_ISIN?7?">'TISF-Risk-O-Meter &amp; Performance'!$D$10:$D$47</definedName>
    <definedName name="XDO_?FINAL_ISIN?8?">'TISF-Risk-O-Meter &amp; Performance'!$D$10:$D$89</definedName>
    <definedName name="XDO_?FINAL_MV?7?">'TISF-Risk-O-Meter &amp; Performance'!$H$10:$H$47</definedName>
    <definedName name="XDO_?FINAL_MV?8?">'TISF-Risk-O-Meter &amp; Performance'!$H$10:$H$89</definedName>
    <definedName name="XDO_?FINAL_NAME?7?">'TISF-Risk-O-Meter &amp; Performance'!$C$10:$C$47</definedName>
    <definedName name="XDO_?FINAL_NAME?8?">'TISF-Risk-O-Meter &amp; Performance'!$C$10:$C$89</definedName>
    <definedName name="XDO_?FINAL_PER_NET?7?">'TISF-Risk-O-Meter &amp; Performance'!$I$10:$I$47</definedName>
    <definedName name="XDO_?FINAL_PER_NET?8?">'TISF-Risk-O-Meter &amp; Performance'!$I$10:$I$89</definedName>
    <definedName name="XDO_?FINAL_QUANTITE?7?">'TISF-Risk-O-Meter &amp; Performance'!$G$10:$G$47</definedName>
    <definedName name="XDO_?FINAL_QUANTITE?8?">'TISF-Risk-O-Meter &amp; Performance'!$G$10:$G$89</definedName>
    <definedName name="XDO_?IND_01?7?">'TISF-Risk-O-Meter &amp; Performance'!$F$10:$F$47</definedName>
    <definedName name="XDO_?IND_01?8?">'TISF-Risk-O-Meter &amp; Performance'!$F$10:$F$89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'TISF-Risk-O-Meter &amp; Performance'!#REF!</definedName>
    <definedName name="XDO_?NAMC?5?">[1]TNI!#REF!</definedName>
    <definedName name="XDO_?NAMC?6?">[1]TSS!#REF!</definedName>
    <definedName name="XDO_?NAMC?7?">[1]TTS!#REF!</definedName>
    <definedName name="XDO_?NAMCNAME?4?">'TISF-Risk-O-Meter &amp; Performance'!$C$2:$C$47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'TISF-Risk-O-Meter &amp; Performance'!#REF!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'TISF-Risk-O-Meter &amp; Performance'!#REF!</definedName>
    <definedName name="XDO_?NNPTF?5?">[1]TNI!#REF!</definedName>
    <definedName name="XDO_?NNPTF?6?">[1]TSS!#REF!</definedName>
    <definedName name="XDO_?NNPTF?7?">[1]TTS!#REF!</definedName>
    <definedName name="XDO_?NOVAL?7?">'TISF-Risk-O-Meter &amp; Performance'!$B$10:$B$47</definedName>
    <definedName name="XDO_?NOVAL?8?">'TISF-Risk-O-Meter &amp; Performance'!$B$10:$B$89</definedName>
    <definedName name="XDO_?NPTF?4?">'TISF-Risk-O-Meter &amp; Performance'!$D$2:$D$47</definedName>
    <definedName name="XDO_?RATING?7?">'TISF-Risk-O-Meter &amp; Performance'!$E$10:$E$47</definedName>
    <definedName name="XDO_?RATING?8?">'TISF-Risk-O-Meter &amp; Performance'!$E$10:$E$89</definedName>
    <definedName name="XDO_?REMARKS?7?">'TISF-Risk-O-Meter &amp; Performance'!$J$10:$J$47</definedName>
    <definedName name="XDO_?REMARKS?8?">'TISF-Risk-O-Meter &amp; Performance'!$J$10:$J$89</definedName>
    <definedName name="XDO_?TITL?4?">'TISF-Risk-O-Meter &amp; Performance'!$A$8:$A$47</definedName>
    <definedName name="XDO_GROUP_?G_2?4?">'TISF-Risk-O-Meter &amp; Performance'!$2:$92</definedName>
    <definedName name="XDO_GROUP_?G_3?4?">'TISF-Risk-O-Meter &amp; Performance'!$8:$91</definedName>
    <definedName name="XDO_GROUP_?G_4?7?">'TISF-Risk-O-Meter &amp; Performance'!$B$10:$IV$47</definedName>
    <definedName name="XDO_GROUP_?G_4?8?">'TISF-Risk-O-Meter &amp; Performance'!$B$89:$IV$89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92" i="1"/>
</calcChain>
</file>

<file path=xl/sharedStrings.xml><?xml version="1.0" encoding="utf-8"?>
<sst xmlns="http://schemas.openxmlformats.org/spreadsheetml/2006/main" count="263" uniqueCount="191">
  <si>
    <t>TAURUS MUTUAL FUND</t>
  </si>
  <si>
    <t>TISF</t>
  </si>
  <si>
    <t>SCHEME NAME :</t>
  </si>
  <si>
    <t>Taurus Infrastructure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</si>
  <si>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</si>
  <si>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</si>
  <si>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</si>
  <si>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</si>
  <si>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</si>
  <si>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</si>
  <si>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</si>
  <si>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</si>
  <si>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</si>
  <si>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</si>
  <si>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</si>
  <si>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</si>
  <si>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</si>
  <si>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</si>
  <si>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</si>
  <si>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</si>
  <si>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</si>
  <si>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</si>
  <si>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 Project</t>
  </si>
  <si>
    <t>100082</t>
  </si>
  <si>
    <t>Ultratech Cement Ltd.</t>
  </si>
  <si>
    <t>INE481G01011</t>
  </si>
  <si>
    <t>Cement &amp; Cement Products</t>
  </si>
  <si>
    <t>100108</t>
  </si>
  <si>
    <t>Adani Ports and Special Economic Zone Ltd.</t>
  </si>
  <si>
    <t>INE742F01042</t>
  </si>
  <si>
    <t>Transportation</t>
  </si>
  <si>
    <t>100161</t>
  </si>
  <si>
    <t>Cummins India Ltd.</t>
  </si>
  <si>
    <t>INE298A01020</t>
  </si>
  <si>
    <t>Industrial Products</t>
  </si>
  <si>
    <t>100302</t>
  </si>
  <si>
    <t>DLF Ltd.</t>
  </si>
  <si>
    <t>INE271C01023</t>
  </si>
  <si>
    <t>Construction</t>
  </si>
  <si>
    <t>100035</t>
  </si>
  <si>
    <t>NMDC Ltd.</t>
  </si>
  <si>
    <t>INE584A01023</t>
  </si>
  <si>
    <t>Minerals/Mining</t>
  </si>
  <si>
    <t>100095</t>
  </si>
  <si>
    <t>Bharti Airtel Ltd.</t>
  </si>
  <si>
    <t>INE397D01024</t>
  </si>
  <si>
    <t>Telecom - Services</t>
  </si>
  <si>
    <t>100816</t>
  </si>
  <si>
    <t>APL Apollo Tubes Ltd.</t>
  </si>
  <si>
    <t>INE702C01027</t>
  </si>
  <si>
    <t>Ferrous Metals</t>
  </si>
  <si>
    <t>100571</t>
  </si>
  <si>
    <t>KNR Constructions Ltd.</t>
  </si>
  <si>
    <t>INE634I01029</t>
  </si>
  <si>
    <t>100654</t>
  </si>
  <si>
    <t>Automotive Axles Ltd.</t>
  </si>
  <si>
    <t>INE449A01011</t>
  </si>
  <si>
    <t>Auto Ancillaries</t>
  </si>
  <si>
    <t>100183</t>
  </si>
  <si>
    <t>Vedanta Ltd.</t>
  </si>
  <si>
    <t>INE205A01025</t>
  </si>
  <si>
    <t>Non - Ferrous Metals</t>
  </si>
  <si>
    <t>100143</t>
  </si>
  <si>
    <t>Thermax Ltd.</t>
  </si>
  <si>
    <t>INE152A01029</t>
  </si>
  <si>
    <t>Industrial Capital Goods</t>
  </si>
  <si>
    <t>101415</t>
  </si>
  <si>
    <t>HINDUSTAN OIL EXPLORATION CO.LTD.</t>
  </si>
  <si>
    <t>INE345A01011</t>
  </si>
  <si>
    <t>Oil</t>
  </si>
  <si>
    <t>100315</t>
  </si>
  <si>
    <t>Prestige Estates Projects Ltd.</t>
  </si>
  <si>
    <t>INE811K01011</t>
  </si>
  <si>
    <t>100182</t>
  </si>
  <si>
    <t>Power Grid Corporation of India Ltd.</t>
  </si>
  <si>
    <t>INE752E01010</t>
  </si>
  <si>
    <t>Power</t>
  </si>
  <si>
    <t>100374</t>
  </si>
  <si>
    <t>CESC Ltd.</t>
  </si>
  <si>
    <t>INE486A01021</t>
  </si>
  <si>
    <t>100115</t>
  </si>
  <si>
    <t>Siemens Ltd.</t>
  </si>
  <si>
    <t>INE003A01024</t>
  </si>
  <si>
    <t>100553</t>
  </si>
  <si>
    <t>Kennametal India Ltd.</t>
  </si>
  <si>
    <t>INE717A01029</t>
  </si>
  <si>
    <t>101412</t>
  </si>
  <si>
    <t>Punjab Chemicals &amp; Crop Protection Ltd.</t>
  </si>
  <si>
    <t>INE277B01014</t>
  </si>
  <si>
    <t>Pesticides</t>
  </si>
  <si>
    <t>100282</t>
  </si>
  <si>
    <t>Blue Star Ltd.</t>
  </si>
  <si>
    <t>INE472A01039</t>
  </si>
  <si>
    <t>Consumer Durables</t>
  </si>
  <si>
    <t>100406</t>
  </si>
  <si>
    <t>KSB Ltd.</t>
  </si>
  <si>
    <t>INE999A01015</t>
  </si>
  <si>
    <t>100446</t>
  </si>
  <si>
    <t>V.S.T Tillers Tractors Ltd.</t>
  </si>
  <si>
    <t>INE764D01017</t>
  </si>
  <si>
    <t>Auto</t>
  </si>
  <si>
    <t>100423</t>
  </si>
  <si>
    <t>Maharashtra Seamless Ltd.</t>
  </si>
  <si>
    <t>INE271B01025</t>
  </si>
  <si>
    <t>101348</t>
  </si>
  <si>
    <t>Ami Organics Ltd.</t>
  </si>
  <si>
    <t>INE00FF01017</t>
  </si>
  <si>
    <t>Pharmaceuticals</t>
  </si>
  <si>
    <t>100281</t>
  </si>
  <si>
    <t>Century Textiles &amp; Industries Ltd.</t>
  </si>
  <si>
    <t>INE055A01016</t>
  </si>
  <si>
    <t>Paper</t>
  </si>
  <si>
    <t>100378</t>
  </si>
  <si>
    <t>Jindal Steel &amp; Power Ltd.</t>
  </si>
  <si>
    <t>INE749A01030</t>
  </si>
  <si>
    <t>100001</t>
  </si>
  <si>
    <t>Housing Development Finance Corporation Ltd.</t>
  </si>
  <si>
    <t>INE001A01036</t>
  </si>
  <si>
    <t>Finance</t>
  </si>
  <si>
    <t>100399</t>
  </si>
  <si>
    <t>Cholamandalam Investment &amp; Finance Co. Ltd.</t>
  </si>
  <si>
    <t>INE121A01024</t>
  </si>
  <si>
    <t>100461</t>
  </si>
  <si>
    <t>Astral Limited</t>
  </si>
  <si>
    <t>INE006I01046</t>
  </si>
  <si>
    <t>100218</t>
  </si>
  <si>
    <t>Godrej Properties Ltd.</t>
  </si>
  <si>
    <t>INE484J01027</t>
  </si>
  <si>
    <t>101152</t>
  </si>
  <si>
    <t>Sumitomo Chemical India Ltd.</t>
  </si>
  <si>
    <t>INE258G01013</t>
  </si>
  <si>
    <t>100232</t>
  </si>
  <si>
    <t>Bharat Bijlee Ltd.</t>
  </si>
  <si>
    <t>INE464A01028</t>
  </si>
  <si>
    <t>100665</t>
  </si>
  <si>
    <t>Aditya Birla Capital Ltd.</t>
  </si>
  <si>
    <t>INE674K01013</t>
  </si>
  <si>
    <t>100271</t>
  </si>
  <si>
    <t>Balkrishna Industries Ltd.</t>
  </si>
  <si>
    <t>INE787D01026</t>
  </si>
  <si>
    <t>100090</t>
  </si>
  <si>
    <t>Bharat Forge Ltd.</t>
  </si>
  <si>
    <t>INE465A01025</t>
  </si>
  <si>
    <t>100843</t>
  </si>
  <si>
    <t>Dalmia Bharat Ltd.</t>
  </si>
  <si>
    <t>INE00R701025</t>
  </si>
  <si>
    <t>100372</t>
  </si>
  <si>
    <t>Apollo Tyres Ltd.</t>
  </si>
  <si>
    <t>INE438A01022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</si>
  <si>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</si>
  <si>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</si>
  <si>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</si>
  <si>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</si>
  <si>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</si>
  <si>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</si>
  <si>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</si>
  <si>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</si>
  <si>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</si>
  <si>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</si>
  <si>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</si>
  <si>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</si>
  <si>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</si>
  <si>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</si>
  <si>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</si>
  <si>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</si>
  <si>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</si>
  <si>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</si>
  <si>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</si>
  <si>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</si>
  <si>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</si>
  <si>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</si>
  <si>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</si>
  <si>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</si>
  <si>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</si>
  <si>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</si>
  <si>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</si>
  <si>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</si>
  <si>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Infrastructure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</si>
  <si>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</si>
  <si>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</si>
  <si>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</si>
  <si>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</si>
  <si>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</si>
  <si>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</si>
  <si>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</si>
  <si>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</si>
  <si>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Infrastructure Index TRI (Benchmark)</t>
  </si>
  <si>
    <t>Nifty 50 TRI (Additional Benchmark)</t>
  </si>
  <si>
    <t>NAV [Rs.] Per Unit (as on March 31, 2022 : 39.56)</t>
  </si>
  <si>
    <t>Taurus Infrastructure Fund - Direct Plan Growth Option</t>
  </si>
  <si>
    <t>NAV [Rs.] Per Unit (as on March 31, 2022 : 41.83)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</si>
</sst>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2423160</xdr:rowOff>
    </xdr:from>
    <xdr:to>
      <xdr:col>5</xdr:col>
      <xdr:colOff>89747</xdr:colOff>
      <xdr:row>0</xdr:row>
      <xdr:rowOff>4757928</xdr:rowOff>
    </xdr:to>
    <xdr:pic>
      <xdr:nvPicPr>
        <xdr:cNvPr id="2" name="Picture 1" descr="for half yearly - Taurus Infra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2423160"/>
          <a:ext cx="7040880" cy="23347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2167128</xdr:rowOff>
    </xdr:to>
    <xdr:pic>
      <xdr:nvPicPr>
        <xdr:cNvPr id="3" name="Picture 2" descr="Taurus Infrastrucre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March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98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81.6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44651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1897</v>
      </c>
      <c r="H10" s="32">
        <v>49.97</v>
      </c>
      <c r="I10" s="32">
        <v>9.33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2421</v>
      </c>
      <c r="H11" s="32">
        <v>42.79</v>
      </c>
      <c r="I11" s="32">
        <v>7.99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474</v>
      </c>
      <c r="H12" s="32">
        <v>31.29</v>
      </c>
      <c r="I12" s="32">
        <v>5.84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3302</v>
      </c>
      <c r="H13" s="32">
        <v>25.56</v>
      </c>
      <c r="I13" s="32">
        <v>4.7699999999999996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2041</v>
      </c>
      <c r="H14" s="32">
        <v>22.94</v>
      </c>
      <c r="I14" s="32">
        <v>4.28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5372</v>
      </c>
      <c r="H15" s="32">
        <v>20.440000000000001</v>
      </c>
      <c r="I15" s="32">
        <v>3.82</v>
      </c>
      <c r="J15" s="33"/>
    </row>
    <row r="16" spans="1:54">
      <c r="B16" s="1" t="s">
        <v>39</v>
      </c>
      <c r="C16" s="20" t="s">
        <v>40</v>
      </c>
      <c r="D16" s="29" t="s">
        <v>41</v>
      </c>
      <c r="E16" s="30"/>
      <c r="F16" s="30" t="s">
        <v>42</v>
      </c>
      <c r="G16" s="31">
        <v>11249</v>
      </c>
      <c r="H16" s="32">
        <v>18.28</v>
      </c>
      <c r="I16" s="32">
        <v>3.41</v>
      </c>
      <c r="J16" s="33"/>
    </row>
    <row r="17" spans="2:10">
      <c r="B17" s="1" t="s">
        <v>43</v>
      </c>
      <c r="C17" s="20" t="s">
        <v>44</v>
      </c>
      <c r="D17" s="29" t="s">
        <v>45</v>
      </c>
      <c r="E17" s="30"/>
      <c r="F17" s="30" t="s">
        <v>46</v>
      </c>
      <c r="G17" s="31">
        <v>2352</v>
      </c>
      <c r="H17" s="32">
        <v>17.77</v>
      </c>
      <c r="I17" s="32">
        <v>3.32</v>
      </c>
      <c r="J17" s="33"/>
    </row>
    <row r="18" spans="2:10">
      <c r="B18" s="1" t="s">
        <v>47</v>
      </c>
      <c r="C18" s="20" t="s">
        <v>48</v>
      </c>
      <c r="D18" s="29" t="s">
        <v>49</v>
      </c>
      <c r="E18" s="30"/>
      <c r="F18" s="30" t="s">
        <v>50</v>
      </c>
      <c r="G18" s="31">
        <v>1921</v>
      </c>
      <c r="H18" s="32">
        <v>17.559999999999999</v>
      </c>
      <c r="I18" s="32">
        <v>3.28</v>
      </c>
      <c r="J18" s="33"/>
    </row>
    <row r="19" spans="2:10">
      <c r="B19" s="1" t="s">
        <v>51</v>
      </c>
      <c r="C19" s="20" t="s">
        <v>52</v>
      </c>
      <c r="D19" s="29" t="s">
        <v>53</v>
      </c>
      <c r="E19" s="30"/>
      <c r="F19" s="30" t="s">
        <v>38</v>
      </c>
      <c r="G19" s="31">
        <v>5897</v>
      </c>
      <c r="H19" s="32">
        <v>16.760000000000002</v>
      </c>
      <c r="I19" s="32">
        <v>3.13</v>
      </c>
      <c r="J19" s="33"/>
    </row>
    <row r="20" spans="2:10">
      <c r="B20" s="1" t="s">
        <v>54</v>
      </c>
      <c r="C20" s="20" t="s">
        <v>55</v>
      </c>
      <c r="D20" s="29" t="s">
        <v>56</v>
      </c>
      <c r="E20" s="30"/>
      <c r="F20" s="30" t="s">
        <v>57</v>
      </c>
      <c r="G20" s="31">
        <v>968</v>
      </c>
      <c r="H20" s="32">
        <v>16.649999999999999</v>
      </c>
      <c r="I20" s="32">
        <v>3.11</v>
      </c>
      <c r="J20" s="33"/>
    </row>
    <row r="21" spans="2:10">
      <c r="B21" s="1" t="s">
        <v>58</v>
      </c>
      <c r="C21" s="20" t="s">
        <v>59</v>
      </c>
      <c r="D21" s="29" t="s">
        <v>60</v>
      </c>
      <c r="E21" s="30"/>
      <c r="F21" s="30" t="s">
        <v>61</v>
      </c>
      <c r="G21" s="31">
        <v>3841</v>
      </c>
      <c r="H21" s="32">
        <v>15.5</v>
      </c>
      <c r="I21" s="32">
        <v>2.89</v>
      </c>
      <c r="J21" s="33"/>
    </row>
    <row r="22" spans="2:10">
      <c r="B22" s="1" t="s">
        <v>62</v>
      </c>
      <c r="C22" s="20" t="s">
        <v>63</v>
      </c>
      <c r="D22" s="29" t="s">
        <v>64</v>
      </c>
      <c r="E22" s="30"/>
      <c r="F22" s="30" t="s">
        <v>65</v>
      </c>
      <c r="G22" s="31">
        <v>730</v>
      </c>
      <c r="H22" s="32">
        <v>14.18</v>
      </c>
      <c r="I22" s="32">
        <v>2.65</v>
      </c>
      <c r="J22" s="33"/>
    </row>
    <row r="23" spans="2:10">
      <c r="B23" s="1" t="s">
        <v>66</v>
      </c>
      <c r="C23" s="20" t="s">
        <v>67</v>
      </c>
      <c r="D23" s="29" t="s">
        <v>68</v>
      </c>
      <c r="E23" s="30"/>
      <c r="F23" s="30" t="s">
        <v>69</v>
      </c>
      <c r="G23" s="31">
        <v>6349</v>
      </c>
      <c r="H23" s="32">
        <v>13.96</v>
      </c>
      <c r="I23" s="32">
        <v>2.61</v>
      </c>
      <c r="J23" s="33"/>
    </row>
    <row r="24" spans="2:10">
      <c r="B24" s="1" t="s">
        <v>70</v>
      </c>
      <c r="C24" s="20" t="s">
        <v>71</v>
      </c>
      <c r="D24" s="29" t="s">
        <v>72</v>
      </c>
      <c r="E24" s="30"/>
      <c r="F24" s="30" t="s">
        <v>38</v>
      </c>
      <c r="G24" s="31">
        <v>2732</v>
      </c>
      <c r="H24" s="32">
        <v>13.49</v>
      </c>
      <c r="I24" s="32">
        <v>2.52</v>
      </c>
      <c r="J24" s="33"/>
    </row>
    <row r="25" spans="2:10">
      <c r="B25" s="1" t="s">
        <v>73</v>
      </c>
      <c r="C25" s="20" t="s">
        <v>74</v>
      </c>
      <c r="D25" s="29" t="s">
        <v>75</v>
      </c>
      <c r="E25" s="30"/>
      <c r="F25" s="30" t="s">
        <v>76</v>
      </c>
      <c r="G25" s="31">
        <v>6123</v>
      </c>
      <c r="H25" s="32">
        <v>13.28</v>
      </c>
      <c r="I25" s="32">
        <v>2.48</v>
      </c>
      <c r="J25" s="33"/>
    </row>
    <row r="26" spans="2:10">
      <c r="B26" s="1" t="s">
        <v>77</v>
      </c>
      <c r="C26" s="20" t="s">
        <v>78</v>
      </c>
      <c r="D26" s="29" t="s">
        <v>79</v>
      </c>
      <c r="E26" s="30"/>
      <c r="F26" s="30" t="s">
        <v>76</v>
      </c>
      <c r="G26" s="31">
        <v>15886</v>
      </c>
      <c r="H26" s="32">
        <v>12.06</v>
      </c>
      <c r="I26" s="32">
        <v>2.25</v>
      </c>
      <c r="J26" s="33"/>
    </row>
    <row r="27" spans="2:10">
      <c r="B27" s="1" t="s">
        <v>80</v>
      </c>
      <c r="C27" s="20" t="s">
        <v>81</v>
      </c>
      <c r="D27" s="29" t="s">
        <v>82</v>
      </c>
      <c r="E27" s="30"/>
      <c r="F27" s="30" t="s">
        <v>65</v>
      </c>
      <c r="G27" s="31">
        <v>500</v>
      </c>
      <c r="H27" s="32">
        <v>11.84</v>
      </c>
      <c r="I27" s="32">
        <v>2.21</v>
      </c>
      <c r="J27" s="33"/>
    </row>
    <row r="28" spans="2:10">
      <c r="B28" s="1" t="s">
        <v>83</v>
      </c>
      <c r="C28" s="20" t="s">
        <v>84</v>
      </c>
      <c r="D28" s="29" t="s">
        <v>85</v>
      </c>
      <c r="E28" s="30"/>
      <c r="F28" s="30" t="s">
        <v>65</v>
      </c>
      <c r="G28" s="31">
        <v>573</v>
      </c>
      <c r="H28" s="32">
        <v>11.83</v>
      </c>
      <c r="I28" s="32">
        <v>2.21</v>
      </c>
      <c r="J28" s="33"/>
    </row>
    <row r="29" spans="2:10">
      <c r="B29" s="1" t="s">
        <v>86</v>
      </c>
      <c r="C29" s="20" t="s">
        <v>87</v>
      </c>
      <c r="D29" s="29" t="s">
        <v>88</v>
      </c>
      <c r="E29" s="30"/>
      <c r="F29" s="30" t="s">
        <v>89</v>
      </c>
      <c r="G29" s="31">
        <v>774</v>
      </c>
      <c r="H29" s="32">
        <v>11.28</v>
      </c>
      <c r="I29" s="32">
        <v>2.11</v>
      </c>
      <c r="J29" s="33"/>
    </row>
    <row r="30" spans="2:10">
      <c r="B30" s="1" t="s">
        <v>90</v>
      </c>
      <c r="C30" s="20" t="s">
        <v>91</v>
      </c>
      <c r="D30" s="29" t="s">
        <v>92</v>
      </c>
      <c r="E30" s="30"/>
      <c r="F30" s="30" t="s">
        <v>93</v>
      </c>
      <c r="G30" s="31">
        <v>858</v>
      </c>
      <c r="H30" s="32">
        <v>9.02</v>
      </c>
      <c r="I30" s="32">
        <v>1.68</v>
      </c>
      <c r="J30" s="33"/>
    </row>
    <row r="31" spans="2:10">
      <c r="B31" s="1" t="s">
        <v>94</v>
      </c>
      <c r="C31" s="20" t="s">
        <v>95</v>
      </c>
      <c r="D31" s="29" t="s">
        <v>96</v>
      </c>
      <c r="E31" s="30"/>
      <c r="F31" s="30" t="s">
        <v>34</v>
      </c>
      <c r="G31" s="31">
        <v>642</v>
      </c>
      <c r="H31" s="32">
        <v>8.44</v>
      </c>
      <c r="I31" s="32">
        <v>1.58</v>
      </c>
      <c r="J31" s="33"/>
    </row>
    <row r="32" spans="2:10">
      <c r="B32" s="1" t="s">
        <v>97</v>
      </c>
      <c r="C32" s="20" t="s">
        <v>98</v>
      </c>
      <c r="D32" s="29" t="s">
        <v>99</v>
      </c>
      <c r="E32" s="30"/>
      <c r="F32" s="30" t="s">
        <v>100</v>
      </c>
      <c r="G32" s="31">
        <v>350</v>
      </c>
      <c r="H32" s="32">
        <v>8.41</v>
      </c>
      <c r="I32" s="32">
        <v>1.57</v>
      </c>
      <c r="J32" s="33"/>
    </row>
    <row r="33" spans="2:10">
      <c r="B33" s="1" t="s">
        <v>101</v>
      </c>
      <c r="C33" s="20" t="s">
        <v>102</v>
      </c>
      <c r="D33" s="29" t="s">
        <v>103</v>
      </c>
      <c r="E33" s="30"/>
      <c r="F33" s="30" t="s">
        <v>50</v>
      </c>
      <c r="G33" s="31">
        <v>1491</v>
      </c>
      <c r="H33" s="32">
        <v>8.2200000000000006</v>
      </c>
      <c r="I33" s="32">
        <v>1.54</v>
      </c>
      <c r="J33" s="33"/>
    </row>
    <row r="34" spans="2:10">
      <c r="B34" s="1" t="s">
        <v>104</v>
      </c>
      <c r="C34" s="20" t="s">
        <v>105</v>
      </c>
      <c r="D34" s="29" t="s">
        <v>106</v>
      </c>
      <c r="E34" s="30"/>
      <c r="F34" s="30" t="s">
        <v>107</v>
      </c>
      <c r="G34" s="31">
        <v>821</v>
      </c>
      <c r="H34" s="32">
        <v>8.2100000000000009</v>
      </c>
      <c r="I34" s="32">
        <v>1.53</v>
      </c>
      <c r="J34" s="33"/>
    </row>
    <row r="35" spans="2:10">
      <c r="B35" s="1" t="s">
        <v>108</v>
      </c>
      <c r="C35" s="20" t="s">
        <v>109</v>
      </c>
      <c r="D35" s="29" t="s">
        <v>110</v>
      </c>
      <c r="E35" s="30"/>
      <c r="F35" s="30" t="s">
        <v>111</v>
      </c>
      <c r="G35" s="31">
        <v>955</v>
      </c>
      <c r="H35" s="32">
        <v>8.15</v>
      </c>
      <c r="I35" s="32">
        <v>1.52</v>
      </c>
      <c r="J35" s="33"/>
    </row>
    <row r="36" spans="2:10">
      <c r="B36" s="1" t="s">
        <v>112</v>
      </c>
      <c r="C36" s="20" t="s">
        <v>113</v>
      </c>
      <c r="D36" s="29" t="s">
        <v>114</v>
      </c>
      <c r="E36" s="30"/>
      <c r="F36" s="30" t="s">
        <v>50</v>
      </c>
      <c r="G36" s="31">
        <v>1525</v>
      </c>
      <c r="H36" s="32">
        <v>8.1300000000000008</v>
      </c>
      <c r="I36" s="32">
        <v>1.52</v>
      </c>
      <c r="J36" s="33"/>
    </row>
    <row r="37" spans="2:10">
      <c r="B37" s="1" t="s">
        <v>115</v>
      </c>
      <c r="C37" s="20" t="s">
        <v>116</v>
      </c>
      <c r="D37" s="29" t="s">
        <v>117</v>
      </c>
      <c r="E37" s="30"/>
      <c r="F37" s="30" t="s">
        <v>118</v>
      </c>
      <c r="G37" s="31">
        <v>326</v>
      </c>
      <c r="H37" s="32">
        <v>7.79</v>
      </c>
      <c r="I37" s="32">
        <v>1.45</v>
      </c>
      <c r="J37" s="33"/>
    </row>
    <row r="38" spans="2:10">
      <c r="B38" s="1" t="s">
        <v>119</v>
      </c>
      <c r="C38" s="20" t="s">
        <v>120</v>
      </c>
      <c r="D38" s="29" t="s">
        <v>121</v>
      </c>
      <c r="E38" s="30"/>
      <c r="F38" s="30" t="s">
        <v>118</v>
      </c>
      <c r="G38" s="31">
        <v>1084</v>
      </c>
      <c r="H38" s="32">
        <v>7.79</v>
      </c>
      <c r="I38" s="32">
        <v>1.45</v>
      </c>
      <c r="J38" s="33"/>
    </row>
    <row r="39" spans="2:10">
      <c r="B39" s="1" t="s">
        <v>122</v>
      </c>
      <c r="C39" s="20" t="s">
        <v>123</v>
      </c>
      <c r="D39" s="29" t="s">
        <v>124</v>
      </c>
      <c r="E39" s="30"/>
      <c r="F39" s="30" t="s">
        <v>34</v>
      </c>
      <c r="G39" s="31">
        <v>381</v>
      </c>
      <c r="H39" s="32">
        <v>7.71</v>
      </c>
      <c r="I39" s="32">
        <v>1.44</v>
      </c>
      <c r="J39" s="33"/>
    </row>
    <row r="40" spans="2:10">
      <c r="B40" s="1" t="s">
        <v>125</v>
      </c>
      <c r="C40" s="20" t="s">
        <v>126</v>
      </c>
      <c r="D40" s="29" t="s">
        <v>127</v>
      </c>
      <c r="E40" s="30"/>
      <c r="F40" s="30" t="s">
        <v>38</v>
      </c>
      <c r="G40" s="31">
        <v>448</v>
      </c>
      <c r="H40" s="32">
        <v>7.49</v>
      </c>
      <c r="I40" s="32">
        <v>1.4</v>
      </c>
      <c r="J40" s="33"/>
    </row>
    <row r="41" spans="2:10">
      <c r="B41" s="1" t="s">
        <v>128</v>
      </c>
      <c r="C41" s="20" t="s">
        <v>129</v>
      </c>
      <c r="D41" s="29" t="s">
        <v>130</v>
      </c>
      <c r="E41" s="30"/>
      <c r="F41" s="30" t="s">
        <v>89</v>
      </c>
      <c r="G41" s="31">
        <v>1531</v>
      </c>
      <c r="H41" s="32">
        <v>6.88</v>
      </c>
      <c r="I41" s="32">
        <v>1.29</v>
      </c>
      <c r="J41" s="33"/>
    </row>
    <row r="42" spans="2:10">
      <c r="B42" s="1" t="s">
        <v>131</v>
      </c>
      <c r="C42" s="20" t="s">
        <v>132</v>
      </c>
      <c r="D42" s="29" t="s">
        <v>133</v>
      </c>
      <c r="E42" s="30"/>
      <c r="F42" s="30" t="s">
        <v>65</v>
      </c>
      <c r="G42" s="31">
        <v>388</v>
      </c>
      <c r="H42" s="32">
        <v>6.75</v>
      </c>
      <c r="I42" s="32">
        <v>1.26</v>
      </c>
      <c r="J42" s="33"/>
    </row>
    <row r="43" spans="2:10">
      <c r="B43" s="1" t="s">
        <v>134</v>
      </c>
      <c r="C43" s="20" t="s">
        <v>135</v>
      </c>
      <c r="D43" s="29" t="s">
        <v>136</v>
      </c>
      <c r="E43" s="30"/>
      <c r="F43" s="30" t="s">
        <v>118</v>
      </c>
      <c r="G43" s="31">
        <v>6209</v>
      </c>
      <c r="H43" s="32">
        <v>6.68</v>
      </c>
      <c r="I43" s="32">
        <v>1.25</v>
      </c>
      <c r="J43" s="33"/>
    </row>
    <row r="44" spans="2:10">
      <c r="B44" s="1" t="s">
        <v>137</v>
      </c>
      <c r="C44" s="20" t="s">
        <v>138</v>
      </c>
      <c r="D44" s="29" t="s">
        <v>139</v>
      </c>
      <c r="E44" s="30"/>
      <c r="F44" s="30" t="s">
        <v>57</v>
      </c>
      <c r="G44" s="31">
        <v>297</v>
      </c>
      <c r="H44" s="32">
        <v>6.35</v>
      </c>
      <c r="I44" s="32">
        <v>1.19</v>
      </c>
      <c r="J44" s="33"/>
    </row>
    <row r="45" spans="2:10">
      <c r="B45" s="1" t="s">
        <v>140</v>
      </c>
      <c r="C45" s="20" t="s">
        <v>141</v>
      </c>
      <c r="D45" s="29" t="s">
        <v>142</v>
      </c>
      <c r="E45" s="30"/>
      <c r="F45" s="30" t="s">
        <v>34</v>
      </c>
      <c r="G45" s="31">
        <v>853</v>
      </c>
      <c r="H45" s="32">
        <v>5.99</v>
      </c>
      <c r="I45" s="32">
        <v>1.1200000000000001</v>
      </c>
      <c r="J45" s="33"/>
    </row>
    <row r="46" spans="2:10">
      <c r="B46" s="1" t="s">
        <v>143</v>
      </c>
      <c r="C46" s="20" t="s">
        <v>144</v>
      </c>
      <c r="D46" s="29" t="s">
        <v>145</v>
      </c>
      <c r="E46" s="30"/>
      <c r="F46" s="30" t="s">
        <v>26</v>
      </c>
      <c r="G46" s="31">
        <v>252</v>
      </c>
      <c r="H46" s="32">
        <v>3.77</v>
      </c>
      <c r="I46" s="32">
        <v>0.7</v>
      </c>
      <c r="J46" s="33"/>
    </row>
    <row r="47" spans="2:10">
      <c r="B47" s="1" t="s">
        <v>146</v>
      </c>
      <c r="C47" s="20" t="s">
        <v>147</v>
      </c>
      <c r="D47" s="29" t="s">
        <v>148</v>
      </c>
      <c r="E47" s="30"/>
      <c r="F47" s="30" t="s">
        <v>57</v>
      </c>
      <c r="G47" s="31">
        <v>1814</v>
      </c>
      <c r="H47" s="32">
        <v>3.47</v>
      </c>
      <c r="I47" s="32">
        <v>0.65</v>
      </c>
      <c r="J47" s="33"/>
    </row>
    <row r="48" spans="2:10">
      <c r="C48" s="28" t="s">
        <v>149</v>
      </c>
      <c r="D48" s="29"/>
      <c r="E48" s="30"/>
      <c r="F48" s="30"/>
      <c r="G48" s="31"/>
      <c r="H48" s="35">
        <v>526.67999999999995</v>
      </c>
      <c r="I48" s="35">
        <v>98.35</v>
      </c>
      <c r="J48" s="33"/>
    </row>
    <row r="49" spans="3:10">
      <c r="C49" s="20"/>
      <c r="D49" s="29"/>
      <c r="E49" s="30"/>
      <c r="F49" s="30"/>
      <c r="G49" s="31"/>
      <c r="H49" s="32"/>
      <c r="I49" s="32"/>
      <c r="J49" s="33"/>
    </row>
    <row r="50" spans="3:10">
      <c r="C50" s="28" t="s">
        <v>150</v>
      </c>
      <c r="D50" s="29"/>
      <c r="E50" s="30"/>
      <c r="F50" s="30"/>
      <c r="G50" s="31"/>
      <c r="H50" s="32" t="s">
        <v>151</v>
      </c>
      <c r="I50" s="32" t="s">
        <v>151</v>
      </c>
      <c r="J50" s="33"/>
    </row>
    <row r="51" spans="3:10">
      <c r="C51" s="20"/>
      <c r="D51" s="29"/>
      <c r="E51" s="30"/>
      <c r="F51" s="30"/>
      <c r="G51" s="31"/>
      <c r="H51" s="32"/>
      <c r="I51" s="32"/>
      <c r="J51" s="33"/>
    </row>
    <row r="52" spans="3:10">
      <c r="C52" s="28" t="s">
        <v>152</v>
      </c>
      <c r="D52" s="29"/>
      <c r="E52" s="30"/>
      <c r="F52" s="30"/>
      <c r="G52" s="31"/>
      <c r="H52" s="32" t="s">
        <v>151</v>
      </c>
      <c r="I52" s="32" t="s">
        <v>151</v>
      </c>
      <c r="J52" s="33"/>
    </row>
    <row r="53" spans="3:10">
      <c r="C53" s="20"/>
      <c r="D53" s="29"/>
      <c r="E53" s="30"/>
      <c r="F53" s="30"/>
      <c r="G53" s="31"/>
      <c r="H53" s="32"/>
      <c r="I53" s="32"/>
      <c r="J53" s="33"/>
    </row>
    <row r="54" spans="3:10">
      <c r="C54" s="28" t="s">
        <v>153</v>
      </c>
      <c r="D54" s="29"/>
      <c r="E54" s="30"/>
      <c r="F54" s="30"/>
      <c r="G54" s="31"/>
      <c r="H54" s="32"/>
      <c r="I54" s="32"/>
      <c r="J54" s="33"/>
    </row>
    <row r="55" spans="3:10">
      <c r="C55" s="20"/>
      <c r="D55" s="29"/>
      <c r="E55" s="30"/>
      <c r="F55" s="30"/>
      <c r="G55" s="31"/>
      <c r="H55" s="32"/>
      <c r="I55" s="32"/>
      <c r="J55" s="33"/>
    </row>
    <row r="56" spans="3:10">
      <c r="C56" s="28" t="s">
        <v>154</v>
      </c>
      <c r="D56" s="29"/>
      <c r="E56" s="30"/>
      <c r="F56" s="30"/>
      <c r="G56" s="31"/>
      <c r="H56" s="32" t="s">
        <v>151</v>
      </c>
      <c r="I56" s="32" t="s">
        <v>151</v>
      </c>
      <c r="J56" s="33"/>
    </row>
    <row r="57" spans="3:10">
      <c r="C57" s="20"/>
      <c r="D57" s="29"/>
      <c r="E57" s="30"/>
      <c r="F57" s="30"/>
      <c r="G57" s="31"/>
      <c r="H57" s="32"/>
      <c r="I57" s="32"/>
      <c r="J57" s="33"/>
    </row>
    <row r="58" spans="3:10">
      <c r="C58" s="28" t="s">
        <v>155</v>
      </c>
      <c r="D58" s="29"/>
      <c r="E58" s="30"/>
      <c r="F58" s="30"/>
      <c r="G58" s="31"/>
      <c r="H58" s="32" t="s">
        <v>151</v>
      </c>
      <c r="I58" s="32" t="s">
        <v>151</v>
      </c>
      <c r="J58" s="33"/>
    </row>
    <row r="59" spans="3:10">
      <c r="C59" s="20"/>
      <c r="D59" s="29"/>
      <c r="E59" s="30"/>
      <c r="F59" s="30"/>
      <c r="G59" s="31"/>
      <c r="H59" s="32"/>
      <c r="I59" s="32"/>
      <c r="J59" s="33"/>
    </row>
    <row r="60" spans="3:10">
      <c r="C60" s="28" t="s">
        <v>156</v>
      </c>
      <c r="D60" s="29"/>
      <c r="E60" s="30"/>
      <c r="F60" s="30"/>
      <c r="G60" s="31"/>
      <c r="H60" s="32" t="s">
        <v>151</v>
      </c>
      <c r="I60" s="32" t="s">
        <v>151</v>
      </c>
      <c r="J60" s="33"/>
    </row>
    <row r="61" spans="3:10">
      <c r="C61" s="20"/>
      <c r="D61" s="29"/>
      <c r="E61" s="30"/>
      <c r="F61" s="30"/>
      <c r="G61" s="31"/>
      <c r="H61" s="32"/>
      <c r="I61" s="32"/>
      <c r="J61" s="33"/>
    </row>
    <row r="62" spans="3:10">
      <c r="C62" s="28" t="s">
        <v>157</v>
      </c>
      <c r="D62" s="29"/>
      <c r="E62" s="30"/>
      <c r="F62" s="30"/>
      <c r="G62" s="31"/>
      <c r="H62" s="32" t="s">
        <v>151</v>
      </c>
      <c r="I62" s="32" t="s">
        <v>151</v>
      </c>
      <c r="J62" s="33"/>
    </row>
    <row r="63" spans="3:10">
      <c r="C63" s="20"/>
      <c r="D63" s="29"/>
      <c r="E63" s="30"/>
      <c r="F63" s="30"/>
      <c r="G63" s="31"/>
      <c r="H63" s="32"/>
      <c r="I63" s="32"/>
      <c r="J63" s="33"/>
    </row>
    <row r="64" spans="3:10">
      <c r="C64" s="28" t="s">
        <v>158</v>
      </c>
      <c r="D64" s="29"/>
      <c r="E64" s="30"/>
      <c r="F64" s="30"/>
      <c r="G64" s="31"/>
      <c r="H64" s="32" t="s">
        <v>151</v>
      </c>
      <c r="I64" s="32" t="s">
        <v>151</v>
      </c>
      <c r="J64" s="33"/>
    </row>
    <row r="65" spans="3:10">
      <c r="C65" s="20"/>
      <c r="D65" s="29"/>
      <c r="E65" s="30"/>
      <c r="F65" s="30"/>
      <c r="G65" s="31"/>
      <c r="H65" s="32"/>
      <c r="I65" s="32"/>
      <c r="J65" s="33"/>
    </row>
    <row r="66" spans="3:10">
      <c r="C66" s="28" t="s">
        <v>159</v>
      </c>
      <c r="D66" s="29"/>
      <c r="E66" s="30"/>
      <c r="F66" s="30"/>
      <c r="G66" s="31"/>
      <c r="H66" s="32"/>
      <c r="I66" s="32"/>
      <c r="J66" s="33"/>
    </row>
    <row r="67" spans="3:10">
      <c r="C67" s="20"/>
      <c r="D67" s="29"/>
      <c r="E67" s="30"/>
      <c r="F67" s="30"/>
      <c r="G67" s="31"/>
      <c r="H67" s="32"/>
      <c r="I67" s="32"/>
      <c r="J67" s="33"/>
    </row>
    <row r="68" spans="3:10">
      <c r="C68" s="28" t="s">
        <v>160</v>
      </c>
      <c r="D68" s="29"/>
      <c r="E68" s="30"/>
      <c r="F68" s="30"/>
      <c r="G68" s="31"/>
      <c r="H68" s="32" t="s">
        <v>151</v>
      </c>
      <c r="I68" s="32" t="s">
        <v>151</v>
      </c>
      <c r="J68" s="33"/>
    </row>
    <row r="69" spans="3:10">
      <c r="C69" s="20"/>
      <c r="D69" s="29"/>
      <c r="E69" s="30"/>
      <c r="F69" s="30"/>
      <c r="G69" s="31"/>
      <c r="H69" s="32"/>
      <c r="I69" s="32"/>
      <c r="J69" s="33"/>
    </row>
    <row r="70" spans="3:10">
      <c r="C70" s="28" t="s">
        <v>161</v>
      </c>
      <c r="D70" s="29"/>
      <c r="E70" s="30"/>
      <c r="F70" s="30"/>
      <c r="G70" s="31"/>
      <c r="H70" s="32" t="s">
        <v>151</v>
      </c>
      <c r="I70" s="32" t="s">
        <v>151</v>
      </c>
      <c r="J70" s="33"/>
    </row>
    <row r="71" spans="3:10">
      <c r="C71" s="20"/>
      <c r="D71" s="29"/>
      <c r="E71" s="30"/>
      <c r="F71" s="30"/>
      <c r="G71" s="31"/>
      <c r="H71" s="32"/>
      <c r="I71" s="32"/>
      <c r="J71" s="33"/>
    </row>
    <row r="72" spans="3:10">
      <c r="C72" s="28" t="s">
        <v>162</v>
      </c>
      <c r="D72" s="29"/>
      <c r="E72" s="30"/>
      <c r="F72" s="30"/>
      <c r="G72" s="31"/>
      <c r="H72" s="32" t="s">
        <v>151</v>
      </c>
      <c r="I72" s="32" t="s">
        <v>151</v>
      </c>
      <c r="J72" s="33"/>
    </row>
    <row r="73" spans="3:10">
      <c r="C73" s="20"/>
      <c r="D73" s="29"/>
      <c r="E73" s="30"/>
      <c r="F73" s="30"/>
      <c r="G73" s="31"/>
      <c r="H73" s="32"/>
      <c r="I73" s="32"/>
      <c r="J73" s="33"/>
    </row>
    <row r="74" spans="3:10">
      <c r="C74" s="28" t="s">
        <v>163</v>
      </c>
      <c r="D74" s="29"/>
      <c r="E74" s="30"/>
      <c r="F74" s="30"/>
      <c r="G74" s="31"/>
      <c r="H74" s="32" t="s">
        <v>151</v>
      </c>
      <c r="I74" s="32" t="s">
        <v>151</v>
      </c>
      <c r="J74" s="33"/>
    </row>
    <row r="75" spans="3:10">
      <c r="C75" s="20"/>
      <c r="D75" s="29"/>
      <c r="E75" s="30"/>
      <c r="F75" s="30"/>
      <c r="G75" s="31"/>
      <c r="H75" s="32"/>
      <c r="I75" s="32"/>
      <c r="J75" s="33"/>
    </row>
    <row r="76" spans="3:10">
      <c r="C76" s="28" t="s">
        <v>164</v>
      </c>
      <c r="D76" s="29"/>
      <c r="E76" s="30"/>
      <c r="F76" s="30"/>
      <c r="G76" s="31"/>
      <c r="H76" s="32"/>
      <c r="I76" s="32"/>
      <c r="J76" s="33"/>
    </row>
    <row r="77" spans="3:10">
      <c r="C77" s="20"/>
      <c r="D77" s="29"/>
      <c r="E77" s="30"/>
      <c r="F77" s="30"/>
      <c r="G77" s="31"/>
      <c r="H77" s="32"/>
      <c r="I77" s="32"/>
      <c r="J77" s="33"/>
    </row>
    <row r="78" spans="3:10">
      <c r="C78" s="28" t="s">
        <v>165</v>
      </c>
      <c r="D78" s="29"/>
      <c r="E78" s="30"/>
      <c r="F78" s="30"/>
      <c r="G78" s="31"/>
      <c r="H78" s="32" t="s">
        <v>151</v>
      </c>
      <c r="I78" s="32" t="s">
        <v>151</v>
      </c>
      <c r="J78" s="33"/>
    </row>
    <row r="79" spans="3:10">
      <c r="C79" s="20"/>
      <c r="D79" s="29"/>
      <c r="E79" s="30"/>
      <c r="F79" s="30"/>
      <c r="G79" s="31"/>
      <c r="H79" s="32"/>
      <c r="I79" s="32"/>
      <c r="J79" s="33"/>
    </row>
    <row r="80" spans="3:10">
      <c r="C80" s="28" t="s">
        <v>166</v>
      </c>
      <c r="D80" s="29"/>
      <c r="E80" s="30"/>
      <c r="F80" s="30"/>
      <c r="G80" s="31"/>
      <c r="H80" s="32" t="s">
        <v>151</v>
      </c>
      <c r="I80" s="32" t="s">
        <v>151</v>
      </c>
      <c r="J80" s="33"/>
    </row>
    <row r="81" spans="1:10">
      <c r="C81" s="20"/>
      <c r="D81" s="29"/>
      <c r="E81" s="30"/>
      <c r="F81" s="30"/>
      <c r="G81" s="31"/>
      <c r="H81" s="32"/>
      <c r="I81" s="32"/>
      <c r="J81" s="33"/>
    </row>
    <row r="82" spans="1:10">
      <c r="C82" s="28" t="s">
        <v>167</v>
      </c>
      <c r="D82" s="29"/>
      <c r="E82" s="30"/>
      <c r="F82" s="30"/>
      <c r="G82" s="31"/>
      <c r="H82" s="32" t="s">
        <v>151</v>
      </c>
      <c r="I82" s="32" t="s">
        <v>151</v>
      </c>
      <c r="J82" s="33"/>
    </row>
    <row r="83" spans="1:10">
      <c r="C83" s="20"/>
      <c r="D83" s="29"/>
      <c r="E83" s="30"/>
      <c r="F83" s="30"/>
      <c r="G83" s="31"/>
      <c r="H83" s="32"/>
      <c r="I83" s="32"/>
      <c r="J83" s="33"/>
    </row>
    <row r="84" spans="1:10">
      <c r="C84" s="28" t="s">
        <v>168</v>
      </c>
      <c r="D84" s="29"/>
      <c r="E84" s="30"/>
      <c r="F84" s="30"/>
      <c r="G84" s="31"/>
      <c r="H84" s="32" t="s">
        <v>151</v>
      </c>
      <c r="I84" s="32" t="s">
        <v>151</v>
      </c>
      <c r="J84" s="33"/>
    </row>
    <row r="85" spans="1:10">
      <c r="C85" s="20"/>
      <c r="D85" s="29"/>
      <c r="E85" s="30"/>
      <c r="F85" s="30"/>
      <c r="G85" s="31"/>
      <c r="H85" s="32"/>
      <c r="I85" s="32"/>
      <c r="J85" s="33"/>
    </row>
    <row r="86" spans="1:10">
      <c r="C86" s="28" t="s">
        <v>169</v>
      </c>
      <c r="D86" s="29"/>
      <c r="E86" s="30"/>
      <c r="F86" s="30"/>
      <c r="G86" s="31"/>
      <c r="H86" s="32" t="s">
        <v>151</v>
      </c>
      <c r="I86" s="32" t="s">
        <v>151</v>
      </c>
      <c r="J86" s="33"/>
    </row>
    <row r="87" spans="1:10">
      <c r="C87" s="20"/>
      <c r="D87" s="29"/>
      <c r="E87" s="30"/>
      <c r="F87" s="30"/>
      <c r="G87" s="31"/>
      <c r="H87" s="32"/>
      <c r="I87" s="32"/>
      <c r="J87" s="33"/>
    </row>
    <row r="88" spans="1:10">
      <c r="A88" s="26"/>
      <c r="B88" s="27"/>
      <c r="C88" s="28" t="s">
        <v>170</v>
      </c>
      <c r="D88" s="29"/>
      <c r="E88" s="30"/>
      <c r="F88" s="30"/>
      <c r="G88" s="31"/>
      <c r="H88" s="32"/>
      <c r="I88" s="32"/>
      <c r="J88" s="33"/>
    </row>
    <row r="89" spans="1:10">
      <c r="B89" s="1"/>
      <c r="C89" s="20" t="s">
        <v>171</v>
      </c>
      <c r="D89" s="29"/>
      <c r="E89" s="30"/>
      <c r="F89" s="30"/>
      <c r="G89" s="31"/>
      <c r="H89" s="32">
        <v>8.7799999999999994</v>
      </c>
      <c r="I89" s="32">
        <v>1.65</v>
      </c>
      <c r="J89" s="33"/>
    </row>
    <row r="90" spans="1:10">
      <c r="C90" s="28" t="s">
        <v>149</v>
      </c>
      <c r="D90" s="29"/>
      <c r="E90" s="30"/>
      <c r="F90" s="30"/>
      <c r="G90" s="31"/>
      <c r="H90" s="35">
        <v>8.7799999999999994</v>
      </c>
      <c r="I90" s="35">
        <v>1.65</v>
      </c>
      <c r="J90" s="33"/>
    </row>
    <row r="91" spans="1:10">
      <c r="C91" s="20"/>
      <c r="D91" s="29"/>
      <c r="E91" s="30"/>
      <c r="F91" s="30"/>
      <c r="G91" s="31"/>
      <c r="H91" s="32"/>
      <c r="I91" s="32"/>
      <c r="J91" s="33"/>
    </row>
    <row r="92" spans="1:10" ht="13.8" thickBot="1">
      <c r="C92" s="36" t="s">
        <v>172</v>
      </c>
      <c r="D92" s="37"/>
      <c r="E92" s="38"/>
      <c r="F92" s="39"/>
      <c r="G92" s="40"/>
      <c r="H92" s="41">
        <v>535.46</v>
      </c>
      <c r="I92" s="41">
        <f>SUMIFS(I:I,C:C,"Total")</f>
        <v>100</v>
      </c>
      <c r="J92" s="42"/>
    </row>
    <row r="95" spans="1:10">
      <c r="C95" s="11" t="s">
        <v>173</v>
      </c>
    </row>
    <row r="96" spans="1:10">
      <c r="C96" s="2" t="s">
        <v>174</v>
      </c>
    </row>
    <row r="97" spans="3:3">
      <c r="C97" s="2" t="s">
        <v>175</v>
      </c>
    </row>
    <row r="98" spans="3:3">
      <c r="C98" s="2" t="s">
        <v>176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I18"/>
  <sheetViews>
    <sheetView workbookViewId="0">
      <selection activeCell="A4" sqref="A4"/>
    </sheetView>
  </sheetViews>
  <sheetFormatPr defaultRowHeight="14.4"/>
  <cols>
    <col min="1" max="1" width="44.21875" customWidth="1"/>
    <col min="3" max="3" width="11" bestFit="1" customWidth="1"/>
    <col min="5" max="5" width="11" bestFit="1" customWidth="1"/>
    <col min="7" max="7" width="11" bestFit="1" customWidth="1"/>
    <col min="9" max="9" width="11" bestFit="1" customWidth="1"/>
  </cols>
  <sheetData>
    <row r="4" spans="1:9" ht="15.6">
      <c r="A4" s="43" t="s">
        <v>177</v>
      </c>
      <c r="B4" s="44"/>
      <c r="C4" s="44"/>
      <c r="D4" s="44"/>
      <c r="E4" s="44"/>
      <c r="F4" s="44"/>
      <c r="G4" s="44"/>
      <c r="H4" s="44"/>
      <c r="I4" s="44"/>
    </row>
    <row r="5" spans="1:9">
      <c r="A5" s="45" t="s">
        <v>178</v>
      </c>
      <c r="B5" s="46" t="s">
        <v>179</v>
      </c>
      <c r="C5" s="46"/>
      <c r="D5" s="46" t="s">
        <v>180</v>
      </c>
      <c r="E5" s="46"/>
      <c r="F5" s="46" t="s">
        <v>181</v>
      </c>
      <c r="G5" s="46"/>
      <c r="H5" s="46" t="s">
        <v>182</v>
      </c>
      <c r="I5" s="46"/>
    </row>
    <row r="6" spans="1:9" ht="66">
      <c r="A6" s="47"/>
      <c r="B6" s="48" t="s">
        <v>183</v>
      </c>
      <c r="C6" s="48" t="s">
        <v>184</v>
      </c>
      <c r="D6" s="48" t="s">
        <v>183</v>
      </c>
      <c r="E6" s="48" t="s">
        <v>184</v>
      </c>
      <c r="F6" s="48" t="s">
        <v>183</v>
      </c>
      <c r="G6" s="48" t="s">
        <v>184</v>
      </c>
      <c r="H6" s="48" t="s">
        <v>183</v>
      </c>
      <c r="I6" s="48" t="s">
        <v>184</v>
      </c>
    </row>
    <row r="7" spans="1:9">
      <c r="A7" s="49" t="s">
        <v>185</v>
      </c>
      <c r="B7" s="50">
        <v>24.363407733417187</v>
      </c>
      <c r="C7" s="50">
        <v>12436.340773341717</v>
      </c>
      <c r="D7" s="50">
        <v>16.559119787039101</v>
      </c>
      <c r="E7" s="50">
        <v>15855.711422845692</v>
      </c>
      <c r="F7" s="50">
        <v>13.258955429720309</v>
      </c>
      <c r="G7" s="50">
        <v>18642.789820923659</v>
      </c>
      <c r="H7" s="50">
        <v>9.5450874800448116</v>
      </c>
      <c r="I7" s="50">
        <v>39560</v>
      </c>
    </row>
    <row r="8" spans="1:9">
      <c r="A8" s="49" t="s">
        <v>186</v>
      </c>
      <c r="B8" s="50">
        <v>24.69430238336534</v>
      </c>
      <c r="C8" s="50">
        <v>12469.430238336534</v>
      </c>
      <c r="D8" s="50">
        <v>18.090918675376912</v>
      </c>
      <c r="E8" s="50">
        <v>16468.327818961552</v>
      </c>
      <c r="F8" s="50">
        <v>12.077839793234425</v>
      </c>
      <c r="G8" s="50">
        <v>17684.74322705562</v>
      </c>
      <c r="H8" s="50">
        <v>5.2045526326135017</v>
      </c>
      <c r="I8" s="50">
        <v>21494.585098005584</v>
      </c>
    </row>
    <row r="9" spans="1:9">
      <c r="A9" s="49" t="s">
        <v>187</v>
      </c>
      <c r="B9" s="50">
        <v>20.260052895360261</v>
      </c>
      <c r="C9" s="50">
        <v>12026.005289536026</v>
      </c>
      <c r="D9" s="50">
        <v>15.823957466126238</v>
      </c>
      <c r="E9" s="50">
        <v>15538.002943957132</v>
      </c>
      <c r="F9" s="50">
        <v>15.141731736907404</v>
      </c>
      <c r="G9" s="50">
        <v>20237.822610221807</v>
      </c>
      <c r="H9" s="50">
        <v>12.409282767938489</v>
      </c>
      <c r="I9" s="50">
        <v>58372.483785910641</v>
      </c>
    </row>
    <row r="10" spans="1:9">
      <c r="A10" s="49" t="s">
        <v>188</v>
      </c>
      <c r="B10" s="51">
        <v>31.81</v>
      </c>
      <c r="C10" s="52"/>
      <c r="D10" s="51">
        <v>24.95</v>
      </c>
      <c r="E10" s="52"/>
      <c r="F10" s="51">
        <v>21.22</v>
      </c>
      <c r="G10" s="52"/>
      <c r="H10" s="51">
        <v>10</v>
      </c>
      <c r="I10" s="52"/>
    </row>
    <row r="12" spans="1:9" ht="15.6">
      <c r="A12" s="43" t="s">
        <v>189</v>
      </c>
      <c r="B12" s="44"/>
      <c r="C12" s="44"/>
      <c r="D12" s="44"/>
      <c r="E12" s="44"/>
      <c r="F12" s="44"/>
      <c r="G12" s="44"/>
      <c r="H12" s="44"/>
      <c r="I12" s="44"/>
    </row>
    <row r="13" spans="1:9">
      <c r="A13" s="45" t="s">
        <v>178</v>
      </c>
      <c r="B13" s="46" t="s">
        <v>179</v>
      </c>
      <c r="C13" s="46"/>
      <c r="D13" s="46" t="s">
        <v>180</v>
      </c>
      <c r="E13" s="46"/>
      <c r="F13" s="46" t="s">
        <v>181</v>
      </c>
      <c r="G13" s="46"/>
      <c r="H13" s="46" t="s">
        <v>182</v>
      </c>
      <c r="I13" s="46"/>
    </row>
    <row r="14" spans="1:9" ht="66">
      <c r="A14" s="47"/>
      <c r="B14" s="48" t="s">
        <v>183</v>
      </c>
      <c r="C14" s="48" t="s">
        <v>184</v>
      </c>
      <c r="D14" s="48" t="s">
        <v>183</v>
      </c>
      <c r="E14" s="48" t="s">
        <v>184</v>
      </c>
      <c r="F14" s="48" t="s">
        <v>183</v>
      </c>
      <c r="G14" s="48" t="s">
        <v>184</v>
      </c>
      <c r="H14" s="48" t="s">
        <v>183</v>
      </c>
      <c r="I14" s="48" t="s">
        <v>184</v>
      </c>
    </row>
    <row r="15" spans="1:9">
      <c r="A15" s="49" t="s">
        <v>185</v>
      </c>
      <c r="B15" s="50">
        <v>24.90295610630038</v>
      </c>
      <c r="C15" s="50">
        <v>12490.295610630037</v>
      </c>
      <c r="D15" s="50">
        <v>17.020493555827997</v>
      </c>
      <c r="E15" s="50">
        <v>16045.262754123512</v>
      </c>
      <c r="F15" s="50">
        <v>13.77821844690974</v>
      </c>
      <c r="G15" s="50">
        <v>19074.327405380754</v>
      </c>
      <c r="H15" s="50">
        <v>13.639265664701039</v>
      </c>
      <c r="I15" s="50">
        <v>32628.705148205925</v>
      </c>
    </row>
    <row r="16" spans="1:9">
      <c r="A16" s="49" t="s">
        <v>186</v>
      </c>
      <c r="B16" s="50">
        <v>24.69430238336534</v>
      </c>
      <c r="C16" s="50">
        <v>12469.430238336534</v>
      </c>
      <c r="D16" s="50">
        <v>18.090918675376912</v>
      </c>
      <c r="E16" s="50">
        <v>16468.327818961552</v>
      </c>
      <c r="F16" s="50">
        <v>12.077839793234425</v>
      </c>
      <c r="G16" s="50">
        <v>17684.74322705562</v>
      </c>
      <c r="H16" s="50">
        <v>8.9990019078724615</v>
      </c>
      <c r="I16" s="50">
        <v>22188.742436585693</v>
      </c>
    </row>
    <row r="17" spans="1:9">
      <c r="A17" s="49" t="s">
        <v>187</v>
      </c>
      <c r="B17" s="50">
        <v>20.260052895360261</v>
      </c>
      <c r="C17" s="50">
        <v>12026.005289536026</v>
      </c>
      <c r="D17" s="50">
        <v>15.823957466126238</v>
      </c>
      <c r="E17" s="50">
        <v>15538.002943957132</v>
      </c>
      <c r="F17" s="50">
        <v>15.141731736907404</v>
      </c>
      <c r="G17" s="50">
        <v>20237.822610221807</v>
      </c>
      <c r="H17" s="50">
        <v>13.715098611242006</v>
      </c>
      <c r="I17" s="50">
        <v>32830.650832198364</v>
      </c>
    </row>
    <row r="18" spans="1:9">
      <c r="A18" s="49" t="s">
        <v>190</v>
      </c>
      <c r="B18" s="51">
        <v>33.49</v>
      </c>
      <c r="C18" s="52"/>
      <c r="D18" s="51">
        <v>26.07</v>
      </c>
      <c r="E18" s="52"/>
      <c r="F18" s="51">
        <v>21.93</v>
      </c>
      <c r="G18" s="52"/>
      <c r="H18" s="51">
        <v>12.82</v>
      </c>
      <c r="I18" s="52"/>
    </row>
  </sheetData>
  <mergeCells count="16">
    <mergeCell ref="B13:C13"/>
    <mergeCell ref="D13:E13"/>
    <mergeCell ref="F13:G13"/>
    <mergeCell ref="H13:I13"/>
    <mergeCell ref="B18:C18"/>
    <mergeCell ref="D18:E18"/>
    <mergeCell ref="F18:G18"/>
    <mergeCell ref="H18:I18"/>
    <mergeCell ref="B5:C5"/>
    <mergeCell ref="D5:E5"/>
    <mergeCell ref="F5:G5"/>
    <mergeCell ref="H5:I5"/>
    <mergeCell ref="B10:C10"/>
    <mergeCell ref="D10:E10"/>
    <mergeCell ref="F10:G10"/>
    <mergeCell ref="H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TISF-Risk-O-Meter &amp; Performance</vt:lpstr>
      <vt:lpstr>TISF-Portfolio</vt:lpstr>
      <vt:lpstr>XDO_?CLASS_3?4?</vt:lpstr>
      <vt:lpstr>XDO_?FINAL_ISIN?7?</vt:lpstr>
      <vt:lpstr>XDO_?FINAL_ISIN?8?</vt:lpstr>
      <vt:lpstr>XDO_?FINAL_MV?7?</vt:lpstr>
      <vt:lpstr>XDO_?FINAL_MV?8?</vt:lpstr>
      <vt:lpstr>XDO_?FINAL_NAME?7?</vt:lpstr>
      <vt:lpstr>XDO_?FINAL_NAME?8?</vt:lpstr>
      <vt:lpstr>XDO_?FINAL_PER_NET?7?</vt:lpstr>
      <vt:lpstr>XDO_?FINAL_PER_NET?8?</vt:lpstr>
      <vt:lpstr>XDO_?FINAL_QUANTITE?7?</vt:lpstr>
      <vt:lpstr>XDO_?FINAL_QUANTITE?8?</vt:lpstr>
      <vt:lpstr>XDO_?IND_01?7?</vt:lpstr>
      <vt:lpstr>XDO_?IND_01?8?</vt:lpstr>
      <vt:lpstr>XDO_?NAMCNAME?4?</vt:lpstr>
      <vt:lpstr>XDO_?NOVAL?7?</vt:lpstr>
      <vt:lpstr>XDO_?NOVAL?8?</vt:lpstr>
      <vt:lpstr>XDO_?NPTF?4?</vt:lpstr>
      <vt:lpstr>XDO_?RATING?7?</vt:lpstr>
      <vt:lpstr>XDO_?RATING?8?</vt:lpstr>
      <vt:lpstr>XDO_?REMARKS?7?</vt:lpstr>
      <vt:lpstr>XDO_?REMARKS?8?</vt:lpstr>
      <vt:lpstr>XDO_?TITL?4?</vt:lpstr>
      <vt:lpstr>XDO_GROUP_?G_2?4?</vt:lpstr>
      <vt:lpstr>XDO_GROUP_?G_3?4?</vt:lpstr>
      <vt:lpstr>XDO_GROUP_?G_4?7?</vt:lpstr>
      <vt:lpstr>XDO_GROUP_?G_4?8?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2022-04-01T09:27:31Z</dcterms:created>
  <dcterms:modified xsi:type="dcterms:W3CDTF">2022-04-05T06:19:32Z</dcterms:modified>
</cp:coreProperties>
</file>