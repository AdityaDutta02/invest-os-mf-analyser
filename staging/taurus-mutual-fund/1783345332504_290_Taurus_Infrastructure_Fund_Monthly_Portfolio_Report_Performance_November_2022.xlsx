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Performance'!$C$8:$C$47</definedName>
    <definedName name="XDO_?FINAL_ISIN?7?">'TISF-Risk-O-Meter &amp; Performance'!$D$10:$D$47</definedName>
    <definedName name="XDO_?FINAL_ISIN?8?">'TISF-Risk-O-Meter &amp; Performance'!$D$10:$D$89</definedName>
    <definedName name="XDO_?FINAL_MV?7?">'TISF-Risk-O-Meter &amp; Performance'!$H$10:$H$47</definedName>
    <definedName name="XDO_?FINAL_MV?8?">'TISF-Risk-O-Meter &amp; Performance'!$H$10:$H$89</definedName>
    <definedName name="XDO_?FINAL_NAME?7?">'TISF-Risk-O-Meter &amp; Performance'!$C$10:$C$47</definedName>
    <definedName name="XDO_?FINAL_NAME?8?">'TISF-Risk-O-Meter &amp; Performance'!$C$10:$C$89</definedName>
    <definedName name="XDO_?FINAL_PER_NET?7?">'TISF-Risk-O-Meter &amp; Performance'!$I$10:$I$47</definedName>
    <definedName name="XDO_?FINAL_PER_NET?8?">'TISF-Risk-O-Meter &amp; Performance'!$I$10:$I$89</definedName>
    <definedName name="XDO_?FINAL_QUANTITE?7?">'TISF-Risk-O-Meter &amp; Performance'!$G$10:$G$47</definedName>
    <definedName name="XDO_?FINAL_QUANTITE?8?">'TISF-Risk-O-Meter &amp; Performance'!$G$10:$G$89</definedName>
    <definedName name="XDO_?IND_01?7?">'TISF-Risk-O-Meter &amp; Performance'!$F$10:$F$47</definedName>
    <definedName name="XDO_?IND_01?8?">'TISF-Risk-O-Meter &amp; Performance'!$F$10:$F$89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Performance'!$C$2:$C$47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Performance'!$B$10:$B$47</definedName>
    <definedName name="XDO_?NOVAL?8?">'TISF-Risk-O-Meter &amp; Performance'!$B$10:$B$89</definedName>
    <definedName name="XDO_?NPTF?4?">'TISF-Risk-O-Meter &amp; Performance'!$D$2:$D$47</definedName>
    <definedName name="XDO_?RATING?7?">'TISF-Risk-O-Meter &amp; Performance'!$E$10:$E$47</definedName>
    <definedName name="XDO_?RATING?8?">'TISF-Risk-O-Meter &amp; Performance'!$E$10:$E$89</definedName>
    <definedName name="XDO_?REMARKS?7?">'TISF-Risk-O-Meter &amp; Performance'!$J$10:$J$47</definedName>
    <definedName name="XDO_?REMARKS?8?">'TISF-Risk-O-Meter &amp; Performance'!$J$10:$J$89</definedName>
    <definedName name="XDO_?TITL?4?">'TISF-Risk-O-Meter &amp; Performance'!$A$8:$A$47</definedName>
    <definedName name="XDO_GROUP_?G_2?4?">'TISF-Risk-O-Meter &amp; Performance'!$2:$92</definedName>
    <definedName name="XDO_GROUP_?G_3?4?">'TISF-Risk-O-Meter &amp; Performance'!$8:$91</definedName>
    <definedName name="XDO_GROUP_?G_4?7?">'TISF-Risk-O-Meter &amp; Performance'!$B$10:$IV$47</definedName>
    <definedName name="XDO_GROUP_?G_4?8?">'TISF-Risk-O-Meter &amp; Performance'!$B$89:$IV$89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/>
</calcChain>
</file>

<file path=xl/sharedStrings.xml><?xml version="1.0" encoding="utf-8"?>
<sst xmlns="http://schemas.openxmlformats.org/spreadsheetml/2006/main" count="263" uniqueCount="192">
  <si>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</si>
  <si>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</si>
  <si>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</si>
  <si>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</si>
  <si>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</si>
  <si>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</si>
  <si>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</si>
  <si>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</si>
  <si>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</si>
  <si>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</si>
  <si>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</si>
  <si>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</si>
  <si>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</si>
  <si>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</si>
  <si>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</si>
  <si>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</si>
  <si>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</si>
  <si>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</si>
  <si>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</si>
  <si>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</si>
  <si>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</si>
  <si>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</si>
  <si>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</si>
  <si>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100108</t>
  </si>
  <si>
    <t>Adani Ports and Special Economic Zone Ltd.</t>
  </si>
  <si>
    <t>INE742F01042</t>
  </si>
  <si>
    <t>Transport Infrastructure</t>
  </si>
  <si>
    <t>100178</t>
  </si>
  <si>
    <t>Ambuja Cements Ltd.</t>
  </si>
  <si>
    <t>INE079A01024</t>
  </si>
  <si>
    <t>Cement &amp; Cement Products</t>
  </si>
  <si>
    <t>100024</t>
  </si>
  <si>
    <t>Axis Bank Ltd.</t>
  </si>
  <si>
    <t>INE238A01034</t>
  </si>
  <si>
    <t>Banks</t>
  </si>
  <si>
    <t>100181</t>
  </si>
  <si>
    <t>NTPC Ltd.</t>
  </si>
  <si>
    <t>INE733E01010</t>
  </si>
  <si>
    <t>Power</t>
  </si>
  <si>
    <t>100757</t>
  </si>
  <si>
    <t>Taj GVK Hotels &amp; Resorts Ltd.</t>
  </si>
  <si>
    <t>INE586B01026</t>
  </si>
  <si>
    <t>Leisure Services</t>
  </si>
  <si>
    <t>100106</t>
  </si>
  <si>
    <t>Maruti Suzuki India Ltd.</t>
  </si>
  <si>
    <t>INE585B01010</t>
  </si>
  <si>
    <t>Automobiles</t>
  </si>
  <si>
    <t>100092</t>
  </si>
  <si>
    <t>Bank of Baroda</t>
  </si>
  <si>
    <t>INE028A01039</t>
  </si>
  <si>
    <t>100417</t>
  </si>
  <si>
    <t>CEAT Ltd.</t>
  </si>
  <si>
    <t>INE482A01020</t>
  </si>
  <si>
    <t>Auto Components</t>
  </si>
  <si>
    <t>100161</t>
  </si>
  <si>
    <t>Cummins India Ltd.</t>
  </si>
  <si>
    <t>INE298A01020</t>
  </si>
  <si>
    <t>Industrial Products</t>
  </si>
  <si>
    <t>100282</t>
  </si>
  <si>
    <t>Blue Star Ltd.</t>
  </si>
  <si>
    <t>INE472A01039</t>
  </si>
  <si>
    <t>Consumer Durables</t>
  </si>
  <si>
    <t>100095</t>
  </si>
  <si>
    <t>Bharti Airtel Ltd.</t>
  </si>
  <si>
    <t>INE397D01024</t>
  </si>
  <si>
    <t>Telecom - Services</t>
  </si>
  <si>
    <t>100775</t>
  </si>
  <si>
    <t>Lemon Tree Hotels Ltd.</t>
  </si>
  <si>
    <t>INE970X01018</t>
  </si>
  <si>
    <t>100221</t>
  </si>
  <si>
    <t>Sundram Fasteners Ltd.</t>
  </si>
  <si>
    <t>INE387A01021</t>
  </si>
  <si>
    <t>100055</t>
  </si>
  <si>
    <t>The Federal Bank Ltd.</t>
  </si>
  <si>
    <t>INE171A01029</t>
  </si>
  <si>
    <t>100444</t>
  </si>
  <si>
    <t>PCBL Ltd.</t>
  </si>
  <si>
    <t>INE602A01031</t>
  </si>
  <si>
    <t>Chemicals &amp; Petrochemicals</t>
  </si>
  <si>
    <t>100302</t>
  </si>
  <si>
    <t>DLF Ltd.</t>
  </si>
  <si>
    <t>INE271C01023</t>
  </si>
  <si>
    <t>Realty</t>
  </si>
  <si>
    <t>100752</t>
  </si>
  <si>
    <t>Praj Industries Ltd.</t>
  </si>
  <si>
    <t>INE074A01025</t>
  </si>
  <si>
    <t>Industrial Manufacturing</t>
  </si>
  <si>
    <t>100896</t>
  </si>
  <si>
    <t>Polycab India Ltd.</t>
  </si>
  <si>
    <t>INE455K01017</t>
  </si>
  <si>
    <t>101306</t>
  </si>
  <si>
    <t>Apollo Pipes Ltd.</t>
  </si>
  <si>
    <t>INE126J01016</t>
  </si>
  <si>
    <t>100281</t>
  </si>
  <si>
    <t>Century Textiles &amp; Industries Ltd.</t>
  </si>
  <si>
    <t>INE055A01016</t>
  </si>
  <si>
    <t>Paper, Forest &amp; Jute Products</t>
  </si>
  <si>
    <t>100143</t>
  </si>
  <si>
    <t>Thermax Ltd.</t>
  </si>
  <si>
    <t>INE152A01029</t>
  </si>
  <si>
    <t>Electrical Equipment</t>
  </si>
  <si>
    <t>100314</t>
  </si>
  <si>
    <t>SRF Ltd.</t>
  </si>
  <si>
    <t>INE647A01010</t>
  </si>
  <si>
    <t>100654</t>
  </si>
  <si>
    <t>Automotive Axles Ltd.</t>
  </si>
  <si>
    <t>INE449A01011</t>
  </si>
  <si>
    <t>100184</t>
  </si>
  <si>
    <t>Tata Steel Ltd.</t>
  </si>
  <si>
    <t>INE081A01020</t>
  </si>
  <si>
    <t>Ferrous Metals</t>
  </si>
  <si>
    <t>100014</t>
  </si>
  <si>
    <t>Mahindra &amp; Mahindra Ltd.</t>
  </si>
  <si>
    <t>INE101A01026</t>
  </si>
  <si>
    <t>100728</t>
  </si>
  <si>
    <t>Welspun Corp Ltd.</t>
  </si>
  <si>
    <t>INE191B01025</t>
  </si>
  <si>
    <t>100104</t>
  </si>
  <si>
    <t>Kotak Mahindra Bank Ltd.</t>
  </si>
  <si>
    <t>INE237A01028</t>
  </si>
  <si>
    <t>100115</t>
  </si>
  <si>
    <t>Siemens Ltd.</t>
  </si>
  <si>
    <t>INE003A01024</t>
  </si>
  <si>
    <t>100315</t>
  </si>
  <si>
    <t>Prestige Estates Projects Ltd.</t>
  </si>
  <si>
    <t>INE811K01011</t>
  </si>
  <si>
    <t>100461</t>
  </si>
  <si>
    <t>Astral Limited</t>
  </si>
  <si>
    <t>INE006I01046</t>
  </si>
  <si>
    <t>101574</t>
  </si>
  <si>
    <t>Linde India Ltd.</t>
  </si>
  <si>
    <t>INE473A01011</t>
  </si>
  <si>
    <t>100180</t>
  </si>
  <si>
    <t>Hindalco Industries Ltd.</t>
  </si>
  <si>
    <t>INE038A01020</t>
  </si>
  <si>
    <t>Non - Ferrous Metals</t>
  </si>
  <si>
    <t>100399</t>
  </si>
  <si>
    <t>Cholamandalam Investment &amp; Finance Co. Ltd.</t>
  </si>
  <si>
    <t>INE121A01024</t>
  </si>
  <si>
    <t>Finance</t>
  </si>
  <si>
    <t>101348</t>
  </si>
  <si>
    <t>Ami Organics Ltd.</t>
  </si>
  <si>
    <t>INE00FF01017</t>
  </si>
  <si>
    <t>Pharmaceuticals &amp; Biotechnology</t>
  </si>
  <si>
    <t>100740</t>
  </si>
  <si>
    <t>Sterlite Technologies Ltd.</t>
  </si>
  <si>
    <t>INE089C01029</t>
  </si>
  <si>
    <t>100128</t>
  </si>
  <si>
    <t>Eicher Motors Ltd.</t>
  </si>
  <si>
    <t>INE066A01021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</si>
  <si>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</si>
  <si>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</si>
  <si>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</si>
  <si>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</si>
  <si>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</si>
  <si>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</si>
  <si>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</si>
  <si>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</si>
  <si>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</si>
  <si>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</si>
  <si>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</si>
  <si>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</si>
  <si>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</si>
  <si>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</si>
  <si>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</si>
  <si>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</si>
  <si>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</si>
  <si>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</si>
  <si>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</si>
  <si>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</si>
  <si>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</si>
  <si>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</si>
  <si>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</si>
  <si>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</si>
  <si>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</si>
  <si>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</si>
  <si>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</si>
  <si>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</si>
  <si>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</si>
  <si>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</si>
  <si>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</si>
  <si>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</si>
  <si>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</si>
  <si>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</si>
  <si>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</si>
  <si>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</si>
  <si>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</si>
  <si>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</si>
  <si>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</si>
  <si>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November 30, 2022 : 41.59)</t>
  </si>
  <si>
    <t>Taurus Infrastructure Fund - Direct Plan Growth Option</t>
  </si>
  <si>
    <t>NAV [Rs.] Per Unit (as on November 30, 2022 : 44.07)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</si>
</sst>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169333</xdr:colOff>
      <xdr:row>0</xdr:row>
      <xdr:rowOff>135467</xdr:rowOff>
    </xdr:from>
    <xdr:to>
      <xdr:col>5</xdr:col>
      <xdr:colOff>32512</xdr:colOff>
      <xdr:row>0</xdr:row>
      <xdr:rowOff>2058755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135467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8"/>
  <sheetViews>
    <sheetView showGridLines="0" tabSelected="1" zoomScale="90" zoomScaleNormal="90" workbookViewId="0">
      <selection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77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44895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1571</v>
      </c>
      <c r="H10" s="32">
        <v>42.93</v>
      </c>
      <c r="I10" s="32">
        <v>7.55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35.71</v>
      </c>
      <c r="I11" s="32">
        <v>6.28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2854</v>
      </c>
      <c r="H12" s="32">
        <v>25.15</v>
      </c>
      <c r="I12" s="32">
        <v>4.42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4311</v>
      </c>
      <c r="H13" s="32">
        <v>24.63</v>
      </c>
      <c r="I13" s="32">
        <v>4.33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2304</v>
      </c>
      <c r="H14" s="32">
        <v>20.77</v>
      </c>
      <c r="I14" s="32">
        <v>3.65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11979</v>
      </c>
      <c r="H15" s="32">
        <v>20.63</v>
      </c>
      <c r="I15" s="32">
        <v>3.63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8935</v>
      </c>
      <c r="H16" s="32">
        <v>19.920000000000002</v>
      </c>
      <c r="I16" s="32">
        <v>3.5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216</v>
      </c>
      <c r="H17" s="32">
        <v>19.39</v>
      </c>
      <c r="I17" s="32">
        <v>3.41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34</v>
      </c>
      <c r="G18" s="31">
        <v>11480</v>
      </c>
      <c r="H18" s="32">
        <v>19.079999999999998</v>
      </c>
      <c r="I18" s="32">
        <v>3.35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1012</v>
      </c>
      <c r="H19" s="32">
        <v>19.059999999999999</v>
      </c>
      <c r="I19" s="32">
        <v>3.35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1147</v>
      </c>
      <c r="H20" s="32">
        <v>16.22</v>
      </c>
      <c r="I20" s="32">
        <v>2.85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1319</v>
      </c>
      <c r="H21" s="32">
        <v>16.16</v>
      </c>
      <c r="I21" s="32">
        <v>2.84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1708</v>
      </c>
      <c r="H22" s="32">
        <v>14.49</v>
      </c>
      <c r="I22" s="32">
        <v>2.5499999999999998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42</v>
      </c>
      <c r="G23" s="31">
        <v>14037</v>
      </c>
      <c r="H23" s="32">
        <v>14.23</v>
      </c>
      <c r="I23" s="32">
        <v>2.5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53</v>
      </c>
      <c r="G24" s="31">
        <v>1496</v>
      </c>
      <c r="H24" s="32">
        <v>13.67</v>
      </c>
      <c r="I24" s="32">
        <v>2.4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34</v>
      </c>
      <c r="G25" s="31">
        <v>9469</v>
      </c>
      <c r="H25" s="32">
        <v>12.44</v>
      </c>
      <c r="I25" s="32">
        <v>2.19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8728</v>
      </c>
      <c r="H26" s="32">
        <v>12.39</v>
      </c>
      <c r="I26" s="32">
        <v>2.1800000000000002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3074</v>
      </c>
      <c r="H27" s="32">
        <v>12.38</v>
      </c>
      <c r="I27" s="32">
        <v>2.1800000000000002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3086</v>
      </c>
      <c r="H28" s="32">
        <v>12.08</v>
      </c>
      <c r="I28" s="32">
        <v>2.12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57</v>
      </c>
      <c r="G29" s="31">
        <v>466</v>
      </c>
      <c r="H29" s="32">
        <v>11.95</v>
      </c>
      <c r="I29" s="32">
        <v>2.1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57</v>
      </c>
      <c r="G30" s="31">
        <v>2443</v>
      </c>
      <c r="H30" s="32">
        <v>11.93</v>
      </c>
      <c r="I30" s="32">
        <v>2.1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1415</v>
      </c>
      <c r="H31" s="32">
        <v>11.45</v>
      </c>
      <c r="I31" s="32">
        <v>2.0099999999999998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491</v>
      </c>
      <c r="H32" s="32">
        <v>10.050000000000001</v>
      </c>
      <c r="I32" s="32">
        <v>1.77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78</v>
      </c>
      <c r="G33" s="31">
        <v>419</v>
      </c>
      <c r="H33" s="32">
        <v>9.9</v>
      </c>
      <c r="I33" s="32">
        <v>1.74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53</v>
      </c>
      <c r="G34" s="31">
        <v>493</v>
      </c>
      <c r="H34" s="32">
        <v>9.89</v>
      </c>
      <c r="I34" s="32">
        <v>1.74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8737</v>
      </c>
      <c r="H35" s="32">
        <v>9.41</v>
      </c>
      <c r="I35" s="32">
        <v>1.65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46</v>
      </c>
      <c r="G36" s="31">
        <v>675</v>
      </c>
      <c r="H36" s="32">
        <v>8.82</v>
      </c>
      <c r="I36" s="32">
        <v>1.55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57</v>
      </c>
      <c r="G37" s="31">
        <v>3490</v>
      </c>
      <c r="H37" s="32">
        <v>8.74</v>
      </c>
      <c r="I37" s="32">
        <v>1.54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34</v>
      </c>
      <c r="G38" s="31">
        <v>414</v>
      </c>
      <c r="H38" s="32">
        <v>8.0500000000000007</v>
      </c>
      <c r="I38" s="32">
        <v>1.42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100</v>
      </c>
      <c r="G39" s="31">
        <v>290</v>
      </c>
      <c r="H39" s="32">
        <v>8.0500000000000007</v>
      </c>
      <c r="I39" s="32">
        <v>1.42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82</v>
      </c>
      <c r="G40" s="31">
        <v>1692</v>
      </c>
      <c r="H40" s="32">
        <v>8.0299999999999994</v>
      </c>
      <c r="I40" s="32">
        <v>1.41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57</v>
      </c>
      <c r="G41" s="31">
        <v>417</v>
      </c>
      <c r="H41" s="32">
        <v>7.86</v>
      </c>
      <c r="I41" s="32">
        <v>1.38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78</v>
      </c>
      <c r="G42" s="31">
        <v>253</v>
      </c>
      <c r="H42" s="32">
        <v>7.74</v>
      </c>
      <c r="I42" s="32">
        <v>1.36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1713</v>
      </c>
      <c r="H43" s="32">
        <v>7.72</v>
      </c>
      <c r="I43" s="32">
        <v>1.36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1046</v>
      </c>
      <c r="H44" s="32">
        <v>7.5</v>
      </c>
      <c r="I44" s="32">
        <v>1.32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742</v>
      </c>
      <c r="H45" s="32">
        <v>7.23</v>
      </c>
      <c r="I45" s="32">
        <v>1.27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65</v>
      </c>
      <c r="G46" s="31">
        <v>3850</v>
      </c>
      <c r="H46" s="32">
        <v>6.83</v>
      </c>
      <c r="I46" s="32">
        <v>1.2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46</v>
      </c>
      <c r="G47" s="31">
        <v>170</v>
      </c>
      <c r="H47" s="32">
        <v>5.93</v>
      </c>
      <c r="I47" s="32">
        <v>1.04</v>
      </c>
      <c r="J47" s="33"/>
    </row>
    <row r="48" spans="2:10">
      <c r="C48" s="28" t="s">
        <v>150</v>
      </c>
      <c r="D48" s="29"/>
      <c r="E48" s="30"/>
      <c r="F48" s="30"/>
      <c r="G48" s="31"/>
      <c r="H48" s="35">
        <v>538.41</v>
      </c>
      <c r="I48" s="35">
        <v>94.66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151</v>
      </c>
      <c r="D50" s="29"/>
      <c r="E50" s="30"/>
      <c r="F50" s="30"/>
      <c r="G50" s="31"/>
      <c r="H50" s="32" t="s">
        <v>152</v>
      </c>
      <c r="I50" s="32" t="s">
        <v>152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153</v>
      </c>
      <c r="D52" s="29"/>
      <c r="E52" s="30"/>
      <c r="F52" s="30"/>
      <c r="G52" s="31"/>
      <c r="H52" s="32" t="s">
        <v>152</v>
      </c>
      <c r="I52" s="32" t="s">
        <v>152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154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155</v>
      </c>
      <c r="D56" s="29"/>
      <c r="E56" s="30"/>
      <c r="F56" s="30"/>
      <c r="G56" s="31"/>
      <c r="H56" s="32" t="s">
        <v>152</v>
      </c>
      <c r="I56" s="32" t="s">
        <v>152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156</v>
      </c>
      <c r="D58" s="29"/>
      <c r="E58" s="30"/>
      <c r="F58" s="30"/>
      <c r="G58" s="31"/>
      <c r="H58" s="32" t="s">
        <v>152</v>
      </c>
      <c r="I58" s="32" t="s">
        <v>152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157</v>
      </c>
      <c r="D60" s="29"/>
      <c r="E60" s="30"/>
      <c r="F60" s="30"/>
      <c r="G60" s="31"/>
      <c r="H60" s="32" t="s">
        <v>152</v>
      </c>
      <c r="I60" s="32" t="s">
        <v>152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158</v>
      </c>
      <c r="D62" s="29"/>
      <c r="E62" s="30"/>
      <c r="F62" s="30"/>
      <c r="G62" s="31"/>
      <c r="H62" s="32" t="s">
        <v>152</v>
      </c>
      <c r="I62" s="32" t="s">
        <v>152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159</v>
      </c>
      <c r="D64" s="29"/>
      <c r="E64" s="30"/>
      <c r="F64" s="30"/>
      <c r="G64" s="31"/>
      <c r="H64" s="32" t="s">
        <v>152</v>
      </c>
      <c r="I64" s="32" t="s">
        <v>152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160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161</v>
      </c>
      <c r="D68" s="29"/>
      <c r="E68" s="30"/>
      <c r="F68" s="30"/>
      <c r="G68" s="31"/>
      <c r="H68" s="32" t="s">
        <v>152</v>
      </c>
      <c r="I68" s="32" t="s">
        <v>152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162</v>
      </c>
      <c r="D70" s="29"/>
      <c r="E70" s="30"/>
      <c r="F70" s="30"/>
      <c r="G70" s="31"/>
      <c r="H70" s="32" t="s">
        <v>152</v>
      </c>
      <c r="I70" s="32" t="s">
        <v>152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163</v>
      </c>
      <c r="D72" s="29"/>
      <c r="E72" s="30"/>
      <c r="F72" s="30"/>
      <c r="G72" s="31"/>
      <c r="H72" s="32" t="s">
        <v>152</v>
      </c>
      <c r="I72" s="32" t="s">
        <v>152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164</v>
      </c>
      <c r="D74" s="29"/>
      <c r="E74" s="30"/>
      <c r="F74" s="30"/>
      <c r="G74" s="31"/>
      <c r="H74" s="32" t="s">
        <v>152</v>
      </c>
      <c r="I74" s="32" t="s">
        <v>152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165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166</v>
      </c>
      <c r="D78" s="29"/>
      <c r="E78" s="30"/>
      <c r="F78" s="30"/>
      <c r="G78" s="31"/>
      <c r="H78" s="32" t="s">
        <v>152</v>
      </c>
      <c r="I78" s="32" t="s">
        <v>152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167</v>
      </c>
      <c r="D80" s="29"/>
      <c r="E80" s="30"/>
      <c r="F80" s="30"/>
      <c r="G80" s="31"/>
      <c r="H80" s="32" t="s">
        <v>152</v>
      </c>
      <c r="I80" s="32" t="s">
        <v>152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168</v>
      </c>
      <c r="D82" s="29"/>
      <c r="E82" s="30"/>
      <c r="F82" s="30"/>
      <c r="G82" s="31"/>
      <c r="H82" s="32" t="s">
        <v>152</v>
      </c>
      <c r="I82" s="32" t="s">
        <v>152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169</v>
      </c>
      <c r="D84" s="29"/>
      <c r="E84" s="30"/>
      <c r="F84" s="30"/>
      <c r="G84" s="31"/>
      <c r="H84" s="32" t="s">
        <v>152</v>
      </c>
      <c r="I84" s="32" t="s">
        <v>152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170</v>
      </c>
      <c r="D86" s="29"/>
      <c r="E86" s="30"/>
      <c r="F86" s="30"/>
      <c r="G86" s="31"/>
      <c r="H86" s="32" t="s">
        <v>152</v>
      </c>
      <c r="I86" s="32" t="s">
        <v>152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171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172</v>
      </c>
      <c r="D89" s="29"/>
      <c r="E89" s="30"/>
      <c r="F89" s="30"/>
      <c r="G89" s="31"/>
      <c r="H89" s="32">
        <v>30.29</v>
      </c>
      <c r="I89" s="32">
        <v>5.34</v>
      </c>
      <c r="J89" s="33"/>
    </row>
    <row r="90" spans="1:10">
      <c r="C90" s="28" t="s">
        <v>150</v>
      </c>
      <c r="D90" s="29"/>
      <c r="E90" s="30"/>
      <c r="F90" s="30"/>
      <c r="G90" s="31"/>
      <c r="H90" s="35">
        <v>30.29</v>
      </c>
      <c r="I90" s="35">
        <v>5.34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3.8" thickBot="1">
      <c r="C92" s="36" t="s">
        <v>173</v>
      </c>
      <c r="D92" s="37"/>
      <c r="E92" s="38"/>
      <c r="F92" s="39"/>
      <c r="G92" s="40"/>
      <c r="H92" s="41">
        <v>568.70000000000005</v>
      </c>
      <c r="I92" s="41">
        <f>SUMIFS(I:I,C:C,"Total")</f>
        <v>100</v>
      </c>
      <c r="J92" s="42"/>
    </row>
    <row r="95" spans="1:10">
      <c r="C95" s="11" t="s">
        <v>174</v>
      </c>
    </row>
    <row r="96" spans="1:10">
      <c r="C96" s="2" t="s">
        <v>175</v>
      </c>
    </row>
    <row r="97" spans="3:3">
      <c r="C97" s="2" t="s">
        <v>176</v>
      </c>
    </row>
    <row r="98" spans="3:3">
      <c r="C98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B4" sqref="B4:J18"/>
    </sheetView>
  </sheetViews>
  <sheetFormatPr defaultRowHeight="14.4"/>
  <cols>
    <col min="2" max="2" width="46.3320312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178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179</v>
      </c>
      <c r="C5" s="46" t="s">
        <v>180</v>
      </c>
      <c r="D5" s="46"/>
      <c r="E5" s="46" t="s">
        <v>181</v>
      </c>
      <c r="F5" s="46"/>
      <c r="G5" s="46" t="s">
        <v>182</v>
      </c>
      <c r="H5" s="46"/>
      <c r="I5" s="46" t="s">
        <v>183</v>
      </c>
      <c r="J5" s="46"/>
    </row>
    <row r="6" spans="2:10" ht="66">
      <c r="B6" s="47"/>
      <c r="C6" s="48" t="s">
        <v>184</v>
      </c>
      <c r="D6" s="48" t="s">
        <v>185</v>
      </c>
      <c r="E6" s="48" t="s">
        <v>184</v>
      </c>
      <c r="F6" s="48" t="s">
        <v>185</v>
      </c>
      <c r="G6" s="48" t="s">
        <v>184</v>
      </c>
      <c r="H6" s="48" t="s">
        <v>185</v>
      </c>
      <c r="I6" s="48" t="s">
        <v>184</v>
      </c>
      <c r="J6" s="48" t="s">
        <v>185</v>
      </c>
    </row>
    <row r="7" spans="2:10">
      <c r="B7" s="49" t="s">
        <v>186</v>
      </c>
      <c r="C7" s="50">
        <v>11.17348302592891</v>
      </c>
      <c r="D7" s="50">
        <v>11117.348302592891</v>
      </c>
      <c r="E7" s="50">
        <v>19.382468929510633</v>
      </c>
      <c r="F7" s="50">
        <v>17031.122031122031</v>
      </c>
      <c r="G7" s="50">
        <v>10.220520266480548</v>
      </c>
      <c r="H7" s="50">
        <v>16271.51799687011</v>
      </c>
      <c r="I7" s="50">
        <v>9.4692997881320693</v>
      </c>
      <c r="J7" s="50">
        <v>41590</v>
      </c>
    </row>
    <row r="8" spans="2:10">
      <c r="B8" s="49" t="s">
        <v>187</v>
      </c>
      <c r="C8" s="50">
        <v>11.497545466025748</v>
      </c>
      <c r="D8" s="50">
        <v>11149.754546602575</v>
      </c>
      <c r="E8" s="50">
        <v>19.79126577338657</v>
      </c>
      <c r="F8" s="50">
        <v>17189.983575076039</v>
      </c>
      <c r="G8" s="50">
        <v>11.046208965639149</v>
      </c>
      <c r="H8" s="50">
        <v>16885.684997460248</v>
      </c>
      <c r="I8" s="50">
        <v>5.5810658098322641</v>
      </c>
      <c r="J8" s="50">
        <v>23523.195206950437</v>
      </c>
    </row>
    <row r="9" spans="2:10">
      <c r="B9" s="49" t="s">
        <v>188</v>
      </c>
      <c r="C9" s="50">
        <v>11.931290069610267</v>
      </c>
      <c r="D9" s="50">
        <v>11193.129006961026</v>
      </c>
      <c r="E9" s="50">
        <v>17.224616227246557</v>
      </c>
      <c r="F9" s="50">
        <v>16108.550347465627</v>
      </c>
      <c r="G9" s="50">
        <v>14.315814346076849</v>
      </c>
      <c r="H9" s="50">
        <v>19522.326520255341</v>
      </c>
      <c r="I9" s="50">
        <v>12.439394438609819</v>
      </c>
      <c r="J9" s="50">
        <v>63387.149013659262</v>
      </c>
    </row>
    <row r="10" spans="2:10">
      <c r="B10" s="49" t="s">
        <v>189</v>
      </c>
      <c r="C10" s="51">
        <v>37.409999999999997</v>
      </c>
      <c r="D10" s="52"/>
      <c r="E10" s="51">
        <v>24.42</v>
      </c>
      <c r="F10" s="52"/>
      <c r="G10" s="51">
        <v>25.56</v>
      </c>
      <c r="H10" s="52"/>
      <c r="I10" s="51">
        <v>10</v>
      </c>
      <c r="J10" s="52"/>
    </row>
    <row r="12" spans="2:10" ht="15.6">
      <c r="B12" s="43" t="s">
        <v>190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179</v>
      </c>
      <c r="C13" s="46" t="s">
        <v>180</v>
      </c>
      <c r="D13" s="46"/>
      <c r="E13" s="46" t="s">
        <v>181</v>
      </c>
      <c r="F13" s="46"/>
      <c r="G13" s="46" t="s">
        <v>182</v>
      </c>
      <c r="H13" s="46"/>
      <c r="I13" s="46" t="s">
        <v>183</v>
      </c>
      <c r="J13" s="46"/>
    </row>
    <row r="14" spans="2:10" ht="66">
      <c r="B14" s="47"/>
      <c r="C14" s="48" t="s">
        <v>184</v>
      </c>
      <c r="D14" s="48" t="s">
        <v>185</v>
      </c>
      <c r="E14" s="48" t="s">
        <v>184</v>
      </c>
      <c r="F14" s="48" t="s">
        <v>185</v>
      </c>
      <c r="G14" s="48" t="s">
        <v>184</v>
      </c>
      <c r="H14" s="48" t="s">
        <v>185</v>
      </c>
      <c r="I14" s="48" t="s">
        <v>184</v>
      </c>
      <c r="J14" s="48" t="s">
        <v>185</v>
      </c>
    </row>
    <row r="15" spans="2:10">
      <c r="B15" s="49" t="s">
        <v>186</v>
      </c>
      <c r="C15" s="50">
        <v>11.569620253164548</v>
      </c>
      <c r="D15" s="50">
        <v>11156.962025316456</v>
      </c>
      <c r="E15" s="50">
        <v>19.856180970188241</v>
      </c>
      <c r="F15" s="50">
        <v>17235.041063746579</v>
      </c>
      <c r="G15" s="50">
        <v>10.693593872531327</v>
      </c>
      <c r="H15" s="50">
        <v>16623.915503583554</v>
      </c>
      <c r="I15" s="50">
        <v>13.258267184742989</v>
      </c>
      <c r="J15" s="50">
        <v>34375.975039001562</v>
      </c>
    </row>
    <row r="16" spans="2:10">
      <c r="B16" s="49" t="s">
        <v>187</v>
      </c>
      <c r="C16" s="50">
        <v>11.497545466025748</v>
      </c>
      <c r="D16" s="50">
        <v>11149.754546602575</v>
      </c>
      <c r="E16" s="50">
        <v>19.79126577338657</v>
      </c>
      <c r="F16" s="50">
        <v>17189.983575076039</v>
      </c>
      <c r="G16" s="50">
        <v>11.046208965639149</v>
      </c>
      <c r="H16" s="50">
        <v>16885.684997460248</v>
      </c>
      <c r="I16" s="50">
        <v>9.3577916111190937</v>
      </c>
      <c r="J16" s="50">
        <v>24283.103210577992</v>
      </c>
    </row>
    <row r="17" spans="2:10">
      <c r="B17" s="49" t="s">
        <v>188</v>
      </c>
      <c r="C17" s="50">
        <v>11.931290069610267</v>
      </c>
      <c r="D17" s="50">
        <v>11193.129006961026</v>
      </c>
      <c r="E17" s="50">
        <v>17.224616227246557</v>
      </c>
      <c r="F17" s="50">
        <v>16108.550347465627</v>
      </c>
      <c r="G17" s="50">
        <v>14.315814346076849</v>
      </c>
      <c r="H17" s="50">
        <v>19522.326520255341</v>
      </c>
      <c r="I17" s="50">
        <v>13.674958569647577</v>
      </c>
      <c r="J17" s="50">
        <v>35651.093608266827</v>
      </c>
    </row>
    <row r="18" spans="2:10">
      <c r="B18" s="49" t="s">
        <v>191</v>
      </c>
      <c r="C18" s="51">
        <v>39.5</v>
      </c>
      <c r="D18" s="52"/>
      <c r="E18" s="51">
        <v>25.57</v>
      </c>
      <c r="F18" s="52"/>
      <c r="G18" s="51">
        <v>26.51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2022-12-01T10:12:27Z</dcterms:created>
  <dcterms:modified xsi:type="dcterms:W3CDTF">2022-12-09T06:26:34Z</dcterms:modified>
</cp:coreProperties>
</file>