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NOV 2023\Portfolio\OPS\TMF_Monthly_Portfolio_Report_Oct 23\"/>
    </mc:Choice>
  </mc:AlternateContent>
  <xr:revisionPtr revIDLastSave="0" documentId="13_ncr:1_{FAC34BC6-5952-4514-BA75-3EFE3A0F5E01}" xr6:coauthVersionLast="47" xr6:coauthVersionMax="47" xr10:uidLastSave="{00000000-0000-0000-0000-000000000000}"/>
  <bookViews>
    <workbookView xWindow="-120" yWindow="-120" windowWidth="20730" windowHeight="11160" xr2:uid="{E6DC40AD-D350-4026-84F5-9E68E9943B21}"/>
  </bookViews>
  <sheets>
    <sheet name="TISF-Risk-O-Meter &amp; Performance" sheetId="1" r:id="rId1"/>
    <sheet name="TISF-Performance" sheetId="2" r:id="rId2"/>
  </sheets>
  <externalReferences>
    <externalReference r:id="rId3"/>
  </externalReferences>
  <definedNames>
    <definedName name="XDO_?CLASS_3?4?">'TISF-Risk-O-Meter &amp; Performance'!$C$8:$C$36</definedName>
    <definedName name="XDO_?FINAL_ISIN?7?">'TISF-Risk-O-Meter &amp; Performance'!$D$10:$D$36</definedName>
    <definedName name="XDO_?FINAL_ISIN?8?">'TISF-Risk-O-Meter &amp; Performance'!$D$10:$D$78</definedName>
    <definedName name="XDO_?FINAL_MV?7?">'TISF-Risk-O-Meter &amp; Performance'!$H$10:$H$36</definedName>
    <definedName name="XDO_?FINAL_MV?8?">'TISF-Risk-O-Meter &amp; Performance'!$H$10:$H$78</definedName>
    <definedName name="XDO_?FINAL_NAME?7?">'TISF-Risk-O-Meter &amp; Performance'!$C$10:$C$36</definedName>
    <definedName name="XDO_?FINAL_NAME?8?">'TISF-Risk-O-Meter &amp; Performance'!$C$10:$C$78</definedName>
    <definedName name="XDO_?FINAL_PER_NET?7?">'TISF-Risk-O-Meter &amp; Performance'!$I$10:$I$36</definedName>
    <definedName name="XDO_?FINAL_PER_NET?8?">'TISF-Risk-O-Meter &amp; Performance'!$I$10:$I$78</definedName>
    <definedName name="XDO_?FINAL_QUANTITE?7?">'TISF-Risk-O-Meter &amp; Performance'!$G$10:$G$36</definedName>
    <definedName name="XDO_?FINAL_QUANTITE?8?">'TISF-Risk-O-Meter &amp; Performance'!$G$10:$G$78</definedName>
    <definedName name="XDO_?IND_01?7?">'TISF-Risk-O-Meter &amp; Performance'!$F$10:$F$36</definedName>
    <definedName name="XDO_?IND_01?8?">'TISF-Risk-O-Meter &amp; Performance'!$F$10:$F$78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'TISF-Risk-O-Meter &amp; Performance'!#REF!</definedName>
    <definedName name="XDO_?NAMC?5?">[1]TNI!#REF!</definedName>
    <definedName name="XDO_?NAMC?6?">[1]TSS!#REF!</definedName>
    <definedName name="XDO_?NAMC?7?">[1]TTS!#REF!</definedName>
    <definedName name="XDO_?NAMCNAME?4?">'TISF-Risk-O-Meter &amp; Performance'!$C$2:$C$36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'TISF-Risk-O-Meter &amp; Performance'!#REF!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'TISF-Risk-O-Meter &amp; Performance'!#REF!</definedName>
    <definedName name="XDO_?NNPTF?5?">[1]TNI!#REF!</definedName>
    <definedName name="XDO_?NNPTF?6?">[1]TSS!#REF!</definedName>
    <definedName name="XDO_?NNPTF?7?">[1]TTS!#REF!</definedName>
    <definedName name="XDO_?NOVAL?7?">'TISF-Risk-O-Meter &amp; Performance'!$B$10:$B$36</definedName>
    <definedName name="XDO_?NOVAL?8?">'TISF-Risk-O-Meter &amp; Performance'!$B$10:$B$78</definedName>
    <definedName name="XDO_?NPTF?4?">'TISF-Risk-O-Meter &amp; Performance'!$D$2:$D$36</definedName>
    <definedName name="XDO_?RATING?7?">'TISF-Risk-O-Meter &amp; Performance'!$E$10:$E$36</definedName>
    <definedName name="XDO_?RATING?8?">'TISF-Risk-O-Meter &amp; Performance'!$E$10:$E$78</definedName>
    <definedName name="XDO_?REMARKS?7?">'TISF-Risk-O-Meter &amp; Performance'!$J$10:$J$36</definedName>
    <definedName name="XDO_?REMARKS?8?">'TISF-Risk-O-Meter &amp; Performance'!$J$10:$J$78</definedName>
    <definedName name="XDO_?TITL?4?">'TISF-Risk-O-Meter &amp; Performance'!$A$8:$A$36</definedName>
    <definedName name="XDO_GROUP_?G_2?4?">'TISF-Risk-O-Meter &amp; Performance'!$2:$81</definedName>
    <definedName name="XDO_GROUP_?G_3?4?">'TISF-Risk-O-Meter &amp; Performance'!$8:$80</definedName>
    <definedName name="XDO_GROUP_?G_4?7?">'TISF-Risk-O-Meter &amp; Performance'!$B$10:$IV$36</definedName>
    <definedName name="XDO_GROUP_?G_4?8?">'TISF-Risk-O-Meter &amp; Performance'!$B$78:$IV$78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1" i="1" l="1"/>
</calcChain>
</file>

<file path=xl/sharedStrings.xml><?xml version="1.0" encoding="utf-8"?>
<sst xmlns="http://schemas.openxmlformats.org/spreadsheetml/2006/main" count="220" uniqueCount="159">
  <si>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</si>
  <si>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</si>
  <si>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</si>
  <si>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</si>
  <si>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</si>
  <si>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</si>
  <si>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</si>
  <si>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</si>
  <si>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</si>
  <si>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</si>
  <si>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</si>
  <si>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</si>
  <si>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</si>
  <si>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</si>
  <si>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</si>
  <si>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100095</t>
  </si>
  <si>
    <t>Bharti Airtel Ltd.</t>
  </si>
  <si>
    <t>INE397D01024</t>
  </si>
  <si>
    <t>Telecom - Services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</si>
  <si>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</si>
  <si>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</si>
  <si>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</si>
  <si>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</si>
  <si>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</si>
  <si>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</si>
  <si>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</si>
  <si>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</si>
  <si>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100281</t>
  </si>
  <si>
    <t>Century Textiles &amp; Industries Ltd.</t>
  </si>
  <si>
    <t>INE055A01016</t>
  </si>
  <si>
    <t>Paper, Forest &amp; Jute Products</t>
  </si>
  <si>
    <t>100006</t>
  </si>
  <si>
    <t>HDFC Bank Ltd.</t>
  </si>
  <si>
    <t>INE040A01034</t>
  </si>
  <si>
    <t>Banks</t>
  </si>
  <si>
    <t>100181</t>
  </si>
  <si>
    <t>NTPC Ltd.</t>
  </si>
  <si>
    <t>INE733E01010</t>
  </si>
  <si>
    <t>Power</t>
  </si>
  <si>
    <t>101883</t>
  </si>
  <si>
    <t>Anant Raj Ltd.</t>
  </si>
  <si>
    <t>INE242C01024</t>
  </si>
  <si>
    <t>Realty</t>
  </si>
  <si>
    <t>100258</t>
  </si>
  <si>
    <t>Arvind Ltd.</t>
  </si>
  <si>
    <t>INE034A01011</t>
  </si>
  <si>
    <t>Textiles &amp; Apparels</t>
  </si>
  <si>
    <t>100180</t>
  </si>
  <si>
    <t>Hindalco Industries Ltd.</t>
  </si>
  <si>
    <t>INE038A01020</t>
  </si>
  <si>
    <t>Non - Ferrous Metals</t>
  </si>
  <si>
    <t>100302</t>
  </si>
  <si>
    <t>DLF Ltd.</t>
  </si>
  <si>
    <t>INE271C01023</t>
  </si>
  <si>
    <t>100752</t>
  </si>
  <si>
    <t>Praj Industries Ltd.</t>
  </si>
  <si>
    <t>INE074A01025</t>
  </si>
  <si>
    <t>Industrial Manufacturing</t>
  </si>
  <si>
    <t>100177</t>
  </si>
  <si>
    <t>Grasim Industries Ltd.</t>
  </si>
  <si>
    <t>INE047A01021</t>
  </si>
  <si>
    <t>Cement &amp; Cement Products</t>
  </si>
  <si>
    <t>100035</t>
  </si>
  <si>
    <t>NMDC Ltd.</t>
  </si>
  <si>
    <t>INE584A01023</t>
  </si>
  <si>
    <t>Minerals &amp; Mining</t>
  </si>
  <si>
    <t>101718</t>
  </si>
  <si>
    <t>Faze Three Ltd.</t>
  </si>
  <si>
    <t>INE963C01033</t>
  </si>
  <si>
    <t>101348</t>
  </si>
  <si>
    <t>Ami Organics Ltd.</t>
  </si>
  <si>
    <t>INE00FF01017</t>
  </si>
  <si>
    <t>Pharmaceuticals &amp; Biotechnology</t>
  </si>
  <si>
    <t>100082</t>
  </si>
  <si>
    <t>Ultratech Cement Ltd.</t>
  </si>
  <si>
    <t>INE481G01011</t>
  </si>
  <si>
    <t>101800</t>
  </si>
  <si>
    <t>Hindware Home Innovation Ltd.</t>
  </si>
  <si>
    <t>INE05AN01011</t>
  </si>
  <si>
    <t>Consumer Durables</t>
  </si>
  <si>
    <t>100719</t>
  </si>
  <si>
    <t>Mayur Uniquoters Ltd.</t>
  </si>
  <si>
    <t>INE040D01038</t>
  </si>
  <si>
    <t>100184</t>
  </si>
  <si>
    <t>Tata Steel Ltd.</t>
  </si>
  <si>
    <t>INE081A01020</t>
  </si>
  <si>
    <t>Ferrous Metals</t>
  </si>
  <si>
    <t>100090</t>
  </si>
  <si>
    <t>Bharat Forge Ltd.</t>
  </si>
  <si>
    <t>INE465A01025</t>
  </si>
  <si>
    <t>Industrial Products</t>
  </si>
  <si>
    <t>100018</t>
  </si>
  <si>
    <t>Tata Communications Ltd.</t>
  </si>
  <si>
    <t>INE151A01013</t>
  </si>
  <si>
    <t>100843</t>
  </si>
  <si>
    <t>Dalmia Bharat Ltd.</t>
  </si>
  <si>
    <t>INE00R701025</t>
  </si>
  <si>
    <t>100466</t>
  </si>
  <si>
    <t>Igarashi Motors India Ltd.</t>
  </si>
  <si>
    <t>INE188B01013</t>
  </si>
  <si>
    <t>Auto Components</t>
  </si>
  <si>
    <t>100944</t>
  </si>
  <si>
    <t>Mishra Dhatu Nigam Ltd.</t>
  </si>
  <si>
    <t>INE099Z01011</t>
  </si>
  <si>
    <t>Aerospace &amp; Defense</t>
  </si>
  <si>
    <t>100137</t>
  </si>
  <si>
    <t>The Ramco Cements Ltd.</t>
  </si>
  <si>
    <t>INE331A01037</t>
  </si>
  <si>
    <t>100263</t>
  </si>
  <si>
    <t>BEML Ltd.</t>
  </si>
  <si>
    <t>INE258A01016</t>
  </si>
  <si>
    <t>Agricultural, Commercial &amp; Construction Vehicles</t>
  </si>
  <si>
    <t>101848</t>
  </si>
  <si>
    <t>Shipping Corporation of India Land and Assets Ltd.</t>
  </si>
  <si>
    <t>INE0PB301013</t>
  </si>
  <si>
    <t>Transport Services</t>
  </si>
  <si>
    <t>A**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</si>
  <si>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</si>
  <si>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</si>
  <si>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</si>
  <si>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</si>
  <si>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</si>
  <si>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</si>
  <si>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</si>
  <si>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</si>
  <si>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</si>
  <si>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</si>
  <si>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</si>
  <si>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</si>
  <si>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</si>
  <si>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</si>
  <si>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</si>
  <si>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</si>
  <si>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</si>
  <si>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</si>
  <si>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</si>
  <si>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</si>
  <si>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</si>
  <si>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</si>
  <si>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</si>
  <si>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</si>
  <si>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</si>
  <si>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</si>
  <si>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</si>
  <si>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</si>
  <si>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Infrastructure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</si>
  <si>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</si>
  <si>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</si>
  <si>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</si>
  <si>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</si>
  <si>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</si>
  <si>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</si>
  <si>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</si>
  <si>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</si>
  <si>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</si>
  <si>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</si>
  <si>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Taurus Infrastructure Fund - Direct Plan Growth Option</t>
  </si>
  <si>
    <t>NAV [Rs.] Per Unit (as on October 31, 2023 : 49.15)</t>
  </si>
  <si>
    <t>NAV [Rs.] Per Unit (as on October 31, 2023 : 52.32)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</si>
</sst>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FA1470E9-E5B8-4961-B2C6-6520CFB186E5}"/>
    <cellStyle name="Hyperlink" xfId="2" builtinId="8"/>
    <cellStyle name="Normal" xfId="0" builtinId="0"/>
    <cellStyle name="Normal 2" xfId="4" xr:uid="{7BF28FB0-54D3-4E75-B446-151F63AFBDE1}"/>
    <cellStyle name="Style 1" xfId="3" xr:uid="{650312A8-A32C-4721-B608-31F45B1E9A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1830917</xdr:rowOff>
    </xdr:to>
    <xdr:pic>
      <xdr:nvPicPr>
        <xdr:cNvPr id="2" name="Picture 1" descr="Infra Prodcut label - 9th Dec 2022.jpg">
          <a:extLst>
            <a:ext uri="{FF2B5EF4-FFF2-40B4-BE49-F238E27FC236}">
              <a16:creationId xmlns:a16="http://schemas.microsoft.com/office/drawing/2014/main" id="{10D4A060-10C5-4A80-B4C4-BC0DCEAD1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8309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Oct%2023\Client%20Report\TMF_Monthly_Portfolio_Report_Oct%2023.xls" TargetMode="External"/><Relationship Id="rId1" Type="http://schemas.openxmlformats.org/officeDocument/2006/relationships/externalLinkPath" Target="TMF_Monthly_Portfolio_Report_Oct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99E97-174E-471B-A38E-798D197885CA}">
  <dimension ref="A1:BB87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67.2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45230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4900</v>
      </c>
      <c r="H10" s="32">
        <v>44.8</v>
      </c>
      <c r="I10" s="32">
        <v>6.76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1875</v>
      </c>
      <c r="H11" s="32">
        <v>42.91</v>
      </c>
      <c r="I11" s="32">
        <v>6.48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1300</v>
      </c>
      <c r="H12" s="32">
        <v>38.07</v>
      </c>
      <c r="I12" s="32">
        <v>5.75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3350</v>
      </c>
      <c r="H13" s="32">
        <v>36.26</v>
      </c>
      <c r="I13" s="32">
        <v>5.47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2225</v>
      </c>
      <c r="H14" s="32">
        <v>32.86</v>
      </c>
      <c r="I14" s="32">
        <v>4.96</v>
      </c>
      <c r="J14" s="33"/>
    </row>
    <row r="15" spans="1:54" x14ac:dyDescent="0.25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13800</v>
      </c>
      <c r="H15" s="32">
        <v>32.549999999999997</v>
      </c>
      <c r="I15" s="32">
        <v>4.91</v>
      </c>
      <c r="J15" s="33"/>
    </row>
    <row r="16" spans="1:54" x14ac:dyDescent="0.25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12000</v>
      </c>
      <c r="H16" s="32">
        <v>29.14</v>
      </c>
      <c r="I16" s="32">
        <v>4.4000000000000004</v>
      </c>
      <c r="J16" s="33"/>
    </row>
    <row r="17" spans="2:10" x14ac:dyDescent="0.25">
      <c r="B17" s="1" t="s">
        <v>43</v>
      </c>
      <c r="C17" s="20" t="s">
        <v>44</v>
      </c>
      <c r="D17" s="29" t="s">
        <v>45</v>
      </c>
      <c r="E17" s="30"/>
      <c r="F17" s="30" t="s">
        <v>46</v>
      </c>
      <c r="G17" s="31">
        <v>14500</v>
      </c>
      <c r="H17" s="32">
        <v>28.41</v>
      </c>
      <c r="I17" s="32">
        <v>4.29</v>
      </c>
      <c r="J17" s="33"/>
    </row>
    <row r="18" spans="2:10" x14ac:dyDescent="0.25">
      <c r="B18" s="1" t="s">
        <v>47</v>
      </c>
      <c r="C18" s="20" t="s">
        <v>48</v>
      </c>
      <c r="D18" s="29" t="s">
        <v>49</v>
      </c>
      <c r="E18" s="30"/>
      <c r="F18" s="30" t="s">
        <v>50</v>
      </c>
      <c r="G18" s="31">
        <v>6001</v>
      </c>
      <c r="H18" s="32">
        <v>27.58</v>
      </c>
      <c r="I18" s="32">
        <v>4.16</v>
      </c>
      <c r="J18" s="33"/>
    </row>
    <row r="19" spans="2:10" x14ac:dyDescent="0.25">
      <c r="B19" s="1" t="s">
        <v>51</v>
      </c>
      <c r="C19" s="20" t="s">
        <v>52</v>
      </c>
      <c r="D19" s="29" t="s">
        <v>53</v>
      </c>
      <c r="E19" s="30"/>
      <c r="F19" s="30" t="s">
        <v>42</v>
      </c>
      <c r="G19" s="31">
        <v>4771</v>
      </c>
      <c r="H19" s="32">
        <v>26.88</v>
      </c>
      <c r="I19" s="32">
        <v>4.0599999999999996</v>
      </c>
      <c r="J19" s="33"/>
    </row>
    <row r="20" spans="2:10" x14ac:dyDescent="0.25">
      <c r="B20" s="1" t="s">
        <v>54</v>
      </c>
      <c r="C20" s="20" t="s">
        <v>55</v>
      </c>
      <c r="D20" s="29" t="s">
        <v>56</v>
      </c>
      <c r="E20" s="30"/>
      <c r="F20" s="30" t="s">
        <v>57</v>
      </c>
      <c r="G20" s="31">
        <v>5000</v>
      </c>
      <c r="H20" s="32">
        <v>26.78</v>
      </c>
      <c r="I20" s="32">
        <v>4.04</v>
      </c>
      <c r="J20" s="33"/>
    </row>
    <row r="21" spans="2:10" x14ac:dyDescent="0.25">
      <c r="B21" s="1" t="s">
        <v>58</v>
      </c>
      <c r="C21" s="20" t="s">
        <v>59</v>
      </c>
      <c r="D21" s="29" t="s">
        <v>60</v>
      </c>
      <c r="E21" s="30"/>
      <c r="F21" s="30" t="s">
        <v>61</v>
      </c>
      <c r="G21" s="31">
        <v>1350</v>
      </c>
      <c r="H21" s="32">
        <v>25.47</v>
      </c>
      <c r="I21" s="32">
        <v>3.84</v>
      </c>
      <c r="J21" s="33"/>
    </row>
    <row r="22" spans="2:10" x14ac:dyDescent="0.25">
      <c r="B22" s="1" t="s">
        <v>62</v>
      </c>
      <c r="C22" s="20" t="s">
        <v>63</v>
      </c>
      <c r="D22" s="29" t="s">
        <v>64</v>
      </c>
      <c r="E22" s="30"/>
      <c r="F22" s="30" t="s">
        <v>65</v>
      </c>
      <c r="G22" s="31">
        <v>16500</v>
      </c>
      <c r="H22" s="32">
        <v>25.44</v>
      </c>
      <c r="I22" s="32">
        <v>3.84</v>
      </c>
      <c r="J22" s="33"/>
    </row>
    <row r="23" spans="2:10" x14ac:dyDescent="0.25">
      <c r="B23" s="1" t="s">
        <v>66</v>
      </c>
      <c r="C23" s="20" t="s">
        <v>67</v>
      </c>
      <c r="D23" s="29" t="s">
        <v>68</v>
      </c>
      <c r="E23" s="30"/>
      <c r="F23" s="30" t="s">
        <v>46</v>
      </c>
      <c r="G23" s="31">
        <v>5500</v>
      </c>
      <c r="H23" s="32">
        <v>25.34</v>
      </c>
      <c r="I23" s="32">
        <v>3.82</v>
      </c>
      <c r="J23" s="33"/>
    </row>
    <row r="24" spans="2:10" x14ac:dyDescent="0.25">
      <c r="B24" s="1" t="s">
        <v>69</v>
      </c>
      <c r="C24" s="20" t="s">
        <v>70</v>
      </c>
      <c r="D24" s="29" t="s">
        <v>71</v>
      </c>
      <c r="E24" s="30"/>
      <c r="F24" s="30" t="s">
        <v>72</v>
      </c>
      <c r="G24" s="31">
        <v>2100</v>
      </c>
      <c r="H24" s="32">
        <v>24.7</v>
      </c>
      <c r="I24" s="32">
        <v>3.73</v>
      </c>
      <c r="J24" s="33"/>
    </row>
    <row r="25" spans="2:10" x14ac:dyDescent="0.25">
      <c r="B25" s="1" t="s">
        <v>73</v>
      </c>
      <c r="C25" s="20" t="s">
        <v>74</v>
      </c>
      <c r="D25" s="29" t="s">
        <v>75</v>
      </c>
      <c r="E25" s="30"/>
      <c r="F25" s="30" t="s">
        <v>61</v>
      </c>
      <c r="G25" s="31">
        <v>280</v>
      </c>
      <c r="H25" s="32">
        <v>23.6</v>
      </c>
      <c r="I25" s="32">
        <v>3.56</v>
      </c>
      <c r="J25" s="33"/>
    </row>
    <row r="26" spans="2:10" x14ac:dyDescent="0.25">
      <c r="B26" s="1" t="s">
        <v>76</v>
      </c>
      <c r="C26" s="20" t="s">
        <v>77</v>
      </c>
      <c r="D26" s="29" t="s">
        <v>78</v>
      </c>
      <c r="E26" s="30"/>
      <c r="F26" s="30" t="s">
        <v>79</v>
      </c>
      <c r="G26" s="31">
        <v>4418</v>
      </c>
      <c r="H26" s="32">
        <v>22.47</v>
      </c>
      <c r="I26" s="32">
        <v>3.39</v>
      </c>
      <c r="J26" s="33"/>
    </row>
    <row r="27" spans="2:10" x14ac:dyDescent="0.25">
      <c r="B27" s="1" t="s">
        <v>80</v>
      </c>
      <c r="C27" s="20" t="s">
        <v>81</v>
      </c>
      <c r="D27" s="29" t="s">
        <v>82</v>
      </c>
      <c r="E27" s="30"/>
      <c r="F27" s="30" t="s">
        <v>79</v>
      </c>
      <c r="G27" s="31">
        <v>4288</v>
      </c>
      <c r="H27" s="32">
        <v>22.43</v>
      </c>
      <c r="I27" s="32">
        <v>3.39</v>
      </c>
      <c r="J27" s="33"/>
    </row>
    <row r="28" spans="2:10" x14ac:dyDescent="0.25">
      <c r="B28" s="1" t="s">
        <v>83</v>
      </c>
      <c r="C28" s="20" t="s">
        <v>84</v>
      </c>
      <c r="D28" s="29" t="s">
        <v>85</v>
      </c>
      <c r="E28" s="30"/>
      <c r="F28" s="30" t="s">
        <v>86</v>
      </c>
      <c r="G28" s="31">
        <v>17300</v>
      </c>
      <c r="H28" s="32">
        <v>20.54</v>
      </c>
      <c r="I28" s="32">
        <v>3.1</v>
      </c>
      <c r="J28" s="33"/>
    </row>
    <row r="29" spans="2:10" x14ac:dyDescent="0.25">
      <c r="B29" s="1" t="s">
        <v>87</v>
      </c>
      <c r="C29" s="20" t="s">
        <v>88</v>
      </c>
      <c r="D29" s="29" t="s">
        <v>89</v>
      </c>
      <c r="E29" s="30"/>
      <c r="F29" s="30" t="s">
        <v>90</v>
      </c>
      <c r="G29" s="31">
        <v>1937</v>
      </c>
      <c r="H29" s="32">
        <v>19.739999999999998</v>
      </c>
      <c r="I29" s="32">
        <v>2.98</v>
      </c>
      <c r="J29" s="33"/>
    </row>
    <row r="30" spans="2:10" x14ac:dyDescent="0.25">
      <c r="B30" s="1" t="s">
        <v>91</v>
      </c>
      <c r="C30" s="20" t="s">
        <v>92</v>
      </c>
      <c r="D30" s="29" t="s">
        <v>93</v>
      </c>
      <c r="E30" s="30"/>
      <c r="F30" s="30" t="s">
        <v>18</v>
      </c>
      <c r="G30" s="31">
        <v>1125</v>
      </c>
      <c r="H30" s="32">
        <v>18.71</v>
      </c>
      <c r="I30" s="32">
        <v>2.82</v>
      </c>
      <c r="J30" s="33"/>
    </row>
    <row r="31" spans="2:10" x14ac:dyDescent="0.25">
      <c r="B31" s="1" t="s">
        <v>94</v>
      </c>
      <c r="C31" s="20" t="s">
        <v>95</v>
      </c>
      <c r="D31" s="29" t="s">
        <v>96</v>
      </c>
      <c r="E31" s="30"/>
      <c r="F31" s="30" t="s">
        <v>61</v>
      </c>
      <c r="G31" s="31">
        <v>820</v>
      </c>
      <c r="H31" s="32">
        <v>17.22</v>
      </c>
      <c r="I31" s="32">
        <v>2.6</v>
      </c>
      <c r="J31" s="33"/>
    </row>
    <row r="32" spans="2:10" x14ac:dyDescent="0.25">
      <c r="B32" s="1" t="s">
        <v>97</v>
      </c>
      <c r="C32" s="20" t="s">
        <v>98</v>
      </c>
      <c r="D32" s="29" t="s">
        <v>99</v>
      </c>
      <c r="E32" s="30"/>
      <c r="F32" s="30" t="s">
        <v>100</v>
      </c>
      <c r="G32" s="31">
        <v>2800</v>
      </c>
      <c r="H32" s="32">
        <v>16.43</v>
      </c>
      <c r="I32" s="32">
        <v>2.48</v>
      </c>
      <c r="J32" s="33"/>
    </row>
    <row r="33" spans="2:10" x14ac:dyDescent="0.25">
      <c r="B33" s="1" t="s">
        <v>101</v>
      </c>
      <c r="C33" s="20" t="s">
        <v>102</v>
      </c>
      <c r="D33" s="29" t="s">
        <v>103</v>
      </c>
      <c r="E33" s="30"/>
      <c r="F33" s="30" t="s">
        <v>104</v>
      </c>
      <c r="G33" s="31">
        <v>3000</v>
      </c>
      <c r="H33" s="32">
        <v>11.85</v>
      </c>
      <c r="I33" s="32">
        <v>1.79</v>
      </c>
      <c r="J33" s="33"/>
    </row>
    <row r="34" spans="2:10" x14ac:dyDescent="0.25">
      <c r="B34" s="1" t="s">
        <v>105</v>
      </c>
      <c r="C34" s="20" t="s">
        <v>106</v>
      </c>
      <c r="D34" s="29" t="s">
        <v>107</v>
      </c>
      <c r="E34" s="30"/>
      <c r="F34" s="30" t="s">
        <v>61</v>
      </c>
      <c r="G34" s="31">
        <v>1100</v>
      </c>
      <c r="H34" s="32">
        <v>10.91</v>
      </c>
      <c r="I34" s="32">
        <v>1.65</v>
      </c>
      <c r="J34" s="33"/>
    </row>
    <row r="35" spans="2:10" x14ac:dyDescent="0.25">
      <c r="B35" s="1" t="s">
        <v>108</v>
      </c>
      <c r="C35" s="20" t="s">
        <v>109</v>
      </c>
      <c r="D35" s="29" t="s">
        <v>110</v>
      </c>
      <c r="E35" s="30"/>
      <c r="F35" s="30" t="s">
        <v>111</v>
      </c>
      <c r="G35" s="31">
        <v>400</v>
      </c>
      <c r="H35" s="32">
        <v>8.07</v>
      </c>
      <c r="I35" s="32">
        <v>1.22</v>
      </c>
      <c r="J35" s="33"/>
    </row>
    <row r="36" spans="2:10" x14ac:dyDescent="0.25">
      <c r="B36" s="1" t="s">
        <v>112</v>
      </c>
      <c r="C36" s="20" t="s">
        <v>113</v>
      </c>
      <c r="D36" s="29" t="s">
        <v>114</v>
      </c>
      <c r="E36" s="30"/>
      <c r="F36" s="30" t="s">
        <v>115</v>
      </c>
      <c r="G36" s="31">
        <v>4000</v>
      </c>
      <c r="H36" s="32">
        <v>1.06</v>
      </c>
      <c r="I36" s="32">
        <v>0.16</v>
      </c>
      <c r="J36" s="33" t="s">
        <v>116</v>
      </c>
    </row>
    <row r="37" spans="2:10" x14ac:dyDescent="0.25">
      <c r="C37" s="28" t="s">
        <v>117</v>
      </c>
      <c r="D37" s="29"/>
      <c r="E37" s="30"/>
      <c r="F37" s="30"/>
      <c r="G37" s="31"/>
      <c r="H37" s="35">
        <v>660.22</v>
      </c>
      <c r="I37" s="35">
        <v>99.65</v>
      </c>
      <c r="J37" s="33"/>
    </row>
    <row r="38" spans="2:10" x14ac:dyDescent="0.25">
      <c r="C38" s="20"/>
      <c r="D38" s="29"/>
      <c r="E38" s="30"/>
      <c r="F38" s="30"/>
      <c r="G38" s="31"/>
      <c r="H38" s="32"/>
      <c r="I38" s="32"/>
      <c r="J38" s="33"/>
    </row>
    <row r="39" spans="2:10" x14ac:dyDescent="0.25">
      <c r="C39" s="28" t="s">
        <v>118</v>
      </c>
      <c r="D39" s="29"/>
      <c r="E39" s="30"/>
      <c r="F39" s="30"/>
      <c r="G39" s="31"/>
      <c r="H39" s="32" t="s">
        <v>119</v>
      </c>
      <c r="I39" s="32" t="s">
        <v>119</v>
      </c>
      <c r="J39" s="33"/>
    </row>
    <row r="40" spans="2:10" x14ac:dyDescent="0.25">
      <c r="C40" s="20"/>
      <c r="D40" s="29"/>
      <c r="E40" s="30"/>
      <c r="F40" s="30"/>
      <c r="G40" s="31"/>
      <c r="H40" s="32"/>
      <c r="I40" s="32"/>
      <c r="J40" s="33"/>
    </row>
    <row r="41" spans="2:10" x14ac:dyDescent="0.25">
      <c r="C41" s="28" t="s">
        <v>120</v>
      </c>
      <c r="D41" s="29"/>
      <c r="E41" s="30"/>
      <c r="F41" s="30"/>
      <c r="G41" s="31"/>
      <c r="H41" s="32" t="s">
        <v>119</v>
      </c>
      <c r="I41" s="32" t="s">
        <v>119</v>
      </c>
      <c r="J41" s="33"/>
    </row>
    <row r="42" spans="2:10" x14ac:dyDescent="0.25">
      <c r="C42" s="20"/>
      <c r="D42" s="29"/>
      <c r="E42" s="30"/>
      <c r="F42" s="30"/>
      <c r="G42" s="31"/>
      <c r="H42" s="32"/>
      <c r="I42" s="32"/>
      <c r="J42" s="33"/>
    </row>
    <row r="43" spans="2:10" x14ac:dyDescent="0.25">
      <c r="C43" s="28" t="s">
        <v>121</v>
      </c>
      <c r="D43" s="29"/>
      <c r="E43" s="30"/>
      <c r="F43" s="30"/>
      <c r="G43" s="31"/>
      <c r="H43" s="32"/>
      <c r="I43" s="32"/>
      <c r="J43" s="33"/>
    </row>
    <row r="44" spans="2:10" x14ac:dyDescent="0.25">
      <c r="C44" s="20"/>
      <c r="D44" s="29"/>
      <c r="E44" s="30"/>
      <c r="F44" s="30"/>
      <c r="G44" s="31"/>
      <c r="H44" s="32"/>
      <c r="I44" s="32"/>
      <c r="J44" s="33"/>
    </row>
    <row r="45" spans="2:10" x14ac:dyDescent="0.25">
      <c r="C45" s="28" t="s">
        <v>122</v>
      </c>
      <c r="D45" s="29"/>
      <c r="E45" s="30"/>
      <c r="F45" s="30"/>
      <c r="G45" s="31"/>
      <c r="H45" s="32" t="s">
        <v>119</v>
      </c>
      <c r="I45" s="32" t="s">
        <v>119</v>
      </c>
      <c r="J45" s="33"/>
    </row>
    <row r="46" spans="2:10" x14ac:dyDescent="0.25">
      <c r="C46" s="20"/>
      <c r="D46" s="29"/>
      <c r="E46" s="30"/>
      <c r="F46" s="30"/>
      <c r="G46" s="31"/>
      <c r="H46" s="32"/>
      <c r="I46" s="32"/>
      <c r="J46" s="33"/>
    </row>
    <row r="47" spans="2:10" x14ac:dyDescent="0.25">
      <c r="C47" s="28" t="s">
        <v>123</v>
      </c>
      <c r="D47" s="29"/>
      <c r="E47" s="30"/>
      <c r="F47" s="30"/>
      <c r="G47" s="31"/>
      <c r="H47" s="32" t="s">
        <v>119</v>
      </c>
      <c r="I47" s="32" t="s">
        <v>119</v>
      </c>
      <c r="J47" s="33"/>
    </row>
    <row r="48" spans="2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124</v>
      </c>
      <c r="D49" s="29"/>
      <c r="E49" s="30"/>
      <c r="F49" s="30"/>
      <c r="G49" s="31"/>
      <c r="H49" s="32" t="s">
        <v>119</v>
      </c>
      <c r="I49" s="32" t="s">
        <v>119</v>
      </c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125</v>
      </c>
      <c r="D51" s="29"/>
      <c r="E51" s="30"/>
      <c r="F51" s="30"/>
      <c r="G51" s="31"/>
      <c r="H51" s="32" t="s">
        <v>119</v>
      </c>
      <c r="I51" s="32" t="s">
        <v>119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126</v>
      </c>
      <c r="D53" s="29"/>
      <c r="E53" s="30"/>
      <c r="F53" s="30"/>
      <c r="G53" s="31"/>
      <c r="H53" s="32" t="s">
        <v>119</v>
      </c>
      <c r="I53" s="32" t="s">
        <v>119</v>
      </c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127</v>
      </c>
      <c r="D55" s="29"/>
      <c r="E55" s="30"/>
      <c r="F55" s="30"/>
      <c r="G55" s="31"/>
      <c r="H55" s="32"/>
      <c r="I55" s="32"/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128</v>
      </c>
      <c r="D57" s="29"/>
      <c r="E57" s="30"/>
      <c r="F57" s="30"/>
      <c r="G57" s="31"/>
      <c r="H57" s="32" t="s">
        <v>119</v>
      </c>
      <c r="I57" s="32" t="s">
        <v>119</v>
      </c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129</v>
      </c>
      <c r="D59" s="29"/>
      <c r="E59" s="30"/>
      <c r="F59" s="30"/>
      <c r="G59" s="31"/>
      <c r="H59" s="32" t="s">
        <v>119</v>
      </c>
      <c r="I59" s="32" t="s">
        <v>119</v>
      </c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130</v>
      </c>
      <c r="D61" s="29"/>
      <c r="E61" s="30"/>
      <c r="F61" s="30"/>
      <c r="G61" s="31"/>
      <c r="H61" s="32" t="s">
        <v>119</v>
      </c>
      <c r="I61" s="32" t="s">
        <v>119</v>
      </c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131</v>
      </c>
      <c r="D63" s="29"/>
      <c r="E63" s="30"/>
      <c r="F63" s="30"/>
      <c r="G63" s="31"/>
      <c r="H63" s="32" t="s">
        <v>119</v>
      </c>
      <c r="I63" s="32" t="s">
        <v>119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1:10" x14ac:dyDescent="0.25">
      <c r="C65" s="28" t="s">
        <v>132</v>
      </c>
      <c r="D65" s="29"/>
      <c r="E65" s="30"/>
      <c r="F65" s="30"/>
      <c r="G65" s="31"/>
      <c r="H65" s="32"/>
      <c r="I65" s="32"/>
      <c r="J65" s="33"/>
    </row>
    <row r="66" spans="1:10" x14ac:dyDescent="0.25">
      <c r="C66" s="20"/>
      <c r="D66" s="29"/>
      <c r="E66" s="30"/>
      <c r="F66" s="30"/>
      <c r="G66" s="31"/>
      <c r="H66" s="32"/>
      <c r="I66" s="32"/>
      <c r="J66" s="33"/>
    </row>
    <row r="67" spans="1:10" x14ac:dyDescent="0.25">
      <c r="C67" s="28" t="s">
        <v>133</v>
      </c>
      <c r="D67" s="29"/>
      <c r="E67" s="30"/>
      <c r="F67" s="30"/>
      <c r="G67" s="31"/>
      <c r="H67" s="32" t="s">
        <v>119</v>
      </c>
      <c r="I67" s="32" t="s">
        <v>119</v>
      </c>
      <c r="J67" s="33"/>
    </row>
    <row r="68" spans="1:10" x14ac:dyDescent="0.25">
      <c r="C68" s="20"/>
      <c r="D68" s="29"/>
      <c r="E68" s="30"/>
      <c r="F68" s="30"/>
      <c r="G68" s="31"/>
      <c r="H68" s="32"/>
      <c r="I68" s="32"/>
      <c r="J68" s="33"/>
    </row>
    <row r="69" spans="1:10" x14ac:dyDescent="0.25">
      <c r="C69" s="28" t="s">
        <v>134</v>
      </c>
      <c r="D69" s="29"/>
      <c r="E69" s="30"/>
      <c r="F69" s="30"/>
      <c r="G69" s="31"/>
      <c r="H69" s="32" t="s">
        <v>119</v>
      </c>
      <c r="I69" s="32" t="s">
        <v>119</v>
      </c>
      <c r="J69" s="33"/>
    </row>
    <row r="70" spans="1:10" x14ac:dyDescent="0.25">
      <c r="C70" s="20"/>
      <c r="D70" s="29"/>
      <c r="E70" s="30"/>
      <c r="F70" s="30"/>
      <c r="G70" s="31"/>
      <c r="H70" s="32"/>
      <c r="I70" s="32"/>
      <c r="J70" s="33"/>
    </row>
    <row r="71" spans="1:10" x14ac:dyDescent="0.25">
      <c r="C71" s="28" t="s">
        <v>135</v>
      </c>
      <c r="D71" s="29"/>
      <c r="E71" s="30"/>
      <c r="F71" s="30"/>
      <c r="G71" s="31"/>
      <c r="H71" s="32" t="s">
        <v>119</v>
      </c>
      <c r="I71" s="32" t="s">
        <v>119</v>
      </c>
      <c r="J71" s="33"/>
    </row>
    <row r="72" spans="1:10" x14ac:dyDescent="0.25">
      <c r="C72" s="20"/>
      <c r="D72" s="29"/>
      <c r="E72" s="30"/>
      <c r="F72" s="30"/>
      <c r="G72" s="31"/>
      <c r="H72" s="32"/>
      <c r="I72" s="32"/>
      <c r="J72" s="33"/>
    </row>
    <row r="73" spans="1:10" x14ac:dyDescent="0.25">
      <c r="C73" s="28" t="s">
        <v>136</v>
      </c>
      <c r="D73" s="29"/>
      <c r="E73" s="30"/>
      <c r="F73" s="30"/>
      <c r="G73" s="31"/>
      <c r="H73" s="32" t="s">
        <v>119</v>
      </c>
      <c r="I73" s="32" t="s">
        <v>119</v>
      </c>
      <c r="J73" s="33"/>
    </row>
    <row r="74" spans="1:10" x14ac:dyDescent="0.25">
      <c r="C74" s="20"/>
      <c r="D74" s="29"/>
      <c r="E74" s="30"/>
      <c r="F74" s="30"/>
      <c r="G74" s="31"/>
      <c r="H74" s="32"/>
      <c r="I74" s="32"/>
      <c r="J74" s="33"/>
    </row>
    <row r="75" spans="1:10" x14ac:dyDescent="0.25">
      <c r="C75" s="28" t="s">
        <v>137</v>
      </c>
      <c r="D75" s="29"/>
      <c r="E75" s="30"/>
      <c r="F75" s="30"/>
      <c r="G75" s="31"/>
      <c r="H75" s="32" t="s">
        <v>119</v>
      </c>
      <c r="I75" s="32" t="s">
        <v>119</v>
      </c>
      <c r="J75" s="33"/>
    </row>
    <row r="76" spans="1:10" x14ac:dyDescent="0.25">
      <c r="C76" s="20"/>
      <c r="D76" s="29"/>
      <c r="E76" s="30"/>
      <c r="F76" s="30"/>
      <c r="G76" s="31"/>
      <c r="H76" s="32"/>
      <c r="I76" s="32"/>
      <c r="J76" s="33"/>
    </row>
    <row r="77" spans="1:10" x14ac:dyDescent="0.25">
      <c r="A77" s="26"/>
      <c r="B77" s="27"/>
      <c r="C77" s="28" t="s">
        <v>138</v>
      </c>
      <c r="D77" s="29"/>
      <c r="E77" s="30"/>
      <c r="F77" s="30"/>
      <c r="G77" s="31"/>
      <c r="H77" s="32"/>
      <c r="I77" s="32"/>
      <c r="J77" s="33"/>
    </row>
    <row r="78" spans="1:10" x14ac:dyDescent="0.25">
      <c r="B78" s="1"/>
      <c r="C78" s="20" t="s">
        <v>139</v>
      </c>
      <c r="D78" s="29"/>
      <c r="E78" s="30"/>
      <c r="F78" s="30"/>
      <c r="G78" s="31"/>
      <c r="H78" s="32">
        <v>2.25</v>
      </c>
      <c r="I78" s="32">
        <v>0.35000000000000003</v>
      </c>
      <c r="J78" s="33"/>
    </row>
    <row r="79" spans="1:10" x14ac:dyDescent="0.25">
      <c r="C79" s="28" t="s">
        <v>117</v>
      </c>
      <c r="D79" s="29"/>
      <c r="E79" s="30"/>
      <c r="F79" s="30"/>
      <c r="G79" s="31"/>
      <c r="H79" s="35">
        <v>2.25</v>
      </c>
      <c r="I79" s="35">
        <v>0.35000000000000003</v>
      </c>
      <c r="J79" s="33"/>
    </row>
    <row r="80" spans="1:10" x14ac:dyDescent="0.25">
      <c r="C80" s="20"/>
      <c r="D80" s="29"/>
      <c r="E80" s="30"/>
      <c r="F80" s="30"/>
      <c r="G80" s="31"/>
      <c r="H80" s="32"/>
      <c r="I80" s="32"/>
      <c r="J80" s="33"/>
    </row>
    <row r="81" spans="3:10" ht="14.25" thickBot="1" x14ac:dyDescent="0.3">
      <c r="C81" s="36" t="s">
        <v>140</v>
      </c>
      <c r="D81" s="37"/>
      <c r="E81" s="38"/>
      <c r="F81" s="39"/>
      <c r="G81" s="40"/>
      <c r="H81" s="41">
        <v>662.47</v>
      </c>
      <c r="I81" s="41">
        <f>SUMIFS(I:I,C:C,"Total")</f>
        <v>100</v>
      </c>
      <c r="J81" s="42"/>
    </row>
    <row r="84" spans="3:10" x14ac:dyDescent="0.25">
      <c r="C84" s="11" t="s">
        <v>141</v>
      </c>
    </row>
    <row r="85" spans="3:10" x14ac:dyDescent="0.25">
      <c r="C85" s="2" t="s">
        <v>142</v>
      </c>
    </row>
    <row r="86" spans="3:10" x14ac:dyDescent="0.25">
      <c r="C86" s="2" t="s">
        <v>143</v>
      </c>
    </row>
    <row r="87" spans="3:10" x14ac:dyDescent="0.25">
      <c r="C87" s="2" t="s">
        <v>144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71D05-40BC-413F-B074-71D28172E2FA}">
  <dimension ref="B4:J18"/>
  <sheetViews>
    <sheetView workbookViewId="0"/>
  </sheetViews>
  <sheetFormatPr defaultRowHeight="15" x14ac:dyDescent="0.25"/>
  <cols>
    <col min="2" max="2" width="49.4257812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0.85546875" bestFit="1" customWidth="1"/>
  </cols>
  <sheetData>
    <row r="4" spans="2:10" ht="15.75" x14ac:dyDescent="0.25">
      <c r="B4" s="43" t="s">
        <v>145</v>
      </c>
      <c r="C4" s="44"/>
      <c r="D4" s="44"/>
      <c r="E4" s="44"/>
      <c r="F4" s="44"/>
      <c r="G4" s="44"/>
      <c r="H4" s="44"/>
      <c r="I4" s="44"/>
      <c r="J4" s="44"/>
    </row>
    <row r="5" spans="2:10" x14ac:dyDescent="0.25">
      <c r="B5" s="45" t="s">
        <v>146</v>
      </c>
      <c r="C5" s="46" t="s">
        <v>147</v>
      </c>
      <c r="D5" s="46"/>
      <c r="E5" s="46" t="s">
        <v>148</v>
      </c>
      <c r="F5" s="46"/>
      <c r="G5" s="46" t="s">
        <v>149</v>
      </c>
      <c r="H5" s="46"/>
      <c r="I5" s="46" t="s">
        <v>150</v>
      </c>
      <c r="J5" s="46"/>
    </row>
    <row r="6" spans="2:10" ht="63.75" x14ac:dyDescent="0.25">
      <c r="B6" s="47"/>
      <c r="C6" s="48" t="s">
        <v>151</v>
      </c>
      <c r="D6" s="48" t="s">
        <v>152</v>
      </c>
      <c r="E6" s="48" t="s">
        <v>151</v>
      </c>
      <c r="F6" s="48" t="s">
        <v>152</v>
      </c>
      <c r="G6" s="48" t="s">
        <v>151</v>
      </c>
      <c r="H6" s="48" t="s">
        <v>152</v>
      </c>
      <c r="I6" s="48" t="s">
        <v>151</v>
      </c>
      <c r="J6" s="48" t="s">
        <v>152</v>
      </c>
    </row>
    <row r="7" spans="2:10" x14ac:dyDescent="0.25">
      <c r="B7" s="49" t="s">
        <v>153</v>
      </c>
      <c r="C7" s="50">
        <v>21.118777723016269</v>
      </c>
      <c r="D7" s="50">
        <v>12111.877772301626</v>
      </c>
      <c r="E7" s="50">
        <v>27.531505651241474</v>
      </c>
      <c r="F7" s="50">
        <v>20755.91216216216</v>
      </c>
      <c r="G7" s="50">
        <v>15.951924759498137</v>
      </c>
      <c r="H7" s="50">
        <v>20968.430034129691</v>
      </c>
      <c r="I7" s="50">
        <v>10.022129597099095</v>
      </c>
      <c r="J7" s="50">
        <v>49150</v>
      </c>
    </row>
    <row r="8" spans="2:10" x14ac:dyDescent="0.25">
      <c r="B8" s="49" t="s">
        <v>154</v>
      </c>
      <c r="C8" s="50">
        <v>17.136684357296026</v>
      </c>
      <c r="D8" s="50">
        <v>11713.668435729604</v>
      </c>
      <c r="E8" s="50">
        <v>26.488552104548944</v>
      </c>
      <c r="F8" s="50">
        <v>20237.350984786655</v>
      </c>
      <c r="G8" s="50">
        <v>17.207667583104524</v>
      </c>
      <c r="H8" s="50">
        <v>22119.745106829072</v>
      </c>
      <c r="I8" s="50">
        <v>6.0153315900062898</v>
      </c>
      <c r="J8" s="50">
        <v>26476.318876257596</v>
      </c>
    </row>
    <row r="9" spans="2:10" x14ac:dyDescent="0.25">
      <c r="B9" s="49" t="s">
        <v>155</v>
      </c>
      <c r="C9" s="50">
        <v>7.0085355178066466</v>
      </c>
      <c r="D9" s="50">
        <v>10700.853551780665</v>
      </c>
      <c r="E9" s="50">
        <v>19.272785240684787</v>
      </c>
      <c r="F9" s="50">
        <v>16967.743206865995</v>
      </c>
      <c r="G9" s="50">
        <v>14.2661924180016</v>
      </c>
      <c r="H9" s="50">
        <v>19479.992271038322</v>
      </c>
      <c r="I9" s="50">
        <v>11.895817050674351</v>
      </c>
      <c r="J9" s="50">
        <v>65110.848423776879</v>
      </c>
    </row>
    <row r="10" spans="2:10" x14ac:dyDescent="0.25">
      <c r="B10" s="49" t="s">
        <v>157</v>
      </c>
      <c r="C10" s="51">
        <v>40.58</v>
      </c>
      <c r="D10" s="52"/>
      <c r="E10" s="51">
        <v>23.68</v>
      </c>
      <c r="F10" s="52"/>
      <c r="G10" s="51">
        <v>23.44</v>
      </c>
      <c r="H10" s="52"/>
      <c r="I10" s="51">
        <v>10</v>
      </c>
      <c r="J10" s="52"/>
    </row>
    <row r="12" spans="2:10" ht="15.75" x14ac:dyDescent="0.25">
      <c r="B12" s="43" t="s">
        <v>156</v>
      </c>
      <c r="C12" s="44"/>
      <c r="D12" s="44"/>
      <c r="E12" s="44"/>
      <c r="F12" s="44"/>
      <c r="G12" s="44"/>
      <c r="H12" s="44"/>
      <c r="I12" s="44"/>
      <c r="J12" s="44"/>
    </row>
    <row r="13" spans="2:10" x14ac:dyDescent="0.25">
      <c r="B13" s="45" t="s">
        <v>146</v>
      </c>
      <c r="C13" s="46" t="s">
        <v>147</v>
      </c>
      <c r="D13" s="46"/>
      <c r="E13" s="46" t="s">
        <v>148</v>
      </c>
      <c r="F13" s="46"/>
      <c r="G13" s="46" t="s">
        <v>149</v>
      </c>
      <c r="H13" s="46"/>
      <c r="I13" s="46" t="s">
        <v>150</v>
      </c>
      <c r="J13" s="46"/>
    </row>
    <row r="14" spans="2:10" ht="63.75" x14ac:dyDescent="0.25">
      <c r="B14" s="47"/>
      <c r="C14" s="48" t="s">
        <v>151</v>
      </c>
      <c r="D14" s="48" t="s">
        <v>152</v>
      </c>
      <c r="E14" s="48" t="s">
        <v>151</v>
      </c>
      <c r="F14" s="48" t="s">
        <v>152</v>
      </c>
      <c r="G14" s="48" t="s">
        <v>151</v>
      </c>
      <c r="H14" s="48" t="s">
        <v>152</v>
      </c>
      <c r="I14" s="48" t="s">
        <v>151</v>
      </c>
      <c r="J14" s="48" t="s">
        <v>152</v>
      </c>
    </row>
    <row r="15" spans="2:10" x14ac:dyDescent="0.25">
      <c r="B15" s="49" t="s">
        <v>153</v>
      </c>
      <c r="C15" s="50">
        <v>21.702721563154228</v>
      </c>
      <c r="D15" s="50">
        <v>12170.272156315421</v>
      </c>
      <c r="E15" s="50">
        <v>28.087752685272594</v>
      </c>
      <c r="F15" s="50">
        <v>21028.93890675241</v>
      </c>
      <c r="G15" s="50">
        <v>16.423750920667366</v>
      </c>
      <c r="H15" s="50">
        <v>21398.773006134972</v>
      </c>
      <c r="I15" s="50">
        <v>13.859110365758065</v>
      </c>
      <c r="J15" s="50">
        <v>40811.232449297975</v>
      </c>
    </row>
    <row r="16" spans="2:10" x14ac:dyDescent="0.25">
      <c r="B16" s="49" t="s">
        <v>154</v>
      </c>
      <c r="C16" s="50">
        <v>17.136684357296026</v>
      </c>
      <c r="D16" s="50">
        <v>11713.668435729604</v>
      </c>
      <c r="E16" s="50">
        <v>26.488552104548944</v>
      </c>
      <c r="F16" s="50">
        <v>20237.350984786655</v>
      </c>
      <c r="G16" s="50">
        <v>17.207667583104524</v>
      </c>
      <c r="H16" s="50">
        <v>22119.745106829072</v>
      </c>
      <c r="I16" s="50">
        <v>9.7234716405309118</v>
      </c>
      <c r="J16" s="50">
        <v>27331.933797060283</v>
      </c>
    </row>
    <row r="17" spans="2:10" x14ac:dyDescent="0.25">
      <c r="B17" s="49" t="s">
        <v>155</v>
      </c>
      <c r="C17" s="50">
        <v>7.0085355178066466</v>
      </c>
      <c r="D17" s="50">
        <v>10700.853551780665</v>
      </c>
      <c r="E17" s="50">
        <v>19.272785240684787</v>
      </c>
      <c r="F17" s="50">
        <v>16967.743206865995</v>
      </c>
      <c r="G17" s="50">
        <v>14.2661924180016</v>
      </c>
      <c r="H17" s="50">
        <v>19479.992271038322</v>
      </c>
      <c r="I17" s="50">
        <v>12.726145382760778</v>
      </c>
      <c r="J17" s="50">
        <v>36620.07471094605</v>
      </c>
    </row>
    <row r="18" spans="2:10" x14ac:dyDescent="0.25">
      <c r="B18" s="49" t="s">
        <v>158</v>
      </c>
      <c r="C18" s="51">
        <v>42.99</v>
      </c>
      <c r="D18" s="52"/>
      <c r="E18" s="51">
        <v>24.88</v>
      </c>
      <c r="F18" s="52"/>
      <c r="G18" s="51">
        <v>24.45</v>
      </c>
      <c r="H18" s="52"/>
      <c r="I18" s="51">
        <v>12.82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TISF-Risk-O-Meter &amp; Performance</vt:lpstr>
      <vt:lpstr>TISF-Performance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Madhura Shinde</cp:lastModifiedBy>
  <dcterms:created xsi:type="dcterms:W3CDTF">2023-11-04T02:36:43Z</dcterms:created>
  <dcterms:modified xsi:type="dcterms:W3CDTF">2023-11-06T06:22:11Z</dcterms:modified>
</cp:coreProperties>
</file>