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Portfolio'!$C$8:$C$40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Portfolio'!$D$10:$D$82</definedName>
    <definedName name="XDO_?FINAL_MV?">'TBF-Risk-o-meter &amp; Portfolio'!$H$10:$H$82</definedName>
    <definedName name="XDO_?FINAL_NAME?">'TBF-Risk-o-meter &amp; Portfolio'!$C$10:$C$82</definedName>
    <definedName name="XDO_?FINAL_PER_NET?">'TBF-Risk-o-meter &amp; Portfolio'!$I$10:$I$82</definedName>
    <definedName name="XDO_?FINAL_QUANTITE?">'TBF-Risk-o-meter &amp; Portfolio'!$G$10:$G$82</definedName>
    <definedName name="XDO_?IND_01?">'TBF-Risk-o-meter &amp; Portfolio'!$F$10:$F$82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Portfolio'!$C$2:$C$40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Portfolio'!$B$10:$B$82</definedName>
    <definedName name="XDO_?NPTF?">'TBF-Risk-o-meter &amp; Portfolio'!$D$2:$D$40</definedName>
    <definedName name="XDO_?RATING?">'TBF-Risk-o-meter &amp; Portfolio'!$E$10:$E$82</definedName>
    <definedName name="XDO_?REMARKS?">'TBF-Risk-o-meter &amp; Portfolio'!$J$10:$J$82</definedName>
    <definedName name="XDO_?TDATE?">'TBF-Risk-o-meter &amp; Portfolio'!$D$4</definedName>
    <definedName name="XDO_?TITL?">'TBF-Risk-o-meter &amp; Portfolio'!$A$8:$A$40</definedName>
    <definedName name="XDO_GROUP_?G_2?">'TBF-Risk-o-meter &amp; Portfolio'!$2:$85</definedName>
    <definedName name="XDO_GROUP_?G_3?">'TBF-Risk-o-meter &amp; Portfolio'!$8:$84</definedName>
    <definedName name="XDO_GROUP_?G_4?">'TBF-Risk-o-meter &amp; Portfolio'!$B$82:$IV$82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</calcChain>
</file>

<file path=xl/sharedStrings.xml><?xml version="1.0" encoding="utf-8"?>
<sst xmlns="http://schemas.openxmlformats.org/spreadsheetml/2006/main" count="234" uniqueCount="167">
  <si>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</si>
  <si>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</si>
  <si>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</si>
  <si>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</si>
  <si>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</si>
  <si>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</si>
  <si>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</si>
  <si>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</si>
  <si>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</si>
  <si>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</si>
  <si>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</si>
  <si>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</si>
  <si>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</si>
  <si>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</si>
  <si>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</si>
  <si>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</si>
  <si>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</si>
  <si>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</si>
  <si>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</si>
  <si>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</si>
  <si>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</si>
  <si>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</si>
  <si>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</si>
  <si>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100418</t>
  </si>
  <si>
    <t>Adani Enterprises Ltd.</t>
  </si>
  <si>
    <t>INE423A01024</t>
  </si>
  <si>
    <t>Metals &amp; Minerals Trading</t>
  </si>
  <si>
    <t>100273</t>
  </si>
  <si>
    <t>Havells India Ltd.</t>
  </si>
  <si>
    <t>INE176B01034</t>
  </si>
  <si>
    <t>Consumer Durables</t>
  </si>
  <si>
    <t>100027</t>
  </si>
  <si>
    <t>Pidilite Industries Ltd.</t>
  </si>
  <si>
    <t>INE318A01026</t>
  </si>
  <si>
    <t>Chemicals &amp; Petrochemicals</t>
  </si>
  <si>
    <t>100108</t>
  </si>
  <si>
    <t>Adani Ports and Special Economic Zone Ltd.</t>
  </si>
  <si>
    <t>INE742F01042</t>
  </si>
  <si>
    <t>Transport Infrastructure</t>
  </si>
  <si>
    <t>100012</t>
  </si>
  <si>
    <t>ICICI Bank Ltd.</t>
  </si>
  <si>
    <t>INE090A01021</t>
  </si>
  <si>
    <t>Banks</t>
  </si>
  <si>
    <t>100302</t>
  </si>
  <si>
    <t>DLF Ltd.</t>
  </si>
  <si>
    <t>INE271C01023</t>
  </si>
  <si>
    <t>Realty</t>
  </si>
  <si>
    <t>100180</t>
  </si>
  <si>
    <t>Hindalco Industries Ltd.</t>
  </si>
  <si>
    <t>INE038A01020</t>
  </si>
  <si>
    <t>Non - Ferrous Metals</t>
  </si>
  <si>
    <t>100008</t>
  </si>
  <si>
    <t>Sun Pharmaceutical Industries Ltd.</t>
  </si>
  <si>
    <t>INE044A01036</t>
  </si>
  <si>
    <t>Pharmaceuticals &amp; Biotechnology</t>
  </si>
  <si>
    <t>100139</t>
  </si>
  <si>
    <t>UPL Ltd.</t>
  </si>
  <si>
    <t>INE628A01036</t>
  </si>
  <si>
    <t>Fertilizers &amp; Agrochemicals</t>
  </si>
  <si>
    <t>100183</t>
  </si>
  <si>
    <t>Vedanta Ltd.</t>
  </si>
  <si>
    <t>INE205A01025</t>
  </si>
  <si>
    <t>Diversified Metals</t>
  </si>
  <si>
    <t>100335</t>
  </si>
  <si>
    <t>Kajaria Ceramics Ltd.</t>
  </si>
  <si>
    <t>INE217B01036</t>
  </si>
  <si>
    <t>100314</t>
  </si>
  <si>
    <t>SRF Ltd.</t>
  </si>
  <si>
    <t>INE647A01010</t>
  </si>
  <si>
    <t>100104</t>
  </si>
  <si>
    <t>Kotak Mahindra Bank Ltd.</t>
  </si>
  <si>
    <t>INE237A01028</t>
  </si>
  <si>
    <t>101617</t>
  </si>
  <si>
    <t>Macrotech Developers Ltd.</t>
  </si>
  <si>
    <t>INE670K01029</t>
  </si>
  <si>
    <t>100081</t>
  </si>
  <si>
    <t>Titan Company Ltd.</t>
  </si>
  <si>
    <t>INE280A01028</t>
  </si>
  <si>
    <t>100461</t>
  </si>
  <si>
    <t>Astral Limited</t>
  </si>
  <si>
    <t>INE006I01046</t>
  </si>
  <si>
    <t>Industrial Products</t>
  </si>
  <si>
    <t>100505</t>
  </si>
  <si>
    <t>ICICI Prudential Life Insurance Company Ltd.</t>
  </si>
  <si>
    <t>INE726G01019</t>
  </si>
  <si>
    <t>Insurance</t>
  </si>
  <si>
    <t>100235</t>
  </si>
  <si>
    <t>CRISIL Ltd.</t>
  </si>
  <si>
    <t>INE007A01025</t>
  </si>
  <si>
    <t>Finance</t>
  </si>
  <si>
    <t>100315</t>
  </si>
  <si>
    <t>Prestige Estates Projects Ltd.</t>
  </si>
  <si>
    <t>INE811K01011</t>
  </si>
  <si>
    <t>100553</t>
  </si>
  <si>
    <t>Kennametal India Ltd.</t>
  </si>
  <si>
    <t>INE717A01029</t>
  </si>
  <si>
    <t>Industrial Manufacturing</t>
  </si>
  <si>
    <t>100109</t>
  </si>
  <si>
    <t>Piramal Enterprises Ltd.</t>
  </si>
  <si>
    <t>INE140A01024</t>
  </si>
  <si>
    <t>100282</t>
  </si>
  <si>
    <t>Blue Star Ltd.</t>
  </si>
  <si>
    <t>INE472A01039</t>
  </si>
  <si>
    <t>100821</t>
  </si>
  <si>
    <t>TTK Prestige Ltd.</t>
  </si>
  <si>
    <t>INE690A01028</t>
  </si>
  <si>
    <t>100178</t>
  </si>
  <si>
    <t>Ambuja Cements Ltd.</t>
  </si>
  <si>
    <t>INE079A01024</t>
  </si>
  <si>
    <t>Cement &amp; Cement Products</t>
  </si>
  <si>
    <t>101623</t>
  </si>
  <si>
    <t>Piramal Pharma Ltd</t>
  </si>
  <si>
    <t>INEADUMMYPPL</t>
  </si>
  <si>
    <t>100001</t>
  </si>
  <si>
    <t>Housing Development Finance Corporation Ltd.</t>
  </si>
  <si>
    <t>INE001A01036</t>
  </si>
  <si>
    <t>100042</t>
  </si>
  <si>
    <t>LIC Housing Finance Ltd.</t>
  </si>
  <si>
    <t>INE115A01026</t>
  </si>
  <si>
    <t>101306</t>
  </si>
  <si>
    <t>Apollo Pipes Ltd.</t>
  </si>
  <si>
    <t>INE126J01016</t>
  </si>
  <si>
    <t>100425</t>
  </si>
  <si>
    <t>Chambal Fertilisers and Chemicals Ltd.</t>
  </si>
  <si>
    <t>INE085A01013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</si>
  <si>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</si>
  <si>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</si>
  <si>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</si>
  <si>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</si>
  <si>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</si>
  <si>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</si>
  <si>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</si>
  <si>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</si>
  <si>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</si>
  <si>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</si>
  <si>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</si>
  <si>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</si>
  <si>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</si>
  <si>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</si>
  <si>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</si>
  <si>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</si>
  <si>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</si>
  <si>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</si>
  <si>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</si>
  <si>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</si>
  <si>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</si>
  <si>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</si>
  <si>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</si>
  <si>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</si>
  <si>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</si>
  <si>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</si>
  <si>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</si>
  <si>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</si>
  <si>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</si>
  <si>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</si>
  <si>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</si>
  <si>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</si>
  <si>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</si>
  <si>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</si>
  <si>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</si>
  <si>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</si>
  <si>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</si>
  <si>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</si>
  <si>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</si>
  <si>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August 30, 2022 : 109.71)</t>
  </si>
  <si>
    <t>Taurus Largecap Equity Fund - Direct Plan Growth Option</t>
  </si>
  <si>
    <t>NAV [Rs.] Per Unit (as on August 30, 2022 : 115.69)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</si>
</sst>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91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80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19121</v>
      </c>
      <c r="H10" s="32">
        <v>250.25</v>
      </c>
      <c r="I10" s="32">
        <v>6.99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7097</v>
      </c>
      <c r="H11" s="32">
        <v>204.66</v>
      </c>
      <c r="I11" s="32">
        <v>5.72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6277</v>
      </c>
      <c r="H12" s="32">
        <v>200.46</v>
      </c>
      <c r="I12" s="32">
        <v>5.6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14008</v>
      </c>
      <c r="H13" s="32">
        <v>194.9</v>
      </c>
      <c r="I13" s="32">
        <v>5.45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192.04</v>
      </c>
      <c r="I14" s="32">
        <v>5.37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22403</v>
      </c>
      <c r="H15" s="32">
        <v>188.71</v>
      </c>
      <c r="I15" s="32">
        <v>5.27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19245</v>
      </c>
      <c r="H16" s="32">
        <v>170.82</v>
      </c>
      <c r="I16" s="32">
        <v>4.7699999999999996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42817</v>
      </c>
      <c r="H17" s="32">
        <v>166.92</v>
      </c>
      <c r="I17" s="32">
        <v>4.66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34605</v>
      </c>
      <c r="H18" s="32">
        <v>151.9</v>
      </c>
      <c r="I18" s="32">
        <v>4.24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16841</v>
      </c>
      <c r="H19" s="32">
        <v>150.43</v>
      </c>
      <c r="I19" s="32">
        <v>4.2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19142</v>
      </c>
      <c r="H20" s="32">
        <v>147.18</v>
      </c>
      <c r="I20" s="32">
        <v>4.1100000000000003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54285</v>
      </c>
      <c r="H21" s="32">
        <v>146.65</v>
      </c>
      <c r="I21" s="32">
        <v>4.0999999999999996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30</v>
      </c>
      <c r="G22" s="31">
        <v>11550</v>
      </c>
      <c r="H22" s="32">
        <v>134.43</v>
      </c>
      <c r="I22" s="32">
        <v>3.76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34</v>
      </c>
      <c r="G23" s="31">
        <v>5035</v>
      </c>
      <c r="H23" s="32">
        <v>128.12</v>
      </c>
      <c r="I23" s="32">
        <v>3.58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42</v>
      </c>
      <c r="G24" s="31">
        <v>6396</v>
      </c>
      <c r="H24" s="32">
        <v>122.5</v>
      </c>
      <c r="I24" s="32">
        <v>3.42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46</v>
      </c>
      <c r="G25" s="31">
        <v>10162</v>
      </c>
      <c r="H25" s="32">
        <v>111.04</v>
      </c>
      <c r="I25" s="32">
        <v>3.1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30</v>
      </c>
      <c r="G26" s="31">
        <v>4167</v>
      </c>
      <c r="H26" s="32">
        <v>108.45</v>
      </c>
      <c r="I26" s="32">
        <v>3.03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4572</v>
      </c>
      <c r="H27" s="32">
        <v>95.72</v>
      </c>
      <c r="I27" s="32">
        <v>2.67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15260</v>
      </c>
      <c r="H28" s="32">
        <v>90.61</v>
      </c>
      <c r="I28" s="32">
        <v>2.5299999999999998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2598</v>
      </c>
      <c r="H29" s="32">
        <v>85.16</v>
      </c>
      <c r="I29" s="32">
        <v>2.38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46</v>
      </c>
      <c r="G30" s="31">
        <v>15092</v>
      </c>
      <c r="H30" s="32">
        <v>68.930000000000007</v>
      </c>
      <c r="I30" s="32">
        <v>1.93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2454</v>
      </c>
      <c r="H31" s="32">
        <v>57.9</v>
      </c>
      <c r="I31" s="32">
        <v>1.62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89</v>
      </c>
      <c r="G32" s="31">
        <v>5210</v>
      </c>
      <c r="H32" s="32">
        <v>55.37</v>
      </c>
      <c r="I32" s="32">
        <v>1.55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30</v>
      </c>
      <c r="G33" s="31">
        <v>4847</v>
      </c>
      <c r="H33" s="32">
        <v>53.22</v>
      </c>
      <c r="I33" s="32">
        <v>1.49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30</v>
      </c>
      <c r="G34" s="31">
        <v>5512</v>
      </c>
      <c r="H34" s="32">
        <v>52.98</v>
      </c>
      <c r="I34" s="32">
        <v>1.48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12800</v>
      </c>
      <c r="H35" s="32">
        <v>52.64</v>
      </c>
      <c r="I35" s="32">
        <v>1.47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/>
      <c r="G36" s="31">
        <v>20840</v>
      </c>
      <c r="H36" s="32">
        <v>45.45</v>
      </c>
      <c r="I36" s="32">
        <v>1.27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89</v>
      </c>
      <c r="G37" s="31">
        <v>1537</v>
      </c>
      <c r="H37" s="32">
        <v>37.6</v>
      </c>
      <c r="I37" s="32">
        <v>1.05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89</v>
      </c>
      <c r="G38" s="31">
        <v>7000</v>
      </c>
      <c r="H38" s="32">
        <v>28.65</v>
      </c>
      <c r="I38" s="32">
        <v>0.8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81</v>
      </c>
      <c r="G39" s="31">
        <v>4200</v>
      </c>
      <c r="H39" s="32">
        <v>22.97</v>
      </c>
      <c r="I39" s="32">
        <v>0.64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58</v>
      </c>
      <c r="G40" s="31">
        <v>4400</v>
      </c>
      <c r="H40" s="32">
        <v>15.4</v>
      </c>
      <c r="I40" s="32">
        <v>0.43</v>
      </c>
      <c r="J40" s="33"/>
    </row>
    <row r="41" spans="2:10">
      <c r="C41" s="28" t="s">
        <v>125</v>
      </c>
      <c r="D41" s="29"/>
      <c r="E41" s="30"/>
      <c r="F41" s="30"/>
      <c r="G41" s="31"/>
      <c r="H41" s="35">
        <v>3532.06</v>
      </c>
      <c r="I41" s="35">
        <v>98.68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126</v>
      </c>
      <c r="D43" s="29"/>
      <c r="E43" s="30"/>
      <c r="F43" s="30"/>
      <c r="G43" s="31"/>
      <c r="H43" s="32" t="s">
        <v>127</v>
      </c>
      <c r="I43" s="32" t="s">
        <v>127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128</v>
      </c>
      <c r="D45" s="29"/>
      <c r="E45" s="30"/>
      <c r="F45" s="30"/>
      <c r="G45" s="31"/>
      <c r="H45" s="32" t="s">
        <v>127</v>
      </c>
      <c r="I45" s="32" t="s">
        <v>127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129</v>
      </c>
      <c r="D47" s="29"/>
      <c r="E47" s="30"/>
      <c r="F47" s="30"/>
      <c r="G47" s="31"/>
      <c r="H47" s="32"/>
      <c r="I47" s="32"/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130</v>
      </c>
      <c r="D49" s="29"/>
      <c r="E49" s="30"/>
      <c r="F49" s="30"/>
      <c r="G49" s="31"/>
      <c r="H49" s="32" t="s">
        <v>127</v>
      </c>
      <c r="I49" s="32" t="s">
        <v>127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131</v>
      </c>
      <c r="D51" s="29"/>
      <c r="E51" s="30"/>
      <c r="F51" s="30"/>
      <c r="G51" s="31"/>
      <c r="H51" s="32" t="s">
        <v>127</v>
      </c>
      <c r="I51" s="32" t="s">
        <v>127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132</v>
      </c>
      <c r="D53" s="29"/>
      <c r="E53" s="30"/>
      <c r="F53" s="30"/>
      <c r="G53" s="31"/>
      <c r="H53" s="32" t="s">
        <v>127</v>
      </c>
      <c r="I53" s="32" t="s">
        <v>127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133</v>
      </c>
      <c r="D55" s="29"/>
      <c r="E55" s="30"/>
      <c r="F55" s="30"/>
      <c r="G55" s="31"/>
      <c r="H55" s="32" t="s">
        <v>127</v>
      </c>
      <c r="I55" s="32" t="s">
        <v>127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134</v>
      </c>
      <c r="D57" s="29"/>
      <c r="E57" s="30"/>
      <c r="F57" s="30"/>
      <c r="G57" s="31"/>
      <c r="H57" s="32" t="s">
        <v>127</v>
      </c>
      <c r="I57" s="32" t="s">
        <v>127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135</v>
      </c>
      <c r="D59" s="29"/>
      <c r="E59" s="30"/>
      <c r="F59" s="30"/>
      <c r="G59" s="31"/>
      <c r="H59" s="32"/>
      <c r="I59" s="32"/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136</v>
      </c>
      <c r="D61" s="29"/>
      <c r="E61" s="30"/>
      <c r="F61" s="30"/>
      <c r="G61" s="31"/>
      <c r="H61" s="32" t="s">
        <v>127</v>
      </c>
      <c r="I61" s="32" t="s">
        <v>127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137</v>
      </c>
      <c r="D63" s="29"/>
      <c r="E63" s="30"/>
      <c r="F63" s="30"/>
      <c r="G63" s="31"/>
      <c r="H63" s="32" t="s">
        <v>127</v>
      </c>
      <c r="I63" s="32" t="s">
        <v>127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138</v>
      </c>
      <c r="D65" s="29"/>
      <c r="E65" s="30"/>
      <c r="F65" s="30"/>
      <c r="G65" s="31"/>
      <c r="H65" s="32" t="s">
        <v>127</v>
      </c>
      <c r="I65" s="32" t="s">
        <v>127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139</v>
      </c>
      <c r="D67" s="29"/>
      <c r="E67" s="30"/>
      <c r="F67" s="30"/>
      <c r="G67" s="31"/>
      <c r="H67" s="32" t="s">
        <v>127</v>
      </c>
      <c r="I67" s="32" t="s">
        <v>127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140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141</v>
      </c>
      <c r="D71" s="29"/>
      <c r="E71" s="30"/>
      <c r="F71" s="30"/>
      <c r="G71" s="31"/>
      <c r="H71" s="32" t="s">
        <v>127</v>
      </c>
      <c r="I71" s="32" t="s">
        <v>127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142</v>
      </c>
      <c r="D73" s="29"/>
      <c r="E73" s="30"/>
      <c r="F73" s="30"/>
      <c r="G73" s="31"/>
      <c r="H73" s="32" t="s">
        <v>127</v>
      </c>
      <c r="I73" s="32" t="s">
        <v>127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143</v>
      </c>
      <c r="D75" s="29"/>
      <c r="E75" s="30"/>
      <c r="F75" s="30"/>
      <c r="G75" s="31"/>
      <c r="H75" s="32" t="s">
        <v>127</v>
      </c>
      <c r="I75" s="32" t="s">
        <v>127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144</v>
      </c>
      <c r="D77" s="29"/>
      <c r="E77" s="30"/>
      <c r="F77" s="30"/>
      <c r="G77" s="31"/>
      <c r="H77" s="32" t="s">
        <v>127</v>
      </c>
      <c r="I77" s="32" t="s">
        <v>127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145</v>
      </c>
      <c r="D79" s="29"/>
      <c r="E79" s="30"/>
      <c r="F79" s="30"/>
      <c r="G79" s="31"/>
      <c r="H79" s="32" t="s">
        <v>127</v>
      </c>
      <c r="I79" s="32" t="s">
        <v>127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A81" s="26"/>
      <c r="B81" s="27"/>
      <c r="C81" s="28" t="s">
        <v>146</v>
      </c>
      <c r="D81" s="29"/>
      <c r="E81" s="30"/>
      <c r="F81" s="30"/>
      <c r="G81" s="31"/>
      <c r="H81" s="32"/>
      <c r="I81" s="32"/>
      <c r="J81" s="33"/>
    </row>
    <row r="82" spans="1:10">
      <c r="B82" s="1"/>
      <c r="C82" s="20" t="s">
        <v>147</v>
      </c>
      <c r="D82" s="29"/>
      <c r="E82" s="30"/>
      <c r="F82" s="30"/>
      <c r="G82" s="31"/>
      <c r="H82" s="32">
        <v>46.68</v>
      </c>
      <c r="I82" s="32">
        <v>1.32</v>
      </c>
      <c r="J82" s="33"/>
    </row>
    <row r="83" spans="1:10">
      <c r="C83" s="28" t="s">
        <v>125</v>
      </c>
      <c r="D83" s="29"/>
      <c r="E83" s="30"/>
      <c r="F83" s="30"/>
      <c r="G83" s="31"/>
      <c r="H83" s="35">
        <v>46.68</v>
      </c>
      <c r="I83" s="35">
        <v>1.32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 ht="13.5" thickBot="1">
      <c r="C85" s="36" t="s">
        <v>148</v>
      </c>
      <c r="D85" s="37"/>
      <c r="E85" s="38"/>
      <c r="F85" s="39"/>
      <c r="G85" s="40"/>
      <c r="H85" s="41">
        <v>3578.74</v>
      </c>
      <c r="I85" s="41">
        <f>SUMIFS(I:I,C:C,"Total")</f>
        <v>100</v>
      </c>
      <c r="J85" s="42"/>
    </row>
    <row r="88" spans="1:10">
      <c r="C88" s="11" t="s">
        <v>149</v>
      </c>
    </row>
    <row r="89" spans="1:10">
      <c r="C89" s="2" t="s">
        <v>150</v>
      </c>
    </row>
    <row r="90" spans="1:10">
      <c r="C90" s="2" t="s">
        <v>151</v>
      </c>
    </row>
    <row r="91" spans="1:10">
      <c r="C91" s="2" t="s">
        <v>152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workbookViewId="0">
      <selection activeCell="A4" sqref="A4"/>
    </sheetView>
  </sheetViews>
  <sheetFormatPr defaultRowHeight="15"/>
  <cols>
    <col min="1" max="1" width="44.42578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3" t="s">
        <v>153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154</v>
      </c>
      <c r="B5" s="50" t="s">
        <v>155</v>
      </c>
      <c r="C5" s="50"/>
      <c r="D5" s="50" t="s">
        <v>156</v>
      </c>
      <c r="E5" s="50"/>
      <c r="F5" s="50" t="s">
        <v>157</v>
      </c>
      <c r="G5" s="50"/>
      <c r="H5" s="50" t="s">
        <v>158</v>
      </c>
      <c r="I5" s="50"/>
    </row>
    <row r="6" spans="1:9" ht="63.75">
      <c r="A6" s="46"/>
      <c r="B6" s="47" t="s">
        <v>159</v>
      </c>
      <c r="C6" s="47" t="s">
        <v>160</v>
      </c>
      <c r="D6" s="47" t="s">
        <v>159</v>
      </c>
      <c r="E6" s="47" t="s">
        <v>160</v>
      </c>
      <c r="F6" s="47" t="s">
        <v>159</v>
      </c>
      <c r="G6" s="47" t="s">
        <v>160</v>
      </c>
      <c r="H6" s="47" t="s">
        <v>159</v>
      </c>
      <c r="I6" s="47" t="s">
        <v>160</v>
      </c>
    </row>
    <row r="7" spans="1:9">
      <c r="A7" s="48" t="s">
        <v>161</v>
      </c>
      <c r="B7" s="49">
        <v>8.0460902107543752</v>
      </c>
      <c r="C7" s="49">
        <v>10804.609021075437</v>
      </c>
      <c r="D7" s="49">
        <v>15.524447194029412</v>
      </c>
      <c r="E7" s="49">
        <v>15423.871784057361</v>
      </c>
      <c r="F7" s="49">
        <v>8.7010146784044284</v>
      </c>
      <c r="G7" s="49">
        <v>15176.372942315671</v>
      </c>
      <c r="H7" s="49">
        <v>10.573955036331228</v>
      </c>
      <c r="I7" s="49">
        <v>109710</v>
      </c>
    </row>
    <row r="8" spans="1:9">
      <c r="A8" s="48" t="s">
        <v>162</v>
      </c>
      <c r="B8" s="49">
        <v>6.4854339567346431</v>
      </c>
      <c r="C8" s="49">
        <v>10648.543395673465</v>
      </c>
      <c r="D8" s="49">
        <v>19.349102119832096</v>
      </c>
      <c r="E8" s="49">
        <v>17000.33456310257</v>
      </c>
      <c r="F8" s="49">
        <v>13.532159866159343</v>
      </c>
      <c r="G8" s="49">
        <v>18862.293590362715</v>
      </c>
      <c r="H8" s="49">
        <v>12.1650473590724</v>
      </c>
      <c r="I8" s="49">
        <v>235562.92127241488</v>
      </c>
    </row>
    <row r="9" spans="1:9">
      <c r="A9" s="48" t="s">
        <v>163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12.243803172201106</v>
      </c>
      <c r="I9" s="49">
        <v>240157.41802955719</v>
      </c>
    </row>
    <row r="10" spans="1:9">
      <c r="A10" s="48" t="s">
        <v>164</v>
      </c>
      <c r="B10" s="51">
        <v>101.54</v>
      </c>
      <c r="C10" s="52"/>
      <c r="D10" s="51">
        <v>71.13</v>
      </c>
      <c r="E10" s="52"/>
      <c r="F10" s="51">
        <v>72.290000000000006</v>
      </c>
      <c r="G10" s="52"/>
      <c r="H10" s="51">
        <v>10</v>
      </c>
      <c r="I10" s="52"/>
    </row>
    <row r="12" spans="1:9" ht="15.75">
      <c r="A12" s="43" t="s">
        <v>165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154</v>
      </c>
      <c r="B13" s="50" t="s">
        <v>155</v>
      </c>
      <c r="C13" s="50"/>
      <c r="D13" s="50" t="s">
        <v>156</v>
      </c>
      <c r="E13" s="50"/>
      <c r="F13" s="50" t="s">
        <v>157</v>
      </c>
      <c r="G13" s="50"/>
      <c r="H13" s="50" t="s">
        <v>158</v>
      </c>
      <c r="I13" s="50"/>
    </row>
    <row r="14" spans="1:9" ht="63.75">
      <c r="A14" s="46"/>
      <c r="B14" s="47" t="s">
        <v>159</v>
      </c>
      <c r="C14" s="47" t="s">
        <v>160</v>
      </c>
      <c r="D14" s="47" t="s">
        <v>159</v>
      </c>
      <c r="E14" s="47" t="s">
        <v>160</v>
      </c>
      <c r="F14" s="47" t="s">
        <v>159</v>
      </c>
      <c r="G14" s="47" t="s">
        <v>160</v>
      </c>
      <c r="H14" s="47" t="s">
        <v>159</v>
      </c>
      <c r="I14" s="47" t="s">
        <v>160</v>
      </c>
    </row>
    <row r="15" spans="1:9">
      <c r="A15" s="48" t="s">
        <v>161</v>
      </c>
      <c r="B15" s="49">
        <v>8.1417087306038471</v>
      </c>
      <c r="C15" s="49">
        <v>10814.170873060384</v>
      </c>
      <c r="D15" s="49">
        <v>15.682401230285702</v>
      </c>
      <c r="E15" s="49">
        <v>15487.282463186077</v>
      </c>
      <c r="F15" s="49">
        <v>9.0262756559366544</v>
      </c>
      <c r="G15" s="49">
        <v>15404.793608521972</v>
      </c>
      <c r="H15" s="49">
        <v>10.387634289699864</v>
      </c>
      <c r="I15" s="49">
        <v>25986.073674752919</v>
      </c>
    </row>
    <row r="16" spans="1:9">
      <c r="A16" s="48" t="s">
        <v>162</v>
      </c>
      <c r="B16" s="49">
        <v>6.4854339567346431</v>
      </c>
      <c r="C16" s="49">
        <v>10648.543395673465</v>
      </c>
      <c r="D16" s="49">
        <v>19.349102119832096</v>
      </c>
      <c r="E16" s="49">
        <v>17000.33456310257</v>
      </c>
      <c r="F16" s="49">
        <v>13.532159866159343</v>
      </c>
      <c r="G16" s="49">
        <v>18862.293590362715</v>
      </c>
      <c r="H16" s="49">
        <v>13.611397862676512</v>
      </c>
      <c r="I16" s="49">
        <v>34319.631150580681</v>
      </c>
    </row>
    <row r="17" spans="1:9">
      <c r="A17" s="48" t="s">
        <v>163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13.315568684740509</v>
      </c>
      <c r="I17" s="49">
        <v>33465.78226066014</v>
      </c>
    </row>
    <row r="18" spans="1:9">
      <c r="A18" s="48" t="s">
        <v>166</v>
      </c>
      <c r="B18" s="51">
        <v>106.98</v>
      </c>
      <c r="C18" s="52"/>
      <c r="D18" s="51">
        <v>74.7</v>
      </c>
      <c r="E18" s="52"/>
      <c r="F18" s="51">
        <v>75.099999999999994</v>
      </c>
      <c r="G18" s="52"/>
      <c r="H18" s="51">
        <v>44.52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2022-09-02T14:05:26Z</dcterms:created>
  <dcterms:modified xsi:type="dcterms:W3CDTF">2022-09-09T02:44:34Z</dcterms:modified>
</cp:coreProperties>
</file>