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95F779B6-924D-47A5-8536-F074D65DE988}" xr6:coauthVersionLast="47" xr6:coauthVersionMax="47" xr10:uidLastSave="{00000000-0000-0000-0000-000000000000}"/>
  <bookViews>
    <workbookView xWindow="-120" yWindow="-120" windowWidth="20730" windowHeight="11040" xr2:uid="{3660C4EF-A853-4EAE-A217-DD7BDBBE1046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TBFS!$C$8:$C$26</definedName>
    <definedName name="XDO_?FINAL_ISIN?1?">TBFS!$D$10:$D$26</definedName>
    <definedName name="XDO_?FINAL_ISIN?2?">TBFS!$D$10:$D$70</definedName>
    <definedName name="XDO_?FINAL_MV?1?">TBFS!$H$10:$H$26</definedName>
    <definedName name="XDO_?FINAL_MV?2?">TBFS!$H$10:$H$70</definedName>
    <definedName name="XDO_?FINAL_NAME?1?">TBFS!$C$10:$C$26</definedName>
    <definedName name="XDO_?FINAL_NAME?2?">TBFS!$C$10:$C$70</definedName>
    <definedName name="XDO_?FINAL_PER_NET?1?">TBFS!$I$10:$I$26</definedName>
    <definedName name="XDO_?FINAL_PER_NET?2?">TBFS!$I$10:$I$70</definedName>
    <definedName name="XDO_?FINAL_QUANTITE?1?">TBFS!$G$10:$G$26</definedName>
    <definedName name="XDO_?FINAL_QUANTITE?2?">TBFS!$G$10:$G$70</definedName>
    <definedName name="XDO_?IND_01?1?">TBFS!$F$10:$F$26</definedName>
    <definedName name="XDO_?IND_01?2?">TBFS!$F$10:$F$70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TBFS!$C$2:$C$26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TBFS!$B$10:$B$26</definedName>
    <definedName name="XDO_?NOVAL?2?">TBFS!$B$10:$B$70</definedName>
    <definedName name="XDO_?NPTF?1?">TBFS!$D$2:$D$26</definedName>
    <definedName name="XDO_?RATING?1?">TBFS!$E$10:$E$26</definedName>
    <definedName name="XDO_?RATING?2?">TBFS!$E$10:$E$70</definedName>
    <definedName name="XDO_?REMARKS?1?">TBFS!$J$10:$J$26</definedName>
    <definedName name="XDO_?REMARKS?2?">TBFS!$J$10:$J$70</definedName>
    <definedName name="XDO_?TITL?1?">TBFS!$A$8:$A$26</definedName>
    <definedName name="XDO_GROUP_?G_2?1?">TBFS!$2:$73</definedName>
    <definedName name="XDO_GROUP_?G_3?1?">TBFS!$8:$72</definedName>
    <definedName name="XDO_GROUP_?G_4?1?">TBFS!$B$10:$IV$26</definedName>
    <definedName name="XDO_GROUP_?G_4?2?">TBFS!$B$70:$IV$70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1" l="1"/>
</calcChain>
</file>

<file path=xl/sharedStrings.xml><?xml version="1.0" encoding="utf-8"?>
<sst xmlns="http://schemas.openxmlformats.org/spreadsheetml/2006/main" count="210" uniqueCount="135">
  <si>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</si>
  <si>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</si>
  <si>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</si>
  <si>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</si>
  <si>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</si>
  <si>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</si>
  <si>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</si>
  <si>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</si>
  <si>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</si>
  <si>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</si>
  <si>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</si>
  <si>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</si>
  <si>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</si>
  <si>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</si>
  <si>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</si>
  <si>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</si>
  <si>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</si>
  <si>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</si>
  <si>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</si>
  <si>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</si>
  <si>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</si>
  <si>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</si>
  <si>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</si>
  <si>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</si>
  <si>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</si>
  <si>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</si>
  <si>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</si>
  <si>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</si>
  <si>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</si>
  <si>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</si>
  <si>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</si>
  <si>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100194</t>
  </si>
  <si>
    <t>Power Finance Corporation Ltd.</t>
  </si>
  <si>
    <t>INE134E01011</t>
  </si>
  <si>
    <t>Finance</t>
  </si>
  <si>
    <t>100125</t>
  </si>
  <si>
    <t>Bajaj Finance Ltd.</t>
  </si>
  <si>
    <t>INE296A01032</t>
  </si>
  <si>
    <t>100325</t>
  </si>
  <si>
    <t>Bajaj Holdings &amp; Investment Ltd.</t>
  </si>
  <si>
    <t>INE118A01012</t>
  </si>
  <si>
    <t>100042</t>
  </si>
  <si>
    <t>LIC Housing Finance Ltd.</t>
  </si>
  <si>
    <t>INE115A01026</t>
  </si>
  <si>
    <t>100135</t>
  </si>
  <si>
    <t>The Karnataka Bank Ltd.</t>
  </si>
  <si>
    <t>INE614B01018</t>
  </si>
  <si>
    <t>100733</t>
  </si>
  <si>
    <t>General Insurance Corporation of India</t>
  </si>
  <si>
    <t>INE481Y01014</t>
  </si>
  <si>
    <t>Insurance</t>
  </si>
  <si>
    <t>100694</t>
  </si>
  <si>
    <t>Indian Energy Exchange Ltd.</t>
  </si>
  <si>
    <t>INE022Q01020</t>
  </si>
  <si>
    <t>Capital Markets</t>
  </si>
  <si>
    <t>100092</t>
  </si>
  <si>
    <t>Bank of Baroda</t>
  </si>
  <si>
    <t>INE028A01039</t>
  </si>
  <si>
    <t>102528</t>
  </si>
  <si>
    <t>DAM Capital Advisors Ltd.</t>
  </si>
  <si>
    <t>INE284H01025</t>
  </si>
  <si>
    <t>101550</t>
  </si>
  <si>
    <t>Life Insurance Corporation of India</t>
  </si>
  <si>
    <t>INE0J1Y01017</t>
  </si>
  <si>
    <t>100663</t>
  </si>
  <si>
    <t>AU Small Finance Bank Ltd.</t>
  </si>
  <si>
    <t>INE949L01017</t>
  </si>
  <si>
    <t>100191</t>
  </si>
  <si>
    <t>Canara Bank</t>
  </si>
  <si>
    <t>INE476A01022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</si>
  <si>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</si>
  <si>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</si>
  <si>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</si>
  <si>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</si>
  <si>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</si>
  <si>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</si>
  <si>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</si>
  <si>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</si>
  <si>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</si>
  <si>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</si>
  <si>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</si>
  <si>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</si>
  <si>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</si>
  <si>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</si>
  <si>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</si>
  <si>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</si>
  <si>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</si>
  <si>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</si>
  <si>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</si>
  <si>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</si>
  <si>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</si>
  <si>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</si>
  <si>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</si>
  <si>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</si>
  <si>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</si>
  <si>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</si>
  <si>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</si>
  <si>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</si>
  <si>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</si>
  <si>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</si>
  <si>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</si>
  <si>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</si>
  <si>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</si>
  <si>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</si>
  <si>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</si>
  <si>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</si>
  <si>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</si>
  <si>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</si>
  <si>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</si>
  <si>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</si>
  <si>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</si>
  <si>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November 30, 2025.</t>
  </si>
  <si>
    <t>7. The Scheme did not declare any bonus during the month ended as on  November 30, 2025.</t>
  </si>
  <si>
    <t>8. Total outstanding exposure in derivative instruments as on November 30, 2025 is Nil</t>
  </si>
  <si>
    <t>9. Total investments in Foreign Securities /ADRs/GDRs /Overseas ETFs as at as on  November 30, 2025 and its percentage to NAV is Nil.</t>
  </si>
  <si>
    <t>10. During the period, the portfolio turnover ratio is 0.53 times.</t>
  </si>
  <si>
    <t>      Portfolio Turnover Ratio = Lower of sales or purchase of securities divided by average AUM for 12 months ended as on  November 30, 2025</t>
  </si>
  <si>
    <t>11. The Scheme did not invest in repo transactions of corporate debt securities during the month ended as on  November 30, 2025.</t>
  </si>
  <si>
    <t>12. The Scheme did not invest in credit default swaps during the month ended as on  November 30, 2025.</t>
  </si>
  <si>
    <t>13. There are Nil instances of deviation from the valuation principles/guidelines during the month ended as on November 30th, 2025.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</si>
  <si>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</si>
  <si>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</si>
  <si>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</si>
  <si>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</si>
  <si>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</si>
  <si>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</si>
  <si>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</si>
  <si>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</si>
  <si>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</si>
  <si>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</si>
  <si>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</si>
  <si>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</si>
  <si>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November 28,2025 :55.84)</t>
  </si>
  <si>
    <t>Taurus Banking &amp; Financial Services Fund - Direct Plan Growth Option</t>
  </si>
  <si>
    <t>NAV [Rs.] Per Unit (as on November 28,2025 :62.6)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</si>
</sst>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D29D43F1-5189-495A-8BE6-51AE576A01B1}"/>
    <cellStyle name="Hyperlink" xfId="2" builtinId="8"/>
    <cellStyle name="Normal" xfId="0" builtinId="0"/>
    <cellStyle name="Normal 2" xfId="4" xr:uid="{1504A535-EE67-429D-A3FB-41D2A8A5AE01}"/>
    <cellStyle name="Style 1" xfId="3" xr:uid="{6295B032-63B9-4EEC-99EC-A156BAFD52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9CC0D6EA-44FD-42C7-BEFE-090399AE5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791F-4411-4E10-A9CD-B70A361DCEB2}">
  <dimension ref="A1:BB9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23577</v>
      </c>
      <c r="H10" s="32">
        <v>237.42</v>
      </c>
      <c r="I10" s="32">
        <v>19.510000000000002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16936</v>
      </c>
      <c r="H11" s="32">
        <v>235.19</v>
      </c>
      <c r="I11" s="32">
        <v>19.32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15379</v>
      </c>
      <c r="H12" s="32">
        <v>150.63999999999999</v>
      </c>
      <c r="I12" s="32">
        <v>12.38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11341</v>
      </c>
      <c r="H13" s="32">
        <v>145.19</v>
      </c>
      <c r="I13" s="32">
        <v>11.93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5289</v>
      </c>
      <c r="H14" s="32">
        <v>112.34</v>
      </c>
      <c r="I14" s="32">
        <v>9.23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17433</v>
      </c>
      <c r="H15" s="32">
        <v>63.3</v>
      </c>
      <c r="I15" s="32">
        <v>5.2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4487</v>
      </c>
      <c r="H16" s="32">
        <v>46.56</v>
      </c>
      <c r="I16" s="32">
        <v>3.83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34</v>
      </c>
      <c r="G17" s="31">
        <v>300</v>
      </c>
      <c r="H17" s="32">
        <v>34.49</v>
      </c>
      <c r="I17" s="32">
        <v>2.83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34</v>
      </c>
      <c r="G18" s="31">
        <v>5043</v>
      </c>
      <c r="H18" s="32">
        <v>27.69</v>
      </c>
      <c r="I18" s="32">
        <v>2.27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10794</v>
      </c>
      <c r="H19" s="32">
        <v>22.89</v>
      </c>
      <c r="I19" s="32">
        <v>1.88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50</v>
      </c>
      <c r="G20" s="31">
        <v>5704</v>
      </c>
      <c r="H20" s="32">
        <v>22.09</v>
      </c>
      <c r="I20" s="32">
        <v>1.82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54</v>
      </c>
      <c r="G21" s="31">
        <v>12720</v>
      </c>
      <c r="H21" s="32">
        <v>17.73</v>
      </c>
      <c r="I21" s="32">
        <v>1.46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18</v>
      </c>
      <c r="G22" s="31">
        <v>5858</v>
      </c>
      <c r="H22" s="32">
        <v>16.98</v>
      </c>
      <c r="I22" s="32">
        <v>1.4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54</v>
      </c>
      <c r="G23" s="31">
        <v>6364</v>
      </c>
      <c r="H23" s="32">
        <v>14.24</v>
      </c>
      <c r="I23" s="32">
        <v>1.17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50</v>
      </c>
      <c r="G24" s="31">
        <v>1393</v>
      </c>
      <c r="H24" s="32">
        <v>12.46</v>
      </c>
      <c r="I24" s="32">
        <v>1.02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1067</v>
      </c>
      <c r="H25" s="32">
        <v>10.19</v>
      </c>
      <c r="I25" s="32">
        <v>0.84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4225</v>
      </c>
      <c r="H26" s="32">
        <v>6.41</v>
      </c>
      <c r="I26" s="32">
        <v>0.53</v>
      </c>
      <c r="J26" s="33"/>
    </row>
    <row r="27" spans="2:10" x14ac:dyDescent="0.25">
      <c r="C27" s="28" t="s">
        <v>70</v>
      </c>
      <c r="D27" s="29"/>
      <c r="E27" s="30"/>
      <c r="F27" s="30"/>
      <c r="G27" s="31"/>
      <c r="H27" s="35">
        <v>1175.81</v>
      </c>
      <c r="I27" s="35">
        <v>96.62</v>
      </c>
      <c r="J27" s="33"/>
    </row>
    <row r="28" spans="2:10" x14ac:dyDescent="0.25">
      <c r="C28" s="20"/>
      <c r="D28" s="29"/>
      <c r="E28" s="30"/>
      <c r="F28" s="30"/>
      <c r="G28" s="31"/>
      <c r="H28" s="32"/>
      <c r="I28" s="32"/>
      <c r="J28" s="33"/>
    </row>
    <row r="29" spans="2:10" x14ac:dyDescent="0.25">
      <c r="C29" s="28" t="s">
        <v>71</v>
      </c>
      <c r="D29" s="29"/>
      <c r="E29" s="30"/>
      <c r="F29" s="30"/>
      <c r="G29" s="31"/>
      <c r="H29" s="32" t="s">
        <v>72</v>
      </c>
      <c r="I29" s="32" t="s">
        <v>72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73</v>
      </c>
      <c r="D31" s="29"/>
      <c r="E31" s="30"/>
      <c r="F31" s="30"/>
      <c r="G31" s="31"/>
      <c r="H31" s="32" t="s">
        <v>72</v>
      </c>
      <c r="I31" s="32" t="s">
        <v>72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74</v>
      </c>
      <c r="D33" s="29"/>
      <c r="E33" s="30"/>
      <c r="F33" s="30"/>
      <c r="G33" s="31"/>
      <c r="H33" s="32"/>
      <c r="I33" s="32"/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75</v>
      </c>
      <c r="D35" s="29"/>
      <c r="E35" s="30"/>
      <c r="F35" s="30"/>
      <c r="G35" s="31"/>
      <c r="H35" s="32" t="s">
        <v>72</v>
      </c>
      <c r="I35" s="32" t="s">
        <v>72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76</v>
      </c>
      <c r="D37" s="29"/>
      <c r="E37" s="30"/>
      <c r="F37" s="30"/>
      <c r="G37" s="31"/>
      <c r="H37" s="32" t="s">
        <v>72</v>
      </c>
      <c r="I37" s="32" t="s">
        <v>72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77</v>
      </c>
      <c r="D39" s="29"/>
      <c r="E39" s="30"/>
      <c r="F39" s="30"/>
      <c r="G39" s="31"/>
      <c r="H39" s="32" t="s">
        <v>72</v>
      </c>
      <c r="I39" s="32" t="s">
        <v>72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78</v>
      </c>
      <c r="D41" s="29"/>
      <c r="E41" s="30"/>
      <c r="F41" s="30"/>
      <c r="G41" s="31"/>
      <c r="H41" s="32" t="s">
        <v>72</v>
      </c>
      <c r="I41" s="32" t="s">
        <v>72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79</v>
      </c>
      <c r="D43" s="29"/>
      <c r="E43" s="30"/>
      <c r="F43" s="30"/>
      <c r="G43" s="31"/>
      <c r="H43" s="32" t="s">
        <v>72</v>
      </c>
      <c r="I43" s="32" t="s">
        <v>72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80</v>
      </c>
      <c r="D45" s="29"/>
      <c r="E45" s="30"/>
      <c r="F45" s="30"/>
      <c r="G45" s="31"/>
      <c r="H45" s="32"/>
      <c r="I45" s="32"/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81</v>
      </c>
      <c r="D47" s="29"/>
      <c r="E47" s="30"/>
      <c r="F47" s="30"/>
      <c r="G47" s="31"/>
      <c r="H47" s="32" t="s">
        <v>72</v>
      </c>
      <c r="I47" s="32" t="s">
        <v>72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82</v>
      </c>
      <c r="D49" s="29"/>
      <c r="E49" s="30"/>
      <c r="F49" s="30"/>
      <c r="G49" s="31"/>
      <c r="H49" s="32" t="s">
        <v>72</v>
      </c>
      <c r="I49" s="32" t="s">
        <v>72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83</v>
      </c>
      <c r="D51" s="29"/>
      <c r="E51" s="30"/>
      <c r="F51" s="30"/>
      <c r="G51" s="31"/>
      <c r="H51" s="32" t="s">
        <v>72</v>
      </c>
      <c r="I51" s="32" t="s">
        <v>72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84</v>
      </c>
      <c r="D53" s="29"/>
      <c r="E53" s="30"/>
      <c r="F53" s="30"/>
      <c r="G53" s="31"/>
      <c r="H53" s="32" t="s">
        <v>72</v>
      </c>
      <c r="I53" s="32" t="s">
        <v>72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85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86</v>
      </c>
      <c r="D57" s="29"/>
      <c r="E57" s="30"/>
      <c r="F57" s="30"/>
      <c r="G57" s="31"/>
      <c r="H57" s="32" t="s">
        <v>72</v>
      </c>
      <c r="I57" s="32" t="s">
        <v>72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87</v>
      </c>
      <c r="D59" s="29"/>
      <c r="E59" s="30"/>
      <c r="F59" s="30"/>
      <c r="G59" s="31"/>
      <c r="H59" s="32" t="s">
        <v>72</v>
      </c>
      <c r="I59" s="32" t="s">
        <v>72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88</v>
      </c>
      <c r="D61" s="29"/>
      <c r="E61" s="30"/>
      <c r="F61" s="30"/>
      <c r="G61" s="31"/>
      <c r="H61" s="32" t="s">
        <v>72</v>
      </c>
      <c r="I61" s="32" t="s">
        <v>72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89</v>
      </c>
      <c r="D63" s="29"/>
      <c r="E63" s="30"/>
      <c r="F63" s="30"/>
      <c r="G63" s="31"/>
      <c r="H63" s="32" t="s">
        <v>72</v>
      </c>
      <c r="I63" s="32" t="s">
        <v>72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90</v>
      </c>
      <c r="D65" s="29"/>
      <c r="E65" s="30"/>
      <c r="F65" s="30"/>
      <c r="G65" s="31"/>
      <c r="H65" s="32" t="s">
        <v>72</v>
      </c>
      <c r="I65" s="32" t="s">
        <v>72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91</v>
      </c>
      <c r="D67" s="29"/>
      <c r="E67" s="30"/>
      <c r="F67" s="30"/>
      <c r="G67" s="31"/>
      <c r="H67" s="32" t="s">
        <v>72</v>
      </c>
      <c r="I67" s="32" t="s">
        <v>72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92</v>
      </c>
      <c r="D69" s="29"/>
      <c r="E69" s="30"/>
      <c r="F69" s="30"/>
      <c r="G69" s="31"/>
      <c r="H69" s="32"/>
      <c r="I69" s="32"/>
      <c r="J69" s="33"/>
    </row>
    <row r="70" spans="1:10" x14ac:dyDescent="0.25">
      <c r="B70" s="1"/>
      <c r="C70" s="20" t="s">
        <v>93</v>
      </c>
      <c r="D70" s="29"/>
      <c r="E70" s="30"/>
      <c r="F70" s="30"/>
      <c r="G70" s="31"/>
      <c r="H70" s="32">
        <v>41.31</v>
      </c>
      <c r="I70" s="32">
        <v>3.3800000000000003</v>
      </c>
      <c r="J70" s="33"/>
    </row>
    <row r="71" spans="1:10" x14ac:dyDescent="0.25">
      <c r="C71" s="28" t="s">
        <v>70</v>
      </c>
      <c r="D71" s="29"/>
      <c r="E71" s="30"/>
      <c r="F71" s="30"/>
      <c r="G71" s="31"/>
      <c r="H71" s="35">
        <v>41.31</v>
      </c>
      <c r="I71" s="35">
        <v>3.3800000000000003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ht="14.25" thickBot="1" x14ac:dyDescent="0.3">
      <c r="C73" s="36" t="s">
        <v>94</v>
      </c>
      <c r="D73" s="37"/>
      <c r="E73" s="38"/>
      <c r="F73" s="39"/>
      <c r="G73" s="40"/>
      <c r="H73" s="41">
        <v>1217.1199999999999</v>
      </c>
      <c r="I73" s="41">
        <f>SUMIFS(I:I,C:C,"Total")</f>
        <v>100</v>
      </c>
      <c r="J73" s="42"/>
    </row>
    <row r="76" spans="1:10" x14ac:dyDescent="0.25">
      <c r="C76" s="11" t="s">
        <v>95</v>
      </c>
    </row>
    <row r="77" spans="1:10" x14ac:dyDescent="0.25">
      <c r="C77" s="2" t="s">
        <v>96</v>
      </c>
    </row>
    <row r="78" spans="1:10" x14ac:dyDescent="0.25">
      <c r="C78" s="2" t="s">
        <v>97</v>
      </c>
    </row>
    <row r="79" spans="1:10" x14ac:dyDescent="0.25">
      <c r="C79" s="2" t="s">
        <v>98</v>
      </c>
    </row>
    <row r="80" spans="1:10" x14ac:dyDescent="0.25">
      <c r="C80" s="43" t="s">
        <v>99</v>
      </c>
      <c r="D80" s="44"/>
      <c r="E80" s="44"/>
    </row>
    <row r="81" spans="3:5" x14ac:dyDescent="0.25">
      <c r="C81" s="43" t="s">
        <v>100</v>
      </c>
      <c r="D81" s="44"/>
      <c r="E81" s="44"/>
    </row>
    <row r="82" spans="3:5" ht="14.25" thickBot="1" x14ac:dyDescent="0.3">
      <c r="C82" s="43" t="s">
        <v>101</v>
      </c>
      <c r="D82" s="44"/>
      <c r="E82" s="44"/>
    </row>
    <row r="83" spans="3:5" ht="14.25" thickBot="1" x14ac:dyDescent="0.3">
      <c r="C83" s="45"/>
      <c r="D83" s="55" t="s">
        <v>102</v>
      </c>
      <c r="E83" s="56"/>
    </row>
    <row r="84" spans="3:5" x14ac:dyDescent="0.25">
      <c r="C84" s="46" t="s">
        <v>103</v>
      </c>
      <c r="D84" s="47" t="s">
        <v>104</v>
      </c>
      <c r="E84" s="48" t="s">
        <v>104</v>
      </c>
    </row>
    <row r="85" spans="3:5" ht="14.25" thickBot="1" x14ac:dyDescent="0.3">
      <c r="C85" s="49"/>
      <c r="D85" s="50" t="s">
        <v>105</v>
      </c>
      <c r="E85" s="51" t="s">
        <v>106</v>
      </c>
    </row>
    <row r="86" spans="3:5" ht="14.25" thickBot="1" x14ac:dyDescent="0.3">
      <c r="C86" s="52" t="s">
        <v>107</v>
      </c>
      <c r="D86" s="53">
        <v>49.26</v>
      </c>
      <c r="E86" s="53">
        <v>49.98</v>
      </c>
    </row>
    <row r="87" spans="3:5" ht="14.25" thickBot="1" x14ac:dyDescent="0.3">
      <c r="C87" s="52" t="s">
        <v>108</v>
      </c>
      <c r="D87" s="53">
        <v>55.02</v>
      </c>
      <c r="E87" s="53">
        <v>55.84</v>
      </c>
    </row>
    <row r="88" spans="3:5" ht="14.25" thickBot="1" x14ac:dyDescent="0.3">
      <c r="C88" s="52" t="s">
        <v>109</v>
      </c>
      <c r="D88" s="53">
        <v>60.93</v>
      </c>
      <c r="E88" s="53">
        <v>61.88</v>
      </c>
    </row>
    <row r="89" spans="3:5" ht="14.25" thickBot="1" x14ac:dyDescent="0.3">
      <c r="C89" s="52" t="s">
        <v>110</v>
      </c>
      <c r="D89" s="53">
        <v>61.65</v>
      </c>
      <c r="E89" s="53">
        <v>62.6</v>
      </c>
    </row>
    <row r="90" spans="3:5" x14ac:dyDescent="0.25">
      <c r="C90" s="44"/>
      <c r="D90" s="44"/>
      <c r="E90" s="44"/>
    </row>
    <row r="91" spans="3:5" x14ac:dyDescent="0.25">
      <c r="C91" s="43" t="s">
        <v>111</v>
      </c>
      <c r="D91" s="43"/>
      <c r="E91" s="54"/>
    </row>
    <row r="92" spans="3:5" x14ac:dyDescent="0.25">
      <c r="C92" s="43" t="s">
        <v>112</v>
      </c>
      <c r="D92" s="43"/>
      <c r="E92" s="54"/>
    </row>
    <row r="93" spans="3:5" x14ac:dyDescent="0.25">
      <c r="C93" s="43" t="s">
        <v>113</v>
      </c>
      <c r="D93" s="43"/>
      <c r="E93" s="54"/>
    </row>
    <row r="94" spans="3:5" x14ac:dyDescent="0.25">
      <c r="C94" s="43" t="s">
        <v>114</v>
      </c>
      <c r="D94" s="43"/>
      <c r="E94" s="43"/>
    </row>
    <row r="95" spans="3:5" x14ac:dyDescent="0.25">
      <c r="C95" s="43" t="s">
        <v>115</v>
      </c>
      <c r="D95" s="54"/>
      <c r="E95" s="44"/>
    </row>
    <row r="96" spans="3:5" x14ac:dyDescent="0.25">
      <c r="C96" s="43" t="s">
        <v>116</v>
      </c>
      <c r="D96" s="43"/>
      <c r="E96" s="43"/>
    </row>
    <row r="97" spans="3:5" x14ac:dyDescent="0.25">
      <c r="C97" s="43" t="s">
        <v>117</v>
      </c>
      <c r="D97" s="43"/>
      <c r="E97" s="43"/>
    </row>
    <row r="98" spans="3:5" x14ac:dyDescent="0.25">
      <c r="C98" s="43" t="s">
        <v>118</v>
      </c>
      <c r="D98" s="43"/>
      <c r="E98" s="43"/>
    </row>
    <row r="99" spans="3:5" ht="15" x14ac:dyDescent="0.25">
      <c r="C99" s="43" t="s">
        <v>119</v>
      </c>
      <c r="D99"/>
      <c r="E99"/>
    </row>
  </sheetData>
  <mergeCells count="1">
    <mergeCell ref="D83:E8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8707-3AB8-4A35-A228-A1EBF1C1184A}">
  <dimension ref="C3:M17"/>
  <sheetViews>
    <sheetView zoomScaleNormal="100" workbookViewId="0"/>
  </sheetViews>
  <sheetFormatPr defaultRowHeight="15" x14ac:dyDescent="0.25"/>
  <cols>
    <col min="3" max="3" width="46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7" t="s">
        <v>120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3:13" x14ac:dyDescent="0.25">
      <c r="C4" s="59" t="s">
        <v>121</v>
      </c>
      <c r="D4" s="60" t="s">
        <v>122</v>
      </c>
      <c r="E4" s="60"/>
      <c r="F4" s="60" t="s">
        <v>123</v>
      </c>
      <c r="G4" s="60"/>
      <c r="H4" s="60" t="s">
        <v>124</v>
      </c>
      <c r="I4" s="60"/>
      <c r="J4" s="61" t="s">
        <v>125</v>
      </c>
      <c r="K4" s="62"/>
      <c r="L4" s="63" t="s">
        <v>126</v>
      </c>
      <c r="M4" s="63"/>
    </row>
    <row r="5" spans="3:13" ht="63.75" x14ac:dyDescent="0.25">
      <c r="C5" s="64"/>
      <c r="D5" s="65" t="s">
        <v>127</v>
      </c>
      <c r="E5" s="65" t="s">
        <v>128</v>
      </c>
      <c r="F5" s="65" t="s">
        <v>127</v>
      </c>
      <c r="G5" s="65" t="s">
        <v>128</v>
      </c>
      <c r="H5" s="65" t="s">
        <v>127</v>
      </c>
      <c r="I5" s="65" t="s">
        <v>128</v>
      </c>
      <c r="J5" s="65" t="s">
        <v>127</v>
      </c>
      <c r="K5" s="65" t="s">
        <v>128</v>
      </c>
      <c r="L5" s="66" t="s">
        <v>127</v>
      </c>
      <c r="M5" s="66" t="s">
        <v>128</v>
      </c>
    </row>
    <row r="6" spans="3:13" x14ac:dyDescent="0.25">
      <c r="C6" s="67" t="s">
        <v>129</v>
      </c>
      <c r="D6" s="68">
        <v>9.9213000000000005</v>
      </c>
      <c r="E6" s="68">
        <v>10992.12598425197</v>
      </c>
      <c r="F6" s="68">
        <v>12.239000000000001</v>
      </c>
      <c r="G6" s="68">
        <v>14143.870314083082</v>
      </c>
      <c r="H6" s="68">
        <v>14.494199999999999</v>
      </c>
      <c r="I6" s="68">
        <v>19689.70380818054</v>
      </c>
      <c r="J6" s="68">
        <v>13.2418</v>
      </c>
      <c r="K6" s="68">
        <v>34726.368159203987</v>
      </c>
      <c r="L6" s="68">
        <v>13.5564</v>
      </c>
      <c r="M6" s="68">
        <v>55840</v>
      </c>
    </row>
    <row r="7" spans="3:13" x14ac:dyDescent="0.25">
      <c r="C7" s="67" t="s">
        <v>130</v>
      </c>
      <c r="D7" s="68">
        <v>14.309699999999999</v>
      </c>
      <c r="E7" s="68">
        <v>11430.970000000001</v>
      </c>
      <c r="F7" s="68">
        <v>11.8855</v>
      </c>
      <c r="G7" s="68">
        <v>14006.235395428761</v>
      </c>
      <c r="H7" s="68">
        <v>15.4229</v>
      </c>
      <c r="I7" s="68">
        <v>20486.129267392225</v>
      </c>
      <c r="J7" s="68">
        <v>13.587300000000001</v>
      </c>
      <c r="K7" s="68">
        <v>18908.143161264212</v>
      </c>
      <c r="L7" s="68">
        <v>15.484427999999999</v>
      </c>
      <c r="M7" s="68">
        <v>69852.876566357314</v>
      </c>
    </row>
    <row r="8" spans="3:13" x14ac:dyDescent="0.25">
      <c r="C8" s="67" t="s">
        <v>131</v>
      </c>
      <c r="D8" s="68">
        <v>10.9338</v>
      </c>
      <c r="E8" s="68">
        <v>11093.38</v>
      </c>
      <c r="F8" s="68">
        <v>13.4663</v>
      </c>
      <c r="G8" s="68">
        <v>14608.333661891722</v>
      </c>
      <c r="H8" s="68">
        <v>16.4649</v>
      </c>
      <c r="I8" s="68">
        <v>21427.686838804144</v>
      </c>
      <c r="J8" s="68">
        <v>14.057700000000001</v>
      </c>
      <c r="K8" s="68">
        <v>19302.921674483874</v>
      </c>
      <c r="L8" s="68">
        <v>14.6896</v>
      </c>
      <c r="M8" s="68">
        <v>63868.519508666664</v>
      </c>
    </row>
    <row r="9" spans="3:13" x14ac:dyDescent="0.25">
      <c r="C9" s="67" t="s">
        <v>132</v>
      </c>
      <c r="D9" s="69">
        <v>50.8</v>
      </c>
      <c r="E9" s="70"/>
      <c r="F9" s="69">
        <v>39.479999999999997</v>
      </c>
      <c r="G9" s="70"/>
      <c r="H9" s="69">
        <v>28.36</v>
      </c>
      <c r="I9" s="70"/>
      <c r="J9" s="69">
        <v>16.079999999999998</v>
      </c>
      <c r="K9" s="70"/>
      <c r="L9" s="69">
        <v>10</v>
      </c>
      <c r="M9" s="70"/>
    </row>
    <row r="11" spans="3:13" ht="15.75" x14ac:dyDescent="0.25">
      <c r="C11" s="57" t="s">
        <v>133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3:13" x14ac:dyDescent="0.25">
      <c r="C12" s="59" t="s">
        <v>121</v>
      </c>
      <c r="D12" s="60" t="s">
        <v>122</v>
      </c>
      <c r="E12" s="60"/>
      <c r="F12" s="60" t="s">
        <v>123</v>
      </c>
      <c r="G12" s="60"/>
      <c r="H12" s="60" t="s">
        <v>124</v>
      </c>
      <c r="I12" s="60"/>
      <c r="J12" s="61" t="s">
        <v>125</v>
      </c>
      <c r="K12" s="62"/>
      <c r="L12" s="63" t="s">
        <v>126</v>
      </c>
      <c r="M12" s="63"/>
    </row>
    <row r="13" spans="3:13" ht="63.75" x14ac:dyDescent="0.25">
      <c r="C13" s="64"/>
      <c r="D13" s="65" t="s">
        <v>127</v>
      </c>
      <c r="E13" s="65" t="s">
        <v>128</v>
      </c>
      <c r="F13" s="65" t="s">
        <v>127</v>
      </c>
      <c r="G13" s="65" t="s">
        <v>128</v>
      </c>
      <c r="H13" s="65" t="s">
        <v>127</v>
      </c>
      <c r="I13" s="65" t="s">
        <v>128</v>
      </c>
      <c r="J13" s="65" t="s">
        <v>127</v>
      </c>
      <c r="K13" s="65" t="s">
        <v>128</v>
      </c>
      <c r="L13" s="66" t="s">
        <v>127</v>
      </c>
      <c r="M13" s="66" t="s">
        <v>128</v>
      </c>
    </row>
    <row r="14" spans="3:13" x14ac:dyDescent="0.25">
      <c r="C14" s="67" t="s">
        <v>129</v>
      </c>
      <c r="D14" s="68">
        <v>10.835699999999999</v>
      </c>
      <c r="E14" s="68">
        <v>11083.569405099151</v>
      </c>
      <c r="F14" s="68">
        <v>13.1134</v>
      </c>
      <c r="G14" s="68">
        <v>14477.335800185014</v>
      </c>
      <c r="H14" s="68">
        <v>15.387600000000001</v>
      </c>
      <c r="I14" s="68">
        <v>20470.896010464359</v>
      </c>
      <c r="J14" s="68">
        <v>14.254099999999999</v>
      </c>
      <c r="K14" s="68">
        <v>37962.401455427535</v>
      </c>
      <c r="L14" s="68">
        <v>12.3825</v>
      </c>
      <c r="M14" s="68">
        <v>45860.805860805864</v>
      </c>
    </row>
    <row r="15" spans="3:13" x14ac:dyDescent="0.25">
      <c r="C15" s="67" t="s">
        <v>130</v>
      </c>
      <c r="D15" s="68">
        <v>14.309699999999999</v>
      </c>
      <c r="E15" s="68">
        <v>11430.970000000001</v>
      </c>
      <c r="F15" s="68">
        <v>11.8855</v>
      </c>
      <c r="G15" s="68">
        <v>14006.235395428761</v>
      </c>
      <c r="H15" s="68">
        <v>15.4229</v>
      </c>
      <c r="I15" s="68">
        <v>20486.129267392225</v>
      </c>
      <c r="J15" s="68">
        <v>13.587300000000001</v>
      </c>
      <c r="K15" s="68">
        <v>18908.143161264212</v>
      </c>
      <c r="L15" s="68">
        <v>13.318322999999999</v>
      </c>
      <c r="M15" s="68">
        <v>49613.605075444808</v>
      </c>
    </row>
    <row r="16" spans="3:13" x14ac:dyDescent="0.25">
      <c r="C16" s="67" t="s">
        <v>131</v>
      </c>
      <c r="D16" s="68">
        <v>10.9338</v>
      </c>
      <c r="E16" s="68">
        <v>11093.38</v>
      </c>
      <c r="F16" s="68">
        <v>13.4663</v>
      </c>
      <c r="G16" s="68">
        <v>14608.333661891722</v>
      </c>
      <c r="H16" s="68">
        <v>16.4649</v>
      </c>
      <c r="I16" s="68">
        <v>21427.686838804144</v>
      </c>
      <c r="J16" s="68">
        <v>14.057700000000001</v>
      </c>
      <c r="K16" s="68">
        <v>19302.921674483874</v>
      </c>
      <c r="L16" s="68">
        <v>13.4603</v>
      </c>
      <c r="M16" s="68">
        <v>51051.977131962507</v>
      </c>
    </row>
    <row r="17" spans="3:13" x14ac:dyDescent="0.25">
      <c r="C17" s="67" t="s">
        <v>134</v>
      </c>
      <c r="D17" s="69">
        <v>56.48</v>
      </c>
      <c r="E17" s="70"/>
      <c r="F17" s="69">
        <v>43.24</v>
      </c>
      <c r="G17" s="70"/>
      <c r="H17" s="69">
        <v>30.58</v>
      </c>
      <c r="I17" s="70"/>
      <c r="J17" s="69">
        <v>16.489999999999998</v>
      </c>
      <c r="K17" s="70"/>
      <c r="L17" s="69">
        <v>13.65</v>
      </c>
      <c r="M17" s="70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2025-12-04T10:43:53Z</dcterms:created>
  <dcterms:modified xsi:type="dcterms:W3CDTF">2025-12-05T11:59:57Z</dcterms:modified>
</cp:coreProperties>
</file>