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67739B7C-27D5-4E6C-9A3F-CB26AF43512D}" xr6:coauthVersionLast="47" xr6:coauthVersionMax="47" xr10:uidLastSave="{00000000-0000-0000-0000-000000000000}"/>
  <bookViews>
    <workbookView xWindow="-120" yWindow="-120" windowWidth="20730" windowHeight="11040" activeTab="1" xr2:uid="{2807E609-597A-4398-809D-9C18B9A62CCC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TBF!$C$8:$C$43</definedName>
    <definedName name="XDO_?CLASS_4?">TBF!$C$9</definedName>
    <definedName name="XDO_?CS_1?">TBF!$H$11</definedName>
    <definedName name="XDO_?CS_2?">TBF!$I$11</definedName>
    <definedName name="XDO_?FINAL_ISIN?">TBF!$D$10:$D$87</definedName>
    <definedName name="XDO_?FINAL_MV?">TBF!$H$10:$H$87</definedName>
    <definedName name="XDO_?FINAL_NAME?">TBF!$C$10:$C$87</definedName>
    <definedName name="XDO_?FINAL_PER_NET?">TBF!$I$10:$I$87</definedName>
    <definedName name="XDO_?FINAL_QUANTITE?">TBF!$G$10:$G$87</definedName>
    <definedName name="XDO_?IND_01?">TBF!$F$10:$F$87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TBF!$C$2:$C$43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TBF!$B$10:$B$87</definedName>
    <definedName name="XDO_?NPTF?">TBF!$D$2:$D$43</definedName>
    <definedName name="XDO_?RATING?">TBF!$E$10:$E$87</definedName>
    <definedName name="XDO_?REMARKS?">TBF!$J$10:$J$87</definedName>
    <definedName name="XDO_?TDATE?">TBF!$D$4</definedName>
    <definedName name="XDO_?TITL?">TBF!$A$8:$A$43</definedName>
    <definedName name="XDO_GROUP_?G_2?">TBF!$2:$90</definedName>
    <definedName name="XDO_GROUP_?G_3?">TBF!$8:$89</definedName>
    <definedName name="XDO_GROUP_?G_4?">TBF!$B$87:$IV$87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<sst xmlns="http://schemas.openxmlformats.org/spreadsheetml/2006/main" count="279" uniqueCount="206">
  <si>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</si>
  <si>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</si>
  <si>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</si>
  <si>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</si>
  <si>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</si>
  <si>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</si>
  <si>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</si>
  <si>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</si>
  <si>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</si>
  <si>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</si>
  <si>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</si>
  <si>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</si>
  <si>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</si>
  <si>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</si>
  <si>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</si>
  <si>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</si>
  <si>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</si>
  <si>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</si>
  <si>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</si>
  <si>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</si>
  <si>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</si>
  <si>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</si>
  <si>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</si>
  <si>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</si>
  <si>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</si>
  <si>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</si>
  <si>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</si>
  <si>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</si>
  <si>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</si>
  <si>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</si>
  <si>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</si>
  <si>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</si>
  <si>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</si>
  <si>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</si>
  <si>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</si>
  <si>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</si>
  <si>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</si>
  <si>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100182</t>
  </si>
  <si>
    <t>Power Grid Corporation of India Ltd.</t>
  </si>
  <si>
    <t>INE752E01010</t>
  </si>
  <si>
    <t>Power</t>
  </si>
  <si>
    <t>100111</t>
  </si>
  <si>
    <t>Oil &amp; Natural Gas Corporation Ltd.</t>
  </si>
  <si>
    <t>INE213A01029</t>
  </si>
  <si>
    <t>Oil</t>
  </si>
  <si>
    <t>100002</t>
  </si>
  <si>
    <t>Reliance Industries Ltd.</t>
  </si>
  <si>
    <t>INE002A01018</t>
  </si>
  <si>
    <t>Petroleum Products</t>
  </si>
  <si>
    <t>101184</t>
  </si>
  <si>
    <t>Mazagon Dock Shipbuilders Ltd.</t>
  </si>
  <si>
    <t>INE249Z01020</t>
  </si>
  <si>
    <t>Industrial Manufacturing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</si>
  <si>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</si>
  <si>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</si>
  <si>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</si>
  <si>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</si>
  <si>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</si>
  <si>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</si>
  <si>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</si>
  <si>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</si>
  <si>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100302</t>
  </si>
  <si>
    <t>DLF Ltd.</t>
  </si>
  <si>
    <t>INE271C01023</t>
  </si>
  <si>
    <t>Realty</t>
  </si>
  <si>
    <t>100024</t>
  </si>
  <si>
    <t>Axis Bank Ltd.</t>
  </si>
  <si>
    <t>INE238A01034</t>
  </si>
  <si>
    <t>100138</t>
  </si>
  <si>
    <t>PVR Inox Ltd.</t>
  </si>
  <si>
    <t>INE191H01014</t>
  </si>
  <si>
    <t>Entertainment</t>
  </si>
  <si>
    <t>102678</t>
  </si>
  <si>
    <t>TATA Capital Ltd.</t>
  </si>
  <si>
    <t>INE976I01016</t>
  </si>
  <si>
    <t>Finance</t>
  </si>
  <si>
    <t>100814</t>
  </si>
  <si>
    <t>HDFC Asset Management Co. Ltd.</t>
  </si>
  <si>
    <t>INE127D01025</t>
  </si>
  <si>
    <t>Capital Markets</t>
  </si>
  <si>
    <t>100097</t>
  </si>
  <si>
    <t>Coal India Ltd.</t>
  </si>
  <si>
    <t>INE522F01014</t>
  </si>
  <si>
    <t>Consumable Fuels</t>
  </si>
  <si>
    <t>100177</t>
  </si>
  <si>
    <t>Grasim Industries Ltd.</t>
  </si>
  <si>
    <t>INE047A01021</t>
  </si>
  <si>
    <t>Cement &amp; Cement Products</t>
  </si>
  <si>
    <t>100194</t>
  </si>
  <si>
    <t>Power Finance Corporation Ltd.</t>
  </si>
  <si>
    <t>INE134E01011</t>
  </si>
  <si>
    <t>100222</t>
  </si>
  <si>
    <t>The Indian Hotels Company Ltd.</t>
  </si>
  <si>
    <t>INE053A01029</t>
  </si>
  <si>
    <t>Leisure Services</t>
  </si>
  <si>
    <t>100260</t>
  </si>
  <si>
    <t>Solar Industries India Ltd.</t>
  </si>
  <si>
    <t>INE343H01029</t>
  </si>
  <si>
    <t>Chemicals &amp; Petrochemicals</t>
  </si>
  <si>
    <t>100677</t>
  </si>
  <si>
    <t>Dixon Technologies (India) Ltd.</t>
  </si>
  <si>
    <t>INE935N01020</t>
  </si>
  <si>
    <t>Consumer Durables</t>
  </si>
  <si>
    <t>100733</t>
  </si>
  <si>
    <t>General Insurance Corporation of India</t>
  </si>
  <si>
    <t>INE481Y01014</t>
  </si>
  <si>
    <t>Insurance</t>
  </si>
  <si>
    <t>100280</t>
  </si>
  <si>
    <t>TVS Motor Company Ltd.</t>
  </si>
  <si>
    <t>INE494B01023</t>
  </si>
  <si>
    <t>100125</t>
  </si>
  <si>
    <t>Bajaj Finance Ltd.</t>
  </si>
  <si>
    <t>INE296A01032</t>
  </si>
  <si>
    <t>100081</t>
  </si>
  <si>
    <t>Titan Company Ltd.</t>
  </si>
  <si>
    <t>INE280A01028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</si>
  <si>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</si>
  <si>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</si>
  <si>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</si>
  <si>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</si>
  <si>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</si>
  <si>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</si>
  <si>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100474</t>
  </si>
  <si>
    <t>Narayana Hrudayalaya Ltd.</t>
  </si>
  <si>
    <t>INE410P01011</t>
  </si>
  <si>
    <t>Healthcare Services</t>
  </si>
  <si>
    <t>100573</t>
  </si>
  <si>
    <t>Chennai Petroleum Corporation Ltd.</t>
  </si>
  <si>
    <t>INE178A01016</t>
  </si>
  <si>
    <t>100388</t>
  </si>
  <si>
    <t>Balrampur Chini Mills Ltd.</t>
  </si>
  <si>
    <t>INE119A01028</t>
  </si>
  <si>
    <t>Agricultural Food &amp; other Products</t>
  </si>
  <si>
    <t>100150</t>
  </si>
  <si>
    <t>Apollo Hospitals Enterprise Ltd.</t>
  </si>
  <si>
    <t>INE437A01024</t>
  </si>
  <si>
    <t>100830</t>
  </si>
  <si>
    <t>Varun Beverages Ltd.</t>
  </si>
  <si>
    <t>INE200M01039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</si>
  <si>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</si>
  <si>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</si>
  <si>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</si>
  <si>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</si>
  <si>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</si>
  <si>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</si>
  <si>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</si>
  <si>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</si>
  <si>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</si>
  <si>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</si>
  <si>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</si>
  <si>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</si>
  <si>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</si>
  <si>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</si>
  <si>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</si>
  <si>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</si>
  <si>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</si>
  <si>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</si>
  <si>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</si>
  <si>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</si>
  <si>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</si>
  <si>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</si>
  <si>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</si>
  <si>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</si>
  <si>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</si>
  <si>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</si>
  <si>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</si>
  <si>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</si>
  <si>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</si>
  <si>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</si>
  <si>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</si>
  <si>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</si>
  <si>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</si>
  <si>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</si>
  <si>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</si>
  <si>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</si>
  <si>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</si>
  <si>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</si>
  <si>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</si>
  <si>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</si>
  <si>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</si>
  <si>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</si>
  <si>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March 31, 2026.</t>
  </si>
  <si>
    <t>7. The Scheme did not declare any bonus during the month ended as on March 31, 2026.</t>
  </si>
  <si>
    <t>8. Total outstanding exposure in derivative instruments as on March 31, 2026 is Nil</t>
  </si>
  <si>
    <t>9. Total investments in Foreign Securities /ADRs/GDRs /Overseas ETFs as on March 31, 2026 and its percentage to NAV is Nil.</t>
  </si>
  <si>
    <t>10. During the period, the portfolio turnover ratio is 0.91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</si>
  <si>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</si>
  <si>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</si>
  <si>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 March 31, 2026.</t>
  </si>
  <si>
    <t>13. There are Nil instances of deviation from the valuation principles/guidelines during the month ended as on March 31st, 2026.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</si>
  <si>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</si>
  <si>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</si>
  <si>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</si>
  <si>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</si>
  <si>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</si>
  <si>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</si>
  <si>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</si>
  <si>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</si>
  <si>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</si>
  <si>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</si>
  <si>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</si>
  <si>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</si>
  <si>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March 30,2026 :143.75)</t>
  </si>
  <si>
    <t>Taurus Largecap Fund - Direct Plan Growth Option</t>
  </si>
  <si>
    <t>NAV [Rs.] Per Unit (as on March 30,2026 :152.3)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</si>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</sst>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4" fillId="0" borderId="13" xfId="0" applyFont="1" applyBorder="1"/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6">
    <cellStyle name="Comma" xfId="1" builtinId="3"/>
    <cellStyle name="Comma 2" xfId="5" xr:uid="{9A4FCC38-A4D6-4727-ACB6-8ECB75EE805D}"/>
    <cellStyle name="Hyperlink" xfId="2" builtinId="8"/>
    <cellStyle name="Normal" xfId="0" builtinId="0"/>
    <cellStyle name="Normal 2" xfId="4" xr:uid="{656B2FA0-E228-45F4-9E81-6E36F49C2CDE}"/>
    <cellStyle name="Style 1" xfId="3" xr:uid="{0C55728B-33E9-4A69-A082-8FF20AF08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814444</xdr:colOff>
      <xdr:row>0</xdr:row>
      <xdr:rowOff>1682750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18A67-AB9E-4AAE-AB72-34BE2D59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566611" cy="1682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F9E8-6003-42FA-8A6F-823EBB2841B4}">
  <sheetPr codeName="Sheet1"/>
  <dimension ref="A1:BB116"/>
  <sheetViews>
    <sheetView showGridLines="0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2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152721</v>
      </c>
      <c r="H10" s="32">
        <v>439.38</v>
      </c>
      <c r="I10" s="32">
        <v>9.48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6018</v>
      </c>
      <c r="H11" s="32">
        <v>357.86</v>
      </c>
      <c r="I11" s="32">
        <v>7.72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47677</v>
      </c>
      <c r="H12" s="32">
        <v>348.9</v>
      </c>
      <c r="I12" s="32">
        <v>7.53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24392</v>
      </c>
      <c r="H13" s="32">
        <v>293.97000000000003</v>
      </c>
      <c r="I13" s="32">
        <v>6.34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26</v>
      </c>
      <c r="G14" s="31">
        <v>24204</v>
      </c>
      <c r="H14" s="32">
        <v>237.15</v>
      </c>
      <c r="I14" s="32">
        <v>5.12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12779</v>
      </c>
      <c r="H15" s="32">
        <v>228.02</v>
      </c>
      <c r="I15" s="32">
        <v>4.92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58197</v>
      </c>
      <c r="H16" s="32">
        <v>172.38</v>
      </c>
      <c r="I16" s="32">
        <v>3.72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55738</v>
      </c>
      <c r="H17" s="32">
        <v>158.63</v>
      </c>
      <c r="I17" s="32">
        <v>3.42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11541</v>
      </c>
      <c r="H18" s="32">
        <v>155.13999999999999</v>
      </c>
      <c r="I18" s="32">
        <v>3.35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7390</v>
      </c>
      <c r="H19" s="32">
        <v>152.54</v>
      </c>
      <c r="I19" s="32">
        <v>3.29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9885</v>
      </c>
      <c r="H20" s="32">
        <v>132.57</v>
      </c>
      <c r="I20" s="32">
        <v>2.86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4380</v>
      </c>
      <c r="H21" s="32">
        <v>129.47999999999999</v>
      </c>
      <c r="I21" s="32">
        <v>2.79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23778</v>
      </c>
      <c r="H22" s="32">
        <v>119.77</v>
      </c>
      <c r="I22" s="32">
        <v>2.58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26</v>
      </c>
      <c r="G23" s="31">
        <v>10176</v>
      </c>
      <c r="H23" s="32">
        <v>118.24</v>
      </c>
      <c r="I23" s="32">
        <v>2.5499999999999998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12749</v>
      </c>
      <c r="H24" s="32">
        <v>117.13</v>
      </c>
      <c r="I24" s="32">
        <v>2.5299999999999998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36598</v>
      </c>
      <c r="H25" s="32">
        <v>111.79</v>
      </c>
      <c r="I25" s="32">
        <v>2.41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4969</v>
      </c>
      <c r="H26" s="32">
        <v>110.15</v>
      </c>
      <c r="I26" s="32">
        <v>2.38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23390</v>
      </c>
      <c r="H27" s="32">
        <v>105.31</v>
      </c>
      <c r="I27" s="32">
        <v>2.27</v>
      </c>
      <c r="J27" s="33"/>
    </row>
    <row r="28" spans="2:10" x14ac:dyDescent="0.25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3430</v>
      </c>
      <c r="H28" s="32">
        <v>87.65</v>
      </c>
      <c r="I28" s="32">
        <v>1.89</v>
      </c>
      <c r="J28" s="33"/>
    </row>
    <row r="29" spans="2:10" x14ac:dyDescent="0.25">
      <c r="B29" s="1" t="s">
        <v>88</v>
      </c>
      <c r="C29" s="20" t="s">
        <v>89</v>
      </c>
      <c r="D29" s="29" t="s">
        <v>90</v>
      </c>
      <c r="E29" s="30"/>
      <c r="F29" s="30" t="s">
        <v>75</v>
      </c>
      <c r="G29" s="31">
        <v>22408</v>
      </c>
      <c r="H29" s="32">
        <v>85.07</v>
      </c>
      <c r="I29" s="32">
        <v>1.83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14700</v>
      </c>
      <c r="H30" s="32">
        <v>83.9</v>
      </c>
      <c r="I30" s="32">
        <v>1.81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671</v>
      </c>
      <c r="H31" s="32">
        <v>80.989999999999995</v>
      </c>
      <c r="I31" s="32">
        <v>1.75</v>
      </c>
      <c r="J31" s="33"/>
    </row>
    <row r="32" spans="2:10" x14ac:dyDescent="0.25">
      <c r="B32" s="1" t="s">
        <v>99</v>
      </c>
      <c r="C32" s="20" t="s">
        <v>100</v>
      </c>
      <c r="D32" s="29" t="s">
        <v>101</v>
      </c>
      <c r="E32" s="30"/>
      <c r="F32" s="30" t="s">
        <v>102</v>
      </c>
      <c r="G32" s="31">
        <v>778</v>
      </c>
      <c r="H32" s="32">
        <v>75.23</v>
      </c>
      <c r="I32" s="32">
        <v>1.62</v>
      </c>
      <c r="J32" s="33"/>
    </row>
    <row r="33" spans="2:10" x14ac:dyDescent="0.25">
      <c r="B33" s="1" t="s">
        <v>103</v>
      </c>
      <c r="C33" s="20" t="s">
        <v>104</v>
      </c>
      <c r="D33" s="29" t="s">
        <v>105</v>
      </c>
      <c r="E33" s="30"/>
      <c r="F33" s="30" t="s">
        <v>106</v>
      </c>
      <c r="G33" s="31">
        <v>20720</v>
      </c>
      <c r="H33" s="32">
        <v>75.12</v>
      </c>
      <c r="I33" s="32">
        <v>1.62</v>
      </c>
      <c r="J33" s="33"/>
    </row>
    <row r="34" spans="2:10" x14ac:dyDescent="0.25">
      <c r="B34" s="1" t="s">
        <v>107</v>
      </c>
      <c r="C34" s="20" t="s">
        <v>108</v>
      </c>
      <c r="D34" s="29" t="s">
        <v>109</v>
      </c>
      <c r="E34" s="30"/>
      <c r="F34" s="30" t="s">
        <v>60</v>
      </c>
      <c r="G34" s="31">
        <v>2005</v>
      </c>
      <c r="H34" s="32">
        <v>67.48</v>
      </c>
      <c r="I34" s="32">
        <v>1.46</v>
      </c>
      <c r="J34" s="33"/>
    </row>
    <row r="35" spans="2:10" x14ac:dyDescent="0.25">
      <c r="B35" s="1" t="s">
        <v>110</v>
      </c>
      <c r="C35" s="20" t="s">
        <v>111</v>
      </c>
      <c r="D35" s="29" t="s">
        <v>112</v>
      </c>
      <c r="E35" s="30"/>
      <c r="F35" s="30" t="s">
        <v>75</v>
      </c>
      <c r="G35" s="31">
        <v>7291</v>
      </c>
      <c r="H35" s="32">
        <v>58.43</v>
      </c>
      <c r="I35" s="32">
        <v>1.26</v>
      </c>
      <c r="J35" s="33"/>
    </row>
    <row r="36" spans="2:10" x14ac:dyDescent="0.25">
      <c r="B36" s="1" t="s">
        <v>113</v>
      </c>
      <c r="C36" s="20" t="s">
        <v>114</v>
      </c>
      <c r="D36" s="29" t="s">
        <v>115</v>
      </c>
      <c r="E36" s="30"/>
      <c r="F36" s="30" t="s">
        <v>102</v>
      </c>
      <c r="G36" s="31">
        <v>1393</v>
      </c>
      <c r="H36" s="32">
        <v>55.05</v>
      </c>
      <c r="I36" s="32">
        <v>1.19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60</v>
      </c>
      <c r="G37" s="31">
        <v>443</v>
      </c>
      <c r="H37" s="32">
        <v>54.48</v>
      </c>
      <c r="I37" s="32">
        <v>1.18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22</v>
      </c>
      <c r="G38" s="31">
        <v>3074</v>
      </c>
      <c r="H38" s="32">
        <v>54.02</v>
      </c>
      <c r="I38" s="32">
        <v>1.17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2700</v>
      </c>
      <c r="H39" s="32">
        <v>43.35</v>
      </c>
      <c r="I39" s="32">
        <v>0.94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48</v>
      </c>
      <c r="G40" s="31">
        <v>4417</v>
      </c>
      <c r="H40" s="32">
        <v>42.73</v>
      </c>
      <c r="I40" s="32">
        <v>0.92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7250</v>
      </c>
      <c r="H41" s="32">
        <v>36.07</v>
      </c>
      <c r="I41" s="32">
        <v>0.78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125</v>
      </c>
      <c r="G42" s="31">
        <v>471</v>
      </c>
      <c r="H42" s="32">
        <v>34.99</v>
      </c>
      <c r="I42" s="32">
        <v>0.75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5860</v>
      </c>
      <c r="H43" s="32">
        <v>22.51</v>
      </c>
      <c r="I43" s="32">
        <v>0.49</v>
      </c>
      <c r="J43" s="33"/>
    </row>
    <row r="44" spans="2:10" x14ac:dyDescent="0.25">
      <c r="C44" s="28" t="s">
        <v>140</v>
      </c>
      <c r="D44" s="29"/>
      <c r="E44" s="30"/>
      <c r="F44" s="30"/>
      <c r="G44" s="31"/>
      <c r="H44" s="35">
        <v>4445.4799999999996</v>
      </c>
      <c r="I44" s="35">
        <v>95.92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141</v>
      </c>
      <c r="D46" s="29"/>
      <c r="E46" s="30"/>
      <c r="F46" s="30"/>
      <c r="G46" s="31"/>
      <c r="H46" s="32" t="s">
        <v>142</v>
      </c>
      <c r="I46" s="32" t="s">
        <v>142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143</v>
      </c>
      <c r="D48" s="29"/>
      <c r="E48" s="30"/>
      <c r="F48" s="30"/>
      <c r="G48" s="31"/>
      <c r="H48" s="32" t="s">
        <v>142</v>
      </c>
      <c r="I48" s="32" t="s">
        <v>142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144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145</v>
      </c>
      <c r="D52" s="29"/>
      <c r="E52" s="30"/>
      <c r="F52" s="30"/>
      <c r="G52" s="31"/>
      <c r="H52" s="32" t="s">
        <v>142</v>
      </c>
      <c r="I52" s="32" t="s">
        <v>142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146</v>
      </c>
      <c r="D54" s="29"/>
      <c r="E54" s="30"/>
      <c r="F54" s="30"/>
      <c r="G54" s="31"/>
      <c r="H54" s="32" t="s">
        <v>142</v>
      </c>
      <c r="I54" s="32" t="s">
        <v>142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147</v>
      </c>
      <c r="D56" s="29"/>
      <c r="E56" s="30"/>
      <c r="F56" s="30"/>
      <c r="G56" s="31"/>
      <c r="H56" s="32" t="s">
        <v>142</v>
      </c>
      <c r="I56" s="32" t="s">
        <v>142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148</v>
      </c>
      <c r="D58" s="29"/>
      <c r="E58" s="30"/>
      <c r="F58" s="30"/>
      <c r="G58" s="31"/>
      <c r="H58" s="32" t="s">
        <v>142</v>
      </c>
      <c r="I58" s="32" t="s">
        <v>142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149</v>
      </c>
      <c r="D60" s="29"/>
      <c r="E60" s="30"/>
      <c r="F60" s="30"/>
      <c r="G60" s="31"/>
      <c r="H60" s="32" t="s">
        <v>142</v>
      </c>
      <c r="I60" s="32" t="s">
        <v>142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150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151</v>
      </c>
      <c r="D64" s="29"/>
      <c r="E64" s="30"/>
      <c r="F64" s="30"/>
      <c r="G64" s="31"/>
      <c r="H64" s="32" t="s">
        <v>142</v>
      </c>
      <c r="I64" s="32" t="s">
        <v>142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152</v>
      </c>
      <c r="D66" s="29"/>
      <c r="E66" s="30"/>
      <c r="F66" s="30"/>
      <c r="G66" s="31"/>
      <c r="H66" s="32" t="s">
        <v>142</v>
      </c>
      <c r="I66" s="32" t="s">
        <v>142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153</v>
      </c>
      <c r="D68" s="29"/>
      <c r="E68" s="30"/>
      <c r="F68" s="30"/>
      <c r="G68" s="31"/>
      <c r="H68" s="32" t="s">
        <v>142</v>
      </c>
      <c r="I68" s="32" t="s">
        <v>142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154</v>
      </c>
      <c r="D70" s="29"/>
      <c r="E70" s="30"/>
      <c r="F70" s="30"/>
      <c r="G70" s="31"/>
      <c r="H70" s="32" t="s">
        <v>142</v>
      </c>
      <c r="I70" s="32" t="s">
        <v>142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155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156</v>
      </c>
      <c r="D74" s="29"/>
      <c r="E74" s="30"/>
      <c r="F74" s="30"/>
      <c r="G74" s="31"/>
      <c r="H74" s="32" t="s">
        <v>142</v>
      </c>
      <c r="I74" s="32" t="s">
        <v>142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157</v>
      </c>
      <c r="D76" s="29"/>
      <c r="E76" s="30"/>
      <c r="F76" s="30"/>
      <c r="G76" s="31"/>
      <c r="H76" s="32" t="s">
        <v>142</v>
      </c>
      <c r="I76" s="32" t="s">
        <v>142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158</v>
      </c>
      <c r="D78" s="29"/>
      <c r="E78" s="30"/>
      <c r="F78" s="30"/>
      <c r="G78" s="31"/>
      <c r="H78" s="32" t="s">
        <v>142</v>
      </c>
      <c r="I78" s="32" t="s">
        <v>142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159</v>
      </c>
      <c r="D80" s="29"/>
      <c r="E80" s="30"/>
      <c r="F80" s="30"/>
      <c r="G80" s="31"/>
      <c r="H80" s="32" t="s">
        <v>142</v>
      </c>
      <c r="I80" s="32" t="s">
        <v>142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160</v>
      </c>
      <c r="D82" s="29"/>
      <c r="E82" s="30"/>
      <c r="F82" s="30"/>
      <c r="G82" s="31"/>
      <c r="H82" s="32" t="s">
        <v>142</v>
      </c>
      <c r="I82" s="32" t="s">
        <v>142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161</v>
      </c>
      <c r="D84" s="29"/>
      <c r="E84" s="30"/>
      <c r="F84" s="30"/>
      <c r="G84" s="31"/>
      <c r="H84" s="32" t="s">
        <v>142</v>
      </c>
      <c r="I84" s="32" t="s">
        <v>142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162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163</v>
      </c>
      <c r="D87" s="29"/>
      <c r="E87" s="30"/>
      <c r="F87" s="30"/>
      <c r="G87" s="31"/>
      <c r="H87" s="32">
        <v>190.89</v>
      </c>
      <c r="I87" s="32">
        <v>4.08</v>
      </c>
      <c r="J87" s="33"/>
    </row>
    <row r="88" spans="1:10" x14ac:dyDescent="0.25">
      <c r="C88" s="28" t="s">
        <v>140</v>
      </c>
      <c r="D88" s="29"/>
      <c r="E88" s="30"/>
      <c r="F88" s="30"/>
      <c r="G88" s="31"/>
      <c r="H88" s="35">
        <v>190.89</v>
      </c>
      <c r="I88" s="35">
        <v>4.08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164</v>
      </c>
      <c r="D90" s="37"/>
      <c r="E90" s="38"/>
      <c r="F90" s="39"/>
      <c r="G90" s="40"/>
      <c r="H90" s="41">
        <v>4636.37</v>
      </c>
      <c r="I90" s="41">
        <f>SUMIFS(I:I,C:C,"Total")</f>
        <v>100</v>
      </c>
      <c r="J90" s="42"/>
    </row>
    <row r="91" spans="1:10" x14ac:dyDescent="0.25">
      <c r="H91" s="43"/>
    </row>
    <row r="93" spans="1:10" x14ac:dyDescent="0.25">
      <c r="C93" s="11" t="s">
        <v>165</v>
      </c>
    </row>
    <row r="94" spans="1:10" x14ac:dyDescent="0.25">
      <c r="C94" s="2" t="s">
        <v>166</v>
      </c>
    </row>
    <row r="95" spans="1:10" x14ac:dyDescent="0.25">
      <c r="C95" s="2" t="s">
        <v>167</v>
      </c>
    </row>
    <row r="96" spans="1:10" x14ac:dyDescent="0.25">
      <c r="C96" s="2" t="s">
        <v>168</v>
      </c>
    </row>
    <row r="97" spans="3:5" x14ac:dyDescent="0.25">
      <c r="C97" s="2" t="s">
        <v>169</v>
      </c>
    </row>
    <row r="98" spans="3:5" x14ac:dyDescent="0.25">
      <c r="C98" s="2" t="s">
        <v>170</v>
      </c>
    </row>
    <row r="99" spans="3:5" ht="14.25" thickBot="1" x14ac:dyDescent="0.3">
      <c r="C99" s="2" t="s">
        <v>171</v>
      </c>
    </row>
    <row r="100" spans="3:5" ht="14.25" thickBot="1" x14ac:dyDescent="0.3">
      <c r="C100" s="44"/>
      <c r="D100" s="66" t="s">
        <v>172</v>
      </c>
      <c r="E100" s="67"/>
    </row>
    <row r="101" spans="3:5" x14ac:dyDescent="0.25">
      <c r="C101" s="45" t="s">
        <v>173</v>
      </c>
      <c r="D101" s="46" t="s">
        <v>174</v>
      </c>
      <c r="E101" s="46" t="s">
        <v>174</v>
      </c>
    </row>
    <row r="102" spans="3:5" ht="14.25" thickBot="1" x14ac:dyDescent="0.3">
      <c r="C102" s="47"/>
      <c r="D102" s="48" t="s">
        <v>175</v>
      </c>
      <c r="E102" s="48" t="s">
        <v>176</v>
      </c>
    </row>
    <row r="103" spans="3:5" ht="14.25" thickBot="1" x14ac:dyDescent="0.3">
      <c r="C103" s="49" t="s">
        <v>177</v>
      </c>
      <c r="D103" s="50">
        <v>69.28</v>
      </c>
      <c r="E103" s="50">
        <v>62.97</v>
      </c>
    </row>
    <row r="104" spans="3:5" ht="14.25" thickBot="1" x14ac:dyDescent="0.3">
      <c r="C104" s="49" t="s">
        <v>178</v>
      </c>
      <c r="D104" s="50">
        <v>158.15</v>
      </c>
      <c r="E104" s="50">
        <v>143.74</v>
      </c>
    </row>
    <row r="105" spans="3:5" ht="14.25" thickBot="1" x14ac:dyDescent="0.3">
      <c r="C105" s="49" t="s">
        <v>179</v>
      </c>
      <c r="D105" s="50">
        <v>73.790000000000006</v>
      </c>
      <c r="E105" s="50">
        <v>67.09</v>
      </c>
    </row>
    <row r="106" spans="3:5" ht="14.25" thickBot="1" x14ac:dyDescent="0.3">
      <c r="C106" s="49" t="s">
        <v>180</v>
      </c>
      <c r="D106" s="50">
        <v>167.51</v>
      </c>
      <c r="E106" s="50">
        <v>152.29</v>
      </c>
    </row>
    <row r="108" spans="3:5" x14ac:dyDescent="0.25">
      <c r="C108" s="2" t="s">
        <v>181</v>
      </c>
    </row>
    <row r="109" spans="3:5" x14ac:dyDescent="0.25">
      <c r="C109" s="2" t="s">
        <v>182</v>
      </c>
    </row>
    <row r="110" spans="3:5" x14ac:dyDescent="0.25">
      <c r="C110" s="2" t="s">
        <v>183</v>
      </c>
    </row>
    <row r="111" spans="3:5" x14ac:dyDescent="0.25">
      <c r="C111" s="2" t="s">
        <v>184</v>
      </c>
    </row>
    <row r="112" spans="3:5" x14ac:dyDescent="0.25">
      <c r="C112" s="2" t="s">
        <v>185</v>
      </c>
    </row>
    <row r="113" spans="3:3" x14ac:dyDescent="0.25">
      <c r="C113" s="2" t="s">
        <v>186</v>
      </c>
    </row>
    <row r="114" spans="3:3" x14ac:dyDescent="0.25">
      <c r="C114" s="2" t="s">
        <v>187</v>
      </c>
    </row>
    <row r="115" spans="3:3" x14ac:dyDescent="0.25">
      <c r="C115" s="2" t="s">
        <v>188</v>
      </c>
    </row>
    <row r="116" spans="3:3" x14ac:dyDescent="0.25">
      <c r="C116" s="2" t="s">
        <v>189</v>
      </c>
    </row>
  </sheetData>
  <mergeCells count="1">
    <mergeCell ref="D100:E10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EB04-2B32-48E6-8DC4-2CE9D640CCCA}">
  <sheetPr>
    <pageSetUpPr fitToPage="1"/>
  </sheetPr>
  <dimension ref="C3:M17"/>
  <sheetViews>
    <sheetView tabSelected="1" topLeftCell="A6" workbookViewId="0">
      <selection activeCell="D20" sqref="D20"/>
    </sheetView>
  </sheetViews>
  <sheetFormatPr defaultRowHeight="15" x14ac:dyDescent="0.25"/>
  <cols>
    <col min="3" max="3" width="60.140625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1" t="s">
        <v>190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3:13" x14ac:dyDescent="0.25">
      <c r="C4" s="53" t="s">
        <v>191</v>
      </c>
      <c r="D4" s="62" t="s">
        <v>192</v>
      </c>
      <c r="E4" s="62"/>
      <c r="F4" s="62" t="s">
        <v>193</v>
      </c>
      <c r="G4" s="62"/>
      <c r="H4" s="62" t="s">
        <v>194</v>
      </c>
      <c r="I4" s="62"/>
      <c r="J4" s="63" t="s">
        <v>195</v>
      </c>
      <c r="K4" s="64"/>
      <c r="L4" s="65" t="s">
        <v>196</v>
      </c>
      <c r="M4" s="65"/>
    </row>
    <row r="5" spans="3:13" ht="63.75" x14ac:dyDescent="0.25">
      <c r="C5" s="54"/>
      <c r="D5" s="55" t="s">
        <v>197</v>
      </c>
      <c r="E5" s="55" t="s">
        <v>198</v>
      </c>
      <c r="F5" s="55" t="s">
        <v>197</v>
      </c>
      <c r="G5" s="55" t="s">
        <v>198</v>
      </c>
      <c r="H5" s="55" t="s">
        <v>197</v>
      </c>
      <c r="I5" s="55" t="s">
        <v>198</v>
      </c>
      <c r="J5" s="55" t="s">
        <v>197</v>
      </c>
      <c r="K5" s="55" t="s">
        <v>198</v>
      </c>
      <c r="L5" s="56" t="s">
        <v>197</v>
      </c>
      <c r="M5" s="56" t="s">
        <v>198</v>
      </c>
    </row>
    <row r="6" spans="3:13" x14ac:dyDescent="0.25">
      <c r="C6" s="57" t="s">
        <v>199</v>
      </c>
      <c r="D6" s="58">
        <v>-1.5863936000000001</v>
      </c>
      <c r="E6" s="58">
        <v>9840.4983570646218</v>
      </c>
      <c r="F6" s="58">
        <v>13.936500000000001</v>
      </c>
      <c r="G6" s="58">
        <v>14801.276771004941</v>
      </c>
      <c r="H6" s="58">
        <v>10.2217</v>
      </c>
      <c r="I6" s="58">
        <v>16272.356803260131</v>
      </c>
      <c r="J6" s="58">
        <v>9.8352000000000004</v>
      </c>
      <c r="K6" s="58">
        <v>25564.645207184778</v>
      </c>
      <c r="L6" s="58">
        <v>10.255599999999999</v>
      </c>
      <c r="M6" s="58">
        <v>143750</v>
      </c>
    </row>
    <row r="7" spans="3:13" x14ac:dyDescent="0.25">
      <c r="C7" s="57" t="s">
        <v>200</v>
      </c>
      <c r="D7" s="58">
        <v>-3.6234185999999999</v>
      </c>
      <c r="E7" s="58">
        <v>9814.86</v>
      </c>
      <c r="F7" s="58">
        <v>11.939904</v>
      </c>
      <c r="G7" s="58">
        <v>14425.982260242859</v>
      </c>
      <c r="H7" s="58">
        <v>10.722255000000001</v>
      </c>
      <c r="I7" s="58">
        <v>17357.615439850812</v>
      </c>
      <c r="J7" s="58">
        <v>13.024903</v>
      </c>
      <c r="K7" s="58">
        <v>18658.11628420847</v>
      </c>
      <c r="L7" s="58" t="s">
        <v>205</v>
      </c>
      <c r="M7" s="58">
        <v>371597.19727612328</v>
      </c>
    </row>
    <row r="8" spans="3:13" x14ac:dyDescent="0.25">
      <c r="C8" s="57" t="s">
        <v>201</v>
      </c>
      <c r="D8" s="58">
        <v>-3.99</v>
      </c>
      <c r="E8" s="58">
        <v>9601</v>
      </c>
      <c r="F8" s="58">
        <v>10.604200000000001</v>
      </c>
      <c r="G8" s="58">
        <v>13530.531495890262</v>
      </c>
      <c r="H8" s="58">
        <v>9.7759999999999998</v>
      </c>
      <c r="I8" s="58">
        <v>15941.787283973832</v>
      </c>
      <c r="J8" s="58">
        <v>12.539300000000001</v>
      </c>
      <c r="K8" s="58">
        <v>18051.822206086035</v>
      </c>
      <c r="L8" s="58">
        <v>11.915699999999999</v>
      </c>
      <c r="M8" s="58">
        <v>331674.05629944068</v>
      </c>
    </row>
    <row r="9" spans="3:13" x14ac:dyDescent="0.25">
      <c r="C9" s="57" t="s">
        <v>202</v>
      </c>
      <c r="D9" s="60">
        <v>146.08000000000001</v>
      </c>
      <c r="E9" s="61"/>
      <c r="F9" s="60">
        <v>97.12</v>
      </c>
      <c r="G9" s="61"/>
      <c r="H9" s="60">
        <v>88.34</v>
      </c>
      <c r="I9" s="61"/>
      <c r="J9" s="60">
        <v>56.23</v>
      </c>
      <c r="K9" s="61"/>
      <c r="L9" s="60">
        <v>10</v>
      </c>
      <c r="M9" s="61"/>
    </row>
    <row r="11" spans="3:13" ht="15.75" x14ac:dyDescent="0.25">
      <c r="C11" s="51" t="s">
        <v>203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3:13" x14ac:dyDescent="0.25">
      <c r="C12" s="53" t="s">
        <v>191</v>
      </c>
      <c r="D12" s="62" t="s">
        <v>192</v>
      </c>
      <c r="E12" s="62"/>
      <c r="F12" s="62" t="s">
        <v>193</v>
      </c>
      <c r="G12" s="62"/>
      <c r="H12" s="62" t="s">
        <v>194</v>
      </c>
      <c r="I12" s="62"/>
      <c r="J12" s="63" t="s">
        <v>195</v>
      </c>
      <c r="K12" s="64"/>
      <c r="L12" s="65" t="s">
        <v>196</v>
      </c>
      <c r="M12" s="65"/>
    </row>
    <row r="13" spans="3:13" ht="63.75" x14ac:dyDescent="0.25">
      <c r="C13" s="54"/>
      <c r="D13" s="55" t="s">
        <v>197</v>
      </c>
      <c r="E13" s="55" t="s">
        <v>198</v>
      </c>
      <c r="F13" s="55" t="s">
        <v>197</v>
      </c>
      <c r="G13" s="55" t="s">
        <v>198</v>
      </c>
      <c r="H13" s="55" t="s">
        <v>197</v>
      </c>
      <c r="I13" s="55" t="s">
        <v>198</v>
      </c>
      <c r="J13" s="55" t="s">
        <v>197</v>
      </c>
      <c r="K13" s="55" t="s">
        <v>198</v>
      </c>
      <c r="L13" s="56" t="s">
        <v>197</v>
      </c>
      <c r="M13" s="56" t="s">
        <v>198</v>
      </c>
    </row>
    <row r="14" spans="3:13" x14ac:dyDescent="0.25">
      <c r="C14" s="57" t="s">
        <v>199</v>
      </c>
      <c r="D14" s="58">
        <v>-1.384503</v>
      </c>
      <c r="E14" s="58">
        <v>9860.7963742311458</v>
      </c>
      <c r="F14" s="58">
        <v>14.097799999999999</v>
      </c>
      <c r="G14" s="58">
        <v>14864.337302361899</v>
      </c>
      <c r="H14" s="58">
        <v>10.352600000000001</v>
      </c>
      <c r="I14" s="58">
        <v>16369.303525365434</v>
      </c>
      <c r="J14" s="58">
        <v>10.192500000000001</v>
      </c>
      <c r="K14" s="58">
        <v>26408.878099531819</v>
      </c>
      <c r="L14" s="58">
        <v>9.6906999999999996</v>
      </c>
      <c r="M14" s="58">
        <v>34209.344115004496</v>
      </c>
    </row>
    <row r="15" spans="3:13" x14ac:dyDescent="0.25">
      <c r="C15" s="57" t="s">
        <v>200</v>
      </c>
      <c r="D15" s="58">
        <v>-3.6234185999999999</v>
      </c>
      <c r="E15" s="58">
        <v>9814.86</v>
      </c>
      <c r="F15" s="58">
        <v>11.939904</v>
      </c>
      <c r="G15" s="58">
        <v>14425.982260242859</v>
      </c>
      <c r="H15" s="58">
        <v>10.722255000000001</v>
      </c>
      <c r="I15" s="58">
        <v>17357.615439850812</v>
      </c>
      <c r="J15" s="58">
        <v>13.024903</v>
      </c>
      <c r="K15" s="58">
        <v>18658.11628420847</v>
      </c>
      <c r="L15" s="58">
        <v>12.18867</v>
      </c>
      <c r="M15" s="58">
        <v>54467.793226730311</v>
      </c>
    </row>
    <row r="16" spans="3:13" x14ac:dyDescent="0.25">
      <c r="C16" s="57" t="s">
        <v>201</v>
      </c>
      <c r="D16" s="58">
        <v>-3.99</v>
      </c>
      <c r="E16" s="58">
        <v>9601</v>
      </c>
      <c r="F16" s="58">
        <v>10.604200000000001</v>
      </c>
      <c r="G16" s="58">
        <v>13530.531495890262</v>
      </c>
      <c r="H16" s="58">
        <v>9.7759999999999998</v>
      </c>
      <c r="I16" s="58">
        <v>15941.787283973832</v>
      </c>
      <c r="J16" s="58">
        <v>12.539300000000001</v>
      </c>
      <c r="K16" s="58">
        <v>18051.822206086035</v>
      </c>
      <c r="L16" s="58">
        <v>11.7521</v>
      </c>
      <c r="M16" s="58">
        <v>43560.260191952562</v>
      </c>
    </row>
    <row r="17" spans="3:13" x14ac:dyDescent="0.25">
      <c r="C17" s="59" t="s">
        <v>204</v>
      </c>
      <c r="D17" s="60">
        <v>154.44999999999999</v>
      </c>
      <c r="E17" s="61"/>
      <c r="F17" s="60">
        <v>102.46</v>
      </c>
      <c r="G17" s="61"/>
      <c r="H17" s="60">
        <v>93.04</v>
      </c>
      <c r="I17" s="61"/>
      <c r="J17" s="60">
        <v>57.67</v>
      </c>
      <c r="K17" s="61"/>
      <c r="L17" s="60">
        <v>44.52</v>
      </c>
      <c r="M17" s="61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0866141732283472" right="0.70866141732283472" top="0.74803149606299213" bottom="0.74803149606299213" header="0.31496062992125984" footer="0.31496062992125984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cp:lastPrinted>2026-04-07T06:27:55Z</cp:lastPrinted>
  <dcterms:created xsi:type="dcterms:W3CDTF">2026-04-04T07:23:14Z</dcterms:created>
  <dcterms:modified xsi:type="dcterms:W3CDTF">2026-04-07T06:30:19Z</dcterms:modified>
</cp:coreProperties>
</file>