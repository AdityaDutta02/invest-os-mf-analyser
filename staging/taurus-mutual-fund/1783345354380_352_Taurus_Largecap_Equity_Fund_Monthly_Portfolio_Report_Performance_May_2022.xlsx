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Portfolio'!$C$8:$C$39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Portfolio'!$D$10:$D$81</definedName>
    <definedName name="XDO_?FINAL_MV?">'TBF-Risk-o-meter &amp; Portfolio'!$H$10:$H$81</definedName>
    <definedName name="XDO_?FINAL_NAME?">'TBF-Risk-o-meter &amp; Portfolio'!$C$10:$C$81</definedName>
    <definedName name="XDO_?FINAL_PER_NET?">'TBF-Risk-o-meter &amp; Portfolio'!$I$10:$I$81</definedName>
    <definedName name="XDO_?FINAL_QUANTITE?">'TBF-Risk-o-meter &amp; Portfolio'!$G$10:$G$81</definedName>
    <definedName name="XDO_?IND_01?">'TBF-Risk-o-meter &amp; Portfolio'!$F$10:$F$81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Portfolio'!$C$2:$C$39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Portfolio'!$B$10:$B$81</definedName>
    <definedName name="XDO_?NPTF?">'TBF-Risk-o-meter &amp; Portfolio'!$D$2:$D$39</definedName>
    <definedName name="XDO_?RATING?">'TBF-Risk-o-meter &amp; Portfolio'!$E$10:$E$81</definedName>
    <definedName name="XDO_?REMARKS?">'TBF-Risk-o-meter &amp; Portfolio'!$J$10:$J$81</definedName>
    <definedName name="XDO_?TDATE?">'TBF-Risk-o-meter &amp; Portfolio'!$D$4</definedName>
    <definedName name="XDO_?TITL?">'TBF-Risk-o-meter &amp; Portfolio'!$A$8:$A$39</definedName>
    <definedName name="XDO_GROUP_?G_2?">'TBF-Risk-o-meter &amp; Portfolio'!$2:$84</definedName>
    <definedName name="XDO_GROUP_?G_3?">'TBF-Risk-o-meter &amp; Portfolio'!$8:$83</definedName>
    <definedName name="XDO_GROUP_?G_4?">'TBF-Risk-o-meter &amp; Portfolio'!$B$81:$IV$81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4" i="1"/>
</calcChain>
</file>

<file path=xl/sharedStrings.xml><?xml version="1.0" encoding="utf-8"?>
<sst xmlns="http://schemas.openxmlformats.org/spreadsheetml/2006/main" count="231" uniqueCount="167">
  <si>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</si>
  <si>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</si>
  <si>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</si>
  <si>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</si>
  <si>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</si>
  <si>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</si>
  <si>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</si>
  <si>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</si>
  <si>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</si>
  <si>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</si>
  <si>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</si>
  <si>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</si>
  <si>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</si>
  <si>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</si>
  <si>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</si>
  <si>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</si>
  <si>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</si>
  <si>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</si>
  <si>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</si>
  <si>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</si>
  <si>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</si>
  <si>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</si>
  <si>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</si>
  <si>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100108</t>
  </si>
  <si>
    <t>Adani Ports and Special Economic Zone Ltd.</t>
  </si>
  <si>
    <t>INE742F01042</t>
  </si>
  <si>
    <t>Transport Infrastructure</t>
  </si>
  <si>
    <t>100001</t>
  </si>
  <si>
    <t>Housing Development Finance Corporation Ltd.</t>
  </si>
  <si>
    <t>INE001A01036</t>
  </si>
  <si>
    <t>Finance</t>
  </si>
  <si>
    <t>100027</t>
  </si>
  <si>
    <t>Pidilite Industries Ltd.</t>
  </si>
  <si>
    <t>INE318A01026</t>
  </si>
  <si>
    <t>Chemicals &amp; Petrochemicals</t>
  </si>
  <si>
    <t>100273</t>
  </si>
  <si>
    <t>Havells India Ltd.</t>
  </si>
  <si>
    <t>INE176B01034</t>
  </si>
  <si>
    <t>Consumer Durables</t>
  </si>
  <si>
    <t>100139</t>
  </si>
  <si>
    <t>UPL Ltd.</t>
  </si>
  <si>
    <t>INE628A01036</t>
  </si>
  <si>
    <t>Fertilizers &amp; Agrochemicals</t>
  </si>
  <si>
    <t>100302</t>
  </si>
  <si>
    <t>DLF Ltd.</t>
  </si>
  <si>
    <t>INE271C01023</t>
  </si>
  <si>
    <t>Realty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</si>
  <si>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</si>
  <si>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</si>
  <si>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</si>
  <si>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</si>
  <si>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</si>
  <si>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</si>
  <si>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</si>
  <si>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 &amp; Biotechnology</t>
  </si>
  <si>
    <t>100418</t>
  </si>
  <si>
    <t>Adani Enterprises Ltd.</t>
  </si>
  <si>
    <t>INE423A01024</t>
  </si>
  <si>
    <t>Metals &amp; Minerals Trading</t>
  </si>
  <si>
    <t>100183</t>
  </si>
  <si>
    <t>Vedanta Ltd.</t>
  </si>
  <si>
    <t>INE205A01025</t>
  </si>
  <si>
    <t>Diversified Metals</t>
  </si>
  <si>
    <t>100180</t>
  </si>
  <si>
    <t>Hindalco Industries Ltd.</t>
  </si>
  <si>
    <t>INE038A01020</t>
  </si>
  <si>
    <t>Non - Ferrous Metals</t>
  </si>
  <si>
    <t>100104</t>
  </si>
  <si>
    <t>Kotak Mahindra Bank Ltd.</t>
  </si>
  <si>
    <t>INE237A01028</t>
  </si>
  <si>
    <t>Banks</t>
  </si>
  <si>
    <t>100109</t>
  </si>
  <si>
    <t>Piramal Enterprises Ltd.</t>
  </si>
  <si>
    <t>INE140A01024</t>
  </si>
  <si>
    <t>100081</t>
  </si>
  <si>
    <t>Titan Company Ltd.</t>
  </si>
  <si>
    <t>INE280A01028</t>
  </si>
  <si>
    <t>100012</t>
  </si>
  <si>
    <t>ICICI Bank Ltd.</t>
  </si>
  <si>
    <t>INE090A01021</t>
  </si>
  <si>
    <t>100235</t>
  </si>
  <si>
    <t>CRISIL Ltd.</t>
  </si>
  <si>
    <t>INE007A01025</t>
  </si>
  <si>
    <t>100335</t>
  </si>
  <si>
    <t>Kajaria Ceramics Ltd.</t>
  </si>
  <si>
    <t>INE217B01036</t>
  </si>
  <si>
    <t>100314</t>
  </si>
  <si>
    <t>SRF Ltd.</t>
  </si>
  <si>
    <t>INE647A01010</t>
  </si>
  <si>
    <t>100505</t>
  </si>
  <si>
    <t>ICICI Prudential Life Insurance Company Ltd.</t>
  </si>
  <si>
    <t>INE726G01019</t>
  </si>
  <si>
    <t>Insurance</t>
  </si>
  <si>
    <t>100461</t>
  </si>
  <si>
    <t>Astral Limited</t>
  </si>
  <si>
    <t>INE006I01046</t>
  </si>
  <si>
    <t>Industrial Products</t>
  </si>
  <si>
    <t>100315</t>
  </si>
  <si>
    <t>Prestige Estates Projects Ltd.</t>
  </si>
  <si>
    <t>INE811K01011</t>
  </si>
  <si>
    <t>100553</t>
  </si>
  <si>
    <t>Kennametal India Ltd.</t>
  </si>
  <si>
    <t>INE717A01029</t>
  </si>
  <si>
    <t>Industrial Manufacturing</t>
  </si>
  <si>
    <t>101412</t>
  </si>
  <si>
    <t>Punjab Chemicals &amp; Crop Protection Ltd.</t>
  </si>
  <si>
    <t>INE277B01014</t>
  </si>
  <si>
    <t>101348</t>
  </si>
  <si>
    <t>Ami Organics Ltd.</t>
  </si>
  <si>
    <t>INE00FF01017</t>
  </si>
  <si>
    <t>100019</t>
  </si>
  <si>
    <t>ITC Ltd.</t>
  </si>
  <si>
    <t>INE154A01025</t>
  </si>
  <si>
    <t>Diversified FMCG</t>
  </si>
  <si>
    <t>100560</t>
  </si>
  <si>
    <t>NESCO Ltd.</t>
  </si>
  <si>
    <t>INE317F01035</t>
  </si>
  <si>
    <t>Commercial Services &amp; Supplies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</si>
  <si>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</si>
  <si>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</si>
  <si>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</si>
  <si>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</si>
  <si>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</si>
  <si>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</si>
  <si>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</si>
  <si>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</si>
  <si>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</si>
  <si>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</si>
  <si>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</si>
  <si>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</si>
  <si>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</si>
  <si>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</si>
  <si>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</si>
  <si>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</si>
  <si>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</si>
  <si>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</si>
  <si>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</si>
  <si>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</si>
  <si>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</si>
  <si>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</si>
  <si>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</si>
  <si>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</si>
  <si>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</si>
  <si>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</si>
  <si>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</si>
  <si>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</si>
  <si>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</si>
  <si>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</si>
  <si>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</si>
  <si>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</si>
  <si>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</si>
  <si>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</si>
  <si>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</si>
  <si>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</si>
  <si>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</si>
  <si>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</si>
  <si>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</si>
  <si>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</si>
  <si>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</si>
  <si>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</si>
  <si>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</si>
  <si>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</si>
  <si>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</si>
  <si>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</si>
  <si>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May 31, 2022 : 97.54)</t>
  </si>
  <si>
    <t>Taurus Largecap Equity Fund - Direct Plan Growth Option</t>
  </si>
  <si>
    <t>NAV [Rs.] Per Unit (as on May 31, 2022 : 102.84)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</si>
</sst>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20621</v>
      </c>
      <c r="H10" s="32">
        <v>213.2</v>
      </c>
      <c r="I10" s="32">
        <v>6.72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7097</v>
      </c>
      <c r="H11" s="32">
        <v>172.84</v>
      </c>
      <c r="I11" s="32">
        <v>5.45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22403</v>
      </c>
      <c r="H12" s="32">
        <v>165.63</v>
      </c>
      <c r="I12" s="32">
        <v>5.22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7137</v>
      </c>
      <c r="H13" s="32">
        <v>164.66</v>
      </c>
      <c r="I13" s="32">
        <v>5.19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157.68</v>
      </c>
      <c r="I14" s="32">
        <v>4.97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12908</v>
      </c>
      <c r="H15" s="32">
        <v>155</v>
      </c>
      <c r="I15" s="32">
        <v>4.8899999999999997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19142</v>
      </c>
      <c r="H16" s="32">
        <v>149.25</v>
      </c>
      <c r="I16" s="32">
        <v>4.71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42817</v>
      </c>
      <c r="H17" s="32">
        <v>147.93</v>
      </c>
      <c r="I17" s="32">
        <v>4.66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20938</v>
      </c>
      <c r="H18" s="32">
        <v>146.80000000000001</v>
      </c>
      <c r="I18" s="32">
        <v>4.63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16841</v>
      </c>
      <c r="H19" s="32">
        <v>144.91</v>
      </c>
      <c r="I19" s="32">
        <v>4.57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6277</v>
      </c>
      <c r="H20" s="32">
        <v>136.07</v>
      </c>
      <c r="I20" s="32">
        <v>4.29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40785</v>
      </c>
      <c r="H21" s="32">
        <v>130.91999999999999</v>
      </c>
      <c r="I21" s="32">
        <v>4.13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30305</v>
      </c>
      <c r="H22" s="32">
        <v>128.13999999999999</v>
      </c>
      <c r="I22" s="32">
        <v>4.04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70</v>
      </c>
      <c r="G23" s="31">
        <v>6396</v>
      </c>
      <c r="H23" s="32">
        <v>118.59</v>
      </c>
      <c r="I23" s="32">
        <v>3.74</v>
      </c>
      <c r="J23" s="33"/>
    </row>
    <row r="24" spans="2:10">
      <c r="B24" s="1" t="s">
        <v>71</v>
      </c>
      <c r="C24" s="20" t="s">
        <v>72</v>
      </c>
      <c r="D24" s="29" t="s">
        <v>73</v>
      </c>
      <c r="E24" s="30"/>
      <c r="F24" s="30" t="s">
        <v>30</v>
      </c>
      <c r="G24" s="31">
        <v>6210</v>
      </c>
      <c r="H24" s="32">
        <v>117.62</v>
      </c>
      <c r="I24" s="32">
        <v>3.71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38</v>
      </c>
      <c r="G25" s="31">
        <v>4167</v>
      </c>
      <c r="H25" s="32">
        <v>92.41</v>
      </c>
      <c r="I25" s="32">
        <v>2.91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70</v>
      </c>
      <c r="G26" s="31">
        <v>12245</v>
      </c>
      <c r="H26" s="32">
        <v>92.02</v>
      </c>
      <c r="I26" s="32">
        <v>2.9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30</v>
      </c>
      <c r="G27" s="31">
        <v>2598</v>
      </c>
      <c r="H27" s="32">
        <v>88.65</v>
      </c>
      <c r="I27" s="32">
        <v>2.8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38</v>
      </c>
      <c r="G28" s="31">
        <v>8200</v>
      </c>
      <c r="H28" s="32">
        <v>84.38</v>
      </c>
      <c r="I28" s="32">
        <v>2.66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34</v>
      </c>
      <c r="G29" s="31">
        <v>3335</v>
      </c>
      <c r="H29" s="32">
        <v>82.14</v>
      </c>
      <c r="I29" s="32">
        <v>2.59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15260</v>
      </c>
      <c r="H30" s="32">
        <v>79.599999999999994</v>
      </c>
      <c r="I30" s="32">
        <v>2.5099999999999998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4572</v>
      </c>
      <c r="H31" s="32">
        <v>79.06</v>
      </c>
      <c r="I31" s="32">
        <v>2.4900000000000002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46</v>
      </c>
      <c r="G32" s="31">
        <v>15092</v>
      </c>
      <c r="H32" s="32">
        <v>64.77</v>
      </c>
      <c r="I32" s="32">
        <v>2.04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2454</v>
      </c>
      <c r="H33" s="32">
        <v>44.78</v>
      </c>
      <c r="I33" s="32">
        <v>1.41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42</v>
      </c>
      <c r="G34" s="31">
        <v>3489</v>
      </c>
      <c r="H34" s="32">
        <v>43.64</v>
      </c>
      <c r="I34" s="32">
        <v>1.38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54</v>
      </c>
      <c r="G35" s="31">
        <v>4225</v>
      </c>
      <c r="H35" s="32">
        <v>36.82</v>
      </c>
      <c r="I35" s="32">
        <v>1.1599999999999999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11586</v>
      </c>
      <c r="H36" s="32">
        <v>31.35</v>
      </c>
      <c r="I36" s="32">
        <v>0.99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4653</v>
      </c>
      <c r="H37" s="32">
        <v>25.08</v>
      </c>
      <c r="I37" s="32">
        <v>0.79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833</v>
      </c>
      <c r="H38" s="32">
        <v>21.94</v>
      </c>
      <c r="I38" s="32">
        <v>0.69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70</v>
      </c>
      <c r="G39" s="31">
        <v>1025</v>
      </c>
      <c r="H39" s="32">
        <v>14.22</v>
      </c>
      <c r="I39" s="32">
        <v>0.45</v>
      </c>
      <c r="J39" s="33"/>
    </row>
    <row r="40" spans="2:10">
      <c r="C40" s="28" t="s">
        <v>125</v>
      </c>
      <c r="D40" s="29"/>
      <c r="E40" s="30"/>
      <c r="F40" s="30"/>
      <c r="G40" s="31"/>
      <c r="H40" s="35">
        <v>3130.1</v>
      </c>
      <c r="I40" s="35">
        <v>98.69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126</v>
      </c>
      <c r="D42" s="29"/>
      <c r="E42" s="30"/>
      <c r="F42" s="30"/>
      <c r="G42" s="31"/>
      <c r="H42" s="32" t="s">
        <v>127</v>
      </c>
      <c r="I42" s="32" t="s">
        <v>127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128</v>
      </c>
      <c r="D44" s="29"/>
      <c r="E44" s="30"/>
      <c r="F44" s="30"/>
      <c r="G44" s="31"/>
      <c r="H44" s="32" t="s">
        <v>127</v>
      </c>
      <c r="I44" s="32" t="s">
        <v>127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129</v>
      </c>
      <c r="D46" s="29"/>
      <c r="E46" s="30"/>
      <c r="F46" s="30"/>
      <c r="G46" s="31"/>
      <c r="H46" s="32"/>
      <c r="I46" s="32"/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130</v>
      </c>
      <c r="D48" s="29"/>
      <c r="E48" s="30"/>
      <c r="F48" s="30"/>
      <c r="G48" s="31"/>
      <c r="H48" s="32" t="s">
        <v>127</v>
      </c>
      <c r="I48" s="32" t="s">
        <v>127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131</v>
      </c>
      <c r="D50" s="29"/>
      <c r="E50" s="30"/>
      <c r="F50" s="30"/>
      <c r="G50" s="31"/>
      <c r="H50" s="32" t="s">
        <v>127</v>
      </c>
      <c r="I50" s="32" t="s">
        <v>127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132</v>
      </c>
      <c r="D52" s="29"/>
      <c r="E52" s="30"/>
      <c r="F52" s="30"/>
      <c r="G52" s="31"/>
      <c r="H52" s="32" t="s">
        <v>127</v>
      </c>
      <c r="I52" s="32" t="s">
        <v>127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133</v>
      </c>
      <c r="D54" s="29"/>
      <c r="E54" s="30"/>
      <c r="F54" s="30"/>
      <c r="G54" s="31"/>
      <c r="H54" s="32" t="s">
        <v>127</v>
      </c>
      <c r="I54" s="32" t="s">
        <v>127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134</v>
      </c>
      <c r="D56" s="29"/>
      <c r="E56" s="30"/>
      <c r="F56" s="30"/>
      <c r="G56" s="31"/>
      <c r="H56" s="32" t="s">
        <v>127</v>
      </c>
      <c r="I56" s="32" t="s">
        <v>127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135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136</v>
      </c>
      <c r="D60" s="29"/>
      <c r="E60" s="30"/>
      <c r="F60" s="30"/>
      <c r="G60" s="31"/>
      <c r="H60" s="32" t="s">
        <v>127</v>
      </c>
      <c r="I60" s="32" t="s">
        <v>127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137</v>
      </c>
      <c r="D62" s="29"/>
      <c r="E62" s="30"/>
      <c r="F62" s="30"/>
      <c r="G62" s="31"/>
      <c r="H62" s="32" t="s">
        <v>127</v>
      </c>
      <c r="I62" s="32" t="s">
        <v>127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138</v>
      </c>
      <c r="D64" s="29"/>
      <c r="E64" s="30"/>
      <c r="F64" s="30"/>
      <c r="G64" s="31"/>
      <c r="H64" s="32" t="s">
        <v>127</v>
      </c>
      <c r="I64" s="32" t="s">
        <v>127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139</v>
      </c>
      <c r="D66" s="29"/>
      <c r="E66" s="30"/>
      <c r="F66" s="30"/>
      <c r="G66" s="31"/>
      <c r="H66" s="32" t="s">
        <v>127</v>
      </c>
      <c r="I66" s="32" t="s">
        <v>127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140</v>
      </c>
      <c r="D68" s="29"/>
      <c r="E68" s="30"/>
      <c r="F68" s="30"/>
      <c r="G68" s="31"/>
      <c r="H68" s="32"/>
      <c r="I68" s="32"/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141</v>
      </c>
      <c r="D70" s="29"/>
      <c r="E70" s="30"/>
      <c r="F70" s="30"/>
      <c r="G70" s="31"/>
      <c r="H70" s="32" t="s">
        <v>127</v>
      </c>
      <c r="I70" s="32" t="s">
        <v>127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142</v>
      </c>
      <c r="D72" s="29"/>
      <c r="E72" s="30"/>
      <c r="F72" s="30"/>
      <c r="G72" s="31"/>
      <c r="H72" s="32" t="s">
        <v>127</v>
      </c>
      <c r="I72" s="32" t="s">
        <v>127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143</v>
      </c>
      <c r="D74" s="29"/>
      <c r="E74" s="30"/>
      <c r="F74" s="30"/>
      <c r="G74" s="31"/>
      <c r="H74" s="32" t="s">
        <v>127</v>
      </c>
      <c r="I74" s="32" t="s">
        <v>127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144</v>
      </c>
      <c r="D76" s="29"/>
      <c r="E76" s="30"/>
      <c r="F76" s="30"/>
      <c r="G76" s="31"/>
      <c r="H76" s="32" t="s">
        <v>127</v>
      </c>
      <c r="I76" s="32" t="s">
        <v>127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C78" s="28" t="s">
        <v>145</v>
      </c>
      <c r="D78" s="29"/>
      <c r="E78" s="30"/>
      <c r="F78" s="30"/>
      <c r="G78" s="31"/>
      <c r="H78" s="32" t="s">
        <v>127</v>
      </c>
      <c r="I78" s="32" t="s">
        <v>127</v>
      </c>
      <c r="J78" s="33"/>
    </row>
    <row r="79" spans="1:10">
      <c r="C79" s="20"/>
      <c r="D79" s="29"/>
      <c r="E79" s="30"/>
      <c r="F79" s="30"/>
      <c r="G79" s="31"/>
      <c r="H79" s="32"/>
      <c r="I79" s="32"/>
      <c r="J79" s="33"/>
    </row>
    <row r="80" spans="1:10">
      <c r="A80" s="26"/>
      <c r="B80" s="27"/>
      <c r="C80" s="28" t="s">
        <v>146</v>
      </c>
      <c r="D80" s="29"/>
      <c r="E80" s="30"/>
      <c r="F80" s="30"/>
      <c r="G80" s="31"/>
      <c r="H80" s="32"/>
      <c r="I80" s="32"/>
      <c r="J80" s="33"/>
    </row>
    <row r="81" spans="2:10">
      <c r="B81" s="1"/>
      <c r="C81" s="20" t="s">
        <v>147</v>
      </c>
      <c r="D81" s="29"/>
      <c r="E81" s="30"/>
      <c r="F81" s="30"/>
      <c r="G81" s="31"/>
      <c r="H81" s="32">
        <v>41.03</v>
      </c>
      <c r="I81" s="32">
        <v>1.31</v>
      </c>
      <c r="J81" s="33"/>
    </row>
    <row r="82" spans="2:10">
      <c r="C82" s="28" t="s">
        <v>125</v>
      </c>
      <c r="D82" s="29"/>
      <c r="E82" s="30"/>
      <c r="F82" s="30"/>
      <c r="G82" s="31"/>
      <c r="H82" s="35">
        <v>41.03</v>
      </c>
      <c r="I82" s="35">
        <v>1.31</v>
      </c>
      <c r="J82" s="33"/>
    </row>
    <row r="83" spans="2:10">
      <c r="C83" s="20"/>
      <c r="D83" s="29"/>
      <c r="E83" s="30"/>
      <c r="F83" s="30"/>
      <c r="G83" s="31"/>
      <c r="H83" s="32"/>
      <c r="I83" s="32"/>
      <c r="J83" s="33"/>
    </row>
    <row r="84" spans="2:10" ht="13.8" thickBot="1">
      <c r="C84" s="36" t="s">
        <v>148</v>
      </c>
      <c r="D84" s="37"/>
      <c r="E84" s="38"/>
      <c r="F84" s="39"/>
      <c r="G84" s="40"/>
      <c r="H84" s="41">
        <v>3171.13</v>
      </c>
      <c r="I84" s="41">
        <f>SUMIFS(I:I,C:C,"Total")</f>
        <v>100</v>
      </c>
      <c r="J84" s="42"/>
    </row>
    <row r="87" spans="2:10">
      <c r="C87" s="11" t="s">
        <v>149</v>
      </c>
    </row>
    <row r="88" spans="2:10">
      <c r="C88" s="2" t="s">
        <v>150</v>
      </c>
    </row>
    <row r="89" spans="2:10">
      <c r="C89" s="2" t="s">
        <v>151</v>
      </c>
    </row>
    <row r="90" spans="2:10">
      <c r="C90" s="2" t="s">
        <v>152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33203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153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154</v>
      </c>
      <c r="B5" s="46" t="s">
        <v>155</v>
      </c>
      <c r="C5" s="46"/>
      <c r="D5" s="46" t="s">
        <v>156</v>
      </c>
      <c r="E5" s="46"/>
      <c r="F5" s="46" t="s">
        <v>157</v>
      </c>
      <c r="G5" s="46"/>
      <c r="H5" s="46" t="s">
        <v>158</v>
      </c>
      <c r="I5" s="46"/>
    </row>
    <row r="6" spans="1:9" ht="66">
      <c r="A6" s="47"/>
      <c r="B6" s="48" t="s">
        <v>159</v>
      </c>
      <c r="C6" s="48" t="s">
        <v>160</v>
      </c>
      <c r="D6" s="48" t="s">
        <v>159</v>
      </c>
      <c r="E6" s="48" t="s">
        <v>160</v>
      </c>
      <c r="F6" s="48" t="s">
        <v>159</v>
      </c>
      <c r="G6" s="48" t="s">
        <v>160</v>
      </c>
      <c r="H6" s="48" t="s">
        <v>159</v>
      </c>
      <c r="I6" s="48" t="s">
        <v>160</v>
      </c>
    </row>
    <row r="7" spans="1:9">
      <c r="A7" s="49" t="s">
        <v>161</v>
      </c>
      <c r="B7" s="50">
        <v>3.3591183638868261</v>
      </c>
      <c r="C7" s="50">
        <v>10335.911836388683</v>
      </c>
      <c r="D7" s="50">
        <v>8.8083294360804096</v>
      </c>
      <c r="E7" s="50">
        <v>12885.072655217968</v>
      </c>
      <c r="F7" s="50">
        <v>6.6653477880492806</v>
      </c>
      <c r="G7" s="50">
        <v>13809.995752513099</v>
      </c>
      <c r="H7" s="50">
        <v>10.199503760823191</v>
      </c>
      <c r="I7" s="50">
        <v>97540</v>
      </c>
    </row>
    <row r="8" spans="1:9">
      <c r="A8" s="49" t="s">
        <v>162</v>
      </c>
      <c r="B8" s="50">
        <v>8.2882742864247803</v>
      </c>
      <c r="C8" s="50">
        <v>10828.827428642478</v>
      </c>
      <c r="D8" s="50">
        <v>13.437223160161293</v>
      </c>
      <c r="E8" s="50">
        <v>14597.105958047809</v>
      </c>
      <c r="F8" s="50">
        <v>12.705331354632875</v>
      </c>
      <c r="G8" s="50">
        <v>18185.376667048968</v>
      </c>
      <c r="H8" s="50">
        <v>11.948507644289386</v>
      </c>
      <c r="I8" s="50">
        <v>217164.93687664307</v>
      </c>
    </row>
    <row r="9" spans="1:9">
      <c r="A9" s="49" t="s">
        <v>163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12.059783267401514</v>
      </c>
      <c r="I9" s="50">
        <v>223129.20405737497</v>
      </c>
    </row>
    <row r="10" spans="1:9">
      <c r="A10" s="49" t="s">
        <v>164</v>
      </c>
      <c r="B10" s="51">
        <v>94.37</v>
      </c>
      <c r="C10" s="52"/>
      <c r="D10" s="51">
        <v>75.7</v>
      </c>
      <c r="E10" s="52"/>
      <c r="F10" s="51">
        <v>70.63</v>
      </c>
      <c r="G10" s="52"/>
      <c r="H10" s="51">
        <v>10</v>
      </c>
      <c r="I10" s="52"/>
    </row>
    <row r="12" spans="1:9" ht="15.6">
      <c r="A12" s="43" t="s">
        <v>165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154</v>
      </c>
      <c r="B13" s="46" t="s">
        <v>155</v>
      </c>
      <c r="C13" s="46"/>
      <c r="D13" s="46" t="s">
        <v>156</v>
      </c>
      <c r="E13" s="46"/>
      <c r="F13" s="46" t="s">
        <v>157</v>
      </c>
      <c r="G13" s="46"/>
      <c r="H13" s="46" t="s">
        <v>158</v>
      </c>
      <c r="I13" s="46"/>
    </row>
    <row r="14" spans="1:9" ht="66">
      <c r="A14" s="47"/>
      <c r="B14" s="48" t="s">
        <v>159</v>
      </c>
      <c r="C14" s="48" t="s">
        <v>160</v>
      </c>
      <c r="D14" s="48" t="s">
        <v>159</v>
      </c>
      <c r="E14" s="48" t="s">
        <v>160</v>
      </c>
      <c r="F14" s="48" t="s">
        <v>159</v>
      </c>
      <c r="G14" s="48" t="s">
        <v>160</v>
      </c>
      <c r="H14" s="48" t="s">
        <v>159</v>
      </c>
      <c r="I14" s="48" t="s">
        <v>160</v>
      </c>
    </row>
    <row r="15" spans="1:9">
      <c r="A15" s="49" t="s">
        <v>161</v>
      </c>
      <c r="B15" s="50">
        <v>3.4503571069308903</v>
      </c>
      <c r="C15" s="50">
        <v>10345.03571069309</v>
      </c>
      <c r="D15" s="50">
        <v>8.9737689210525051</v>
      </c>
      <c r="E15" s="50">
        <v>12943.989930774071</v>
      </c>
      <c r="F15" s="50">
        <v>7.0204075216513617</v>
      </c>
      <c r="G15" s="50">
        <v>14041.507373020209</v>
      </c>
      <c r="H15" s="50">
        <v>9.3012925419979187</v>
      </c>
      <c r="I15" s="50">
        <v>23099.730458221024</v>
      </c>
    </row>
    <row r="16" spans="1:9">
      <c r="A16" s="49" t="s">
        <v>162</v>
      </c>
      <c r="B16" s="50">
        <v>8.2882742864247803</v>
      </c>
      <c r="C16" s="50">
        <v>10828.827428642478</v>
      </c>
      <c r="D16" s="50">
        <v>13.437223160161293</v>
      </c>
      <c r="E16" s="50">
        <v>14597.105958047809</v>
      </c>
      <c r="F16" s="50">
        <v>12.705331354632875</v>
      </c>
      <c r="G16" s="50">
        <v>18185.376667048968</v>
      </c>
      <c r="H16" s="50">
        <v>13.015441057994703</v>
      </c>
      <c r="I16" s="50">
        <v>31639.024656057918</v>
      </c>
    </row>
    <row r="17" spans="1:9">
      <c r="A17" s="49" t="s">
        <v>163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12.806548580722342</v>
      </c>
      <c r="I17" s="50">
        <v>31092.771784835481</v>
      </c>
    </row>
    <row r="18" spans="1:9">
      <c r="A18" s="49" t="s">
        <v>166</v>
      </c>
      <c r="B18" s="51">
        <v>99.41</v>
      </c>
      <c r="C18" s="52"/>
      <c r="D18" s="51">
        <v>79.45</v>
      </c>
      <c r="E18" s="52"/>
      <c r="F18" s="51">
        <v>73.239999999999995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2022-06-02T11:51:29Z</dcterms:created>
  <dcterms:modified xsi:type="dcterms:W3CDTF">2022-06-07T05:55:31Z</dcterms:modified>
</cp:coreProperties>
</file>