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 activeTab="1"/>
  </bookViews>
  <sheets>
    <sheet name="TSS-Risk-O-Meter &amp; Portfolio" sheetId="1" r:id="rId1"/>
    <sheet name="TTS Performance" sheetId="2" r:id="rId2"/>
  </sheets>
  <externalReferences>
    <externalReference r:id="rId3"/>
  </externalReferences>
  <definedNames>
    <definedName name="XDO_?CLASS_3?7?">'TSS-Risk-O-Meter &amp; Portfolio'!$C$8:$C$38</definedName>
    <definedName name="XDO_?FINAL_ISIN?14?">'TSS-Risk-O-Meter &amp; Portfolio'!$D$10:$D$38</definedName>
    <definedName name="XDO_?FINAL_ISIN?15?">'TSS-Risk-O-Meter &amp; Portfolio'!$D$10:$D$80</definedName>
    <definedName name="XDO_?FINAL_MV?14?">'TSS-Risk-O-Meter &amp; Portfolio'!$H$10:$H$38</definedName>
    <definedName name="XDO_?FINAL_MV?15?">'TSS-Risk-O-Meter &amp; Portfolio'!$H$10:$H$80</definedName>
    <definedName name="XDO_?FINAL_NAME?14?">'TSS-Risk-O-Meter &amp; Portfolio'!$C$10:$C$38</definedName>
    <definedName name="XDO_?FINAL_NAME?15?">'TSS-Risk-O-Meter &amp; Portfolio'!$C$10:$C$80</definedName>
    <definedName name="XDO_?FINAL_PER_NET?14?">'TSS-Risk-O-Meter &amp; Portfolio'!$I$10:$I$38</definedName>
    <definedName name="XDO_?FINAL_PER_NET?15?">'TSS-Risk-O-Meter &amp; Portfolio'!$I$10:$I$80</definedName>
    <definedName name="XDO_?FINAL_QUANTITE?14?">'TSS-Risk-O-Meter &amp; Portfolio'!$G$10:$G$38</definedName>
    <definedName name="XDO_?FINAL_QUANTITE?15?">'TSS-Risk-O-Meter &amp; Portfolio'!$G$10:$G$80</definedName>
    <definedName name="XDO_?IND_01?14?">'TSS-Risk-O-Meter &amp; Portfolio'!$F$10:$F$38</definedName>
    <definedName name="XDO_?IND_01?15?">'TSS-Risk-O-Meter &amp; Portfolio'!$F$10:$F$80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'TSS-Risk-O-Meter &amp; Portfolio'!#REF!</definedName>
    <definedName name="XDO_?NAMCNAME?7?">'TSS-Risk-O-Meter &amp; Portfolio'!$C$2:$C$38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'TSS-Risk-O-Meter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'TSS-Risk-O-Meter &amp; Portfolio'!#REF!</definedName>
    <definedName name="XDO_?NOVAL?14?">'TSS-Risk-O-Meter &amp; Portfolio'!$B$10:$B$38</definedName>
    <definedName name="XDO_?NOVAL?15?">'TSS-Risk-O-Meter &amp; Portfolio'!$B$10:$B$80</definedName>
    <definedName name="XDO_?NPTF?7?">'TSS-Risk-O-Meter &amp; Portfolio'!$D$2:$D$38</definedName>
    <definedName name="XDO_?RATING?14?">'TSS-Risk-O-Meter &amp; Portfolio'!$E$10:$E$38</definedName>
    <definedName name="XDO_?RATING?15?">'TSS-Risk-O-Meter &amp; Portfolio'!$E$10:$E$80</definedName>
    <definedName name="XDO_?REMARKS?14?">'TSS-Risk-O-Meter &amp; Portfolio'!$J$10:$J$38</definedName>
    <definedName name="XDO_?REMARKS?15?">'TSS-Risk-O-Meter &amp; Portfolio'!$J$10:$J$80</definedName>
    <definedName name="XDO_?TITL?7?">'TSS-Risk-O-Meter &amp; Portfolio'!$A$8:$A$38</definedName>
    <definedName name="XDO_GROUP_?G_2?7?">'TSS-Risk-O-Meter &amp; Portfolio'!$2:$83</definedName>
    <definedName name="XDO_GROUP_?G_3?7?">'TSS-Risk-O-Meter &amp; Portfolio'!$8:$82</definedName>
    <definedName name="XDO_GROUP_?G_4?14?">'TSS-Risk-O-Meter &amp; Portfolio'!$B$10:$IV$38</definedName>
    <definedName name="XDO_GROUP_?G_4?15?">'TSS-Risk-O-Meter &amp; Portfolio'!$B$80:$IV$80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/>
</calcChain>
</file>

<file path=xl/sharedStrings.xml><?xml version="1.0" encoding="utf-8"?>
<sst xmlns="http://schemas.openxmlformats.org/spreadsheetml/2006/main" count="228" uniqueCount="164">
  <si>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</si>
  <si>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</si>
  <si>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</si>
  <si>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</si>
  <si>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</si>
  <si>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</si>
  <si>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</si>
  <si>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</si>
  <si>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</si>
  <si>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</si>
  <si>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</si>
  <si>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</si>
  <si>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</si>
  <si>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</si>
  <si>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</si>
  <si>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</si>
  <si>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</si>
  <si>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</si>
  <si>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</si>
  <si>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100001</t>
  </si>
  <si>
    <t>Housing Development Finance Corporation Ltd.</t>
  </si>
  <si>
    <t>INE001A01036</t>
  </si>
  <si>
    <t>Finance</t>
  </si>
  <si>
    <t>100019</t>
  </si>
  <si>
    <t>ITC Ltd.</t>
  </si>
  <si>
    <t>INE154A01025</t>
  </si>
  <si>
    <t>Diversified FMCG</t>
  </si>
  <si>
    <t>100147</t>
  </si>
  <si>
    <t>Tech Mahindra Ltd.</t>
  </si>
  <si>
    <t>INE669C01036</t>
  </si>
  <si>
    <t>100325</t>
  </si>
  <si>
    <t>Bajaj Holdings &amp; Investment Ltd.</t>
  </si>
  <si>
    <t>INE118A01012</t>
  </si>
  <si>
    <t>100474</t>
  </si>
  <si>
    <t>Narayana Hrudayalaya Ltd.</t>
  </si>
  <si>
    <t>INE410P01011</t>
  </si>
  <si>
    <t>Healthcare Services</t>
  </si>
  <si>
    <t>100012</t>
  </si>
  <si>
    <t>ICICI Bank Ltd.</t>
  </si>
  <si>
    <t>INE090A01021</t>
  </si>
  <si>
    <t>Banks</t>
  </si>
  <si>
    <t>100024</t>
  </si>
  <si>
    <t>Axis Bank Ltd.</t>
  </si>
  <si>
    <t>INE238A01034</t>
  </si>
  <si>
    <t>100045</t>
  </si>
  <si>
    <t>Gujarat Pipavav Port Ltd.</t>
  </si>
  <si>
    <t>INE517F01014</t>
  </si>
  <si>
    <t>Transport Infrastructure</t>
  </si>
  <si>
    <t>100005</t>
  </si>
  <si>
    <t>Larsen &amp; Toubro Ltd.</t>
  </si>
  <si>
    <t>INE018A01030</t>
  </si>
  <si>
    <t>Construction</t>
  </si>
  <si>
    <t>100148</t>
  </si>
  <si>
    <t>Motilal Oswal Financial Services Ltd.</t>
  </si>
  <si>
    <t>INE338I01027</t>
  </si>
  <si>
    <t>Capital Markets</t>
  </si>
  <si>
    <t>100747</t>
  </si>
  <si>
    <t>Mahindra Logistics Ltd.</t>
  </si>
  <si>
    <t>INE766P01016</t>
  </si>
  <si>
    <t>Transport Services</t>
  </si>
  <si>
    <t>101469</t>
  </si>
  <si>
    <t>Equitas Small Finance Bank Ltd.</t>
  </si>
  <si>
    <t>INE063P01018</t>
  </si>
  <si>
    <t>100097</t>
  </si>
  <si>
    <t>Coal India Ltd.</t>
  </si>
  <si>
    <t>INE522F01014</t>
  </si>
  <si>
    <t>Consumable Fuels</t>
  </si>
  <si>
    <t>100544</t>
  </si>
  <si>
    <t>Quess Corp Ltd.</t>
  </si>
  <si>
    <t>INE615P01015</t>
  </si>
  <si>
    <t>Commercial Services &amp; Supplies</t>
  </si>
  <si>
    <t>100153</t>
  </si>
  <si>
    <t>Cipla Ltd.</t>
  </si>
  <si>
    <t>INE059A01026</t>
  </si>
  <si>
    <t>Pharmaceuticals &amp; Biotechnology</t>
  </si>
  <si>
    <t>100253</t>
  </si>
  <si>
    <t>Amara Raja Batteries Ltd.</t>
  </si>
  <si>
    <t>INE885A01032</t>
  </si>
  <si>
    <t>Auto Components</t>
  </si>
  <si>
    <t>100039</t>
  </si>
  <si>
    <t>Bajaj Auto Ltd.</t>
  </si>
  <si>
    <t>INE917I01010</t>
  </si>
  <si>
    <t>Automobiles</t>
  </si>
  <si>
    <t>100061</t>
  </si>
  <si>
    <t>KEC International Ltd.</t>
  </si>
  <si>
    <t>INE389H01022</t>
  </si>
  <si>
    <t>Electrical Equipment</t>
  </si>
  <si>
    <t>100032</t>
  </si>
  <si>
    <t>Tata Consultancy Services Ltd.</t>
  </si>
  <si>
    <t>INE467B01029</t>
  </si>
  <si>
    <t>100035</t>
  </si>
  <si>
    <t>NMDC Ltd.</t>
  </si>
  <si>
    <t>INE584A01023</t>
  </si>
  <si>
    <t>Minerals &amp; Mining</t>
  </si>
  <si>
    <t>100271</t>
  </si>
  <si>
    <t>Balkrishna Industries Ltd.</t>
  </si>
  <si>
    <t>INE787D01026</t>
  </si>
  <si>
    <t>100080</t>
  </si>
  <si>
    <t>Dr. Reddy's Laboratories Ltd.</t>
  </si>
  <si>
    <t>INE089A01023</t>
  </si>
  <si>
    <t>100440</t>
  </si>
  <si>
    <t>Birla Corporation Ltd.</t>
  </si>
  <si>
    <t>INE340A01012</t>
  </si>
  <si>
    <t>Cement &amp; Cement Products</t>
  </si>
  <si>
    <t>101434</t>
  </si>
  <si>
    <t>CMS INFOSYSTEMS LTD.</t>
  </si>
  <si>
    <t>INE925R01014</t>
  </si>
  <si>
    <t>101213</t>
  </si>
  <si>
    <t>Mrs. Bectors Food Specialities Ltd.</t>
  </si>
  <si>
    <t>INE495P01012</t>
  </si>
  <si>
    <t>Food Products</t>
  </si>
  <si>
    <t>101181</t>
  </si>
  <si>
    <t>UTI Asset Management Co Ltd</t>
  </si>
  <si>
    <t>INE094J01016</t>
  </si>
  <si>
    <t>101775</t>
  </si>
  <si>
    <t>NMDC Steel Ltd.</t>
  </si>
  <si>
    <t>INE0NNS01018</t>
  </si>
  <si>
    <t>Ferrous Metals</t>
  </si>
  <si>
    <t>100155</t>
  </si>
  <si>
    <t>Divi's Laboratories Ltd.</t>
  </si>
  <si>
    <t>INE361B01024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</si>
  <si>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</si>
  <si>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</si>
  <si>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</si>
  <si>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</si>
  <si>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</si>
  <si>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</si>
  <si>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</si>
  <si>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</si>
  <si>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</si>
  <si>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</si>
  <si>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</si>
  <si>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</si>
  <si>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</si>
  <si>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</si>
  <si>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</si>
  <si>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</si>
  <si>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</si>
  <si>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</si>
  <si>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</si>
  <si>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</si>
  <si>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</si>
  <si>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</si>
  <si>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</si>
  <si>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</si>
  <si>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</si>
  <si>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</si>
  <si>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</si>
  <si>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</si>
  <si>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</si>
  <si>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</si>
  <si>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</si>
  <si>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</si>
  <si>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</si>
  <si>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</si>
  <si>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</si>
  <si>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</si>
  <si>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</si>
  <si>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</si>
  <si>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</si>
  <si>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January 31, 2023 : 117.16)</t>
  </si>
  <si>
    <t>Taurus Tax Shield - Direct Plan Growth Option</t>
  </si>
  <si>
    <t>NAV [Rs.] Per Unit (as on January 31, 2023 : 125.73)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</si>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</sst>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Tax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9"/>
  <sheetViews>
    <sheetView showGridLines="0" zoomScale="90" zoomScaleNormal="90" workbookViewId="0">
      <selection activeCell="C1" sqref="C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44957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47000</v>
      </c>
      <c r="H10" s="32">
        <v>527.83000000000004</v>
      </c>
      <c r="I10" s="32">
        <v>8.8800000000000008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19000</v>
      </c>
      <c r="H11" s="32">
        <v>498.58</v>
      </c>
      <c r="I11" s="32">
        <v>8.3800000000000008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140000</v>
      </c>
      <c r="H12" s="32">
        <v>493.15</v>
      </c>
      <c r="I12" s="32">
        <v>8.2899999999999991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43000</v>
      </c>
      <c r="H13" s="32">
        <v>436.58</v>
      </c>
      <c r="I13" s="32">
        <v>7.34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6600</v>
      </c>
      <c r="H14" s="32">
        <v>387.81</v>
      </c>
      <c r="I14" s="32">
        <v>6.52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40000</v>
      </c>
      <c r="H15" s="32">
        <v>290.5</v>
      </c>
      <c r="I15" s="32">
        <v>4.88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34000</v>
      </c>
      <c r="H16" s="32">
        <v>282.76</v>
      </c>
      <c r="I16" s="32">
        <v>4.75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40</v>
      </c>
      <c r="G17" s="31">
        <v>32000</v>
      </c>
      <c r="H17" s="32">
        <v>278.93</v>
      </c>
      <c r="I17" s="32">
        <v>4.6900000000000004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279553</v>
      </c>
      <c r="H18" s="32">
        <v>262.5</v>
      </c>
      <c r="I18" s="32">
        <v>4.41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10000</v>
      </c>
      <c r="H19" s="32">
        <v>212.51</v>
      </c>
      <c r="I19" s="32">
        <v>3.57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26275</v>
      </c>
      <c r="H20" s="32">
        <v>178.85</v>
      </c>
      <c r="I20" s="32">
        <v>3.01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32000</v>
      </c>
      <c r="H21" s="32">
        <v>149.81</v>
      </c>
      <c r="I21" s="32">
        <v>2.52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40</v>
      </c>
      <c r="G22" s="31">
        <v>275000</v>
      </c>
      <c r="H22" s="32">
        <v>149.19</v>
      </c>
      <c r="I22" s="32">
        <v>2.5099999999999998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65000</v>
      </c>
      <c r="H23" s="32">
        <v>146.19</v>
      </c>
      <c r="I23" s="32">
        <v>2.46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40028</v>
      </c>
      <c r="H24" s="32">
        <v>142.6</v>
      </c>
      <c r="I24" s="32">
        <v>2.4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10000</v>
      </c>
      <c r="H25" s="32">
        <v>101.7</v>
      </c>
      <c r="I25" s="32">
        <v>1.71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17000</v>
      </c>
      <c r="H26" s="32">
        <v>96.43</v>
      </c>
      <c r="I26" s="32">
        <v>1.62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2500</v>
      </c>
      <c r="H27" s="32">
        <v>95.47</v>
      </c>
      <c r="I27" s="32">
        <v>1.61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20000</v>
      </c>
      <c r="H28" s="32">
        <v>91.14</v>
      </c>
      <c r="I28" s="32">
        <v>1.53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18</v>
      </c>
      <c r="G29" s="31">
        <v>2500</v>
      </c>
      <c r="H29" s="32">
        <v>83.94</v>
      </c>
      <c r="I29" s="32">
        <v>1.41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65000</v>
      </c>
      <c r="H30" s="32">
        <v>80.08</v>
      </c>
      <c r="I30" s="32">
        <v>1.35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78</v>
      </c>
      <c r="G31" s="31">
        <v>3000</v>
      </c>
      <c r="H31" s="32">
        <v>66.58</v>
      </c>
      <c r="I31" s="32">
        <v>1.1200000000000001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74</v>
      </c>
      <c r="G32" s="31">
        <v>1500</v>
      </c>
      <c r="H32" s="32">
        <v>64.86</v>
      </c>
      <c r="I32" s="32">
        <v>1.0900000000000001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5000</v>
      </c>
      <c r="H33" s="32">
        <v>45.33</v>
      </c>
      <c r="I33" s="32">
        <v>0.76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70</v>
      </c>
      <c r="G34" s="31">
        <v>12166</v>
      </c>
      <c r="H34" s="32">
        <v>37.409999999999997</v>
      </c>
      <c r="I34" s="32">
        <v>0.63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7000</v>
      </c>
      <c r="H35" s="32">
        <v>32.97</v>
      </c>
      <c r="I35" s="32">
        <v>0.55000000000000004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55</v>
      </c>
      <c r="G36" s="31">
        <v>4000</v>
      </c>
      <c r="H36" s="32">
        <v>29.75</v>
      </c>
      <c r="I36" s="32">
        <v>0.5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100000</v>
      </c>
      <c r="H37" s="32">
        <v>26.4</v>
      </c>
      <c r="I37" s="32">
        <v>0.44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74</v>
      </c>
      <c r="G38" s="31">
        <v>609</v>
      </c>
      <c r="H38" s="32">
        <v>20.2</v>
      </c>
      <c r="I38" s="32">
        <v>0.34</v>
      </c>
      <c r="J38" s="33"/>
    </row>
    <row r="39" spans="2:10">
      <c r="C39" s="28" t="s">
        <v>121</v>
      </c>
      <c r="D39" s="29"/>
      <c r="E39" s="30"/>
      <c r="F39" s="30"/>
      <c r="G39" s="31"/>
      <c r="H39" s="35">
        <v>5310.05</v>
      </c>
      <c r="I39" s="35">
        <v>89.27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122</v>
      </c>
      <c r="D41" s="29"/>
      <c r="E41" s="30"/>
      <c r="F41" s="30"/>
      <c r="G41" s="31"/>
      <c r="H41" s="32" t="s">
        <v>123</v>
      </c>
      <c r="I41" s="32" t="s">
        <v>123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124</v>
      </c>
      <c r="D43" s="29"/>
      <c r="E43" s="30"/>
      <c r="F43" s="30"/>
      <c r="G43" s="31"/>
      <c r="H43" s="32" t="s">
        <v>123</v>
      </c>
      <c r="I43" s="32" t="s">
        <v>123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125</v>
      </c>
      <c r="D45" s="29"/>
      <c r="E45" s="30"/>
      <c r="F45" s="30"/>
      <c r="G45" s="31"/>
      <c r="H45" s="32"/>
      <c r="I45" s="32"/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126</v>
      </c>
      <c r="D47" s="29"/>
      <c r="E47" s="30"/>
      <c r="F47" s="30"/>
      <c r="G47" s="31"/>
      <c r="H47" s="32" t="s">
        <v>123</v>
      </c>
      <c r="I47" s="32" t="s">
        <v>123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127</v>
      </c>
      <c r="D49" s="29"/>
      <c r="E49" s="30"/>
      <c r="F49" s="30"/>
      <c r="G49" s="31"/>
      <c r="H49" s="32" t="s">
        <v>123</v>
      </c>
      <c r="I49" s="32" t="s">
        <v>123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128</v>
      </c>
      <c r="D51" s="29"/>
      <c r="E51" s="30"/>
      <c r="F51" s="30"/>
      <c r="G51" s="31"/>
      <c r="H51" s="32" t="s">
        <v>123</v>
      </c>
      <c r="I51" s="32" t="s">
        <v>123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129</v>
      </c>
      <c r="D53" s="29"/>
      <c r="E53" s="30"/>
      <c r="F53" s="30"/>
      <c r="G53" s="31"/>
      <c r="H53" s="32" t="s">
        <v>123</v>
      </c>
      <c r="I53" s="32" t="s">
        <v>123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130</v>
      </c>
      <c r="D55" s="29"/>
      <c r="E55" s="30"/>
      <c r="F55" s="30"/>
      <c r="G55" s="31"/>
      <c r="H55" s="32" t="s">
        <v>123</v>
      </c>
      <c r="I55" s="32" t="s">
        <v>123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131</v>
      </c>
      <c r="D57" s="29"/>
      <c r="E57" s="30"/>
      <c r="F57" s="30"/>
      <c r="G57" s="31"/>
      <c r="H57" s="32"/>
      <c r="I57" s="32"/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132</v>
      </c>
      <c r="D59" s="29"/>
      <c r="E59" s="30"/>
      <c r="F59" s="30"/>
      <c r="G59" s="31"/>
      <c r="H59" s="32" t="s">
        <v>123</v>
      </c>
      <c r="I59" s="32" t="s">
        <v>123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133</v>
      </c>
      <c r="D61" s="29"/>
      <c r="E61" s="30"/>
      <c r="F61" s="30"/>
      <c r="G61" s="31"/>
      <c r="H61" s="32" t="s">
        <v>123</v>
      </c>
      <c r="I61" s="32" t="s">
        <v>123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134</v>
      </c>
      <c r="D63" s="29"/>
      <c r="E63" s="30"/>
      <c r="F63" s="30"/>
      <c r="G63" s="31"/>
      <c r="H63" s="32" t="s">
        <v>123</v>
      </c>
      <c r="I63" s="32" t="s">
        <v>123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135</v>
      </c>
      <c r="D65" s="29"/>
      <c r="E65" s="30"/>
      <c r="F65" s="30"/>
      <c r="G65" s="31"/>
      <c r="H65" s="32" t="s">
        <v>123</v>
      </c>
      <c r="I65" s="32" t="s">
        <v>123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136</v>
      </c>
      <c r="D67" s="29"/>
      <c r="E67" s="30"/>
      <c r="F67" s="30"/>
      <c r="G67" s="31"/>
      <c r="H67" s="32"/>
      <c r="I67" s="32"/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137</v>
      </c>
      <c r="D69" s="29"/>
      <c r="E69" s="30"/>
      <c r="F69" s="30"/>
      <c r="G69" s="31"/>
      <c r="H69" s="32" t="s">
        <v>123</v>
      </c>
      <c r="I69" s="32" t="s">
        <v>123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138</v>
      </c>
      <c r="D71" s="29"/>
      <c r="E71" s="30"/>
      <c r="F71" s="30"/>
      <c r="G71" s="31"/>
      <c r="H71" s="32" t="s">
        <v>123</v>
      </c>
      <c r="I71" s="32" t="s">
        <v>123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139</v>
      </c>
      <c r="D73" s="29"/>
      <c r="E73" s="30"/>
      <c r="F73" s="30"/>
      <c r="G73" s="31"/>
      <c r="H73" s="32" t="s">
        <v>123</v>
      </c>
      <c r="I73" s="32" t="s">
        <v>123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140</v>
      </c>
      <c r="D75" s="29"/>
      <c r="E75" s="30"/>
      <c r="F75" s="30"/>
      <c r="G75" s="31"/>
      <c r="H75" s="32" t="s">
        <v>123</v>
      </c>
      <c r="I75" s="32" t="s">
        <v>123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C77" s="28" t="s">
        <v>141</v>
      </c>
      <c r="D77" s="29"/>
      <c r="E77" s="30"/>
      <c r="F77" s="30"/>
      <c r="G77" s="31"/>
      <c r="H77" s="32" t="s">
        <v>123</v>
      </c>
      <c r="I77" s="32" t="s">
        <v>123</v>
      </c>
      <c r="J77" s="33"/>
    </row>
    <row r="78" spans="1:10">
      <c r="C78" s="20"/>
      <c r="D78" s="29"/>
      <c r="E78" s="30"/>
      <c r="F78" s="30"/>
      <c r="G78" s="31"/>
      <c r="H78" s="32"/>
      <c r="I78" s="32"/>
      <c r="J78" s="33"/>
    </row>
    <row r="79" spans="1:10">
      <c r="A79" s="26"/>
      <c r="B79" s="27"/>
      <c r="C79" s="28" t="s">
        <v>142</v>
      </c>
      <c r="D79" s="29"/>
      <c r="E79" s="30"/>
      <c r="F79" s="30"/>
      <c r="G79" s="31"/>
      <c r="H79" s="32"/>
      <c r="I79" s="32"/>
      <c r="J79" s="33"/>
    </row>
    <row r="80" spans="1:10">
      <c r="B80" s="1"/>
      <c r="C80" s="20" t="s">
        <v>143</v>
      </c>
      <c r="D80" s="29"/>
      <c r="E80" s="30"/>
      <c r="F80" s="30"/>
      <c r="G80" s="31"/>
      <c r="H80" s="32">
        <v>637.07000000000005</v>
      </c>
      <c r="I80" s="32">
        <v>10.73</v>
      </c>
      <c r="J80" s="33"/>
    </row>
    <row r="81" spans="3:10">
      <c r="C81" s="28" t="s">
        <v>121</v>
      </c>
      <c r="D81" s="29"/>
      <c r="E81" s="30"/>
      <c r="F81" s="30"/>
      <c r="G81" s="31"/>
      <c r="H81" s="35">
        <v>637.07000000000005</v>
      </c>
      <c r="I81" s="35">
        <v>10.73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 ht="13.5" thickBot="1">
      <c r="C83" s="36" t="s">
        <v>144</v>
      </c>
      <c r="D83" s="37"/>
      <c r="E83" s="38"/>
      <c r="F83" s="39"/>
      <c r="G83" s="40"/>
      <c r="H83" s="41">
        <v>5947.12</v>
      </c>
      <c r="I83" s="41">
        <f>SUMIFS(I:I,C:C,"Total")</f>
        <v>100</v>
      </c>
      <c r="J83" s="42"/>
    </row>
    <row r="86" spans="3:10">
      <c r="C86" s="11" t="s">
        <v>145</v>
      </c>
    </row>
    <row r="87" spans="3:10">
      <c r="C87" s="2" t="s">
        <v>146</v>
      </c>
    </row>
    <row r="88" spans="3:10">
      <c r="C88" s="2" t="s">
        <v>147</v>
      </c>
    </row>
    <row r="89" spans="3:10">
      <c r="C89" s="2" t="s">
        <v>148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tabSelected="1"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149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150</v>
      </c>
      <c r="C5" s="46" t="s">
        <v>151</v>
      </c>
      <c r="D5" s="46"/>
      <c r="E5" s="46" t="s">
        <v>152</v>
      </c>
      <c r="F5" s="46"/>
      <c r="G5" s="46" t="s">
        <v>153</v>
      </c>
      <c r="H5" s="46"/>
      <c r="I5" s="46" t="s">
        <v>154</v>
      </c>
      <c r="J5" s="46"/>
    </row>
    <row r="6" spans="2:10" ht="63.75">
      <c r="B6" s="47"/>
      <c r="C6" s="48" t="s">
        <v>155</v>
      </c>
      <c r="D6" s="48" t="s">
        <v>156</v>
      </c>
      <c r="E6" s="48" t="s">
        <v>155</v>
      </c>
      <c r="F6" s="48" t="s">
        <v>156</v>
      </c>
      <c r="G6" s="48" t="s">
        <v>155</v>
      </c>
      <c r="H6" s="48" t="s">
        <v>156</v>
      </c>
      <c r="I6" s="48" t="s">
        <v>155</v>
      </c>
      <c r="J6" s="48" t="s">
        <v>156</v>
      </c>
    </row>
    <row r="7" spans="2:10">
      <c r="B7" s="49" t="s">
        <v>157</v>
      </c>
      <c r="C7" s="50">
        <v>4.0589750421884618</v>
      </c>
      <c r="D7" s="50">
        <v>10405.897504218847</v>
      </c>
      <c r="E7" s="50">
        <v>12.58149286791328</v>
      </c>
      <c r="F7" s="50">
        <v>14273.879142300195</v>
      </c>
      <c r="G7" s="50">
        <v>8.3832524403910647</v>
      </c>
      <c r="H7" s="50">
        <v>14959.141981613893</v>
      </c>
      <c r="I7" s="50">
        <v>11.314107312672572</v>
      </c>
      <c r="J7" s="50">
        <v>117160</v>
      </c>
    </row>
    <row r="8" spans="2:10">
      <c r="B8" s="49" t="s">
        <v>158</v>
      </c>
      <c r="C8" s="50">
        <v>1.6557151413137294</v>
      </c>
      <c r="D8" s="50">
        <v>10165.571514131372</v>
      </c>
      <c r="E8" s="50">
        <v>16.455702313790987</v>
      </c>
      <c r="F8" s="50">
        <v>15793.641529167333</v>
      </c>
      <c r="G8" s="50">
        <v>10.538444634702881</v>
      </c>
      <c r="H8" s="50">
        <v>16503.146200224874</v>
      </c>
      <c r="I8" s="50">
        <v>0</v>
      </c>
      <c r="J8" s="50">
        <v>0</v>
      </c>
    </row>
    <row r="9" spans="2:10">
      <c r="B9" s="49" t="s">
        <v>159</v>
      </c>
      <c r="C9" s="50">
        <v>3.1786787667375416</v>
      </c>
      <c r="D9" s="50">
        <v>10317.867876673754</v>
      </c>
      <c r="E9" s="50">
        <v>15.20948157089097</v>
      </c>
      <c r="F9" s="50">
        <v>15292.013299900276</v>
      </c>
      <c r="G9" s="50">
        <v>11.250631257369781</v>
      </c>
      <c r="H9" s="50">
        <v>17041.680532244904</v>
      </c>
      <c r="I9" s="50">
        <v>12.672605063783205</v>
      </c>
      <c r="J9" s="50">
        <v>246360.31744861414</v>
      </c>
    </row>
    <row r="10" spans="2:10">
      <c r="B10" s="49" t="s">
        <v>160</v>
      </c>
      <c r="C10" s="51">
        <v>112.59</v>
      </c>
      <c r="D10" s="52"/>
      <c r="E10" s="51">
        <v>82.08</v>
      </c>
      <c r="F10" s="52"/>
      <c r="G10" s="51">
        <v>78.319999999999993</v>
      </c>
      <c r="H10" s="52"/>
      <c r="I10" s="51">
        <v>10</v>
      </c>
      <c r="J10" s="52"/>
    </row>
    <row r="12" spans="2:10" ht="15.75">
      <c r="B12" s="43" t="s">
        <v>161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150</v>
      </c>
      <c r="C13" s="46" t="s">
        <v>151</v>
      </c>
      <c r="D13" s="46"/>
      <c r="E13" s="46" t="s">
        <v>152</v>
      </c>
      <c r="F13" s="46"/>
      <c r="G13" s="46" t="s">
        <v>153</v>
      </c>
      <c r="H13" s="46"/>
      <c r="I13" s="46" t="s">
        <v>154</v>
      </c>
      <c r="J13" s="46"/>
    </row>
    <row r="14" spans="2:10" ht="63.75">
      <c r="B14" s="47"/>
      <c r="C14" s="48" t="s">
        <v>155</v>
      </c>
      <c r="D14" s="48" t="s">
        <v>156</v>
      </c>
      <c r="E14" s="48" t="s">
        <v>155</v>
      </c>
      <c r="F14" s="48" t="s">
        <v>156</v>
      </c>
      <c r="G14" s="48" t="s">
        <v>155</v>
      </c>
      <c r="H14" s="48" t="s">
        <v>156</v>
      </c>
      <c r="I14" s="48" t="s">
        <v>155</v>
      </c>
      <c r="J14" s="48" t="s">
        <v>156</v>
      </c>
    </row>
    <row r="15" spans="2:10">
      <c r="B15" s="49" t="s">
        <v>157</v>
      </c>
      <c r="C15" s="50">
        <v>4.7488127968007943</v>
      </c>
      <c r="D15" s="50">
        <v>10474.881279680081</v>
      </c>
      <c r="E15" s="50">
        <v>13.416944681677068</v>
      </c>
      <c r="F15" s="50">
        <v>14594.312246082414</v>
      </c>
      <c r="G15" s="50">
        <v>9.1356077536085536</v>
      </c>
      <c r="H15" s="50">
        <v>15485.897277989901</v>
      </c>
      <c r="I15" s="50">
        <v>12.392978866430404</v>
      </c>
      <c r="J15" s="50">
        <v>32496.769191005427</v>
      </c>
    </row>
    <row r="16" spans="2:10">
      <c r="B16" s="49" t="s">
        <v>158</v>
      </c>
      <c r="C16" s="50">
        <v>1.6557151413137294</v>
      </c>
      <c r="D16" s="50">
        <v>10165.571514131372</v>
      </c>
      <c r="E16" s="50">
        <v>16.455702313790987</v>
      </c>
      <c r="F16" s="50">
        <v>15793.641529167333</v>
      </c>
      <c r="G16" s="50">
        <v>10.538444634702881</v>
      </c>
      <c r="H16" s="50">
        <v>16503.146200224874</v>
      </c>
      <c r="I16" s="50">
        <v>13.370531971459144</v>
      </c>
      <c r="J16" s="50">
        <v>35463.365108015118</v>
      </c>
    </row>
    <row r="17" spans="2:10">
      <c r="B17" s="49" t="s">
        <v>159</v>
      </c>
      <c r="C17" s="50">
        <v>3.1786787667375416</v>
      </c>
      <c r="D17" s="50">
        <v>10317.867876673754</v>
      </c>
      <c r="E17" s="50">
        <v>15.20948157089097</v>
      </c>
      <c r="F17" s="50">
        <v>15292.013299900276</v>
      </c>
      <c r="G17" s="50">
        <v>11.250631257369781</v>
      </c>
      <c r="H17" s="50">
        <v>17041.680532244904</v>
      </c>
      <c r="I17" s="50">
        <v>12.75650757861635</v>
      </c>
      <c r="J17" s="50">
        <v>33572.793504487097</v>
      </c>
    </row>
    <row r="18" spans="2:10">
      <c r="B18" s="49" t="s">
        <v>162</v>
      </c>
      <c r="C18" s="51">
        <v>120.03</v>
      </c>
      <c r="D18" s="52"/>
      <c r="E18" s="51">
        <v>86.15</v>
      </c>
      <c r="F18" s="52"/>
      <c r="G18" s="51">
        <v>81.19</v>
      </c>
      <c r="H18" s="52"/>
      <c r="I18" s="51">
        <v>38.69</v>
      </c>
      <c r="J18" s="52"/>
    </row>
    <row r="20" spans="2:10">
      <c r="B20" t="s">
        <v>163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TSS-Risk-O-Meter &amp; Portfolio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2023-02-02T04:50:19Z</dcterms:created>
  <dcterms:modified xsi:type="dcterms:W3CDTF">2023-02-09T07:16:01Z</dcterms:modified>
</cp:coreProperties>
</file>