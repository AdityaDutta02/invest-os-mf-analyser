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1. Feb 2026\Monthly Portfolio\Ops\"/>
    </mc:Choice>
  </mc:AlternateContent>
  <xr:revisionPtr revIDLastSave="0" documentId="13_ncr:1_{B4126B96-9277-4570-BBBB-145425BEFA3B}" xr6:coauthVersionLast="47" xr6:coauthVersionMax="47" xr10:uidLastSave="{00000000-0000-0000-0000-000000000000}"/>
  <bookViews>
    <workbookView xWindow="-120" yWindow="-120" windowWidth="20730" windowHeight="11040" xr2:uid="{75CA06EC-1738-4AD2-8C9A-569D85CAEC59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TBFS!$D$10:$D$71</definedName>
    <definedName name="XDO_?FINAL_MV?1?">TBFS!$H$10:$H$27</definedName>
    <definedName name="XDO_?FINAL_MV?2?">TBFS!$H$10:$H$71</definedName>
    <definedName name="XDO_?FINAL_NAME?1?">TBFS!$C$10:$C$27</definedName>
    <definedName name="XDO_?FINAL_NAME?2?">TBFS!$C$10:$C$71</definedName>
    <definedName name="XDO_?FINAL_PER_NET?1?">TBFS!$I$10:$I$27</definedName>
    <definedName name="XDO_?FINAL_PER_NET?2?">TBFS!$I$10:$I$71</definedName>
    <definedName name="XDO_?FINAL_QUANTITE?1?">TBFS!$G$10:$G$27</definedName>
    <definedName name="XDO_?FINAL_QUANTITE?2?">TBFS!$G$10:$G$71</definedName>
    <definedName name="XDO_?IND_01?1?">TBFS!$F$10:$F$27</definedName>
    <definedName name="XDO_?IND_01?2?">TBFS!$F$10:$F$71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TBFS!$B$10:$B$71</definedName>
    <definedName name="XDO_?NPTF?1?">TBFS!$D$2:$D$27</definedName>
    <definedName name="XDO_?RATING?1?">TBFS!$E$10:$E$27</definedName>
    <definedName name="XDO_?RATING?2?">TBFS!$E$10:$E$71</definedName>
    <definedName name="XDO_?REMARKS?1?">TBFS!$J$10:$J$27</definedName>
    <definedName name="XDO_?REMARKS?2?">TBFS!$J$10:$J$71</definedName>
    <definedName name="XDO_?TITL?1?">TBFS!$A$8:$A$27</definedName>
    <definedName name="XDO_GROUP_?G_2?1?">TBFS!$2:$74</definedName>
    <definedName name="XDO_GROUP_?G_3?1?">TBFS!$8:$73</definedName>
    <definedName name="XDO_GROUP_?G_4?1?">TBFS!$B$10:$IV$27</definedName>
    <definedName name="XDO_GROUP_?G_4?2?">TBFS!$B$71:$IV$71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<sst xmlns="http://schemas.openxmlformats.org/spreadsheetml/2006/main" count="214" uniqueCount="138">
  <si>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</si>
  <si>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</si>
  <si>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</si>
  <si>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</si>
  <si>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</si>
  <si>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</si>
  <si>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</si>
  <si>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</si>
  <si>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</si>
  <si>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</si>
  <si>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</si>
  <si>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</si>
  <si>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</si>
  <si>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</si>
  <si>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</si>
  <si>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</si>
  <si>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</si>
  <si>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</si>
  <si>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</si>
  <si>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</si>
  <si>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</si>
  <si>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</si>
  <si>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</si>
  <si>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</si>
  <si>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</si>
  <si>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</si>
  <si>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</si>
  <si>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</si>
  <si>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</si>
  <si>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</si>
  <si>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</si>
  <si>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100194</t>
  </si>
  <si>
    <t>Power Finance Corporation Ltd.</t>
  </si>
  <si>
    <t>INE134E01011</t>
  </si>
  <si>
    <t>Finance</t>
  </si>
  <si>
    <t>102528</t>
  </si>
  <si>
    <t>DAM Capital Advisors Ltd.</t>
  </si>
  <si>
    <t>INE284H01025</t>
  </si>
  <si>
    <t>Capital Markets</t>
  </si>
  <si>
    <t>100125</t>
  </si>
  <si>
    <t>Bajaj Finance Ltd.</t>
  </si>
  <si>
    <t>INE296A01032</t>
  </si>
  <si>
    <t>100135</t>
  </si>
  <si>
    <t>The Karnataka Bank Ltd.</t>
  </si>
  <si>
    <t>INE614B01018</t>
  </si>
  <si>
    <t>100325</t>
  </si>
  <si>
    <t>Bajaj Holdings &amp; Investment Ltd.</t>
  </si>
  <si>
    <t>INE118A01012</t>
  </si>
  <si>
    <t>100042</t>
  </si>
  <si>
    <t>LIC Housing Finance Ltd.</t>
  </si>
  <si>
    <t>INE115A01026</t>
  </si>
  <si>
    <t>100733</t>
  </si>
  <si>
    <t>General Insurance Corporation of India</t>
  </si>
  <si>
    <t>INE481Y01014</t>
  </si>
  <si>
    <t>Insurance</t>
  </si>
  <si>
    <t>100694</t>
  </si>
  <si>
    <t>Indian Energy Exchange Ltd.</t>
  </si>
  <si>
    <t>INE022Q01020</t>
  </si>
  <si>
    <t>100814</t>
  </si>
  <si>
    <t>HDFC Asset Management Co. Ltd.</t>
  </si>
  <si>
    <t>INE127D01025</t>
  </si>
  <si>
    <t>101550</t>
  </si>
  <si>
    <t>Life Insurance Corporation of India</t>
  </si>
  <si>
    <t>INE0J1Y01017</t>
  </si>
  <si>
    <t>100092</t>
  </si>
  <si>
    <t>Bank of Baroda</t>
  </si>
  <si>
    <t>INE028A01039</t>
  </si>
  <si>
    <t>100661</t>
  </si>
  <si>
    <t>Central Depository Services (I) Ltd.</t>
  </si>
  <si>
    <t>INE736A01011</t>
  </si>
  <si>
    <t>100783</t>
  </si>
  <si>
    <t>JM Financial Ltd.</t>
  </si>
  <si>
    <t>INE780C01023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</si>
  <si>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</si>
  <si>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</si>
  <si>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</si>
  <si>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</si>
  <si>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</si>
  <si>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</si>
  <si>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</si>
  <si>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</si>
  <si>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</si>
  <si>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</si>
  <si>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</si>
  <si>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</si>
  <si>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</si>
  <si>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</si>
  <si>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</si>
  <si>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</si>
  <si>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</si>
  <si>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</si>
  <si>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</si>
  <si>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</si>
  <si>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</si>
  <si>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</si>
  <si>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</si>
  <si>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</si>
  <si>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</si>
  <si>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</si>
  <si>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</si>
  <si>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</si>
  <si>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</si>
  <si>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</si>
  <si>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</si>
  <si>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</si>
  <si>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</si>
  <si>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</si>
  <si>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</si>
  <si>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</si>
  <si>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</si>
  <si>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</si>
  <si>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</si>
  <si>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</si>
  <si>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</si>
  <si>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January 31, 2026.</t>
  </si>
  <si>
    <t>7. The Scheme did not declare any bonus during the month ended as on January 31, 2026.</t>
  </si>
  <si>
    <t>8. Total outstanding exposure in derivative instruments as on January 31, 2026 is Nil</t>
  </si>
  <si>
    <t>9. Total investments in Foreign Securities /ADRs/GDRs /Overseas ETFs as on January 31, 2026 and its percentage to NAV is Nil.</t>
  </si>
  <si>
    <t>10. During the period, the portfolio turnover ratio is 0.56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</si>
  <si>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</si>
  <si>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</si>
  <si>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 The Scheme did not invest in credit default swaps during the month ended as on January 31, 2026.</t>
  </si>
  <si>
    <t>13. There are Nil instances of deviation from the valuation principles/guidelines during the month ended as on January 31st, 2026.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</si>
  <si>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</si>
  <si>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</si>
  <si>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</si>
  <si>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</si>
  <si>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</si>
  <si>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</si>
  <si>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</si>
  <si>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</si>
  <si>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</si>
  <si>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</si>
  <si>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</si>
  <si>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</si>
  <si>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January 30,2026 :54.04)</t>
  </si>
  <si>
    <t>Taurus Banking &amp; Financial Services Fund - Direct Plan Growth Option</t>
  </si>
  <si>
    <t>NAV [Rs.] Per Unit (as on January 30,2026 :60.66)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</si>
</sst>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599E073B-B4E2-48C4-8B4D-E9D279F5EE6C}"/>
    <cellStyle name="Hyperlink" xfId="2" builtinId="8"/>
    <cellStyle name="Normal" xfId="0" builtinId="0"/>
    <cellStyle name="Normal 2" xfId="4" xr:uid="{F5953C88-B6BC-4D82-98E0-BDDA96D94BFC}"/>
    <cellStyle name="Style 1" xfId="3" xr:uid="{A9B1EA1B-AE3C-438A-996F-2700C1BF3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1</xdr:row>
      <xdr:rowOff>232071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C6A47D24-CC1B-4387-9A15-EDB2F6AF1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6906-9776-4E19-8AA0-F6CB7C7DF369}">
  <dimension ref="A1:BB10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4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46053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15267</v>
      </c>
      <c r="H10" s="32">
        <v>206.88</v>
      </c>
      <c r="I10" s="32">
        <v>17.600000000000001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21388</v>
      </c>
      <c r="H11" s="32">
        <v>198.77</v>
      </c>
      <c r="I11" s="32">
        <v>16.91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11984</v>
      </c>
      <c r="H12" s="32">
        <v>129.13</v>
      </c>
      <c r="I12" s="32">
        <v>10.99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7755</v>
      </c>
      <c r="H13" s="32">
        <v>106.26</v>
      </c>
      <c r="I13" s="32">
        <v>9.0399999999999991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23769</v>
      </c>
      <c r="H14" s="32">
        <v>96.98</v>
      </c>
      <c r="I14" s="32">
        <v>8.25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17433</v>
      </c>
      <c r="H15" s="32">
        <v>66.13</v>
      </c>
      <c r="I15" s="32">
        <v>5.63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30629</v>
      </c>
      <c r="H16" s="32">
        <v>54.26</v>
      </c>
      <c r="I16" s="32">
        <v>4.62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34</v>
      </c>
      <c r="G17" s="31">
        <v>4487</v>
      </c>
      <c r="H17" s="32">
        <v>41.75</v>
      </c>
      <c r="I17" s="32">
        <v>3.55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21319</v>
      </c>
      <c r="H18" s="32">
        <v>38.799999999999997</v>
      </c>
      <c r="I18" s="32">
        <v>3.3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34</v>
      </c>
      <c r="G19" s="31">
        <v>300</v>
      </c>
      <c r="H19" s="32">
        <v>32.369999999999997</v>
      </c>
      <c r="I19" s="32">
        <v>2.76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5977</v>
      </c>
      <c r="H20" s="32">
        <v>31.46</v>
      </c>
      <c r="I20" s="32">
        <v>2.68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54</v>
      </c>
      <c r="G21" s="31">
        <v>7712</v>
      </c>
      <c r="H21" s="32">
        <v>29.15</v>
      </c>
      <c r="I21" s="32">
        <v>2.48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38</v>
      </c>
      <c r="G22" s="31">
        <v>20720</v>
      </c>
      <c r="H22" s="32">
        <v>26.27</v>
      </c>
      <c r="I22" s="32">
        <v>2.2400000000000002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38</v>
      </c>
      <c r="G23" s="31">
        <v>806</v>
      </c>
      <c r="H23" s="32">
        <v>20.29</v>
      </c>
      <c r="I23" s="32">
        <v>1.73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54</v>
      </c>
      <c r="G24" s="31">
        <v>2448</v>
      </c>
      <c r="H24" s="32">
        <v>20.18</v>
      </c>
      <c r="I24" s="32">
        <v>1.72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5858</v>
      </c>
      <c r="H25" s="32">
        <v>17.54</v>
      </c>
      <c r="I25" s="32">
        <v>1.49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38</v>
      </c>
      <c r="G26" s="31">
        <v>830</v>
      </c>
      <c r="H26" s="32">
        <v>10.96</v>
      </c>
      <c r="I26" s="32">
        <v>0.93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34</v>
      </c>
      <c r="G27" s="31">
        <v>8200</v>
      </c>
      <c r="H27" s="32">
        <v>10.57</v>
      </c>
      <c r="I27" s="32">
        <v>0.9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1137.75</v>
      </c>
      <c r="I28" s="35">
        <v>96.82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94</v>
      </c>
      <c r="D68" s="29"/>
      <c r="E68" s="30"/>
      <c r="F68" s="30"/>
      <c r="G68" s="31"/>
      <c r="H68" s="32" t="s">
        <v>75</v>
      </c>
      <c r="I68" s="32" t="s">
        <v>75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95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96</v>
      </c>
      <c r="D71" s="29"/>
      <c r="E71" s="30"/>
      <c r="F71" s="30"/>
      <c r="G71" s="31"/>
      <c r="H71" s="32">
        <v>37.36</v>
      </c>
      <c r="I71" s="32">
        <v>3.18</v>
      </c>
      <c r="J71" s="33"/>
    </row>
    <row r="72" spans="1:10" x14ac:dyDescent="0.25">
      <c r="C72" s="28" t="s">
        <v>73</v>
      </c>
      <c r="D72" s="29"/>
      <c r="E72" s="30"/>
      <c r="F72" s="30"/>
      <c r="G72" s="31"/>
      <c r="H72" s="35">
        <v>37.36</v>
      </c>
      <c r="I72" s="35">
        <v>3.18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4.25" thickBot="1" x14ac:dyDescent="0.3">
      <c r="C74" s="36" t="s">
        <v>97</v>
      </c>
      <c r="D74" s="37"/>
      <c r="E74" s="38"/>
      <c r="F74" s="39"/>
      <c r="G74" s="40"/>
      <c r="H74" s="41">
        <v>1175.1099999999999</v>
      </c>
      <c r="I74" s="41">
        <f>SUMIFS(I:I,C:C,"Total")</f>
        <v>100</v>
      </c>
      <c r="J74" s="42"/>
    </row>
    <row r="77" spans="1:10" x14ac:dyDescent="0.25">
      <c r="C77" s="11" t="s">
        <v>98</v>
      </c>
    </row>
    <row r="78" spans="1:10" x14ac:dyDescent="0.25">
      <c r="C78" s="2" t="s">
        <v>99</v>
      </c>
    </row>
    <row r="79" spans="1:10" x14ac:dyDescent="0.25">
      <c r="C79" s="2" t="s">
        <v>100</v>
      </c>
    </row>
    <row r="80" spans="1:10" x14ac:dyDescent="0.25">
      <c r="C80" s="2" t="s">
        <v>101</v>
      </c>
    </row>
    <row r="81" spans="3:5" x14ac:dyDescent="0.25">
      <c r="C81" s="2" t="s">
        <v>102</v>
      </c>
    </row>
    <row r="82" spans="3:5" x14ac:dyDescent="0.25">
      <c r="C82" s="2" t="s">
        <v>103</v>
      </c>
    </row>
    <row r="83" spans="3:5" ht="14.25" thickBot="1" x14ac:dyDescent="0.3">
      <c r="C83" s="2" t="s">
        <v>104</v>
      </c>
    </row>
    <row r="84" spans="3:5" ht="14.25" thickBot="1" x14ac:dyDescent="0.3">
      <c r="C84" s="43"/>
      <c r="D84" s="52" t="s">
        <v>105</v>
      </c>
      <c r="E84" s="53"/>
    </row>
    <row r="85" spans="3:5" x14ac:dyDescent="0.25">
      <c r="C85" s="44" t="s">
        <v>106</v>
      </c>
      <c r="D85" s="45" t="s">
        <v>107</v>
      </c>
      <c r="E85" s="46" t="s">
        <v>107</v>
      </c>
    </row>
    <row r="86" spans="3:5" ht="14.25" thickBot="1" x14ac:dyDescent="0.3">
      <c r="C86" s="47"/>
      <c r="D86" s="48" t="s">
        <v>108</v>
      </c>
      <c r="E86" s="49" t="s">
        <v>109</v>
      </c>
    </row>
    <row r="87" spans="3:5" ht="14.25" thickBot="1" x14ac:dyDescent="0.3">
      <c r="C87" s="50" t="s">
        <v>110</v>
      </c>
      <c r="D87" s="51">
        <v>49.22</v>
      </c>
      <c r="E87" s="51">
        <v>48.37</v>
      </c>
    </row>
    <row r="88" spans="3:5" ht="14.25" thickBot="1" x14ac:dyDescent="0.3">
      <c r="C88" s="50" t="s">
        <v>111</v>
      </c>
      <c r="D88" s="51">
        <v>54.98</v>
      </c>
      <c r="E88" s="51">
        <v>54.03</v>
      </c>
    </row>
    <row r="89" spans="3:5" ht="14.25" thickBot="1" x14ac:dyDescent="0.3">
      <c r="C89" s="50" t="s">
        <v>112</v>
      </c>
      <c r="D89" s="51">
        <v>60.97</v>
      </c>
      <c r="E89" s="51">
        <v>59.96</v>
      </c>
    </row>
    <row r="90" spans="3:5" ht="14.25" thickBot="1" x14ac:dyDescent="0.3">
      <c r="C90" s="50" t="s">
        <v>113</v>
      </c>
      <c r="D90" s="51">
        <v>61.69</v>
      </c>
      <c r="E90" s="51">
        <v>60.66</v>
      </c>
    </row>
    <row r="92" spans="3:5" x14ac:dyDescent="0.25">
      <c r="C92" s="2" t="s">
        <v>114</v>
      </c>
    </row>
    <row r="93" spans="3:5" x14ac:dyDescent="0.25">
      <c r="C93" s="2" t="s">
        <v>115</v>
      </c>
    </row>
    <row r="94" spans="3:5" x14ac:dyDescent="0.25">
      <c r="C94" s="2" t="s">
        <v>116</v>
      </c>
    </row>
    <row r="95" spans="3:5" x14ac:dyDescent="0.25">
      <c r="C95" s="2" t="s">
        <v>117</v>
      </c>
    </row>
    <row r="96" spans="3:5" x14ac:dyDescent="0.25">
      <c r="C96" s="2" t="s">
        <v>118</v>
      </c>
    </row>
    <row r="97" spans="3:3" x14ac:dyDescent="0.25">
      <c r="C97" s="2" t="s">
        <v>119</v>
      </c>
    </row>
    <row r="98" spans="3:3" x14ac:dyDescent="0.25">
      <c r="C98" s="2" t="s">
        <v>120</v>
      </c>
    </row>
    <row r="99" spans="3:3" x14ac:dyDescent="0.25">
      <c r="C99" s="2" t="s">
        <v>121</v>
      </c>
    </row>
    <row r="100" spans="3:3" x14ac:dyDescent="0.25">
      <c r="C100" s="2" t="s">
        <v>122</v>
      </c>
    </row>
  </sheetData>
  <mergeCells count="1">
    <mergeCell ref="D84:E84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EC35-8BEE-4A8B-B754-41B61BBDFF7A}">
  <dimension ref="C3:M17"/>
  <sheetViews>
    <sheetView workbookViewId="0"/>
  </sheetViews>
  <sheetFormatPr defaultRowHeight="15" x14ac:dyDescent="0.25"/>
  <cols>
    <col min="3" max="3" width="44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4" t="s">
        <v>123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124</v>
      </c>
      <c r="D4" s="57" t="s">
        <v>125</v>
      </c>
      <c r="E4" s="57"/>
      <c r="F4" s="57" t="s">
        <v>126</v>
      </c>
      <c r="G4" s="57"/>
      <c r="H4" s="57" t="s">
        <v>127</v>
      </c>
      <c r="I4" s="57"/>
      <c r="J4" s="58" t="s">
        <v>128</v>
      </c>
      <c r="K4" s="59"/>
      <c r="L4" s="60" t="s">
        <v>129</v>
      </c>
      <c r="M4" s="60"/>
    </row>
    <row r="5" spans="3:13" ht="63.75" x14ac:dyDescent="0.25">
      <c r="C5" s="61"/>
      <c r="D5" s="62" t="s">
        <v>130</v>
      </c>
      <c r="E5" s="62" t="s">
        <v>131</v>
      </c>
      <c r="F5" s="62" t="s">
        <v>130</v>
      </c>
      <c r="G5" s="62" t="s">
        <v>131</v>
      </c>
      <c r="H5" s="62" t="s">
        <v>130</v>
      </c>
      <c r="I5" s="62" t="s">
        <v>131</v>
      </c>
      <c r="J5" s="62" t="s">
        <v>130</v>
      </c>
      <c r="K5" s="62" t="s">
        <v>131</v>
      </c>
      <c r="L5" s="63" t="s">
        <v>130</v>
      </c>
      <c r="M5" s="63" t="s">
        <v>131</v>
      </c>
    </row>
    <row r="6" spans="3:13" x14ac:dyDescent="0.25">
      <c r="C6" s="64" t="s">
        <v>132</v>
      </c>
      <c r="D6" s="65">
        <v>13.315200000000001</v>
      </c>
      <c r="E6" s="65">
        <v>11331.516041098763</v>
      </c>
      <c r="F6" s="65">
        <v>13.364100000000001</v>
      </c>
      <c r="G6" s="65">
        <v>14573.894282632147</v>
      </c>
      <c r="H6" s="65">
        <v>13.3978</v>
      </c>
      <c r="I6" s="65">
        <v>18763.888888888891</v>
      </c>
      <c r="J6" s="65">
        <v>14.1943</v>
      </c>
      <c r="K6" s="65">
        <v>37763.80153738644</v>
      </c>
      <c r="L6" s="65">
        <v>13.103899999999999</v>
      </c>
      <c r="M6" s="65">
        <v>54040</v>
      </c>
    </row>
    <row r="7" spans="3:13" x14ac:dyDescent="0.25">
      <c r="C7" s="64" t="s">
        <v>133</v>
      </c>
      <c r="D7" s="65">
        <v>21.528283999999999</v>
      </c>
      <c r="E7" s="65">
        <v>12083.51</v>
      </c>
      <c r="F7" s="65">
        <v>14.769360000000001</v>
      </c>
      <c r="G7" s="65">
        <v>15031.264502501075</v>
      </c>
      <c r="H7" s="65">
        <v>15.073831</v>
      </c>
      <c r="I7" s="65">
        <v>20063.250928715363</v>
      </c>
      <c r="J7" s="65">
        <v>15.049229</v>
      </c>
      <c r="K7" s="65">
        <v>20099.146713425638</v>
      </c>
      <c r="L7" s="65">
        <v>15.4514</v>
      </c>
      <c r="M7" s="65">
        <v>71606.849882596885</v>
      </c>
    </row>
    <row r="8" spans="3:13" x14ac:dyDescent="0.25">
      <c r="C8" s="64" t="s">
        <v>134</v>
      </c>
      <c r="D8" s="65">
        <v>10.217000000000001</v>
      </c>
      <c r="E8" s="65">
        <v>11021.7</v>
      </c>
      <c r="F8" s="65">
        <v>14.098599999999999</v>
      </c>
      <c r="G8" s="65">
        <v>14853.915426689055</v>
      </c>
      <c r="H8" s="65">
        <v>14.522399999999999</v>
      </c>
      <c r="I8" s="65">
        <v>19699.363947534817</v>
      </c>
      <c r="J8" s="65">
        <v>14.2287</v>
      </c>
      <c r="K8" s="65">
        <v>19448.054876599468</v>
      </c>
      <c r="L8" s="65">
        <v>14.210900000000001</v>
      </c>
      <c r="M8" s="65">
        <v>61755.058759717183</v>
      </c>
    </row>
    <row r="9" spans="3:13" x14ac:dyDescent="0.25">
      <c r="C9" s="64" t="s">
        <v>135</v>
      </c>
      <c r="D9" s="66">
        <v>47.69</v>
      </c>
      <c r="E9" s="67"/>
      <c r="F9" s="66">
        <v>37.08</v>
      </c>
      <c r="G9" s="67"/>
      <c r="H9" s="66">
        <v>28.8</v>
      </c>
      <c r="I9" s="67"/>
      <c r="J9" s="66">
        <v>14.31</v>
      </c>
      <c r="K9" s="67"/>
      <c r="L9" s="66">
        <v>10</v>
      </c>
      <c r="M9" s="67"/>
    </row>
    <row r="11" spans="3:13" ht="15.75" x14ac:dyDescent="0.25">
      <c r="C11" s="54" t="s">
        <v>136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124</v>
      </c>
      <c r="D12" s="57" t="s">
        <v>125</v>
      </c>
      <c r="E12" s="57"/>
      <c r="F12" s="57" t="s">
        <v>126</v>
      </c>
      <c r="G12" s="57"/>
      <c r="H12" s="57" t="s">
        <v>127</v>
      </c>
      <c r="I12" s="57"/>
      <c r="J12" s="58" t="s">
        <v>128</v>
      </c>
      <c r="K12" s="59"/>
      <c r="L12" s="60" t="s">
        <v>129</v>
      </c>
      <c r="M12" s="60"/>
    </row>
    <row r="13" spans="3:13" ht="63.75" x14ac:dyDescent="0.25">
      <c r="C13" s="61"/>
      <c r="D13" s="62" t="s">
        <v>130</v>
      </c>
      <c r="E13" s="62" t="s">
        <v>131</v>
      </c>
      <c r="F13" s="62" t="s">
        <v>130</v>
      </c>
      <c r="G13" s="62" t="s">
        <v>131</v>
      </c>
      <c r="H13" s="62" t="s">
        <v>130</v>
      </c>
      <c r="I13" s="62" t="s">
        <v>131</v>
      </c>
      <c r="J13" s="62" t="s">
        <v>130</v>
      </c>
      <c r="K13" s="62" t="s">
        <v>131</v>
      </c>
      <c r="L13" s="63" t="s">
        <v>130</v>
      </c>
      <c r="M13" s="63" t="s">
        <v>131</v>
      </c>
    </row>
    <row r="14" spans="3:13" x14ac:dyDescent="0.25">
      <c r="C14" s="64" t="s">
        <v>132</v>
      </c>
      <c r="D14" s="65">
        <v>14.258800000000001</v>
      </c>
      <c r="E14" s="65">
        <v>11425.880580146919</v>
      </c>
      <c r="F14" s="65">
        <v>14.2507</v>
      </c>
      <c r="G14" s="65">
        <v>14918.839153959667</v>
      </c>
      <c r="H14" s="65">
        <v>14.2859</v>
      </c>
      <c r="I14" s="65">
        <v>19511.096815696365</v>
      </c>
      <c r="J14" s="65">
        <v>15.194599999999999</v>
      </c>
      <c r="K14" s="65">
        <v>41209.239130434777</v>
      </c>
      <c r="L14" s="65">
        <v>11.9398</v>
      </c>
      <c r="M14" s="65">
        <v>44439.560439560439</v>
      </c>
    </row>
    <row r="15" spans="3:13" x14ac:dyDescent="0.25">
      <c r="C15" s="64" t="s">
        <v>133</v>
      </c>
      <c r="D15" s="65">
        <v>21.528283999999999</v>
      </c>
      <c r="E15" s="65">
        <v>12083.51</v>
      </c>
      <c r="F15" s="65">
        <v>14.769360000000001</v>
      </c>
      <c r="G15" s="65">
        <v>15031.264502501075</v>
      </c>
      <c r="H15" s="65">
        <v>15.073831</v>
      </c>
      <c r="I15" s="65">
        <v>20063.250928715363</v>
      </c>
      <c r="J15" s="65">
        <v>15.049229</v>
      </c>
      <c r="K15" s="65">
        <v>20099.146713425638</v>
      </c>
      <c r="L15" s="65">
        <v>13.196889000000001</v>
      </c>
      <c r="M15" s="65">
        <v>50687.520886194987</v>
      </c>
    </row>
    <row r="16" spans="3:13" x14ac:dyDescent="0.25">
      <c r="C16" s="64" t="s">
        <v>134</v>
      </c>
      <c r="D16" s="65">
        <v>10.217000000000001</v>
      </c>
      <c r="E16" s="65">
        <v>11021.7</v>
      </c>
      <c r="F16" s="65">
        <v>14.098599999999999</v>
      </c>
      <c r="G16" s="65">
        <v>14853.915426689055</v>
      </c>
      <c r="H16" s="65">
        <v>14.522399999999999</v>
      </c>
      <c r="I16" s="65">
        <v>19699.363947534817</v>
      </c>
      <c r="J16" s="65">
        <v>14.2287</v>
      </c>
      <c r="K16" s="65">
        <v>19448.054876599468</v>
      </c>
      <c r="L16" s="65">
        <v>12.980499999999999</v>
      </c>
      <c r="M16" s="65">
        <v>49363.034870167816</v>
      </c>
    </row>
    <row r="17" spans="3:13" x14ac:dyDescent="0.25">
      <c r="C17" s="64" t="s">
        <v>137</v>
      </c>
      <c r="D17" s="66">
        <v>53.09</v>
      </c>
      <c r="E17" s="67"/>
      <c r="F17" s="66">
        <v>40.659999999999997</v>
      </c>
      <c r="G17" s="67"/>
      <c r="H17" s="66">
        <v>31.09</v>
      </c>
      <c r="I17" s="67"/>
      <c r="J17" s="66">
        <v>14.72</v>
      </c>
      <c r="K17" s="67"/>
      <c r="L17" s="66">
        <v>13.65</v>
      </c>
      <c r="M17" s="67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2026-02-06T11:30:14Z</dcterms:created>
  <dcterms:modified xsi:type="dcterms:W3CDTF">2026-02-06T13:00:32Z</dcterms:modified>
</cp:coreProperties>
</file>