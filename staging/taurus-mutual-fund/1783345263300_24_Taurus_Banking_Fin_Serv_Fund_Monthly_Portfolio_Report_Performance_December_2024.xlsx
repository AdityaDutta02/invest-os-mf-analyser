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0. Jan 2025\Monthly Portfolio Dec 2024\Ops\"/>
    </mc:Choice>
  </mc:AlternateContent>
  <xr:revisionPtr revIDLastSave="0" documentId="13_ncr:1_{E92D94EF-29E5-4AEE-B58C-14F7A9BBD21C}" xr6:coauthVersionLast="47" xr6:coauthVersionMax="47" xr10:uidLastSave="{00000000-0000-0000-0000-000000000000}"/>
  <bookViews>
    <workbookView xWindow="-120" yWindow="-120" windowWidth="20730" windowHeight="11040" xr2:uid="{EF9F52A8-C947-4F45-A1F7-0A74324D7FC3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TBFS!$C$8:$C$28</definedName>
    <definedName name="XDO_?FINAL_ISIN?1?">TBFS!$D$10:$D$28</definedName>
    <definedName name="XDO_?FINAL_ISIN?2?">TBFS!$D$10:$D$72</definedName>
    <definedName name="XDO_?FINAL_MV?1?">TBFS!$H$10:$H$28</definedName>
    <definedName name="XDO_?FINAL_MV?2?">TBFS!$H$10:$H$72</definedName>
    <definedName name="XDO_?FINAL_NAME?1?">TBFS!$C$10:$C$28</definedName>
    <definedName name="XDO_?FINAL_NAME?2?">TBFS!$C$10:$C$72</definedName>
    <definedName name="XDO_?FINAL_PER_NET?1?">TBFS!$I$10:$I$28</definedName>
    <definedName name="XDO_?FINAL_PER_NET?2?">TBFS!$I$10:$I$72</definedName>
    <definedName name="XDO_?FINAL_QUANTITE?1?">TBFS!$G$10:$G$28</definedName>
    <definedName name="XDO_?FINAL_QUANTITE?2?">TBFS!$G$10:$G$72</definedName>
    <definedName name="XDO_?IND_01?1?">TBFS!$F$10:$F$28</definedName>
    <definedName name="XDO_?IND_01?2?">TBFS!$F$10:$F$72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TBFS!$C$2:$C$28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TBFS!$B$10:$B$28</definedName>
    <definedName name="XDO_?NOVAL?2?">TBFS!$B$10:$B$72</definedName>
    <definedName name="XDO_?NPTF?1?">TBFS!$D$2:$D$28</definedName>
    <definedName name="XDO_?RATING?1?">TBFS!$E$10:$E$28</definedName>
    <definedName name="XDO_?RATING?2?">TBFS!$E$10:$E$72</definedName>
    <definedName name="XDO_?REMARKS?1?">TBFS!$J$10:$J$28</definedName>
    <definedName name="XDO_?REMARKS?2?">TBFS!$J$10:$J$72</definedName>
    <definedName name="XDO_?TITL?1?">TBFS!$A$8:$A$28</definedName>
    <definedName name="XDO_GROUP_?G_2?1?">TBFS!$2:$75</definedName>
    <definedName name="XDO_GROUP_?G_3?1?">TBFS!$8:$74</definedName>
    <definedName name="XDO_GROUP_?G_4?1?">TBFS!$B$10:$IV$28</definedName>
    <definedName name="XDO_GROUP_?G_4?2?">TBFS!$B$72:$IV$72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</calcChain>
</file>

<file path=xl/sharedStrings.xml><?xml version="1.0" encoding="utf-8"?>
<sst xmlns="http://schemas.openxmlformats.org/spreadsheetml/2006/main" count="212" uniqueCount="140">
  <si>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</si>
  <si>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</si>
  <si>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</si>
  <si>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</si>
  <si>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</si>
  <si>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</si>
  <si>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</si>
  <si>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</si>
  <si>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</si>
  <si>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</si>
  <si>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</si>
  <si>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</si>
  <si>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</si>
  <si>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</si>
  <si>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</si>
  <si>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</si>
  <si>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</si>
  <si>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</si>
  <si>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</si>
  <si>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</si>
  <si>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</si>
  <si>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</si>
  <si>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</si>
  <si>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</si>
  <si>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</si>
  <si>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</si>
  <si>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</si>
  <si>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</si>
  <si>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</si>
  <si>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</si>
  <si>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</si>
  <si>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100325</t>
  </si>
  <si>
    <t>Bajaj Holdings &amp; Investment Ltd.</t>
  </si>
  <si>
    <t>INE118A01012</t>
  </si>
  <si>
    <t>Finance</t>
  </si>
  <si>
    <t>101210</t>
  </si>
  <si>
    <t>Credit Access Grameen Ltd.</t>
  </si>
  <si>
    <t>INE741K01010</t>
  </si>
  <si>
    <t>101178</t>
  </si>
  <si>
    <t>Computer Age Management Services Ltd.</t>
  </si>
  <si>
    <t>INE596I01012</t>
  </si>
  <si>
    <t>Capital Markets</t>
  </si>
  <si>
    <t>100013</t>
  </si>
  <si>
    <t>IndusInd Bank Ltd.</t>
  </si>
  <si>
    <t>INE095A01012</t>
  </si>
  <si>
    <t>100706</t>
  </si>
  <si>
    <t>HDFC Life Insurance Company Ltd.</t>
  </si>
  <si>
    <t>INE795G01014</t>
  </si>
  <si>
    <t>Insurance</t>
  </si>
  <si>
    <t>100361</t>
  </si>
  <si>
    <t>Bank of India</t>
  </si>
  <si>
    <t>INE084A01016</t>
  </si>
  <si>
    <t>101740</t>
  </si>
  <si>
    <t>Prudent Corporate Advisory Services Ltd.</t>
  </si>
  <si>
    <t>INE00F201020</t>
  </si>
  <si>
    <t>100191</t>
  </si>
  <si>
    <t>Canara Bank</t>
  </si>
  <si>
    <t>INE476A01022</t>
  </si>
  <si>
    <t>100055</t>
  </si>
  <si>
    <t>The Federal Bank Ltd.</t>
  </si>
  <si>
    <t>INE171A01029</t>
  </si>
  <si>
    <t>100211</t>
  </si>
  <si>
    <t>IDFC First Bank Ltd.</t>
  </si>
  <si>
    <t>INE092T01019</t>
  </si>
  <si>
    <t>100665</t>
  </si>
  <si>
    <t>Aditya Birla Capital Ltd.</t>
  </si>
  <si>
    <t>INE674K01013</t>
  </si>
  <si>
    <t>100112</t>
  </si>
  <si>
    <t>Punjab National Bank</t>
  </si>
  <si>
    <t>INE160A01022</t>
  </si>
  <si>
    <t>101889</t>
  </si>
  <si>
    <t>Jio Financial Services Ltd.</t>
  </si>
  <si>
    <t>INE758E01017</t>
  </si>
  <si>
    <t>100122</t>
  </si>
  <si>
    <t>Union Bank of India</t>
  </si>
  <si>
    <t>INE692A01016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</si>
  <si>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</si>
  <si>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</si>
  <si>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</si>
  <si>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</si>
  <si>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</si>
  <si>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</si>
  <si>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</si>
  <si>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</si>
  <si>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</si>
  <si>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</si>
  <si>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</si>
  <si>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</si>
  <si>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</si>
  <si>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</si>
  <si>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</si>
  <si>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</si>
  <si>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</si>
  <si>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</si>
  <si>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</si>
  <si>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</si>
  <si>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</si>
  <si>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</si>
  <si>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</si>
  <si>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</si>
  <si>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</si>
  <si>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</si>
  <si>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</si>
  <si>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</si>
  <si>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</si>
  <si>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</si>
  <si>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</si>
  <si>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</si>
  <si>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</si>
  <si>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</si>
  <si>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</si>
  <si>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November 30, 2024</t>
  </si>
  <si>
    <t>December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</si>
  <si>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</si>
  <si>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</si>
  <si>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</si>
  <si>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</si>
  <si>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December 31, 2024.</t>
  </si>
  <si>
    <t>(7) The Scheme did not declare any bonus during the month ended As on  December 31, 2024.</t>
  </si>
  <si>
    <t>(8) Total outstanding exposure in derivative instruments as on As on  December 31, 2024 is Nil</t>
  </si>
  <si>
    <t>(9) Total investments in Foreign Securities /ADRs/GDRs /Overseas ETFs as at As on  December 31, 2024 and its percentage to NAV is Nil.</t>
  </si>
  <si>
    <t>(10) During the period, the portfolio turnover ratio is 0.25 times.</t>
  </si>
  <si>
    <t>      Portfolio Turnover Ratio = Lower of sales or purchase of securities divided by average AUM for 12 months ended As on  December 31, 2024</t>
  </si>
  <si>
    <t>(11) The Scheme did not invest in repo transactions of corporate debt securities during the month ended As on  December 31, 2024.</t>
  </si>
  <si>
    <t>(12) The Scheme did not invest in credit default swaps during the month ended As on  December 31, 2024.</t>
  </si>
  <si>
    <t>(13) There are Nil instances of deviation from the valuation principles/guidelines during the month ended as on December 31st, 2024.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</si>
  <si>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</si>
  <si>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</si>
  <si>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</si>
  <si>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</si>
  <si>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</si>
  <si>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</si>
  <si>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</si>
  <si>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</si>
  <si>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</si>
  <si>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</si>
  <si>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</si>
  <si>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December 31,2024 :49.56)</t>
  </si>
  <si>
    <t>Taurus Banking &amp; Financial Services Fund - Direct Plan Growth Option</t>
  </si>
  <si>
    <t>NAV [Rs.] Per Unit (as on December 31,2024 :55.14)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</si>
</sst>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A2F704F-EEC6-4B15-A4E6-D526AB548A11}"/>
    <cellStyle name="Hyperlink" xfId="2" builtinId="8"/>
    <cellStyle name="Normal" xfId="0" builtinId="0"/>
    <cellStyle name="Normal 2" xfId="4" xr:uid="{33FBA8FA-BD82-4D39-B36D-1B8C4D5115F1}"/>
    <cellStyle name="Style 1" xfId="3" xr:uid="{252ED7B1-DD29-44A0-862F-F5E9EE8DF6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A7763695-E1FC-4F7A-992C-7FB953A2E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Dec_2024\TMF_Monthly_Portfolio_Report_December%2024.xls" TargetMode="External"/><Relationship Id="rId1" Type="http://schemas.openxmlformats.org/officeDocument/2006/relationships/externalLinkPath" Target="file:///Q:\5.TMF\Reporting\Monthly%20Reports\Monthly%20Portfolio\2024-25\Dec_2024\Final%20Report\TMF_Monthly_Portfolio_Report_Dec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2F50-B407-41DF-AEC6-4B9651473D22}">
  <dimension ref="A1:BB10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45657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12955</v>
      </c>
      <c r="H10" s="32">
        <v>229.62</v>
      </c>
      <c r="I10" s="32">
        <v>21.45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16931</v>
      </c>
      <c r="H11" s="32">
        <v>217.06</v>
      </c>
      <c r="I11" s="32">
        <v>20.27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131.72</v>
      </c>
      <c r="I12" s="32">
        <v>12.3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10320</v>
      </c>
      <c r="H13" s="32">
        <v>109.93</v>
      </c>
      <c r="I13" s="32">
        <v>10.27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5278</v>
      </c>
      <c r="H14" s="32">
        <v>94.28</v>
      </c>
      <c r="I14" s="32">
        <v>8.81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346</v>
      </c>
      <c r="H15" s="32">
        <v>41.12</v>
      </c>
      <c r="I15" s="32">
        <v>3.84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3356</v>
      </c>
      <c r="H16" s="32">
        <v>29.78</v>
      </c>
      <c r="I16" s="32">
        <v>2.78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41</v>
      </c>
      <c r="G17" s="31">
        <v>536</v>
      </c>
      <c r="H17" s="32">
        <v>27.2</v>
      </c>
      <c r="I17" s="32">
        <v>2.54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18</v>
      </c>
      <c r="G18" s="31">
        <v>2636</v>
      </c>
      <c r="H18" s="32">
        <v>25.31</v>
      </c>
      <c r="I18" s="32">
        <v>2.36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48</v>
      </c>
      <c r="G19" s="31">
        <v>3981</v>
      </c>
      <c r="H19" s="32">
        <v>24.56</v>
      </c>
      <c r="I19" s="32">
        <v>2.29</v>
      </c>
      <c r="J19" s="33"/>
    </row>
    <row r="20" spans="2:10" x14ac:dyDescent="0.25">
      <c r="B20" s="1" t="s">
        <v>49</v>
      </c>
      <c r="C20" s="20" t="s">
        <v>50</v>
      </c>
      <c r="D20" s="29" t="s">
        <v>51</v>
      </c>
      <c r="E20" s="30"/>
      <c r="F20" s="30" t="s">
        <v>18</v>
      </c>
      <c r="G20" s="31">
        <v>23388</v>
      </c>
      <c r="H20" s="32">
        <v>23.84</v>
      </c>
      <c r="I20" s="32">
        <v>2.23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41</v>
      </c>
      <c r="G21" s="31">
        <v>847</v>
      </c>
      <c r="H21" s="32">
        <v>23.16</v>
      </c>
      <c r="I21" s="32">
        <v>2.16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18</v>
      </c>
      <c r="G22" s="31">
        <v>18875</v>
      </c>
      <c r="H22" s="32">
        <v>18.899999999999999</v>
      </c>
      <c r="I22" s="32">
        <v>1.77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18</v>
      </c>
      <c r="G23" s="31">
        <v>9133</v>
      </c>
      <c r="H23" s="32">
        <v>18.260000000000002</v>
      </c>
      <c r="I23" s="32">
        <v>1.71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23926</v>
      </c>
      <c r="H24" s="32">
        <v>15.11</v>
      </c>
      <c r="I24" s="32">
        <v>1.41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34</v>
      </c>
      <c r="G25" s="31">
        <v>6780</v>
      </c>
      <c r="H25" s="32">
        <v>12.06</v>
      </c>
      <c r="I25" s="32">
        <v>1.1299999999999999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18</v>
      </c>
      <c r="G26" s="31">
        <v>9584</v>
      </c>
      <c r="H26" s="32">
        <v>9.85</v>
      </c>
      <c r="I26" s="32">
        <v>0.92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34</v>
      </c>
      <c r="G27" s="31">
        <v>2428</v>
      </c>
      <c r="H27" s="32">
        <v>7.25</v>
      </c>
      <c r="I27" s="32">
        <v>0.68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18</v>
      </c>
      <c r="G28" s="31">
        <v>5724</v>
      </c>
      <c r="H28" s="32">
        <v>6.89</v>
      </c>
      <c r="I28" s="32">
        <v>0.64</v>
      </c>
      <c r="J28" s="33"/>
    </row>
    <row r="29" spans="2:10" x14ac:dyDescent="0.25">
      <c r="C29" s="28" t="s">
        <v>76</v>
      </c>
      <c r="D29" s="29"/>
      <c r="E29" s="30"/>
      <c r="F29" s="30"/>
      <c r="G29" s="31"/>
      <c r="H29" s="35">
        <v>1065.9000000000001</v>
      </c>
      <c r="I29" s="35">
        <v>99.56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77</v>
      </c>
      <c r="D31" s="29"/>
      <c r="E31" s="30"/>
      <c r="F31" s="30"/>
      <c r="G31" s="31"/>
      <c r="H31" s="32" t="s">
        <v>78</v>
      </c>
      <c r="I31" s="32" t="s">
        <v>78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79</v>
      </c>
      <c r="D33" s="29"/>
      <c r="E33" s="30"/>
      <c r="F33" s="30"/>
      <c r="G33" s="31"/>
      <c r="H33" s="32" t="s">
        <v>78</v>
      </c>
      <c r="I33" s="32" t="s">
        <v>78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80</v>
      </c>
      <c r="D35" s="29"/>
      <c r="E35" s="30"/>
      <c r="F35" s="30"/>
      <c r="G35" s="31"/>
      <c r="H35" s="32"/>
      <c r="I35" s="32"/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81</v>
      </c>
      <c r="D37" s="29"/>
      <c r="E37" s="30"/>
      <c r="F37" s="30"/>
      <c r="G37" s="31"/>
      <c r="H37" s="32" t="s">
        <v>78</v>
      </c>
      <c r="I37" s="32" t="s">
        <v>78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82</v>
      </c>
      <c r="D39" s="29"/>
      <c r="E39" s="30"/>
      <c r="F39" s="30"/>
      <c r="G39" s="31"/>
      <c r="H39" s="32" t="s">
        <v>78</v>
      </c>
      <c r="I39" s="32" t="s">
        <v>78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83</v>
      </c>
      <c r="D41" s="29"/>
      <c r="E41" s="30"/>
      <c r="F41" s="30"/>
      <c r="G41" s="31"/>
      <c r="H41" s="32" t="s">
        <v>78</v>
      </c>
      <c r="I41" s="32" t="s">
        <v>78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84</v>
      </c>
      <c r="D43" s="29"/>
      <c r="E43" s="30"/>
      <c r="F43" s="30"/>
      <c r="G43" s="31"/>
      <c r="H43" s="32" t="s">
        <v>78</v>
      </c>
      <c r="I43" s="32" t="s">
        <v>78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85</v>
      </c>
      <c r="D45" s="29"/>
      <c r="E45" s="30"/>
      <c r="F45" s="30"/>
      <c r="G45" s="31"/>
      <c r="H45" s="32" t="s">
        <v>78</v>
      </c>
      <c r="I45" s="32" t="s">
        <v>78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86</v>
      </c>
      <c r="D47" s="29"/>
      <c r="E47" s="30"/>
      <c r="F47" s="30"/>
      <c r="G47" s="31"/>
      <c r="H47" s="32"/>
      <c r="I47" s="32"/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87</v>
      </c>
      <c r="D49" s="29"/>
      <c r="E49" s="30"/>
      <c r="F49" s="30"/>
      <c r="G49" s="31"/>
      <c r="H49" s="32" t="s">
        <v>78</v>
      </c>
      <c r="I49" s="32" t="s">
        <v>78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88</v>
      </c>
      <c r="D51" s="29"/>
      <c r="E51" s="30"/>
      <c r="F51" s="30"/>
      <c r="G51" s="31"/>
      <c r="H51" s="32" t="s">
        <v>78</v>
      </c>
      <c r="I51" s="32" t="s">
        <v>78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89</v>
      </c>
      <c r="D53" s="29"/>
      <c r="E53" s="30"/>
      <c r="F53" s="30"/>
      <c r="G53" s="31"/>
      <c r="H53" s="32" t="s">
        <v>78</v>
      </c>
      <c r="I53" s="32" t="s">
        <v>78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90</v>
      </c>
      <c r="D55" s="29"/>
      <c r="E55" s="30"/>
      <c r="F55" s="30"/>
      <c r="G55" s="31"/>
      <c r="H55" s="32" t="s">
        <v>78</v>
      </c>
      <c r="I55" s="32" t="s">
        <v>78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91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92</v>
      </c>
      <c r="D59" s="29"/>
      <c r="E59" s="30"/>
      <c r="F59" s="30"/>
      <c r="G59" s="31"/>
      <c r="H59" s="32" t="s">
        <v>78</v>
      </c>
      <c r="I59" s="32" t="s">
        <v>78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93</v>
      </c>
      <c r="D61" s="29"/>
      <c r="E61" s="30"/>
      <c r="F61" s="30"/>
      <c r="G61" s="31"/>
      <c r="H61" s="32" t="s">
        <v>78</v>
      </c>
      <c r="I61" s="32" t="s">
        <v>78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94</v>
      </c>
      <c r="D63" s="29"/>
      <c r="E63" s="30"/>
      <c r="F63" s="30"/>
      <c r="G63" s="31"/>
      <c r="H63" s="32" t="s">
        <v>78</v>
      </c>
      <c r="I63" s="32" t="s">
        <v>78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95</v>
      </c>
      <c r="D65" s="29"/>
      <c r="E65" s="30"/>
      <c r="F65" s="30"/>
      <c r="G65" s="31"/>
      <c r="H65" s="32" t="s">
        <v>78</v>
      </c>
      <c r="I65" s="32" t="s">
        <v>78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96</v>
      </c>
      <c r="D67" s="29"/>
      <c r="E67" s="30"/>
      <c r="F67" s="30"/>
      <c r="G67" s="31"/>
      <c r="H67" s="32" t="s">
        <v>78</v>
      </c>
      <c r="I67" s="32" t="s">
        <v>78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97</v>
      </c>
      <c r="D69" s="29"/>
      <c r="E69" s="30"/>
      <c r="F69" s="30"/>
      <c r="G69" s="31"/>
      <c r="H69" s="32" t="s">
        <v>78</v>
      </c>
      <c r="I69" s="32" t="s">
        <v>78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A71" s="26"/>
      <c r="B71" s="27"/>
      <c r="C71" s="28" t="s">
        <v>98</v>
      </c>
      <c r="D71" s="29"/>
      <c r="E71" s="30"/>
      <c r="F71" s="30"/>
      <c r="G71" s="31"/>
      <c r="H71" s="32"/>
      <c r="I71" s="32"/>
      <c r="J71" s="33"/>
    </row>
    <row r="72" spans="1:10" x14ac:dyDescent="0.25">
      <c r="B72" s="1"/>
      <c r="C72" s="20" t="s">
        <v>99</v>
      </c>
      <c r="D72" s="29"/>
      <c r="E72" s="30"/>
      <c r="F72" s="30"/>
      <c r="G72" s="31"/>
      <c r="H72" s="32">
        <v>4.8</v>
      </c>
      <c r="I72" s="32">
        <v>0.44</v>
      </c>
      <c r="J72" s="33"/>
    </row>
    <row r="73" spans="1:10" x14ac:dyDescent="0.25">
      <c r="C73" s="28" t="s">
        <v>76</v>
      </c>
      <c r="D73" s="29"/>
      <c r="E73" s="30"/>
      <c r="F73" s="30"/>
      <c r="G73" s="31"/>
      <c r="H73" s="35">
        <v>4.8</v>
      </c>
      <c r="I73" s="35">
        <v>0.44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ht="14.25" thickBot="1" x14ac:dyDescent="0.3">
      <c r="C75" s="36" t="s">
        <v>100</v>
      </c>
      <c r="D75" s="37"/>
      <c r="E75" s="38"/>
      <c r="F75" s="39"/>
      <c r="G75" s="40"/>
      <c r="H75" s="41">
        <v>1070.7</v>
      </c>
      <c r="I75" s="41">
        <f>SUMIFS(I:I,C:C,"Total")</f>
        <v>100</v>
      </c>
      <c r="J75" s="42"/>
    </row>
    <row r="78" spans="1:10" x14ac:dyDescent="0.25">
      <c r="C78" s="11" t="s">
        <v>101</v>
      </c>
    </row>
    <row r="79" spans="1:10" x14ac:dyDescent="0.25">
      <c r="C79" s="2" t="s">
        <v>102</v>
      </c>
    </row>
    <row r="80" spans="1:10" x14ac:dyDescent="0.25">
      <c r="C80" s="2" t="s">
        <v>103</v>
      </c>
    </row>
    <row r="81" spans="3:5" x14ac:dyDescent="0.25">
      <c r="C81" s="2" t="s">
        <v>104</v>
      </c>
    </row>
    <row r="82" spans="3:5" x14ac:dyDescent="0.25">
      <c r="C82" s="2" t="s">
        <v>105</v>
      </c>
    </row>
    <row r="83" spans="3:5" x14ac:dyDescent="0.25">
      <c r="C83" s="2" t="s">
        <v>106</v>
      </c>
    </row>
    <row r="84" spans="3:5" x14ac:dyDescent="0.25">
      <c r="C84" s="2" t="s">
        <v>107</v>
      </c>
    </row>
    <row r="85" spans="3:5" x14ac:dyDescent="0.25">
      <c r="D85" s="2" t="s">
        <v>108</v>
      </c>
    </row>
    <row r="86" spans="3:5" x14ac:dyDescent="0.25">
      <c r="C86" s="2" t="s">
        <v>109</v>
      </c>
      <c r="D86" s="2" t="s">
        <v>110</v>
      </c>
      <c r="E86" s="2" t="s">
        <v>110</v>
      </c>
    </row>
    <row r="87" spans="3:5" x14ac:dyDescent="0.25">
      <c r="D87" s="2" t="s">
        <v>111</v>
      </c>
      <c r="E87" s="2" t="s">
        <v>112</v>
      </c>
    </row>
    <row r="88" spans="3:5" x14ac:dyDescent="0.25">
      <c r="C88" s="2" t="s">
        <v>113</v>
      </c>
      <c r="D88" s="2">
        <v>45.52</v>
      </c>
      <c r="E88" s="2">
        <v>44.37</v>
      </c>
    </row>
    <row r="89" spans="3:5" x14ac:dyDescent="0.25">
      <c r="C89" s="2" t="s">
        <v>114</v>
      </c>
      <c r="D89" s="2">
        <v>50.85</v>
      </c>
      <c r="E89" s="2">
        <v>49.56</v>
      </c>
    </row>
    <row r="90" spans="3:5" x14ac:dyDescent="0.25">
      <c r="C90" s="2" t="s">
        <v>115</v>
      </c>
      <c r="D90" s="2">
        <v>55.88</v>
      </c>
      <c r="E90" s="2">
        <v>54.5</v>
      </c>
    </row>
    <row r="91" spans="3:5" x14ac:dyDescent="0.25">
      <c r="C91" s="2" t="s">
        <v>116</v>
      </c>
      <c r="D91" s="2">
        <v>56.54</v>
      </c>
      <c r="E91" s="2">
        <v>55.14</v>
      </c>
    </row>
    <row r="93" spans="3:5" x14ac:dyDescent="0.25">
      <c r="C93" s="2" t="s">
        <v>117</v>
      </c>
    </row>
    <row r="94" spans="3:5" x14ac:dyDescent="0.25">
      <c r="C94" s="2" t="s">
        <v>118</v>
      </c>
    </row>
    <row r="95" spans="3:5" x14ac:dyDescent="0.25">
      <c r="C95" s="2" t="s">
        <v>119</v>
      </c>
    </row>
    <row r="96" spans="3:5" x14ac:dyDescent="0.25">
      <c r="C96" s="2" t="s">
        <v>120</v>
      </c>
    </row>
    <row r="97" spans="3:3" x14ac:dyDescent="0.25">
      <c r="C97" s="2" t="s">
        <v>121</v>
      </c>
    </row>
    <row r="98" spans="3:3" x14ac:dyDescent="0.25">
      <c r="C98" s="2" t="s">
        <v>122</v>
      </c>
    </row>
    <row r="99" spans="3:3" x14ac:dyDescent="0.25">
      <c r="C99" s="2" t="s">
        <v>123</v>
      </c>
    </row>
    <row r="100" spans="3:3" x14ac:dyDescent="0.25">
      <c r="C100" s="2" t="s">
        <v>124</v>
      </c>
    </row>
    <row r="101" spans="3:3" x14ac:dyDescent="0.25">
      <c r="C101" s="2" t="s">
        <v>125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1B8-0D88-4514-AC22-8765C9D40E1D}">
  <dimension ref="C3:K17"/>
  <sheetViews>
    <sheetView workbookViewId="0"/>
  </sheetViews>
  <sheetFormatPr defaultRowHeight="15" x14ac:dyDescent="0.25"/>
  <cols>
    <col min="3" max="3" width="48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126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127</v>
      </c>
      <c r="D4" s="46" t="s">
        <v>128</v>
      </c>
      <c r="E4" s="46"/>
      <c r="F4" s="46" t="s">
        <v>129</v>
      </c>
      <c r="G4" s="46"/>
      <c r="H4" s="46" t="s">
        <v>130</v>
      </c>
      <c r="I4" s="46"/>
      <c r="J4" s="47" t="s">
        <v>131</v>
      </c>
      <c r="K4" s="47"/>
    </row>
    <row r="5" spans="3:11" ht="63.75" x14ac:dyDescent="0.25">
      <c r="C5" s="48"/>
      <c r="D5" s="49" t="s">
        <v>132</v>
      </c>
      <c r="E5" s="49" t="s">
        <v>133</v>
      </c>
      <c r="F5" s="49" t="s">
        <v>132</v>
      </c>
      <c r="G5" s="49" t="s">
        <v>133</v>
      </c>
      <c r="H5" s="49" t="s">
        <v>132</v>
      </c>
      <c r="I5" s="49" t="s">
        <v>133</v>
      </c>
      <c r="J5" s="50" t="s">
        <v>132</v>
      </c>
      <c r="K5" s="50" t="s">
        <v>133</v>
      </c>
    </row>
    <row r="6" spans="3:11" x14ac:dyDescent="0.25">
      <c r="C6" s="51" t="s">
        <v>134</v>
      </c>
      <c r="D6" s="52">
        <v>8.5396000000000001</v>
      </c>
      <c r="E6" s="52">
        <v>10861.275476660092</v>
      </c>
      <c r="F6" s="52">
        <v>14.045</v>
      </c>
      <c r="G6" s="52">
        <v>14838.323353293414</v>
      </c>
      <c r="H6" s="52">
        <v>10.9207</v>
      </c>
      <c r="I6" s="52">
        <v>16800</v>
      </c>
      <c r="J6" s="52">
        <v>13.523400000000001</v>
      </c>
      <c r="K6" s="52">
        <v>49560</v>
      </c>
    </row>
    <row r="7" spans="3:11" x14ac:dyDescent="0.25">
      <c r="C7" s="51" t="s">
        <v>135</v>
      </c>
      <c r="D7" s="52">
        <v>7.0919999999999996</v>
      </c>
      <c r="E7" s="52">
        <v>10709.2</v>
      </c>
      <c r="F7" s="52">
        <v>13.5534</v>
      </c>
      <c r="G7" s="52">
        <v>14642.000825584535</v>
      </c>
      <c r="H7" s="52">
        <v>10.1121</v>
      </c>
      <c r="I7" s="52">
        <v>16187.330234456014</v>
      </c>
      <c r="J7" s="52">
        <v>15.2475</v>
      </c>
      <c r="K7" s="52">
        <v>59943.078219888273</v>
      </c>
    </row>
    <row r="8" spans="3:11" x14ac:dyDescent="0.25">
      <c r="C8" s="51" t="s">
        <v>136</v>
      </c>
      <c r="D8" s="52">
        <v>10.0029</v>
      </c>
      <c r="E8" s="52">
        <v>11000.289999999999</v>
      </c>
      <c r="F8" s="52">
        <v>12.159599999999999</v>
      </c>
      <c r="G8" s="52">
        <v>14109.42629911117</v>
      </c>
      <c r="H8" s="52">
        <v>15.5176</v>
      </c>
      <c r="I8" s="52">
        <v>20570.307645490186</v>
      </c>
      <c r="J8" s="52">
        <v>14.7766</v>
      </c>
      <c r="K8" s="52">
        <v>56924.621698036688</v>
      </c>
    </row>
    <row r="9" spans="3:11" x14ac:dyDescent="0.25">
      <c r="C9" s="51" t="s">
        <v>137</v>
      </c>
      <c r="D9" s="53">
        <v>45.63</v>
      </c>
      <c r="E9" s="54"/>
      <c r="F9" s="53">
        <v>33.4</v>
      </c>
      <c r="G9" s="54"/>
      <c r="H9" s="53">
        <v>29.5</v>
      </c>
      <c r="I9" s="54"/>
      <c r="J9" s="53">
        <v>10</v>
      </c>
      <c r="K9" s="54"/>
    </row>
    <row r="11" spans="3:11" ht="15.75" x14ac:dyDescent="0.25">
      <c r="C11" s="43" t="s">
        <v>138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127</v>
      </c>
      <c r="D12" s="46" t="s">
        <v>128</v>
      </c>
      <c r="E12" s="46"/>
      <c r="F12" s="46" t="s">
        <v>129</v>
      </c>
      <c r="G12" s="46"/>
      <c r="H12" s="46" t="s">
        <v>130</v>
      </c>
      <c r="I12" s="46"/>
      <c r="J12" s="47" t="s">
        <v>131</v>
      </c>
      <c r="K12" s="47"/>
    </row>
    <row r="13" spans="3:11" ht="63.75" x14ac:dyDescent="0.25">
      <c r="C13" s="48"/>
      <c r="D13" s="49" t="s">
        <v>132</v>
      </c>
      <c r="E13" s="49" t="s">
        <v>133</v>
      </c>
      <c r="F13" s="49" t="s">
        <v>132</v>
      </c>
      <c r="G13" s="49" t="s">
        <v>133</v>
      </c>
      <c r="H13" s="49" t="s">
        <v>132</v>
      </c>
      <c r="I13" s="49" t="s">
        <v>133</v>
      </c>
      <c r="J13" s="50" t="s">
        <v>132</v>
      </c>
      <c r="K13" s="50" t="s">
        <v>133</v>
      </c>
    </row>
    <row r="14" spans="3:11" x14ac:dyDescent="0.25">
      <c r="C14" s="51" t="s">
        <v>134</v>
      </c>
      <c r="D14" s="52">
        <v>9.3246000000000002</v>
      </c>
      <c r="E14" s="52">
        <v>10940.476190476191</v>
      </c>
      <c r="F14" s="52">
        <v>14.917199999999999</v>
      </c>
      <c r="G14" s="52">
        <v>15181.718061674008</v>
      </c>
      <c r="H14" s="52">
        <v>11.7501</v>
      </c>
      <c r="I14" s="52">
        <v>17438.33017077799</v>
      </c>
      <c r="J14" s="52">
        <v>12.188700000000001</v>
      </c>
      <c r="K14" s="52">
        <v>40395.604395604394</v>
      </c>
    </row>
    <row r="15" spans="3:11" x14ac:dyDescent="0.25">
      <c r="C15" s="51" t="s">
        <v>135</v>
      </c>
      <c r="D15" s="52">
        <v>7.0919999999999996</v>
      </c>
      <c r="E15" s="52">
        <v>10709.2</v>
      </c>
      <c r="F15" s="52">
        <v>13.5534</v>
      </c>
      <c r="G15" s="52">
        <v>14642.000825584535</v>
      </c>
      <c r="H15" s="52">
        <v>10.1121</v>
      </c>
      <c r="I15" s="52">
        <v>16187.330234456014</v>
      </c>
      <c r="J15" s="52">
        <v>12.9117</v>
      </c>
      <c r="K15" s="52">
        <v>42940.525438917561</v>
      </c>
    </row>
    <row r="16" spans="3:11" x14ac:dyDescent="0.25">
      <c r="C16" s="51" t="s">
        <v>136</v>
      </c>
      <c r="D16" s="52">
        <v>10.0029</v>
      </c>
      <c r="E16" s="52">
        <v>11000.289999999999</v>
      </c>
      <c r="F16" s="52">
        <v>12.159599999999999</v>
      </c>
      <c r="G16" s="52">
        <v>14109.42629911117</v>
      </c>
      <c r="H16" s="52">
        <v>15.5176</v>
      </c>
      <c r="I16" s="52">
        <v>20570.307645490186</v>
      </c>
      <c r="J16" s="52">
        <v>13.4582</v>
      </c>
      <c r="K16" s="52">
        <v>45502.019379775949</v>
      </c>
    </row>
    <row r="17" spans="3:11" x14ac:dyDescent="0.25">
      <c r="C17" s="51" t="s">
        <v>139</v>
      </c>
      <c r="D17" s="53">
        <v>50.4</v>
      </c>
      <c r="E17" s="54"/>
      <c r="F17" s="53">
        <v>36.32</v>
      </c>
      <c r="G17" s="54"/>
      <c r="H17" s="53">
        <v>31.62</v>
      </c>
      <c r="I17" s="54"/>
      <c r="J17" s="53">
        <v>13.65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2025-01-06T13:57:43Z</dcterms:created>
  <dcterms:modified xsi:type="dcterms:W3CDTF">2025-01-07T11:33:47Z</dcterms:modified>
</cp:coreProperties>
</file>