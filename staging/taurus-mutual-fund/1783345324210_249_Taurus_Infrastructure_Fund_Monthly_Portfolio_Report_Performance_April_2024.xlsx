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GARG\Desktop\Monthly Portfolio\May 24\"/>
    </mc:Choice>
  </mc:AlternateContent>
  <xr:revisionPtr revIDLastSave="0" documentId="13_ncr:1_{A3F806C6-CDF6-48CD-AC03-FBE2E993207C}" xr6:coauthVersionLast="47" xr6:coauthVersionMax="47" xr10:uidLastSave="{00000000-0000-0000-0000-000000000000}"/>
  <bookViews>
    <workbookView xWindow="-120" yWindow="-120" windowWidth="20730" windowHeight="11160" xr2:uid="{05958329-535B-4955-996B-9822FD19C195}"/>
  </bookViews>
  <sheets>
    <sheet name="TISF" sheetId="1" r:id="rId1"/>
    <sheet name="TISF-Performance" sheetId="2" r:id="rId2"/>
  </sheets>
  <externalReferences>
    <externalReference r:id="rId3"/>
  </externalReferences>
  <definedNames>
    <definedName name="XDO_?CLASS_3?4?">TISF!$C$8:$C$43</definedName>
    <definedName name="XDO_?FINAL_ISIN?7?">TISF!$D$10:$D$43</definedName>
    <definedName name="XDO_?FINAL_ISIN?8?">TISF!$D$10:$D$87</definedName>
    <definedName name="XDO_?FINAL_MV?7?">TISF!$H$10:$H$43</definedName>
    <definedName name="XDO_?FINAL_MV?8?">TISF!$H$10:$H$87</definedName>
    <definedName name="XDO_?FINAL_NAME?7?">TISF!$C$10:$C$43</definedName>
    <definedName name="XDO_?FINAL_NAME?8?">TISF!$C$10:$C$87</definedName>
    <definedName name="XDO_?FINAL_PER_NET?7?">TISF!$I$10:$I$43</definedName>
    <definedName name="XDO_?FINAL_PER_NET?8?">TISF!$I$10:$I$87</definedName>
    <definedName name="XDO_?FINAL_QUANTITE?7?">TISF!$G$10:$G$43</definedName>
    <definedName name="XDO_?FINAL_QUANTITE?8?">TISF!$G$10:$G$87</definedName>
    <definedName name="XDO_?IND_01?7?">TISF!$F$10:$F$43</definedName>
    <definedName name="XDO_?IND_01?8?">TISF!$F$10:$F$87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TISF!#REF!</definedName>
    <definedName name="XDO_?NAMC?5?">[1]TNI!#REF!</definedName>
    <definedName name="XDO_?NAMC?6?">[1]TSS!#REF!</definedName>
    <definedName name="XDO_?NAMC?7?">[1]TTS!#REF!</definedName>
    <definedName name="XDO_?NAMCNAME?4?">TISF!$C$2:$C$43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TISF!#REF!</definedName>
    <definedName name="XDO_?NNPTF?5?">[1]TNI!#REF!</definedName>
    <definedName name="XDO_?NNPTF?6?">[1]TSS!#REF!</definedName>
    <definedName name="XDO_?NNPTF?7?">[1]TTS!#REF!</definedName>
    <definedName name="XDO_?NOVAL?7?">TISF!$B$10:$B$43</definedName>
    <definedName name="XDO_?NOVAL?8?">TISF!$B$10:$B$87</definedName>
    <definedName name="XDO_?NPTF?4?">TISF!$D$2:$D$43</definedName>
    <definedName name="XDO_?RATING?7?">TISF!$E$10:$E$43</definedName>
    <definedName name="XDO_?RATING?8?">TISF!$E$10:$E$87</definedName>
    <definedName name="XDO_?REMARKS?7?">TISF!$J$10:$J$43</definedName>
    <definedName name="XDO_?REMARKS?8?">TISF!$J$10:$J$87</definedName>
    <definedName name="XDO_?TITL?4?">TISF!$A$8:$A$43</definedName>
    <definedName name="XDO_GROUP_?G_2?4?">TISF!$2:$90</definedName>
    <definedName name="XDO_GROUP_?G_3?4?">TISF!$8:$89</definedName>
    <definedName name="XDO_GROUP_?G_4?7?">TISF!$B$10:$IV$43</definedName>
    <definedName name="XDO_GROUP_?G_4?8?">TISF!$B$87:$IV$87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0" i="1" l="1"/>
</calcChain>
</file>

<file path=xl/sharedStrings.xml><?xml version="1.0" encoding="utf-8"?>
<sst xmlns="http://schemas.openxmlformats.org/spreadsheetml/2006/main" count="252" uniqueCount="180">
  <si>
    <t>TAURUS MUTUAL FUND</t>
  </si>
  <si>
    <t>TISF</t>
  </si>
  <si>
    <t>SCHEME NAME :</t>
  </si>
  <si>
    <t>Taurus Infrastructure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</si>
  <si>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</si>
  <si>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</si>
  <si>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</si>
  <si>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</si>
  <si>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</si>
  <si>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</si>
  <si>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</si>
  <si>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</si>
  <si>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</si>
  <si>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</si>
  <si>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</si>
  <si>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100095</t>
  </si>
  <si>
    <t>Bharti Airtel Ltd.</t>
  </si>
  <si>
    <t>INE397D01024</t>
  </si>
  <si>
    <t>Telecom - Services</t>
  </si>
  <si>
    <t>100005</t>
  </si>
  <si>
    <t>Larsen &amp; Toubro Ltd.</t>
  </si>
  <si>
    <t>INE018A01030</t>
  </si>
  <si>
    <t>Construction</t>
  </si>
  <si>
    <t>100002</t>
  </si>
  <si>
    <t>Reliance Industries Ltd.</t>
  </si>
  <si>
    <t>INE002A01018</t>
  </si>
  <si>
    <t>Petroleum Products</t>
  </si>
  <si>
    <t>100281</t>
  </si>
  <si>
    <t>Century Textiles &amp; Industries Ltd.</t>
  </si>
  <si>
    <t>INE055A01016</t>
  </si>
  <si>
    <t>Paper, Forest &amp; Jute Products</t>
  </si>
  <si>
    <t>100035</t>
  </si>
  <si>
    <t>NMDC Ltd.</t>
  </si>
  <si>
    <t>INE584A01023</t>
  </si>
  <si>
    <t>Minerals &amp; Mining</t>
  </si>
  <si>
    <t>100302</t>
  </si>
  <si>
    <t>DLF Ltd.</t>
  </si>
  <si>
    <t>INE271C01023</t>
  </si>
  <si>
    <t>Realty</t>
  </si>
  <si>
    <t>102060</t>
  </si>
  <si>
    <t>Tarc Ltd.</t>
  </si>
  <si>
    <t>INE0EK901012</t>
  </si>
  <si>
    <t>100181</t>
  </si>
  <si>
    <t>NTPC Ltd.</t>
  </si>
  <si>
    <t>INE733E01010</t>
  </si>
  <si>
    <t>Power</t>
  </si>
  <si>
    <t>100006</t>
  </si>
  <si>
    <t>HDFC Bank Ltd.</t>
  </si>
  <si>
    <t>INE040A01034</t>
  </si>
  <si>
    <t>Banks</t>
  </si>
  <si>
    <t>100292</t>
  </si>
  <si>
    <t>Steel Authority of India Ltd.</t>
  </si>
  <si>
    <t>INE114A01011</t>
  </si>
  <si>
    <t>Ferrous Metals</t>
  </si>
  <si>
    <t>100174</t>
  </si>
  <si>
    <t>Vodafone Idea Ltd.</t>
  </si>
  <si>
    <t>INE669E01016</t>
  </si>
  <si>
    <t>101800</t>
  </si>
  <si>
    <t>Hindware Home Innovation Ltd.</t>
  </si>
  <si>
    <t>INE05AN01011</t>
  </si>
  <si>
    <t>Consumer Durables</t>
  </si>
  <si>
    <t>100082</t>
  </si>
  <si>
    <t>Ultratech Cement Ltd.</t>
  </si>
  <si>
    <t>INE481G01011</t>
  </si>
  <si>
    <t>Cement &amp; Cement Products</t>
  </si>
  <si>
    <t>100466</t>
  </si>
  <si>
    <t>Igarashi Motors India Ltd.</t>
  </si>
  <si>
    <t>INE188B01013</t>
  </si>
  <si>
    <t>Auto Components</t>
  </si>
  <si>
    <t>100177</t>
  </si>
  <si>
    <t>Grasim Industries Ltd.</t>
  </si>
  <si>
    <t>INE047A01021</t>
  </si>
  <si>
    <t>100643</t>
  </si>
  <si>
    <t>PSP Projects Ltd.</t>
  </si>
  <si>
    <t>INE488V01015</t>
  </si>
  <si>
    <t>100752</t>
  </si>
  <si>
    <t>Praj Industries Ltd.</t>
  </si>
  <si>
    <t>INE074A01025</t>
  </si>
  <si>
    <t>Industrial Manufacturing</t>
  </si>
  <si>
    <t>100362</t>
  </si>
  <si>
    <t>JSW Energy Ltd.</t>
  </si>
  <si>
    <t>INE121E01018</t>
  </si>
  <si>
    <t>100143</t>
  </si>
  <si>
    <t>Thermax Ltd.</t>
  </si>
  <si>
    <t>INE152A01029</t>
  </si>
  <si>
    <t>Electrical Equipment</t>
  </si>
  <si>
    <t>100232</t>
  </si>
  <si>
    <t>Bharat Bijlee Ltd.</t>
  </si>
  <si>
    <t>INE464A01036</t>
  </si>
  <si>
    <t>100184</t>
  </si>
  <si>
    <t>Tata Steel Ltd.</t>
  </si>
  <si>
    <t>INE081A01020</t>
  </si>
  <si>
    <t>100843</t>
  </si>
  <si>
    <t>Dalmia Bharat Ltd.</t>
  </si>
  <si>
    <t>INE00R701025</t>
  </si>
  <si>
    <t>101949</t>
  </si>
  <si>
    <t>Samhi Hotels Ltd.</t>
  </si>
  <si>
    <t>INE08U801020</t>
  </si>
  <si>
    <t>Leisure Services</t>
  </si>
  <si>
    <t>100441</t>
  </si>
  <si>
    <t>Mahanagar Gas Ltd.</t>
  </si>
  <si>
    <t>INE002S01010</t>
  </si>
  <si>
    <t>Gas</t>
  </si>
  <si>
    <t>100018</t>
  </si>
  <si>
    <t>Tata Communications Ltd.</t>
  </si>
  <si>
    <t>INE151A01013</t>
  </si>
  <si>
    <t>100571</t>
  </si>
  <si>
    <t>KNR Constructions Ltd.</t>
  </si>
  <si>
    <t>INE634I01029</t>
  </si>
  <si>
    <t>100465</t>
  </si>
  <si>
    <t>Interglobe Aviation Ltd.</t>
  </si>
  <si>
    <t>INE646L01027</t>
  </si>
  <si>
    <t>Transport Services</t>
  </si>
  <si>
    <t>100271</t>
  </si>
  <si>
    <t>Balkrishna Industries Ltd.</t>
  </si>
  <si>
    <t>INE787D01026</t>
  </si>
  <si>
    <t>100100</t>
  </si>
  <si>
    <t>Hindustan Petroleum Corporation Ltd.</t>
  </si>
  <si>
    <t>INE094A01015</t>
  </si>
  <si>
    <t>100697</t>
  </si>
  <si>
    <t>Jindal Saw Ltd.</t>
  </si>
  <si>
    <t>INE324A01024</t>
  </si>
  <si>
    <t>Industrial Products</t>
  </si>
  <si>
    <t>100066</t>
  </si>
  <si>
    <t>MOIL Ltd.</t>
  </si>
  <si>
    <t>INE490G01020</t>
  </si>
  <si>
    <t>100219</t>
  </si>
  <si>
    <t>Indraprastha Gas Ltd.</t>
  </si>
  <si>
    <t>INE203G01027</t>
  </si>
  <si>
    <t>100038</t>
  </si>
  <si>
    <t>TV18 Broadcast Ltd.</t>
  </si>
  <si>
    <t>INE886H01027</t>
  </si>
  <si>
    <t>Entertainment</t>
  </si>
  <si>
    <t>5300003</t>
  </si>
  <si>
    <t>IN9047A01011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</si>
  <si>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</si>
  <si>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</si>
  <si>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</si>
  <si>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</si>
  <si>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</si>
  <si>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</si>
  <si>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</si>
  <si>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</si>
  <si>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</si>
  <si>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</si>
  <si>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</si>
  <si>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</si>
  <si>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</si>
  <si>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</si>
  <si>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</si>
  <si>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</si>
  <si>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</si>
  <si>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</si>
  <si>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</si>
  <si>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</si>
  <si>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</si>
  <si>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</si>
  <si>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</si>
  <si>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</si>
  <si>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</si>
  <si>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</si>
  <si>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Warrants, P** Partly Paid shares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</si>
  <si>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</si>
  <si>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</si>
  <si>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P**</t>
  </si>
  <si>
    <t>Taurus Infrastructure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</si>
  <si>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</si>
  <si>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</si>
  <si>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</si>
  <si>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</si>
  <si>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</si>
  <si>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</si>
  <si>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</si>
  <si>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</si>
  <si>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Infrastructure Index TRI (Benchmark)</t>
  </si>
  <si>
    <t>Nifty 50 TRI (Additional Benchmark)</t>
  </si>
  <si>
    <t>NAV [Rs.] Per Unit (as on April 30, 2024 : 64.80)</t>
  </si>
  <si>
    <t>Taurus Infrastructure Fund - Direct Plan Growth Option</t>
  </si>
  <si>
    <t>NAV [Rs.] Per Unit (as on April 30, 2024 : 69.15)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</si>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</sst>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9" formatCode="_(\ #,##0.00_);_(\ \(#,##0.00\);_(\ \-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9" fontId="1" fillId="0" borderId="13" xfId="1" applyNumberFormat="1" applyBorder="1" applyAlignment="1">
      <alignment horizontal="center"/>
    </xf>
    <xf numFmtId="169" fontId="1" fillId="0" borderId="19" xfId="1" applyNumberFormat="1" applyBorder="1" applyAlignment="1">
      <alignment horizontal="center"/>
    </xf>
    <xf numFmtId="169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F5FD1777-4611-4CEC-86DB-18614E4B2279}"/>
    <cellStyle name="Hyperlink" xfId="2" builtinId="8"/>
    <cellStyle name="Normal" xfId="0" builtinId="0"/>
    <cellStyle name="Normal 2" xfId="4" xr:uid="{0BC5E4F5-D26A-4885-80FC-DC299D2BDC23}"/>
    <cellStyle name="Style 1" xfId="3" xr:uid="{A3996329-3053-4023-9F84-03EBA60151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7429500" cy="1924050"/>
    <xdr:pic>
      <xdr:nvPicPr>
        <xdr:cNvPr id="2" name="Picture 1" descr="Infra Prodcut label - 9th Dec 2022.jpg">
          <a:extLst>
            <a:ext uri="{FF2B5EF4-FFF2-40B4-BE49-F238E27FC236}">
              <a16:creationId xmlns:a16="http://schemas.microsoft.com/office/drawing/2014/main" id="{D7C663E7-12CA-4187-8C9E-965372706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7429500" cy="1924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Apr_2024\Client%20Report\TMF_Monthly_Portfolio_Report_April%2024.xls" TargetMode="External"/><Relationship Id="rId1" Type="http://schemas.openxmlformats.org/officeDocument/2006/relationships/externalLinkPath" Target="file:///Q:\5.TMF\Reporting\Monthly%20Reports\Monthly%20Portfolio\2024-25\Apr_2024\Client%20Report\TMF_Monthly_Portfolio_Report_April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D1F90-A745-4BA8-9E97-D27539FDFEFB}">
  <dimension ref="A1:BB96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0.1" customHeight="1" x14ac:dyDescent="0.25">
      <c r="A1" s="1" t="s">
        <v>179</v>
      </c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45412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4900</v>
      </c>
      <c r="H10" s="32">
        <v>64.819999999999993</v>
      </c>
      <c r="I10" s="32">
        <v>7.28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1719</v>
      </c>
      <c r="H11" s="32">
        <v>61.78</v>
      </c>
      <c r="I11" s="32">
        <v>6.94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1857</v>
      </c>
      <c r="H12" s="32">
        <v>54.43</v>
      </c>
      <c r="I12" s="32">
        <v>6.12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2431</v>
      </c>
      <c r="H13" s="32">
        <v>48.49</v>
      </c>
      <c r="I13" s="32">
        <v>5.45</v>
      </c>
      <c r="J13" s="33"/>
    </row>
    <row r="14" spans="1:54" x14ac:dyDescent="0.25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16500</v>
      </c>
      <c r="H14" s="32">
        <v>41.96</v>
      </c>
      <c r="I14" s="32">
        <v>4.72</v>
      </c>
      <c r="J14" s="33"/>
    </row>
    <row r="15" spans="1:54" x14ac:dyDescent="0.25">
      <c r="B15" s="1" t="s">
        <v>35</v>
      </c>
      <c r="C15" s="20" t="s">
        <v>36</v>
      </c>
      <c r="D15" s="29" t="s">
        <v>37</v>
      </c>
      <c r="E15" s="30"/>
      <c r="F15" s="30" t="s">
        <v>38</v>
      </c>
      <c r="G15" s="31">
        <v>4454</v>
      </c>
      <c r="H15" s="32">
        <v>39.729999999999997</v>
      </c>
      <c r="I15" s="32">
        <v>4.46</v>
      </c>
      <c r="J15" s="33"/>
    </row>
    <row r="16" spans="1:54" x14ac:dyDescent="0.25">
      <c r="B16" s="1" t="s">
        <v>39</v>
      </c>
      <c r="C16" s="20" t="s">
        <v>40</v>
      </c>
      <c r="D16" s="29" t="s">
        <v>41</v>
      </c>
      <c r="E16" s="30"/>
      <c r="F16" s="30" t="s">
        <v>38</v>
      </c>
      <c r="G16" s="31">
        <v>24790</v>
      </c>
      <c r="H16" s="32">
        <v>38.369999999999997</v>
      </c>
      <c r="I16" s="32">
        <v>4.3099999999999996</v>
      </c>
      <c r="J16" s="33"/>
    </row>
    <row r="17" spans="2:10" x14ac:dyDescent="0.25">
      <c r="B17" s="1" t="s">
        <v>42</v>
      </c>
      <c r="C17" s="20" t="s">
        <v>43</v>
      </c>
      <c r="D17" s="29" t="s">
        <v>44</v>
      </c>
      <c r="E17" s="30"/>
      <c r="F17" s="30" t="s">
        <v>45</v>
      </c>
      <c r="G17" s="31">
        <v>9787</v>
      </c>
      <c r="H17" s="32">
        <v>35.54</v>
      </c>
      <c r="I17" s="32">
        <v>3.99</v>
      </c>
      <c r="J17" s="33"/>
    </row>
    <row r="18" spans="2:10" x14ac:dyDescent="0.25">
      <c r="B18" s="1" t="s">
        <v>46</v>
      </c>
      <c r="C18" s="20" t="s">
        <v>47</v>
      </c>
      <c r="D18" s="29" t="s">
        <v>48</v>
      </c>
      <c r="E18" s="30"/>
      <c r="F18" s="30" t="s">
        <v>49</v>
      </c>
      <c r="G18" s="31">
        <v>2225</v>
      </c>
      <c r="H18" s="32">
        <v>33.75</v>
      </c>
      <c r="I18" s="32">
        <v>3.79</v>
      </c>
      <c r="J18" s="33"/>
    </row>
    <row r="19" spans="2:10" x14ac:dyDescent="0.25">
      <c r="B19" s="1" t="s">
        <v>50</v>
      </c>
      <c r="C19" s="20" t="s">
        <v>51</v>
      </c>
      <c r="D19" s="29" t="s">
        <v>52</v>
      </c>
      <c r="E19" s="30"/>
      <c r="F19" s="30" t="s">
        <v>53</v>
      </c>
      <c r="G19" s="31">
        <v>20533</v>
      </c>
      <c r="H19" s="32">
        <v>33.729999999999997</v>
      </c>
      <c r="I19" s="32">
        <v>3.79</v>
      </c>
      <c r="J19" s="33"/>
    </row>
    <row r="20" spans="2:10" x14ac:dyDescent="0.25">
      <c r="B20" s="1" t="s">
        <v>54</v>
      </c>
      <c r="C20" s="20" t="s">
        <v>55</v>
      </c>
      <c r="D20" s="29" t="s">
        <v>56</v>
      </c>
      <c r="E20" s="30"/>
      <c r="F20" s="30" t="s">
        <v>18</v>
      </c>
      <c r="G20" s="31">
        <v>221121</v>
      </c>
      <c r="H20" s="32">
        <v>29.19</v>
      </c>
      <c r="I20" s="32">
        <v>3.28</v>
      </c>
      <c r="J20" s="33"/>
    </row>
    <row r="21" spans="2:10" x14ac:dyDescent="0.25">
      <c r="B21" s="1" t="s">
        <v>57</v>
      </c>
      <c r="C21" s="20" t="s">
        <v>58</v>
      </c>
      <c r="D21" s="29" t="s">
        <v>59</v>
      </c>
      <c r="E21" s="30"/>
      <c r="F21" s="30" t="s">
        <v>60</v>
      </c>
      <c r="G21" s="31">
        <v>7964</v>
      </c>
      <c r="H21" s="32">
        <v>28.94</v>
      </c>
      <c r="I21" s="32">
        <v>3.25</v>
      </c>
      <c r="J21" s="33"/>
    </row>
    <row r="22" spans="2:10" x14ac:dyDescent="0.25">
      <c r="B22" s="1" t="s">
        <v>61</v>
      </c>
      <c r="C22" s="20" t="s">
        <v>62</v>
      </c>
      <c r="D22" s="29" t="s">
        <v>63</v>
      </c>
      <c r="E22" s="30"/>
      <c r="F22" s="30" t="s">
        <v>64</v>
      </c>
      <c r="G22" s="31">
        <v>280</v>
      </c>
      <c r="H22" s="32">
        <v>27.91</v>
      </c>
      <c r="I22" s="32">
        <v>3.14</v>
      </c>
      <c r="J22" s="33"/>
    </row>
    <row r="23" spans="2:10" x14ac:dyDescent="0.25">
      <c r="B23" s="1" t="s">
        <v>65</v>
      </c>
      <c r="C23" s="20" t="s">
        <v>66</v>
      </c>
      <c r="D23" s="29" t="s">
        <v>67</v>
      </c>
      <c r="E23" s="30"/>
      <c r="F23" s="30" t="s">
        <v>68</v>
      </c>
      <c r="G23" s="31">
        <v>4630</v>
      </c>
      <c r="H23" s="32">
        <v>25.14</v>
      </c>
      <c r="I23" s="32">
        <v>2.83</v>
      </c>
      <c r="J23" s="33"/>
    </row>
    <row r="24" spans="2:10" x14ac:dyDescent="0.25">
      <c r="B24" s="1" t="s">
        <v>69</v>
      </c>
      <c r="C24" s="20" t="s">
        <v>70</v>
      </c>
      <c r="D24" s="29" t="s">
        <v>71</v>
      </c>
      <c r="E24" s="30"/>
      <c r="F24" s="30" t="s">
        <v>64</v>
      </c>
      <c r="G24" s="31">
        <v>1015</v>
      </c>
      <c r="H24" s="32">
        <v>24.47</v>
      </c>
      <c r="I24" s="32">
        <v>2.75</v>
      </c>
      <c r="J24" s="33"/>
    </row>
    <row r="25" spans="2:10" x14ac:dyDescent="0.25">
      <c r="B25" s="1" t="s">
        <v>72</v>
      </c>
      <c r="C25" s="20" t="s">
        <v>73</v>
      </c>
      <c r="D25" s="29" t="s">
        <v>74</v>
      </c>
      <c r="E25" s="30"/>
      <c r="F25" s="30" t="s">
        <v>22</v>
      </c>
      <c r="G25" s="31">
        <v>3478</v>
      </c>
      <c r="H25" s="32">
        <v>23.48</v>
      </c>
      <c r="I25" s="32">
        <v>2.64</v>
      </c>
      <c r="J25" s="33"/>
    </row>
    <row r="26" spans="2:10" x14ac:dyDescent="0.25">
      <c r="B26" s="1" t="s">
        <v>75</v>
      </c>
      <c r="C26" s="20" t="s">
        <v>76</v>
      </c>
      <c r="D26" s="29" t="s">
        <v>77</v>
      </c>
      <c r="E26" s="30"/>
      <c r="F26" s="30" t="s">
        <v>78</v>
      </c>
      <c r="G26" s="31">
        <v>3854</v>
      </c>
      <c r="H26" s="32">
        <v>21.07</v>
      </c>
      <c r="I26" s="32">
        <v>2.37</v>
      </c>
      <c r="J26" s="33"/>
    </row>
    <row r="27" spans="2:10" x14ac:dyDescent="0.25">
      <c r="B27" s="1" t="s">
        <v>79</v>
      </c>
      <c r="C27" s="20" t="s">
        <v>80</v>
      </c>
      <c r="D27" s="29" t="s">
        <v>81</v>
      </c>
      <c r="E27" s="30"/>
      <c r="F27" s="30" t="s">
        <v>45</v>
      </c>
      <c r="G27" s="31">
        <v>3031</v>
      </c>
      <c r="H27" s="32">
        <v>19.09</v>
      </c>
      <c r="I27" s="32">
        <v>2.14</v>
      </c>
      <c r="J27" s="33"/>
    </row>
    <row r="28" spans="2:10" x14ac:dyDescent="0.25">
      <c r="B28" s="1" t="s">
        <v>82</v>
      </c>
      <c r="C28" s="20" t="s">
        <v>83</v>
      </c>
      <c r="D28" s="29" t="s">
        <v>84</v>
      </c>
      <c r="E28" s="30"/>
      <c r="F28" s="30" t="s">
        <v>85</v>
      </c>
      <c r="G28" s="31">
        <v>367</v>
      </c>
      <c r="H28" s="32">
        <v>17.14</v>
      </c>
      <c r="I28" s="32">
        <v>1.93</v>
      </c>
      <c r="J28" s="33"/>
    </row>
    <row r="29" spans="2:10" x14ac:dyDescent="0.25">
      <c r="B29" s="1" t="s">
        <v>86</v>
      </c>
      <c r="C29" s="20" t="s">
        <v>87</v>
      </c>
      <c r="D29" s="29" t="s">
        <v>88</v>
      </c>
      <c r="E29" s="30"/>
      <c r="F29" s="30" t="s">
        <v>85</v>
      </c>
      <c r="G29" s="31">
        <v>508</v>
      </c>
      <c r="H29" s="32">
        <v>16.52</v>
      </c>
      <c r="I29" s="32">
        <v>1.86</v>
      </c>
      <c r="J29" s="33"/>
    </row>
    <row r="30" spans="2:10" x14ac:dyDescent="0.25">
      <c r="B30" s="1" t="s">
        <v>89</v>
      </c>
      <c r="C30" s="20" t="s">
        <v>90</v>
      </c>
      <c r="D30" s="29" t="s">
        <v>91</v>
      </c>
      <c r="E30" s="30"/>
      <c r="F30" s="30" t="s">
        <v>53</v>
      </c>
      <c r="G30" s="31">
        <v>9293</v>
      </c>
      <c r="H30" s="32">
        <v>15.33</v>
      </c>
      <c r="I30" s="32">
        <v>1.72</v>
      </c>
      <c r="J30" s="33"/>
    </row>
    <row r="31" spans="2:10" x14ac:dyDescent="0.25">
      <c r="B31" s="1" t="s">
        <v>92</v>
      </c>
      <c r="C31" s="20" t="s">
        <v>93</v>
      </c>
      <c r="D31" s="29" t="s">
        <v>94</v>
      </c>
      <c r="E31" s="30"/>
      <c r="F31" s="30" t="s">
        <v>64</v>
      </c>
      <c r="G31" s="31">
        <v>820</v>
      </c>
      <c r="H31" s="32">
        <v>15.05</v>
      </c>
      <c r="I31" s="32">
        <v>1.69</v>
      </c>
      <c r="J31" s="33"/>
    </row>
    <row r="32" spans="2:10" x14ac:dyDescent="0.25">
      <c r="B32" s="1" t="s">
        <v>95</v>
      </c>
      <c r="C32" s="20" t="s">
        <v>96</v>
      </c>
      <c r="D32" s="29" t="s">
        <v>97</v>
      </c>
      <c r="E32" s="30"/>
      <c r="F32" s="30" t="s">
        <v>98</v>
      </c>
      <c r="G32" s="31">
        <v>6895</v>
      </c>
      <c r="H32" s="32">
        <v>13.45</v>
      </c>
      <c r="I32" s="32">
        <v>1.51</v>
      </c>
      <c r="J32" s="33"/>
    </row>
    <row r="33" spans="2:10" x14ac:dyDescent="0.25">
      <c r="B33" s="1" t="s">
        <v>99</v>
      </c>
      <c r="C33" s="20" t="s">
        <v>100</v>
      </c>
      <c r="D33" s="29" t="s">
        <v>101</v>
      </c>
      <c r="E33" s="30"/>
      <c r="F33" s="30" t="s">
        <v>102</v>
      </c>
      <c r="G33" s="31">
        <v>893</v>
      </c>
      <c r="H33" s="32">
        <v>12.88</v>
      </c>
      <c r="I33" s="32">
        <v>1.45</v>
      </c>
      <c r="J33" s="33"/>
    </row>
    <row r="34" spans="2:10" x14ac:dyDescent="0.25">
      <c r="B34" s="1" t="s">
        <v>103</v>
      </c>
      <c r="C34" s="20" t="s">
        <v>104</v>
      </c>
      <c r="D34" s="29" t="s">
        <v>105</v>
      </c>
      <c r="E34" s="30"/>
      <c r="F34" s="30" t="s">
        <v>18</v>
      </c>
      <c r="G34" s="31">
        <v>725</v>
      </c>
      <c r="H34" s="32">
        <v>12.54</v>
      </c>
      <c r="I34" s="32">
        <v>1.41</v>
      </c>
      <c r="J34" s="33"/>
    </row>
    <row r="35" spans="2:10" x14ac:dyDescent="0.25">
      <c r="B35" s="1" t="s">
        <v>106</v>
      </c>
      <c r="C35" s="20" t="s">
        <v>107</v>
      </c>
      <c r="D35" s="29" t="s">
        <v>108</v>
      </c>
      <c r="E35" s="30"/>
      <c r="F35" s="30" t="s">
        <v>22</v>
      </c>
      <c r="G35" s="31">
        <v>4603</v>
      </c>
      <c r="H35" s="32">
        <v>12.23</v>
      </c>
      <c r="I35" s="32">
        <v>1.37</v>
      </c>
      <c r="J35" s="33"/>
    </row>
    <row r="36" spans="2:10" x14ac:dyDescent="0.25">
      <c r="B36" s="1" t="s">
        <v>109</v>
      </c>
      <c r="C36" s="20" t="s">
        <v>110</v>
      </c>
      <c r="D36" s="29" t="s">
        <v>111</v>
      </c>
      <c r="E36" s="30"/>
      <c r="F36" s="30" t="s">
        <v>112</v>
      </c>
      <c r="G36" s="31">
        <v>248</v>
      </c>
      <c r="H36" s="32">
        <v>9.8699999999999992</v>
      </c>
      <c r="I36" s="32">
        <v>1.1100000000000001</v>
      </c>
      <c r="J36" s="33"/>
    </row>
    <row r="37" spans="2:10" x14ac:dyDescent="0.25">
      <c r="B37" s="1" t="s">
        <v>113</v>
      </c>
      <c r="C37" s="20" t="s">
        <v>114</v>
      </c>
      <c r="D37" s="29" t="s">
        <v>115</v>
      </c>
      <c r="E37" s="30"/>
      <c r="F37" s="30" t="s">
        <v>68</v>
      </c>
      <c r="G37" s="31">
        <v>348</v>
      </c>
      <c r="H37" s="32">
        <v>8.4499999999999993</v>
      </c>
      <c r="I37" s="32">
        <v>0.95</v>
      </c>
      <c r="J37" s="33"/>
    </row>
    <row r="38" spans="2:10" x14ac:dyDescent="0.25">
      <c r="B38" s="1" t="s">
        <v>116</v>
      </c>
      <c r="C38" s="20" t="s">
        <v>117</v>
      </c>
      <c r="D38" s="29" t="s">
        <v>118</v>
      </c>
      <c r="E38" s="30"/>
      <c r="F38" s="30" t="s">
        <v>26</v>
      </c>
      <c r="G38" s="31">
        <v>1660</v>
      </c>
      <c r="H38" s="32">
        <v>8.2200000000000006</v>
      </c>
      <c r="I38" s="32">
        <v>0.92</v>
      </c>
      <c r="J38" s="33"/>
    </row>
    <row r="39" spans="2:10" x14ac:dyDescent="0.25">
      <c r="B39" s="1" t="s">
        <v>119</v>
      </c>
      <c r="C39" s="20" t="s">
        <v>120</v>
      </c>
      <c r="D39" s="29" t="s">
        <v>121</v>
      </c>
      <c r="E39" s="30"/>
      <c r="F39" s="30" t="s">
        <v>122</v>
      </c>
      <c r="G39" s="31">
        <v>1454</v>
      </c>
      <c r="H39" s="32">
        <v>8.07</v>
      </c>
      <c r="I39" s="32">
        <v>0.91</v>
      </c>
      <c r="J39" s="33"/>
    </row>
    <row r="40" spans="2:10" x14ac:dyDescent="0.25">
      <c r="B40" s="1" t="s">
        <v>123</v>
      </c>
      <c r="C40" s="20" t="s">
        <v>124</v>
      </c>
      <c r="D40" s="29" t="s">
        <v>125</v>
      </c>
      <c r="E40" s="30"/>
      <c r="F40" s="30" t="s">
        <v>34</v>
      </c>
      <c r="G40" s="31">
        <v>1840</v>
      </c>
      <c r="H40" s="32">
        <v>7.48</v>
      </c>
      <c r="I40" s="32">
        <v>0.84</v>
      </c>
      <c r="J40" s="33"/>
    </row>
    <row r="41" spans="2:10" x14ac:dyDescent="0.25">
      <c r="B41" s="1" t="s">
        <v>126</v>
      </c>
      <c r="C41" s="20" t="s">
        <v>127</v>
      </c>
      <c r="D41" s="29" t="s">
        <v>128</v>
      </c>
      <c r="E41" s="30"/>
      <c r="F41" s="30" t="s">
        <v>102</v>
      </c>
      <c r="G41" s="31">
        <v>1495</v>
      </c>
      <c r="H41" s="32">
        <v>7.02</v>
      </c>
      <c r="I41" s="32">
        <v>0.79</v>
      </c>
      <c r="J41" s="33"/>
    </row>
    <row r="42" spans="2:10" x14ac:dyDescent="0.25">
      <c r="B42" s="1" t="s">
        <v>129</v>
      </c>
      <c r="C42" s="20" t="s">
        <v>130</v>
      </c>
      <c r="D42" s="29" t="s">
        <v>131</v>
      </c>
      <c r="E42" s="30"/>
      <c r="F42" s="30" t="s">
        <v>132</v>
      </c>
      <c r="G42" s="31">
        <v>14630</v>
      </c>
      <c r="H42" s="32">
        <v>6.75</v>
      </c>
      <c r="I42" s="32">
        <v>0.76</v>
      </c>
      <c r="J42" s="33"/>
    </row>
    <row r="43" spans="2:10" x14ac:dyDescent="0.25">
      <c r="B43" s="1" t="s">
        <v>133</v>
      </c>
      <c r="C43" s="20" t="s">
        <v>70</v>
      </c>
      <c r="D43" s="29" t="s">
        <v>134</v>
      </c>
      <c r="E43" s="30"/>
      <c r="F43" s="30" t="s">
        <v>64</v>
      </c>
      <c r="G43" s="31">
        <v>34</v>
      </c>
      <c r="H43" s="32">
        <v>0.39</v>
      </c>
      <c r="I43" s="32">
        <v>0.04</v>
      </c>
      <c r="J43" s="33" t="s">
        <v>164</v>
      </c>
    </row>
    <row r="44" spans="2:10" x14ac:dyDescent="0.25">
      <c r="C44" s="28" t="s">
        <v>135</v>
      </c>
      <c r="D44" s="29"/>
      <c r="E44" s="30"/>
      <c r="F44" s="30"/>
      <c r="G44" s="31"/>
      <c r="H44" s="35">
        <v>823.28</v>
      </c>
      <c r="I44" s="35">
        <v>92.51</v>
      </c>
      <c r="J44" s="33"/>
    </row>
    <row r="45" spans="2:10" x14ac:dyDescent="0.25">
      <c r="C45" s="20"/>
      <c r="D45" s="29"/>
      <c r="E45" s="30"/>
      <c r="F45" s="30"/>
      <c r="G45" s="31"/>
      <c r="H45" s="32"/>
      <c r="I45" s="32"/>
      <c r="J45" s="33"/>
    </row>
    <row r="46" spans="2:10" x14ac:dyDescent="0.25">
      <c r="C46" s="28" t="s">
        <v>136</v>
      </c>
      <c r="D46" s="29"/>
      <c r="E46" s="30"/>
      <c r="F46" s="30"/>
      <c r="G46" s="31"/>
      <c r="H46" s="32" t="s">
        <v>137</v>
      </c>
      <c r="I46" s="32" t="s">
        <v>137</v>
      </c>
      <c r="J46" s="33"/>
    </row>
    <row r="47" spans="2:10" x14ac:dyDescent="0.25">
      <c r="C47" s="20"/>
      <c r="D47" s="29"/>
      <c r="E47" s="30"/>
      <c r="F47" s="30"/>
      <c r="G47" s="31"/>
      <c r="H47" s="32"/>
      <c r="I47" s="32"/>
      <c r="J47" s="33"/>
    </row>
    <row r="48" spans="2:10" x14ac:dyDescent="0.25">
      <c r="C48" s="28" t="s">
        <v>138</v>
      </c>
      <c r="D48" s="29"/>
      <c r="E48" s="30"/>
      <c r="F48" s="30"/>
      <c r="G48" s="31"/>
      <c r="H48" s="32" t="s">
        <v>137</v>
      </c>
      <c r="I48" s="32" t="s">
        <v>137</v>
      </c>
      <c r="J48" s="33"/>
    </row>
    <row r="49" spans="3:10" x14ac:dyDescent="0.25">
      <c r="C49" s="20"/>
      <c r="D49" s="29"/>
      <c r="E49" s="30"/>
      <c r="F49" s="30"/>
      <c r="G49" s="31"/>
      <c r="H49" s="32"/>
      <c r="I49" s="32"/>
      <c r="J49" s="33"/>
    </row>
    <row r="50" spans="3:10" x14ac:dyDescent="0.25">
      <c r="C50" s="28" t="s">
        <v>139</v>
      </c>
      <c r="D50" s="29"/>
      <c r="E50" s="30"/>
      <c r="F50" s="30"/>
      <c r="G50" s="31"/>
      <c r="H50" s="32"/>
      <c r="I50" s="32"/>
      <c r="J50" s="33"/>
    </row>
    <row r="51" spans="3:10" x14ac:dyDescent="0.25">
      <c r="C51" s="20"/>
      <c r="D51" s="29"/>
      <c r="E51" s="30"/>
      <c r="F51" s="30"/>
      <c r="G51" s="31"/>
      <c r="H51" s="32"/>
      <c r="I51" s="32"/>
      <c r="J51" s="33"/>
    </row>
    <row r="52" spans="3:10" x14ac:dyDescent="0.25">
      <c r="C52" s="28" t="s">
        <v>140</v>
      </c>
      <c r="D52" s="29"/>
      <c r="E52" s="30"/>
      <c r="F52" s="30"/>
      <c r="G52" s="31"/>
      <c r="H52" s="32" t="s">
        <v>137</v>
      </c>
      <c r="I52" s="32" t="s">
        <v>137</v>
      </c>
      <c r="J52" s="33"/>
    </row>
    <row r="53" spans="3:10" x14ac:dyDescent="0.25">
      <c r="C53" s="20"/>
      <c r="D53" s="29"/>
      <c r="E53" s="30"/>
      <c r="F53" s="30"/>
      <c r="G53" s="31"/>
      <c r="H53" s="32"/>
      <c r="I53" s="32"/>
      <c r="J53" s="33"/>
    </row>
    <row r="54" spans="3:10" x14ac:dyDescent="0.25">
      <c r="C54" s="28" t="s">
        <v>141</v>
      </c>
      <c r="D54" s="29"/>
      <c r="E54" s="30"/>
      <c r="F54" s="30"/>
      <c r="G54" s="31"/>
      <c r="H54" s="32" t="s">
        <v>137</v>
      </c>
      <c r="I54" s="32" t="s">
        <v>137</v>
      </c>
      <c r="J54" s="33"/>
    </row>
    <row r="55" spans="3:10" x14ac:dyDescent="0.25">
      <c r="C55" s="20"/>
      <c r="D55" s="29"/>
      <c r="E55" s="30"/>
      <c r="F55" s="30"/>
      <c r="G55" s="31"/>
      <c r="H55" s="32"/>
      <c r="I55" s="32"/>
      <c r="J55" s="33"/>
    </row>
    <row r="56" spans="3:10" x14ac:dyDescent="0.25">
      <c r="C56" s="28" t="s">
        <v>142</v>
      </c>
      <c r="D56" s="29"/>
      <c r="E56" s="30"/>
      <c r="F56" s="30"/>
      <c r="G56" s="31"/>
      <c r="H56" s="32" t="s">
        <v>137</v>
      </c>
      <c r="I56" s="32" t="s">
        <v>137</v>
      </c>
      <c r="J56" s="33"/>
    </row>
    <row r="57" spans="3:10" x14ac:dyDescent="0.25">
      <c r="C57" s="20"/>
      <c r="D57" s="29"/>
      <c r="E57" s="30"/>
      <c r="F57" s="30"/>
      <c r="G57" s="31"/>
      <c r="H57" s="32"/>
      <c r="I57" s="32"/>
      <c r="J57" s="33"/>
    </row>
    <row r="58" spans="3:10" x14ac:dyDescent="0.25">
      <c r="C58" s="28" t="s">
        <v>143</v>
      </c>
      <c r="D58" s="29"/>
      <c r="E58" s="30"/>
      <c r="F58" s="30"/>
      <c r="G58" s="31"/>
      <c r="H58" s="32" t="s">
        <v>137</v>
      </c>
      <c r="I58" s="32" t="s">
        <v>137</v>
      </c>
      <c r="J58" s="33"/>
    </row>
    <row r="59" spans="3:10" x14ac:dyDescent="0.25">
      <c r="C59" s="20"/>
      <c r="D59" s="29"/>
      <c r="E59" s="30"/>
      <c r="F59" s="30"/>
      <c r="G59" s="31"/>
      <c r="H59" s="32"/>
      <c r="I59" s="32"/>
      <c r="J59" s="33"/>
    </row>
    <row r="60" spans="3:10" x14ac:dyDescent="0.25">
      <c r="C60" s="28" t="s">
        <v>144</v>
      </c>
      <c r="D60" s="29"/>
      <c r="E60" s="30"/>
      <c r="F60" s="30"/>
      <c r="G60" s="31"/>
      <c r="H60" s="32" t="s">
        <v>137</v>
      </c>
      <c r="I60" s="32" t="s">
        <v>137</v>
      </c>
      <c r="J60" s="33"/>
    </row>
    <row r="61" spans="3:10" x14ac:dyDescent="0.25">
      <c r="C61" s="20"/>
      <c r="D61" s="29"/>
      <c r="E61" s="30"/>
      <c r="F61" s="30"/>
      <c r="G61" s="31"/>
      <c r="H61" s="32"/>
      <c r="I61" s="32"/>
      <c r="J61" s="33"/>
    </row>
    <row r="62" spans="3:10" x14ac:dyDescent="0.25">
      <c r="C62" s="28" t="s">
        <v>145</v>
      </c>
      <c r="D62" s="29"/>
      <c r="E62" s="30"/>
      <c r="F62" s="30"/>
      <c r="G62" s="31"/>
      <c r="H62" s="32"/>
      <c r="I62" s="32"/>
      <c r="J62" s="33"/>
    </row>
    <row r="63" spans="3:10" x14ac:dyDescent="0.25">
      <c r="C63" s="20"/>
      <c r="D63" s="29"/>
      <c r="E63" s="30"/>
      <c r="F63" s="30"/>
      <c r="G63" s="31"/>
      <c r="H63" s="32"/>
      <c r="I63" s="32"/>
      <c r="J63" s="33"/>
    </row>
    <row r="64" spans="3:10" x14ac:dyDescent="0.25">
      <c r="C64" s="28" t="s">
        <v>146</v>
      </c>
      <c r="D64" s="29"/>
      <c r="E64" s="30"/>
      <c r="F64" s="30"/>
      <c r="G64" s="31"/>
      <c r="H64" s="32" t="s">
        <v>137</v>
      </c>
      <c r="I64" s="32" t="s">
        <v>137</v>
      </c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147</v>
      </c>
      <c r="D66" s="29"/>
      <c r="E66" s="30"/>
      <c r="F66" s="30"/>
      <c r="G66" s="31"/>
      <c r="H66" s="32" t="s">
        <v>137</v>
      </c>
      <c r="I66" s="32" t="s">
        <v>137</v>
      </c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148</v>
      </c>
      <c r="D68" s="29"/>
      <c r="E68" s="30"/>
      <c r="F68" s="30"/>
      <c r="G68" s="31"/>
      <c r="H68" s="32" t="s">
        <v>137</v>
      </c>
      <c r="I68" s="32" t="s">
        <v>137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149</v>
      </c>
      <c r="D70" s="29"/>
      <c r="E70" s="30"/>
      <c r="F70" s="30"/>
      <c r="G70" s="31"/>
      <c r="H70" s="32" t="s">
        <v>137</v>
      </c>
      <c r="I70" s="32" t="s">
        <v>137</v>
      </c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150</v>
      </c>
      <c r="D72" s="29"/>
      <c r="E72" s="30"/>
      <c r="F72" s="30"/>
      <c r="G72" s="31"/>
      <c r="H72" s="32"/>
      <c r="I72" s="32"/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151</v>
      </c>
      <c r="D74" s="29"/>
      <c r="E74" s="30"/>
      <c r="F74" s="30"/>
      <c r="G74" s="31"/>
      <c r="H74" s="32" t="s">
        <v>137</v>
      </c>
      <c r="I74" s="32" t="s">
        <v>137</v>
      </c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152</v>
      </c>
      <c r="D76" s="29"/>
      <c r="E76" s="30"/>
      <c r="F76" s="30"/>
      <c r="G76" s="31"/>
      <c r="H76" s="32" t="s">
        <v>137</v>
      </c>
      <c r="I76" s="32" t="s">
        <v>137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153</v>
      </c>
      <c r="D78" s="29"/>
      <c r="E78" s="30"/>
      <c r="F78" s="30"/>
      <c r="G78" s="31"/>
      <c r="H78" s="32" t="s">
        <v>137</v>
      </c>
      <c r="I78" s="32" t="s">
        <v>137</v>
      </c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154</v>
      </c>
      <c r="D80" s="29"/>
      <c r="E80" s="30"/>
      <c r="F80" s="30"/>
      <c r="G80" s="31"/>
      <c r="H80" s="32" t="s">
        <v>137</v>
      </c>
      <c r="I80" s="32" t="s">
        <v>137</v>
      </c>
      <c r="J80" s="33"/>
    </row>
    <row r="81" spans="1:10" x14ac:dyDescent="0.25">
      <c r="C81" s="20"/>
      <c r="D81" s="29"/>
      <c r="E81" s="30"/>
      <c r="F81" s="30"/>
      <c r="G81" s="31"/>
      <c r="H81" s="32"/>
      <c r="I81" s="32"/>
      <c r="J81" s="33"/>
    </row>
    <row r="82" spans="1:10" x14ac:dyDescent="0.25">
      <c r="C82" s="28" t="s">
        <v>155</v>
      </c>
      <c r="D82" s="29"/>
      <c r="E82" s="30"/>
      <c r="F82" s="30"/>
      <c r="G82" s="31"/>
      <c r="H82" s="32" t="s">
        <v>137</v>
      </c>
      <c r="I82" s="32" t="s">
        <v>137</v>
      </c>
      <c r="J82" s="33"/>
    </row>
    <row r="83" spans="1:10" x14ac:dyDescent="0.25">
      <c r="C83" s="20"/>
      <c r="D83" s="29"/>
      <c r="E83" s="30"/>
      <c r="F83" s="30"/>
      <c r="G83" s="31"/>
      <c r="H83" s="32"/>
      <c r="I83" s="32"/>
      <c r="J83" s="33"/>
    </row>
    <row r="84" spans="1:10" x14ac:dyDescent="0.25">
      <c r="C84" s="28" t="s">
        <v>156</v>
      </c>
      <c r="D84" s="29"/>
      <c r="E84" s="30"/>
      <c r="F84" s="30"/>
      <c r="G84" s="31"/>
      <c r="H84" s="32" t="s">
        <v>137</v>
      </c>
      <c r="I84" s="32" t="s">
        <v>137</v>
      </c>
      <c r="J84" s="33"/>
    </row>
    <row r="85" spans="1:10" x14ac:dyDescent="0.25">
      <c r="C85" s="20"/>
      <c r="D85" s="29"/>
      <c r="E85" s="30"/>
      <c r="F85" s="30"/>
      <c r="G85" s="31"/>
      <c r="H85" s="32"/>
      <c r="I85" s="32"/>
      <c r="J85" s="33"/>
    </row>
    <row r="86" spans="1:10" x14ac:dyDescent="0.25">
      <c r="A86" s="26"/>
      <c r="B86" s="27"/>
      <c r="C86" s="28" t="s">
        <v>157</v>
      </c>
      <c r="D86" s="29"/>
      <c r="E86" s="30"/>
      <c r="F86" s="30"/>
      <c r="G86" s="31"/>
      <c r="H86" s="32"/>
      <c r="I86" s="32"/>
      <c r="J86" s="33"/>
    </row>
    <row r="87" spans="1:10" x14ac:dyDescent="0.25">
      <c r="B87" s="1"/>
      <c r="C87" s="20" t="s">
        <v>158</v>
      </c>
      <c r="D87" s="29"/>
      <c r="E87" s="30"/>
      <c r="F87" s="30"/>
      <c r="G87" s="31"/>
      <c r="H87" s="32">
        <v>66.599999999999994</v>
      </c>
      <c r="I87" s="32">
        <v>7.49</v>
      </c>
      <c r="J87" s="33"/>
    </row>
    <row r="88" spans="1:10" x14ac:dyDescent="0.25">
      <c r="C88" s="28" t="s">
        <v>135</v>
      </c>
      <c r="D88" s="29"/>
      <c r="E88" s="30"/>
      <c r="F88" s="30"/>
      <c r="G88" s="31"/>
      <c r="H88" s="35">
        <v>66.599999999999994</v>
      </c>
      <c r="I88" s="35">
        <v>7.49</v>
      </c>
      <c r="J88" s="33"/>
    </row>
    <row r="89" spans="1:10" x14ac:dyDescent="0.25">
      <c r="C89" s="20"/>
      <c r="D89" s="29"/>
      <c r="E89" s="30"/>
      <c r="F89" s="30"/>
      <c r="G89" s="31"/>
      <c r="H89" s="32"/>
      <c r="I89" s="32"/>
      <c r="J89" s="33"/>
    </row>
    <row r="90" spans="1:10" ht="14.25" thickBot="1" x14ac:dyDescent="0.3">
      <c r="C90" s="36" t="s">
        <v>159</v>
      </c>
      <c r="D90" s="37"/>
      <c r="E90" s="38"/>
      <c r="F90" s="39"/>
      <c r="G90" s="40"/>
      <c r="H90" s="41">
        <v>889.88</v>
      </c>
      <c r="I90" s="41">
        <f>SUMIFS(I:I,C:C,"Total")</f>
        <v>100</v>
      </c>
      <c r="J90" s="42"/>
    </row>
    <row r="93" spans="1:10" x14ac:dyDescent="0.25">
      <c r="C93" s="11" t="s">
        <v>160</v>
      </c>
    </row>
    <row r="94" spans="1:10" x14ac:dyDescent="0.25">
      <c r="C94" s="2" t="s">
        <v>161</v>
      </c>
    </row>
    <row r="95" spans="1:10" x14ac:dyDescent="0.25">
      <c r="C95" s="2" t="s">
        <v>162</v>
      </c>
    </row>
    <row r="96" spans="1:10" x14ac:dyDescent="0.25">
      <c r="C96" s="2" t="s">
        <v>163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815D9-E577-4BD2-8594-38865257CC30}">
  <dimension ref="B3:J17"/>
  <sheetViews>
    <sheetView workbookViewId="0"/>
  </sheetViews>
  <sheetFormatPr defaultRowHeight="15" x14ac:dyDescent="0.25"/>
  <cols>
    <col min="2" max="2" width="49.28515625" customWidth="1"/>
    <col min="3" max="3" width="7.42578125" bestFit="1" customWidth="1"/>
    <col min="4" max="4" width="11" bestFit="1" customWidth="1"/>
    <col min="5" max="5" width="7.42578125" bestFit="1" customWidth="1"/>
    <col min="6" max="6" width="11" bestFit="1" customWidth="1"/>
    <col min="7" max="7" width="7.42578125" bestFit="1" customWidth="1"/>
    <col min="8" max="8" width="11" bestFit="1" customWidth="1"/>
    <col min="9" max="9" width="7.42578125" bestFit="1" customWidth="1"/>
    <col min="10" max="10" width="11" bestFit="1" customWidth="1"/>
  </cols>
  <sheetData>
    <row r="3" spans="2:10" ht="15.75" x14ac:dyDescent="0.25">
      <c r="B3" s="43" t="s">
        <v>165</v>
      </c>
      <c r="C3" s="44"/>
      <c r="D3" s="44"/>
      <c r="E3" s="44"/>
      <c r="F3" s="44"/>
      <c r="G3" s="44"/>
      <c r="H3" s="44"/>
      <c r="I3" s="44"/>
      <c r="J3" s="44"/>
    </row>
    <row r="4" spans="2:10" x14ac:dyDescent="0.25">
      <c r="B4" s="45" t="s">
        <v>166</v>
      </c>
      <c r="C4" s="46" t="s">
        <v>167</v>
      </c>
      <c r="D4" s="46"/>
      <c r="E4" s="46" t="s">
        <v>168</v>
      </c>
      <c r="F4" s="46"/>
      <c r="G4" s="46" t="s">
        <v>169</v>
      </c>
      <c r="H4" s="46"/>
      <c r="I4" s="46" t="s">
        <v>170</v>
      </c>
      <c r="J4" s="46"/>
    </row>
    <row r="5" spans="2:10" ht="63.75" x14ac:dyDescent="0.25">
      <c r="B5" s="47"/>
      <c r="C5" s="48" t="s">
        <v>171</v>
      </c>
      <c r="D5" s="48" t="s">
        <v>172</v>
      </c>
      <c r="E5" s="48" t="s">
        <v>171</v>
      </c>
      <c r="F5" s="48" t="s">
        <v>172</v>
      </c>
      <c r="G5" s="48" t="s">
        <v>171</v>
      </c>
      <c r="H5" s="48" t="s">
        <v>172</v>
      </c>
      <c r="I5" s="48" t="s">
        <v>171</v>
      </c>
      <c r="J5" s="48" t="s">
        <v>172</v>
      </c>
    </row>
    <row r="6" spans="2:10" x14ac:dyDescent="0.25">
      <c r="B6" s="49" t="s">
        <v>173</v>
      </c>
      <c r="C6" s="50">
        <v>60.647128409720267</v>
      </c>
      <c r="D6" s="50">
        <v>16127.426580388252</v>
      </c>
      <c r="E6" s="50">
        <v>25.261381790441106</v>
      </c>
      <c r="F6" s="50">
        <v>19666.160849772379</v>
      </c>
      <c r="G6" s="50">
        <v>21.299696823873472</v>
      </c>
      <c r="H6" s="50">
        <v>26288.032454361055</v>
      </c>
      <c r="I6" s="50">
        <v>11.498086185712841</v>
      </c>
      <c r="J6" s="50">
        <v>64800</v>
      </c>
    </row>
    <row r="7" spans="2:10" x14ac:dyDescent="0.25">
      <c r="B7" s="49" t="s">
        <v>174</v>
      </c>
      <c r="C7" s="50">
        <v>60.906964270854537</v>
      </c>
      <c r="D7" s="50">
        <v>16090.696427085453</v>
      </c>
      <c r="E7" s="50">
        <v>29.764710082607216</v>
      </c>
      <c r="F7" s="50">
        <v>21850.923790868579</v>
      </c>
      <c r="G7" s="50">
        <v>24.209139157769677</v>
      </c>
      <c r="H7" s="50">
        <v>29564.310810837585</v>
      </c>
      <c r="I7" s="50">
        <v>7.9817230933340477</v>
      </c>
      <c r="J7" s="50">
        <v>37370.414148028278</v>
      </c>
    </row>
    <row r="8" spans="2:10" x14ac:dyDescent="0.25">
      <c r="B8" s="49" t="s">
        <v>175</v>
      </c>
      <c r="C8" s="50">
        <v>26.269918639546354</v>
      </c>
      <c r="D8" s="50">
        <v>12626.991863954636</v>
      </c>
      <c r="E8" s="50">
        <v>16.918958875763913</v>
      </c>
      <c r="F8" s="50">
        <v>15982.871888687458</v>
      </c>
      <c r="G8" s="50">
        <v>15.298230905326005</v>
      </c>
      <c r="H8" s="50">
        <v>20375.731937849556</v>
      </c>
      <c r="I8" s="50">
        <v>12.654211886786925</v>
      </c>
      <c r="J8" s="50">
        <v>77331.168641982091</v>
      </c>
    </row>
    <row r="9" spans="2:10" x14ac:dyDescent="0.25">
      <c r="B9" s="49" t="s">
        <v>176</v>
      </c>
      <c r="C9" s="51">
        <v>40.18</v>
      </c>
      <c r="D9" s="52"/>
      <c r="E9" s="51">
        <v>32.950000000000003</v>
      </c>
      <c r="F9" s="52"/>
      <c r="G9" s="51">
        <v>24.65</v>
      </c>
      <c r="H9" s="52"/>
      <c r="I9" s="51">
        <v>10</v>
      </c>
      <c r="J9" s="52"/>
    </row>
    <row r="11" spans="2:10" ht="15.75" x14ac:dyDescent="0.25">
      <c r="B11" s="43" t="s">
        <v>177</v>
      </c>
      <c r="C11" s="44"/>
      <c r="D11" s="44"/>
      <c r="E11" s="44"/>
      <c r="F11" s="44"/>
      <c r="G11" s="44"/>
      <c r="H11" s="44"/>
      <c r="I11" s="44"/>
      <c r="J11" s="44"/>
    </row>
    <row r="12" spans="2:10" x14ac:dyDescent="0.25">
      <c r="B12" s="45" t="s">
        <v>166</v>
      </c>
      <c r="C12" s="46" t="s">
        <v>167</v>
      </c>
      <c r="D12" s="46"/>
      <c r="E12" s="46" t="s">
        <v>168</v>
      </c>
      <c r="F12" s="46"/>
      <c r="G12" s="46" t="s">
        <v>169</v>
      </c>
      <c r="H12" s="46"/>
      <c r="I12" s="46" t="s">
        <v>170</v>
      </c>
      <c r="J12" s="46"/>
    </row>
    <row r="13" spans="2:10" ht="63.75" x14ac:dyDescent="0.25">
      <c r="B13" s="47"/>
      <c r="C13" s="48" t="s">
        <v>171</v>
      </c>
      <c r="D13" s="48" t="s">
        <v>172</v>
      </c>
      <c r="E13" s="48" t="s">
        <v>171</v>
      </c>
      <c r="F13" s="48" t="s">
        <v>172</v>
      </c>
      <c r="G13" s="48" t="s">
        <v>171</v>
      </c>
      <c r="H13" s="48" t="s">
        <v>172</v>
      </c>
      <c r="I13" s="48" t="s">
        <v>171</v>
      </c>
      <c r="J13" s="48" t="s">
        <v>172</v>
      </c>
    </row>
    <row r="14" spans="2:10" x14ac:dyDescent="0.25">
      <c r="B14" s="49" t="s">
        <v>173</v>
      </c>
      <c r="C14" s="50">
        <v>61.383578323282336</v>
      </c>
      <c r="D14" s="50">
        <v>16201.968134957826</v>
      </c>
      <c r="E14" s="50">
        <v>25.81424788631108</v>
      </c>
      <c r="F14" s="50">
        <v>19927.953890489913</v>
      </c>
      <c r="G14" s="50">
        <v>21.826779485528469</v>
      </c>
      <c r="H14" s="50">
        <v>26864.801864801866</v>
      </c>
      <c r="I14" s="50">
        <v>16.031144312611922</v>
      </c>
      <c r="J14" s="50">
        <v>53939.157566302652</v>
      </c>
    </row>
    <row r="15" spans="2:10" x14ac:dyDescent="0.25">
      <c r="B15" s="49" t="s">
        <v>174</v>
      </c>
      <c r="C15" s="50">
        <v>60.906964270854537</v>
      </c>
      <c r="D15" s="50">
        <v>16090.696427085453</v>
      </c>
      <c r="E15" s="50">
        <v>29.764710082607216</v>
      </c>
      <c r="F15" s="50">
        <v>21850.923790868579</v>
      </c>
      <c r="G15" s="50">
        <v>24.209139157769677</v>
      </c>
      <c r="H15" s="50">
        <v>29564.310810837585</v>
      </c>
      <c r="I15" s="50">
        <v>12.650650020562626</v>
      </c>
      <c r="J15" s="50">
        <v>38580.027712210809</v>
      </c>
    </row>
    <row r="16" spans="2:10" x14ac:dyDescent="0.25">
      <c r="B16" s="49" t="s">
        <v>175</v>
      </c>
      <c r="C16" s="50">
        <v>26.269918639546354</v>
      </c>
      <c r="D16" s="50">
        <v>12626.991863954636</v>
      </c>
      <c r="E16" s="50">
        <v>16.918958875763913</v>
      </c>
      <c r="F16" s="50">
        <v>15982.871888687458</v>
      </c>
      <c r="G16" s="50">
        <v>15.298230905326005</v>
      </c>
      <c r="H16" s="50">
        <v>20375.731937849556</v>
      </c>
      <c r="I16" s="50">
        <v>13.848519147077187</v>
      </c>
      <c r="J16" s="50">
        <v>43493.913070755807</v>
      </c>
    </row>
    <row r="17" spans="2:10" x14ac:dyDescent="0.25">
      <c r="B17" s="49" t="s">
        <v>178</v>
      </c>
      <c r="C17" s="51">
        <v>42.68</v>
      </c>
      <c r="D17" s="52"/>
      <c r="E17" s="51">
        <v>34.700000000000003</v>
      </c>
      <c r="F17" s="52"/>
      <c r="G17" s="51">
        <v>25.74</v>
      </c>
      <c r="H17" s="52"/>
      <c r="I17" s="51">
        <v>12.82</v>
      </c>
      <c r="J17" s="52"/>
    </row>
  </sheetData>
  <mergeCells count="16">
    <mergeCell ref="C12:D12"/>
    <mergeCell ref="E12:F12"/>
    <mergeCell ref="G12:H12"/>
    <mergeCell ref="I12:J12"/>
    <mergeCell ref="C17:D17"/>
    <mergeCell ref="E17:F17"/>
    <mergeCell ref="G17:H17"/>
    <mergeCell ref="I17:J17"/>
    <mergeCell ref="C4:D4"/>
    <mergeCell ref="E4:F4"/>
    <mergeCell ref="G4:H4"/>
    <mergeCell ref="I4:J4"/>
    <mergeCell ref="C9:D9"/>
    <mergeCell ref="E9:F9"/>
    <mergeCell ref="G9:H9"/>
    <mergeCell ref="I9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TISF</vt:lpstr>
      <vt:lpstr>TISF-Performance</vt:lpstr>
      <vt:lpstr>XDO_?CLASS_3?4?</vt:lpstr>
      <vt:lpstr>XDO_?FINAL_ISIN?7?</vt:lpstr>
      <vt:lpstr>XDO_?FINAL_ISIN?8?</vt:lpstr>
      <vt:lpstr>XDO_?FINAL_MV?7?</vt:lpstr>
      <vt:lpstr>XDO_?FINAL_MV?8?</vt:lpstr>
      <vt:lpstr>XDO_?FINAL_NAME?7?</vt:lpstr>
      <vt:lpstr>XDO_?FINAL_NAME?8?</vt:lpstr>
      <vt:lpstr>XDO_?FINAL_PER_NET?7?</vt:lpstr>
      <vt:lpstr>XDO_?FINAL_PER_NET?8?</vt:lpstr>
      <vt:lpstr>XDO_?FINAL_QUANTITE?7?</vt:lpstr>
      <vt:lpstr>XDO_?FINAL_QUANTITE?8?</vt:lpstr>
      <vt:lpstr>XDO_?IND_01?7?</vt:lpstr>
      <vt:lpstr>XDO_?IND_01?8?</vt:lpstr>
      <vt:lpstr>XDO_?NAMCNAME?4?</vt:lpstr>
      <vt:lpstr>XDO_?NOVAL?7?</vt:lpstr>
      <vt:lpstr>XDO_?NOVAL?8?</vt:lpstr>
      <vt:lpstr>XDO_?NPTF?4?</vt:lpstr>
      <vt:lpstr>XDO_?RATING?7?</vt:lpstr>
      <vt:lpstr>XDO_?RATING?8?</vt:lpstr>
      <vt:lpstr>XDO_?REMARKS?7?</vt:lpstr>
      <vt:lpstr>XDO_?REMARKS?8?</vt:lpstr>
      <vt:lpstr>XDO_?TITL?4?</vt:lpstr>
      <vt:lpstr>XDO_GROUP_?G_2?4?</vt:lpstr>
      <vt:lpstr>XDO_GROUP_?G_3?4?</vt:lpstr>
      <vt:lpstr>XDO_GROUP_?G_4?7?</vt:lpstr>
      <vt:lpstr>XDO_GROUP_?G_4?8?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Sagar Ghadigaonkar</cp:lastModifiedBy>
  <dcterms:created xsi:type="dcterms:W3CDTF">2024-05-01T12:52:01Z</dcterms:created>
  <dcterms:modified xsi:type="dcterms:W3CDTF">2024-05-07T03:32:26Z</dcterms:modified>
</cp:coreProperties>
</file>