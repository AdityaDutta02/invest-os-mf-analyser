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u HDD Data\Taurus\Monthly Portfolio\2023\July 2023\"/>
    </mc:Choice>
  </mc:AlternateContent>
  <xr:revisionPtr revIDLastSave="0" documentId="13_ncr:1_{B5F23EAD-7B11-40AB-B2C9-03A33C21B653}" xr6:coauthVersionLast="47" xr6:coauthVersionMax="47" xr10:uidLastSave="{00000000-0000-0000-0000-000000000000}"/>
  <bookViews>
    <workbookView xWindow="-120" yWindow="-120" windowWidth="20730" windowHeight="11160" xr2:uid="{F2740DBF-F958-4837-A6AA-F40C69A606E0}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Performance'!$C$8:$C$55</definedName>
    <definedName name="XDO_?FINAL_ISIN?5?">'TEF-Risk-O-Meter &amp; Performance'!$D$10:$D$55</definedName>
    <definedName name="XDO_?FINAL_ISIN?6?">'TEF-Risk-O-Meter &amp; Performance'!$D$10:$D$97</definedName>
    <definedName name="XDO_?FINAL_MV?5?">'TEF-Risk-O-Meter &amp; Performance'!$H$10:$H$55</definedName>
    <definedName name="XDO_?FINAL_MV?6?">'TEF-Risk-O-Meter &amp; Performance'!$H$10:$H$97</definedName>
    <definedName name="XDO_?FINAL_NAME?5?">'TEF-Risk-O-Meter &amp; Performance'!$C$10:$C$55</definedName>
    <definedName name="XDO_?FINAL_NAME?6?">'TEF-Risk-O-Meter &amp; Performance'!$C$10:$C$97</definedName>
    <definedName name="XDO_?FINAL_PER_NET?5?">'TEF-Risk-O-Meter &amp; Performance'!$I$10:$I$55</definedName>
    <definedName name="XDO_?FINAL_PER_NET?6?">'TEF-Risk-O-Meter &amp; Performance'!$I$10:$I$97</definedName>
    <definedName name="XDO_?FINAL_QUANTITE?5?">'TEF-Risk-O-Meter &amp; Performance'!$G$10:$G$55</definedName>
    <definedName name="XDO_?FINAL_QUANTITE?6?">'TEF-Risk-O-Meter &amp; Performance'!$G$10:$G$97</definedName>
    <definedName name="XDO_?IND_01?5?">'TEF-Risk-O-Meter &amp; Performance'!$F$10:$F$55</definedName>
    <definedName name="XDO_?IND_01?6?">'TEF-Risk-O-Meter &amp; Performance'!$F$10:$F$97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Performance'!$C$2:$C$55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Performance'!$B$10:$B$55</definedName>
    <definedName name="XDO_?NOVAL?6?">'TEF-Risk-O-Meter &amp; Performance'!$B$10:$B$97</definedName>
    <definedName name="XDO_?NPTF?3?">'TEF-Risk-O-Meter &amp; Performance'!$D$2:$D$55</definedName>
    <definedName name="XDO_?RATING?5?">'TEF-Risk-O-Meter &amp; Performance'!$E$10:$E$55</definedName>
    <definedName name="XDO_?RATING?6?">'TEF-Risk-O-Meter &amp; Performance'!$E$10:$E$97</definedName>
    <definedName name="XDO_?REMARKS?5?">'TEF-Risk-O-Meter &amp; Performance'!$J$10:$J$55</definedName>
    <definedName name="XDO_?REMARKS?6?">'TEF-Risk-O-Meter &amp; Performance'!$J$10:$J$97</definedName>
    <definedName name="XDO_?TITL?3?">'TEF-Risk-O-Meter &amp; Performance'!$A$8:$A$55</definedName>
    <definedName name="XDO_GROUP_?G_2?3?">'TEF-Risk-O-Meter &amp; Performance'!$2:$100</definedName>
    <definedName name="XDO_GROUP_?G_3?3?">'TEF-Risk-O-Meter &amp; Performance'!$8:$99</definedName>
    <definedName name="XDO_GROUP_?G_4?5?">'TEF-Risk-O-Meter &amp; Performance'!$B$10:$IV$55</definedName>
    <definedName name="XDO_GROUP_?G_4?6?">'TEF-Risk-O-Meter &amp; Performance'!$B$97:$IV$97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1" l="1"/>
</calcChain>
</file>

<file path=xl/sharedStrings.xml><?xml version="1.0" encoding="utf-8"?>
<sst xmlns="http://schemas.openxmlformats.org/spreadsheetml/2006/main" count="296" uniqueCount="222">
  <si>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</si>
  <si>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</si>
  <si>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</si>
  <si>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</si>
  <si>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</si>
  <si>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</si>
  <si>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</si>
  <si>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</si>
  <si>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</si>
  <si>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</si>
  <si>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</si>
  <si>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</si>
  <si>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</si>
  <si>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</si>
  <si>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</si>
  <si>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</si>
  <si>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</si>
  <si>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</si>
  <si>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</si>
  <si>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</si>
  <si>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</si>
  <si>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</si>
  <si>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</si>
  <si>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100037</t>
  </si>
  <si>
    <t>HCL Technologies Ltd.</t>
  </si>
  <si>
    <t>INE860A01027</t>
  </si>
  <si>
    <t>100032</t>
  </si>
  <si>
    <t>Tata Consultancy Services Ltd.</t>
  </si>
  <si>
    <t>INE467B01029</t>
  </si>
  <si>
    <t>100944</t>
  </si>
  <si>
    <t>Mishra Dhatu Nigam Ltd.</t>
  </si>
  <si>
    <t>INE099Z01011</t>
  </si>
  <si>
    <t>Aerospace &amp; Defense</t>
  </si>
  <si>
    <t>101178</t>
  </si>
  <si>
    <t>Computer Age Management Services Ltd.</t>
  </si>
  <si>
    <t>INE596I01012</t>
  </si>
  <si>
    <t>Capital Markets</t>
  </si>
  <si>
    <t>100172</t>
  </si>
  <si>
    <t>ACC Ltd.</t>
  </si>
  <si>
    <t>INE012A01025</t>
  </si>
  <si>
    <t>Cement &amp; Cement Products</t>
  </si>
  <si>
    <t>100147</t>
  </si>
  <si>
    <t>Tech Mahindra Ltd.</t>
  </si>
  <si>
    <t>INE669C01036</t>
  </si>
  <si>
    <t>100153</t>
  </si>
  <si>
    <t>Cipla Ltd.</t>
  </si>
  <si>
    <t>INE059A01026</t>
  </si>
  <si>
    <t>Pharmaceuticals &amp; Biotechnology</t>
  </si>
  <si>
    <t>100035</t>
  </si>
  <si>
    <t>NMDC Ltd.</t>
  </si>
  <si>
    <t>INE584A01023</t>
  </si>
  <si>
    <t>Minerals &amp; Mining</t>
  </si>
  <si>
    <t>100163</t>
  </si>
  <si>
    <t>Bosch Ltd.</t>
  </si>
  <si>
    <t>INE323A01026</t>
  </si>
  <si>
    <t>Auto Components</t>
  </si>
  <si>
    <t>100474</t>
  </si>
  <si>
    <t>Narayana Hrudayalaya Ltd.</t>
  </si>
  <si>
    <t>INE410P01011</t>
  </si>
  <si>
    <t>Healthcare Services</t>
  </si>
  <si>
    <t>100008</t>
  </si>
  <si>
    <t>Sun Pharmaceutical Industries Ltd.</t>
  </si>
  <si>
    <t>INE044A01036</t>
  </si>
  <si>
    <t>100370</t>
  </si>
  <si>
    <t>Biocon Ltd.</t>
  </si>
  <si>
    <t>INE376G01013</t>
  </si>
  <si>
    <t>100029</t>
  </si>
  <si>
    <t>Mphasis Ltd.</t>
  </si>
  <si>
    <t>INE356A01018</t>
  </si>
  <si>
    <t>100164</t>
  </si>
  <si>
    <t>Petronet LNG Ltd.</t>
  </si>
  <si>
    <t>INE347G01014</t>
  </si>
  <si>
    <t>Gas</t>
  </si>
  <si>
    <t>100442</t>
  </si>
  <si>
    <t>Coromandel International Ltd.</t>
  </si>
  <si>
    <t>INE169A01031</t>
  </si>
  <si>
    <t>Fertilizers &amp; Agrochemicals</t>
  </si>
  <si>
    <t>100089</t>
  </si>
  <si>
    <t>Bharat Electronics Ltd.</t>
  </si>
  <si>
    <t>INE263A01024</t>
  </si>
  <si>
    <t>100945</t>
  </si>
  <si>
    <t>Indian Railway Catering &amp; Tourism Corporation Ltd.</t>
  </si>
  <si>
    <t>INE335Y01020</t>
  </si>
  <si>
    <t>Leisure Services</t>
  </si>
  <si>
    <t>100155</t>
  </si>
  <si>
    <t>Divi's Laboratories Ltd.</t>
  </si>
  <si>
    <t>INE361B01024</t>
  </si>
  <si>
    <t>100099</t>
  </si>
  <si>
    <t>Hindustan Unilever Ltd.</t>
  </si>
  <si>
    <t>INE030A01027</t>
  </si>
  <si>
    <t>Diversified FMCG</t>
  </si>
  <si>
    <t>100017</t>
  </si>
  <si>
    <t>National Aluminium Company Ltd.</t>
  </si>
  <si>
    <t>INE139A01034</t>
  </si>
  <si>
    <t>Non - Ferrous Metals</t>
  </si>
  <si>
    <t>100045</t>
  </si>
  <si>
    <t>Gujarat Pipavav Port Ltd.</t>
  </si>
  <si>
    <t>INE517F01014</t>
  </si>
  <si>
    <t>Transport Infrastructure</t>
  </si>
  <si>
    <t>101229</t>
  </si>
  <si>
    <t>Jubilant Ingrevia Ltd.</t>
  </si>
  <si>
    <t>INE0BY001018</t>
  </si>
  <si>
    <t>Chemicals &amp; Petrochemicals</t>
  </si>
  <si>
    <t>100161</t>
  </si>
  <si>
    <t>Cummins India Ltd.</t>
  </si>
  <si>
    <t>INE298A01020</t>
  </si>
  <si>
    <t>Industrial Products</t>
  </si>
  <si>
    <t>100293</t>
  </si>
  <si>
    <t>AIA Engineering Ltd.</t>
  </si>
  <si>
    <t>INE212H01026</t>
  </si>
  <si>
    <t>100096</t>
  </si>
  <si>
    <t>Container Corporation of India Ltd.</t>
  </si>
  <si>
    <t>INE111A01025</t>
  </si>
  <si>
    <t>Transport Services</t>
  </si>
  <si>
    <t>100128</t>
  </si>
  <si>
    <t>Eicher Motors Ltd.</t>
  </si>
  <si>
    <t>INE066A01021</t>
  </si>
  <si>
    <t>Automobiles</t>
  </si>
  <si>
    <t>100743</t>
  </si>
  <si>
    <t>HeidelbergCement India Ltd.</t>
  </si>
  <si>
    <t>INE578A01017</t>
  </si>
  <si>
    <t>100090</t>
  </si>
  <si>
    <t>Bharat Forge Ltd.</t>
  </si>
  <si>
    <t>INE465A01025</t>
  </si>
  <si>
    <t>100342</t>
  </si>
  <si>
    <t>Vardhman Textiles Ltd.</t>
  </si>
  <si>
    <t>INE825A01020</t>
  </si>
  <si>
    <t>Textiles &amp; Apparels</t>
  </si>
  <si>
    <t>100176</t>
  </si>
  <si>
    <t>GAIL (India) Ltd.</t>
  </si>
  <si>
    <t>INE129A01019</t>
  </si>
  <si>
    <t>101301</t>
  </si>
  <si>
    <t>Sona Blw Precision Forgings Ltd.</t>
  </si>
  <si>
    <t>INE073K01018</t>
  </si>
  <si>
    <t>100821</t>
  </si>
  <si>
    <t>TTK Prestige Ltd.</t>
  </si>
  <si>
    <t>INE690A01028</t>
  </si>
  <si>
    <t>Consumer Durables</t>
  </si>
  <si>
    <t>100080</t>
  </si>
  <si>
    <t>Dr. Reddy's Laboratories Ltd.</t>
  </si>
  <si>
    <t>INE089A01023</t>
  </si>
  <si>
    <t>100154</t>
  </si>
  <si>
    <t>Colgate Palmolive (India) Ltd.</t>
  </si>
  <si>
    <t>INE259A01022</t>
  </si>
  <si>
    <t>Personal Products</t>
  </si>
  <si>
    <t>100020</t>
  </si>
  <si>
    <t>Tata Consumer Products Ltd.</t>
  </si>
  <si>
    <t>INE192A01025</t>
  </si>
  <si>
    <t>Agricultural Food &amp; other Products</t>
  </si>
  <si>
    <t>100566</t>
  </si>
  <si>
    <t>Laurus Labs Ltd.</t>
  </si>
  <si>
    <t>INE947Q01028</t>
  </si>
  <si>
    <t>100144</t>
  </si>
  <si>
    <t>Voltas Ltd.</t>
  </si>
  <si>
    <t>INE226A01021</t>
  </si>
  <si>
    <t>101889</t>
  </si>
  <si>
    <t>Jio Financial Services Ltd.</t>
  </si>
  <si>
    <t>INE758E01017</t>
  </si>
  <si>
    <t>Finance</t>
  </si>
  <si>
    <t>A**</t>
  </si>
  <si>
    <t>100115</t>
  </si>
  <si>
    <t>Siemens Ltd.</t>
  </si>
  <si>
    <t>INE003A01024</t>
  </si>
  <si>
    <t>Electrical Equipment</t>
  </si>
  <si>
    <t>101457</t>
  </si>
  <si>
    <t>Motherson Sumi Wiring India Ltd.</t>
  </si>
  <si>
    <t>INE0FS801015</t>
  </si>
  <si>
    <t>100635</t>
  </si>
  <si>
    <t>L&amp;T Technology Services Ltd.</t>
  </si>
  <si>
    <t>INE010V01017</t>
  </si>
  <si>
    <t>IT - Services</t>
  </si>
  <si>
    <t>100159</t>
  </si>
  <si>
    <t>Sanofi India Ltd.</t>
  </si>
  <si>
    <t>INE058A01010</t>
  </si>
  <si>
    <t>100473</t>
  </si>
  <si>
    <t>Aarti Industries Ltd.</t>
  </si>
  <si>
    <t>INE769A01020</t>
  </si>
  <si>
    <t>100576</t>
  </si>
  <si>
    <t>Gujarat Alkalies and Chemicals Ltd.</t>
  </si>
  <si>
    <t>INE186A01019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</si>
  <si>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</si>
  <si>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</si>
  <si>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</si>
  <si>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</si>
  <si>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</si>
  <si>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</si>
  <si>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</si>
  <si>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</si>
  <si>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</si>
  <si>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</si>
  <si>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</si>
  <si>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</si>
  <si>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</si>
  <si>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</si>
  <si>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</si>
  <si>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</si>
  <si>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</si>
  <si>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</si>
  <si>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</si>
  <si>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</si>
  <si>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</si>
  <si>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</si>
  <si>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</si>
  <si>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</si>
  <si>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</si>
  <si>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</si>
  <si>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</si>
  <si>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</si>
  <si>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</si>
  <si>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</si>
  <si>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</si>
  <si>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</si>
  <si>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</si>
  <si>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</si>
  <si>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</si>
  <si>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</si>
  <si>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</si>
  <si>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</si>
  <si>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</si>
  <si>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July 31, 2023 : 93.81)</t>
  </si>
  <si>
    <t>Taurus Ethical Fund - Direct Plan Growth Option</t>
  </si>
  <si>
    <t>NAV [Rs.] Per Unit  (as on July 31, 2023 : 103.08)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</si>
</sst>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03AE93E2-E3D6-4DDF-BED2-C8E8425DE840}"/>
    <cellStyle name="Hyperlink" xfId="2" builtinId="8"/>
    <cellStyle name="Normal" xfId="0" builtinId="0"/>
    <cellStyle name="Normal 2" xfId="4" xr:uid="{7B81C8E0-3648-4A71-A2C5-4ADF6B0FBC9B}"/>
    <cellStyle name="Style 1" xfId="3" xr:uid="{90F2B304-13C2-47CF-B773-F4BC702185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Ethical Prodcut label - 9th Dec 2022.jpg">
          <a:extLst>
            <a:ext uri="{FF2B5EF4-FFF2-40B4-BE49-F238E27FC236}">
              <a16:creationId xmlns:a16="http://schemas.microsoft.com/office/drawing/2014/main" id="{037C15A9-3F63-42C0-87EC-DE28D3682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July%2023\Client%20Report\TMF_Monthly_Portfolio_Report_Jul%2023.xls" TargetMode="External"/><Relationship Id="rId1" Type="http://schemas.openxmlformats.org/officeDocument/2006/relationships/externalLinkPath" Target="TMF_Monthly_Portfolio_Report_Jul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FFE2-FC36-4135-B1DA-77E56F97C744}">
  <dimension ref="A1:BB106"/>
  <sheetViews>
    <sheetView showGridLines="0" tabSelected="1" zoomScale="90" zoomScaleNormal="90" workbookViewId="0">
      <selection activeCell="A2" sqref="A2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1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45138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26487</v>
      </c>
      <c r="H10" s="32">
        <v>674.85</v>
      </c>
      <c r="I10" s="32">
        <v>6.6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48816</v>
      </c>
      <c r="H11" s="32">
        <v>661.51</v>
      </c>
      <c r="I11" s="32">
        <v>6.47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53397</v>
      </c>
      <c r="H12" s="32">
        <v>596.47</v>
      </c>
      <c r="I12" s="32">
        <v>5.83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22</v>
      </c>
      <c r="G13" s="31">
        <v>15245</v>
      </c>
      <c r="H13" s="32">
        <v>521.54999999999995</v>
      </c>
      <c r="I13" s="32">
        <v>5.0999999999999996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145479</v>
      </c>
      <c r="H14" s="32">
        <v>489.97</v>
      </c>
      <c r="I14" s="32">
        <v>4.79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17058</v>
      </c>
      <c r="H15" s="32">
        <v>402.78</v>
      </c>
      <c r="I15" s="32">
        <v>3.94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19159</v>
      </c>
      <c r="H16" s="32">
        <v>386.32</v>
      </c>
      <c r="I16" s="32">
        <v>3.78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22</v>
      </c>
      <c r="G17" s="31">
        <v>34086</v>
      </c>
      <c r="H17" s="32">
        <v>380.28</v>
      </c>
      <c r="I17" s="32">
        <v>3.72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29372</v>
      </c>
      <c r="H18" s="32">
        <v>345.37</v>
      </c>
      <c r="I18" s="32">
        <v>3.38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274128</v>
      </c>
      <c r="H19" s="32">
        <v>321.42</v>
      </c>
      <c r="I19" s="32">
        <v>3.14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1644</v>
      </c>
      <c r="H20" s="32">
        <v>311.91000000000003</v>
      </c>
      <c r="I20" s="32">
        <v>3.05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29770</v>
      </c>
      <c r="H21" s="32">
        <v>300.95999999999998</v>
      </c>
      <c r="I21" s="32">
        <v>2.94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47</v>
      </c>
      <c r="G22" s="31">
        <v>25000</v>
      </c>
      <c r="H22" s="32">
        <v>285.75</v>
      </c>
      <c r="I22" s="32">
        <v>2.79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47</v>
      </c>
      <c r="G23" s="31">
        <v>101850</v>
      </c>
      <c r="H23" s="32">
        <v>261.81</v>
      </c>
      <c r="I23" s="32">
        <v>2.56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22</v>
      </c>
      <c r="G24" s="31">
        <v>11133</v>
      </c>
      <c r="H24" s="32">
        <v>255.39</v>
      </c>
      <c r="I24" s="32">
        <v>2.5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105694</v>
      </c>
      <c r="H25" s="32">
        <v>247.11</v>
      </c>
      <c r="I25" s="32">
        <v>2.42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23768</v>
      </c>
      <c r="H26" s="32">
        <v>244.64</v>
      </c>
      <c r="I26" s="32">
        <v>2.39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32</v>
      </c>
      <c r="G27" s="31">
        <v>182312</v>
      </c>
      <c r="H27" s="32">
        <v>238.19</v>
      </c>
      <c r="I27" s="32">
        <v>2.33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35500</v>
      </c>
      <c r="H28" s="32">
        <v>227.4</v>
      </c>
      <c r="I28" s="32">
        <v>2.2200000000000002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47</v>
      </c>
      <c r="G29" s="31">
        <v>5530</v>
      </c>
      <c r="H29" s="32">
        <v>203.91</v>
      </c>
      <c r="I29" s="32">
        <v>1.99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7950</v>
      </c>
      <c r="H30" s="32">
        <v>203.64</v>
      </c>
      <c r="I30" s="32">
        <v>1.99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201000</v>
      </c>
      <c r="H31" s="32">
        <v>191.63</v>
      </c>
      <c r="I31" s="32">
        <v>1.87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144268</v>
      </c>
      <c r="H32" s="32">
        <v>180.84</v>
      </c>
      <c r="I32" s="32">
        <v>1.77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39260</v>
      </c>
      <c r="H33" s="32">
        <v>162.87</v>
      </c>
      <c r="I33" s="32">
        <v>1.59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8185</v>
      </c>
      <c r="H34" s="32">
        <v>161.02000000000001</v>
      </c>
      <c r="I34" s="32">
        <v>1.57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106</v>
      </c>
      <c r="G35" s="31">
        <v>4614</v>
      </c>
      <c r="H35" s="32">
        <v>159.53</v>
      </c>
      <c r="I35" s="32">
        <v>1.56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22872</v>
      </c>
      <c r="H36" s="32">
        <v>158.81</v>
      </c>
      <c r="I36" s="32">
        <v>1.55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3778</v>
      </c>
      <c r="H37" s="32">
        <v>127.2</v>
      </c>
      <c r="I37" s="32">
        <v>1.24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40</v>
      </c>
      <c r="G38" s="31">
        <v>67434</v>
      </c>
      <c r="H38" s="32">
        <v>121.99</v>
      </c>
      <c r="I38" s="32">
        <v>1.19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106</v>
      </c>
      <c r="G39" s="31">
        <v>13000</v>
      </c>
      <c r="H39" s="32">
        <v>121.06</v>
      </c>
      <c r="I39" s="32">
        <v>1.18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31552</v>
      </c>
      <c r="H40" s="32">
        <v>116.88</v>
      </c>
      <c r="I40" s="32">
        <v>1.1399999999999999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72</v>
      </c>
      <c r="G41" s="31">
        <v>91824</v>
      </c>
      <c r="H41" s="32">
        <v>109.27</v>
      </c>
      <c r="I41" s="32">
        <v>1.07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55</v>
      </c>
      <c r="G42" s="31">
        <v>18505</v>
      </c>
      <c r="H42" s="32">
        <v>105.36</v>
      </c>
      <c r="I42" s="32">
        <v>1.03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137</v>
      </c>
      <c r="G43" s="31">
        <v>12600</v>
      </c>
      <c r="H43" s="32">
        <v>99.33</v>
      </c>
      <c r="I43" s="32">
        <v>0.97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47</v>
      </c>
      <c r="G44" s="31">
        <v>1525</v>
      </c>
      <c r="H44" s="32">
        <v>86.11</v>
      </c>
      <c r="I44" s="32">
        <v>0.84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4260</v>
      </c>
      <c r="H45" s="32">
        <v>86.02</v>
      </c>
      <c r="I45" s="32">
        <v>0.84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148</v>
      </c>
      <c r="G46" s="31">
        <v>8400</v>
      </c>
      <c r="H46" s="32">
        <v>72.17</v>
      </c>
      <c r="I46" s="32">
        <v>0.71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47</v>
      </c>
      <c r="G47" s="31">
        <v>20134</v>
      </c>
      <c r="H47" s="32">
        <v>70.89</v>
      </c>
      <c r="I47" s="32">
        <v>0.69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137</v>
      </c>
      <c r="G48" s="31">
        <v>8599</v>
      </c>
      <c r="H48" s="32">
        <v>67.06</v>
      </c>
      <c r="I48" s="32">
        <v>0.66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158</v>
      </c>
      <c r="G49" s="31">
        <v>26487</v>
      </c>
      <c r="H49" s="32">
        <v>66.48</v>
      </c>
      <c r="I49" s="32">
        <v>0.65</v>
      </c>
      <c r="J49" s="33" t="s">
        <v>159</v>
      </c>
    </row>
    <row r="50" spans="2:10" x14ac:dyDescent="0.25">
      <c r="B50" s="1" t="s">
        <v>160</v>
      </c>
      <c r="C50" s="20" t="s">
        <v>161</v>
      </c>
      <c r="D50" s="29" t="s">
        <v>162</v>
      </c>
      <c r="E50" s="30"/>
      <c r="F50" s="30" t="s">
        <v>163</v>
      </c>
      <c r="G50" s="31">
        <v>1602</v>
      </c>
      <c r="H50" s="32">
        <v>64.06</v>
      </c>
      <c r="I50" s="32">
        <v>0.63</v>
      </c>
      <c r="J50" s="33"/>
    </row>
    <row r="51" spans="2:10" x14ac:dyDescent="0.25">
      <c r="B51" s="1" t="s">
        <v>164</v>
      </c>
      <c r="C51" s="20" t="s">
        <v>165</v>
      </c>
      <c r="D51" s="29" t="s">
        <v>166</v>
      </c>
      <c r="E51" s="30"/>
      <c r="F51" s="30" t="s">
        <v>55</v>
      </c>
      <c r="G51" s="31">
        <v>95855</v>
      </c>
      <c r="H51" s="32">
        <v>56.27</v>
      </c>
      <c r="I51" s="32">
        <v>0.55000000000000004</v>
      </c>
      <c r="J51" s="33"/>
    </row>
    <row r="52" spans="2:10" x14ac:dyDescent="0.25">
      <c r="B52" s="1" t="s">
        <v>167</v>
      </c>
      <c r="C52" s="20" t="s">
        <v>168</v>
      </c>
      <c r="D52" s="29" t="s">
        <v>169</v>
      </c>
      <c r="E52" s="30"/>
      <c r="F52" s="30" t="s">
        <v>170</v>
      </c>
      <c r="G52" s="31">
        <v>1380</v>
      </c>
      <c r="H52" s="32">
        <v>55.73</v>
      </c>
      <c r="I52" s="32">
        <v>0.54</v>
      </c>
      <c r="J52" s="33"/>
    </row>
    <row r="53" spans="2:10" x14ac:dyDescent="0.25">
      <c r="B53" s="1" t="s">
        <v>171</v>
      </c>
      <c r="C53" s="20" t="s">
        <v>172</v>
      </c>
      <c r="D53" s="29" t="s">
        <v>173</v>
      </c>
      <c r="E53" s="30"/>
      <c r="F53" s="30" t="s">
        <v>47</v>
      </c>
      <c r="G53" s="31">
        <v>600</v>
      </c>
      <c r="H53" s="32">
        <v>41.97</v>
      </c>
      <c r="I53" s="32">
        <v>0.41</v>
      </c>
      <c r="J53" s="33"/>
    </row>
    <row r="54" spans="2:10" x14ac:dyDescent="0.25">
      <c r="B54" s="1" t="s">
        <v>174</v>
      </c>
      <c r="C54" s="20" t="s">
        <v>175</v>
      </c>
      <c r="D54" s="29" t="s">
        <v>176</v>
      </c>
      <c r="E54" s="30"/>
      <c r="F54" s="30" t="s">
        <v>102</v>
      </c>
      <c r="G54" s="31">
        <v>5425</v>
      </c>
      <c r="H54" s="32">
        <v>25.36</v>
      </c>
      <c r="I54" s="32">
        <v>0.25</v>
      </c>
      <c r="J54" s="33"/>
    </row>
    <row r="55" spans="2:10" x14ac:dyDescent="0.25">
      <c r="B55" s="1" t="s">
        <v>177</v>
      </c>
      <c r="C55" s="20" t="s">
        <v>178</v>
      </c>
      <c r="D55" s="29" t="s">
        <v>179</v>
      </c>
      <c r="E55" s="30"/>
      <c r="F55" s="30" t="s">
        <v>102</v>
      </c>
      <c r="G55" s="31">
        <v>3801</v>
      </c>
      <c r="H55" s="32">
        <v>25.07</v>
      </c>
      <c r="I55" s="32">
        <v>0.25</v>
      </c>
      <c r="J55" s="33"/>
    </row>
    <row r="56" spans="2:10" x14ac:dyDescent="0.25">
      <c r="C56" s="28" t="s">
        <v>180</v>
      </c>
      <c r="D56" s="29"/>
      <c r="E56" s="30"/>
      <c r="F56" s="30"/>
      <c r="G56" s="31"/>
      <c r="H56" s="35">
        <v>10094.209999999999</v>
      </c>
      <c r="I56" s="35">
        <v>98.68</v>
      </c>
      <c r="J56" s="33"/>
    </row>
    <row r="57" spans="2:10" x14ac:dyDescent="0.25">
      <c r="C57" s="20"/>
      <c r="D57" s="29"/>
      <c r="E57" s="30"/>
      <c r="F57" s="30"/>
      <c r="G57" s="31"/>
      <c r="H57" s="32"/>
      <c r="I57" s="32"/>
      <c r="J57" s="33"/>
    </row>
    <row r="58" spans="2:10" x14ac:dyDescent="0.25">
      <c r="C58" s="28" t="s">
        <v>181</v>
      </c>
      <c r="D58" s="29"/>
      <c r="E58" s="30"/>
      <c r="F58" s="30"/>
      <c r="G58" s="31"/>
      <c r="H58" s="32" t="s">
        <v>182</v>
      </c>
      <c r="I58" s="32" t="s">
        <v>182</v>
      </c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28" t="s">
        <v>183</v>
      </c>
      <c r="D60" s="29"/>
      <c r="E60" s="30"/>
      <c r="F60" s="30"/>
      <c r="G60" s="31"/>
      <c r="H60" s="32" t="s">
        <v>182</v>
      </c>
      <c r="I60" s="32" t="s">
        <v>182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184</v>
      </c>
      <c r="D62" s="29"/>
      <c r="E62" s="30"/>
      <c r="F62" s="30"/>
      <c r="G62" s="31"/>
      <c r="H62" s="32"/>
      <c r="I62" s="32"/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185</v>
      </c>
      <c r="D64" s="29"/>
      <c r="E64" s="30"/>
      <c r="F64" s="30"/>
      <c r="G64" s="31"/>
      <c r="H64" s="32" t="s">
        <v>182</v>
      </c>
      <c r="I64" s="32" t="s">
        <v>182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186</v>
      </c>
      <c r="D66" s="29"/>
      <c r="E66" s="30"/>
      <c r="F66" s="30"/>
      <c r="G66" s="31"/>
      <c r="H66" s="32" t="s">
        <v>182</v>
      </c>
      <c r="I66" s="32" t="s">
        <v>182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187</v>
      </c>
      <c r="D68" s="29"/>
      <c r="E68" s="30"/>
      <c r="F68" s="30"/>
      <c r="G68" s="31"/>
      <c r="H68" s="32" t="s">
        <v>182</v>
      </c>
      <c r="I68" s="32" t="s">
        <v>182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188</v>
      </c>
      <c r="D70" s="29"/>
      <c r="E70" s="30"/>
      <c r="F70" s="30"/>
      <c r="G70" s="31"/>
      <c r="H70" s="32" t="s">
        <v>182</v>
      </c>
      <c r="I70" s="32" t="s">
        <v>182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189</v>
      </c>
      <c r="D72" s="29"/>
      <c r="E72" s="30"/>
      <c r="F72" s="30"/>
      <c r="G72" s="31"/>
      <c r="H72" s="32" t="s">
        <v>182</v>
      </c>
      <c r="I72" s="32" t="s">
        <v>182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190</v>
      </c>
      <c r="D74" s="29"/>
      <c r="E74" s="30"/>
      <c r="F74" s="30"/>
      <c r="G74" s="31"/>
      <c r="H74" s="32"/>
      <c r="I74" s="32"/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191</v>
      </c>
      <c r="D76" s="29"/>
      <c r="E76" s="30"/>
      <c r="F76" s="30"/>
      <c r="G76" s="31"/>
      <c r="H76" s="32" t="s">
        <v>182</v>
      </c>
      <c r="I76" s="32" t="s">
        <v>182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192</v>
      </c>
      <c r="D78" s="29"/>
      <c r="E78" s="30"/>
      <c r="F78" s="30"/>
      <c r="G78" s="31"/>
      <c r="H78" s="32" t="s">
        <v>182</v>
      </c>
      <c r="I78" s="32" t="s">
        <v>182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193</v>
      </c>
      <c r="D80" s="29"/>
      <c r="E80" s="30"/>
      <c r="F80" s="30"/>
      <c r="G80" s="31"/>
      <c r="H80" s="32" t="s">
        <v>182</v>
      </c>
      <c r="I80" s="32" t="s">
        <v>182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194</v>
      </c>
      <c r="D82" s="29"/>
      <c r="E82" s="30"/>
      <c r="F82" s="30"/>
      <c r="G82" s="31"/>
      <c r="H82" s="32" t="s">
        <v>182</v>
      </c>
      <c r="I82" s="32" t="s">
        <v>182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195</v>
      </c>
      <c r="D84" s="29"/>
      <c r="E84" s="30"/>
      <c r="F84" s="30"/>
      <c r="G84" s="31"/>
      <c r="H84" s="32"/>
      <c r="I84" s="32"/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196</v>
      </c>
      <c r="D86" s="29"/>
      <c r="E86" s="30"/>
      <c r="F86" s="30"/>
      <c r="G86" s="31"/>
      <c r="H86" s="32" t="s">
        <v>182</v>
      </c>
      <c r="I86" s="32" t="s">
        <v>182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197</v>
      </c>
      <c r="D88" s="29"/>
      <c r="E88" s="30"/>
      <c r="F88" s="30"/>
      <c r="G88" s="31"/>
      <c r="H88" s="32" t="s">
        <v>182</v>
      </c>
      <c r="I88" s="32" t="s">
        <v>182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C90" s="28" t="s">
        <v>198</v>
      </c>
      <c r="D90" s="29"/>
      <c r="E90" s="30"/>
      <c r="F90" s="30"/>
      <c r="G90" s="31"/>
      <c r="H90" s="32" t="s">
        <v>182</v>
      </c>
      <c r="I90" s="32" t="s">
        <v>182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x14ac:dyDescent="0.25">
      <c r="C92" s="28" t="s">
        <v>199</v>
      </c>
      <c r="D92" s="29"/>
      <c r="E92" s="30"/>
      <c r="F92" s="30"/>
      <c r="G92" s="31"/>
      <c r="H92" s="32" t="s">
        <v>182</v>
      </c>
      <c r="I92" s="32" t="s">
        <v>182</v>
      </c>
      <c r="J92" s="33"/>
    </row>
    <row r="93" spans="1:10" x14ac:dyDescent="0.25">
      <c r="C93" s="20"/>
      <c r="D93" s="29"/>
      <c r="E93" s="30"/>
      <c r="F93" s="30"/>
      <c r="G93" s="31"/>
      <c r="H93" s="32"/>
      <c r="I93" s="32"/>
      <c r="J93" s="33"/>
    </row>
    <row r="94" spans="1:10" x14ac:dyDescent="0.25">
      <c r="C94" s="28" t="s">
        <v>200</v>
      </c>
      <c r="D94" s="29"/>
      <c r="E94" s="30"/>
      <c r="F94" s="30"/>
      <c r="G94" s="31"/>
      <c r="H94" s="32" t="s">
        <v>182</v>
      </c>
      <c r="I94" s="32" t="s">
        <v>182</v>
      </c>
      <c r="J94" s="33"/>
    </row>
    <row r="95" spans="1:10" x14ac:dyDescent="0.25">
      <c r="C95" s="20"/>
      <c r="D95" s="29"/>
      <c r="E95" s="30"/>
      <c r="F95" s="30"/>
      <c r="G95" s="31"/>
      <c r="H95" s="32"/>
      <c r="I95" s="32"/>
      <c r="J95" s="33"/>
    </row>
    <row r="96" spans="1:10" x14ac:dyDescent="0.25">
      <c r="A96" s="26"/>
      <c r="B96" s="27"/>
      <c r="C96" s="28" t="s">
        <v>201</v>
      </c>
      <c r="D96" s="29"/>
      <c r="E96" s="30"/>
      <c r="F96" s="30"/>
      <c r="G96" s="31"/>
      <c r="H96" s="32"/>
      <c r="I96" s="32"/>
      <c r="J96" s="33"/>
    </row>
    <row r="97" spans="2:10" x14ac:dyDescent="0.25">
      <c r="B97" s="1"/>
      <c r="C97" s="20" t="s">
        <v>202</v>
      </c>
      <c r="D97" s="29"/>
      <c r="E97" s="30"/>
      <c r="F97" s="30"/>
      <c r="G97" s="31"/>
      <c r="H97" s="32">
        <v>135.04</v>
      </c>
      <c r="I97" s="32">
        <v>1.32</v>
      </c>
      <c r="J97" s="33"/>
    </row>
    <row r="98" spans="2:10" x14ac:dyDescent="0.25">
      <c r="C98" s="28" t="s">
        <v>180</v>
      </c>
      <c r="D98" s="29"/>
      <c r="E98" s="30"/>
      <c r="F98" s="30"/>
      <c r="G98" s="31"/>
      <c r="H98" s="35">
        <v>135.04</v>
      </c>
      <c r="I98" s="35">
        <v>1.32</v>
      </c>
      <c r="J98" s="33"/>
    </row>
    <row r="99" spans="2:10" x14ac:dyDescent="0.25">
      <c r="C99" s="20"/>
      <c r="D99" s="29"/>
      <c r="E99" s="30"/>
      <c r="F99" s="30"/>
      <c r="G99" s="31"/>
      <c r="H99" s="32"/>
      <c r="I99" s="32"/>
      <c r="J99" s="33"/>
    </row>
    <row r="100" spans="2:10" ht="14.25" thickBot="1" x14ac:dyDescent="0.3">
      <c r="C100" s="36" t="s">
        <v>203</v>
      </c>
      <c r="D100" s="37"/>
      <c r="E100" s="38"/>
      <c r="F100" s="39"/>
      <c r="G100" s="40"/>
      <c r="H100" s="41">
        <v>10229.25</v>
      </c>
      <c r="I100" s="41">
        <f>SUMIFS(I:I,C:C,"Total")</f>
        <v>100</v>
      </c>
      <c r="J100" s="42"/>
    </row>
    <row r="103" spans="2:10" x14ac:dyDescent="0.25">
      <c r="C103" s="11" t="s">
        <v>204</v>
      </c>
    </row>
    <row r="104" spans="2:10" x14ac:dyDescent="0.25">
      <c r="C104" s="2" t="s">
        <v>205</v>
      </c>
    </row>
    <row r="105" spans="2:10" x14ac:dyDescent="0.25">
      <c r="C105" s="2" t="s">
        <v>206</v>
      </c>
    </row>
    <row r="106" spans="2:10" x14ac:dyDescent="0.25">
      <c r="C106" s="2" t="s">
        <v>207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C330-F084-4FC4-9CC6-123B5F8924B8}">
  <dimension ref="B4:J18"/>
  <sheetViews>
    <sheetView workbookViewId="0">
      <selection activeCell="A4" sqref="A4"/>
    </sheetView>
  </sheetViews>
  <sheetFormatPr defaultRowHeight="15" x14ac:dyDescent="0.25"/>
  <cols>
    <col min="2" max="2" width="45.85546875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4" spans="2:10" ht="15.75" x14ac:dyDescent="0.25">
      <c r="B4" s="43" t="s">
        <v>208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209</v>
      </c>
      <c r="C5" s="46" t="s">
        <v>210</v>
      </c>
      <c r="D5" s="46"/>
      <c r="E5" s="46" t="s">
        <v>211</v>
      </c>
      <c r="F5" s="46"/>
      <c r="G5" s="46" t="s">
        <v>212</v>
      </c>
      <c r="H5" s="46"/>
      <c r="I5" s="46" t="s">
        <v>213</v>
      </c>
      <c r="J5" s="46"/>
    </row>
    <row r="6" spans="2:10" ht="63.75" x14ac:dyDescent="0.25">
      <c r="B6" s="47"/>
      <c r="C6" s="48" t="s">
        <v>214</v>
      </c>
      <c r="D6" s="48" t="s">
        <v>215</v>
      </c>
      <c r="E6" s="48" t="s">
        <v>214</v>
      </c>
      <c r="F6" s="48" t="s">
        <v>215</v>
      </c>
      <c r="G6" s="48" t="s">
        <v>214</v>
      </c>
      <c r="H6" s="48" t="s">
        <v>215</v>
      </c>
      <c r="I6" s="48" t="s">
        <v>214</v>
      </c>
      <c r="J6" s="48" t="s">
        <v>215</v>
      </c>
    </row>
    <row r="7" spans="2:10" x14ac:dyDescent="0.25">
      <c r="B7" s="49" t="s">
        <v>216</v>
      </c>
      <c r="C7" s="50">
        <v>13.986784539235275</v>
      </c>
      <c r="D7" s="50">
        <v>11406.857976653697</v>
      </c>
      <c r="E7" s="50">
        <v>19.321190527622178</v>
      </c>
      <c r="F7" s="50">
        <v>16988.409996378126</v>
      </c>
      <c r="G7" s="50">
        <v>12.307017096400653</v>
      </c>
      <c r="H7" s="50">
        <v>17871.975614402745</v>
      </c>
      <c r="I7" s="50">
        <v>16.910347439762763</v>
      </c>
      <c r="J7" s="50">
        <v>93810</v>
      </c>
    </row>
    <row r="8" spans="2:10" x14ac:dyDescent="0.25">
      <c r="B8" s="49" t="s">
        <v>217</v>
      </c>
      <c r="C8" s="50">
        <v>8.4515575231309157</v>
      </c>
      <c r="D8" s="50">
        <v>10845.155752313092</v>
      </c>
      <c r="E8" s="50">
        <v>21.000512179103879</v>
      </c>
      <c r="F8" s="50">
        <v>17715.834965380047</v>
      </c>
      <c r="G8" s="50">
        <v>14.352301258575494</v>
      </c>
      <c r="H8" s="50">
        <v>19553.501746250466</v>
      </c>
      <c r="I8" s="50">
        <v>16.420605924015639</v>
      </c>
      <c r="J8" s="50">
        <v>88296.91212257203</v>
      </c>
    </row>
    <row r="9" spans="2:10" x14ac:dyDescent="0.25">
      <c r="B9" s="49" t="s">
        <v>218</v>
      </c>
      <c r="C9" s="50">
        <v>16.184790485396093</v>
      </c>
      <c r="D9" s="50">
        <v>11618.47904853961</v>
      </c>
      <c r="E9" s="50">
        <v>22.712795144557418</v>
      </c>
      <c r="F9" s="50">
        <v>18478.620471015642</v>
      </c>
      <c r="G9" s="50">
        <v>13.019737732339532</v>
      </c>
      <c r="H9" s="50">
        <v>18440.448341042771</v>
      </c>
      <c r="I9" s="50">
        <v>14.780425645179186</v>
      </c>
      <c r="J9" s="50">
        <v>72055.67419930028</v>
      </c>
    </row>
    <row r="10" spans="2:10" x14ac:dyDescent="0.25">
      <c r="B10" s="49" t="s">
        <v>219</v>
      </c>
      <c r="C10" s="51">
        <v>82.24</v>
      </c>
      <c r="D10" s="52"/>
      <c r="E10" s="51">
        <v>55.22</v>
      </c>
      <c r="F10" s="52"/>
      <c r="G10" s="51">
        <v>52.49</v>
      </c>
      <c r="H10" s="52"/>
      <c r="I10" s="51">
        <v>10</v>
      </c>
      <c r="J10" s="52"/>
    </row>
    <row r="12" spans="2:10" ht="15.75" x14ac:dyDescent="0.25">
      <c r="B12" s="43" t="s">
        <v>220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209</v>
      </c>
      <c r="C13" s="46" t="s">
        <v>210</v>
      </c>
      <c r="D13" s="46"/>
      <c r="E13" s="46" t="s">
        <v>211</v>
      </c>
      <c r="F13" s="46"/>
      <c r="G13" s="46" t="s">
        <v>212</v>
      </c>
      <c r="H13" s="46"/>
      <c r="I13" s="46" t="s">
        <v>213</v>
      </c>
      <c r="J13" s="46"/>
    </row>
    <row r="14" spans="2:10" ht="63.75" x14ac:dyDescent="0.25">
      <c r="B14" s="47"/>
      <c r="C14" s="48" t="s">
        <v>214</v>
      </c>
      <c r="D14" s="48" t="s">
        <v>215</v>
      </c>
      <c r="E14" s="48" t="s">
        <v>214</v>
      </c>
      <c r="F14" s="48" t="s">
        <v>215</v>
      </c>
      <c r="G14" s="48" t="s">
        <v>214</v>
      </c>
      <c r="H14" s="48" t="s">
        <v>215</v>
      </c>
      <c r="I14" s="48" t="s">
        <v>214</v>
      </c>
      <c r="J14" s="48" t="s">
        <v>215</v>
      </c>
    </row>
    <row r="15" spans="2:10" x14ac:dyDescent="0.25">
      <c r="B15" s="49" t="s">
        <v>216</v>
      </c>
      <c r="C15" s="50">
        <v>15.405159338938956</v>
      </c>
      <c r="D15" s="50">
        <v>11549.579831932773</v>
      </c>
      <c r="E15" s="50">
        <v>20.522704761944777</v>
      </c>
      <c r="F15" s="50">
        <v>17506.793478260868</v>
      </c>
      <c r="G15" s="50">
        <v>13.486399362081425</v>
      </c>
      <c r="H15" s="50">
        <v>18830.836682499084</v>
      </c>
      <c r="I15" s="50">
        <v>15.011186017320144</v>
      </c>
      <c r="J15" s="50">
        <v>43938.618925831201</v>
      </c>
    </row>
    <row r="16" spans="2:10" x14ac:dyDescent="0.25">
      <c r="B16" s="49" t="s">
        <v>217</v>
      </c>
      <c r="C16" s="50">
        <v>8.4515575231309157</v>
      </c>
      <c r="D16" s="50">
        <v>10845.155752313092</v>
      </c>
      <c r="E16" s="50">
        <v>21.000512179103879</v>
      </c>
      <c r="F16" s="50">
        <v>17715.834965380047</v>
      </c>
      <c r="G16" s="50">
        <v>14.352301258575494</v>
      </c>
      <c r="H16" s="50">
        <v>19553.501746250466</v>
      </c>
      <c r="I16" s="50">
        <v>15.777983991675981</v>
      </c>
      <c r="J16" s="50">
        <v>47139.993010379054</v>
      </c>
    </row>
    <row r="17" spans="2:10" x14ac:dyDescent="0.25">
      <c r="B17" s="49" t="s">
        <v>218</v>
      </c>
      <c r="C17" s="50">
        <v>16.184790485396093</v>
      </c>
      <c r="D17" s="50">
        <v>11618.47904853961</v>
      </c>
      <c r="E17" s="50">
        <v>22.712795144557418</v>
      </c>
      <c r="F17" s="50">
        <v>18478.620471015642</v>
      </c>
      <c r="G17" s="50">
        <v>13.019737732339532</v>
      </c>
      <c r="H17" s="50">
        <v>18440.448341042771</v>
      </c>
      <c r="I17" s="50">
        <v>13.383864389264488</v>
      </c>
      <c r="J17" s="50">
        <v>37787.361354730587</v>
      </c>
    </row>
    <row r="18" spans="2:10" x14ac:dyDescent="0.25">
      <c r="B18" s="49" t="s">
        <v>221</v>
      </c>
      <c r="C18" s="51">
        <v>89.25</v>
      </c>
      <c r="D18" s="52"/>
      <c r="E18" s="51">
        <v>58.88</v>
      </c>
      <c r="F18" s="52"/>
      <c r="G18" s="51">
        <v>54.74</v>
      </c>
      <c r="H18" s="52"/>
      <c r="I18" s="51">
        <v>23.46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2023-08-02T10:03:00Z</dcterms:created>
  <dcterms:modified xsi:type="dcterms:W3CDTF">2023-08-09T07:18:51Z</dcterms:modified>
</cp:coreProperties>
</file>