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9DD6DBA7-40F4-4D7A-B801-F513FE53C09B}" xr6:coauthVersionLast="47" xr6:coauthVersionMax="47" xr10:uidLastSave="{00000000-0000-0000-0000-000000000000}"/>
  <bookViews>
    <workbookView xWindow="-120" yWindow="-120" windowWidth="20730" windowHeight="11040" xr2:uid="{4E414073-7794-472F-ABB8-AA2C9B694AFD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TTS!$C$8:$C$44</definedName>
    <definedName name="XDO_?FINAL_ISIN?14?">TTS!$D$10:$D$44</definedName>
    <definedName name="XDO_?FINAL_ISIN?15?">TTS!$D$10:$D$88</definedName>
    <definedName name="XDO_?FINAL_MV?14?">TTS!$H$10:$H$44</definedName>
    <definedName name="XDO_?FINAL_MV?15?">TTS!$H$10:$H$88</definedName>
    <definedName name="XDO_?FINAL_NAME?14?">TTS!$C$10:$C$44</definedName>
    <definedName name="XDO_?FINAL_NAME?15?">TTS!$C$10:$C$88</definedName>
    <definedName name="XDO_?FINAL_PER_NET?14?">TTS!$I$10:$I$44</definedName>
    <definedName name="XDO_?FINAL_PER_NET?15?">TTS!$I$10:$I$88</definedName>
    <definedName name="XDO_?FINAL_QUANTITE?14?">TTS!$G$10:$G$44</definedName>
    <definedName name="XDO_?FINAL_QUANTITE?15?">TTS!$G$10:$G$88</definedName>
    <definedName name="XDO_?IND_01?14?">TTS!$F$10:$F$44</definedName>
    <definedName name="XDO_?IND_01?15?">TTS!$F$10:$F$88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TTS!$B$10:$B$44</definedName>
    <definedName name="XDO_?NOVAL?15?">TTS!$B$10:$B$88</definedName>
    <definedName name="XDO_?NPTF?7?">TTS!$D$2:$D$44</definedName>
    <definedName name="XDO_?RATING?14?">TTS!$E$10:$E$44</definedName>
    <definedName name="XDO_?RATING?15?">TTS!$E$10:$E$88</definedName>
    <definedName name="XDO_?REMARKS?14?">TTS!$J$10:$J$44</definedName>
    <definedName name="XDO_?REMARKS?15?">TTS!$J$10:$J$88</definedName>
    <definedName name="XDO_?TITL?7?">TTS!$A$8:$A$44</definedName>
    <definedName name="XDO_GROUP_?G_2?7?">TTS!$2:$91</definedName>
    <definedName name="XDO_GROUP_?G_3?7?">TTS!$8:$90</definedName>
    <definedName name="XDO_GROUP_?G_4?14?">TTS!$B$10:$IV$44</definedName>
    <definedName name="XDO_GROUP_?G_4?15?">TTS!$B$88:$IV$88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<sst xmlns="http://schemas.openxmlformats.org/spreadsheetml/2006/main" count="254" uniqueCount="186">
  <si>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</si>
  <si>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</si>
  <si>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</si>
  <si>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</si>
  <si>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</si>
  <si>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</si>
  <si>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</si>
  <si>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</si>
  <si>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</si>
  <si>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</si>
  <si>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</si>
  <si>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</si>
  <si>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</si>
  <si>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</si>
  <si>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</si>
  <si>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</si>
  <si>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</si>
  <si>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</si>
  <si>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</si>
  <si>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</si>
  <si>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</si>
  <si>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</si>
  <si>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</si>
  <si>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</si>
  <si>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</si>
  <si>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</si>
  <si>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</si>
  <si>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</si>
  <si>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</si>
  <si>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</si>
  <si>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</si>
  <si>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</si>
  <si>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</si>
  <si>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</si>
  <si>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</si>
  <si>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</si>
  <si>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</si>
  <si>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</si>
  <si>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</si>
  <si>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</si>
  <si>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</si>
  <si>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</si>
  <si>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</si>
  <si>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</si>
  <si>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100003</t>
  </si>
  <si>
    <t>Infosys Ltd.</t>
  </si>
  <si>
    <t>INE009A01021</t>
  </si>
  <si>
    <t>101698</t>
  </si>
  <si>
    <t>Swan Energy Ltd.</t>
  </si>
  <si>
    <t>INE665A01038</t>
  </si>
  <si>
    <t>Diversified</t>
  </si>
  <si>
    <t>100474</t>
  </si>
  <si>
    <t>Narayana Hrudayalaya Ltd.</t>
  </si>
  <si>
    <t>INE410P01011</t>
  </si>
  <si>
    <t>Healthcare Services</t>
  </si>
  <si>
    <t>100045</t>
  </si>
  <si>
    <t>Gujarat Pipavav Port Ltd.</t>
  </si>
  <si>
    <t>INE517F01014</t>
  </si>
  <si>
    <t>Transport Infrastructure</t>
  </si>
  <si>
    <t>100153</t>
  </si>
  <si>
    <t>Cipla Ltd.</t>
  </si>
  <si>
    <t>INE059A01026</t>
  </si>
  <si>
    <t>Pharmaceuticals &amp; Biotechnology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</si>
  <si>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</si>
  <si>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</si>
  <si>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</si>
  <si>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</si>
  <si>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</si>
  <si>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</si>
  <si>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</si>
  <si>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</si>
  <si>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100219</t>
  </si>
  <si>
    <t>Indraprastha Gas Ltd.</t>
  </si>
  <si>
    <t>INE203G01027</t>
  </si>
  <si>
    <t>Gas</t>
  </si>
  <si>
    <t>101178</t>
  </si>
  <si>
    <t>Computer Age Management Services Ltd.</t>
  </si>
  <si>
    <t>INE596I01012</t>
  </si>
  <si>
    <t>Capital Markets</t>
  </si>
  <si>
    <t>100172</t>
  </si>
  <si>
    <t>ACC Ltd.</t>
  </si>
  <si>
    <t>INE012A01025</t>
  </si>
  <si>
    <t>Cement &amp; Cement Products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</si>
  <si>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</si>
  <si>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</si>
  <si>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</si>
  <si>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</si>
  <si>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</si>
  <si>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</si>
  <si>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</si>
  <si>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101181</t>
  </si>
  <si>
    <t>UTI Asset Management Co. Ltd.</t>
  </si>
  <si>
    <t>INE094J01016</t>
  </si>
  <si>
    <t>100155</t>
  </si>
  <si>
    <t>Divi's Laboratories Ltd.</t>
  </si>
  <si>
    <t>INE361B01024</t>
  </si>
  <si>
    <t>100118</t>
  </si>
  <si>
    <t>Tata Chemicals Ltd.</t>
  </si>
  <si>
    <t>INE092A01019</t>
  </si>
  <si>
    <t>Chemicals &amp; Petrochemicals</t>
  </si>
  <si>
    <t>100653</t>
  </si>
  <si>
    <t>Deepak Fertilizers and Petrochemicals Corporation Ltd.</t>
  </si>
  <si>
    <t>INE501A01019</t>
  </si>
  <si>
    <t>100083</t>
  </si>
  <si>
    <t>Samvardhana Motherson International Ltd.</t>
  </si>
  <si>
    <t>INE775A01035</t>
  </si>
  <si>
    <t>Auto Components</t>
  </si>
  <si>
    <t>101949</t>
  </si>
  <si>
    <t>Samhi Hotels Ltd.</t>
  </si>
  <si>
    <t>INE08U801020</t>
  </si>
  <si>
    <t>Leisure Services</t>
  </si>
  <si>
    <t>100089</t>
  </si>
  <si>
    <t>Bharat Electronics Ltd.</t>
  </si>
  <si>
    <t>INE263A01024</t>
  </si>
  <si>
    <t>Aerospace &amp; Defense</t>
  </si>
  <si>
    <t>100078</t>
  </si>
  <si>
    <t>Sanghi Industries Ltd.</t>
  </si>
  <si>
    <t>INE999B01013</t>
  </si>
  <si>
    <t>100096</t>
  </si>
  <si>
    <t>Container Corporation of India Ltd.</t>
  </si>
  <si>
    <t>INE111A01025</t>
  </si>
  <si>
    <t>Transport Services</t>
  </si>
  <si>
    <t>100273</t>
  </si>
  <si>
    <t>Havells India Ltd.</t>
  </si>
  <si>
    <t>INE176B01034</t>
  </si>
  <si>
    <t>Consumer Durables</t>
  </si>
  <si>
    <t>101963</t>
  </si>
  <si>
    <t>Usha Martin Ltd.</t>
  </si>
  <si>
    <t>INE228A01035</t>
  </si>
  <si>
    <t>Industrial Products</t>
  </si>
  <si>
    <t>100399</t>
  </si>
  <si>
    <t>Cholamandalam Investment &amp; Finance Co. Ltd.</t>
  </si>
  <si>
    <t>INE121A01024</t>
  </si>
  <si>
    <t>100811</t>
  </si>
  <si>
    <t>NOCIL Ltd.</t>
  </si>
  <si>
    <t>INE163A01018</t>
  </si>
  <si>
    <t>102182</t>
  </si>
  <si>
    <t>Advani Hotels &amp; Resorts (India) Ltd.</t>
  </si>
  <si>
    <t>INE199C01026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</si>
  <si>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</si>
  <si>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</si>
  <si>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</si>
  <si>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</si>
  <si>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</si>
  <si>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</si>
  <si>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</si>
  <si>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</si>
  <si>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</si>
  <si>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</si>
  <si>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</si>
  <si>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</si>
  <si>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</si>
  <si>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</si>
  <si>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</si>
  <si>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</si>
  <si>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</si>
  <si>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</si>
  <si>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</si>
  <si>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</si>
  <si>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</si>
  <si>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</si>
  <si>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</si>
  <si>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</si>
  <si>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</si>
  <si>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</si>
  <si>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</si>
  <si>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</si>
  <si>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</si>
  <si>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</si>
  <si>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</si>
  <si>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</si>
  <si>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</si>
  <si>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</si>
  <si>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</si>
  <si>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</si>
  <si>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</si>
  <si>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</si>
  <si>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</si>
  <si>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</si>
  <si>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</si>
  <si>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</si>
  <si>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</si>
  <si>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</si>
  <si>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30, 2024 : 187.07)</t>
  </si>
  <si>
    <t>Taurus Elss Tax Saver Fund - Direct Plan Growth Option</t>
  </si>
  <si>
    <t>NAV [Rs.] Per Unit (as on August 30, 2024 : 202.84)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</si>
</sst>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1B1F8AB-895F-4E63-98CA-32BE60332C0E}"/>
    <cellStyle name="Hyperlink" xfId="2" builtinId="8"/>
    <cellStyle name="Normal" xfId="0" builtinId="0"/>
    <cellStyle name="Normal 2" xfId="4" xr:uid="{734F9924-F778-4847-AAF4-204348933D5A}"/>
    <cellStyle name="Style 1" xfId="3" xr:uid="{DC275400-5A2F-4E7C-8D49-4CE769339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1270001</xdr:colOff>
      <xdr:row>0</xdr:row>
      <xdr:rowOff>2022417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42DFB-D5A2-48E2-988C-CC205962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445251" cy="202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2917-7F69-4949-A77A-EA331FE4755C}">
  <dimension ref="A1:BB9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45743</v>
      </c>
      <c r="H10" s="32">
        <v>801.49</v>
      </c>
      <c r="I10" s="32">
        <v>9.66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46969</v>
      </c>
      <c r="H11" s="32">
        <v>766.98</v>
      </c>
      <c r="I11" s="32">
        <v>9.25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523.54</v>
      </c>
      <c r="I12" s="32">
        <v>6.31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36000</v>
      </c>
      <c r="H13" s="32">
        <v>442.85</v>
      </c>
      <c r="I13" s="32">
        <v>5.34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80000</v>
      </c>
      <c r="H14" s="32">
        <v>420</v>
      </c>
      <c r="I14" s="32">
        <v>5.0599999999999996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35000</v>
      </c>
      <c r="H15" s="32">
        <v>411.43</v>
      </c>
      <c r="I15" s="32">
        <v>4.96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401.48</v>
      </c>
      <c r="I16" s="32">
        <v>4.84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22792</v>
      </c>
      <c r="H17" s="32">
        <v>372.81</v>
      </c>
      <c r="I17" s="32">
        <v>4.49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18107</v>
      </c>
      <c r="H18" s="32">
        <v>351.87</v>
      </c>
      <c r="I18" s="32">
        <v>4.24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45643</v>
      </c>
      <c r="H19" s="32">
        <v>309.23</v>
      </c>
      <c r="I19" s="32">
        <v>3.73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21763</v>
      </c>
      <c r="H20" s="32">
        <v>276.49</v>
      </c>
      <c r="I20" s="32">
        <v>3.33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105085</v>
      </c>
      <c r="H21" s="32">
        <v>237.44</v>
      </c>
      <c r="I21" s="32">
        <v>2.86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13798</v>
      </c>
      <c r="H22" s="32">
        <v>228.46</v>
      </c>
      <c r="I22" s="32">
        <v>2.75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150110</v>
      </c>
      <c r="H23" s="32">
        <v>200.7</v>
      </c>
      <c r="I23" s="32">
        <v>2.42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85000</v>
      </c>
      <c r="H24" s="32">
        <v>189.34</v>
      </c>
      <c r="I24" s="32">
        <v>2.2799999999999998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31476</v>
      </c>
      <c r="H25" s="32">
        <v>173.89</v>
      </c>
      <c r="I25" s="32">
        <v>2.1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4035</v>
      </c>
      <c r="H26" s="32">
        <v>171.96</v>
      </c>
      <c r="I26" s="32">
        <v>2.0699999999999998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6939</v>
      </c>
      <c r="H27" s="32">
        <v>161.57</v>
      </c>
      <c r="I27" s="32">
        <v>1.95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30000</v>
      </c>
      <c r="H28" s="32">
        <v>148.65</v>
      </c>
      <c r="I28" s="32">
        <v>1.79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62</v>
      </c>
      <c r="G29" s="31">
        <v>2087</v>
      </c>
      <c r="H29" s="32">
        <v>146.69999999999999</v>
      </c>
      <c r="I29" s="32">
        <v>1.77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78</v>
      </c>
      <c r="G30" s="31">
        <v>12380</v>
      </c>
      <c r="H30" s="32">
        <v>142.25</v>
      </c>
      <c r="I30" s="32">
        <v>1.71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62</v>
      </c>
      <c r="G31" s="31">
        <v>2780</v>
      </c>
      <c r="H31" s="32">
        <v>141.6</v>
      </c>
      <c r="I31" s="32">
        <v>1.71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12146</v>
      </c>
      <c r="H32" s="32">
        <v>131.46</v>
      </c>
      <c r="I32" s="32">
        <v>1.58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99</v>
      </c>
      <c r="G33" s="31">
        <v>11444</v>
      </c>
      <c r="H33" s="32">
        <v>119.82</v>
      </c>
      <c r="I33" s="32">
        <v>1.44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61000</v>
      </c>
      <c r="H34" s="32">
        <v>119.1</v>
      </c>
      <c r="I34" s="32">
        <v>1.44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54767</v>
      </c>
      <c r="H35" s="32">
        <v>113.15</v>
      </c>
      <c r="I35" s="32">
        <v>1.36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26250</v>
      </c>
      <c r="H36" s="32">
        <v>78.59</v>
      </c>
      <c r="I36" s="32">
        <v>0.95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82</v>
      </c>
      <c r="G37" s="31">
        <v>72548</v>
      </c>
      <c r="H37" s="32">
        <v>64.47</v>
      </c>
      <c r="I37" s="32">
        <v>0.78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6500</v>
      </c>
      <c r="H38" s="32">
        <v>62.79</v>
      </c>
      <c r="I38" s="32">
        <v>0.76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3160</v>
      </c>
      <c r="H39" s="32">
        <v>59.97</v>
      </c>
      <c r="I39" s="32">
        <v>0.72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17365</v>
      </c>
      <c r="H40" s="32">
        <v>57.62</v>
      </c>
      <c r="I40" s="32">
        <v>0.69</v>
      </c>
      <c r="J40" s="33"/>
    </row>
    <row r="41" spans="2:10" x14ac:dyDescent="0.25">
      <c r="B41" s="1" t="s">
        <v>130</v>
      </c>
      <c r="C41" s="20" t="s">
        <v>131</v>
      </c>
      <c r="D41" s="29" t="s">
        <v>132</v>
      </c>
      <c r="E41" s="30"/>
      <c r="F41" s="30" t="s">
        <v>26</v>
      </c>
      <c r="G41" s="31">
        <v>3851</v>
      </c>
      <c r="H41" s="32">
        <v>56.11</v>
      </c>
      <c r="I41" s="32">
        <v>0.68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99</v>
      </c>
      <c r="G42" s="31">
        <v>19365</v>
      </c>
      <c r="H42" s="32">
        <v>54.74</v>
      </c>
      <c r="I42" s="32">
        <v>0.66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110</v>
      </c>
      <c r="G43" s="31">
        <v>44981</v>
      </c>
      <c r="H43" s="32">
        <v>33.93</v>
      </c>
      <c r="I43" s="32">
        <v>0.41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4330</v>
      </c>
      <c r="H44" s="32">
        <v>31.07</v>
      </c>
      <c r="I44" s="32">
        <v>0.37</v>
      </c>
      <c r="J44" s="33"/>
    </row>
    <row r="45" spans="2:10" x14ac:dyDescent="0.25">
      <c r="C45" s="28" t="s">
        <v>143</v>
      </c>
      <c r="D45" s="29"/>
      <c r="E45" s="30"/>
      <c r="F45" s="30"/>
      <c r="G45" s="31"/>
      <c r="H45" s="35">
        <v>8003.55</v>
      </c>
      <c r="I45" s="35">
        <v>96.46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144</v>
      </c>
      <c r="D47" s="29"/>
      <c r="E47" s="30"/>
      <c r="F47" s="30"/>
      <c r="G47" s="31"/>
      <c r="H47" s="32" t="s">
        <v>145</v>
      </c>
      <c r="I47" s="32" t="s">
        <v>145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146</v>
      </c>
      <c r="D49" s="29"/>
      <c r="E49" s="30"/>
      <c r="F49" s="30"/>
      <c r="G49" s="31"/>
      <c r="H49" s="32" t="s">
        <v>145</v>
      </c>
      <c r="I49" s="32" t="s">
        <v>145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147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148</v>
      </c>
      <c r="D53" s="29"/>
      <c r="E53" s="30"/>
      <c r="F53" s="30"/>
      <c r="G53" s="31"/>
      <c r="H53" s="32" t="s">
        <v>145</v>
      </c>
      <c r="I53" s="32" t="s">
        <v>145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149</v>
      </c>
      <c r="D55" s="29"/>
      <c r="E55" s="30"/>
      <c r="F55" s="30"/>
      <c r="G55" s="31"/>
      <c r="H55" s="32" t="s">
        <v>145</v>
      </c>
      <c r="I55" s="32" t="s">
        <v>145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150</v>
      </c>
      <c r="D57" s="29"/>
      <c r="E57" s="30"/>
      <c r="F57" s="30"/>
      <c r="G57" s="31"/>
      <c r="H57" s="32" t="s">
        <v>145</v>
      </c>
      <c r="I57" s="32" t="s">
        <v>145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151</v>
      </c>
      <c r="D59" s="29"/>
      <c r="E59" s="30"/>
      <c r="F59" s="30"/>
      <c r="G59" s="31"/>
      <c r="H59" s="32" t="s">
        <v>145</v>
      </c>
      <c r="I59" s="32" t="s">
        <v>145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152</v>
      </c>
      <c r="D61" s="29"/>
      <c r="E61" s="30"/>
      <c r="F61" s="30"/>
      <c r="G61" s="31"/>
      <c r="H61" s="32" t="s">
        <v>145</v>
      </c>
      <c r="I61" s="32" t="s">
        <v>145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153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154</v>
      </c>
      <c r="D65" s="29"/>
      <c r="E65" s="30"/>
      <c r="F65" s="30"/>
      <c r="G65" s="31"/>
      <c r="H65" s="32" t="s">
        <v>145</v>
      </c>
      <c r="I65" s="32" t="s">
        <v>145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155</v>
      </c>
      <c r="D67" s="29"/>
      <c r="E67" s="30"/>
      <c r="F67" s="30"/>
      <c r="G67" s="31"/>
      <c r="H67" s="32" t="s">
        <v>145</v>
      </c>
      <c r="I67" s="32" t="s">
        <v>145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156</v>
      </c>
      <c r="D69" s="29"/>
      <c r="E69" s="30"/>
      <c r="F69" s="30"/>
      <c r="G69" s="31"/>
      <c r="H69" s="32" t="s">
        <v>145</v>
      </c>
      <c r="I69" s="32" t="s">
        <v>145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157</v>
      </c>
      <c r="D71" s="29"/>
      <c r="E71" s="30"/>
      <c r="F71" s="30"/>
      <c r="G71" s="31"/>
      <c r="H71" s="32" t="s">
        <v>145</v>
      </c>
      <c r="I71" s="32" t="s">
        <v>145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158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159</v>
      </c>
      <c r="D75" s="29"/>
      <c r="E75" s="30"/>
      <c r="F75" s="30"/>
      <c r="G75" s="31"/>
      <c r="H75" s="32" t="s">
        <v>145</v>
      </c>
      <c r="I75" s="32" t="s">
        <v>145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160</v>
      </c>
      <c r="D77" s="29"/>
      <c r="E77" s="30"/>
      <c r="F77" s="30"/>
      <c r="G77" s="31"/>
      <c r="H77" s="32" t="s">
        <v>145</v>
      </c>
      <c r="I77" s="32" t="s">
        <v>145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161</v>
      </c>
      <c r="D79" s="29"/>
      <c r="E79" s="30"/>
      <c r="F79" s="30"/>
      <c r="G79" s="31"/>
      <c r="H79" s="32" t="s">
        <v>145</v>
      </c>
      <c r="I79" s="32" t="s">
        <v>145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162</v>
      </c>
      <c r="D81" s="29"/>
      <c r="E81" s="30"/>
      <c r="F81" s="30"/>
      <c r="G81" s="31"/>
      <c r="H81" s="32" t="s">
        <v>145</v>
      </c>
      <c r="I81" s="32" t="s">
        <v>145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163</v>
      </c>
      <c r="D83" s="29"/>
      <c r="E83" s="30"/>
      <c r="F83" s="30"/>
      <c r="G83" s="31"/>
      <c r="H83" s="32" t="s">
        <v>145</v>
      </c>
      <c r="I83" s="32" t="s">
        <v>145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164</v>
      </c>
      <c r="D85" s="29"/>
      <c r="E85" s="30"/>
      <c r="F85" s="30"/>
      <c r="G85" s="31"/>
      <c r="H85" s="32" t="s">
        <v>145</v>
      </c>
      <c r="I85" s="32" t="s">
        <v>145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165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166</v>
      </c>
      <c r="D88" s="29"/>
      <c r="E88" s="30"/>
      <c r="F88" s="30"/>
      <c r="G88" s="31"/>
      <c r="H88" s="32">
        <v>291.33999999999997</v>
      </c>
      <c r="I88" s="32">
        <v>3.5399999999999996</v>
      </c>
      <c r="J88" s="33"/>
    </row>
    <row r="89" spans="1:10" x14ac:dyDescent="0.25">
      <c r="C89" s="28" t="s">
        <v>143</v>
      </c>
      <c r="D89" s="29"/>
      <c r="E89" s="30"/>
      <c r="F89" s="30"/>
      <c r="G89" s="31"/>
      <c r="H89" s="35">
        <v>291.33999999999997</v>
      </c>
      <c r="I89" s="35">
        <v>3.5399999999999996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167</v>
      </c>
      <c r="D91" s="37"/>
      <c r="E91" s="38"/>
      <c r="F91" s="39"/>
      <c r="G91" s="40"/>
      <c r="H91" s="41">
        <v>8294.89</v>
      </c>
      <c r="I91" s="41">
        <f>SUMIFS(I:I,C:C,"Total")</f>
        <v>100</v>
      </c>
      <c r="J91" s="42"/>
    </row>
    <row r="94" spans="1:10" x14ac:dyDescent="0.25">
      <c r="C94" s="11" t="s">
        <v>168</v>
      </c>
    </row>
    <row r="95" spans="1:10" x14ac:dyDescent="0.25">
      <c r="C95" s="2" t="s">
        <v>169</v>
      </c>
    </row>
    <row r="96" spans="1:10" x14ac:dyDescent="0.25">
      <c r="C96" s="2" t="s">
        <v>170</v>
      </c>
    </row>
    <row r="97" spans="3:3" x14ac:dyDescent="0.25">
      <c r="C97" s="2" t="s">
        <v>171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2CD3-1858-4AD4-AE68-74EDA1BC31B3}">
  <dimension ref="C3:K17"/>
  <sheetViews>
    <sheetView workbookViewId="0"/>
  </sheetViews>
  <sheetFormatPr defaultRowHeight="15" x14ac:dyDescent="0.25"/>
  <cols>
    <col min="3" max="3" width="47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172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173</v>
      </c>
      <c r="D4" s="46" t="s">
        <v>174</v>
      </c>
      <c r="E4" s="46"/>
      <c r="F4" s="46" t="s">
        <v>175</v>
      </c>
      <c r="G4" s="46"/>
      <c r="H4" s="46" t="s">
        <v>176</v>
      </c>
      <c r="I4" s="46"/>
      <c r="J4" s="46" t="s">
        <v>177</v>
      </c>
      <c r="K4" s="46"/>
    </row>
    <row r="5" spans="3:11" ht="63.75" x14ac:dyDescent="0.25">
      <c r="C5" s="47"/>
      <c r="D5" s="48" t="s">
        <v>178</v>
      </c>
      <c r="E5" s="48" t="s">
        <v>179</v>
      </c>
      <c r="F5" s="48" t="s">
        <v>178</v>
      </c>
      <c r="G5" s="48" t="s">
        <v>179</v>
      </c>
      <c r="H5" s="48" t="s">
        <v>178</v>
      </c>
      <c r="I5" s="48" t="s">
        <v>179</v>
      </c>
      <c r="J5" s="48" t="s">
        <v>178</v>
      </c>
      <c r="K5" s="48" t="s">
        <v>179</v>
      </c>
    </row>
    <row r="6" spans="3:11" x14ac:dyDescent="0.25">
      <c r="C6" s="49" t="s">
        <v>180</v>
      </c>
      <c r="D6" s="50">
        <v>38.714222156310221</v>
      </c>
      <c r="E6" s="50">
        <v>13871.422215631022</v>
      </c>
      <c r="F6" s="50">
        <v>19.085987824519979</v>
      </c>
      <c r="G6" s="50">
        <v>16888.146610092987</v>
      </c>
      <c r="H6" s="50">
        <v>20.365350466066978</v>
      </c>
      <c r="I6" s="50">
        <v>25289.982425307557</v>
      </c>
      <c r="J6" s="50">
        <v>12.488659428147164</v>
      </c>
      <c r="K6" s="50">
        <v>187070</v>
      </c>
    </row>
    <row r="7" spans="3:11" x14ac:dyDescent="0.25">
      <c r="C7" s="49" t="s">
        <v>181</v>
      </c>
      <c r="D7" s="50">
        <v>41.137861231117448</v>
      </c>
      <c r="E7" s="50">
        <v>14113.786123111744</v>
      </c>
      <c r="F7" s="50">
        <v>18.911557341447939</v>
      </c>
      <c r="G7" s="50">
        <v>16814.04482336</v>
      </c>
      <c r="H7" s="50">
        <v>22.858164945015336</v>
      </c>
      <c r="I7" s="50">
        <v>27991.110019028809</v>
      </c>
      <c r="J7" s="50">
        <v>0</v>
      </c>
      <c r="K7" s="50">
        <v>0</v>
      </c>
    </row>
    <row r="8" spans="3:11" x14ac:dyDescent="0.25">
      <c r="C8" s="49" t="s">
        <v>182</v>
      </c>
      <c r="D8" s="50">
        <v>32.637285288704689</v>
      </c>
      <c r="E8" s="50">
        <v>13263.728528870468</v>
      </c>
      <c r="F8" s="50">
        <v>15.165415879249267</v>
      </c>
      <c r="G8" s="50">
        <v>15274.473195679144</v>
      </c>
      <c r="H8" s="50">
        <v>19.371647399859615</v>
      </c>
      <c r="I8" s="50">
        <v>24238.511002957006</v>
      </c>
      <c r="J8" s="50">
        <v>13.422952887842809</v>
      </c>
      <c r="K8" s="50">
        <v>359298.35027069977</v>
      </c>
    </row>
    <row r="9" spans="3:11" x14ac:dyDescent="0.25">
      <c r="C9" s="49" t="s">
        <v>183</v>
      </c>
      <c r="D9" s="51">
        <v>134.86000000000001</v>
      </c>
      <c r="E9" s="52"/>
      <c r="F9" s="51">
        <v>110.77</v>
      </c>
      <c r="G9" s="52"/>
      <c r="H9" s="51">
        <v>73.97</v>
      </c>
      <c r="I9" s="52"/>
      <c r="J9" s="51">
        <v>10</v>
      </c>
      <c r="K9" s="52"/>
    </row>
    <row r="11" spans="3:11" ht="15.75" x14ac:dyDescent="0.25">
      <c r="C11" s="43" t="s">
        <v>184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173</v>
      </c>
      <c r="D12" s="46" t="s">
        <v>174</v>
      </c>
      <c r="E12" s="46"/>
      <c r="F12" s="46" t="s">
        <v>175</v>
      </c>
      <c r="G12" s="46"/>
      <c r="H12" s="46" t="s">
        <v>176</v>
      </c>
      <c r="I12" s="46"/>
      <c r="J12" s="46" t="s">
        <v>177</v>
      </c>
      <c r="K12" s="46"/>
    </row>
    <row r="13" spans="3:11" ht="63.75" x14ac:dyDescent="0.25">
      <c r="C13" s="47"/>
      <c r="D13" s="48" t="s">
        <v>178</v>
      </c>
      <c r="E13" s="48" t="s">
        <v>179</v>
      </c>
      <c r="F13" s="48" t="s">
        <v>178</v>
      </c>
      <c r="G13" s="48" t="s">
        <v>179</v>
      </c>
      <c r="H13" s="48" t="s">
        <v>178</v>
      </c>
      <c r="I13" s="48" t="s">
        <v>179</v>
      </c>
      <c r="J13" s="48" t="s">
        <v>178</v>
      </c>
      <c r="K13" s="48" t="s">
        <v>179</v>
      </c>
    </row>
    <row r="14" spans="3:11" x14ac:dyDescent="0.25">
      <c r="C14" s="49" t="s">
        <v>180</v>
      </c>
      <c r="D14" s="50">
        <v>39.591218773656323</v>
      </c>
      <c r="E14" s="50">
        <v>13959.121877365633</v>
      </c>
      <c r="F14" s="50">
        <v>19.885810252088977</v>
      </c>
      <c r="G14" s="50">
        <v>17230.716955487598</v>
      </c>
      <c r="H14" s="50">
        <v>21.199628797562763</v>
      </c>
      <c r="I14" s="50">
        <v>26179.659266907587</v>
      </c>
      <c r="J14" s="50">
        <v>15.256778777835711</v>
      </c>
      <c r="K14" s="50">
        <v>52426.983716722665</v>
      </c>
    </row>
    <row r="15" spans="3:11" x14ac:dyDescent="0.25">
      <c r="C15" s="49" t="s">
        <v>181</v>
      </c>
      <c r="D15" s="50">
        <v>41.137861231117448</v>
      </c>
      <c r="E15" s="50">
        <v>14113.786123111744</v>
      </c>
      <c r="F15" s="50">
        <v>18.911557341447939</v>
      </c>
      <c r="G15" s="50">
        <v>16814.04482336</v>
      </c>
      <c r="H15" s="50">
        <v>22.858164945015336</v>
      </c>
      <c r="I15" s="50">
        <v>27991.110019028809</v>
      </c>
      <c r="J15" s="50">
        <v>16.106537443656642</v>
      </c>
      <c r="K15" s="50">
        <v>57118.875899001971</v>
      </c>
    </row>
    <row r="16" spans="3:11" x14ac:dyDescent="0.25">
      <c r="C16" s="49" t="s">
        <v>182</v>
      </c>
      <c r="D16" s="50">
        <v>32.637285288704689</v>
      </c>
      <c r="E16" s="50">
        <v>13263.728528870468</v>
      </c>
      <c r="F16" s="50">
        <v>15.165415879249267</v>
      </c>
      <c r="G16" s="50">
        <v>15274.473195679144</v>
      </c>
      <c r="H16" s="50">
        <v>19.371647399859615</v>
      </c>
      <c r="I16" s="50">
        <v>24238.511002957006</v>
      </c>
      <c r="J16" s="50">
        <v>14.583821414523012</v>
      </c>
      <c r="K16" s="50">
        <v>48964.333234868907</v>
      </c>
    </row>
    <row r="17" spans="3:11" x14ac:dyDescent="0.25">
      <c r="C17" s="49" t="s">
        <v>185</v>
      </c>
      <c r="D17" s="51">
        <v>145.31</v>
      </c>
      <c r="E17" s="52"/>
      <c r="F17" s="51">
        <v>117.72</v>
      </c>
      <c r="G17" s="52"/>
      <c r="H17" s="51">
        <v>77.48</v>
      </c>
      <c r="I17" s="52"/>
      <c r="J17" s="51">
        <v>38.69</v>
      </c>
      <c r="K17" s="52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2024-09-02T11:17:33Z</dcterms:created>
  <dcterms:modified xsi:type="dcterms:W3CDTF">2024-09-05T09:15:52Z</dcterms:modified>
</cp:coreProperties>
</file>