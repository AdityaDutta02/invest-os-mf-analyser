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974F36AB-D1A5-4825-AC3A-207FB4060334}" xr6:coauthVersionLast="47" xr6:coauthVersionMax="47" xr10:uidLastSave="{00000000-0000-0000-0000-000000000000}"/>
  <bookViews>
    <workbookView xWindow="-120" yWindow="-120" windowWidth="20730" windowHeight="11040" activeTab="1" xr2:uid="{8143A84B-4F43-4E38-BCCF-B8CF6126DBE8}"/>
  </bookViews>
  <sheets>
    <sheet name="TISF" sheetId="1" r:id="rId1"/>
    <sheet name="TISF Performance" sheetId="2" r:id="rId2"/>
  </sheets>
  <externalReferences>
    <externalReference r:id="rId3"/>
  </externalReferences>
  <definedNames>
    <definedName name="XDO_?CLASS_3?4?">TISF!$C$8:$C$41</definedName>
    <definedName name="XDO_?FINAL_ISIN?7?">TISF!$D$10:$D$41</definedName>
    <definedName name="XDO_?FINAL_ISIN?8?">TISF!$D$10:$D$85</definedName>
    <definedName name="XDO_?FINAL_MV?7?">TISF!$H$10:$H$41</definedName>
    <definedName name="XDO_?FINAL_MV?8?">TISF!$H$10:$H$85</definedName>
    <definedName name="XDO_?FINAL_NAME?7?">TISF!$C$10:$C$41</definedName>
    <definedName name="XDO_?FINAL_NAME?8?">TISF!$C$10:$C$85</definedName>
    <definedName name="XDO_?FINAL_PER_NET?7?">TISF!$I$10:$I$41</definedName>
    <definedName name="XDO_?FINAL_PER_NET?8?">TISF!$I$10:$I$85</definedName>
    <definedName name="XDO_?FINAL_QUANTITE?7?">TISF!$G$10:$G$41</definedName>
    <definedName name="XDO_?FINAL_QUANTITE?8?">TISF!$G$10:$G$85</definedName>
    <definedName name="XDO_?IND_01?7?">TISF!$F$10:$F$41</definedName>
    <definedName name="XDO_?IND_01?8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TISF!$B$10:$B$41</definedName>
    <definedName name="XDO_?NOVAL?8?">TISF!$B$10:$B$85</definedName>
    <definedName name="XDO_?NPTF?4?">TISF!$D$2:$D$41</definedName>
    <definedName name="XDO_?RATING?7?">TISF!$E$10:$E$41</definedName>
    <definedName name="XDO_?RATING?8?">TISF!$E$10:$E$85</definedName>
    <definedName name="XDO_?REMARKS?7?">TISF!$J$10:$J$41</definedName>
    <definedName name="XDO_?REMARKS?8?">TISF!$J$10:$J$85</definedName>
    <definedName name="XDO_?TITL?4?">TISF!$A$8:$A$41</definedName>
    <definedName name="XDO_GROUP_?G_2?4?">TISF!$2:$88</definedName>
    <definedName name="XDO_GROUP_?G_3?4?">TISF!$8:$87</definedName>
    <definedName name="XDO_GROUP_?G_4?7?">TISF!$B$10:$IV$41</definedName>
    <definedName name="XDO_GROUP_?G_4?8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<sst xmlns="http://schemas.openxmlformats.org/spreadsheetml/2006/main" count="270" uniqueCount="193">
  <si>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</si>
  <si>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</si>
  <si>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</si>
  <si>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</si>
  <si>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</si>
  <si>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</si>
  <si>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</si>
  <si>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</si>
  <si>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</si>
  <si>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</si>
  <si>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</si>
  <si>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</si>
  <si>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</si>
  <si>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</si>
  <si>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</si>
  <si>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</si>
  <si>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</si>
  <si>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</si>
  <si>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</si>
  <si>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</si>
  <si>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</si>
  <si>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</si>
  <si>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</si>
  <si>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</si>
  <si>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</si>
  <si>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</si>
  <si>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</si>
  <si>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100182</t>
  </si>
  <si>
    <t>Power Grid Corporation of India Ltd.</t>
  </si>
  <si>
    <t>INE752E01010</t>
  </si>
  <si>
    <t>Power</t>
  </si>
  <si>
    <t>102135</t>
  </si>
  <si>
    <t>Le Travenues Technology Ltd.</t>
  </si>
  <si>
    <t>INE0HV901016</t>
  </si>
  <si>
    <t>Leisure Services</t>
  </si>
  <si>
    <t>100181</t>
  </si>
  <si>
    <t>NTPC Ltd.</t>
  </si>
  <si>
    <t>INE733E01010</t>
  </si>
  <si>
    <t>100111</t>
  </si>
  <si>
    <t>Oil &amp; Natural Gas Corporation Ltd.</t>
  </si>
  <si>
    <t>INE213A01029</t>
  </si>
  <si>
    <t>Oil</t>
  </si>
  <si>
    <t>100082</t>
  </si>
  <si>
    <t>Ultratech Cement Ltd.</t>
  </si>
  <si>
    <t>INE481G01011</t>
  </si>
  <si>
    <t>Cement &amp; Cement Products</t>
  </si>
  <si>
    <t>100177</t>
  </si>
  <si>
    <t>Grasim Industries Ltd.</t>
  </si>
  <si>
    <t>INE047A01021</t>
  </si>
  <si>
    <t>100174</t>
  </si>
  <si>
    <t>Vodafone Idea Ltd.</t>
  </si>
  <si>
    <t>INE669E01016</t>
  </si>
  <si>
    <t>100418</t>
  </si>
  <si>
    <t>Adani Enterprises Ltd.</t>
  </si>
  <si>
    <t>INE423A01024</t>
  </si>
  <si>
    <t>Metals &amp; Minerals Trading</t>
  </si>
  <si>
    <t>100094</t>
  </si>
  <si>
    <t>Bharat Petroleum Corporation Ltd.</t>
  </si>
  <si>
    <t>INE029A01011</t>
  </si>
  <si>
    <t>100292</t>
  </si>
  <si>
    <t>Steel Authority of India Ltd.</t>
  </si>
  <si>
    <t>INE114A01011</t>
  </si>
  <si>
    <t>Ferrous Metals</t>
  </si>
  <si>
    <t>100465</t>
  </si>
  <si>
    <t>Interglobe Aviation Ltd.</t>
  </si>
  <si>
    <t>INE646L01027</t>
  </si>
  <si>
    <t>Transport Services</t>
  </si>
  <si>
    <t>100263</t>
  </si>
  <si>
    <t>BEML Ltd.</t>
  </si>
  <si>
    <t>INE258A01024</t>
  </si>
  <si>
    <t>Agricultural, Commercial &amp; Construction Vehicles</t>
  </si>
  <si>
    <t>100694</t>
  </si>
  <si>
    <t>Indian Energy Exchange Ltd.</t>
  </si>
  <si>
    <t>INE022Q01020</t>
  </si>
  <si>
    <t>Capital Markets</t>
  </si>
  <si>
    <t>101365</t>
  </si>
  <si>
    <t>Voltamp Transformers Ltd.</t>
  </si>
  <si>
    <t>INE540H01012</t>
  </si>
  <si>
    <t>Electrical Equipment</t>
  </si>
  <si>
    <t>101184</t>
  </si>
  <si>
    <t>Mazagon Dock Shipbuilders Ltd.</t>
  </si>
  <si>
    <t>INE249Z01020</t>
  </si>
  <si>
    <t>Industrial Manufacturing</t>
  </si>
  <si>
    <t>100100</t>
  </si>
  <si>
    <t>Hindustan Petroleum Corporation Ltd.</t>
  </si>
  <si>
    <t>INE094A01015</t>
  </si>
  <si>
    <t>100014</t>
  </si>
  <si>
    <t>Mahindra &amp; Mahindra Ltd.</t>
  </si>
  <si>
    <t>INE101A01026</t>
  </si>
  <si>
    <t>Automobiles</t>
  </si>
  <si>
    <t>102206</t>
  </si>
  <si>
    <t>Chemtech Industrial Valves Ltd.</t>
  </si>
  <si>
    <t>INE212P01011</t>
  </si>
  <si>
    <t>102447</t>
  </si>
  <si>
    <t>Afcons Infrastructure Ltd.</t>
  </si>
  <si>
    <t>INE101I01011</t>
  </si>
  <si>
    <t>100156</t>
  </si>
  <si>
    <t>Finolex Cables Ltd.</t>
  </si>
  <si>
    <t>INE235A01022</t>
  </si>
  <si>
    <t>Industrial Products</t>
  </si>
  <si>
    <t>100809</t>
  </si>
  <si>
    <t>Rites Ltd.</t>
  </si>
  <si>
    <t>INE320J01015</t>
  </si>
  <si>
    <t>101949</t>
  </si>
  <si>
    <t>Samhi Hotels Ltd.</t>
  </si>
  <si>
    <t>INE08U801020</t>
  </si>
  <si>
    <t>100498</t>
  </si>
  <si>
    <t>Ahluwalia Contracts (India) Ltd.</t>
  </si>
  <si>
    <t>INE758C01029</t>
  </si>
  <si>
    <t>100430</t>
  </si>
  <si>
    <t>Salzer Electronics Ltd.</t>
  </si>
  <si>
    <t>INE457F01013</t>
  </si>
  <si>
    <t>100560</t>
  </si>
  <si>
    <t>NESCO Ltd.</t>
  </si>
  <si>
    <t>INE317F01035</t>
  </si>
  <si>
    <t>Commercial Services &amp; Supplies</t>
  </si>
  <si>
    <t>102220</t>
  </si>
  <si>
    <t>Interarch Building Solutions Ltd.</t>
  </si>
  <si>
    <t>INE00M901018</t>
  </si>
  <si>
    <t>100573</t>
  </si>
  <si>
    <t>Chennai Petroleum Corporation Ltd.</t>
  </si>
  <si>
    <t>INE178A01016</t>
  </si>
  <si>
    <t>100169</t>
  </si>
  <si>
    <t>Indian Oil Corporation Ltd.</t>
  </si>
  <si>
    <t>INE242A01010</t>
  </si>
  <si>
    <t>102094</t>
  </si>
  <si>
    <t>HBL Engineering Ltd.</t>
  </si>
  <si>
    <t>INE292B01021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</si>
  <si>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</si>
  <si>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</si>
  <si>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</si>
  <si>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</si>
  <si>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</si>
  <si>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</si>
  <si>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</si>
  <si>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</si>
  <si>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</si>
  <si>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</si>
  <si>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</si>
  <si>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</si>
  <si>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</si>
  <si>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</si>
  <si>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</si>
  <si>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</si>
  <si>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</si>
  <si>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</si>
  <si>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</si>
  <si>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</si>
  <si>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</si>
  <si>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</si>
  <si>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</si>
  <si>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</si>
  <si>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</si>
  <si>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</si>
  <si>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</si>
  <si>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</si>
  <si>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</si>
  <si>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</si>
  <si>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</si>
  <si>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</si>
  <si>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</si>
  <si>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</si>
  <si>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</si>
  <si>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</si>
  <si>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</si>
  <si>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</si>
  <si>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</si>
  <si>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</si>
  <si>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</si>
  <si>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</si>
  <si>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 March 31, 2026.</t>
  </si>
  <si>
    <t>8. Total outstanding exposure in derivative instruments as on March 31, 2026 is Nil</t>
  </si>
  <si>
    <t>9. Total investments in Foreign Securities /ADRs/GDRs /Overseas ETFs as on March 31, 2026 and its percentage to NAV is Nil.</t>
  </si>
  <si>
    <t>10. During the period, the portfolio turnover ratio is 0.63 times.</t>
  </si>
  <si>
    <t>      Portfolio Turnover Ratio = Lower of sales or purchase of securities divided by average AUM for 12 months ended as on 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</si>
  <si>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</si>
  <si>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</si>
  <si>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</si>
  <si>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</si>
  <si>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</si>
  <si>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</si>
  <si>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</si>
  <si>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</si>
  <si>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</si>
  <si>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</si>
  <si>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</si>
  <si>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</si>
  <si>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</si>
  <si>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</si>
  <si>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</si>
  <si>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March 30,2026 :57.96)</t>
  </si>
  <si>
    <t>Taurus Infrastructure Fund - Direct Plan Growth Option</t>
  </si>
  <si>
    <t>NAV [Rs.] Per Unit (as on March 30,2026 :62.45)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</si>
</sst>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6A72AAF9-B338-44D8-9BD6-2150FE05CF57}"/>
    <cellStyle name="Hyperlink" xfId="2" builtinId="8"/>
    <cellStyle name="Normal" xfId="0" builtinId="0"/>
    <cellStyle name="Normal 2" xfId="4" xr:uid="{504EE01B-B32E-4541-8F04-073FB329E0AD}"/>
    <cellStyle name="Style 1" xfId="3" xr:uid="{5D560659-93F9-4DA8-B483-285FF6378D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619443</xdr:colOff>
      <xdr:row>0</xdr:row>
      <xdr:rowOff>1926167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3226EF-BCAA-4501-92D7-ABB4162C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371610" cy="1926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582083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429D5F2C-07B9-41B8-9A2C-2BFB035EF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333" y="0"/>
          <a:ext cx="7334250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191D-A979-4632-924B-18961F79F728}">
  <dimension ref="A1:BB114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8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87.43</v>
      </c>
      <c r="I10" s="32">
        <v>10.98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64.55</v>
      </c>
      <c r="I11" s="32">
        <v>8.11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60.24</v>
      </c>
      <c r="I12" s="32">
        <v>7.56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50.01</v>
      </c>
      <c r="I13" s="32">
        <v>6.28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18697</v>
      </c>
      <c r="H14" s="32">
        <v>32.65</v>
      </c>
      <c r="I14" s="32">
        <v>4.0999999999999996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8787</v>
      </c>
      <c r="H15" s="32">
        <v>32.6</v>
      </c>
      <c r="I15" s="32">
        <v>4.09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11318</v>
      </c>
      <c r="H16" s="32">
        <v>32.21</v>
      </c>
      <c r="I16" s="32">
        <v>4.04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280</v>
      </c>
      <c r="H17" s="32">
        <v>30.09</v>
      </c>
      <c r="I17" s="32">
        <v>3.78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45</v>
      </c>
      <c r="G18" s="31">
        <v>1015</v>
      </c>
      <c r="H18" s="32">
        <v>25.94</v>
      </c>
      <c r="I18" s="32">
        <v>3.26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255518</v>
      </c>
      <c r="H19" s="32">
        <v>21.8</v>
      </c>
      <c r="I19" s="32">
        <v>2.74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1171</v>
      </c>
      <c r="H20" s="32">
        <v>20.61</v>
      </c>
      <c r="I20" s="32">
        <v>2.59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6894</v>
      </c>
      <c r="H21" s="32">
        <v>19.38</v>
      </c>
      <c r="I21" s="32">
        <v>2.4300000000000002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12800</v>
      </c>
      <c r="H22" s="32">
        <v>19.37</v>
      </c>
      <c r="I22" s="32">
        <v>2.4300000000000002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469</v>
      </c>
      <c r="H23" s="32">
        <v>18.5</v>
      </c>
      <c r="I23" s="32">
        <v>2.3199999999999998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1330</v>
      </c>
      <c r="H24" s="32">
        <v>18.190000000000001</v>
      </c>
      <c r="I24" s="32">
        <v>2.2799999999999998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15410</v>
      </c>
      <c r="H25" s="32">
        <v>17.68</v>
      </c>
      <c r="I25" s="32">
        <v>2.2200000000000002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197</v>
      </c>
      <c r="H26" s="32">
        <v>17.11</v>
      </c>
      <c r="I26" s="32">
        <v>2.15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795</v>
      </c>
      <c r="H27" s="32">
        <v>16.41</v>
      </c>
      <c r="I27" s="32">
        <v>2.06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22</v>
      </c>
      <c r="G28" s="31">
        <v>4702</v>
      </c>
      <c r="H28" s="32">
        <v>15.76</v>
      </c>
      <c r="I28" s="32">
        <v>1.98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523</v>
      </c>
      <c r="H29" s="32">
        <v>15.46</v>
      </c>
      <c r="I29" s="32">
        <v>1.94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82</v>
      </c>
      <c r="G30" s="31">
        <v>25000</v>
      </c>
      <c r="H30" s="32">
        <v>15.28</v>
      </c>
      <c r="I30" s="32">
        <v>1.92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26</v>
      </c>
      <c r="G31" s="31">
        <v>5600</v>
      </c>
      <c r="H31" s="32">
        <v>15.17</v>
      </c>
      <c r="I31" s="32">
        <v>1.9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1903</v>
      </c>
      <c r="H32" s="32">
        <v>14.76</v>
      </c>
      <c r="I32" s="32">
        <v>1.85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26</v>
      </c>
      <c r="G33" s="31">
        <v>8404</v>
      </c>
      <c r="H33" s="32">
        <v>14.76</v>
      </c>
      <c r="I33" s="32">
        <v>1.85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34</v>
      </c>
      <c r="G34" s="31">
        <v>10392</v>
      </c>
      <c r="H34" s="32">
        <v>13.31</v>
      </c>
      <c r="I34" s="32">
        <v>1.67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26</v>
      </c>
      <c r="G35" s="31">
        <v>2005</v>
      </c>
      <c r="H35" s="32">
        <v>13.08</v>
      </c>
      <c r="I35" s="32">
        <v>1.64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78</v>
      </c>
      <c r="G36" s="31">
        <v>2036</v>
      </c>
      <c r="H36" s="32">
        <v>9.98</v>
      </c>
      <c r="I36" s="32">
        <v>1.25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815</v>
      </c>
      <c r="H37" s="32">
        <v>8.2799999999999994</v>
      </c>
      <c r="I37" s="32">
        <v>1.04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26</v>
      </c>
      <c r="G38" s="31">
        <v>463</v>
      </c>
      <c r="H38" s="32">
        <v>7.71</v>
      </c>
      <c r="I38" s="32">
        <v>0.97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749</v>
      </c>
      <c r="H39" s="32">
        <v>7.25</v>
      </c>
      <c r="I39" s="32">
        <v>0.91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22</v>
      </c>
      <c r="G40" s="31">
        <v>5075</v>
      </c>
      <c r="H40" s="32">
        <v>6.88</v>
      </c>
      <c r="I40" s="32">
        <v>0.86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99</v>
      </c>
      <c r="G41" s="31">
        <v>1050</v>
      </c>
      <c r="H41" s="32">
        <v>6.45</v>
      </c>
      <c r="I41" s="32">
        <v>0.81</v>
      </c>
      <c r="J41" s="33"/>
    </row>
    <row r="42" spans="2:10" x14ac:dyDescent="0.25">
      <c r="C42" s="28" t="s">
        <v>128</v>
      </c>
      <c r="D42" s="29"/>
      <c r="E42" s="30"/>
      <c r="F42" s="30"/>
      <c r="G42" s="31"/>
      <c r="H42" s="35">
        <v>748.9</v>
      </c>
      <c r="I42" s="35">
        <v>94.01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151</v>
      </c>
      <c r="D85" s="29"/>
      <c r="E85" s="30"/>
      <c r="F85" s="30"/>
      <c r="G85" s="31"/>
      <c r="H85" s="32">
        <v>47.52</v>
      </c>
      <c r="I85" s="32">
        <v>5.9899999999999993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47.52</v>
      </c>
      <c r="I86" s="35">
        <v>5.9899999999999993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152</v>
      </c>
      <c r="D88" s="37"/>
      <c r="E88" s="38"/>
      <c r="F88" s="39"/>
      <c r="G88" s="40"/>
      <c r="H88" s="41">
        <v>796.42</v>
      </c>
      <c r="I88" s="41">
        <f>SUMIFS(I:I,C:C,"Total")</f>
        <v>100</v>
      </c>
      <c r="J88" s="42"/>
    </row>
    <row r="89" spans="1:10" x14ac:dyDescent="0.25">
      <c r="H89" s="43"/>
    </row>
    <row r="91" spans="1:10" x14ac:dyDescent="0.25">
      <c r="C91" s="11" t="s">
        <v>153</v>
      </c>
    </row>
    <row r="92" spans="1:10" x14ac:dyDescent="0.25">
      <c r="C92" s="2" t="s">
        <v>154</v>
      </c>
    </row>
    <row r="93" spans="1:10" x14ac:dyDescent="0.25">
      <c r="C93" s="2" t="s">
        <v>155</v>
      </c>
    </row>
    <row r="94" spans="1:10" x14ac:dyDescent="0.25">
      <c r="C94" s="2" t="s">
        <v>156</v>
      </c>
    </row>
    <row r="95" spans="1:10" x14ac:dyDescent="0.25">
      <c r="C95" s="2" t="s">
        <v>157</v>
      </c>
    </row>
    <row r="96" spans="1:10" x14ac:dyDescent="0.25">
      <c r="C96" s="2" t="s">
        <v>158</v>
      </c>
    </row>
    <row r="97" spans="3:7" ht="14.25" thickBot="1" x14ac:dyDescent="0.3">
      <c r="C97" s="2" t="s">
        <v>159</v>
      </c>
    </row>
    <row r="98" spans="3:7" ht="14.25" thickBot="1" x14ac:dyDescent="0.3">
      <c r="C98" s="44"/>
      <c r="D98" s="60" t="s">
        <v>160</v>
      </c>
      <c r="E98" s="61"/>
    </row>
    <row r="99" spans="3:7" x14ac:dyDescent="0.25">
      <c r="C99" s="45" t="s">
        <v>161</v>
      </c>
      <c r="D99" s="46" t="s">
        <v>162</v>
      </c>
      <c r="E99" s="46" t="s">
        <v>162</v>
      </c>
    </row>
    <row r="100" spans="3:7" ht="14.25" thickBot="1" x14ac:dyDescent="0.3">
      <c r="C100" s="47"/>
      <c r="D100" s="48" t="s">
        <v>163</v>
      </c>
      <c r="E100" s="48" t="s">
        <v>164</v>
      </c>
    </row>
    <row r="101" spans="3:7" ht="14.25" thickBot="1" x14ac:dyDescent="0.3">
      <c r="C101" s="49" t="s">
        <v>165</v>
      </c>
      <c r="D101" s="50">
        <v>60.81</v>
      </c>
      <c r="E101" s="50">
        <v>54.44</v>
      </c>
      <c r="F101" s="51"/>
      <c r="G101" s="43"/>
    </row>
    <row r="102" spans="3:7" ht="14.25" thickBot="1" x14ac:dyDescent="0.3">
      <c r="C102" s="49" t="s">
        <v>166</v>
      </c>
      <c r="D102" s="50">
        <v>64.739999999999995</v>
      </c>
      <c r="E102" s="50">
        <v>57.96</v>
      </c>
      <c r="F102" s="51"/>
      <c r="G102" s="43"/>
    </row>
    <row r="103" spans="3:7" ht="14.25" thickBot="1" x14ac:dyDescent="0.3">
      <c r="C103" s="49" t="s">
        <v>167</v>
      </c>
      <c r="D103" s="50">
        <v>64.94</v>
      </c>
      <c r="E103" s="50">
        <v>58.16</v>
      </c>
      <c r="F103" s="51"/>
      <c r="G103" s="43"/>
    </row>
    <row r="104" spans="3:7" ht="14.25" thickBot="1" x14ac:dyDescent="0.3">
      <c r="C104" s="49" t="s">
        <v>168</v>
      </c>
      <c r="D104" s="50">
        <v>69.73</v>
      </c>
      <c r="E104" s="50">
        <v>62.45</v>
      </c>
      <c r="F104" s="51"/>
      <c r="G104" s="43"/>
    </row>
    <row r="106" spans="3:7" x14ac:dyDescent="0.25">
      <c r="C106" s="2" t="s">
        <v>169</v>
      </c>
    </row>
    <row r="107" spans="3:7" x14ac:dyDescent="0.25">
      <c r="C107" s="2" t="s">
        <v>170</v>
      </c>
    </row>
    <row r="108" spans="3:7" x14ac:dyDescent="0.25">
      <c r="C108" s="2" t="s">
        <v>171</v>
      </c>
    </row>
    <row r="109" spans="3:7" x14ac:dyDescent="0.25">
      <c r="C109" s="2" t="s">
        <v>172</v>
      </c>
    </row>
    <row r="110" spans="3:7" x14ac:dyDescent="0.25">
      <c r="C110" s="2" t="s">
        <v>173</v>
      </c>
    </row>
    <row r="111" spans="3:7" x14ac:dyDescent="0.25">
      <c r="C111" s="2" t="s">
        <v>174</v>
      </c>
    </row>
    <row r="112" spans="3:7" x14ac:dyDescent="0.25">
      <c r="C112" s="2" t="s">
        <v>175</v>
      </c>
    </row>
    <row r="113" spans="3:3" x14ac:dyDescent="0.25">
      <c r="C113" s="2" t="s">
        <v>176</v>
      </c>
    </row>
    <row r="114" spans="3:3" x14ac:dyDescent="0.25">
      <c r="C114" s="2" t="s">
        <v>177</v>
      </c>
    </row>
  </sheetData>
  <mergeCells count="1">
    <mergeCell ref="D98:E9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B625-4472-4D82-BC5C-3A70A0DCCF47}">
  <dimension ref="C3:M17"/>
  <sheetViews>
    <sheetView tabSelected="1" topLeftCell="A3" workbookViewId="0">
      <selection activeCell="D14" sqref="D14"/>
    </sheetView>
  </sheetViews>
  <sheetFormatPr defaultRowHeight="15" x14ac:dyDescent="0.25"/>
  <cols>
    <col min="3" max="3" width="64.7109375" bestFit="1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178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179</v>
      </c>
      <c r="D4" s="64" t="s">
        <v>180</v>
      </c>
      <c r="E4" s="64"/>
      <c r="F4" s="64" t="s">
        <v>181</v>
      </c>
      <c r="G4" s="64"/>
      <c r="H4" s="64" t="s">
        <v>182</v>
      </c>
      <c r="I4" s="64"/>
      <c r="J4" s="65" t="s">
        <v>183</v>
      </c>
      <c r="K4" s="66"/>
      <c r="L4" s="67" t="s">
        <v>184</v>
      </c>
      <c r="M4" s="67"/>
    </row>
    <row r="5" spans="3:13" ht="63.75" x14ac:dyDescent="0.25">
      <c r="C5" s="55"/>
      <c r="D5" s="56" t="s">
        <v>185</v>
      </c>
      <c r="E5" s="56" t="s">
        <v>186</v>
      </c>
      <c r="F5" s="56" t="s">
        <v>185</v>
      </c>
      <c r="G5" s="56" t="s">
        <v>186</v>
      </c>
      <c r="H5" s="56" t="s">
        <v>185</v>
      </c>
      <c r="I5" s="56" t="s">
        <v>186</v>
      </c>
      <c r="J5" s="56" t="s">
        <v>185</v>
      </c>
      <c r="K5" s="56" t="s">
        <v>186</v>
      </c>
      <c r="L5" s="57" t="s">
        <v>185</v>
      </c>
      <c r="M5" s="57" t="s">
        <v>186</v>
      </c>
    </row>
    <row r="6" spans="3:13" x14ac:dyDescent="0.25">
      <c r="C6" s="58" t="s">
        <v>187</v>
      </c>
      <c r="D6" s="59">
        <v>-4.2389200000000002</v>
      </c>
      <c r="E6" s="59">
        <v>9573.8354806739335</v>
      </c>
      <c r="F6" s="59">
        <v>15.681699999999999</v>
      </c>
      <c r="G6" s="59">
        <v>15493.183640737772</v>
      </c>
      <c r="H6" s="59">
        <v>12.8055</v>
      </c>
      <c r="I6" s="59">
        <v>18272.383354350568</v>
      </c>
      <c r="J6" s="59">
        <v>13.7216</v>
      </c>
      <c r="K6" s="59">
        <v>36202.373516552158</v>
      </c>
      <c r="L6" s="59">
        <v>9.6456999999999997</v>
      </c>
      <c r="M6" s="59">
        <v>57960</v>
      </c>
    </row>
    <row r="7" spans="3:13" x14ac:dyDescent="0.25">
      <c r="C7" s="58" t="s">
        <v>188</v>
      </c>
      <c r="D7" s="59">
        <v>2.0310000000000001</v>
      </c>
      <c r="E7" s="59">
        <v>10203.1</v>
      </c>
      <c r="F7" s="59">
        <v>20.480499999999999</v>
      </c>
      <c r="G7" s="59">
        <v>17488.408278279596</v>
      </c>
      <c r="H7" s="59">
        <v>16.965599999999998</v>
      </c>
      <c r="I7" s="59">
        <v>21892.268444263962</v>
      </c>
      <c r="J7" s="59">
        <v>14.398999999999999</v>
      </c>
      <c r="K7" s="59">
        <v>19593.460278455208</v>
      </c>
      <c r="L7" s="59">
        <v>7.2343000000000002</v>
      </c>
      <c r="M7" s="59">
        <v>37916.992669236737</v>
      </c>
    </row>
    <row r="8" spans="3:13" x14ac:dyDescent="0.25">
      <c r="C8" s="58" t="s">
        <v>189</v>
      </c>
      <c r="D8" s="59">
        <v>-3.99</v>
      </c>
      <c r="E8" s="59">
        <v>9601</v>
      </c>
      <c r="F8" s="59">
        <v>10.604200000000001</v>
      </c>
      <c r="G8" s="59">
        <v>13530.531495890262</v>
      </c>
      <c r="H8" s="59">
        <v>9.7759999999999998</v>
      </c>
      <c r="I8" s="59">
        <v>15941.787283973832</v>
      </c>
      <c r="J8" s="59">
        <v>12.539300000000001</v>
      </c>
      <c r="K8" s="59">
        <v>18051.822206086035</v>
      </c>
      <c r="L8" s="59">
        <v>11.383100000000001</v>
      </c>
      <c r="M8" s="59">
        <v>78237.484724173468</v>
      </c>
    </row>
    <row r="9" spans="3:13" x14ac:dyDescent="0.25">
      <c r="C9" s="58" t="s">
        <v>190</v>
      </c>
      <c r="D9" s="62">
        <v>60.54</v>
      </c>
      <c r="E9" s="63"/>
      <c r="F9" s="62">
        <v>37.409999999999997</v>
      </c>
      <c r="G9" s="63"/>
      <c r="H9" s="62">
        <v>31.72</v>
      </c>
      <c r="I9" s="63"/>
      <c r="J9" s="62">
        <v>16.010000000000002</v>
      </c>
      <c r="K9" s="63"/>
      <c r="L9" s="62">
        <v>10</v>
      </c>
      <c r="M9" s="63"/>
    </row>
    <row r="11" spans="3:13" ht="15.75" x14ac:dyDescent="0.25">
      <c r="C11" s="52" t="s">
        <v>191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179</v>
      </c>
      <c r="D12" s="64" t="s">
        <v>180</v>
      </c>
      <c r="E12" s="64"/>
      <c r="F12" s="64" t="s">
        <v>181</v>
      </c>
      <c r="G12" s="64"/>
      <c r="H12" s="64" t="s">
        <v>182</v>
      </c>
      <c r="I12" s="64"/>
      <c r="J12" s="65" t="s">
        <v>183</v>
      </c>
      <c r="K12" s="66"/>
      <c r="L12" s="67" t="s">
        <v>184</v>
      </c>
      <c r="M12" s="67"/>
    </row>
    <row r="13" spans="3:13" ht="63.75" x14ac:dyDescent="0.25">
      <c r="C13" s="55"/>
      <c r="D13" s="56" t="s">
        <v>185</v>
      </c>
      <c r="E13" s="56" t="s">
        <v>186</v>
      </c>
      <c r="F13" s="56" t="s">
        <v>185</v>
      </c>
      <c r="G13" s="56" t="s">
        <v>186</v>
      </c>
      <c r="H13" s="56" t="s">
        <v>185</v>
      </c>
      <c r="I13" s="56" t="s">
        <v>186</v>
      </c>
      <c r="J13" s="56" t="s">
        <v>185</v>
      </c>
      <c r="K13" s="56" t="s">
        <v>186</v>
      </c>
      <c r="L13" s="57" t="s">
        <v>185</v>
      </c>
      <c r="M13" s="57" t="s">
        <v>186</v>
      </c>
    </row>
    <row r="14" spans="3:13" x14ac:dyDescent="0.25">
      <c r="C14" s="58" t="s">
        <v>187</v>
      </c>
      <c r="D14" s="59">
        <v>-3.7253504</v>
      </c>
      <c r="E14" s="59">
        <v>9625.4623921085094</v>
      </c>
      <c r="F14" s="59">
        <v>16.248799999999999</v>
      </c>
      <c r="G14" s="59">
        <v>15722.557905337362</v>
      </c>
      <c r="H14" s="59">
        <v>13.3322</v>
      </c>
      <c r="I14" s="59">
        <v>18703.204552261155</v>
      </c>
      <c r="J14" s="59">
        <v>14.304600000000001</v>
      </c>
      <c r="K14" s="59">
        <v>38102.501525320316</v>
      </c>
      <c r="L14" s="59">
        <v>12.6372</v>
      </c>
      <c r="M14" s="59">
        <v>48712.94851794072</v>
      </c>
    </row>
    <row r="15" spans="3:13" x14ac:dyDescent="0.25">
      <c r="C15" s="58" t="s">
        <v>188</v>
      </c>
      <c r="D15" s="59">
        <v>2.0310000000000001</v>
      </c>
      <c r="E15" s="59">
        <v>10203.1</v>
      </c>
      <c r="F15" s="59">
        <v>20.480499999999999</v>
      </c>
      <c r="G15" s="59">
        <v>17488.408278279596</v>
      </c>
      <c r="H15" s="59">
        <v>16.965599999999998</v>
      </c>
      <c r="I15" s="59">
        <v>21892.268444263962</v>
      </c>
      <c r="J15" s="59">
        <v>14.398999999999999</v>
      </c>
      <c r="K15" s="59">
        <v>19593.460278455208</v>
      </c>
      <c r="L15" s="59">
        <v>10.7727</v>
      </c>
      <c r="M15" s="59">
        <v>38777.66523808123</v>
      </c>
    </row>
    <row r="16" spans="3:13" x14ac:dyDescent="0.25">
      <c r="C16" s="58" t="s">
        <v>189</v>
      </c>
      <c r="D16" s="59">
        <v>-3.99</v>
      </c>
      <c r="E16" s="59">
        <v>9601</v>
      </c>
      <c r="F16" s="59">
        <v>10.604200000000001</v>
      </c>
      <c r="G16" s="59">
        <v>13530.531495890262</v>
      </c>
      <c r="H16" s="59">
        <v>9.7759999999999998</v>
      </c>
      <c r="I16" s="59">
        <v>15941.787283973832</v>
      </c>
      <c r="J16" s="59">
        <v>12.539300000000001</v>
      </c>
      <c r="K16" s="59">
        <v>18051.822206086035</v>
      </c>
      <c r="L16" s="59">
        <v>11.7723</v>
      </c>
      <c r="M16" s="59">
        <v>43677.971391376326</v>
      </c>
    </row>
    <row r="17" spans="3:13" x14ac:dyDescent="0.25">
      <c r="C17" s="58" t="s">
        <v>192</v>
      </c>
      <c r="D17" s="62">
        <v>64.88</v>
      </c>
      <c r="E17" s="63"/>
      <c r="F17" s="62">
        <v>39.72</v>
      </c>
      <c r="G17" s="63"/>
      <c r="H17" s="62">
        <v>33.39</v>
      </c>
      <c r="I17" s="63"/>
      <c r="J17" s="62">
        <v>16.39</v>
      </c>
      <c r="K17" s="63"/>
      <c r="L17" s="62">
        <v>12.82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 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2026-04-04T07:23:21Z</dcterms:created>
  <dcterms:modified xsi:type="dcterms:W3CDTF">2026-04-07T06:41:27Z</dcterms:modified>
</cp:coreProperties>
</file>