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EF-Risk-O-Meter &amp; Performance" sheetId="5" r:id="rId1"/>
    <sheet name="TEF-Performance" sheetId="11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'TEF-Risk-O-Meter &amp; Performance'!$C$8:$C$44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16?">#REF!</definedName>
    <definedName name="XDO_?FINAL_ISIN?2?">#REF!</definedName>
    <definedName name="XDO_?FINAL_ISIN?3?">#REF!</definedName>
    <definedName name="XDO_?FINAL_ISIN?4?">#REF!</definedName>
    <definedName name="XDO_?FINAL_ISIN?5?">'TEF-Risk-O-Meter &amp; Performance'!$D$10:$D$44</definedName>
    <definedName name="XDO_?FINAL_ISIN?6?">'TEF-Risk-O-Meter &amp; Performance'!$D$10:$D$86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16?">#REF!</definedName>
    <definedName name="XDO_?FINAL_MV?2?">#REF!</definedName>
    <definedName name="XDO_?FINAL_MV?3?">#REF!</definedName>
    <definedName name="XDO_?FINAL_MV?4?">#REF!</definedName>
    <definedName name="XDO_?FINAL_MV?5?">'TEF-Risk-O-Meter &amp; Performance'!$H$10:$H$44</definedName>
    <definedName name="XDO_?FINAL_MV?6?">'TEF-Risk-O-Meter &amp; Performance'!$H$10:$H$86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16?">#REF!</definedName>
    <definedName name="XDO_?FINAL_NAME?2?">#REF!</definedName>
    <definedName name="XDO_?FINAL_NAME?3?">#REF!</definedName>
    <definedName name="XDO_?FINAL_NAME?4?">#REF!</definedName>
    <definedName name="XDO_?FINAL_NAME?5?">'TEF-Risk-O-Meter &amp; Performance'!$C$10:$C$44</definedName>
    <definedName name="XDO_?FINAL_NAME?6?">'TEF-Risk-O-Meter &amp; Performance'!$C$10:$C$86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16?">#REF!</definedName>
    <definedName name="XDO_?FINAL_PER_NET?2?">#REF!</definedName>
    <definedName name="XDO_?FINAL_PER_NET?3?">#REF!</definedName>
    <definedName name="XDO_?FINAL_PER_NET?4?">#REF!</definedName>
    <definedName name="XDO_?FINAL_PER_NET?5?">'TEF-Risk-O-Meter &amp; Performance'!$I$10:$I$44</definedName>
    <definedName name="XDO_?FINAL_PER_NET?6?">'TEF-Risk-O-Meter &amp; Performance'!$I$10:$I$86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16?">#REF!</definedName>
    <definedName name="XDO_?FINAL_QUANTITE?2?">#REF!</definedName>
    <definedName name="XDO_?FINAL_QUANTITE?3?">#REF!</definedName>
    <definedName name="XDO_?FINAL_QUANTITE?4?">#REF!</definedName>
    <definedName name="XDO_?FINAL_QUANTITE?5?">'TEF-Risk-O-Meter &amp; Performance'!$G$10:$G$44</definedName>
    <definedName name="XDO_?FINAL_QUANTITE?6?">'TEF-Risk-O-Meter &amp; Performance'!$G$10:$G$86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16?">#REF!</definedName>
    <definedName name="XDO_?IND_01?2?">#REF!</definedName>
    <definedName name="XDO_?IND_01?3?">#REF!</definedName>
    <definedName name="XDO_?IND_01?4?">#REF!</definedName>
    <definedName name="XDO_?IND_01?5?">'TEF-Risk-O-Meter &amp; Performance'!$F$10:$F$44</definedName>
    <definedName name="XDO_?IND_01?6?">'TEF-Risk-O-Meter &amp; Performance'!$F$10:$F$86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'TEF-Risk-O-Meter &amp; Performance'!#REF!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'TEF-Risk-O-Meter &amp; Performance'!$C$2:$C$44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'TEF-Risk-O-Meter &amp; Performance'!#REF!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'TEF-Risk-O-Meter &amp; Performance'!#REF!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16?">#REF!</definedName>
    <definedName name="XDO_?NOVAL?2?">#REF!</definedName>
    <definedName name="XDO_?NOVAL?3?">#REF!</definedName>
    <definedName name="XDO_?NOVAL?4?">#REF!</definedName>
    <definedName name="XDO_?NOVAL?5?">'TEF-Risk-O-Meter &amp; Performance'!$B$10:$B$44</definedName>
    <definedName name="XDO_?NOVAL?6?">'TEF-Risk-O-Meter &amp; Performance'!$B$10:$B$86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#REF!</definedName>
    <definedName name="XDO_?NPTF?3?">'TEF-Risk-O-Meter &amp; Performance'!$D$2:$D$44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16?">#REF!</definedName>
    <definedName name="XDO_?RATING?2?">#REF!</definedName>
    <definedName name="XDO_?RATING?3?">#REF!</definedName>
    <definedName name="XDO_?RATING?4?">#REF!</definedName>
    <definedName name="XDO_?RATING?5?">'TEF-Risk-O-Meter &amp; Performance'!$E$10:$E$44</definedName>
    <definedName name="XDO_?RATING?6?">'TEF-Risk-O-Meter &amp; Performance'!$E$10:$E$86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16?">#REF!</definedName>
    <definedName name="XDO_?REMARKS?2?">#REF!</definedName>
    <definedName name="XDO_?REMARKS?3?">#REF!</definedName>
    <definedName name="XDO_?REMARKS?4?">#REF!</definedName>
    <definedName name="XDO_?REMARKS?5?">'TEF-Risk-O-Meter &amp; Performance'!$J$10:$J$44</definedName>
    <definedName name="XDO_?REMARKS?6?">'TEF-Risk-O-Meter &amp; Performance'!$J$10:$J$86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#REF!</definedName>
    <definedName name="XDO_?TITL?3?">'TEF-Risk-O-Meter &amp; Performance'!$A$8:$A$44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'TEF-Risk-O-Meter &amp; Performance'!$2:$89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'TEF-Risk-O-Meter &amp; Performance'!$8:$88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16?">#REF!</definedName>
    <definedName name="XDO_GROUP_?G_4?2?">#REF!</definedName>
    <definedName name="XDO_GROUP_?G_4?3?">#REF!</definedName>
    <definedName name="XDO_GROUP_?G_4?4?">#REF!</definedName>
    <definedName name="XDO_GROUP_?G_4?5?">'TEF-Risk-O-Meter &amp; Performance'!$B$10:$IV$44</definedName>
    <definedName name="XDO_GROUP_?G_4?6?">'TEF-Risk-O-Meter &amp; Performance'!$B$86:$IV$86</definedName>
    <definedName name="XDO_GROUP_?G_4?7?">#REF!</definedName>
    <definedName name="XDO_GROUP_?G_4?8?">#REF!</definedName>
    <definedName name="XDO_GROUP_?G_4?9?">#REF!</definedName>
  </definedNames>
  <calcPr calcId="977461" fullCalcOnLoad="1"/>
</workbook>
</file>

<file path=xl/calcChain.xml><?xml version="1.0" encoding="utf-8"?>
<calcChain xmlns="http://schemas.openxmlformats.org/spreadsheetml/2006/main">
  <c r="I89" i="5"/>
</calcChain>
</file>

<file path=xl/sharedStrings.xml><?xml version="1.0" encoding="utf-8"?>
<sst xmlns="http://schemas.openxmlformats.org/spreadsheetml/2006/main" count="251" uniqueCount="183">
  <si>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</si>
  <si>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</si>
  <si>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</si>
  <si>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</si>
  <si>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</si>
  <si>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</si>
  <si>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</si>
  <si>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</si>
  <si>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</si>
  <si>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</si>
  <si>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</si>
  <si>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</si>
  <si>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</si>
  <si>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</si>
  <si>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</si>
  <si>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</si>
  <si>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</si>
  <si>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</si>
  <si>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</si>
  <si>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</si>
  <si>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</si>
  <si>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</si>
  <si>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</si>
  <si>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</si>
  <si>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</si>
  <si>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</si>
  <si>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</si>
  <si>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</si>
  <si>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</si>
  <si>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</si>
  <si>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</si>
  <si>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</si>
  <si>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</si>
  <si>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</si>
  <si>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Consumer Durables</t>
  </si>
  <si>
    <t>Chemicals &amp; Petrochemicals</t>
  </si>
  <si>
    <t>Automobiles</t>
  </si>
  <si>
    <t>Non - Ferrous Metals</t>
  </si>
  <si>
    <t>Pharmaceuticals &amp; Biotechnology</t>
  </si>
  <si>
    <t>100002</t>
  </si>
  <si>
    <t>Reliance Industries Ltd.</t>
  </si>
  <si>
    <t>INE002A01018</t>
  </si>
  <si>
    <t>Petroleum Products</t>
  </si>
  <si>
    <t>100099</t>
  </si>
  <si>
    <t>Hindustan Unilever Ltd.</t>
  </si>
  <si>
    <t>INE030A01027</t>
  </si>
  <si>
    <t>Diversified FMCG</t>
  </si>
  <si>
    <t>Industrial Products</t>
  </si>
  <si>
    <t>Cement &amp; Cement Products</t>
  </si>
  <si>
    <t>100172</t>
  </si>
  <si>
    <t>ACC Ltd.</t>
  </si>
  <si>
    <t>INE012A01025</t>
  </si>
  <si>
    <t>100003</t>
  </si>
  <si>
    <t>Infosys Ltd.</t>
  </si>
  <si>
    <t>INE009A01021</t>
  </si>
  <si>
    <t>IT - Software</t>
  </si>
  <si>
    <t>101229</t>
  </si>
  <si>
    <t>Jubilant Ingrevia Ltd.</t>
  </si>
  <si>
    <t>INE0BY001018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</si>
  <si>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</si>
  <si>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</si>
  <si>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</si>
  <si>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</si>
  <si>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</si>
  <si>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</si>
  <si>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</si>
  <si>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Retailing</t>
  </si>
  <si>
    <t>100570</t>
  </si>
  <si>
    <t>K.P.R. Mill Ltd.</t>
  </si>
  <si>
    <t>INE930H01031</t>
  </si>
  <si>
    <t>Textiles &amp; Apparels</t>
  </si>
  <si>
    <t>Auto Components</t>
  </si>
  <si>
    <t>Leisure Services</t>
  </si>
  <si>
    <t>100090</t>
  </si>
  <si>
    <t>Bharat Forge Ltd.</t>
  </si>
  <si>
    <t>INE465A01025</t>
  </si>
  <si>
    <t>100161</t>
  </si>
  <si>
    <t>Cummins India Ltd.</t>
  </si>
  <si>
    <t>INE298A01020</t>
  </si>
  <si>
    <t>TEF</t>
  </si>
  <si>
    <t>Taurus Ethical Fund</t>
  </si>
  <si>
    <t>100037</t>
  </si>
  <si>
    <t>HCL Technologies Ltd.</t>
  </si>
  <si>
    <t>INE860A01027</t>
  </si>
  <si>
    <t>100032</t>
  </si>
  <si>
    <t>Tata Consultancy Services Ltd.</t>
  </si>
  <si>
    <t>INE467B01029</t>
  </si>
  <si>
    <t>100147</t>
  </si>
  <si>
    <t>Tech Mahindra Ltd.</t>
  </si>
  <si>
    <t>INE669C01036</t>
  </si>
  <si>
    <t>100944</t>
  </si>
  <si>
    <t>Mishra Dhatu Nigam Ltd.</t>
  </si>
  <si>
    <t>INE099Z01011</t>
  </si>
  <si>
    <t>Aerospace &amp; Defense</t>
  </si>
  <si>
    <t>101670</t>
  </si>
  <si>
    <t>Patanjali Foods Ltd.</t>
  </si>
  <si>
    <t>INE619A01035</t>
  </si>
  <si>
    <t>Agricultural Food &amp; other Products</t>
  </si>
  <si>
    <t>100474</t>
  </si>
  <si>
    <t>Narayana Hrudayalaya Ltd.</t>
  </si>
  <si>
    <t>INE410P01011</t>
  </si>
  <si>
    <t>Healthcare Services</t>
  </si>
  <si>
    <t>100017</t>
  </si>
  <si>
    <t>National Aluminium Company Ltd.</t>
  </si>
  <si>
    <t>INE139A01034</t>
  </si>
  <si>
    <t>100367</t>
  </si>
  <si>
    <t>Exide Industries Ltd.</t>
  </si>
  <si>
    <t>INE302A01020</t>
  </si>
  <si>
    <t>100008</t>
  </si>
  <si>
    <t>Sun Pharmaceutical Industries Ltd.</t>
  </si>
  <si>
    <t>INE044A01036</t>
  </si>
  <si>
    <t>100153</t>
  </si>
  <si>
    <t>Cipla Ltd.</t>
  </si>
  <si>
    <t>INE059A01026</t>
  </si>
  <si>
    <t>100821</t>
  </si>
  <si>
    <t>TTK Prestige Ltd.</t>
  </si>
  <si>
    <t>INE690A01028</t>
  </si>
  <si>
    <t>100370</t>
  </si>
  <si>
    <t>Biocon Ltd.</t>
  </si>
  <si>
    <t>INE376G01013</t>
  </si>
  <si>
    <t>100945</t>
  </si>
  <si>
    <t>Indian Railway Catering &amp; Tourism Corporation Ltd.</t>
  </si>
  <si>
    <t>INE335Y01020</t>
  </si>
  <si>
    <t>100089</t>
  </si>
  <si>
    <t>Bharat Electronics Ltd.</t>
  </si>
  <si>
    <t>INE263A01024</t>
  </si>
  <si>
    <t>100132</t>
  </si>
  <si>
    <t>Info Edge (India) Ltd.</t>
  </si>
  <si>
    <t>INE663F01024</t>
  </si>
  <si>
    <t>100284</t>
  </si>
  <si>
    <t>Dr. Lal Path labs Ltd.</t>
  </si>
  <si>
    <t>INE600L01024</t>
  </si>
  <si>
    <t>100164</t>
  </si>
  <si>
    <t>Petronet LNG Ltd.</t>
  </si>
  <si>
    <t>INE347G01014</t>
  </si>
  <si>
    <t>Gas</t>
  </si>
  <si>
    <t>101101</t>
  </si>
  <si>
    <t>LA Opala RG Ltd.</t>
  </si>
  <si>
    <t>INE059D01020</t>
  </si>
  <si>
    <t>100689</t>
  </si>
  <si>
    <t>Godrej Agrovet Ltd.</t>
  </si>
  <si>
    <t>INE850D01014</t>
  </si>
  <si>
    <t>Food Products</t>
  </si>
  <si>
    <t>100029</t>
  </si>
  <si>
    <t>Mphasis Ltd.</t>
  </si>
  <si>
    <t>INE356A01018</t>
  </si>
  <si>
    <t>100155</t>
  </si>
  <si>
    <t>Divi's Laboratories Ltd.</t>
  </si>
  <si>
    <t>INE361B01024</t>
  </si>
  <si>
    <t>100747</t>
  </si>
  <si>
    <t>Mahindra Logistics Ltd.</t>
  </si>
  <si>
    <t>INE766P01016</t>
  </si>
  <si>
    <t>Transport Services</t>
  </si>
  <si>
    <t>100039</t>
  </si>
  <si>
    <t>Bajaj Auto Ltd.</t>
  </si>
  <si>
    <t>INE917I01010</t>
  </si>
  <si>
    <t>100173</t>
  </si>
  <si>
    <t>Asian Paints Ltd.</t>
  </si>
  <si>
    <t>INE021A01026</t>
  </si>
  <si>
    <t>100544</t>
  </si>
  <si>
    <t>Quess Corp Ltd.</t>
  </si>
  <si>
    <t>INE615P01015</t>
  </si>
  <si>
    <t>Commercial Services &amp; Supplies</t>
  </si>
  <si>
    <t>100096</t>
  </si>
  <si>
    <t>Container Corporation of India Ltd.</t>
  </si>
  <si>
    <t>INE111A01025</t>
  </si>
  <si>
    <t>100106</t>
  </si>
  <si>
    <t>Maruti Suzuki India Ltd.</t>
  </si>
  <si>
    <t>INE585B01010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</si>
  <si>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</si>
  <si>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</si>
  <si>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</si>
  <si>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</si>
  <si>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</si>
  <si>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</si>
  <si>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</si>
  <si>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</si>
  <si>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</si>
  <si>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</si>
  <si>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</si>
  <si>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March 31, 2023 : 79.52)</t>
  </si>
  <si>
    <t>Taurus Ethical Fund - Direct Plan Growth Option</t>
  </si>
  <si>
    <t>NAV [Rs.] Per Unit  (as on March 31, 2023 : 87.01)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</si>
</sst>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72" formatCode="dd/mm/yyyy;@"/>
    <numFmt numFmtId="176" formatCode="_(* #,##0_);_(* \(#,##0\);_(* &quot;-&quot;??_);_(@_)"/>
    <numFmt numFmtId="178" formatCode="mmmm\ dd\,\ yyyy"/>
    <numFmt numFmtId="179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72" fontId="6" fillId="0" borderId="0" xfId="0" applyNumberFormat="1" applyFont="1"/>
    <xf numFmtId="0" fontId="6" fillId="0" borderId="7" xfId="0" applyFont="1" applyBorder="1"/>
    <xf numFmtId="172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76" fontId="2" fillId="2" borderId="9" xfId="2" applyNumberFormat="1" applyFont="1" applyFill="1" applyBorder="1"/>
    <xf numFmtId="172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72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72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76" fontId="8" fillId="0" borderId="0" xfId="1" applyNumberFormat="1" applyFont="1"/>
    <xf numFmtId="176" fontId="6" fillId="0" borderId="0" xfId="1" applyNumberFormat="1" applyFont="1"/>
    <xf numFmtId="176" fontId="2" fillId="0" borderId="1" xfId="1" applyNumberFormat="1" applyFont="1" applyFill="1" applyBorder="1" applyAlignment="1">
      <alignment vertical="center"/>
    </xf>
    <xf numFmtId="176" fontId="6" fillId="0" borderId="7" xfId="1" applyNumberFormat="1" applyFont="1" applyBorder="1"/>
    <xf numFmtId="176" fontId="6" fillId="0" borderId="11" xfId="1" applyNumberFormat="1" applyFont="1" applyBorder="1"/>
    <xf numFmtId="176" fontId="6" fillId="0" borderId="9" xfId="1" applyNumberFormat="1" applyFont="1" applyBorder="1"/>
    <xf numFmtId="0" fontId="9" fillId="0" borderId="0" xfId="0" applyFont="1"/>
    <xf numFmtId="178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72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79" fontId="1" fillId="0" borderId="4" xfId="1" applyNumberFormat="1" applyFont="1" applyBorder="1" applyAlignment="1">
      <alignment horizontal="center"/>
    </xf>
    <xf numFmtId="179" fontId="1" fillId="0" borderId="19" xfId="1" applyNumberFormat="1" applyFont="1" applyBorder="1" applyAlignment="1">
      <alignment horizontal="center"/>
    </xf>
    <xf numFmtId="179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Ethical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95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74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23</v>
      </c>
      <c r="D2" s="11" t="s">
        <v>79</v>
      </c>
      <c r="J2" s="33"/>
    </row>
    <row r="3" spans="1:54" ht="15">
      <c r="C3" s="1" t="s">
        <v>24</v>
      </c>
      <c r="D3" s="26" t="s">
        <v>80</v>
      </c>
    </row>
    <row r="4" spans="1:54" ht="14.25">
      <c r="C4" s="1" t="s">
        <v>25</v>
      </c>
      <c r="D4" s="27">
        <v>45016</v>
      </c>
    </row>
    <row r="5" spans="1:54">
      <c r="C5" s="1"/>
    </row>
    <row r="6" spans="1:54" ht="25.5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52</v>
      </c>
      <c r="C10" s="39" t="s">
        <v>53</v>
      </c>
      <c r="D10" s="36" t="s">
        <v>54</v>
      </c>
      <c r="E10" s="9"/>
      <c r="F10" s="9" t="s">
        <v>55</v>
      </c>
      <c r="G10" s="24">
        <v>46037</v>
      </c>
      <c r="H10" s="29">
        <v>657.27</v>
      </c>
      <c r="I10" s="29">
        <v>7.75</v>
      </c>
      <c r="J10" s="12"/>
    </row>
    <row r="11" spans="1:54">
      <c r="B11" s="11" t="s">
        <v>39</v>
      </c>
      <c r="C11" s="39" t="s">
        <v>40</v>
      </c>
      <c r="D11" s="36" t="s">
        <v>41</v>
      </c>
      <c r="E11" s="9"/>
      <c r="F11" s="9" t="s">
        <v>42</v>
      </c>
      <c r="G11" s="24">
        <v>26487</v>
      </c>
      <c r="H11" s="29">
        <v>617.42999999999995</v>
      </c>
      <c r="I11" s="29">
        <v>7.28</v>
      </c>
      <c r="J11" s="12"/>
    </row>
    <row r="12" spans="1:54">
      <c r="B12" s="11" t="s">
        <v>81</v>
      </c>
      <c r="C12" s="39" t="s">
        <v>82</v>
      </c>
      <c r="D12" s="36" t="s">
        <v>83</v>
      </c>
      <c r="E12" s="9"/>
      <c r="F12" s="9" t="s">
        <v>55</v>
      </c>
      <c r="G12" s="24">
        <v>47722</v>
      </c>
      <c r="H12" s="29">
        <v>518.36</v>
      </c>
      <c r="I12" s="29">
        <v>6.11</v>
      </c>
      <c r="J12" s="12"/>
    </row>
    <row r="13" spans="1:54">
      <c r="B13" s="11" t="s">
        <v>84</v>
      </c>
      <c r="C13" s="39" t="s">
        <v>85</v>
      </c>
      <c r="D13" s="36" t="s">
        <v>86</v>
      </c>
      <c r="E13" s="9"/>
      <c r="F13" s="9" t="s">
        <v>55</v>
      </c>
      <c r="G13" s="24">
        <v>15245</v>
      </c>
      <c r="H13" s="29">
        <v>488.72</v>
      </c>
      <c r="I13" s="29">
        <v>5.76</v>
      </c>
      <c r="J13" s="12"/>
    </row>
    <row r="14" spans="1:54">
      <c r="B14" s="11" t="s">
        <v>87</v>
      </c>
      <c r="C14" s="39" t="s">
        <v>88</v>
      </c>
      <c r="D14" s="36" t="s">
        <v>89</v>
      </c>
      <c r="E14" s="9"/>
      <c r="F14" s="9" t="s">
        <v>55</v>
      </c>
      <c r="G14" s="24">
        <v>39500</v>
      </c>
      <c r="H14" s="29">
        <v>435.23</v>
      </c>
      <c r="I14" s="29">
        <v>5.13</v>
      </c>
      <c r="J14" s="12"/>
    </row>
    <row r="15" spans="1:54">
      <c r="B15" s="11" t="s">
        <v>90</v>
      </c>
      <c r="C15" s="39" t="s">
        <v>91</v>
      </c>
      <c r="D15" s="36" t="s">
        <v>92</v>
      </c>
      <c r="E15" s="9"/>
      <c r="F15" s="9" t="s">
        <v>93</v>
      </c>
      <c r="G15" s="24">
        <v>210000</v>
      </c>
      <c r="H15" s="29">
        <v>387.24</v>
      </c>
      <c r="I15" s="29">
        <v>4.5599999999999996</v>
      </c>
      <c r="J15" s="12"/>
    </row>
    <row r="16" spans="1:54">
      <c r="B16" s="11" t="s">
        <v>94</v>
      </c>
      <c r="C16" s="39" t="s">
        <v>95</v>
      </c>
      <c r="D16" s="36" t="s">
        <v>96</v>
      </c>
      <c r="E16" s="9"/>
      <c r="F16" s="9" t="s">
        <v>97</v>
      </c>
      <c r="G16" s="24">
        <v>39000</v>
      </c>
      <c r="H16" s="29">
        <v>377.83</v>
      </c>
      <c r="I16" s="29">
        <v>4.45</v>
      </c>
      <c r="J16" s="12"/>
    </row>
    <row r="17" spans="2:10">
      <c r="B17" s="11" t="s">
        <v>98</v>
      </c>
      <c r="C17" s="39" t="s">
        <v>99</v>
      </c>
      <c r="D17" s="36" t="s">
        <v>100</v>
      </c>
      <c r="E17" s="9"/>
      <c r="F17" s="9" t="s">
        <v>101</v>
      </c>
      <c r="G17" s="24">
        <v>47560</v>
      </c>
      <c r="H17" s="29">
        <v>368.16</v>
      </c>
      <c r="I17" s="29">
        <v>4.34</v>
      </c>
      <c r="J17" s="12"/>
    </row>
    <row r="18" spans="2:10">
      <c r="B18" s="11" t="s">
        <v>102</v>
      </c>
      <c r="C18" s="39" t="s">
        <v>103</v>
      </c>
      <c r="D18" s="36" t="s">
        <v>104</v>
      </c>
      <c r="E18" s="9"/>
      <c r="F18" s="9" t="s">
        <v>37</v>
      </c>
      <c r="G18" s="24">
        <v>450000</v>
      </c>
      <c r="H18" s="29">
        <v>353.07</v>
      </c>
      <c r="I18" s="29">
        <v>4.16</v>
      </c>
      <c r="J18" s="12"/>
    </row>
    <row r="19" spans="2:10">
      <c r="B19" s="11" t="s">
        <v>105</v>
      </c>
      <c r="C19" s="39" t="s">
        <v>106</v>
      </c>
      <c r="D19" s="36" t="s">
        <v>107</v>
      </c>
      <c r="E19" s="9"/>
      <c r="F19" s="9" t="s">
        <v>71</v>
      </c>
      <c r="G19" s="24">
        <v>176000</v>
      </c>
      <c r="H19" s="29">
        <v>313.27999999999997</v>
      </c>
      <c r="I19" s="29">
        <v>3.69</v>
      </c>
      <c r="J19" s="12"/>
    </row>
    <row r="20" spans="2:10">
      <c r="B20" s="11" t="s">
        <v>108</v>
      </c>
      <c r="C20" s="39" t="s">
        <v>109</v>
      </c>
      <c r="D20" s="36" t="s">
        <v>110</v>
      </c>
      <c r="E20" s="9"/>
      <c r="F20" s="9" t="s">
        <v>38</v>
      </c>
      <c r="G20" s="24">
        <v>25000</v>
      </c>
      <c r="H20" s="29">
        <v>245.78</v>
      </c>
      <c r="I20" s="29">
        <v>2.9</v>
      </c>
      <c r="J20" s="12"/>
    </row>
    <row r="21" spans="2:10">
      <c r="B21" s="11" t="s">
        <v>111</v>
      </c>
      <c r="C21" s="39" t="s">
        <v>112</v>
      </c>
      <c r="D21" s="36" t="s">
        <v>113</v>
      </c>
      <c r="E21" s="9"/>
      <c r="F21" s="9" t="s">
        <v>38</v>
      </c>
      <c r="G21" s="24">
        <v>27000</v>
      </c>
      <c r="H21" s="29">
        <v>243.18</v>
      </c>
      <c r="I21" s="29">
        <v>2.87</v>
      </c>
      <c r="J21" s="12"/>
    </row>
    <row r="22" spans="2:10">
      <c r="B22" s="11" t="s">
        <v>114</v>
      </c>
      <c r="C22" s="39" t="s">
        <v>115</v>
      </c>
      <c r="D22" s="36" t="s">
        <v>116</v>
      </c>
      <c r="E22" s="9"/>
      <c r="F22" s="9" t="s">
        <v>34</v>
      </c>
      <c r="G22" s="24">
        <v>33400</v>
      </c>
      <c r="H22" s="29">
        <v>233.58</v>
      </c>
      <c r="I22" s="29">
        <v>2.75</v>
      </c>
      <c r="J22" s="12"/>
    </row>
    <row r="23" spans="2:10">
      <c r="B23" s="11" t="s">
        <v>117</v>
      </c>
      <c r="C23" s="39" t="s">
        <v>118</v>
      </c>
      <c r="D23" s="36" t="s">
        <v>119</v>
      </c>
      <c r="E23" s="9"/>
      <c r="F23" s="9" t="s">
        <v>38</v>
      </c>
      <c r="G23" s="24">
        <v>101850</v>
      </c>
      <c r="H23" s="29">
        <v>210.17</v>
      </c>
      <c r="I23" s="29">
        <v>2.48</v>
      </c>
      <c r="J23" s="12"/>
    </row>
    <row r="24" spans="2:10">
      <c r="B24" s="11" t="s">
        <v>120</v>
      </c>
      <c r="C24" s="39" t="s">
        <v>121</v>
      </c>
      <c r="D24" s="36" t="s">
        <v>122</v>
      </c>
      <c r="E24" s="9"/>
      <c r="F24" s="9" t="s">
        <v>72</v>
      </c>
      <c r="G24" s="24">
        <v>35500</v>
      </c>
      <c r="H24" s="29">
        <v>203.42</v>
      </c>
      <c r="I24" s="29">
        <v>2.4</v>
      </c>
      <c r="J24" s="12"/>
    </row>
    <row r="25" spans="2:10">
      <c r="B25" s="11" t="s">
        <v>56</v>
      </c>
      <c r="C25" s="39" t="s">
        <v>57</v>
      </c>
      <c r="D25" s="36" t="s">
        <v>58</v>
      </c>
      <c r="E25" s="9"/>
      <c r="F25" s="9" t="s">
        <v>35</v>
      </c>
      <c r="G25" s="24">
        <v>56260</v>
      </c>
      <c r="H25" s="29">
        <v>202.42</v>
      </c>
      <c r="I25" s="29">
        <v>2.39</v>
      </c>
      <c r="J25" s="12"/>
    </row>
    <row r="26" spans="2:10">
      <c r="B26" s="11" t="s">
        <v>49</v>
      </c>
      <c r="C26" s="39" t="s">
        <v>50</v>
      </c>
      <c r="D26" s="36" t="s">
        <v>51</v>
      </c>
      <c r="E26" s="9"/>
      <c r="F26" s="9" t="s">
        <v>48</v>
      </c>
      <c r="G26" s="24">
        <v>12007</v>
      </c>
      <c r="H26" s="29">
        <v>200.13</v>
      </c>
      <c r="I26" s="29">
        <v>2.36</v>
      </c>
      <c r="J26" s="12"/>
    </row>
    <row r="27" spans="2:10">
      <c r="B27" s="11" t="s">
        <v>123</v>
      </c>
      <c r="C27" s="39" t="s">
        <v>124</v>
      </c>
      <c r="D27" s="36" t="s">
        <v>125</v>
      </c>
      <c r="E27" s="9"/>
      <c r="F27" s="9" t="s">
        <v>93</v>
      </c>
      <c r="G27" s="24">
        <v>202568</v>
      </c>
      <c r="H27" s="29">
        <v>197.61</v>
      </c>
      <c r="I27" s="29">
        <v>2.33</v>
      </c>
      <c r="J27" s="12"/>
    </row>
    <row r="28" spans="2:10">
      <c r="B28" s="11" t="s">
        <v>43</v>
      </c>
      <c r="C28" s="39" t="s">
        <v>44</v>
      </c>
      <c r="D28" s="36" t="s">
        <v>45</v>
      </c>
      <c r="E28" s="9"/>
      <c r="F28" s="9" t="s">
        <v>46</v>
      </c>
      <c r="G28" s="24">
        <v>7250</v>
      </c>
      <c r="H28" s="29">
        <v>185.51</v>
      </c>
      <c r="I28" s="29">
        <v>2.19</v>
      </c>
      <c r="J28" s="12"/>
    </row>
    <row r="29" spans="2:10">
      <c r="B29" s="11" t="s">
        <v>126</v>
      </c>
      <c r="C29" s="39" t="s">
        <v>127</v>
      </c>
      <c r="D29" s="36" t="s">
        <v>128</v>
      </c>
      <c r="E29" s="9"/>
      <c r="F29" s="9" t="s">
        <v>66</v>
      </c>
      <c r="G29" s="24">
        <v>4830</v>
      </c>
      <c r="H29" s="29">
        <v>180.05</v>
      </c>
      <c r="I29" s="29">
        <v>2.12</v>
      </c>
      <c r="J29" s="12"/>
    </row>
    <row r="30" spans="2:10">
      <c r="B30" s="11" t="s">
        <v>129</v>
      </c>
      <c r="C30" s="39" t="s">
        <v>130</v>
      </c>
      <c r="D30" s="36" t="s">
        <v>131</v>
      </c>
      <c r="E30" s="9"/>
      <c r="F30" s="9" t="s">
        <v>101</v>
      </c>
      <c r="G30" s="24">
        <v>8000</v>
      </c>
      <c r="H30" s="29">
        <v>146.22999999999999</v>
      </c>
      <c r="I30" s="29">
        <v>1.72</v>
      </c>
      <c r="J30" s="12"/>
    </row>
    <row r="31" spans="2:10">
      <c r="B31" s="11" t="s">
        <v>132</v>
      </c>
      <c r="C31" s="39" t="s">
        <v>133</v>
      </c>
      <c r="D31" s="36" t="s">
        <v>134</v>
      </c>
      <c r="E31" s="9"/>
      <c r="F31" s="9" t="s">
        <v>135</v>
      </c>
      <c r="G31" s="24">
        <v>62200</v>
      </c>
      <c r="H31" s="29">
        <v>142.31</v>
      </c>
      <c r="I31" s="29">
        <v>1.68</v>
      </c>
      <c r="J31" s="12"/>
    </row>
    <row r="32" spans="2:10">
      <c r="B32" s="11" t="s">
        <v>136</v>
      </c>
      <c r="C32" s="39" t="s">
        <v>137</v>
      </c>
      <c r="D32" s="36" t="s">
        <v>138</v>
      </c>
      <c r="E32" s="9"/>
      <c r="F32" s="9" t="s">
        <v>34</v>
      </c>
      <c r="G32" s="24">
        <v>41600</v>
      </c>
      <c r="H32" s="29">
        <v>141.29</v>
      </c>
      <c r="I32" s="29">
        <v>1.67</v>
      </c>
      <c r="J32" s="12"/>
    </row>
    <row r="33" spans="2:10">
      <c r="B33" s="11" t="s">
        <v>67</v>
      </c>
      <c r="C33" s="39" t="s">
        <v>68</v>
      </c>
      <c r="D33" s="36" t="s">
        <v>69</v>
      </c>
      <c r="E33" s="9"/>
      <c r="F33" s="9" t="s">
        <v>70</v>
      </c>
      <c r="G33" s="24">
        <v>23700</v>
      </c>
      <c r="H33" s="29">
        <v>136.41999999999999</v>
      </c>
      <c r="I33" s="29">
        <v>1.61</v>
      </c>
      <c r="J33" s="12"/>
    </row>
    <row r="34" spans="2:10">
      <c r="B34" s="11" t="s">
        <v>76</v>
      </c>
      <c r="C34" s="39" t="s">
        <v>77</v>
      </c>
      <c r="D34" s="36" t="s">
        <v>78</v>
      </c>
      <c r="E34" s="9"/>
      <c r="F34" s="9" t="s">
        <v>47</v>
      </c>
      <c r="G34" s="24">
        <v>8185</v>
      </c>
      <c r="H34" s="29">
        <v>133.34</v>
      </c>
      <c r="I34" s="29">
        <v>1.57</v>
      </c>
      <c r="J34" s="12"/>
    </row>
    <row r="35" spans="2:10">
      <c r="B35" s="11" t="s">
        <v>139</v>
      </c>
      <c r="C35" s="39" t="s">
        <v>140</v>
      </c>
      <c r="D35" s="36" t="s">
        <v>141</v>
      </c>
      <c r="E35" s="9"/>
      <c r="F35" s="9" t="s">
        <v>142</v>
      </c>
      <c r="G35" s="24">
        <v>27500</v>
      </c>
      <c r="H35" s="29">
        <v>113.51</v>
      </c>
      <c r="I35" s="29">
        <v>1.34</v>
      </c>
      <c r="J35" s="12"/>
    </row>
    <row r="36" spans="2:10">
      <c r="B36" s="11" t="s">
        <v>143</v>
      </c>
      <c r="C36" s="39" t="s">
        <v>144</v>
      </c>
      <c r="D36" s="36" t="s">
        <v>145</v>
      </c>
      <c r="E36" s="9"/>
      <c r="F36" s="9" t="s">
        <v>55</v>
      </c>
      <c r="G36" s="24">
        <v>6250</v>
      </c>
      <c r="H36" s="29">
        <v>112.28</v>
      </c>
      <c r="I36" s="29">
        <v>1.32</v>
      </c>
      <c r="J36" s="12"/>
    </row>
    <row r="37" spans="2:10">
      <c r="B37" s="11" t="s">
        <v>73</v>
      </c>
      <c r="C37" s="39" t="s">
        <v>74</v>
      </c>
      <c r="D37" s="36" t="s">
        <v>75</v>
      </c>
      <c r="E37" s="9"/>
      <c r="F37" s="9" t="s">
        <v>47</v>
      </c>
      <c r="G37" s="24">
        <v>13000</v>
      </c>
      <c r="H37" s="29">
        <v>100.11</v>
      </c>
      <c r="I37" s="29">
        <v>1.18</v>
      </c>
      <c r="J37" s="12"/>
    </row>
    <row r="38" spans="2:10">
      <c r="B38" s="11" t="s">
        <v>146</v>
      </c>
      <c r="C38" s="39" t="s">
        <v>147</v>
      </c>
      <c r="D38" s="36" t="s">
        <v>148</v>
      </c>
      <c r="E38" s="9"/>
      <c r="F38" s="9" t="s">
        <v>38</v>
      </c>
      <c r="G38" s="24">
        <v>3375</v>
      </c>
      <c r="H38" s="29">
        <v>95.37</v>
      </c>
      <c r="I38" s="29">
        <v>1.1200000000000001</v>
      </c>
      <c r="J38" s="12"/>
    </row>
    <row r="39" spans="2:10">
      <c r="B39" s="11" t="s">
        <v>149</v>
      </c>
      <c r="C39" s="39" t="s">
        <v>150</v>
      </c>
      <c r="D39" s="36" t="s">
        <v>151</v>
      </c>
      <c r="E39" s="9"/>
      <c r="F39" s="9" t="s">
        <v>152</v>
      </c>
      <c r="G39" s="24">
        <v>24000</v>
      </c>
      <c r="H39" s="29">
        <v>84.92</v>
      </c>
      <c r="I39" s="29">
        <v>1</v>
      </c>
      <c r="J39" s="12"/>
    </row>
    <row r="40" spans="2:10">
      <c r="B40" s="11" t="s">
        <v>153</v>
      </c>
      <c r="C40" s="39" t="s">
        <v>154</v>
      </c>
      <c r="D40" s="36" t="s">
        <v>155</v>
      </c>
      <c r="E40" s="9"/>
      <c r="F40" s="9" t="s">
        <v>36</v>
      </c>
      <c r="G40" s="24">
        <v>2106</v>
      </c>
      <c r="H40" s="29">
        <v>81.790000000000006</v>
      </c>
      <c r="I40" s="29">
        <v>0.96</v>
      </c>
      <c r="J40" s="12"/>
    </row>
    <row r="41" spans="2:10">
      <c r="B41" s="11" t="s">
        <v>156</v>
      </c>
      <c r="C41" s="39" t="s">
        <v>157</v>
      </c>
      <c r="D41" s="36" t="s">
        <v>158</v>
      </c>
      <c r="E41" s="9"/>
      <c r="F41" s="9" t="s">
        <v>34</v>
      </c>
      <c r="G41" s="24">
        <v>2890</v>
      </c>
      <c r="H41" s="29">
        <v>79.81</v>
      </c>
      <c r="I41" s="29">
        <v>0.94</v>
      </c>
      <c r="J41" s="12"/>
    </row>
    <row r="42" spans="2:10">
      <c r="B42" s="11" t="s">
        <v>159</v>
      </c>
      <c r="C42" s="39" t="s">
        <v>160</v>
      </c>
      <c r="D42" s="36" t="s">
        <v>161</v>
      </c>
      <c r="E42" s="9"/>
      <c r="F42" s="9" t="s">
        <v>162</v>
      </c>
      <c r="G42" s="24">
        <v>21032</v>
      </c>
      <c r="H42" s="29">
        <v>77.78</v>
      </c>
      <c r="I42" s="29">
        <v>0.92</v>
      </c>
      <c r="J42" s="12"/>
    </row>
    <row r="43" spans="2:10">
      <c r="B43" s="11" t="s">
        <v>163</v>
      </c>
      <c r="C43" s="39" t="s">
        <v>164</v>
      </c>
      <c r="D43" s="36" t="s">
        <v>165</v>
      </c>
      <c r="E43" s="9"/>
      <c r="F43" s="9" t="s">
        <v>152</v>
      </c>
      <c r="G43" s="24">
        <v>12000</v>
      </c>
      <c r="H43" s="29">
        <v>69.7</v>
      </c>
      <c r="I43" s="29">
        <v>0.82</v>
      </c>
      <c r="J43" s="12"/>
    </row>
    <row r="44" spans="2:10">
      <c r="B44" s="11" t="s">
        <v>166</v>
      </c>
      <c r="C44" s="39" t="s">
        <v>167</v>
      </c>
      <c r="D44" s="36" t="s">
        <v>168</v>
      </c>
      <c r="E44" s="9"/>
      <c r="F44" s="9" t="s">
        <v>36</v>
      </c>
      <c r="G44" s="24">
        <v>530</v>
      </c>
      <c r="H44" s="29">
        <v>43.95</v>
      </c>
      <c r="I44" s="29">
        <v>0.52</v>
      </c>
      <c r="J44" s="12"/>
    </row>
    <row r="45" spans="2:10">
      <c r="C45" s="42" t="s">
        <v>59</v>
      </c>
      <c r="D45" s="36"/>
      <c r="E45" s="9"/>
      <c r="F45" s="9"/>
      <c r="G45" s="24"/>
      <c r="H45" s="30">
        <v>8177.25</v>
      </c>
      <c r="I45" s="30">
        <v>96.39</v>
      </c>
      <c r="J45" s="12"/>
    </row>
    <row r="46" spans="2:10">
      <c r="C46" s="39"/>
      <c r="D46" s="36"/>
      <c r="E46" s="9"/>
      <c r="F46" s="9"/>
      <c r="G46" s="24"/>
      <c r="H46" s="29"/>
      <c r="I46" s="29"/>
      <c r="J46" s="12"/>
    </row>
    <row r="47" spans="2:10">
      <c r="C47" s="42" t="s">
        <v>3</v>
      </c>
      <c r="D47" s="36"/>
      <c r="E47" s="9"/>
      <c r="F47" s="9"/>
      <c r="G47" s="24"/>
      <c r="H47" s="29" t="s">
        <v>2</v>
      </c>
      <c r="I47" s="29" t="s">
        <v>2</v>
      </c>
      <c r="J47" s="12"/>
    </row>
    <row r="48" spans="2:10">
      <c r="C48" s="39"/>
      <c r="D48" s="36"/>
      <c r="E48" s="9"/>
      <c r="F48" s="9"/>
      <c r="G48" s="24"/>
      <c r="H48" s="29"/>
      <c r="I48" s="29"/>
      <c r="J48" s="12"/>
    </row>
    <row r="49" spans="3:10">
      <c r="C49" s="42" t="s">
        <v>4</v>
      </c>
      <c r="D49" s="36"/>
      <c r="E49" s="9"/>
      <c r="F49" s="9"/>
      <c r="G49" s="24"/>
      <c r="H49" s="29" t="s">
        <v>2</v>
      </c>
      <c r="I49" s="29" t="s">
        <v>2</v>
      </c>
      <c r="J49" s="12"/>
    </row>
    <row r="50" spans="3:10">
      <c r="C50" s="39"/>
      <c r="D50" s="36"/>
      <c r="E50" s="9"/>
      <c r="F50" s="9"/>
      <c r="G50" s="24"/>
      <c r="H50" s="29"/>
      <c r="I50" s="29"/>
      <c r="J50" s="12"/>
    </row>
    <row r="51" spans="3:10">
      <c r="C51" s="42" t="s">
        <v>5</v>
      </c>
      <c r="D51" s="36"/>
      <c r="E51" s="9"/>
      <c r="F51" s="9"/>
      <c r="G51" s="24"/>
      <c r="H51" s="29"/>
      <c r="I51" s="29"/>
      <c r="J51" s="12"/>
    </row>
    <row r="52" spans="3:10">
      <c r="C52" s="39"/>
      <c r="D52" s="36"/>
      <c r="E52" s="9"/>
      <c r="F52" s="9"/>
      <c r="G52" s="24"/>
      <c r="H52" s="29"/>
      <c r="I52" s="29"/>
      <c r="J52" s="12"/>
    </row>
    <row r="53" spans="3:10">
      <c r="C53" s="42" t="s">
        <v>6</v>
      </c>
      <c r="D53" s="36"/>
      <c r="E53" s="9"/>
      <c r="F53" s="9"/>
      <c r="G53" s="24"/>
      <c r="H53" s="29" t="s">
        <v>2</v>
      </c>
      <c r="I53" s="29" t="s">
        <v>2</v>
      </c>
      <c r="J53" s="12"/>
    </row>
    <row r="54" spans="3:10">
      <c r="C54" s="39"/>
      <c r="D54" s="36"/>
      <c r="E54" s="9"/>
      <c r="F54" s="9"/>
      <c r="G54" s="24"/>
      <c r="H54" s="29"/>
      <c r="I54" s="29"/>
      <c r="J54" s="12"/>
    </row>
    <row r="55" spans="3:10">
      <c r="C55" s="42" t="s">
        <v>7</v>
      </c>
      <c r="D55" s="36"/>
      <c r="E55" s="9"/>
      <c r="F55" s="9"/>
      <c r="G55" s="24"/>
      <c r="H55" s="29" t="s">
        <v>2</v>
      </c>
      <c r="I55" s="29" t="s">
        <v>2</v>
      </c>
      <c r="J55" s="12"/>
    </row>
    <row r="56" spans="3:10">
      <c r="C56" s="39"/>
      <c r="D56" s="36"/>
      <c r="E56" s="9"/>
      <c r="F56" s="9"/>
      <c r="G56" s="24"/>
      <c r="H56" s="29"/>
      <c r="I56" s="29"/>
      <c r="J56" s="12"/>
    </row>
    <row r="57" spans="3:10">
      <c r="C57" s="42" t="s">
        <v>8</v>
      </c>
      <c r="D57" s="36"/>
      <c r="E57" s="9"/>
      <c r="F57" s="9"/>
      <c r="G57" s="24"/>
      <c r="H57" s="29" t="s">
        <v>2</v>
      </c>
      <c r="I57" s="29" t="s">
        <v>2</v>
      </c>
      <c r="J57" s="12"/>
    </row>
    <row r="58" spans="3:10">
      <c r="C58" s="39"/>
      <c r="D58" s="36"/>
      <c r="E58" s="9"/>
      <c r="F58" s="9"/>
      <c r="G58" s="24"/>
      <c r="H58" s="29"/>
      <c r="I58" s="29"/>
      <c r="J58" s="12"/>
    </row>
    <row r="59" spans="3:10">
      <c r="C59" s="42" t="s">
        <v>9</v>
      </c>
      <c r="D59" s="36"/>
      <c r="E59" s="9"/>
      <c r="F59" s="9"/>
      <c r="G59" s="24"/>
      <c r="H59" s="29" t="s">
        <v>2</v>
      </c>
      <c r="I59" s="29" t="s">
        <v>2</v>
      </c>
      <c r="J59" s="12"/>
    </row>
    <row r="60" spans="3:10">
      <c r="C60" s="39"/>
      <c r="D60" s="36"/>
      <c r="E60" s="9"/>
      <c r="F60" s="9"/>
      <c r="G60" s="24"/>
      <c r="H60" s="29"/>
      <c r="I60" s="29"/>
      <c r="J60" s="12"/>
    </row>
    <row r="61" spans="3:10">
      <c r="C61" s="42" t="s">
        <v>10</v>
      </c>
      <c r="D61" s="36"/>
      <c r="E61" s="9"/>
      <c r="F61" s="9"/>
      <c r="G61" s="24"/>
      <c r="H61" s="29" t="s">
        <v>2</v>
      </c>
      <c r="I61" s="29" t="s">
        <v>2</v>
      </c>
      <c r="J61" s="12"/>
    </row>
    <row r="62" spans="3:10">
      <c r="C62" s="39"/>
      <c r="D62" s="36"/>
      <c r="E62" s="9"/>
      <c r="F62" s="9"/>
      <c r="G62" s="24"/>
      <c r="H62" s="29"/>
      <c r="I62" s="29"/>
      <c r="J62" s="12"/>
    </row>
    <row r="63" spans="3:10">
      <c r="C63" s="42" t="s">
        <v>11</v>
      </c>
      <c r="D63" s="36"/>
      <c r="E63" s="9"/>
      <c r="F63" s="9"/>
      <c r="G63" s="24"/>
      <c r="H63" s="29"/>
      <c r="I63" s="29"/>
      <c r="J63" s="12"/>
    </row>
    <row r="64" spans="3:10">
      <c r="C64" s="39"/>
      <c r="D64" s="36"/>
      <c r="E64" s="9"/>
      <c r="F64" s="9"/>
      <c r="G64" s="24"/>
      <c r="H64" s="29"/>
      <c r="I64" s="29"/>
      <c r="J64" s="12"/>
    </row>
    <row r="65" spans="3:10">
      <c r="C65" s="42" t="s">
        <v>12</v>
      </c>
      <c r="D65" s="36"/>
      <c r="E65" s="9"/>
      <c r="F65" s="9"/>
      <c r="G65" s="24"/>
      <c r="H65" s="29" t="s">
        <v>2</v>
      </c>
      <c r="I65" s="29" t="s">
        <v>2</v>
      </c>
      <c r="J65" s="12"/>
    </row>
    <row r="66" spans="3:10">
      <c r="C66" s="39"/>
      <c r="D66" s="36"/>
      <c r="E66" s="9"/>
      <c r="F66" s="9"/>
      <c r="G66" s="24"/>
      <c r="H66" s="29"/>
      <c r="I66" s="29"/>
      <c r="J66" s="12"/>
    </row>
    <row r="67" spans="3:10">
      <c r="C67" s="42" t="s">
        <v>13</v>
      </c>
      <c r="D67" s="36"/>
      <c r="E67" s="9"/>
      <c r="F67" s="9"/>
      <c r="G67" s="24"/>
      <c r="H67" s="29" t="s">
        <v>2</v>
      </c>
      <c r="I67" s="29" t="s">
        <v>2</v>
      </c>
      <c r="J67" s="12"/>
    </row>
    <row r="68" spans="3:10">
      <c r="C68" s="39"/>
      <c r="D68" s="36"/>
      <c r="E68" s="9"/>
      <c r="F68" s="9"/>
      <c r="G68" s="24"/>
      <c r="H68" s="29"/>
      <c r="I68" s="29"/>
      <c r="J68" s="12"/>
    </row>
    <row r="69" spans="3:10">
      <c r="C69" s="42" t="s">
        <v>14</v>
      </c>
      <c r="D69" s="36"/>
      <c r="E69" s="9"/>
      <c r="F69" s="9"/>
      <c r="G69" s="24"/>
      <c r="H69" s="29" t="s">
        <v>2</v>
      </c>
      <c r="I69" s="29" t="s">
        <v>2</v>
      </c>
      <c r="J69" s="12"/>
    </row>
    <row r="70" spans="3:10">
      <c r="C70" s="39"/>
      <c r="D70" s="36"/>
      <c r="E70" s="9"/>
      <c r="F70" s="9"/>
      <c r="G70" s="24"/>
      <c r="H70" s="29"/>
      <c r="I70" s="29"/>
      <c r="J70" s="12"/>
    </row>
    <row r="71" spans="3:10">
      <c r="C71" s="42" t="s">
        <v>15</v>
      </c>
      <c r="D71" s="36"/>
      <c r="E71" s="9"/>
      <c r="F71" s="9"/>
      <c r="G71" s="24"/>
      <c r="H71" s="29" t="s">
        <v>2</v>
      </c>
      <c r="I71" s="29" t="s">
        <v>2</v>
      </c>
      <c r="J71" s="12"/>
    </row>
    <row r="72" spans="3:10">
      <c r="C72" s="39"/>
      <c r="D72" s="36"/>
      <c r="E72" s="9"/>
      <c r="F72" s="9"/>
      <c r="G72" s="24"/>
      <c r="H72" s="29"/>
      <c r="I72" s="29"/>
      <c r="J72" s="12"/>
    </row>
    <row r="73" spans="3:10">
      <c r="C73" s="42" t="s">
        <v>16</v>
      </c>
      <c r="D73" s="36"/>
      <c r="E73" s="9"/>
      <c r="F73" s="9"/>
      <c r="G73" s="24"/>
      <c r="H73" s="29"/>
      <c r="I73" s="29"/>
      <c r="J73" s="12"/>
    </row>
    <row r="74" spans="3:10">
      <c r="C74" s="39"/>
      <c r="D74" s="36"/>
      <c r="E74" s="9"/>
      <c r="F74" s="9"/>
      <c r="G74" s="24"/>
      <c r="H74" s="29"/>
      <c r="I74" s="29"/>
      <c r="J74" s="12"/>
    </row>
    <row r="75" spans="3:10">
      <c r="C75" s="42" t="s">
        <v>17</v>
      </c>
      <c r="D75" s="36"/>
      <c r="E75" s="9"/>
      <c r="F75" s="9"/>
      <c r="G75" s="24"/>
      <c r="H75" s="29" t="s">
        <v>2</v>
      </c>
      <c r="I75" s="29" t="s">
        <v>2</v>
      </c>
      <c r="J75" s="12"/>
    </row>
    <row r="76" spans="3:10">
      <c r="C76" s="39"/>
      <c r="D76" s="36"/>
      <c r="E76" s="9"/>
      <c r="F76" s="9"/>
      <c r="G76" s="24"/>
      <c r="H76" s="29"/>
      <c r="I76" s="29"/>
      <c r="J76" s="12"/>
    </row>
    <row r="77" spans="3:10">
      <c r="C77" s="42" t="s">
        <v>18</v>
      </c>
      <c r="D77" s="36"/>
      <c r="E77" s="9"/>
      <c r="F77" s="9"/>
      <c r="G77" s="24"/>
      <c r="H77" s="29" t="s">
        <v>2</v>
      </c>
      <c r="I77" s="29" t="s">
        <v>2</v>
      </c>
      <c r="J77" s="12"/>
    </row>
    <row r="78" spans="3:10">
      <c r="C78" s="39"/>
      <c r="D78" s="36"/>
      <c r="E78" s="9"/>
      <c r="F78" s="9"/>
      <c r="G78" s="24"/>
      <c r="H78" s="29"/>
      <c r="I78" s="29"/>
      <c r="J78" s="12"/>
    </row>
    <row r="79" spans="3:10">
      <c r="C79" s="42" t="s">
        <v>19</v>
      </c>
      <c r="D79" s="36"/>
      <c r="E79" s="9"/>
      <c r="F79" s="9"/>
      <c r="G79" s="24"/>
      <c r="H79" s="29" t="s">
        <v>2</v>
      </c>
      <c r="I79" s="29" t="s">
        <v>2</v>
      </c>
      <c r="J79" s="12"/>
    </row>
    <row r="80" spans="3:10">
      <c r="C80" s="39"/>
      <c r="D80" s="36"/>
      <c r="E80" s="9"/>
      <c r="F80" s="9"/>
      <c r="G80" s="24"/>
      <c r="H80" s="29"/>
      <c r="I80" s="29"/>
      <c r="J80" s="12"/>
    </row>
    <row r="81" spans="1:10">
      <c r="C81" s="42" t="s">
        <v>20</v>
      </c>
      <c r="D81" s="36"/>
      <c r="E81" s="9"/>
      <c r="F81" s="9"/>
      <c r="G81" s="24"/>
      <c r="H81" s="29" t="s">
        <v>2</v>
      </c>
      <c r="I81" s="29" t="s">
        <v>2</v>
      </c>
      <c r="J81" s="12"/>
    </row>
    <row r="82" spans="1:10">
      <c r="C82" s="39"/>
      <c r="D82" s="36"/>
      <c r="E82" s="9"/>
      <c r="F82" s="9"/>
      <c r="G82" s="24"/>
      <c r="H82" s="29"/>
      <c r="I82" s="29"/>
      <c r="J82" s="12"/>
    </row>
    <row r="83" spans="1:10">
      <c r="C83" s="42" t="s">
        <v>21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1:10">
      <c r="C84" s="39"/>
      <c r="D84" s="36"/>
      <c r="E84" s="9"/>
      <c r="F84" s="9"/>
      <c r="G84" s="24"/>
      <c r="H84" s="29"/>
      <c r="I84" s="29"/>
      <c r="J84" s="12"/>
    </row>
    <row r="85" spans="1:10">
      <c r="A85" s="15"/>
      <c r="B85" s="32"/>
      <c r="C85" s="40" t="s">
        <v>22</v>
      </c>
      <c r="D85" s="36"/>
      <c r="E85" s="9"/>
      <c r="F85" s="9"/>
      <c r="G85" s="24"/>
      <c r="H85" s="29"/>
      <c r="I85" s="29"/>
      <c r="J85" s="12"/>
    </row>
    <row r="86" spans="1:10">
      <c r="B86" s="11"/>
      <c r="C86" s="39" t="s">
        <v>60</v>
      </c>
      <c r="D86" s="36"/>
      <c r="E86" s="9"/>
      <c r="F86" s="9"/>
      <c r="G86" s="24"/>
      <c r="H86" s="29">
        <v>306.24</v>
      </c>
      <c r="I86" s="29">
        <v>3.61</v>
      </c>
      <c r="J86" s="12"/>
    </row>
    <row r="87" spans="1:10">
      <c r="C87" s="42" t="s">
        <v>59</v>
      </c>
      <c r="D87" s="36"/>
      <c r="E87" s="9"/>
      <c r="F87" s="9"/>
      <c r="G87" s="24"/>
      <c r="H87" s="30">
        <v>306.24</v>
      </c>
      <c r="I87" s="30">
        <v>3.61</v>
      </c>
      <c r="J87" s="12"/>
    </row>
    <row r="88" spans="1:10">
      <c r="C88" s="39"/>
      <c r="D88" s="36"/>
      <c r="E88" s="9"/>
      <c r="F88" s="9"/>
      <c r="G88" s="24"/>
      <c r="H88" s="29"/>
      <c r="I88" s="29"/>
      <c r="J88" s="12"/>
    </row>
    <row r="89" spans="1:10">
      <c r="C89" s="43" t="s">
        <v>61</v>
      </c>
      <c r="D89" s="37"/>
      <c r="E89" s="6"/>
      <c r="F89" s="7"/>
      <c r="G89" s="25"/>
      <c r="H89" s="31">
        <v>8483.49</v>
      </c>
      <c r="I89" s="31">
        <f>SUMIFS(I:I,C:C,"Total")</f>
        <v>100</v>
      </c>
      <c r="J89" s="8"/>
    </row>
    <row r="92" spans="1:10">
      <c r="C92" s="1" t="s">
        <v>62</v>
      </c>
    </row>
    <row r="93" spans="1:10">
      <c r="C93" s="2" t="s">
        <v>63</v>
      </c>
    </row>
    <row r="94" spans="1:10">
      <c r="C94" s="2" t="s">
        <v>64</v>
      </c>
    </row>
    <row r="95" spans="1:10">
      <c r="C95" s="2" t="s">
        <v>65</v>
      </c>
    </row>
  </sheetData>
  <sheetCalcPr fullCalcOnLoad="1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4" t="s">
        <v>169</v>
      </c>
      <c r="C4" s="45"/>
      <c r="D4" s="45"/>
      <c r="E4" s="45"/>
      <c r="F4" s="45"/>
      <c r="G4" s="45"/>
      <c r="H4" s="45"/>
      <c r="I4" s="45"/>
      <c r="J4" s="45"/>
    </row>
    <row r="5" spans="2:10">
      <c r="B5" s="46" t="s">
        <v>170</v>
      </c>
      <c r="C5" s="47" t="s">
        <v>171</v>
      </c>
      <c r="D5" s="47"/>
      <c r="E5" s="47" t="s">
        <v>172</v>
      </c>
      <c r="F5" s="47"/>
      <c r="G5" s="47" t="s">
        <v>173</v>
      </c>
      <c r="H5" s="47"/>
      <c r="I5" s="47" t="s">
        <v>174</v>
      </c>
      <c r="J5" s="47"/>
    </row>
    <row r="6" spans="2:10" ht="63.75">
      <c r="B6" s="48"/>
      <c r="C6" s="49" t="s">
        <v>175</v>
      </c>
      <c r="D6" s="49" t="s">
        <v>176</v>
      </c>
      <c r="E6" s="49" t="s">
        <v>175</v>
      </c>
      <c r="F6" s="49" t="s">
        <v>176</v>
      </c>
      <c r="G6" s="49" t="s">
        <v>175</v>
      </c>
      <c r="H6" s="49" t="s">
        <v>176</v>
      </c>
      <c r="I6" s="49" t="s">
        <v>175</v>
      </c>
      <c r="J6" s="49" t="s">
        <v>176</v>
      </c>
    </row>
    <row r="7" spans="2:10">
      <c r="B7" s="50" t="s">
        <v>177</v>
      </c>
      <c r="C7" s="51">
        <v>-5.9825017734689068</v>
      </c>
      <c r="D7" s="51">
        <v>9401.7498226531097</v>
      </c>
      <c r="E7" s="51">
        <v>21.605311453501507</v>
      </c>
      <c r="F7" s="51">
        <v>17982.813206693801</v>
      </c>
      <c r="G7" s="51">
        <v>10.498099588083608</v>
      </c>
      <c r="H7" s="51">
        <v>16491.082538365823</v>
      </c>
      <c r="I7" s="51">
        <v>15.969804420115752</v>
      </c>
      <c r="J7" s="51">
        <v>79520</v>
      </c>
    </row>
    <row r="8" spans="2:10">
      <c r="B8" s="50" t="s">
        <v>178</v>
      </c>
      <c r="C8" s="51">
        <v>-8.9777226981541887</v>
      </c>
      <c r="D8" s="51">
        <v>9102.2277301845807</v>
      </c>
      <c r="E8" s="51">
        <v>25.511252658073946</v>
      </c>
      <c r="F8" s="51">
        <v>19771.881192082135</v>
      </c>
      <c r="G8" s="51">
        <v>12.848505563933488</v>
      </c>
      <c r="H8" s="51">
        <v>18301.178662301951</v>
      </c>
      <c r="I8" s="51">
        <v>15.590617732584167</v>
      </c>
      <c r="J8" s="51">
        <v>75927.484786396599</v>
      </c>
    </row>
    <row r="9" spans="2:10">
      <c r="B9" s="50" t="s">
        <v>179</v>
      </c>
      <c r="C9" s="51">
        <v>0.58889710782725757</v>
      </c>
      <c r="D9" s="51">
        <v>10058.889710782725</v>
      </c>
      <c r="E9" s="51">
        <v>27.795732123967131</v>
      </c>
      <c r="F9" s="51">
        <v>20871.278393743094</v>
      </c>
      <c r="G9" s="51">
        <v>12.721296002973048</v>
      </c>
      <c r="H9" s="51">
        <v>18198.260059511937</v>
      </c>
      <c r="I9" s="51">
        <v>14.055516644607003</v>
      </c>
      <c r="J9" s="51">
        <v>62973.62540551048</v>
      </c>
    </row>
    <row r="10" spans="2:10">
      <c r="B10" s="50" t="s">
        <v>180</v>
      </c>
      <c r="C10" s="52">
        <v>84.58</v>
      </c>
      <c r="D10" s="53"/>
      <c r="E10" s="52">
        <v>44.22</v>
      </c>
      <c r="F10" s="53"/>
      <c r="G10" s="52">
        <v>48.22</v>
      </c>
      <c r="H10" s="53"/>
      <c r="I10" s="52">
        <v>10</v>
      </c>
      <c r="J10" s="53"/>
    </row>
    <row r="12" spans="2:10" ht="15.75">
      <c r="B12" s="44" t="s">
        <v>181</v>
      </c>
      <c r="C12" s="45"/>
      <c r="D12" s="45"/>
      <c r="E12" s="45"/>
      <c r="F12" s="45"/>
      <c r="G12" s="45"/>
      <c r="H12" s="45"/>
      <c r="I12" s="45"/>
      <c r="J12" s="45"/>
    </row>
    <row r="13" spans="2:10">
      <c r="B13" s="46" t="s">
        <v>170</v>
      </c>
      <c r="C13" s="47" t="s">
        <v>171</v>
      </c>
      <c r="D13" s="47"/>
      <c r="E13" s="47" t="s">
        <v>172</v>
      </c>
      <c r="F13" s="47"/>
      <c r="G13" s="47" t="s">
        <v>173</v>
      </c>
      <c r="H13" s="47"/>
      <c r="I13" s="47" t="s">
        <v>174</v>
      </c>
      <c r="J13" s="47"/>
    </row>
    <row r="14" spans="2:10" ht="63.75">
      <c r="B14" s="48"/>
      <c r="C14" s="49" t="s">
        <v>175</v>
      </c>
      <c r="D14" s="49" t="s">
        <v>176</v>
      </c>
      <c r="E14" s="49" t="s">
        <v>175</v>
      </c>
      <c r="F14" s="49" t="s">
        <v>176</v>
      </c>
      <c r="G14" s="49" t="s">
        <v>175</v>
      </c>
      <c r="H14" s="49" t="s">
        <v>176</v>
      </c>
      <c r="I14" s="49" t="s">
        <v>175</v>
      </c>
      <c r="J14" s="49" t="s">
        <v>176</v>
      </c>
    </row>
    <row r="15" spans="2:10">
      <c r="B15" s="50" t="s">
        <v>177</v>
      </c>
      <c r="C15" s="51">
        <v>-4.9071038251366055</v>
      </c>
      <c r="D15" s="51">
        <v>9509.2896174863399</v>
      </c>
      <c r="E15" s="51">
        <v>22.927984406045489</v>
      </c>
      <c r="F15" s="51">
        <v>18576.003415883861</v>
      </c>
      <c r="G15" s="51">
        <v>11.623330864359339</v>
      </c>
      <c r="H15" s="51">
        <v>17349.950149551347</v>
      </c>
      <c r="I15" s="51">
        <v>13.642148100039829</v>
      </c>
      <c r="J15" s="51">
        <v>37088.661551577148</v>
      </c>
    </row>
    <row r="16" spans="2:10">
      <c r="B16" s="50" t="s">
        <v>178</v>
      </c>
      <c r="C16" s="51">
        <v>-8.9777226981541887</v>
      </c>
      <c r="D16" s="51">
        <v>9102.2277301845807</v>
      </c>
      <c r="E16" s="51">
        <v>25.511252658073946</v>
      </c>
      <c r="F16" s="51">
        <v>19771.881192082135</v>
      </c>
      <c r="G16" s="51">
        <v>12.848505563933488</v>
      </c>
      <c r="H16" s="51">
        <v>18301.178662301951</v>
      </c>
      <c r="I16" s="51">
        <v>14.631741302386757</v>
      </c>
      <c r="J16" s="51">
        <v>40535.403295964315</v>
      </c>
    </row>
    <row r="17" spans="2:10">
      <c r="B17" s="50" t="s">
        <v>179</v>
      </c>
      <c r="C17" s="51">
        <v>0.58889710782725757</v>
      </c>
      <c r="D17" s="51">
        <v>10058.889710782725</v>
      </c>
      <c r="E17" s="51">
        <v>27.795732123967131</v>
      </c>
      <c r="F17" s="51">
        <v>20871.278393743094</v>
      </c>
      <c r="G17" s="51">
        <v>12.721296002973048</v>
      </c>
      <c r="H17" s="51">
        <v>18198.260059511937</v>
      </c>
      <c r="I17" s="51">
        <v>12.36237197029797</v>
      </c>
      <c r="J17" s="51">
        <v>33023.989585430063</v>
      </c>
    </row>
    <row r="18" spans="2:10">
      <c r="B18" s="50" t="s">
        <v>182</v>
      </c>
      <c r="C18" s="52">
        <v>91.5</v>
      </c>
      <c r="D18" s="53"/>
      <c r="E18" s="52">
        <v>46.84</v>
      </c>
      <c r="F18" s="53"/>
      <c r="G18" s="52">
        <v>50.15</v>
      </c>
      <c r="H18" s="53"/>
      <c r="I18" s="52">
        <v>23.46</v>
      </c>
      <c r="J18" s="53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2023-04-07T10:15:14Z</dcterms:modified>
</cp:coreProperties>
</file>