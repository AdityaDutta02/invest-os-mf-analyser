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Performance'!$C$8:$C$44</definedName>
    <definedName name="XDO_?FINAL_ISIN?7?">'TISF-Risk-O-Meter &amp; Performance'!$D$10:$D$44</definedName>
    <definedName name="XDO_?FINAL_ISIN?8?">'TISF-Risk-O-Meter &amp; Performance'!$D$10:$D$86</definedName>
    <definedName name="XDO_?FINAL_MV?7?">'TISF-Risk-O-Meter &amp; Performance'!$H$10:$H$44</definedName>
    <definedName name="XDO_?FINAL_MV?8?">'TISF-Risk-O-Meter &amp; Performance'!$H$10:$H$86</definedName>
    <definedName name="XDO_?FINAL_NAME?7?">'TISF-Risk-O-Meter &amp; Performance'!$C$10:$C$44</definedName>
    <definedName name="XDO_?FINAL_NAME?8?">'TISF-Risk-O-Meter &amp; Performance'!$C$10:$C$86</definedName>
    <definedName name="XDO_?FINAL_PER_NET?7?">'TISF-Risk-O-Meter &amp; Performance'!$I$10:$I$44</definedName>
    <definedName name="XDO_?FINAL_PER_NET?8?">'TISF-Risk-O-Meter &amp; Performance'!$I$10:$I$86</definedName>
    <definedName name="XDO_?FINAL_QUANTITE?7?">'TISF-Risk-O-Meter &amp; Performance'!$G$10:$G$44</definedName>
    <definedName name="XDO_?FINAL_QUANTITE?8?">'TISF-Risk-O-Meter &amp; Performance'!$G$10:$G$86</definedName>
    <definedName name="XDO_?IND_01?7?">'TISF-Risk-O-Meter &amp; Performance'!$F$10:$F$44</definedName>
    <definedName name="XDO_?IND_01?8?">'TISF-Risk-O-Meter &amp; Performance'!$F$10:$F$86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Performance'!$C$2:$C$44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Performance'!$B$10:$B$44</definedName>
    <definedName name="XDO_?NOVAL?8?">'TISF-Risk-O-Meter &amp; Performance'!$B$10:$B$86</definedName>
    <definedName name="XDO_?NPTF?4?">'TISF-Risk-O-Meter &amp; Performance'!$D$2:$D$44</definedName>
    <definedName name="XDO_?RATING?7?">'TISF-Risk-O-Meter &amp; Performance'!$E$10:$E$44</definedName>
    <definedName name="XDO_?RATING?8?">'TISF-Risk-O-Meter &amp; Performance'!$E$10:$E$86</definedName>
    <definedName name="XDO_?REMARKS?7?">'TISF-Risk-O-Meter &amp; Performance'!$J$10:$J$44</definedName>
    <definedName name="XDO_?REMARKS?8?">'TISF-Risk-O-Meter &amp; Performance'!$J$10:$J$86</definedName>
    <definedName name="XDO_?TITL?4?">'TISF-Risk-O-Meter &amp; Performance'!$A$8:$A$44</definedName>
    <definedName name="XDO_GROUP_?G_2?4?">'TISF-Risk-O-Meter &amp; Performance'!$2:$89</definedName>
    <definedName name="XDO_GROUP_?G_3?4?">'TISF-Risk-O-Meter &amp; Performance'!$8:$88</definedName>
    <definedName name="XDO_GROUP_?G_4?7?">'TISF-Risk-O-Meter &amp; Performance'!$B$10:$IV$44</definedName>
    <definedName name="XDO_GROUP_?G_4?8?">'TISF-Risk-O-Meter &amp; Performance'!$B$86:$IV$86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/>
</calcChain>
</file>

<file path=xl/sharedStrings.xml><?xml version="1.0" encoding="utf-8"?>
<sst xmlns="http://schemas.openxmlformats.org/spreadsheetml/2006/main" count="252" uniqueCount="182">
  <si>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</si>
  <si>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</si>
  <si>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</si>
  <si>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</si>
  <si>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</si>
  <si>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</si>
  <si>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</si>
  <si>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</si>
  <si>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</si>
  <si>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</si>
  <si>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</si>
  <si>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</si>
  <si>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</si>
  <si>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</si>
  <si>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</si>
  <si>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</si>
  <si>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</si>
  <si>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</si>
  <si>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</si>
  <si>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</si>
  <si>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</si>
  <si>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</si>
  <si>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</si>
  <si>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</si>
  <si>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</si>
  <si>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</si>
  <si>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</si>
  <si>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</si>
  <si>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</si>
  <si>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</si>
  <si>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Banks</t>
  </si>
  <si>
    <t>100181</t>
  </si>
  <si>
    <t>NTPC Ltd.</t>
  </si>
  <si>
    <t>INE733E01010</t>
  </si>
  <si>
    <t>Power</t>
  </si>
  <si>
    <t>100302</t>
  </si>
  <si>
    <t>DLF Ltd.</t>
  </si>
  <si>
    <t>INE271C01023</t>
  </si>
  <si>
    <t>Realty</t>
  </si>
  <si>
    <t>100128</t>
  </si>
  <si>
    <t>Eicher Motors Ltd.</t>
  </si>
  <si>
    <t>INE066A01021</t>
  </si>
  <si>
    <t>Automobiles</t>
  </si>
  <si>
    <t>100221</t>
  </si>
  <si>
    <t>Sundram Fasteners Ltd.</t>
  </si>
  <si>
    <t>INE387A01021</t>
  </si>
  <si>
    <t>Auto Components</t>
  </si>
  <si>
    <t>100431</t>
  </si>
  <si>
    <t>Atul Auto Ltd.</t>
  </si>
  <si>
    <t>INE951D01028</t>
  </si>
  <si>
    <t>Agricultural, Commercial &amp; Construction Vehicles</t>
  </si>
  <si>
    <t>100896</t>
  </si>
  <si>
    <t>Polycab India Ltd.</t>
  </si>
  <si>
    <t>INE455K01017</t>
  </si>
  <si>
    <t>Industrial Products</t>
  </si>
  <si>
    <t>100194</t>
  </si>
  <si>
    <t>Power Finance Corporation Ltd.</t>
  </si>
  <si>
    <t>INE134E01011</t>
  </si>
  <si>
    <t>Finance</t>
  </si>
  <si>
    <t>101800</t>
  </si>
  <si>
    <t>Hindware Home Innovation Ltd.</t>
  </si>
  <si>
    <t>INE05AN01011</t>
  </si>
  <si>
    <t>Consumer Durables</t>
  </si>
  <si>
    <t>100843</t>
  </si>
  <si>
    <t>Dalmia Bharat Ltd.</t>
  </si>
  <si>
    <t>INE00R701025</t>
  </si>
  <si>
    <t>Cement &amp; Cement Products</t>
  </si>
  <si>
    <t>101306</t>
  </si>
  <si>
    <t>Apollo Pipes Ltd.</t>
  </si>
  <si>
    <t>INE126J01016</t>
  </si>
  <si>
    <t>100055</t>
  </si>
  <si>
    <t>The Federal Bank Ltd.</t>
  </si>
  <si>
    <t>INE171A01029</t>
  </si>
  <si>
    <t>100180</t>
  </si>
  <si>
    <t>Hindalco Industries Ltd.</t>
  </si>
  <si>
    <t>INE038A01020</t>
  </si>
  <si>
    <t>Non - Ferrous Metals</t>
  </si>
  <si>
    <t>100719</t>
  </si>
  <si>
    <t>Mayur Uniquoters Ltd.</t>
  </si>
  <si>
    <t>INE040D01038</t>
  </si>
  <si>
    <t>100090</t>
  </si>
  <si>
    <t>Bharat Forge Ltd.</t>
  </si>
  <si>
    <t>INE465A01025</t>
  </si>
  <si>
    <t>100014</t>
  </si>
  <si>
    <t>Mahindra &amp; Mahindra Ltd.</t>
  </si>
  <si>
    <t>INE101A01026</t>
  </si>
  <si>
    <t>100172</t>
  </si>
  <si>
    <t>ACC Ltd.</t>
  </si>
  <si>
    <t>INE012A01025</t>
  </si>
  <si>
    <t>100314</t>
  </si>
  <si>
    <t>SRF Ltd.</t>
  </si>
  <si>
    <t>INE647A01010</t>
  </si>
  <si>
    <t>Chemicals &amp; Petrochemicals</t>
  </si>
  <si>
    <t>100082</t>
  </si>
  <si>
    <t>Ultratech Cement Ltd.</t>
  </si>
  <si>
    <t>INE481G01011</t>
  </si>
  <si>
    <t>100752</t>
  </si>
  <si>
    <t>Praj Industries Ltd.</t>
  </si>
  <si>
    <t>INE074A01025</t>
  </si>
  <si>
    <t>Industrial Manufacturing</t>
  </si>
  <si>
    <t>100372</t>
  </si>
  <si>
    <t>Apollo Tyres Ltd.</t>
  </si>
  <si>
    <t>INE438A01022</t>
  </si>
  <si>
    <t>100707</t>
  </si>
  <si>
    <t>Cera Sanitaryware Ltd.</t>
  </si>
  <si>
    <t>INE739E01017</t>
  </si>
  <si>
    <t>100097</t>
  </si>
  <si>
    <t>Coal India Ltd.</t>
  </si>
  <si>
    <t>INE522F01014</t>
  </si>
  <si>
    <t>Consumable Fuels</t>
  </si>
  <si>
    <t>100106</t>
  </si>
  <si>
    <t>Maruti Suzuki India Ltd.</t>
  </si>
  <si>
    <t>INE585B01010</t>
  </si>
  <si>
    <t>100210</t>
  </si>
  <si>
    <t>IRB Infrastructure Developers Ltd.</t>
  </si>
  <si>
    <t>INE821I01022</t>
  </si>
  <si>
    <t>100258</t>
  </si>
  <si>
    <t>Arvind Ltd.</t>
  </si>
  <si>
    <t>INE034A01011</t>
  </si>
  <si>
    <t>Textiles &amp; Apparels</t>
  </si>
  <si>
    <t>101718</t>
  </si>
  <si>
    <t>Faze Three Ltd.</t>
  </si>
  <si>
    <t>INE963C01033</t>
  </si>
  <si>
    <t>100113</t>
  </si>
  <si>
    <t>Shipping Corporation of India Ltd.</t>
  </si>
  <si>
    <t>INE109A01011</t>
  </si>
  <si>
    <t>Transport Services</t>
  </si>
  <si>
    <t>100740</t>
  </si>
  <si>
    <t>Sterlite Technologies Ltd.</t>
  </si>
  <si>
    <t>INE089C01029</t>
  </si>
  <si>
    <t>100282</t>
  </si>
  <si>
    <t>Blue Star Ltd.</t>
  </si>
  <si>
    <t>INE472A01039</t>
  </si>
  <si>
    <t>101848</t>
  </si>
  <si>
    <t>Shipping Corporation of India Land and Assets Ltd.</t>
  </si>
  <si>
    <t>INE0PB301013</t>
  </si>
  <si>
    <t>A**</t>
  </si>
  <si>
    <t>100229</t>
  </si>
  <si>
    <t>NCC Ltd.</t>
  </si>
  <si>
    <t>INE868B01028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</si>
  <si>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</si>
  <si>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</si>
  <si>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</si>
  <si>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</si>
  <si>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</si>
  <si>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</si>
  <si>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</si>
  <si>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</si>
  <si>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</si>
  <si>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</si>
  <si>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</si>
  <si>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</si>
  <si>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</si>
  <si>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</si>
  <si>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</si>
  <si>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</si>
  <si>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</si>
  <si>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</si>
  <si>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</si>
  <si>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</si>
  <si>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</si>
  <si>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</si>
  <si>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</si>
  <si>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</si>
  <si>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</si>
  <si>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</si>
  <si>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</si>
  <si>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</si>
  <si>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</si>
  <si>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</si>
  <si>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</si>
  <si>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</si>
  <si>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</si>
  <si>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</si>
  <si>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</si>
  <si>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</si>
  <si>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</si>
  <si>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</si>
  <si>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</si>
  <si>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May 31, 2023 : 41.50)</t>
  </si>
  <si>
    <t>Taurus Infrastructure Fund - Direct Plan Growth Option</t>
  </si>
  <si>
    <t>NAV [Rs.] Per Unit (as on May 31, 2023 : 44.10)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</si>
</sst>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Infra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5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4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45077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1725</v>
      </c>
      <c r="H10" s="32">
        <v>38.06</v>
      </c>
      <c r="I10" s="32">
        <v>6.78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1300</v>
      </c>
      <c r="H11" s="32">
        <v>32.17</v>
      </c>
      <c r="I11" s="32">
        <v>5.73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3140</v>
      </c>
      <c r="H12" s="32">
        <v>26.92</v>
      </c>
      <c r="I12" s="32">
        <v>4.8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2912</v>
      </c>
      <c r="H13" s="32">
        <v>26.64</v>
      </c>
      <c r="I13" s="32">
        <v>4.75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13800</v>
      </c>
      <c r="H14" s="32">
        <v>24.01</v>
      </c>
      <c r="I14" s="32">
        <v>4.28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4771</v>
      </c>
      <c r="H15" s="32">
        <v>22.65</v>
      </c>
      <c r="I15" s="32">
        <v>4.04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595</v>
      </c>
      <c r="H16" s="32">
        <v>21.93</v>
      </c>
      <c r="I16" s="32">
        <v>3.91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1725</v>
      </c>
      <c r="H17" s="32">
        <v>19.420000000000002</v>
      </c>
      <c r="I17" s="32">
        <v>3.46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5255</v>
      </c>
      <c r="H18" s="32">
        <v>18.82</v>
      </c>
      <c r="I18" s="32">
        <v>3.35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538</v>
      </c>
      <c r="H19" s="32">
        <v>18.48</v>
      </c>
      <c r="I19" s="32">
        <v>3.29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9725</v>
      </c>
      <c r="H20" s="32">
        <v>17.739999999999998</v>
      </c>
      <c r="I20" s="32">
        <v>3.16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3418</v>
      </c>
      <c r="H21" s="32">
        <v>17.489999999999998</v>
      </c>
      <c r="I21" s="32">
        <v>3.12</v>
      </c>
      <c r="J21" s="33"/>
    </row>
    <row r="22" spans="2:10">
      <c r="B22" s="1" t="s">
        <v>63</v>
      </c>
      <c r="C22" s="20" t="s">
        <v>64</v>
      </c>
      <c r="D22" s="29" t="s">
        <v>65</v>
      </c>
      <c r="E22" s="30"/>
      <c r="F22" s="30" t="s">
        <v>66</v>
      </c>
      <c r="G22" s="31">
        <v>820</v>
      </c>
      <c r="H22" s="32">
        <v>17.45</v>
      </c>
      <c r="I22" s="32">
        <v>3.11</v>
      </c>
      <c r="J22" s="33"/>
    </row>
    <row r="23" spans="2:10">
      <c r="B23" s="1" t="s">
        <v>67</v>
      </c>
      <c r="C23" s="20" t="s">
        <v>68</v>
      </c>
      <c r="D23" s="29" t="s">
        <v>69</v>
      </c>
      <c r="E23" s="30"/>
      <c r="F23" s="30" t="s">
        <v>54</v>
      </c>
      <c r="G23" s="31">
        <v>2800</v>
      </c>
      <c r="H23" s="32">
        <v>17.34</v>
      </c>
      <c r="I23" s="32">
        <v>3.09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30</v>
      </c>
      <c r="G24" s="31">
        <v>13366</v>
      </c>
      <c r="H24" s="32">
        <v>16.73</v>
      </c>
      <c r="I24" s="32">
        <v>2.98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4092</v>
      </c>
      <c r="H25" s="32">
        <v>16.63</v>
      </c>
      <c r="I25" s="32">
        <v>2.96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62</v>
      </c>
      <c r="G26" s="31">
        <v>3400</v>
      </c>
      <c r="H26" s="32">
        <v>16.25</v>
      </c>
      <c r="I26" s="32">
        <v>2.9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54</v>
      </c>
      <c r="G27" s="31">
        <v>1937</v>
      </c>
      <c r="H27" s="32">
        <v>15.33</v>
      </c>
      <c r="I27" s="32">
        <v>2.73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42</v>
      </c>
      <c r="G28" s="31">
        <v>1158</v>
      </c>
      <c r="H28" s="32">
        <v>15.27</v>
      </c>
      <c r="I28" s="32">
        <v>2.72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66</v>
      </c>
      <c r="G29" s="31">
        <v>810</v>
      </c>
      <c r="H29" s="32">
        <v>14.45</v>
      </c>
      <c r="I29" s="32">
        <v>2.57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570</v>
      </c>
      <c r="H30" s="32">
        <v>14.41</v>
      </c>
      <c r="I30" s="32">
        <v>2.57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66</v>
      </c>
      <c r="G31" s="31">
        <v>160</v>
      </c>
      <c r="H31" s="32">
        <v>12.6</v>
      </c>
      <c r="I31" s="32">
        <v>2.25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3086</v>
      </c>
      <c r="H32" s="32">
        <v>12.15</v>
      </c>
      <c r="I32" s="32">
        <v>2.16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46</v>
      </c>
      <c r="G33" s="31">
        <v>2980</v>
      </c>
      <c r="H33" s="32">
        <v>11.61</v>
      </c>
      <c r="I33" s="32">
        <v>2.0699999999999998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62</v>
      </c>
      <c r="G34" s="31">
        <v>130</v>
      </c>
      <c r="H34" s="32">
        <v>9.75</v>
      </c>
      <c r="I34" s="32">
        <v>1.74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4000</v>
      </c>
      <c r="H35" s="32">
        <v>9.65</v>
      </c>
      <c r="I35" s="32">
        <v>1.72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42</v>
      </c>
      <c r="G36" s="31">
        <v>102</v>
      </c>
      <c r="H36" s="32">
        <v>9.5500000000000007</v>
      </c>
      <c r="I36" s="32">
        <v>1.7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18</v>
      </c>
      <c r="G37" s="31">
        <v>32730</v>
      </c>
      <c r="H37" s="32">
        <v>9.35</v>
      </c>
      <c r="I37" s="32">
        <v>1.67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4000</v>
      </c>
      <c r="H38" s="32">
        <v>5.1100000000000003</v>
      </c>
      <c r="I38" s="32">
        <v>0.91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119</v>
      </c>
      <c r="G39" s="31">
        <v>1343</v>
      </c>
      <c r="H39" s="32">
        <v>4.6500000000000004</v>
      </c>
      <c r="I39" s="32">
        <v>0.83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4000</v>
      </c>
      <c r="H40" s="32">
        <v>3.8</v>
      </c>
      <c r="I40" s="32">
        <v>0.68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26</v>
      </c>
      <c r="G41" s="31">
        <v>2350</v>
      </c>
      <c r="H41" s="32">
        <v>3.5</v>
      </c>
      <c r="I41" s="32">
        <v>0.62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62</v>
      </c>
      <c r="G42" s="31">
        <v>110</v>
      </c>
      <c r="H42" s="32">
        <v>1.59</v>
      </c>
      <c r="I42" s="32">
        <v>0.28000000000000003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126</v>
      </c>
      <c r="G43" s="31">
        <v>4000</v>
      </c>
      <c r="H43" s="32">
        <v>1.06</v>
      </c>
      <c r="I43" s="32">
        <v>0.19</v>
      </c>
      <c r="J43" s="33" t="s">
        <v>136</v>
      </c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18</v>
      </c>
      <c r="G44" s="31">
        <v>650</v>
      </c>
      <c r="H44" s="32">
        <v>0.78</v>
      </c>
      <c r="I44" s="32">
        <v>0.14000000000000001</v>
      </c>
      <c r="J44" s="33"/>
    </row>
    <row r="45" spans="2:10">
      <c r="C45" s="28" t="s">
        <v>140</v>
      </c>
      <c r="D45" s="29"/>
      <c r="E45" s="30"/>
      <c r="F45" s="30"/>
      <c r="G45" s="31"/>
      <c r="H45" s="35">
        <v>523.34</v>
      </c>
      <c r="I45" s="35">
        <v>93.26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141</v>
      </c>
      <c r="D47" s="29"/>
      <c r="E47" s="30"/>
      <c r="F47" s="30"/>
      <c r="G47" s="31"/>
      <c r="H47" s="32" t="s">
        <v>142</v>
      </c>
      <c r="I47" s="32" t="s">
        <v>142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143</v>
      </c>
      <c r="D49" s="29"/>
      <c r="E49" s="30"/>
      <c r="F49" s="30"/>
      <c r="G49" s="31"/>
      <c r="H49" s="32" t="s">
        <v>142</v>
      </c>
      <c r="I49" s="32" t="s">
        <v>142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144</v>
      </c>
      <c r="D51" s="29"/>
      <c r="E51" s="30"/>
      <c r="F51" s="30"/>
      <c r="G51" s="31"/>
      <c r="H51" s="32"/>
      <c r="I51" s="32"/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145</v>
      </c>
      <c r="D53" s="29"/>
      <c r="E53" s="30"/>
      <c r="F53" s="30"/>
      <c r="G53" s="31"/>
      <c r="H53" s="32" t="s">
        <v>142</v>
      </c>
      <c r="I53" s="32" t="s">
        <v>142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146</v>
      </c>
      <c r="D55" s="29"/>
      <c r="E55" s="30"/>
      <c r="F55" s="30"/>
      <c r="G55" s="31"/>
      <c r="H55" s="32" t="s">
        <v>142</v>
      </c>
      <c r="I55" s="32" t="s">
        <v>142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147</v>
      </c>
      <c r="D57" s="29"/>
      <c r="E57" s="30"/>
      <c r="F57" s="30"/>
      <c r="G57" s="31"/>
      <c r="H57" s="32" t="s">
        <v>142</v>
      </c>
      <c r="I57" s="32" t="s">
        <v>142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148</v>
      </c>
      <c r="D59" s="29"/>
      <c r="E59" s="30"/>
      <c r="F59" s="30"/>
      <c r="G59" s="31"/>
      <c r="H59" s="32" t="s">
        <v>142</v>
      </c>
      <c r="I59" s="32" t="s">
        <v>142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149</v>
      </c>
      <c r="D61" s="29"/>
      <c r="E61" s="30"/>
      <c r="F61" s="30"/>
      <c r="G61" s="31"/>
      <c r="H61" s="32" t="s">
        <v>142</v>
      </c>
      <c r="I61" s="32" t="s">
        <v>142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150</v>
      </c>
      <c r="D63" s="29"/>
      <c r="E63" s="30"/>
      <c r="F63" s="30"/>
      <c r="G63" s="31"/>
      <c r="H63" s="32"/>
      <c r="I63" s="32"/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151</v>
      </c>
      <c r="D65" s="29"/>
      <c r="E65" s="30"/>
      <c r="F65" s="30"/>
      <c r="G65" s="31"/>
      <c r="H65" s="32" t="s">
        <v>142</v>
      </c>
      <c r="I65" s="32" t="s">
        <v>142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152</v>
      </c>
      <c r="D67" s="29"/>
      <c r="E67" s="30"/>
      <c r="F67" s="30"/>
      <c r="G67" s="31"/>
      <c r="H67" s="32" t="s">
        <v>142</v>
      </c>
      <c r="I67" s="32" t="s">
        <v>142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153</v>
      </c>
      <c r="D69" s="29"/>
      <c r="E69" s="30"/>
      <c r="F69" s="30"/>
      <c r="G69" s="31"/>
      <c r="H69" s="32" t="s">
        <v>142</v>
      </c>
      <c r="I69" s="32" t="s">
        <v>142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154</v>
      </c>
      <c r="D71" s="29"/>
      <c r="E71" s="30"/>
      <c r="F71" s="30"/>
      <c r="G71" s="31"/>
      <c r="H71" s="32" t="s">
        <v>142</v>
      </c>
      <c r="I71" s="32" t="s">
        <v>142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155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156</v>
      </c>
      <c r="D75" s="29"/>
      <c r="E75" s="30"/>
      <c r="F75" s="30"/>
      <c r="G75" s="31"/>
      <c r="H75" s="32" t="s">
        <v>142</v>
      </c>
      <c r="I75" s="32" t="s">
        <v>142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157</v>
      </c>
      <c r="D77" s="29"/>
      <c r="E77" s="30"/>
      <c r="F77" s="30"/>
      <c r="G77" s="31"/>
      <c r="H77" s="32" t="s">
        <v>142</v>
      </c>
      <c r="I77" s="32" t="s">
        <v>142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158</v>
      </c>
      <c r="D79" s="29"/>
      <c r="E79" s="30"/>
      <c r="F79" s="30"/>
      <c r="G79" s="31"/>
      <c r="H79" s="32" t="s">
        <v>142</v>
      </c>
      <c r="I79" s="32" t="s">
        <v>142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159</v>
      </c>
      <c r="D81" s="29"/>
      <c r="E81" s="30"/>
      <c r="F81" s="30"/>
      <c r="G81" s="31"/>
      <c r="H81" s="32" t="s">
        <v>142</v>
      </c>
      <c r="I81" s="32" t="s">
        <v>142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160</v>
      </c>
      <c r="D83" s="29"/>
      <c r="E83" s="30"/>
      <c r="F83" s="30"/>
      <c r="G83" s="31"/>
      <c r="H83" s="32" t="s">
        <v>142</v>
      </c>
      <c r="I83" s="32" t="s">
        <v>142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A85" s="26"/>
      <c r="B85" s="27"/>
      <c r="C85" s="28" t="s">
        <v>161</v>
      </c>
      <c r="D85" s="29"/>
      <c r="E85" s="30"/>
      <c r="F85" s="30"/>
      <c r="G85" s="31"/>
      <c r="H85" s="32"/>
      <c r="I85" s="32"/>
      <c r="J85" s="33"/>
    </row>
    <row r="86" spans="1:10">
      <c r="B86" s="1"/>
      <c r="C86" s="20" t="s">
        <v>162</v>
      </c>
      <c r="D86" s="29"/>
      <c r="E86" s="30"/>
      <c r="F86" s="30"/>
      <c r="G86" s="31"/>
      <c r="H86" s="32">
        <v>37.79</v>
      </c>
      <c r="I86" s="32">
        <v>6.74</v>
      </c>
      <c r="J86" s="33"/>
    </row>
    <row r="87" spans="1:10">
      <c r="C87" s="28" t="s">
        <v>140</v>
      </c>
      <c r="D87" s="29"/>
      <c r="E87" s="30"/>
      <c r="F87" s="30"/>
      <c r="G87" s="31"/>
      <c r="H87" s="35">
        <v>37.79</v>
      </c>
      <c r="I87" s="35">
        <v>6.74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 ht="13.5" thickBot="1">
      <c r="C89" s="36" t="s">
        <v>163</v>
      </c>
      <c r="D89" s="37"/>
      <c r="E89" s="38"/>
      <c r="F89" s="39"/>
      <c r="G89" s="40"/>
      <c r="H89" s="41">
        <v>561.13</v>
      </c>
      <c r="I89" s="41">
        <f>SUMIFS(I:I,C:C,"Total")</f>
        <v>100</v>
      </c>
      <c r="J89" s="42"/>
    </row>
    <row r="92" spans="1:10">
      <c r="C92" s="11" t="s">
        <v>164</v>
      </c>
    </row>
    <row r="93" spans="1:10">
      <c r="C93" s="2" t="s">
        <v>165</v>
      </c>
    </row>
    <row r="94" spans="1:10">
      <c r="C94" s="2" t="s">
        <v>166</v>
      </c>
    </row>
    <row r="95" spans="1:10">
      <c r="C95" s="2" t="s">
        <v>167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168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169</v>
      </c>
      <c r="C5" s="46" t="s">
        <v>170</v>
      </c>
      <c r="D5" s="46"/>
      <c r="E5" s="46" t="s">
        <v>171</v>
      </c>
      <c r="F5" s="46"/>
      <c r="G5" s="46" t="s">
        <v>172</v>
      </c>
      <c r="H5" s="46"/>
      <c r="I5" s="46" t="s">
        <v>173</v>
      </c>
      <c r="J5" s="46"/>
    </row>
    <row r="6" spans="2:10" ht="63.75">
      <c r="B6" s="47"/>
      <c r="C6" s="48" t="s">
        <v>174</v>
      </c>
      <c r="D6" s="48" t="s">
        <v>175</v>
      </c>
      <c r="E6" s="48" t="s">
        <v>174</v>
      </c>
      <c r="F6" s="48" t="s">
        <v>175</v>
      </c>
      <c r="G6" s="48" t="s">
        <v>174</v>
      </c>
      <c r="H6" s="48" t="s">
        <v>175</v>
      </c>
      <c r="I6" s="48" t="s">
        <v>174</v>
      </c>
      <c r="J6" s="48" t="s">
        <v>175</v>
      </c>
    </row>
    <row r="7" spans="2:10">
      <c r="B7" s="49" t="s">
        <v>176</v>
      </c>
      <c r="C7" s="50">
        <v>13.88583973655324</v>
      </c>
      <c r="D7" s="50">
        <v>11388.583973655326</v>
      </c>
      <c r="E7" s="50">
        <v>25.378635076588239</v>
      </c>
      <c r="F7" s="50">
        <v>19733.713742272943</v>
      </c>
      <c r="G7" s="50">
        <v>10.035461398395174</v>
      </c>
      <c r="H7" s="50">
        <v>16135.303265940904</v>
      </c>
      <c r="I7" s="50">
        <v>9.1513019499201107</v>
      </c>
      <c r="J7" s="50">
        <v>41500</v>
      </c>
    </row>
    <row r="8" spans="2:10">
      <c r="B8" s="49" t="s">
        <v>177</v>
      </c>
      <c r="C8" s="50">
        <v>12.862033179952581</v>
      </c>
      <c r="D8" s="50">
        <v>11286.203317995258</v>
      </c>
      <c r="E8" s="50">
        <v>25.886295600477883</v>
      </c>
      <c r="F8" s="50">
        <v>19949.653724345095</v>
      </c>
      <c r="G8" s="50">
        <v>12.18061751690238</v>
      </c>
      <c r="H8" s="50">
        <v>17765.978476787663</v>
      </c>
      <c r="I8" s="50">
        <v>5.4218188649829191</v>
      </c>
      <c r="J8" s="50">
        <v>23583.322995236394</v>
      </c>
    </row>
    <row r="9" spans="2:10">
      <c r="B9" s="49" t="s">
        <v>178</v>
      </c>
      <c r="C9" s="50">
        <v>12.936501642450771</v>
      </c>
      <c r="D9" s="50">
        <v>11293.650164245077</v>
      </c>
      <c r="E9" s="50">
        <v>26.017411031737048</v>
      </c>
      <c r="F9" s="50">
        <v>20012.053672132919</v>
      </c>
      <c r="G9" s="50">
        <v>12.893398277148327</v>
      </c>
      <c r="H9" s="50">
        <v>18337.609960208683</v>
      </c>
      <c r="I9" s="50">
        <v>11.980207592932569</v>
      </c>
      <c r="J9" s="50">
        <v>62879.915728516273</v>
      </c>
    </row>
    <row r="10" spans="2:10">
      <c r="B10" s="49" t="s">
        <v>179</v>
      </c>
      <c r="C10" s="51">
        <v>36.44</v>
      </c>
      <c r="D10" s="52"/>
      <c r="E10" s="51">
        <v>21.03</v>
      </c>
      <c r="F10" s="52"/>
      <c r="G10" s="51">
        <v>25.72</v>
      </c>
      <c r="H10" s="52"/>
      <c r="I10" s="51">
        <v>10</v>
      </c>
      <c r="J10" s="52"/>
    </row>
    <row r="12" spans="2:10" ht="15.75">
      <c r="B12" s="43" t="s">
        <v>180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169</v>
      </c>
      <c r="C13" s="46" t="s">
        <v>170</v>
      </c>
      <c r="D13" s="46"/>
      <c r="E13" s="46" t="s">
        <v>171</v>
      </c>
      <c r="F13" s="46"/>
      <c r="G13" s="46" t="s">
        <v>172</v>
      </c>
      <c r="H13" s="46"/>
      <c r="I13" s="46" t="s">
        <v>173</v>
      </c>
      <c r="J13" s="46"/>
    </row>
    <row r="14" spans="2:10" ht="63.75">
      <c r="B14" s="47"/>
      <c r="C14" s="48" t="s">
        <v>174</v>
      </c>
      <c r="D14" s="48" t="s">
        <v>175</v>
      </c>
      <c r="E14" s="48" t="s">
        <v>174</v>
      </c>
      <c r="F14" s="48" t="s">
        <v>175</v>
      </c>
      <c r="G14" s="48" t="s">
        <v>174</v>
      </c>
      <c r="H14" s="48" t="s">
        <v>175</v>
      </c>
      <c r="I14" s="48" t="s">
        <v>174</v>
      </c>
      <c r="J14" s="48" t="s">
        <v>175</v>
      </c>
    </row>
    <row r="15" spans="2:10">
      <c r="B15" s="49" t="s">
        <v>176</v>
      </c>
      <c r="C15" s="50">
        <v>14.39688715953309</v>
      </c>
      <c r="D15" s="50">
        <v>11439.688715953309</v>
      </c>
      <c r="E15" s="50">
        <v>25.920045546541548</v>
      </c>
      <c r="F15" s="50">
        <v>19990.933816863104</v>
      </c>
      <c r="G15" s="50">
        <v>10.492881326798798</v>
      </c>
      <c r="H15" s="50">
        <v>16473.664549869256</v>
      </c>
      <c r="I15" s="50">
        <v>12.592635034436617</v>
      </c>
      <c r="J15" s="50">
        <v>34399.375975039002</v>
      </c>
    </row>
    <row r="16" spans="2:10">
      <c r="B16" s="49" t="s">
        <v>177</v>
      </c>
      <c r="C16" s="50">
        <v>12.862033179952581</v>
      </c>
      <c r="D16" s="50">
        <v>11286.203317995258</v>
      </c>
      <c r="E16" s="50">
        <v>25.886295600477883</v>
      </c>
      <c r="F16" s="50">
        <v>19949.653724345095</v>
      </c>
      <c r="G16" s="50">
        <v>12.18061751690238</v>
      </c>
      <c r="H16" s="50">
        <v>17765.978476787663</v>
      </c>
      <c r="I16" s="50">
        <v>8.9171519106342245</v>
      </c>
      <c r="J16" s="50">
        <v>24345.072727146122</v>
      </c>
    </row>
    <row r="17" spans="2:10">
      <c r="B17" s="49" t="s">
        <v>178</v>
      </c>
      <c r="C17" s="50">
        <v>12.936501642450771</v>
      </c>
      <c r="D17" s="50">
        <v>11293.650164245077</v>
      </c>
      <c r="E17" s="50">
        <v>26.017411031737048</v>
      </c>
      <c r="F17" s="50">
        <v>20012.053672132919</v>
      </c>
      <c r="G17" s="50">
        <v>12.893398277148327</v>
      </c>
      <c r="H17" s="50">
        <v>18337.609960208683</v>
      </c>
      <c r="I17" s="50">
        <v>12.892401427699873</v>
      </c>
      <c r="J17" s="50">
        <v>35365.411812067206</v>
      </c>
    </row>
    <row r="18" spans="2:10">
      <c r="B18" s="49" t="s">
        <v>181</v>
      </c>
      <c r="C18" s="51">
        <v>38.549999999999997</v>
      </c>
      <c r="D18" s="52"/>
      <c r="E18" s="51">
        <v>22.06</v>
      </c>
      <c r="F18" s="52"/>
      <c r="G18" s="51">
        <v>26.77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2023-06-02T17:10:25Z</dcterms:created>
  <dcterms:modified xsi:type="dcterms:W3CDTF">2023-06-07T10:45:27Z</dcterms:modified>
</cp:coreProperties>
</file>