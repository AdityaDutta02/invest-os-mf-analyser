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OCT 2023\Portfolio\SAHU\RE_ TMF_Monthly_Portfolio_Report_SEPT 23\"/>
    </mc:Choice>
  </mc:AlternateContent>
  <xr:revisionPtr revIDLastSave="0" documentId="13_ncr:1_{E5D8D695-7F25-4C58-889B-4310A0A944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TS-Risk-O-Meter &amp; Portfolio" sheetId="1" r:id="rId1"/>
    <sheet name="TTS Performance" sheetId="2" r:id="rId2"/>
  </sheets>
  <externalReferences>
    <externalReference r:id="rId3"/>
  </externalReferences>
  <definedNames>
    <definedName name="XDO_?CLASS_3?7?">'TTS-Risk-O-Meter &amp; Portfolio'!$C$8:$C$38</definedName>
    <definedName name="XDO_?FINAL_ISIN?14?">'TTS-Risk-O-Meter &amp; Portfolio'!$D$10:$D$38</definedName>
    <definedName name="XDO_?FINAL_ISIN?15?">'TTS-Risk-O-Meter &amp; Portfolio'!$D$10:$D$77</definedName>
    <definedName name="XDO_?FINAL_ISIN?16?">'TTS-Risk-O-Meter &amp; Portfolio'!$D$10:$D$81</definedName>
    <definedName name="XDO_?FINAL_MV?14?">'TTS-Risk-O-Meter &amp; Portfolio'!$H$10:$H$38</definedName>
    <definedName name="XDO_?FINAL_MV?15?">'TTS-Risk-O-Meter &amp; Portfolio'!$H$10:$H$77</definedName>
    <definedName name="XDO_?FINAL_MV?16?">'TTS-Risk-O-Meter &amp; Portfolio'!$H$10:$H$81</definedName>
    <definedName name="XDO_?FINAL_NAME?14?">'TTS-Risk-O-Meter &amp; Portfolio'!$C$10:$C$38</definedName>
    <definedName name="XDO_?FINAL_NAME?15?">'TTS-Risk-O-Meter &amp; Portfolio'!$C$10:$C$77</definedName>
    <definedName name="XDO_?FINAL_NAME?16?">'TTS-Risk-O-Meter &amp; Portfolio'!$C$10:$C$81</definedName>
    <definedName name="XDO_?FINAL_PER_NET?14?">'TTS-Risk-O-Meter &amp; Portfolio'!$I$10:$I$38</definedName>
    <definedName name="XDO_?FINAL_PER_NET?15?">'TTS-Risk-O-Meter &amp; Portfolio'!$I$10:$I$77</definedName>
    <definedName name="XDO_?FINAL_PER_NET?16?">'TTS-Risk-O-Meter &amp; Portfolio'!$I$10:$I$81</definedName>
    <definedName name="XDO_?FINAL_QUANTITE?14?">'TTS-Risk-O-Meter &amp; Portfolio'!$G$10:$G$38</definedName>
    <definedName name="XDO_?FINAL_QUANTITE?15?">'TTS-Risk-O-Meter &amp; Portfolio'!$G$10:$G$77</definedName>
    <definedName name="XDO_?FINAL_QUANTITE?16?">'TTS-Risk-O-Meter &amp; Portfolio'!$G$10:$G$81</definedName>
    <definedName name="XDO_?IND_01?14?">'TTS-Risk-O-Meter &amp; Portfolio'!$F$10:$F$38</definedName>
    <definedName name="XDO_?IND_01?15?">'TTS-Risk-O-Meter &amp; Portfolio'!$F$10:$F$77</definedName>
    <definedName name="XDO_?IND_01?16?">'TTS-Risk-O-Meter &amp; Portfolio'!$F$10:$F$81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Portfolio'!$C$2:$C$38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4?">'TTS-Risk-O-Meter &amp; Portfolio'!$B$10:$B$38</definedName>
    <definedName name="XDO_?NOVAL?15?">'TTS-Risk-O-Meter &amp; Portfolio'!$B$10:$B$77</definedName>
    <definedName name="XDO_?NOVAL?16?">'TTS-Risk-O-Meter &amp; Portfolio'!$B$10:$B$81</definedName>
    <definedName name="XDO_?NPTF?7?">'TTS-Risk-O-Meter &amp; Portfolio'!$D$2:$D$38</definedName>
    <definedName name="XDO_?RATING?14?">'TTS-Risk-O-Meter &amp; Portfolio'!$E$10:$E$38</definedName>
    <definedName name="XDO_?RATING?15?">'TTS-Risk-O-Meter &amp; Portfolio'!$E$10:$E$77</definedName>
    <definedName name="XDO_?RATING?16?">'TTS-Risk-O-Meter &amp; Portfolio'!$E$10:$E$81</definedName>
    <definedName name="XDO_?REMARKS?14?">'TTS-Risk-O-Meter &amp; Portfolio'!$J$10:$J$38</definedName>
    <definedName name="XDO_?REMARKS?15?">'TTS-Risk-O-Meter &amp; Portfolio'!$J$10:$J$77</definedName>
    <definedName name="XDO_?REMARKS?16?">'TTS-Risk-O-Meter &amp; Portfolio'!$J$10:$J$81</definedName>
    <definedName name="XDO_?TITL?7?">'TTS-Risk-O-Meter &amp; Portfolio'!$A$8:$A$38</definedName>
    <definedName name="XDO_GROUP_?G_2?7?">'TTS-Risk-O-Meter &amp; Portfolio'!$2:$84</definedName>
    <definedName name="XDO_GROUP_?G_3?7?">'TTS-Risk-O-Meter &amp; Portfolio'!$8:$83</definedName>
    <definedName name="XDO_GROUP_?G_4?14?">'TTS-Risk-O-Meter &amp; Portfolio'!$B$10:$IV$38</definedName>
    <definedName name="XDO_GROUP_?G_4?15?">'TTS-Risk-O-Meter &amp; Portfolio'!$B$77:$IV$77</definedName>
    <definedName name="XDO_GROUP_?G_4?16?">'TTS-Risk-O-Meter &amp; Portfolio'!$B$81:$IV$81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1" l="1"/>
</calcChain>
</file>

<file path=xl/sharedStrings.xml><?xml version="1.0" encoding="utf-8"?>
<sst xmlns="http://schemas.openxmlformats.org/spreadsheetml/2006/main" count="229" uniqueCount="165">
  <si>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</si>
  <si>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</si>
  <si>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</si>
  <si>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</si>
  <si>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</si>
  <si>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</si>
  <si>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</si>
  <si>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</si>
  <si>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</si>
  <si>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</si>
  <si>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</si>
  <si>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</si>
  <si>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</si>
  <si>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</si>
  <si>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</si>
  <si>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</si>
  <si>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</si>
  <si>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</si>
  <si>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</si>
  <si>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</si>
  <si>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</si>
  <si>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</si>
  <si>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</si>
  <si>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</si>
  <si>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</si>
  <si>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</si>
  <si>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</si>
  <si>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100147</t>
  </si>
  <si>
    <t>Tech Mahindra Ltd.</t>
  </si>
  <si>
    <t>INE669C01036</t>
  </si>
  <si>
    <t>100024</t>
  </si>
  <si>
    <t>Axis Bank Ltd.</t>
  </si>
  <si>
    <t>INE238A01034</t>
  </si>
  <si>
    <t>100003</t>
  </si>
  <si>
    <t>Infosys Ltd.</t>
  </si>
  <si>
    <t>INE009A01021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</si>
  <si>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</si>
  <si>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</si>
  <si>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</si>
  <si>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</si>
  <si>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</si>
  <si>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</si>
  <si>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</si>
  <si>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100045</t>
  </si>
  <si>
    <t>Gujarat Pipavav Port Ltd.</t>
  </si>
  <si>
    <t>INE517F01014</t>
  </si>
  <si>
    <t>Transport Infrastructure</t>
  </si>
  <si>
    <t>100172</t>
  </si>
  <si>
    <t>ACC Ltd.</t>
  </si>
  <si>
    <t>INE012A01025</t>
  </si>
  <si>
    <t>Cement &amp; Cement Products</t>
  </si>
  <si>
    <t>100474</t>
  </si>
  <si>
    <t>Narayana Hrudayalaya Ltd.</t>
  </si>
  <si>
    <t>INE410P01011</t>
  </si>
  <si>
    <t>Healthcare Services</t>
  </si>
  <si>
    <t>100097</t>
  </si>
  <si>
    <t>Coal India Ltd.</t>
  </si>
  <si>
    <t>INE522F01014</t>
  </si>
  <si>
    <t>Consumable Fuels</t>
  </si>
  <si>
    <t>101181</t>
  </si>
  <si>
    <t>UTI Asset Management Co. Ltd.</t>
  </si>
  <si>
    <t>INE094J01016</t>
  </si>
  <si>
    <t>Capital Markets</t>
  </si>
  <si>
    <t>100035</t>
  </si>
  <si>
    <t>NMDC Ltd.</t>
  </si>
  <si>
    <t>INE584A01023</t>
  </si>
  <si>
    <t>Minerals &amp; Mining</t>
  </si>
  <si>
    <t>101178</t>
  </si>
  <si>
    <t>Computer Age Management Services Ltd.</t>
  </si>
  <si>
    <t>INE596I01012</t>
  </si>
  <si>
    <t>100153</t>
  </si>
  <si>
    <t>Cipla Ltd.</t>
  </si>
  <si>
    <t>INE059A01026</t>
  </si>
  <si>
    <t>Pharmaceuticals &amp; Biotechnology</t>
  </si>
  <si>
    <t>100092</t>
  </si>
  <si>
    <t>Bank of Baroda</t>
  </si>
  <si>
    <t>INE028A01039</t>
  </si>
  <si>
    <t>100263</t>
  </si>
  <si>
    <t>BEML Ltd.</t>
  </si>
  <si>
    <t>INE258A01016</t>
  </si>
  <si>
    <t>Agricultural, Commercial &amp; Construction Vehicles</t>
  </si>
  <si>
    <t>100342</t>
  </si>
  <si>
    <t>Vardhman Textiles Ltd.</t>
  </si>
  <si>
    <t>INE825A01020</t>
  </si>
  <si>
    <t>Textiles &amp; Apparels</t>
  </si>
  <si>
    <t>101946</t>
  </si>
  <si>
    <t>National Fertilizers Ltd.</t>
  </si>
  <si>
    <t>INE870D01012</t>
  </si>
  <si>
    <t>Fertilizers &amp; Agrochemicals</t>
  </si>
  <si>
    <t>100096</t>
  </si>
  <si>
    <t>Container Corporation of India Ltd.</t>
  </si>
  <si>
    <t>INE111A01025</t>
  </si>
  <si>
    <t>Transport Services</t>
  </si>
  <si>
    <t>100783</t>
  </si>
  <si>
    <t>JM Financial Ltd.</t>
  </si>
  <si>
    <t>INE780C01023</t>
  </si>
  <si>
    <t>100401</t>
  </si>
  <si>
    <t>Jamna Auto Industries Ltd.</t>
  </si>
  <si>
    <t>INE039C01032</t>
  </si>
  <si>
    <t>Auto Components</t>
  </si>
  <si>
    <t>100410</t>
  </si>
  <si>
    <t>Healthcare Global Enterprises Ltd.</t>
  </si>
  <si>
    <t>INE075I01017</t>
  </si>
  <si>
    <t>100130</t>
  </si>
  <si>
    <t>Gujarat Gas Ltd.</t>
  </si>
  <si>
    <t>INE844O01030</t>
  </si>
  <si>
    <t>Gas</t>
  </si>
  <si>
    <t>100080</t>
  </si>
  <si>
    <t>Dr. Reddy's Laboratories Ltd.</t>
  </si>
  <si>
    <t>INE089A01023</t>
  </si>
  <si>
    <t>100747</t>
  </si>
  <si>
    <t>Mahindra Logistics Ltd.</t>
  </si>
  <si>
    <t>INE766P01016</t>
  </si>
  <si>
    <t>100823</t>
  </si>
  <si>
    <t>Cigniti Technologies Ltd.</t>
  </si>
  <si>
    <t>INE675C01017</t>
  </si>
  <si>
    <t>IT - Services</t>
  </si>
  <si>
    <t>100155</t>
  </si>
  <si>
    <t>Divi's Laboratories Ltd.</t>
  </si>
  <si>
    <t>INE361B01024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</si>
  <si>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</si>
  <si>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</si>
  <si>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</si>
  <si>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</si>
  <si>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</si>
  <si>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</si>
  <si>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</si>
  <si>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</si>
  <si>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</si>
  <si>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</si>
  <si>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</si>
  <si>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</si>
  <si>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</si>
  <si>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</si>
  <si>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</si>
  <si>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</si>
  <si>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</si>
  <si>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</si>
  <si>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</si>
  <si>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</si>
  <si>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</si>
  <si>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</si>
  <si>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</si>
  <si>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</si>
  <si>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</si>
  <si>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</si>
  <si>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</si>
  <si>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</si>
  <si>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</si>
  <si>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</si>
  <si>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</si>
  <si>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</si>
  <si>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</si>
  <si>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</si>
  <si>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</si>
  <si>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</si>
  <si>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</si>
  <si>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</si>
  <si>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</si>
  <si>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</si>
  <si>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</si>
  <si>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September 29, 2023 : 137.12)</t>
  </si>
  <si>
    <t>Taurus Tax Shield - Direct Plan Growth Option</t>
  </si>
  <si>
    <t>NAV [Rs.] Per Unit (as on September 29, 2023 : 147.81)</t>
  </si>
  <si>
    <r>
      <rPr>
        <b/>
        <sz val="11"/>
        <color indexed="8"/>
        <rFont val="Calibri"/>
        <family val="2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</si>
</sst>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 xr:uid="{00000000-0005-0000-0000-000001000000}"/>
    <cellStyle name="Hyperlink" xfId="2" builtinId="8"/>
    <cellStyle name="Normal" xfId="0" builtinId="0"/>
    <cellStyle name="Normal 2" xfId="4" xr:uid="{00000000-0005-0000-0000-000004000000}"/>
    <cellStyle name="Style 1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Tax Prodcut label - 9th Dec 202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Sept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2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45199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48200</v>
      </c>
      <c r="H10" s="32">
        <v>595.85</v>
      </c>
      <c r="I10" s="32">
        <v>9.0399999999999991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37729</v>
      </c>
      <c r="H11" s="32">
        <v>575.95000000000005</v>
      </c>
      <c r="I11" s="32">
        <v>8.73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6000</v>
      </c>
      <c r="H12" s="32">
        <v>426.15</v>
      </c>
      <c r="I12" s="32">
        <v>6.46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31000</v>
      </c>
      <c r="H13" s="32">
        <v>379.16</v>
      </c>
      <c r="I13" s="32">
        <v>5.75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22</v>
      </c>
      <c r="G14" s="31">
        <v>35000</v>
      </c>
      <c r="H14" s="32">
        <v>362.86</v>
      </c>
      <c r="I14" s="32">
        <v>5.5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18</v>
      </c>
      <c r="G15" s="31">
        <v>25000</v>
      </c>
      <c r="H15" s="32">
        <v>358.76</v>
      </c>
      <c r="I15" s="32">
        <v>5.44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80000</v>
      </c>
      <c r="H16" s="32">
        <v>355.52</v>
      </c>
      <c r="I16" s="32">
        <v>5.39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22</v>
      </c>
      <c r="G17" s="31">
        <v>36000</v>
      </c>
      <c r="H17" s="32">
        <v>342.74</v>
      </c>
      <c r="I17" s="32">
        <v>5.2</v>
      </c>
      <c r="J17" s="33"/>
    </row>
    <row r="18" spans="2:10" x14ac:dyDescent="0.25">
      <c r="B18" s="1" t="s">
        <v>43</v>
      </c>
      <c r="C18" s="20" t="s">
        <v>44</v>
      </c>
      <c r="D18" s="29" t="s">
        <v>45</v>
      </c>
      <c r="E18" s="30"/>
      <c r="F18" s="30" t="s">
        <v>46</v>
      </c>
      <c r="G18" s="31">
        <v>240000</v>
      </c>
      <c r="H18" s="32">
        <v>298.08</v>
      </c>
      <c r="I18" s="32">
        <v>4.5199999999999996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14500</v>
      </c>
      <c r="H19" s="32">
        <v>291.89999999999998</v>
      </c>
      <c r="I19" s="32">
        <v>4.43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25000</v>
      </c>
      <c r="H20" s="32">
        <v>270.91000000000003</v>
      </c>
      <c r="I20" s="32">
        <v>4.1100000000000003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80000</v>
      </c>
      <c r="H21" s="32">
        <v>236.12</v>
      </c>
      <c r="I21" s="32">
        <v>3.58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22000</v>
      </c>
      <c r="H22" s="32">
        <v>172.8</v>
      </c>
      <c r="I22" s="32">
        <v>2.62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100000</v>
      </c>
      <c r="H23" s="32">
        <v>147.85</v>
      </c>
      <c r="I23" s="32">
        <v>2.2400000000000002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62</v>
      </c>
      <c r="G24" s="31">
        <v>5500</v>
      </c>
      <c r="H24" s="32">
        <v>138.1</v>
      </c>
      <c r="I24" s="32">
        <v>2.09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11000</v>
      </c>
      <c r="H25" s="32">
        <v>130.55000000000001</v>
      </c>
      <c r="I25" s="32">
        <v>1.98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22</v>
      </c>
      <c r="G26" s="31">
        <v>60080</v>
      </c>
      <c r="H26" s="32">
        <v>128.44999999999999</v>
      </c>
      <c r="I26" s="32">
        <v>1.95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5125</v>
      </c>
      <c r="H27" s="32">
        <v>118.78</v>
      </c>
      <c r="I27" s="32">
        <v>1.8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30000</v>
      </c>
      <c r="H28" s="32">
        <v>111.9</v>
      </c>
      <c r="I28" s="32">
        <v>1.7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147625</v>
      </c>
      <c r="H29" s="32">
        <v>107.63</v>
      </c>
      <c r="I29" s="32">
        <v>1.63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15000</v>
      </c>
      <c r="H30" s="32">
        <v>107.39</v>
      </c>
      <c r="I30" s="32">
        <v>1.63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26</v>
      </c>
      <c r="G31" s="31">
        <v>123189</v>
      </c>
      <c r="H31" s="32">
        <v>106.36</v>
      </c>
      <c r="I31" s="32">
        <v>1.61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80000</v>
      </c>
      <c r="H32" s="32">
        <v>93.56</v>
      </c>
      <c r="I32" s="32">
        <v>1.42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54</v>
      </c>
      <c r="G33" s="31">
        <v>20000</v>
      </c>
      <c r="H33" s="32">
        <v>71.58</v>
      </c>
      <c r="I33" s="32">
        <v>1.0900000000000001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16660</v>
      </c>
      <c r="H34" s="32">
        <v>70.44</v>
      </c>
      <c r="I34" s="32">
        <v>1.07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73</v>
      </c>
      <c r="G35" s="31">
        <v>1200</v>
      </c>
      <c r="H35" s="32">
        <v>67.040000000000006</v>
      </c>
      <c r="I35" s="32">
        <v>1.02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92</v>
      </c>
      <c r="G36" s="31">
        <v>17000</v>
      </c>
      <c r="H36" s="32">
        <v>65.900000000000006</v>
      </c>
      <c r="I36" s="32">
        <v>1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7926</v>
      </c>
      <c r="H37" s="32">
        <v>62.01</v>
      </c>
      <c r="I37" s="32">
        <v>0.94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73</v>
      </c>
      <c r="G38" s="31">
        <v>1500</v>
      </c>
      <c r="H38" s="32">
        <v>56.47</v>
      </c>
      <c r="I38" s="32">
        <v>0.86</v>
      </c>
      <c r="J38" s="33"/>
    </row>
    <row r="39" spans="2:10" x14ac:dyDescent="0.25">
      <c r="C39" s="28" t="s">
        <v>120</v>
      </c>
      <c r="D39" s="29"/>
      <c r="E39" s="30"/>
      <c r="F39" s="30"/>
      <c r="G39" s="31"/>
      <c r="H39" s="35">
        <v>6250.81</v>
      </c>
      <c r="I39" s="35">
        <v>94.8</v>
      </c>
      <c r="J39" s="33"/>
    </row>
    <row r="40" spans="2:10" x14ac:dyDescent="0.25">
      <c r="C40" s="20"/>
      <c r="D40" s="29"/>
      <c r="E40" s="30"/>
      <c r="F40" s="30"/>
      <c r="G40" s="31"/>
      <c r="H40" s="32"/>
      <c r="I40" s="32"/>
      <c r="J40" s="33"/>
    </row>
    <row r="41" spans="2:10" x14ac:dyDescent="0.25">
      <c r="C41" s="28" t="s">
        <v>121</v>
      </c>
      <c r="D41" s="29"/>
      <c r="E41" s="30"/>
      <c r="F41" s="30"/>
      <c r="G41" s="31"/>
      <c r="H41" s="32" t="s">
        <v>122</v>
      </c>
      <c r="I41" s="32" t="s">
        <v>122</v>
      </c>
      <c r="J41" s="33"/>
    </row>
    <row r="42" spans="2:10" x14ac:dyDescent="0.25">
      <c r="C42" s="20"/>
      <c r="D42" s="29"/>
      <c r="E42" s="30"/>
      <c r="F42" s="30"/>
      <c r="G42" s="31"/>
      <c r="H42" s="32"/>
      <c r="I42" s="32"/>
      <c r="J42" s="33"/>
    </row>
    <row r="43" spans="2:10" x14ac:dyDescent="0.25">
      <c r="C43" s="28" t="s">
        <v>123</v>
      </c>
      <c r="D43" s="29"/>
      <c r="E43" s="30"/>
      <c r="F43" s="30"/>
      <c r="G43" s="31"/>
      <c r="H43" s="32" t="s">
        <v>122</v>
      </c>
      <c r="I43" s="32" t="s">
        <v>122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124</v>
      </c>
      <c r="D45" s="29"/>
      <c r="E45" s="30"/>
      <c r="F45" s="30"/>
      <c r="G45" s="31"/>
      <c r="H45" s="32"/>
      <c r="I45" s="32"/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125</v>
      </c>
      <c r="D47" s="29"/>
      <c r="E47" s="30"/>
      <c r="F47" s="30"/>
      <c r="G47" s="31"/>
      <c r="H47" s="32" t="s">
        <v>122</v>
      </c>
      <c r="I47" s="32" t="s">
        <v>122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126</v>
      </c>
      <c r="D49" s="29"/>
      <c r="E49" s="30"/>
      <c r="F49" s="30"/>
      <c r="G49" s="31"/>
      <c r="H49" s="32" t="s">
        <v>122</v>
      </c>
      <c r="I49" s="32" t="s">
        <v>122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127</v>
      </c>
      <c r="D51" s="29"/>
      <c r="E51" s="30"/>
      <c r="F51" s="30"/>
      <c r="G51" s="31"/>
      <c r="H51" s="32" t="s">
        <v>122</v>
      </c>
      <c r="I51" s="32" t="s">
        <v>122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128</v>
      </c>
      <c r="D53" s="29"/>
      <c r="E53" s="30"/>
      <c r="F53" s="30"/>
      <c r="G53" s="31"/>
      <c r="H53" s="32" t="s">
        <v>122</v>
      </c>
      <c r="I53" s="32" t="s">
        <v>122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129</v>
      </c>
      <c r="D55" s="29"/>
      <c r="E55" s="30"/>
      <c r="F55" s="30"/>
      <c r="G55" s="31"/>
      <c r="H55" s="32" t="s">
        <v>122</v>
      </c>
      <c r="I55" s="32" t="s">
        <v>122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130</v>
      </c>
      <c r="D57" s="29"/>
      <c r="E57" s="30"/>
      <c r="F57" s="30"/>
      <c r="G57" s="31"/>
      <c r="H57" s="32"/>
      <c r="I57" s="32"/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131</v>
      </c>
      <c r="D59" s="29"/>
      <c r="E59" s="30"/>
      <c r="F59" s="30"/>
      <c r="G59" s="31"/>
      <c r="H59" s="32" t="s">
        <v>122</v>
      </c>
      <c r="I59" s="32" t="s">
        <v>122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132</v>
      </c>
      <c r="D61" s="29"/>
      <c r="E61" s="30"/>
      <c r="F61" s="30"/>
      <c r="G61" s="31"/>
      <c r="H61" s="32" t="s">
        <v>122</v>
      </c>
      <c r="I61" s="32" t="s">
        <v>122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133</v>
      </c>
      <c r="D63" s="29"/>
      <c r="E63" s="30"/>
      <c r="F63" s="30"/>
      <c r="G63" s="31"/>
      <c r="H63" s="32" t="s">
        <v>122</v>
      </c>
      <c r="I63" s="32" t="s">
        <v>122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134</v>
      </c>
      <c r="D65" s="29"/>
      <c r="E65" s="30"/>
      <c r="F65" s="30"/>
      <c r="G65" s="31"/>
      <c r="H65" s="32" t="s">
        <v>122</v>
      </c>
      <c r="I65" s="32" t="s">
        <v>122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A67" s="26"/>
      <c r="B67" s="27"/>
      <c r="C67" s="28" t="s">
        <v>135</v>
      </c>
      <c r="D67" s="29"/>
      <c r="E67" s="30"/>
      <c r="F67" s="30"/>
      <c r="G67" s="31"/>
      <c r="H67" s="32"/>
      <c r="I67" s="32"/>
      <c r="J67" s="33"/>
    </row>
    <row r="68" spans="1:10" x14ac:dyDescent="0.25">
      <c r="A68" s="27"/>
      <c r="B68" s="27"/>
      <c r="C68" s="28" t="s">
        <v>136</v>
      </c>
      <c r="D68" s="29"/>
      <c r="E68" s="30"/>
      <c r="F68" s="30"/>
      <c r="G68" s="31"/>
      <c r="H68" s="32" t="s">
        <v>122</v>
      </c>
      <c r="I68" s="32" t="s">
        <v>122</v>
      </c>
      <c r="J68" s="33"/>
    </row>
    <row r="69" spans="1:10" x14ac:dyDescent="0.25">
      <c r="A69" s="27"/>
      <c r="B69" s="27"/>
      <c r="C69" s="28"/>
      <c r="D69" s="29"/>
      <c r="E69" s="30"/>
      <c r="F69" s="30"/>
      <c r="G69" s="31"/>
      <c r="H69" s="32"/>
      <c r="I69" s="32"/>
      <c r="J69" s="33"/>
    </row>
    <row r="70" spans="1:10" x14ac:dyDescent="0.25">
      <c r="A70" s="27"/>
      <c r="B70" s="27"/>
      <c r="C70" s="28" t="s">
        <v>137</v>
      </c>
      <c r="D70" s="29"/>
      <c r="E70" s="30"/>
      <c r="F70" s="30"/>
      <c r="G70" s="31"/>
      <c r="H70" s="32" t="s">
        <v>122</v>
      </c>
      <c r="I70" s="32" t="s">
        <v>122</v>
      </c>
      <c r="J70" s="33"/>
    </row>
    <row r="71" spans="1:10" x14ac:dyDescent="0.25">
      <c r="A71" s="27"/>
      <c r="B71" s="27"/>
      <c r="C71" s="28"/>
      <c r="D71" s="29"/>
      <c r="E71" s="30"/>
      <c r="F71" s="30"/>
      <c r="G71" s="31"/>
      <c r="H71" s="32"/>
      <c r="I71" s="32"/>
      <c r="J71" s="33"/>
    </row>
    <row r="72" spans="1:10" x14ac:dyDescent="0.25">
      <c r="A72" s="27"/>
      <c r="B72" s="27"/>
      <c r="C72" s="28" t="s">
        <v>138</v>
      </c>
      <c r="D72" s="29"/>
      <c r="E72" s="30"/>
      <c r="F72" s="30"/>
      <c r="G72" s="31"/>
      <c r="H72" s="32" t="s">
        <v>122</v>
      </c>
      <c r="I72" s="32" t="s">
        <v>122</v>
      </c>
      <c r="J72" s="33"/>
    </row>
    <row r="73" spans="1:10" x14ac:dyDescent="0.25">
      <c r="A73" s="27"/>
      <c r="B73" s="27"/>
      <c r="C73" s="28"/>
      <c r="D73" s="29"/>
      <c r="E73" s="30"/>
      <c r="F73" s="30"/>
      <c r="G73" s="31"/>
      <c r="H73" s="32"/>
      <c r="I73" s="32"/>
      <c r="J73" s="33"/>
    </row>
    <row r="74" spans="1:10" x14ac:dyDescent="0.25">
      <c r="A74" s="27"/>
      <c r="B74" s="27"/>
      <c r="C74" s="28" t="s">
        <v>139</v>
      </c>
      <c r="D74" s="29"/>
      <c r="E74" s="30"/>
      <c r="F74" s="30"/>
      <c r="G74" s="31"/>
      <c r="H74" s="32" t="s">
        <v>122</v>
      </c>
      <c r="I74" s="32" t="s">
        <v>122</v>
      </c>
      <c r="J74" s="33"/>
    </row>
    <row r="75" spans="1:10" x14ac:dyDescent="0.25">
      <c r="A75" s="27"/>
      <c r="B75" s="27"/>
      <c r="C75" s="28"/>
      <c r="D75" s="29"/>
      <c r="E75" s="30"/>
      <c r="F75" s="30"/>
      <c r="G75" s="31"/>
      <c r="H75" s="32"/>
      <c r="I75" s="32"/>
      <c r="J75" s="33"/>
    </row>
    <row r="76" spans="1:10" x14ac:dyDescent="0.25">
      <c r="C76" s="34" t="s">
        <v>140</v>
      </c>
      <c r="D76" s="29"/>
      <c r="E76" s="30"/>
      <c r="F76" s="30"/>
      <c r="G76" s="31"/>
      <c r="H76" s="32"/>
      <c r="I76" s="32"/>
      <c r="J76" s="33"/>
    </row>
    <row r="77" spans="1:10" x14ac:dyDescent="0.25">
      <c r="B77" s="1" t="s">
        <v>141</v>
      </c>
      <c r="C77" s="20" t="s">
        <v>142</v>
      </c>
      <c r="D77" s="29"/>
      <c r="E77" s="30"/>
      <c r="F77" s="30"/>
      <c r="G77" s="31"/>
      <c r="H77" s="32">
        <v>299.89</v>
      </c>
      <c r="I77" s="32">
        <v>4.55</v>
      </c>
      <c r="J77" s="33"/>
    </row>
    <row r="78" spans="1:10" x14ac:dyDescent="0.25">
      <c r="C78" s="28" t="s">
        <v>120</v>
      </c>
      <c r="D78" s="29"/>
      <c r="E78" s="30"/>
      <c r="F78" s="30"/>
      <c r="G78" s="31"/>
      <c r="H78" s="35">
        <v>299.89</v>
      </c>
      <c r="I78" s="35">
        <v>4.55</v>
      </c>
      <c r="J78" s="33"/>
    </row>
    <row r="79" spans="1:10" x14ac:dyDescent="0.25">
      <c r="C79" s="20"/>
      <c r="D79" s="29"/>
      <c r="E79" s="30"/>
      <c r="F79" s="30"/>
      <c r="G79" s="31"/>
      <c r="H79" s="32"/>
      <c r="I79" s="32"/>
      <c r="J79" s="33"/>
    </row>
    <row r="80" spans="1:10" x14ac:dyDescent="0.25">
      <c r="A80" s="26"/>
      <c r="B80" s="27"/>
      <c r="C80" s="28" t="s">
        <v>143</v>
      </c>
      <c r="D80" s="29"/>
      <c r="E80" s="30"/>
      <c r="F80" s="30"/>
      <c r="G80" s="31"/>
      <c r="H80" s="32"/>
      <c r="I80" s="32"/>
      <c r="J80" s="33"/>
    </row>
    <row r="81" spans="2:10" x14ac:dyDescent="0.25">
      <c r="B81" s="1"/>
      <c r="C81" s="20" t="s">
        <v>144</v>
      </c>
      <c r="D81" s="29"/>
      <c r="E81" s="30"/>
      <c r="F81" s="30"/>
      <c r="G81" s="31"/>
      <c r="H81" s="32">
        <v>43.77</v>
      </c>
      <c r="I81" s="32">
        <v>0.65</v>
      </c>
      <c r="J81" s="33"/>
    </row>
    <row r="82" spans="2:10" x14ac:dyDescent="0.25">
      <c r="C82" s="28" t="s">
        <v>120</v>
      </c>
      <c r="D82" s="29"/>
      <c r="E82" s="30"/>
      <c r="F82" s="30"/>
      <c r="G82" s="31"/>
      <c r="H82" s="35">
        <v>43.77</v>
      </c>
      <c r="I82" s="35">
        <v>0.65</v>
      </c>
      <c r="J82" s="33"/>
    </row>
    <row r="83" spans="2:10" x14ac:dyDescent="0.25">
      <c r="C83" s="20"/>
      <c r="D83" s="29"/>
      <c r="E83" s="30"/>
      <c r="F83" s="30"/>
      <c r="G83" s="31"/>
      <c r="H83" s="32"/>
      <c r="I83" s="32"/>
      <c r="J83" s="33"/>
    </row>
    <row r="84" spans="2:10" ht="14.25" thickBot="1" x14ac:dyDescent="0.3">
      <c r="C84" s="36" t="s">
        <v>145</v>
      </c>
      <c r="D84" s="37"/>
      <c r="E84" s="38"/>
      <c r="F84" s="39"/>
      <c r="G84" s="40"/>
      <c r="H84" s="41">
        <v>6594.47</v>
      </c>
      <c r="I84" s="41">
        <f>SUMIFS(I:I,C:C,"Total")</f>
        <v>100</v>
      </c>
      <c r="J84" s="42"/>
    </row>
    <row r="87" spans="2:10" x14ac:dyDescent="0.25">
      <c r="C87" s="11" t="s">
        <v>146</v>
      </c>
    </row>
    <row r="88" spans="2:10" x14ac:dyDescent="0.25">
      <c r="C88" s="2" t="s">
        <v>147</v>
      </c>
    </row>
    <row r="89" spans="2:10" x14ac:dyDescent="0.25">
      <c r="C89" s="2" t="s">
        <v>148</v>
      </c>
    </row>
    <row r="90" spans="2:10" x14ac:dyDescent="0.25">
      <c r="C90" s="2" t="s">
        <v>149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20"/>
  <sheetViews>
    <sheetView workbookViewId="0"/>
  </sheetViews>
  <sheetFormatPr defaultRowHeight="15" x14ac:dyDescent="0.25"/>
  <cols>
    <col min="2" max="2" width="55.42578125" customWidth="1"/>
    <col min="4" max="4" width="10.85546875" bestFit="1" customWidth="1"/>
    <col min="6" max="6" width="10.85546875" bestFit="1" customWidth="1"/>
    <col min="8" max="8" width="10.85546875" bestFit="1" customWidth="1"/>
    <col min="9" max="9" width="7.28515625" bestFit="1" customWidth="1"/>
    <col min="10" max="10" width="12.42578125" bestFit="1" customWidth="1"/>
  </cols>
  <sheetData>
    <row r="4" spans="2:10" ht="15.75" x14ac:dyDescent="0.25">
      <c r="B4" s="43" t="s">
        <v>150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151</v>
      </c>
      <c r="C5" s="50" t="s">
        <v>152</v>
      </c>
      <c r="D5" s="50"/>
      <c r="E5" s="50" t="s">
        <v>153</v>
      </c>
      <c r="F5" s="50"/>
      <c r="G5" s="50" t="s">
        <v>154</v>
      </c>
      <c r="H5" s="50"/>
      <c r="I5" s="50" t="s">
        <v>155</v>
      </c>
      <c r="J5" s="50"/>
    </row>
    <row r="6" spans="2:10" ht="63.75" x14ac:dyDescent="0.25">
      <c r="B6" s="46"/>
      <c r="C6" s="47" t="s">
        <v>156</v>
      </c>
      <c r="D6" s="47" t="s">
        <v>157</v>
      </c>
      <c r="E6" s="47" t="s">
        <v>156</v>
      </c>
      <c r="F6" s="47" t="s">
        <v>157</v>
      </c>
      <c r="G6" s="47" t="s">
        <v>156</v>
      </c>
      <c r="H6" s="47" t="s">
        <v>157</v>
      </c>
      <c r="I6" s="47" t="s">
        <v>156</v>
      </c>
      <c r="J6" s="47" t="s">
        <v>157</v>
      </c>
    </row>
    <row r="7" spans="2:10" x14ac:dyDescent="0.25">
      <c r="B7" s="48" t="s">
        <v>158</v>
      </c>
      <c r="C7" s="49">
        <v>22.3848625490896</v>
      </c>
      <c r="D7" s="49">
        <v>12238.486254908961</v>
      </c>
      <c r="E7" s="49">
        <v>20.24888751618068</v>
      </c>
      <c r="F7" s="49">
        <v>17378.960709759187</v>
      </c>
      <c r="G7" s="49">
        <v>12.336022752843224</v>
      </c>
      <c r="H7" s="49">
        <v>17900.783289817235</v>
      </c>
      <c r="I7" s="49">
        <v>11.664742977222042</v>
      </c>
      <c r="J7" s="49">
        <v>137120</v>
      </c>
    </row>
    <row r="8" spans="2:10" x14ac:dyDescent="0.25">
      <c r="B8" s="48" t="s">
        <v>159</v>
      </c>
      <c r="C8" s="49">
        <v>17.475881518267688</v>
      </c>
      <c r="D8" s="49">
        <v>11747.588151826769</v>
      </c>
      <c r="E8" s="49">
        <v>24.283492229553218</v>
      </c>
      <c r="F8" s="49">
        <v>19197.308491865388</v>
      </c>
      <c r="G8" s="49">
        <v>15.105225986962335</v>
      </c>
      <c r="H8" s="49">
        <v>20205.760882597915</v>
      </c>
      <c r="I8" s="49">
        <v>0</v>
      </c>
      <c r="J8" s="49">
        <v>0</v>
      </c>
    </row>
    <row r="9" spans="2:10" x14ac:dyDescent="0.25">
      <c r="B9" s="48" t="s">
        <v>160</v>
      </c>
      <c r="C9" s="49">
        <v>16.061710449343856</v>
      </c>
      <c r="D9" s="49">
        <v>11606.171044934386</v>
      </c>
      <c r="E9" s="49">
        <v>21.888816626902386</v>
      </c>
      <c r="F9" s="49">
        <v>18108.87963047763</v>
      </c>
      <c r="G9" s="49">
        <v>13.753365408579876</v>
      </c>
      <c r="H9" s="49">
        <v>19046.767079692381</v>
      </c>
      <c r="I9" s="49">
        <v>12.819776962951689</v>
      </c>
      <c r="J9" s="49">
        <v>276301.58682618558</v>
      </c>
    </row>
    <row r="10" spans="2:10" x14ac:dyDescent="0.25">
      <c r="B10" s="48" t="s">
        <v>161</v>
      </c>
      <c r="C10" s="51">
        <v>112.04</v>
      </c>
      <c r="D10" s="52"/>
      <c r="E10" s="51">
        <v>78.900000000000006</v>
      </c>
      <c r="F10" s="52"/>
      <c r="G10" s="51">
        <v>76.599999999999994</v>
      </c>
      <c r="H10" s="52"/>
      <c r="I10" s="51">
        <v>10</v>
      </c>
      <c r="J10" s="52"/>
    </row>
    <row r="12" spans="2:10" ht="15.75" x14ac:dyDescent="0.25">
      <c r="B12" s="43" t="s">
        <v>162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151</v>
      </c>
      <c r="C13" s="50" t="s">
        <v>152</v>
      </c>
      <c r="D13" s="50"/>
      <c r="E13" s="50" t="s">
        <v>153</v>
      </c>
      <c r="F13" s="50"/>
      <c r="G13" s="50" t="s">
        <v>154</v>
      </c>
      <c r="H13" s="50"/>
      <c r="I13" s="50" t="s">
        <v>155</v>
      </c>
      <c r="J13" s="50"/>
    </row>
    <row r="14" spans="2:10" ht="63.75" x14ac:dyDescent="0.25">
      <c r="B14" s="46"/>
      <c r="C14" s="47" t="s">
        <v>156</v>
      </c>
      <c r="D14" s="47" t="s">
        <v>157</v>
      </c>
      <c r="E14" s="47" t="s">
        <v>156</v>
      </c>
      <c r="F14" s="47" t="s">
        <v>157</v>
      </c>
      <c r="G14" s="47" t="s">
        <v>156</v>
      </c>
      <c r="H14" s="47" t="s">
        <v>157</v>
      </c>
      <c r="I14" s="47" t="s">
        <v>156</v>
      </c>
      <c r="J14" s="47" t="s">
        <v>157</v>
      </c>
    </row>
    <row r="15" spans="2:10" x14ac:dyDescent="0.25">
      <c r="B15" s="48" t="s">
        <v>158</v>
      </c>
      <c r="C15" s="49">
        <v>23.226344310129221</v>
      </c>
      <c r="D15" s="49">
        <v>12322.634431012923</v>
      </c>
      <c r="E15" s="49">
        <v>21.047660815482239</v>
      </c>
      <c r="F15" s="49">
        <v>17727.272727272728</v>
      </c>
      <c r="G15" s="49">
        <v>13.124772074625701</v>
      </c>
      <c r="H15" s="49">
        <v>18538.818512479618</v>
      </c>
      <c r="I15" s="49">
        <v>13.281675204481068</v>
      </c>
      <c r="J15" s="49">
        <v>38203.670199017834</v>
      </c>
    </row>
    <row r="16" spans="2:10" x14ac:dyDescent="0.25">
      <c r="B16" s="48" t="s">
        <v>159</v>
      </c>
      <c r="C16" s="49">
        <v>17.475881518267688</v>
      </c>
      <c r="D16" s="49">
        <v>11747.588151826769</v>
      </c>
      <c r="E16" s="49">
        <v>24.283492229553218</v>
      </c>
      <c r="F16" s="49">
        <v>19197.308491865388</v>
      </c>
      <c r="G16" s="49">
        <v>15.105225986962335</v>
      </c>
      <c r="H16" s="49">
        <v>20205.760882597915</v>
      </c>
      <c r="I16" s="49">
        <v>14.111905499204557</v>
      </c>
      <c r="J16" s="49">
        <v>41322.823646315774</v>
      </c>
    </row>
    <row r="17" spans="2:10" x14ac:dyDescent="0.25">
      <c r="B17" s="48" t="s">
        <v>160</v>
      </c>
      <c r="C17" s="49">
        <v>16.061710449343856</v>
      </c>
      <c r="D17" s="49">
        <v>11606.171044934386</v>
      </c>
      <c r="E17" s="49">
        <v>21.888816626902386</v>
      </c>
      <c r="F17" s="49">
        <v>18108.87963047763</v>
      </c>
      <c r="G17" s="49">
        <v>13.753365408579876</v>
      </c>
      <c r="H17" s="49">
        <v>19046.767079692381</v>
      </c>
      <c r="I17" s="49">
        <v>13.128801183328243</v>
      </c>
      <c r="J17" s="49">
        <v>37653.179659173802</v>
      </c>
    </row>
    <row r="18" spans="2:10" x14ac:dyDescent="0.25">
      <c r="B18" s="48" t="s">
        <v>163</v>
      </c>
      <c r="C18" s="51">
        <v>119.95</v>
      </c>
      <c r="D18" s="52"/>
      <c r="E18" s="51">
        <v>83.38</v>
      </c>
      <c r="F18" s="52"/>
      <c r="G18" s="51">
        <v>79.73</v>
      </c>
      <c r="H18" s="52"/>
      <c r="I18" s="51">
        <v>38.69</v>
      </c>
      <c r="J18" s="52"/>
    </row>
    <row r="20" spans="2:10" x14ac:dyDescent="0.25">
      <c r="B20" t="s">
        <v>164</v>
      </c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TTS-Risk-O-Meter &amp; Portfolio</vt:lpstr>
      <vt:lpstr>TTS Performance</vt:lpstr>
      <vt:lpstr>XDO_?CLASS_3?7?</vt:lpstr>
      <vt:lpstr>XDO_?FINAL_ISIN?14?</vt:lpstr>
      <vt:lpstr>XDO_?FINAL_ISIN?15?</vt:lpstr>
      <vt:lpstr>XDO_?FINAL_ISIN?16?</vt:lpstr>
      <vt:lpstr>XDO_?FINAL_MV?14?</vt:lpstr>
      <vt:lpstr>XDO_?FINAL_MV?15?</vt:lpstr>
      <vt:lpstr>XDO_?FINAL_MV?16?</vt:lpstr>
      <vt:lpstr>XDO_?FINAL_NAME?14?</vt:lpstr>
      <vt:lpstr>XDO_?FINAL_NAME?15?</vt:lpstr>
      <vt:lpstr>XDO_?FINAL_NAME?16?</vt:lpstr>
      <vt:lpstr>XDO_?FINAL_PER_NET?14?</vt:lpstr>
      <vt:lpstr>XDO_?FINAL_PER_NET?15?</vt:lpstr>
      <vt:lpstr>XDO_?FINAL_PER_NET?16?</vt:lpstr>
      <vt:lpstr>XDO_?FINAL_QUANTITE?14?</vt:lpstr>
      <vt:lpstr>XDO_?FINAL_QUANTITE?15?</vt:lpstr>
      <vt:lpstr>XDO_?FINAL_QUANTITE?16?</vt:lpstr>
      <vt:lpstr>XDO_?IND_01?14?</vt:lpstr>
      <vt:lpstr>XDO_?IND_01?15?</vt:lpstr>
      <vt:lpstr>XDO_?IND_01?16?</vt:lpstr>
      <vt:lpstr>XDO_?NAMCNAME?7?</vt:lpstr>
      <vt:lpstr>XDO_?NOVAL?14?</vt:lpstr>
      <vt:lpstr>XDO_?NOVAL?15?</vt:lpstr>
      <vt:lpstr>XDO_?NOVAL?16?</vt:lpstr>
      <vt:lpstr>XDO_?NPTF?7?</vt:lpstr>
      <vt:lpstr>XDO_?RATING?14?</vt:lpstr>
      <vt:lpstr>XDO_?RATING?15?</vt:lpstr>
      <vt:lpstr>XDO_?RATING?16?</vt:lpstr>
      <vt:lpstr>XDO_?REMARKS?14?</vt:lpstr>
      <vt:lpstr>XDO_?REMARKS?15?</vt:lpstr>
      <vt:lpstr>XDO_?REMARKS?16?</vt:lpstr>
      <vt:lpstr>XDO_?TITL?7?</vt:lpstr>
      <vt:lpstr>XDO_GROUP_?G_2?7?</vt:lpstr>
      <vt:lpstr>XDO_GROUP_?G_3?7?</vt:lpstr>
      <vt:lpstr>XDO_GROUP_?G_4?14?</vt:lpstr>
      <vt:lpstr>XDO_GROUP_?G_4?15?</vt:lpstr>
      <vt:lpstr>XDO_GROUP_?G_4?16?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2023-10-03T07:24:38Z</dcterms:created>
  <dcterms:modified xsi:type="dcterms:W3CDTF">2023-10-09T12:42:44Z</dcterms:modified>
</cp:coreProperties>
</file>