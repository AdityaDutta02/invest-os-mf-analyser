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remonthlyportfoliolinksmay2026\"/>
    </mc:Choice>
  </mc:AlternateContent>
  <xr:revisionPtr revIDLastSave="0" documentId="13_ncr:1_{6ECF3E84-93A1-41F3-A106-214B5D99764B}" xr6:coauthVersionLast="47" xr6:coauthVersionMax="47" xr10:uidLastSave="{00000000-0000-0000-0000-000000000000}"/>
  <bookViews>
    <workbookView xWindow="-108" yWindow="-108" windowWidth="23256" windowHeight="12456" xr2:uid="{C8B8231C-011D-474B-B8A5-2B95A9CCE3F8}"/>
  </bookViews>
  <sheets>
    <sheet name="TBFS" sheetId="1" r:id="rId1"/>
    <sheet name="TBFS Performance" sheetId="2" r:id="rId2"/>
  </sheets>
  <externalReferences>
    <externalReference r:id="rId3"/>
  </externalReferences>
  <definedNames>
    <definedName name="XDO_?CLASS_3?1?">TBFS!$C$8:$C$34</definedName>
    <definedName name="XDO_?FINAL_ISIN?1?">TBFS!$D$10:$D$34</definedName>
    <definedName name="XDO_?FINAL_ISIN?2?">TBFS!$D$10:$D$78</definedName>
    <definedName name="XDO_?FINAL_MV?1?">TBFS!$H$10:$H$34</definedName>
    <definedName name="XDO_?FINAL_MV?2?">TBFS!$H$10:$H$78</definedName>
    <definedName name="XDO_?FINAL_NAME?1?">TBFS!$C$10:$C$34</definedName>
    <definedName name="XDO_?FINAL_NAME?2?">TBFS!$C$10:$C$78</definedName>
    <definedName name="XDO_?FINAL_PER_NET?1?">TBFS!$I$10:$I$34</definedName>
    <definedName name="XDO_?FINAL_PER_NET?2?">TBFS!$I$10:$I$78</definedName>
    <definedName name="XDO_?FINAL_QUANTITE?1?">TBFS!$G$10:$G$34</definedName>
    <definedName name="XDO_?FINAL_QUANTITE?2?">TBFS!$G$10:$G$78</definedName>
    <definedName name="XDO_?IND_01?1?">TBFS!$F$10:$F$34</definedName>
    <definedName name="XDO_?IND_01?2?">TBFS!$F$10:$F$78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TBFS!$C$2:$C$34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TBFS!$B$10:$B$34</definedName>
    <definedName name="XDO_?NOVAL?2?">TBFS!$B$10:$B$78</definedName>
    <definedName name="XDO_?NPTF?1?">TBFS!$D$2:$D$34</definedName>
    <definedName name="XDO_?RATING?1?">TBFS!$E$10:$E$34</definedName>
    <definedName name="XDO_?RATING?2?">TBFS!$E$10:$E$78</definedName>
    <definedName name="XDO_?REMARKS?1?">TBFS!$J$10:$J$34</definedName>
    <definedName name="XDO_?REMARKS?2?">TBFS!$J$10:$J$78</definedName>
    <definedName name="XDO_?TITL?1?">TBFS!$A$8:$A$34</definedName>
    <definedName name="XDO_GROUP_?G_2?1?">TBFS!$2:$81</definedName>
    <definedName name="XDO_GROUP_?G_3?1?">TBFS!$8:$80</definedName>
    <definedName name="XDO_GROUP_?G_4?1?">TBFS!$B$10:$IV$34</definedName>
    <definedName name="XDO_GROUP_?G_4?2?">TBFS!$B$78:$IV$78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1" i="1" l="1"/>
</calcChain>
</file>

<file path=xl/sharedStrings.xml><?xml version="1.0" encoding="utf-8"?>
<sst xmlns="http://schemas.openxmlformats.org/spreadsheetml/2006/main" count="240" uniqueCount="157">
  <si>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</si>
  <si>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</si>
  <si>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</si>
  <si>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</si>
  <si>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</si>
  <si>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</si>
  <si>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</si>
  <si>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</si>
  <si>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</si>
  <si>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</si>
  <si>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</si>
  <si>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</si>
  <si>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</si>
  <si>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</si>
  <si>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</si>
  <si>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</si>
  <si>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</si>
  <si>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</si>
  <si>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</si>
  <si>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</si>
  <si>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</si>
  <si>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</si>
  <si>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</si>
  <si>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</si>
  <si>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</si>
  <si>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</si>
  <si>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</si>
  <si>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</si>
  <si>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</si>
  <si>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</si>
  <si>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INE237A01036</t>
  </si>
  <si>
    <t>102528</t>
  </si>
  <si>
    <t>DAM Capital Advisors Ltd.</t>
  </si>
  <si>
    <t>INE284H01025</t>
  </si>
  <si>
    <t>Capital Markets</t>
  </si>
  <si>
    <t>100194</t>
  </si>
  <si>
    <t>Power Finance Corporation Ltd.</t>
  </si>
  <si>
    <t>INE134E01011</t>
  </si>
  <si>
    <t>Finance</t>
  </si>
  <si>
    <t>100125</t>
  </si>
  <si>
    <t>Bajaj Finance Ltd.</t>
  </si>
  <si>
    <t>INE296A01032</t>
  </si>
  <si>
    <t>100135</t>
  </si>
  <si>
    <t>The Karnataka Bank Ltd.</t>
  </si>
  <si>
    <t>INE614B01018</t>
  </si>
  <si>
    <t>100042</t>
  </si>
  <si>
    <t>LIC Housing Finance Ltd.</t>
  </si>
  <si>
    <t>INE115A01026</t>
  </si>
  <si>
    <t>100325</t>
  </si>
  <si>
    <t>Bajaj Holdings &amp; Investment Ltd.</t>
  </si>
  <si>
    <t>INE118A01012</t>
  </si>
  <si>
    <t>100733</t>
  </si>
  <si>
    <t>General Insurance Corporation of India</t>
  </si>
  <si>
    <t>INE481Y01014</t>
  </si>
  <si>
    <t>Insurance</t>
  </si>
  <si>
    <t>100814</t>
  </si>
  <si>
    <t>HDFC Asset Management Co. Ltd.</t>
  </si>
  <si>
    <t>INE127D01025</t>
  </si>
  <si>
    <t>100694</t>
  </si>
  <si>
    <t>Indian Energy Exchange Ltd.</t>
  </si>
  <si>
    <t>INE022Q01020</t>
  </si>
  <si>
    <t>101889</t>
  </si>
  <si>
    <t>Jio Financial Services Ltd.</t>
  </si>
  <si>
    <t>INE758E01017</t>
  </si>
  <si>
    <t>101550</t>
  </si>
  <si>
    <t>Life Insurance Corporation of India</t>
  </si>
  <si>
    <t>INE0J1Y01017</t>
  </si>
  <si>
    <t>100783</t>
  </si>
  <si>
    <t>JM Financial Ltd.</t>
  </si>
  <si>
    <t>INE780C01023</t>
  </si>
  <si>
    <t>100661</t>
  </si>
  <si>
    <t>Central Depository Services (I) Ltd.</t>
  </si>
  <si>
    <t>INE736A01011</t>
  </si>
  <si>
    <t>100092</t>
  </si>
  <si>
    <t>Bank of Baroda</t>
  </si>
  <si>
    <t>INE028A01039</t>
  </si>
  <si>
    <t>100771</t>
  </si>
  <si>
    <t>Bandhan Bank Ltd.</t>
  </si>
  <si>
    <t>INE545U01014</t>
  </si>
  <si>
    <t>100243</t>
  </si>
  <si>
    <t>Multi Commodity Exchange of India Ltd.</t>
  </si>
  <si>
    <t>INE745G01043</t>
  </si>
  <si>
    <t>101740</t>
  </si>
  <si>
    <t>Prudent Corporate Advisory Services Ltd.</t>
  </si>
  <si>
    <t>INE00F201020</t>
  </si>
  <si>
    <t>101119</t>
  </si>
  <si>
    <t>SBI Cards &amp; Payment Services Ltd.</t>
  </si>
  <si>
    <t>INE018E01016</t>
  </si>
  <si>
    <t>100453</t>
  </si>
  <si>
    <t>RBL Bank Ltd.</t>
  </si>
  <si>
    <t>INE976G01028</t>
  </si>
  <si>
    <t>101181</t>
  </si>
  <si>
    <t>UTI Asset Management Co. Ltd.</t>
  </si>
  <si>
    <t>INE094J01016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</si>
  <si>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</si>
  <si>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</si>
  <si>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</si>
  <si>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</si>
  <si>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</si>
  <si>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</si>
  <si>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</si>
  <si>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</si>
  <si>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</si>
  <si>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</si>
  <si>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</si>
  <si>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</si>
  <si>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</si>
  <si>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</si>
  <si>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</si>
  <si>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</si>
  <si>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</si>
  <si>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</si>
  <si>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</si>
  <si>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</si>
  <si>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</si>
  <si>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</si>
  <si>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</si>
  <si>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</si>
  <si>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</si>
  <si>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</si>
  <si>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</si>
  <si>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</si>
  <si>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</si>
  <si>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</si>
  <si>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</si>
  <si>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</si>
  <si>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</si>
  <si>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</si>
  <si>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</si>
  <si>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</si>
  <si>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</si>
  <si>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</si>
  <si>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</si>
  <si>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May 31, 2026.</t>
  </si>
  <si>
    <t>7. The Scheme did not declare any bonus during the month ended as on May 31, 2026.</t>
  </si>
  <si>
    <t>8. Total outstanding exposure in derivative instruments as on May 31, 2026 is Nil</t>
  </si>
  <si>
    <t>9. Total investments in Foreign Securities /ADRs/GDRs /Overseas ETFs as on May 31, 2026 and its percentage to NAV is Nil.</t>
  </si>
  <si>
    <t>10. During the period, the portfolio turnover ratio is 0.61 times.</t>
  </si>
  <si>
    <t>      Portfolio Turnover Ratio = Lower of sales or purchase of securities divided by average AUM for 12 months ended as on May 31, 2026</t>
  </si>
  <si>
    <t>11. The Scheme did not invest in repo transactions of corporate debt securities during the month ended as on May 31, 2026.</t>
  </si>
  <si>
    <t>12. The Scheme did not invest in credit default swaps during the month ended as on May 31, 2026.</t>
  </si>
  <si>
    <t>13. There are Nil instances of deviation from the valuation principles/guidelines during the month ended as on May 31st, 2026.</t>
  </si>
  <si>
    <t>Taurus Banking &amp; Financial Services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</si>
  <si>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</si>
  <si>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</si>
  <si>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</si>
  <si>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</si>
  <si>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</si>
  <si>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</si>
  <si>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</si>
  <si>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</si>
  <si>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</si>
  <si>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</si>
  <si>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</si>
  <si>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May 29,2026 :51.56)</t>
  </si>
  <si>
    <t>Taurus Banking &amp; Financial Services Fund - Direct Plan Growth Option</t>
  </si>
  <si>
    <t>NAV [Rs.] Per Unit (as on May 29,2026 :57.99)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</si>
</sst>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832081B8-59D1-45ED-8CAF-0B4D4C7A8D10}"/>
    <cellStyle name="Hyperlink" xfId="2" builtinId="8"/>
    <cellStyle name="Normal" xfId="0" builtinId="0"/>
    <cellStyle name="Normal 2" xfId="4" xr:uid="{C49AB3A0-6FA2-44F9-9FCC-17E62DF7941B}"/>
    <cellStyle name="Style 1" xfId="3" xr:uid="{4303D07E-1636-442B-B50C-520964155B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603251</xdr:colOff>
      <xdr:row>0</xdr:row>
      <xdr:rowOff>1819390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E6D8-E0FC-49BE-9CCC-68DB8C00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55418" cy="1819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May_2026\TMF_Monthly_Portfolio_Report_May%202026.xls" TargetMode="External"/><Relationship Id="rId1" Type="http://schemas.openxmlformats.org/officeDocument/2006/relationships/externalLinkPath" Target="https://taurusasset.sharepoint.com/sites/GURGAON-FILESERVER/Shared%20Documents/Fund%20Ops/Audit/All%20Audit/Operations/MIS%20Reports/FY2026-27/3.%20JUNE%202026/MONTHLY%20PORTFOLIO%20FINAL/Ops/TMF_Monthly_Portfolio_Report_Ma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DF7D-9DF9-4C89-BA96-A673B65924A7}">
  <dimension ref="A1:BB107"/>
  <sheetViews>
    <sheetView showGridLines="0" tabSelected="1" zoomScale="90" zoomScaleNormal="90" workbookViewId="0">
      <selection activeCell="D3" sqref="D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61.25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46173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14447</v>
      </c>
      <c r="H10" s="32">
        <v>181.45</v>
      </c>
      <c r="I10" s="32">
        <v>16.18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20113</v>
      </c>
      <c r="H11" s="32">
        <v>149.79</v>
      </c>
      <c r="I11" s="32">
        <v>13.36</v>
      </c>
      <c r="J11" s="33"/>
    </row>
    <row r="12" spans="1:54" x14ac:dyDescent="0.3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6944</v>
      </c>
      <c r="H12" s="32">
        <v>89.43</v>
      </c>
      <c r="I12" s="32">
        <v>7.97</v>
      </c>
      <c r="J12" s="33"/>
    </row>
    <row r="13" spans="1:54" x14ac:dyDescent="0.3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8982</v>
      </c>
      <c r="H13" s="32">
        <v>86.59</v>
      </c>
      <c r="I13" s="32">
        <v>7.72</v>
      </c>
      <c r="J13" s="33"/>
    </row>
    <row r="14" spans="1:54" x14ac:dyDescent="0.3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21269</v>
      </c>
      <c r="H14" s="32">
        <v>81.819999999999993</v>
      </c>
      <c r="I14" s="32">
        <v>7.3</v>
      </c>
      <c r="J14" s="33"/>
    </row>
    <row r="15" spans="1:54" x14ac:dyDescent="0.3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30629</v>
      </c>
      <c r="H15" s="32">
        <v>46.13</v>
      </c>
      <c r="I15" s="32">
        <v>4.1100000000000003</v>
      </c>
      <c r="J15" s="33"/>
    </row>
    <row r="16" spans="1:54" x14ac:dyDescent="0.3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9923</v>
      </c>
      <c r="H16" s="32">
        <v>42.52</v>
      </c>
      <c r="I16" s="32">
        <v>3.79</v>
      </c>
      <c r="J16" s="33"/>
    </row>
    <row r="17" spans="2:10" x14ac:dyDescent="0.3">
      <c r="B17" s="1" t="s">
        <v>39</v>
      </c>
      <c r="C17" s="20" t="s">
        <v>40</v>
      </c>
      <c r="D17" s="29" t="s">
        <v>41</v>
      </c>
      <c r="E17" s="30"/>
      <c r="F17" s="30" t="s">
        <v>38</v>
      </c>
      <c r="G17" s="31">
        <v>4487</v>
      </c>
      <c r="H17" s="32">
        <v>40.590000000000003</v>
      </c>
      <c r="I17" s="32">
        <v>3.62</v>
      </c>
      <c r="J17" s="33"/>
    </row>
    <row r="18" spans="2:10" x14ac:dyDescent="0.3">
      <c r="B18" s="1" t="s">
        <v>42</v>
      </c>
      <c r="C18" s="20" t="s">
        <v>43</v>
      </c>
      <c r="D18" s="29" t="s">
        <v>44</v>
      </c>
      <c r="E18" s="30"/>
      <c r="F18" s="30" t="s">
        <v>18</v>
      </c>
      <c r="G18" s="31">
        <v>12962</v>
      </c>
      <c r="H18" s="32">
        <v>34.869999999999997</v>
      </c>
      <c r="I18" s="32">
        <v>3.11</v>
      </c>
      <c r="J18" s="33"/>
    </row>
    <row r="19" spans="2:10" x14ac:dyDescent="0.3">
      <c r="B19" s="1" t="s">
        <v>45</v>
      </c>
      <c r="C19" s="20" t="s">
        <v>46</v>
      </c>
      <c r="D19" s="29" t="s">
        <v>47</v>
      </c>
      <c r="E19" s="30"/>
      <c r="F19" s="30" t="s">
        <v>38</v>
      </c>
      <c r="G19" s="31">
        <v>5977</v>
      </c>
      <c r="H19" s="32">
        <v>31.9</v>
      </c>
      <c r="I19" s="32">
        <v>2.84</v>
      </c>
      <c r="J19" s="33"/>
    </row>
    <row r="20" spans="2:10" x14ac:dyDescent="0.3">
      <c r="B20" s="1" t="s">
        <v>48</v>
      </c>
      <c r="C20" s="20" t="s">
        <v>49</v>
      </c>
      <c r="D20" s="29" t="s">
        <v>50</v>
      </c>
      <c r="E20" s="30"/>
      <c r="F20" s="30" t="s">
        <v>38</v>
      </c>
      <c r="G20" s="31">
        <v>300</v>
      </c>
      <c r="H20" s="32">
        <v>31.04</v>
      </c>
      <c r="I20" s="32">
        <v>2.77</v>
      </c>
      <c r="J20" s="33"/>
    </row>
    <row r="21" spans="2:10" x14ac:dyDescent="0.3">
      <c r="B21" s="1" t="s">
        <v>51</v>
      </c>
      <c r="C21" s="20" t="s">
        <v>52</v>
      </c>
      <c r="D21" s="29" t="s">
        <v>53</v>
      </c>
      <c r="E21" s="30"/>
      <c r="F21" s="30" t="s">
        <v>54</v>
      </c>
      <c r="G21" s="31">
        <v>7712</v>
      </c>
      <c r="H21" s="32">
        <v>29.46</v>
      </c>
      <c r="I21" s="32">
        <v>2.63</v>
      </c>
      <c r="J21" s="33"/>
    </row>
    <row r="22" spans="2:10" x14ac:dyDescent="0.3">
      <c r="B22" s="1" t="s">
        <v>55</v>
      </c>
      <c r="C22" s="20" t="s">
        <v>56</v>
      </c>
      <c r="D22" s="29" t="s">
        <v>57</v>
      </c>
      <c r="E22" s="30"/>
      <c r="F22" s="30" t="s">
        <v>34</v>
      </c>
      <c r="G22" s="31">
        <v>1068</v>
      </c>
      <c r="H22" s="32">
        <v>28.69</v>
      </c>
      <c r="I22" s="32">
        <v>2.56</v>
      </c>
      <c r="J22" s="33"/>
    </row>
    <row r="23" spans="2:10" x14ac:dyDescent="0.3">
      <c r="B23" s="1" t="s">
        <v>58</v>
      </c>
      <c r="C23" s="20" t="s">
        <v>59</v>
      </c>
      <c r="D23" s="29" t="s">
        <v>60</v>
      </c>
      <c r="E23" s="30"/>
      <c r="F23" s="30" t="s">
        <v>34</v>
      </c>
      <c r="G23" s="31">
        <v>20720</v>
      </c>
      <c r="H23" s="32">
        <v>26.55</v>
      </c>
      <c r="I23" s="32">
        <v>2.37</v>
      </c>
      <c r="J23" s="33"/>
    </row>
    <row r="24" spans="2:10" x14ac:dyDescent="0.3">
      <c r="B24" s="1" t="s">
        <v>61</v>
      </c>
      <c r="C24" s="20" t="s">
        <v>62</v>
      </c>
      <c r="D24" s="29" t="s">
        <v>63</v>
      </c>
      <c r="E24" s="30"/>
      <c r="F24" s="30" t="s">
        <v>38</v>
      </c>
      <c r="G24" s="31">
        <v>8946</v>
      </c>
      <c r="H24" s="32">
        <v>21.38</v>
      </c>
      <c r="I24" s="32">
        <v>1.91</v>
      </c>
      <c r="J24" s="33"/>
    </row>
    <row r="25" spans="2:10" x14ac:dyDescent="0.3">
      <c r="B25" s="1" t="s">
        <v>64</v>
      </c>
      <c r="C25" s="20" t="s">
        <v>65</v>
      </c>
      <c r="D25" s="29" t="s">
        <v>66</v>
      </c>
      <c r="E25" s="30"/>
      <c r="F25" s="30" t="s">
        <v>54</v>
      </c>
      <c r="G25" s="31">
        <v>4896</v>
      </c>
      <c r="H25" s="32">
        <v>20.14</v>
      </c>
      <c r="I25" s="32">
        <v>1.8</v>
      </c>
      <c r="J25" s="33"/>
    </row>
    <row r="26" spans="2:10" x14ac:dyDescent="0.3">
      <c r="B26" s="1" t="s">
        <v>67</v>
      </c>
      <c r="C26" s="20" t="s">
        <v>68</v>
      </c>
      <c r="D26" s="29" t="s">
        <v>69</v>
      </c>
      <c r="E26" s="30"/>
      <c r="F26" s="30" t="s">
        <v>38</v>
      </c>
      <c r="G26" s="31">
        <v>13920</v>
      </c>
      <c r="H26" s="32">
        <v>18.12</v>
      </c>
      <c r="I26" s="32">
        <v>1.62</v>
      </c>
      <c r="J26" s="33"/>
    </row>
    <row r="27" spans="2:10" x14ac:dyDescent="0.3">
      <c r="B27" s="1" t="s">
        <v>70</v>
      </c>
      <c r="C27" s="20" t="s">
        <v>71</v>
      </c>
      <c r="D27" s="29" t="s">
        <v>72</v>
      </c>
      <c r="E27" s="30"/>
      <c r="F27" s="30" t="s">
        <v>34</v>
      </c>
      <c r="G27" s="31">
        <v>1288</v>
      </c>
      <c r="H27" s="32">
        <v>16.03</v>
      </c>
      <c r="I27" s="32">
        <v>1.43</v>
      </c>
      <c r="J27" s="33"/>
    </row>
    <row r="28" spans="2:10" x14ac:dyDescent="0.3">
      <c r="B28" s="1" t="s">
        <v>73</v>
      </c>
      <c r="C28" s="20" t="s">
        <v>74</v>
      </c>
      <c r="D28" s="29" t="s">
        <v>75</v>
      </c>
      <c r="E28" s="30"/>
      <c r="F28" s="30" t="s">
        <v>18</v>
      </c>
      <c r="G28" s="31">
        <v>5858</v>
      </c>
      <c r="H28" s="32">
        <v>15.73</v>
      </c>
      <c r="I28" s="32">
        <v>1.4</v>
      </c>
      <c r="J28" s="33"/>
    </row>
    <row r="29" spans="2:10" x14ac:dyDescent="0.3">
      <c r="B29" s="1" t="s">
        <v>76</v>
      </c>
      <c r="C29" s="20" t="s">
        <v>77</v>
      </c>
      <c r="D29" s="29" t="s">
        <v>78</v>
      </c>
      <c r="E29" s="30"/>
      <c r="F29" s="30" t="s">
        <v>18</v>
      </c>
      <c r="G29" s="31">
        <v>7186</v>
      </c>
      <c r="H29" s="32">
        <v>14.96</v>
      </c>
      <c r="I29" s="32">
        <v>1.33</v>
      </c>
      <c r="J29" s="33"/>
    </row>
    <row r="30" spans="2:10" x14ac:dyDescent="0.3">
      <c r="B30" s="1" t="s">
        <v>79</v>
      </c>
      <c r="C30" s="20" t="s">
        <v>80</v>
      </c>
      <c r="D30" s="29" t="s">
        <v>81</v>
      </c>
      <c r="E30" s="30"/>
      <c r="F30" s="30" t="s">
        <v>34</v>
      </c>
      <c r="G30" s="31">
        <v>450</v>
      </c>
      <c r="H30" s="32">
        <v>13.3</v>
      </c>
      <c r="I30" s="32">
        <v>1.19</v>
      </c>
      <c r="J30" s="33"/>
    </row>
    <row r="31" spans="2:10" x14ac:dyDescent="0.3">
      <c r="B31" s="1" t="s">
        <v>82</v>
      </c>
      <c r="C31" s="20" t="s">
        <v>83</v>
      </c>
      <c r="D31" s="29" t="s">
        <v>84</v>
      </c>
      <c r="E31" s="30"/>
      <c r="F31" s="30" t="s">
        <v>34</v>
      </c>
      <c r="G31" s="31">
        <v>406</v>
      </c>
      <c r="H31" s="32">
        <v>10.99</v>
      </c>
      <c r="I31" s="32">
        <v>0.98</v>
      </c>
      <c r="J31" s="33"/>
    </row>
    <row r="32" spans="2:10" x14ac:dyDescent="0.3">
      <c r="B32" s="1" t="s">
        <v>85</v>
      </c>
      <c r="C32" s="20" t="s">
        <v>86</v>
      </c>
      <c r="D32" s="29" t="s">
        <v>87</v>
      </c>
      <c r="E32" s="30"/>
      <c r="F32" s="30" t="s">
        <v>38</v>
      </c>
      <c r="G32" s="31">
        <v>1706</v>
      </c>
      <c r="H32" s="32">
        <v>10.66</v>
      </c>
      <c r="I32" s="32">
        <v>0.95</v>
      </c>
      <c r="J32" s="33"/>
    </row>
    <row r="33" spans="2:10" x14ac:dyDescent="0.3">
      <c r="B33" s="1" t="s">
        <v>88</v>
      </c>
      <c r="C33" s="20" t="s">
        <v>89</v>
      </c>
      <c r="D33" s="29" t="s">
        <v>90</v>
      </c>
      <c r="E33" s="30"/>
      <c r="F33" s="30" t="s">
        <v>18</v>
      </c>
      <c r="G33" s="31">
        <v>2190</v>
      </c>
      <c r="H33" s="32">
        <v>7.56</v>
      </c>
      <c r="I33" s="32">
        <v>0.67</v>
      </c>
      <c r="J33" s="33"/>
    </row>
    <row r="34" spans="2:10" x14ac:dyDescent="0.3">
      <c r="B34" s="1" t="s">
        <v>91</v>
      </c>
      <c r="C34" s="20" t="s">
        <v>92</v>
      </c>
      <c r="D34" s="29" t="s">
        <v>93</v>
      </c>
      <c r="E34" s="30"/>
      <c r="F34" s="30" t="s">
        <v>34</v>
      </c>
      <c r="G34" s="31">
        <v>610</v>
      </c>
      <c r="H34" s="32">
        <v>5.77</v>
      </c>
      <c r="I34" s="32">
        <v>0.51</v>
      </c>
      <c r="J34" s="33"/>
    </row>
    <row r="35" spans="2:10" x14ac:dyDescent="0.3">
      <c r="C35" s="28" t="s">
        <v>94</v>
      </c>
      <c r="D35" s="29"/>
      <c r="E35" s="30"/>
      <c r="F35" s="30"/>
      <c r="G35" s="31"/>
      <c r="H35" s="35">
        <v>1055.47</v>
      </c>
      <c r="I35" s="35">
        <v>94.12</v>
      </c>
      <c r="J35" s="33"/>
    </row>
    <row r="36" spans="2:10" x14ac:dyDescent="0.3">
      <c r="C36" s="20"/>
      <c r="D36" s="29"/>
      <c r="E36" s="30"/>
      <c r="F36" s="30"/>
      <c r="G36" s="31"/>
      <c r="H36" s="32"/>
      <c r="I36" s="32"/>
      <c r="J36" s="33"/>
    </row>
    <row r="37" spans="2:10" x14ac:dyDescent="0.3">
      <c r="C37" s="28" t="s">
        <v>95</v>
      </c>
      <c r="D37" s="29"/>
      <c r="E37" s="30"/>
      <c r="F37" s="30"/>
      <c r="G37" s="31"/>
      <c r="H37" s="32" t="s">
        <v>96</v>
      </c>
      <c r="I37" s="32" t="s">
        <v>96</v>
      </c>
      <c r="J37" s="33"/>
    </row>
    <row r="38" spans="2:10" x14ac:dyDescent="0.3">
      <c r="C38" s="20"/>
      <c r="D38" s="29"/>
      <c r="E38" s="30"/>
      <c r="F38" s="30"/>
      <c r="G38" s="31"/>
      <c r="H38" s="32"/>
      <c r="I38" s="32"/>
      <c r="J38" s="33"/>
    </row>
    <row r="39" spans="2:10" x14ac:dyDescent="0.3">
      <c r="C39" s="28" t="s">
        <v>97</v>
      </c>
      <c r="D39" s="29"/>
      <c r="E39" s="30"/>
      <c r="F39" s="30"/>
      <c r="G39" s="31"/>
      <c r="H39" s="32" t="s">
        <v>96</v>
      </c>
      <c r="I39" s="32" t="s">
        <v>96</v>
      </c>
      <c r="J39" s="33"/>
    </row>
    <row r="40" spans="2:10" x14ac:dyDescent="0.3">
      <c r="C40" s="20"/>
      <c r="D40" s="29"/>
      <c r="E40" s="30"/>
      <c r="F40" s="30"/>
      <c r="G40" s="31"/>
      <c r="H40" s="32"/>
      <c r="I40" s="32"/>
      <c r="J40" s="33"/>
    </row>
    <row r="41" spans="2:10" x14ac:dyDescent="0.3">
      <c r="C41" s="28" t="s">
        <v>98</v>
      </c>
      <c r="D41" s="29"/>
      <c r="E41" s="30"/>
      <c r="F41" s="30"/>
      <c r="G41" s="31"/>
      <c r="H41" s="32"/>
      <c r="I41" s="32"/>
      <c r="J41" s="33"/>
    </row>
    <row r="42" spans="2:10" x14ac:dyDescent="0.3">
      <c r="C42" s="20"/>
      <c r="D42" s="29"/>
      <c r="E42" s="30"/>
      <c r="F42" s="30"/>
      <c r="G42" s="31"/>
      <c r="H42" s="32"/>
      <c r="I42" s="32"/>
      <c r="J42" s="33"/>
    </row>
    <row r="43" spans="2:10" x14ac:dyDescent="0.3">
      <c r="C43" s="28" t="s">
        <v>99</v>
      </c>
      <c r="D43" s="29"/>
      <c r="E43" s="30"/>
      <c r="F43" s="30"/>
      <c r="G43" s="31"/>
      <c r="H43" s="32" t="s">
        <v>96</v>
      </c>
      <c r="I43" s="32" t="s">
        <v>96</v>
      </c>
      <c r="J43" s="33"/>
    </row>
    <row r="44" spans="2:10" x14ac:dyDescent="0.3">
      <c r="C44" s="20"/>
      <c r="D44" s="29"/>
      <c r="E44" s="30"/>
      <c r="F44" s="30"/>
      <c r="G44" s="31"/>
      <c r="H44" s="32"/>
      <c r="I44" s="32"/>
      <c r="J44" s="33"/>
    </row>
    <row r="45" spans="2:10" x14ac:dyDescent="0.3">
      <c r="C45" s="28" t="s">
        <v>100</v>
      </c>
      <c r="D45" s="29"/>
      <c r="E45" s="30"/>
      <c r="F45" s="30"/>
      <c r="G45" s="31"/>
      <c r="H45" s="32" t="s">
        <v>96</v>
      </c>
      <c r="I45" s="32" t="s">
        <v>96</v>
      </c>
      <c r="J45" s="33"/>
    </row>
    <row r="46" spans="2:10" x14ac:dyDescent="0.3">
      <c r="C46" s="20"/>
      <c r="D46" s="29"/>
      <c r="E46" s="30"/>
      <c r="F46" s="30"/>
      <c r="G46" s="31"/>
      <c r="H46" s="32"/>
      <c r="I46" s="32"/>
      <c r="J46" s="33"/>
    </row>
    <row r="47" spans="2:10" x14ac:dyDescent="0.3">
      <c r="C47" s="28" t="s">
        <v>101</v>
      </c>
      <c r="D47" s="29"/>
      <c r="E47" s="30"/>
      <c r="F47" s="30"/>
      <c r="G47" s="31"/>
      <c r="H47" s="32" t="s">
        <v>96</v>
      </c>
      <c r="I47" s="32" t="s">
        <v>96</v>
      </c>
      <c r="J47" s="33"/>
    </row>
    <row r="48" spans="2:10" x14ac:dyDescent="0.3">
      <c r="C48" s="20"/>
      <c r="D48" s="29"/>
      <c r="E48" s="30"/>
      <c r="F48" s="30"/>
      <c r="G48" s="31"/>
      <c r="H48" s="32"/>
      <c r="I48" s="32"/>
      <c r="J48" s="33"/>
    </row>
    <row r="49" spans="3:10" x14ac:dyDescent="0.3">
      <c r="C49" s="28" t="s">
        <v>102</v>
      </c>
      <c r="D49" s="29"/>
      <c r="E49" s="30"/>
      <c r="F49" s="30"/>
      <c r="G49" s="31"/>
      <c r="H49" s="32" t="s">
        <v>96</v>
      </c>
      <c r="I49" s="32" t="s">
        <v>96</v>
      </c>
      <c r="J49" s="33"/>
    </row>
    <row r="50" spans="3:10" x14ac:dyDescent="0.3">
      <c r="C50" s="20"/>
      <c r="D50" s="29"/>
      <c r="E50" s="30"/>
      <c r="F50" s="30"/>
      <c r="G50" s="31"/>
      <c r="H50" s="32"/>
      <c r="I50" s="32"/>
      <c r="J50" s="33"/>
    </row>
    <row r="51" spans="3:10" x14ac:dyDescent="0.3">
      <c r="C51" s="28" t="s">
        <v>103</v>
      </c>
      <c r="D51" s="29"/>
      <c r="E51" s="30"/>
      <c r="F51" s="30"/>
      <c r="G51" s="31"/>
      <c r="H51" s="32" t="s">
        <v>96</v>
      </c>
      <c r="I51" s="32" t="s">
        <v>96</v>
      </c>
      <c r="J51" s="33"/>
    </row>
    <row r="52" spans="3:10" x14ac:dyDescent="0.3">
      <c r="C52" s="20"/>
      <c r="D52" s="29"/>
      <c r="E52" s="30"/>
      <c r="F52" s="30"/>
      <c r="G52" s="31"/>
      <c r="H52" s="32"/>
      <c r="I52" s="32"/>
      <c r="J52" s="33"/>
    </row>
    <row r="53" spans="3:10" x14ac:dyDescent="0.3">
      <c r="C53" s="28" t="s">
        <v>104</v>
      </c>
      <c r="D53" s="29"/>
      <c r="E53" s="30"/>
      <c r="F53" s="30"/>
      <c r="G53" s="31"/>
      <c r="H53" s="32"/>
      <c r="I53" s="32"/>
      <c r="J53" s="33"/>
    </row>
    <row r="54" spans="3:10" x14ac:dyDescent="0.3">
      <c r="C54" s="20"/>
      <c r="D54" s="29"/>
      <c r="E54" s="30"/>
      <c r="F54" s="30"/>
      <c r="G54" s="31"/>
      <c r="H54" s="32"/>
      <c r="I54" s="32"/>
      <c r="J54" s="33"/>
    </row>
    <row r="55" spans="3:10" x14ac:dyDescent="0.3">
      <c r="C55" s="28" t="s">
        <v>105</v>
      </c>
      <c r="D55" s="29"/>
      <c r="E55" s="30"/>
      <c r="F55" s="30"/>
      <c r="G55" s="31"/>
      <c r="H55" s="32" t="s">
        <v>96</v>
      </c>
      <c r="I55" s="32" t="s">
        <v>96</v>
      </c>
      <c r="J55" s="33"/>
    </row>
    <row r="56" spans="3:10" x14ac:dyDescent="0.3">
      <c r="C56" s="20"/>
      <c r="D56" s="29"/>
      <c r="E56" s="30"/>
      <c r="F56" s="30"/>
      <c r="G56" s="31"/>
      <c r="H56" s="32"/>
      <c r="I56" s="32"/>
      <c r="J56" s="33"/>
    </row>
    <row r="57" spans="3:10" x14ac:dyDescent="0.3">
      <c r="C57" s="28" t="s">
        <v>106</v>
      </c>
      <c r="D57" s="29"/>
      <c r="E57" s="30"/>
      <c r="F57" s="30"/>
      <c r="G57" s="31"/>
      <c r="H57" s="32" t="s">
        <v>96</v>
      </c>
      <c r="I57" s="32" t="s">
        <v>96</v>
      </c>
      <c r="J57" s="33"/>
    </row>
    <row r="58" spans="3:10" x14ac:dyDescent="0.3">
      <c r="C58" s="20"/>
      <c r="D58" s="29"/>
      <c r="E58" s="30"/>
      <c r="F58" s="30"/>
      <c r="G58" s="31"/>
      <c r="H58" s="32"/>
      <c r="I58" s="32"/>
      <c r="J58" s="33"/>
    </row>
    <row r="59" spans="3:10" x14ac:dyDescent="0.3">
      <c r="C59" s="28" t="s">
        <v>107</v>
      </c>
      <c r="D59" s="29"/>
      <c r="E59" s="30"/>
      <c r="F59" s="30"/>
      <c r="G59" s="31"/>
      <c r="H59" s="32" t="s">
        <v>96</v>
      </c>
      <c r="I59" s="32" t="s">
        <v>96</v>
      </c>
      <c r="J59" s="33"/>
    </row>
    <row r="60" spans="3:10" x14ac:dyDescent="0.3">
      <c r="C60" s="20"/>
      <c r="D60" s="29"/>
      <c r="E60" s="30"/>
      <c r="F60" s="30"/>
      <c r="G60" s="31"/>
      <c r="H60" s="32"/>
      <c r="I60" s="32"/>
      <c r="J60" s="33"/>
    </row>
    <row r="61" spans="3:10" x14ac:dyDescent="0.3">
      <c r="C61" s="28" t="s">
        <v>108</v>
      </c>
      <c r="D61" s="29"/>
      <c r="E61" s="30"/>
      <c r="F61" s="30"/>
      <c r="G61" s="31"/>
      <c r="H61" s="32" t="s">
        <v>96</v>
      </c>
      <c r="I61" s="32" t="s">
        <v>96</v>
      </c>
      <c r="J61" s="33"/>
    </row>
    <row r="62" spans="3:10" x14ac:dyDescent="0.3">
      <c r="C62" s="20"/>
      <c r="D62" s="29"/>
      <c r="E62" s="30"/>
      <c r="F62" s="30"/>
      <c r="G62" s="31"/>
      <c r="H62" s="32"/>
      <c r="I62" s="32"/>
      <c r="J62" s="33"/>
    </row>
    <row r="63" spans="3:10" x14ac:dyDescent="0.3">
      <c r="C63" s="28" t="s">
        <v>109</v>
      </c>
      <c r="D63" s="29"/>
      <c r="E63" s="30"/>
      <c r="F63" s="30"/>
      <c r="G63" s="31"/>
      <c r="H63" s="32"/>
      <c r="I63" s="32"/>
      <c r="J63" s="33"/>
    </row>
    <row r="64" spans="3:10" x14ac:dyDescent="0.3">
      <c r="C64" s="20"/>
      <c r="D64" s="29"/>
      <c r="E64" s="30"/>
      <c r="F64" s="30"/>
      <c r="G64" s="31"/>
      <c r="H64" s="32"/>
      <c r="I64" s="32"/>
      <c r="J64" s="33"/>
    </row>
    <row r="65" spans="1:10" x14ac:dyDescent="0.3">
      <c r="C65" s="28" t="s">
        <v>110</v>
      </c>
      <c r="D65" s="29"/>
      <c r="E65" s="30"/>
      <c r="F65" s="30"/>
      <c r="G65" s="31"/>
      <c r="H65" s="32" t="s">
        <v>96</v>
      </c>
      <c r="I65" s="32" t="s">
        <v>96</v>
      </c>
      <c r="J65" s="33"/>
    </row>
    <row r="66" spans="1:10" x14ac:dyDescent="0.3">
      <c r="C66" s="20"/>
      <c r="D66" s="29"/>
      <c r="E66" s="30"/>
      <c r="F66" s="30"/>
      <c r="G66" s="31"/>
      <c r="H66" s="32"/>
      <c r="I66" s="32"/>
      <c r="J66" s="33"/>
    </row>
    <row r="67" spans="1:10" x14ac:dyDescent="0.3">
      <c r="C67" s="28" t="s">
        <v>111</v>
      </c>
      <c r="D67" s="29"/>
      <c r="E67" s="30"/>
      <c r="F67" s="30"/>
      <c r="G67" s="31"/>
      <c r="H67" s="32" t="s">
        <v>96</v>
      </c>
      <c r="I67" s="32" t="s">
        <v>96</v>
      </c>
      <c r="J67" s="33"/>
    </row>
    <row r="68" spans="1:10" x14ac:dyDescent="0.3">
      <c r="C68" s="20"/>
      <c r="D68" s="29"/>
      <c r="E68" s="30"/>
      <c r="F68" s="30"/>
      <c r="G68" s="31"/>
      <c r="H68" s="32"/>
      <c r="I68" s="32"/>
      <c r="J68" s="33"/>
    </row>
    <row r="69" spans="1:10" x14ac:dyDescent="0.3">
      <c r="C69" s="28" t="s">
        <v>112</v>
      </c>
      <c r="D69" s="29"/>
      <c r="E69" s="30"/>
      <c r="F69" s="30"/>
      <c r="G69" s="31"/>
      <c r="H69" s="32" t="s">
        <v>96</v>
      </c>
      <c r="I69" s="32" t="s">
        <v>96</v>
      </c>
      <c r="J69" s="33"/>
    </row>
    <row r="70" spans="1:10" x14ac:dyDescent="0.3">
      <c r="C70" s="20"/>
      <c r="D70" s="29"/>
      <c r="E70" s="30"/>
      <c r="F70" s="30"/>
      <c r="G70" s="31"/>
      <c r="H70" s="32"/>
      <c r="I70" s="32"/>
      <c r="J70" s="33"/>
    </row>
    <row r="71" spans="1:10" x14ac:dyDescent="0.3">
      <c r="C71" s="28" t="s">
        <v>113</v>
      </c>
      <c r="D71" s="29"/>
      <c r="E71" s="30"/>
      <c r="F71" s="30"/>
      <c r="G71" s="31"/>
      <c r="H71" s="32" t="s">
        <v>96</v>
      </c>
      <c r="I71" s="32" t="s">
        <v>96</v>
      </c>
      <c r="J71" s="33"/>
    </row>
    <row r="72" spans="1:10" x14ac:dyDescent="0.3">
      <c r="C72" s="20"/>
      <c r="D72" s="29"/>
      <c r="E72" s="30"/>
      <c r="F72" s="30"/>
      <c r="G72" s="31"/>
      <c r="H72" s="32"/>
      <c r="I72" s="32"/>
      <c r="J72" s="33"/>
    </row>
    <row r="73" spans="1:10" x14ac:dyDescent="0.3">
      <c r="C73" s="28" t="s">
        <v>114</v>
      </c>
      <c r="D73" s="29"/>
      <c r="E73" s="30"/>
      <c r="F73" s="30"/>
      <c r="G73" s="31"/>
      <c r="H73" s="32" t="s">
        <v>96</v>
      </c>
      <c r="I73" s="32" t="s">
        <v>96</v>
      </c>
      <c r="J73" s="33"/>
    </row>
    <row r="74" spans="1:10" x14ac:dyDescent="0.3">
      <c r="C74" s="20"/>
      <c r="D74" s="29"/>
      <c r="E74" s="30"/>
      <c r="F74" s="30"/>
      <c r="G74" s="31"/>
      <c r="H74" s="32"/>
      <c r="I74" s="32"/>
      <c r="J74" s="33"/>
    </row>
    <row r="75" spans="1:10" x14ac:dyDescent="0.3">
      <c r="C75" s="28" t="s">
        <v>115</v>
      </c>
      <c r="D75" s="29"/>
      <c r="E75" s="30"/>
      <c r="F75" s="30"/>
      <c r="G75" s="31"/>
      <c r="H75" s="32" t="s">
        <v>96</v>
      </c>
      <c r="I75" s="32" t="s">
        <v>96</v>
      </c>
      <c r="J75" s="33"/>
    </row>
    <row r="76" spans="1:10" x14ac:dyDescent="0.3">
      <c r="C76" s="20"/>
      <c r="D76" s="29"/>
      <c r="E76" s="30"/>
      <c r="F76" s="30"/>
      <c r="G76" s="31"/>
      <c r="H76" s="32"/>
      <c r="I76" s="32"/>
      <c r="J76" s="33"/>
    </row>
    <row r="77" spans="1:10" x14ac:dyDescent="0.3">
      <c r="A77" s="26"/>
      <c r="B77" s="27"/>
      <c r="C77" s="28" t="s">
        <v>116</v>
      </c>
      <c r="D77" s="29"/>
      <c r="E77" s="30"/>
      <c r="F77" s="30"/>
      <c r="G77" s="31"/>
      <c r="H77" s="32"/>
      <c r="I77" s="32"/>
      <c r="J77" s="33"/>
    </row>
    <row r="78" spans="1:10" x14ac:dyDescent="0.3">
      <c r="B78" s="1"/>
      <c r="C78" s="20" t="s">
        <v>117</v>
      </c>
      <c r="D78" s="29"/>
      <c r="E78" s="30"/>
      <c r="F78" s="30"/>
      <c r="G78" s="31"/>
      <c r="H78" s="32">
        <v>66.13</v>
      </c>
      <c r="I78" s="32">
        <v>5.8800000000000008</v>
      </c>
      <c r="J78" s="33"/>
    </row>
    <row r="79" spans="1:10" x14ac:dyDescent="0.3">
      <c r="C79" s="28" t="s">
        <v>94</v>
      </c>
      <c r="D79" s="29"/>
      <c r="E79" s="30"/>
      <c r="F79" s="30"/>
      <c r="G79" s="31"/>
      <c r="H79" s="35">
        <v>66.13</v>
      </c>
      <c r="I79" s="35">
        <v>5.8800000000000008</v>
      </c>
      <c r="J79" s="33"/>
    </row>
    <row r="80" spans="1:10" x14ac:dyDescent="0.3">
      <c r="C80" s="20"/>
      <c r="D80" s="29"/>
      <c r="E80" s="30"/>
      <c r="F80" s="30"/>
      <c r="G80" s="31"/>
      <c r="H80" s="32"/>
      <c r="I80" s="32"/>
      <c r="J80" s="33"/>
    </row>
    <row r="81" spans="3:10" ht="14.4" thickBot="1" x14ac:dyDescent="0.35">
      <c r="C81" s="36" t="s">
        <v>118</v>
      </c>
      <c r="D81" s="37"/>
      <c r="E81" s="38"/>
      <c r="F81" s="39"/>
      <c r="G81" s="40"/>
      <c r="H81" s="41">
        <v>1121.5999999999999</v>
      </c>
      <c r="I81" s="41">
        <f>SUMIFS(I:I,C:C,"Total")</f>
        <v>100</v>
      </c>
      <c r="J81" s="42"/>
    </row>
    <row r="84" spans="3:10" x14ac:dyDescent="0.3">
      <c r="C84" s="11" t="s">
        <v>119</v>
      </c>
    </row>
    <row r="85" spans="3:10" x14ac:dyDescent="0.3">
      <c r="C85" s="2" t="s">
        <v>120</v>
      </c>
    </row>
    <row r="86" spans="3:10" x14ac:dyDescent="0.3">
      <c r="C86" s="2" t="s">
        <v>121</v>
      </c>
    </row>
    <row r="87" spans="3:10" x14ac:dyDescent="0.3">
      <c r="C87" s="2" t="s">
        <v>122</v>
      </c>
    </row>
    <row r="88" spans="3:10" x14ac:dyDescent="0.3">
      <c r="C88" s="2" t="s">
        <v>123</v>
      </c>
    </row>
    <row r="89" spans="3:10" x14ac:dyDescent="0.3">
      <c r="C89" s="2" t="s">
        <v>124</v>
      </c>
    </row>
    <row r="90" spans="3:10" ht="14.4" thickBot="1" x14ac:dyDescent="0.35">
      <c r="C90" s="2" t="s">
        <v>125</v>
      </c>
    </row>
    <row r="91" spans="3:10" ht="14.4" thickBot="1" x14ac:dyDescent="0.35">
      <c r="C91" s="43"/>
      <c r="D91" s="59" t="s">
        <v>126</v>
      </c>
      <c r="E91" s="60"/>
    </row>
    <row r="92" spans="3:10" x14ac:dyDescent="0.3">
      <c r="C92" s="44" t="s">
        <v>127</v>
      </c>
      <c r="D92" s="45" t="s">
        <v>128</v>
      </c>
      <c r="E92" s="45" t="s">
        <v>128</v>
      </c>
    </row>
    <row r="93" spans="3:10" ht="14.4" thickBot="1" x14ac:dyDescent="0.35">
      <c r="C93" s="46"/>
      <c r="D93" s="47">
        <v>46142</v>
      </c>
      <c r="E93" s="47">
        <v>46173</v>
      </c>
    </row>
    <row r="94" spans="3:10" ht="14.4" thickBot="1" x14ac:dyDescent="0.35">
      <c r="C94" s="48" t="s">
        <v>129</v>
      </c>
      <c r="D94" s="49">
        <v>47.02</v>
      </c>
      <c r="E94" s="49">
        <v>46.15</v>
      </c>
    </row>
    <row r="95" spans="3:10" ht="14.4" thickBot="1" x14ac:dyDescent="0.35">
      <c r="C95" s="48" t="s">
        <v>130</v>
      </c>
      <c r="D95" s="49">
        <v>52.53</v>
      </c>
      <c r="E95" s="49">
        <v>51.55</v>
      </c>
    </row>
    <row r="96" spans="3:10" ht="14.4" thickBot="1" x14ac:dyDescent="0.35">
      <c r="C96" s="48" t="s">
        <v>131</v>
      </c>
      <c r="D96" s="49">
        <v>58.37</v>
      </c>
      <c r="E96" s="49">
        <v>57.32</v>
      </c>
    </row>
    <row r="97" spans="3:5" ht="14.4" thickBot="1" x14ac:dyDescent="0.35">
      <c r="C97" s="48" t="s">
        <v>132</v>
      </c>
      <c r="D97" s="49">
        <v>59.05</v>
      </c>
      <c r="E97" s="49">
        <v>57.99</v>
      </c>
    </row>
    <row r="99" spans="3:5" x14ac:dyDescent="0.3">
      <c r="C99" s="50" t="s">
        <v>133</v>
      </c>
    </row>
    <row r="100" spans="3:5" x14ac:dyDescent="0.3">
      <c r="C100" s="50" t="s">
        <v>134</v>
      </c>
    </row>
    <row r="101" spans="3:5" x14ac:dyDescent="0.3">
      <c r="C101" s="50" t="s">
        <v>135</v>
      </c>
    </row>
    <row r="102" spans="3:5" x14ac:dyDescent="0.3">
      <c r="C102" s="50" t="s">
        <v>136</v>
      </c>
    </row>
    <row r="103" spans="3:5" x14ac:dyDescent="0.3">
      <c r="C103" s="50" t="s">
        <v>137</v>
      </c>
    </row>
    <row r="104" spans="3:5" x14ac:dyDescent="0.3">
      <c r="C104" s="50" t="s">
        <v>138</v>
      </c>
    </row>
    <row r="105" spans="3:5" x14ac:dyDescent="0.3">
      <c r="C105" s="50" t="s">
        <v>139</v>
      </c>
    </row>
    <row r="106" spans="3:5" x14ac:dyDescent="0.3">
      <c r="C106" s="50" t="s">
        <v>140</v>
      </c>
    </row>
    <row r="107" spans="3:5" x14ac:dyDescent="0.3">
      <c r="C107" s="50" t="s">
        <v>141</v>
      </c>
    </row>
  </sheetData>
  <mergeCells count="1">
    <mergeCell ref="D91:E91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039E-ECFB-4483-82B9-308AF3DE46C6}">
  <dimension ref="C3:M17"/>
  <sheetViews>
    <sheetView topLeftCell="A3" workbookViewId="0">
      <selection activeCell="D12" sqref="D12:E12"/>
    </sheetView>
  </sheetViews>
  <sheetFormatPr defaultRowHeight="14.4" x14ac:dyDescent="0.3"/>
  <cols>
    <col min="3" max="3" width="53.5546875" customWidth="1"/>
    <col min="4" max="4" width="7.109375" bestFit="1" customWidth="1"/>
    <col min="5" max="5" width="10" bestFit="1" customWidth="1"/>
    <col min="6" max="6" width="6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1" bestFit="1" customWidth="1"/>
  </cols>
  <sheetData>
    <row r="3" spans="3:13" ht="15.6" x14ac:dyDescent="0.3">
      <c r="C3" s="51" t="s">
        <v>142</v>
      </c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3:13" x14ac:dyDescent="0.3">
      <c r="C4" s="53" t="s">
        <v>143</v>
      </c>
      <c r="D4" s="61" t="s">
        <v>144</v>
      </c>
      <c r="E4" s="61"/>
      <c r="F4" s="61" t="s">
        <v>145</v>
      </c>
      <c r="G4" s="61"/>
      <c r="H4" s="61" t="s">
        <v>146</v>
      </c>
      <c r="I4" s="61"/>
      <c r="J4" s="62" t="s">
        <v>147</v>
      </c>
      <c r="K4" s="63"/>
      <c r="L4" s="64" t="s">
        <v>148</v>
      </c>
      <c r="M4" s="64"/>
    </row>
    <row r="5" spans="3:13" ht="66" x14ac:dyDescent="0.3">
      <c r="C5" s="54"/>
      <c r="D5" s="55" t="s">
        <v>149</v>
      </c>
      <c r="E5" s="55" t="s">
        <v>150</v>
      </c>
      <c r="F5" s="55" t="s">
        <v>149</v>
      </c>
      <c r="G5" s="55" t="s">
        <v>150</v>
      </c>
      <c r="H5" s="55" t="s">
        <v>149</v>
      </c>
      <c r="I5" s="55" t="s">
        <v>150</v>
      </c>
      <c r="J5" s="55" t="s">
        <v>149</v>
      </c>
      <c r="K5" s="55" t="s">
        <v>150</v>
      </c>
      <c r="L5" s="56" t="s">
        <v>149</v>
      </c>
      <c r="M5" s="56" t="s">
        <v>150</v>
      </c>
    </row>
    <row r="6" spans="3:13" x14ac:dyDescent="0.3">
      <c r="C6" s="57" t="s">
        <v>151</v>
      </c>
      <c r="D6" s="58">
        <v>-4.3059000000000003</v>
      </c>
      <c r="E6" s="58">
        <v>9569.413511507053</v>
      </c>
      <c r="F6" s="58">
        <v>8.4801000000000002</v>
      </c>
      <c r="G6" s="58">
        <v>12768.697374938087</v>
      </c>
      <c r="H6" s="58">
        <v>9.6584000000000003</v>
      </c>
      <c r="I6" s="58">
        <v>15864.615384615385</v>
      </c>
      <c r="J6" s="58">
        <v>12.287699999999999</v>
      </c>
      <c r="K6" s="58">
        <v>31905.940594059408</v>
      </c>
      <c r="L6" s="58">
        <v>12.403600000000001</v>
      </c>
      <c r="M6" s="58">
        <v>51560</v>
      </c>
    </row>
    <row r="7" spans="3:13" x14ac:dyDescent="0.3">
      <c r="C7" s="57" t="s">
        <v>152</v>
      </c>
      <c r="D7" s="58">
        <v>-2.2726000000000002</v>
      </c>
      <c r="E7" s="58">
        <v>9772.74</v>
      </c>
      <c r="F7" s="58">
        <v>7.6406000000000001</v>
      </c>
      <c r="G7" s="58">
        <v>12471.776793255311</v>
      </c>
      <c r="H7" s="58">
        <v>9.7552000000000003</v>
      </c>
      <c r="I7" s="58">
        <v>15926.690015789849</v>
      </c>
      <c r="J7" s="58">
        <v>12.523400000000001</v>
      </c>
      <c r="K7" s="58">
        <v>18039.073642661646</v>
      </c>
      <c r="L7" s="58">
        <v>14.164113</v>
      </c>
      <c r="M7" s="58">
        <v>75040.966454593552</v>
      </c>
    </row>
    <row r="8" spans="3:13" x14ac:dyDescent="0.3">
      <c r="C8" s="57" t="s">
        <v>153</v>
      </c>
      <c r="D8" s="58">
        <v>-4.0838000000000001</v>
      </c>
      <c r="E8" s="58">
        <v>9591.619999999999</v>
      </c>
      <c r="F8" s="58">
        <v>9.4129000000000005</v>
      </c>
      <c r="G8" s="58">
        <v>13098.018141499084</v>
      </c>
      <c r="H8" s="58">
        <v>10.1014</v>
      </c>
      <c r="I8" s="58">
        <v>16179.466849099232</v>
      </c>
      <c r="J8" s="58">
        <v>12.550800000000001</v>
      </c>
      <c r="K8" s="58">
        <v>18061.047356176892</v>
      </c>
      <c r="L8" s="58">
        <v>13.2902</v>
      </c>
      <c r="M8" s="58">
        <v>57567.521338075581</v>
      </c>
    </row>
    <row r="9" spans="3:13" x14ac:dyDescent="0.3">
      <c r="C9" s="57" t="s">
        <v>154</v>
      </c>
      <c r="D9" s="65">
        <v>53.88</v>
      </c>
      <c r="E9" s="66"/>
      <c r="F9" s="65">
        <v>40.380000000000003</v>
      </c>
      <c r="G9" s="66"/>
      <c r="H9" s="65">
        <v>32.5</v>
      </c>
      <c r="I9" s="66"/>
      <c r="J9" s="65">
        <v>16.16</v>
      </c>
      <c r="K9" s="66"/>
      <c r="L9" s="65">
        <v>10</v>
      </c>
      <c r="M9" s="66"/>
    </row>
    <row r="11" spans="3:13" ht="15.6" x14ac:dyDescent="0.3">
      <c r="C11" s="51" t="s">
        <v>155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3:13" x14ac:dyDescent="0.3">
      <c r="C12" s="53" t="s">
        <v>143</v>
      </c>
      <c r="D12" s="61" t="s">
        <v>144</v>
      </c>
      <c r="E12" s="61"/>
      <c r="F12" s="61" t="s">
        <v>145</v>
      </c>
      <c r="G12" s="61"/>
      <c r="H12" s="61" t="s">
        <v>146</v>
      </c>
      <c r="I12" s="61"/>
      <c r="J12" s="62" t="s">
        <v>147</v>
      </c>
      <c r="K12" s="63"/>
      <c r="L12" s="64" t="s">
        <v>148</v>
      </c>
      <c r="M12" s="64"/>
    </row>
    <row r="13" spans="3:13" ht="66" x14ac:dyDescent="0.3">
      <c r="C13" s="54"/>
      <c r="D13" s="55" t="s">
        <v>149</v>
      </c>
      <c r="E13" s="55" t="s">
        <v>150</v>
      </c>
      <c r="F13" s="55" t="s">
        <v>149</v>
      </c>
      <c r="G13" s="55" t="s">
        <v>150</v>
      </c>
      <c r="H13" s="55" t="s">
        <v>149</v>
      </c>
      <c r="I13" s="55" t="s">
        <v>150</v>
      </c>
      <c r="J13" s="55" t="s">
        <v>149</v>
      </c>
      <c r="K13" s="55" t="s">
        <v>150</v>
      </c>
      <c r="L13" s="56" t="s">
        <v>149</v>
      </c>
      <c r="M13" s="56" t="s">
        <v>150</v>
      </c>
    </row>
    <row r="14" spans="3:13" x14ac:dyDescent="0.3">
      <c r="C14" s="57" t="s">
        <v>151</v>
      </c>
      <c r="D14" s="58">
        <v>-3.5749917</v>
      </c>
      <c r="E14" s="58">
        <v>9642.5008313934159</v>
      </c>
      <c r="F14" s="58">
        <v>9.3003</v>
      </c>
      <c r="G14" s="58">
        <v>13060.810810810812</v>
      </c>
      <c r="H14" s="58">
        <v>10.4941</v>
      </c>
      <c r="I14" s="58">
        <v>16479.11338448423</v>
      </c>
      <c r="J14" s="58">
        <v>13.241199999999999</v>
      </c>
      <c r="K14" s="58">
        <v>34724.55089820359</v>
      </c>
      <c r="L14" s="58">
        <v>11.2591</v>
      </c>
      <c r="M14" s="58">
        <v>42483.516483516483</v>
      </c>
    </row>
    <row r="15" spans="3:13" x14ac:dyDescent="0.3">
      <c r="C15" s="57" t="s">
        <v>152</v>
      </c>
      <c r="D15" s="58">
        <v>-2.2726000000000002</v>
      </c>
      <c r="E15" s="58">
        <v>9772.74</v>
      </c>
      <c r="F15" s="58">
        <v>7.6406000000000001</v>
      </c>
      <c r="G15" s="58">
        <v>12471.776793255311</v>
      </c>
      <c r="H15" s="58">
        <v>9.7552000000000003</v>
      </c>
      <c r="I15" s="58">
        <v>15926.690015789849</v>
      </c>
      <c r="J15" s="58">
        <v>12.523400000000001</v>
      </c>
      <c r="K15" s="58">
        <v>18039.073642661646</v>
      </c>
      <c r="L15" s="58">
        <v>12.0421715</v>
      </c>
      <c r="M15" s="58">
        <v>52779.858072958123</v>
      </c>
    </row>
    <row r="16" spans="3:13" x14ac:dyDescent="0.3">
      <c r="C16" s="57" t="s">
        <v>153</v>
      </c>
      <c r="D16" s="58">
        <v>-4.0838000000000001</v>
      </c>
      <c r="E16" s="58">
        <v>9591.619999999999</v>
      </c>
      <c r="F16" s="58">
        <v>9.4129000000000005</v>
      </c>
      <c r="G16" s="58">
        <v>13098.018141499084</v>
      </c>
      <c r="H16" s="58">
        <v>10.1014</v>
      </c>
      <c r="I16" s="58">
        <v>16179.466849099232</v>
      </c>
      <c r="J16" s="58">
        <v>12.550800000000001</v>
      </c>
      <c r="K16" s="58">
        <v>18061.047356176892</v>
      </c>
      <c r="L16" s="58">
        <v>12.0573</v>
      </c>
      <c r="M16" s="58">
        <v>46015.529222479578</v>
      </c>
    </row>
    <row r="17" spans="3:13" x14ac:dyDescent="0.3">
      <c r="C17" s="57" t="s">
        <v>156</v>
      </c>
      <c r="D17" s="65">
        <v>60.14</v>
      </c>
      <c r="E17" s="66"/>
      <c r="F17" s="65">
        <v>44.4</v>
      </c>
      <c r="G17" s="66"/>
      <c r="H17" s="65">
        <v>35.19</v>
      </c>
      <c r="I17" s="66"/>
      <c r="J17" s="65">
        <v>16.7</v>
      </c>
      <c r="K17" s="66"/>
      <c r="L17" s="65">
        <v>13.65</v>
      </c>
      <c r="M17" s="66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884CA212A64490D7B69778880BBA" ma:contentTypeVersion="13" ma:contentTypeDescription="Create a new document." ma:contentTypeScope="" ma:versionID="a9292d198eabd6cf014f953085819cb2">
  <xsd:schema xmlns:xsd="http://www.w3.org/2001/XMLSchema" xmlns:xs="http://www.w3.org/2001/XMLSchema" xmlns:p="http://schemas.microsoft.com/office/2006/metadata/properties" xmlns:ns2="a57855dc-0886-4a92-9949-74df73d65196" xmlns:ns3="86036dfc-31ca-4c9e-b665-11b09e6bf0a7" targetNamespace="http://schemas.microsoft.com/office/2006/metadata/properties" ma:root="true" ma:fieldsID="bd96b6d6441c2376d68f2c511fdc40b5" ns2:_="" ns3:_="">
    <xsd:import namespace="a57855dc-0886-4a92-9949-74df73d65196"/>
    <xsd:import namespace="86036dfc-31ca-4c9e-b665-11b09e6bf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855dc-0886-4a92-9949-74df73d65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1115db-0362-452c-9a03-dfde8108c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36dfc-31ca-4c9e-b665-11b09e6bf0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456a8ca-2f2e-4a54-9448-67eaf7c875cc}" ma:internalName="TaxCatchAll" ma:showField="CatchAllData" ma:web="86036dfc-31ca-4c9e-b665-11b09e6bf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7855dc-0886-4a92-9949-74df73d65196">
      <Terms xmlns="http://schemas.microsoft.com/office/infopath/2007/PartnerControls"/>
    </lcf76f155ced4ddcb4097134ff3c332f>
    <TaxCatchAll xmlns="86036dfc-31ca-4c9e-b665-11b09e6bf0a7" xsi:nil="true"/>
  </documentManagement>
</p:properties>
</file>

<file path=customXml/itemProps1.xml><?xml version="1.0" encoding="utf-8"?>
<ds:datastoreItem xmlns:ds="http://schemas.openxmlformats.org/officeDocument/2006/customXml" ds:itemID="{E5329337-CB36-4A12-8A55-AF445B2BA3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7855dc-0886-4a92-9949-74df73d65196"/>
    <ds:schemaRef ds:uri="86036dfc-31ca-4c9e-b665-11b09e6bf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200741-0929-42A3-AFD2-E1BAAA220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8FB93A-16C8-4B95-B7E3-05B92F745D40}">
  <ds:schemaRefs>
    <ds:schemaRef ds:uri="http://schemas.microsoft.com/office/2006/metadata/properties"/>
    <ds:schemaRef ds:uri="http://schemas.microsoft.com/office/infopath/2007/PartnerControls"/>
    <ds:schemaRef ds:uri="a57855dc-0886-4a92-9949-74df73d65196"/>
    <ds:schemaRef ds:uri="86036dfc-31ca-4c9e-b665-11b09e6bf0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 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HP</cp:lastModifiedBy>
  <dcterms:created xsi:type="dcterms:W3CDTF">2026-06-04T14:36:49Z</dcterms:created>
  <dcterms:modified xsi:type="dcterms:W3CDTF">2026-06-08T09:55:17Z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0x010100940A884CA212A64490D7B69778880BBA</vt:lpwstr>
  </property>
  <property fmtid="{D5CDD505-2E9C-101B-9397-08002B2CF9AE}" pid="3" name="MediaServiceImageTags">
    <vt:lpwstr/>
  </property>
</Properties>
</file>