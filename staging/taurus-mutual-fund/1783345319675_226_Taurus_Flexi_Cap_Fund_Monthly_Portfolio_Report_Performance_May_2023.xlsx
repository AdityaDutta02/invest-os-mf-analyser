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Portfolio'!$C$8:$C$41</definedName>
    <definedName name="XDO_?FINAL_ISIN?11?">'TSS-Risk-O-Meter &amp; Portfolio'!$D$10:$D$41</definedName>
    <definedName name="XDO_?FINAL_ISIN?12?">'TSS-Risk-O-Meter &amp; Portfolio'!$D$10:$D$45</definedName>
    <definedName name="XDO_?FINAL_ISIN?13?">'TSS-Risk-O-Meter &amp; Portfolio'!$D$10:$D$82</definedName>
    <definedName name="XDO_?FINAL_ISIN?14?">'TSS-Risk-O-Meter &amp; Portfolio'!$D$10:$D$86</definedName>
    <definedName name="XDO_?FINAL_MV?11?">'TSS-Risk-O-Meter &amp; Portfolio'!$H$10:$H$41</definedName>
    <definedName name="XDO_?FINAL_MV?12?">'TSS-Risk-O-Meter &amp; Portfolio'!$H$10:$H$45</definedName>
    <definedName name="XDO_?FINAL_MV?13?">'TSS-Risk-O-Meter &amp; Portfolio'!$H$10:$H$82</definedName>
    <definedName name="XDO_?FINAL_MV?14?">'TSS-Risk-O-Meter &amp; Portfolio'!$H$10:$H$86</definedName>
    <definedName name="XDO_?FINAL_NAME?11?">'TSS-Risk-O-Meter &amp; Portfolio'!$C$10:$C$41</definedName>
    <definedName name="XDO_?FINAL_NAME?12?">'TSS-Risk-O-Meter &amp; Portfolio'!$C$10:$C$45</definedName>
    <definedName name="XDO_?FINAL_NAME?13?">'TSS-Risk-O-Meter &amp; Portfolio'!$C$10:$C$82</definedName>
    <definedName name="XDO_?FINAL_NAME?14?">'TSS-Risk-O-Meter &amp; Portfolio'!$C$10:$C$86</definedName>
    <definedName name="XDO_?FINAL_PER_NET?11?">'TSS-Risk-O-Meter &amp; Portfolio'!$I$10:$I$41</definedName>
    <definedName name="XDO_?FINAL_PER_NET?12?">'TSS-Risk-O-Meter &amp; Portfolio'!$I$10:$I$45</definedName>
    <definedName name="XDO_?FINAL_PER_NET?13?">'TSS-Risk-O-Meter &amp; Portfolio'!$I$10:$I$82</definedName>
    <definedName name="XDO_?FINAL_PER_NET?14?">'TSS-Risk-O-Meter &amp; Portfolio'!$I$10:$I$86</definedName>
    <definedName name="XDO_?FINAL_QUANTITE?11?">'TSS-Risk-O-Meter &amp; Portfolio'!$G$10:$G$41</definedName>
    <definedName name="XDO_?FINAL_QUANTITE?12?">'TSS-Risk-O-Meter &amp; Portfolio'!$G$10:$G$45</definedName>
    <definedName name="XDO_?FINAL_QUANTITE?13?">'TSS-Risk-O-Meter &amp; Portfolio'!$G$10:$G$82</definedName>
    <definedName name="XDO_?FINAL_QUANTITE?14?">'TSS-Risk-O-Meter &amp; Portfolio'!$G$10:$G$86</definedName>
    <definedName name="XDO_?IND_01?11?">'TSS-Risk-O-Meter &amp; Portfolio'!$F$10:$F$41</definedName>
    <definedName name="XDO_?IND_01?12?">'TSS-Risk-O-Meter &amp; Portfolio'!$F$10:$F$45</definedName>
    <definedName name="XDO_?IND_01?13?">'TSS-Risk-O-Meter &amp; Portfolio'!$F$10:$F$82</definedName>
    <definedName name="XDO_?IND_01?14?">'TSS-Risk-O-Meter &amp; Portfolio'!$F$10:$F$86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Portfolio'!$B$10:$B$41</definedName>
    <definedName name="XDO_?NOVAL?12?">'TSS-Risk-O-Meter &amp; Portfolio'!$B$10:$B$45</definedName>
    <definedName name="XDO_?NOVAL?13?">'TSS-Risk-O-Meter &amp; Portfolio'!$B$10:$B$82</definedName>
    <definedName name="XDO_?NOVAL?14?">'TSS-Risk-O-Meter &amp; Portfolio'!$B$10:$B$86</definedName>
    <definedName name="XDO_?NPTF?6?">'TSS-Risk-O-Meter &amp; Portfolio'!$D$2:$D$41</definedName>
    <definedName name="XDO_?RATING?11?">'TSS-Risk-O-Meter &amp; Portfolio'!$E$10:$E$41</definedName>
    <definedName name="XDO_?RATING?12?">'TSS-Risk-O-Meter &amp; Portfolio'!$E$10:$E$45</definedName>
    <definedName name="XDO_?RATING?13?">'TSS-Risk-O-Meter &amp; Portfolio'!$E$10:$E$82</definedName>
    <definedName name="XDO_?RATING?14?">'TSS-Risk-O-Meter &amp; Portfolio'!$E$10:$E$86</definedName>
    <definedName name="XDO_?REMARKS?11?">'TSS-Risk-O-Meter &amp; Portfolio'!$J$10:$J$41</definedName>
    <definedName name="XDO_?REMARKS?12?">'TSS-Risk-O-Meter &amp; Portfolio'!$J$10:$J$45</definedName>
    <definedName name="XDO_?REMARKS?13?">'TSS-Risk-O-Meter &amp; Portfolio'!$J$10:$J$82</definedName>
    <definedName name="XDO_?REMARKS?14?">'TSS-Risk-O-Meter &amp; Portfolio'!$J$10:$J$86</definedName>
    <definedName name="XDO_?TITL?6?">'TSS-Risk-O-Meter &amp; Portfolio'!$A$8:$A$41</definedName>
    <definedName name="XDO_GROUP_?G_2?6?">'TSS-Risk-O-Meter &amp; Portfolio'!$2:$89</definedName>
    <definedName name="XDO_GROUP_?G_3?6?">'TSS-Risk-O-Meter &amp; Portfolio'!$8:$88</definedName>
    <definedName name="XDO_GROUP_?G_4?11?">'TSS-Risk-O-Meter &amp; Portfolio'!$B$10:$IV$41</definedName>
    <definedName name="XDO_GROUP_?G_4?12?">'TSS-Risk-O-Meter &amp; Portfolio'!$B$45:$IV$45</definedName>
    <definedName name="XDO_GROUP_?G_4?13?">'TSS-Risk-O-Meter &amp; Portfolio'!$B$82:$IV$82</definedName>
    <definedName name="XDO_GROUP_?G_4?14?">'TSS-Risk-O-Meter &amp; Portfolio'!$B$86:$IV$86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/>
</calcChain>
</file>

<file path=xl/sharedStrings.xml><?xml version="1.0" encoding="utf-8"?>
<sst xmlns="http://schemas.openxmlformats.org/spreadsheetml/2006/main" count="247" uniqueCount="184">
  <si>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</si>
  <si>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</si>
  <si>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</si>
  <si>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</si>
  <si>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</si>
  <si>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</si>
  <si>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</si>
  <si>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</si>
  <si>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</si>
  <si>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</si>
  <si>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</si>
  <si>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</si>
  <si>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</si>
  <si>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</si>
  <si>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</si>
  <si>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</si>
  <si>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</si>
  <si>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</si>
  <si>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</si>
  <si>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100147</t>
  </si>
  <si>
    <t>Tech Mahindra Ltd.</t>
  </si>
  <si>
    <t>INE669C01036</t>
  </si>
  <si>
    <t>100037</t>
  </si>
  <si>
    <t>HCL Technologies Ltd.</t>
  </si>
  <si>
    <t>INE860A01027</t>
  </si>
  <si>
    <t>100024</t>
  </si>
  <si>
    <t>Axis Bank Ltd.</t>
  </si>
  <si>
    <t>INE238A01034</t>
  </si>
  <si>
    <t>Banks</t>
  </si>
  <si>
    <t>100014</t>
  </si>
  <si>
    <t>Mahindra &amp; Mahindra Ltd.</t>
  </si>
  <si>
    <t>INE101A01026</t>
  </si>
  <si>
    <t>Automobiles</t>
  </si>
  <si>
    <t>100314</t>
  </si>
  <si>
    <t>SRF Ltd.</t>
  </si>
  <si>
    <t>INE647A01010</t>
  </si>
  <si>
    <t>Chemicals &amp; Petrochemicals</t>
  </si>
  <si>
    <t>100001</t>
  </si>
  <si>
    <t>Housing Development Finance Corporation Ltd.</t>
  </si>
  <si>
    <t>INE001A01036</t>
  </si>
  <si>
    <t>Finance</t>
  </si>
  <si>
    <t>100302</t>
  </si>
  <si>
    <t>DLF Ltd.</t>
  </si>
  <si>
    <t>INE271C01023</t>
  </si>
  <si>
    <t>Realty</t>
  </si>
  <si>
    <t>100172</t>
  </si>
  <si>
    <t>ACC Ltd.</t>
  </si>
  <si>
    <t>INE012A01025</t>
  </si>
  <si>
    <t>Cement &amp; Cement Products</t>
  </si>
  <si>
    <t>100097</t>
  </si>
  <si>
    <t>Coal India Ltd.</t>
  </si>
  <si>
    <t>INE522F01014</t>
  </si>
  <si>
    <t>Consumable Fuels</t>
  </si>
  <si>
    <t>100372</t>
  </si>
  <si>
    <t>Apollo Tyres Ltd.</t>
  </si>
  <si>
    <t>INE438A01022</t>
  </si>
  <si>
    <t>Auto Components</t>
  </si>
  <si>
    <t>101178</t>
  </si>
  <si>
    <t>Computer Age Management Services Ltd.</t>
  </si>
  <si>
    <t>INE596I01012</t>
  </si>
  <si>
    <t>Capital Markets</t>
  </si>
  <si>
    <t>100012</t>
  </si>
  <si>
    <t>ICICI Bank Ltd.</t>
  </si>
  <si>
    <t>INE090A01021</t>
  </si>
  <si>
    <t>100896</t>
  </si>
  <si>
    <t>Polycab India Ltd.</t>
  </si>
  <si>
    <t>INE455K01017</t>
  </si>
  <si>
    <t>Industrial Products</t>
  </si>
  <si>
    <t>100180</t>
  </si>
  <si>
    <t>Hindalco Industries Ltd.</t>
  </si>
  <si>
    <t>INE038A01020</t>
  </si>
  <si>
    <t>Non - Ferrous Metals</t>
  </si>
  <si>
    <t>100128</t>
  </si>
  <si>
    <t>Eicher Motors Ltd.</t>
  </si>
  <si>
    <t>INE066A01021</t>
  </si>
  <si>
    <t>100255</t>
  </si>
  <si>
    <t>PNC Infratech Ltd.</t>
  </si>
  <si>
    <t>INE195J01029</t>
  </si>
  <si>
    <t>Construction</t>
  </si>
  <si>
    <t>100108</t>
  </si>
  <si>
    <t>Adani Ports and Special Economic Zone Ltd.</t>
  </si>
  <si>
    <t>INE742F01042</t>
  </si>
  <si>
    <t>Transport Infrastructure</t>
  </si>
  <si>
    <t>100431</t>
  </si>
  <si>
    <t>Atul Auto Ltd.</t>
  </si>
  <si>
    <t>INE951D01028</t>
  </si>
  <si>
    <t>Agricultural, Commercial &amp; Construction Vehicles</t>
  </si>
  <si>
    <t>100335</t>
  </si>
  <si>
    <t>Kajaria Ceramics Ltd.</t>
  </si>
  <si>
    <t>INE217B01036</t>
  </si>
  <si>
    <t>Consumer Durables</t>
  </si>
  <si>
    <t>100388</t>
  </si>
  <si>
    <t>Balrampur Chini Mills Ltd.</t>
  </si>
  <si>
    <t>INE119A01028</t>
  </si>
  <si>
    <t>Agricultural Food &amp; other Products</t>
  </si>
  <si>
    <t>100029</t>
  </si>
  <si>
    <t>Mphasis Ltd.</t>
  </si>
  <si>
    <t>INE356A01018</t>
  </si>
  <si>
    <t>100425</t>
  </si>
  <si>
    <t>Chambal Fertilisers and Chemicals Ltd.</t>
  </si>
  <si>
    <t>INE085A01013</t>
  </si>
  <si>
    <t>Fertilizers &amp; Agrochemicals</t>
  </si>
  <si>
    <t>100080</t>
  </si>
  <si>
    <t>Dr. Reddy's Laboratories Ltd.</t>
  </si>
  <si>
    <t>INE089A01023</t>
  </si>
  <si>
    <t>Pharmaceuticals &amp; Biotechnology</t>
  </si>
  <si>
    <t>100654</t>
  </si>
  <si>
    <t>Automotive Axles Ltd.</t>
  </si>
  <si>
    <t>INE449A01011</t>
  </si>
  <si>
    <t>101306</t>
  </si>
  <si>
    <t>Apollo Pipes Ltd.</t>
  </si>
  <si>
    <t>INE126J01016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</si>
  <si>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</si>
  <si>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</si>
  <si>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</si>
  <si>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</si>
  <si>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</si>
  <si>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</si>
  <si>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</si>
  <si>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100410</t>
  </si>
  <si>
    <t>Healthcare Global Enterprises Ltd.</t>
  </si>
  <si>
    <t>INE075I01017</t>
  </si>
  <si>
    <t>Healthcare Services</t>
  </si>
  <si>
    <t>100690</t>
  </si>
  <si>
    <t>IG Petrochemicals Ltd.</t>
  </si>
  <si>
    <t>INE204A01010</t>
  </si>
  <si>
    <t>100179</t>
  </si>
  <si>
    <t>Hero MotoCorp Ltd.</t>
  </si>
  <si>
    <t>INE158A01026</t>
  </si>
  <si>
    <t>100059</t>
  </si>
  <si>
    <t>Godrej Industries Ltd.</t>
  </si>
  <si>
    <t>INE233A01035</t>
  </si>
  <si>
    <t>Diversified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</si>
  <si>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</si>
  <si>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</si>
  <si>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</si>
  <si>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</si>
  <si>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</si>
  <si>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</si>
  <si>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</si>
  <si>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</si>
  <si>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</si>
  <si>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</si>
  <si>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</si>
  <si>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</si>
  <si>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</si>
  <si>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</si>
  <si>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</si>
  <si>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</si>
  <si>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</si>
  <si>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</si>
  <si>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</si>
  <si>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</si>
  <si>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</si>
  <si>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</si>
  <si>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</si>
  <si>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</si>
  <si>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</si>
  <si>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</si>
  <si>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</si>
  <si>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</si>
  <si>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</si>
  <si>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</si>
  <si>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</si>
  <si>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</si>
  <si>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</si>
  <si>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</si>
  <si>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</si>
  <si>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</si>
  <si>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</si>
  <si>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</si>
  <si>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</si>
  <si>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</si>
  <si>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</si>
  <si>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</si>
  <si>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</si>
  <si>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</si>
  <si>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</si>
  <si>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</si>
  <si>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</si>
  <si>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May 31, 2023 : 154.92)</t>
  </si>
  <si>
    <t>Taurus Flexi Cap Fund - Direct Plan Growth Option</t>
  </si>
  <si>
    <t>NAV [Rs.] Per Unit (as on May 31, 2023 : 160.97)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</si>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</sst>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7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126000</v>
      </c>
      <c r="H10" s="32">
        <v>1665.85</v>
      </c>
      <c r="I10" s="32">
        <v>6.52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125600</v>
      </c>
      <c r="H11" s="32">
        <v>1403.89</v>
      </c>
      <c r="I11" s="32">
        <v>5.49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114000</v>
      </c>
      <c r="H12" s="32">
        <v>1305.98</v>
      </c>
      <c r="I12" s="32">
        <v>5.1100000000000003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28</v>
      </c>
      <c r="G13" s="31">
        <v>127000</v>
      </c>
      <c r="H13" s="32">
        <v>1161.67</v>
      </c>
      <c r="I13" s="32">
        <v>4.54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85816</v>
      </c>
      <c r="H14" s="32">
        <v>1131.4000000000001</v>
      </c>
      <c r="I14" s="32">
        <v>4.43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44378</v>
      </c>
      <c r="H15" s="32">
        <v>1122.01</v>
      </c>
      <c r="I15" s="32">
        <v>4.3899999999999997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40300</v>
      </c>
      <c r="H16" s="32">
        <v>1063.82</v>
      </c>
      <c r="I16" s="32">
        <v>4.16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207039</v>
      </c>
      <c r="H17" s="32">
        <v>982.92</v>
      </c>
      <c r="I17" s="32">
        <v>3.84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54800</v>
      </c>
      <c r="H18" s="32">
        <v>977.55</v>
      </c>
      <c r="I18" s="32">
        <v>3.82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373000</v>
      </c>
      <c r="H19" s="32">
        <v>899.68</v>
      </c>
      <c r="I19" s="32">
        <v>3.52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229326</v>
      </c>
      <c r="H20" s="32">
        <v>893.22</v>
      </c>
      <c r="I20" s="32">
        <v>3.49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35082</v>
      </c>
      <c r="H21" s="32">
        <v>777.14</v>
      </c>
      <c r="I21" s="32">
        <v>3.04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28</v>
      </c>
      <c r="G22" s="31">
        <v>80669</v>
      </c>
      <c r="H22" s="32">
        <v>765.11</v>
      </c>
      <c r="I22" s="32">
        <v>2.99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20300</v>
      </c>
      <c r="H23" s="32">
        <v>697.22</v>
      </c>
      <c r="I23" s="32">
        <v>2.73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137722</v>
      </c>
      <c r="H24" s="32">
        <v>559.77</v>
      </c>
      <c r="I24" s="32">
        <v>2.19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32</v>
      </c>
      <c r="G25" s="31">
        <v>15100</v>
      </c>
      <c r="H25" s="32">
        <v>556.48</v>
      </c>
      <c r="I25" s="32">
        <v>2.1800000000000002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172904</v>
      </c>
      <c r="H26" s="32">
        <v>542.30999999999995</v>
      </c>
      <c r="I26" s="32">
        <v>2.12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72959</v>
      </c>
      <c r="H27" s="32">
        <v>537.89</v>
      </c>
      <c r="I27" s="32">
        <v>2.1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140013</v>
      </c>
      <c r="H28" s="32">
        <v>501.32</v>
      </c>
      <c r="I28" s="32">
        <v>1.96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34884</v>
      </c>
      <c r="H29" s="32">
        <v>445.96</v>
      </c>
      <c r="I29" s="32">
        <v>1.74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108600</v>
      </c>
      <c r="H30" s="32">
        <v>426.58</v>
      </c>
      <c r="I30" s="32">
        <v>1.67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18</v>
      </c>
      <c r="G31" s="31">
        <v>21500</v>
      </c>
      <c r="H31" s="32">
        <v>421.08</v>
      </c>
      <c r="I31" s="32">
        <v>1.65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129773</v>
      </c>
      <c r="H32" s="32">
        <v>363.75</v>
      </c>
      <c r="I32" s="32">
        <v>1.42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7738</v>
      </c>
      <c r="H33" s="32">
        <v>348.5</v>
      </c>
      <c r="I33" s="32">
        <v>1.36</v>
      </c>
      <c r="J33" s="33"/>
    </row>
    <row r="34" spans="2:10">
      <c r="B34" s="1" t="s">
        <v>106</v>
      </c>
      <c r="C34" s="20" t="s">
        <v>107</v>
      </c>
      <c r="D34" s="29" t="s">
        <v>108</v>
      </c>
      <c r="E34" s="30"/>
      <c r="F34" s="30" t="s">
        <v>56</v>
      </c>
      <c r="G34" s="31">
        <v>16014</v>
      </c>
      <c r="H34" s="32">
        <v>348.02</v>
      </c>
      <c r="I34" s="32">
        <v>1.36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67</v>
      </c>
      <c r="G35" s="31">
        <v>45598</v>
      </c>
      <c r="H35" s="32">
        <v>282.33999999999997</v>
      </c>
      <c r="I35" s="32">
        <v>1.1000000000000001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40870</v>
      </c>
      <c r="H36" s="32">
        <v>234.78</v>
      </c>
      <c r="I36" s="32">
        <v>0.92</v>
      </c>
      <c r="J36" s="33"/>
    </row>
    <row r="37" spans="2:10">
      <c r="B37" s="1" t="s">
        <v>116</v>
      </c>
      <c r="C37" s="20" t="s">
        <v>117</v>
      </c>
      <c r="D37" s="29" t="s">
        <v>118</v>
      </c>
      <c r="E37" s="30"/>
      <c r="F37" s="30" t="s">
        <v>90</v>
      </c>
      <c r="G37" s="31">
        <v>23060</v>
      </c>
      <c r="H37" s="32">
        <v>158.5</v>
      </c>
      <c r="I37" s="32">
        <v>0.62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32612</v>
      </c>
      <c r="H38" s="32">
        <v>102.71</v>
      </c>
      <c r="I38" s="32">
        <v>0.4</v>
      </c>
      <c r="J38" s="33"/>
    </row>
    <row r="39" spans="2:10">
      <c r="B39" s="1" t="s">
        <v>123</v>
      </c>
      <c r="C39" s="20" t="s">
        <v>124</v>
      </c>
      <c r="D39" s="29" t="s">
        <v>125</v>
      </c>
      <c r="E39" s="30"/>
      <c r="F39" s="30" t="s">
        <v>36</v>
      </c>
      <c r="G39" s="31">
        <v>21828</v>
      </c>
      <c r="H39" s="32">
        <v>100.91</v>
      </c>
      <c r="I39" s="32">
        <v>0.39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32</v>
      </c>
      <c r="G40" s="31">
        <v>3000</v>
      </c>
      <c r="H40" s="32">
        <v>82.89</v>
      </c>
      <c r="I40" s="32">
        <v>0.32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14732</v>
      </c>
      <c r="H41" s="32">
        <v>70.739999999999995</v>
      </c>
      <c r="I41" s="32">
        <v>0.28000000000000003</v>
      </c>
      <c r="J41" s="33"/>
    </row>
    <row r="42" spans="2:10">
      <c r="C42" s="28" t="s">
        <v>133</v>
      </c>
      <c r="D42" s="29"/>
      <c r="E42" s="30"/>
      <c r="F42" s="30"/>
      <c r="G42" s="31"/>
      <c r="H42" s="35">
        <v>20931.990000000002</v>
      </c>
      <c r="I42" s="35">
        <v>81.849999999999994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34" t="s">
        <v>134</v>
      </c>
      <c r="D44" s="29"/>
      <c r="E44" s="30"/>
      <c r="F44" s="30"/>
      <c r="G44" s="31"/>
      <c r="H44" s="32"/>
      <c r="I44" s="32"/>
      <c r="J44" s="33"/>
    </row>
    <row r="45" spans="2:10">
      <c r="B45" s="1" t="s">
        <v>135</v>
      </c>
      <c r="C45" s="20" t="s">
        <v>136</v>
      </c>
      <c r="D45" s="29" t="s">
        <v>137</v>
      </c>
      <c r="E45" s="30"/>
      <c r="F45" s="30" t="s">
        <v>138</v>
      </c>
      <c r="G45" s="31">
        <v>189983</v>
      </c>
      <c r="H45" s="36">
        <v>0</v>
      </c>
      <c r="I45" s="32" t="s">
        <v>139</v>
      </c>
      <c r="J45" s="33" t="s">
        <v>140</v>
      </c>
    </row>
    <row r="46" spans="2:10">
      <c r="C46" s="28" t="s">
        <v>133</v>
      </c>
      <c r="D46" s="29"/>
      <c r="E46" s="30"/>
      <c r="F46" s="30"/>
      <c r="G46" s="31"/>
      <c r="H46" s="37">
        <v>0</v>
      </c>
      <c r="I46" s="35" t="s">
        <v>139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141</v>
      </c>
      <c r="D48" s="29"/>
      <c r="E48" s="30"/>
      <c r="F48" s="30"/>
      <c r="G48" s="31"/>
      <c r="H48" s="32" t="s">
        <v>142</v>
      </c>
      <c r="I48" s="32" t="s">
        <v>142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143</v>
      </c>
      <c r="D50" s="29"/>
      <c r="E50" s="30"/>
      <c r="F50" s="30"/>
      <c r="G50" s="31"/>
      <c r="H50" s="32"/>
      <c r="I50" s="32"/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144</v>
      </c>
      <c r="D52" s="29"/>
      <c r="E52" s="30"/>
      <c r="F52" s="30"/>
      <c r="G52" s="31"/>
      <c r="H52" s="32" t="s">
        <v>142</v>
      </c>
      <c r="I52" s="32" t="s">
        <v>142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145</v>
      </c>
      <c r="D54" s="29"/>
      <c r="E54" s="30"/>
      <c r="F54" s="30"/>
      <c r="G54" s="31"/>
      <c r="H54" s="32" t="s">
        <v>142</v>
      </c>
      <c r="I54" s="32" t="s">
        <v>142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146</v>
      </c>
      <c r="D56" s="29"/>
      <c r="E56" s="30"/>
      <c r="F56" s="30"/>
      <c r="G56" s="31"/>
      <c r="H56" s="32" t="s">
        <v>142</v>
      </c>
      <c r="I56" s="32" t="s">
        <v>142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147</v>
      </c>
      <c r="D58" s="29"/>
      <c r="E58" s="30"/>
      <c r="F58" s="30"/>
      <c r="G58" s="31"/>
      <c r="H58" s="32" t="s">
        <v>142</v>
      </c>
      <c r="I58" s="32" t="s">
        <v>142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148</v>
      </c>
      <c r="D60" s="29"/>
      <c r="E60" s="30"/>
      <c r="F60" s="30"/>
      <c r="G60" s="31"/>
      <c r="H60" s="32" t="s">
        <v>142</v>
      </c>
      <c r="I60" s="32" t="s">
        <v>142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149</v>
      </c>
      <c r="D62" s="29"/>
      <c r="E62" s="30"/>
      <c r="F62" s="30"/>
      <c r="G62" s="31"/>
      <c r="H62" s="32"/>
      <c r="I62" s="32"/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150</v>
      </c>
      <c r="D64" s="29"/>
      <c r="E64" s="30"/>
      <c r="F64" s="30"/>
      <c r="G64" s="31"/>
      <c r="H64" s="32" t="s">
        <v>142</v>
      </c>
      <c r="I64" s="32" t="s">
        <v>142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151</v>
      </c>
      <c r="D66" s="29"/>
      <c r="E66" s="30"/>
      <c r="F66" s="30"/>
      <c r="G66" s="31"/>
      <c r="H66" s="32" t="s">
        <v>142</v>
      </c>
      <c r="I66" s="32" t="s">
        <v>142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152</v>
      </c>
      <c r="D68" s="29"/>
      <c r="E68" s="30"/>
      <c r="F68" s="30"/>
      <c r="G68" s="31"/>
      <c r="H68" s="32" t="s">
        <v>142</v>
      </c>
      <c r="I68" s="32" t="s">
        <v>142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153</v>
      </c>
      <c r="D70" s="29"/>
      <c r="E70" s="30"/>
      <c r="F70" s="30"/>
      <c r="G70" s="31"/>
      <c r="H70" s="32" t="s">
        <v>142</v>
      </c>
      <c r="I70" s="32" t="s">
        <v>142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A72" s="26"/>
      <c r="B72" s="27"/>
      <c r="C72" s="28" t="s">
        <v>154</v>
      </c>
      <c r="D72" s="29"/>
      <c r="E72" s="30"/>
      <c r="F72" s="30"/>
      <c r="G72" s="31"/>
      <c r="H72" s="32"/>
      <c r="I72" s="32"/>
      <c r="J72" s="33"/>
    </row>
    <row r="73" spans="1:10">
      <c r="A73" s="27"/>
      <c r="B73" s="27"/>
      <c r="C73" s="28" t="s">
        <v>155</v>
      </c>
      <c r="D73" s="29"/>
      <c r="E73" s="30"/>
      <c r="F73" s="30"/>
      <c r="G73" s="31"/>
      <c r="H73" s="32" t="s">
        <v>142</v>
      </c>
      <c r="I73" s="32" t="s">
        <v>142</v>
      </c>
      <c r="J73" s="33"/>
    </row>
    <row r="74" spans="1:10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>
      <c r="A75" s="27"/>
      <c r="B75" s="27"/>
      <c r="C75" s="28" t="s">
        <v>156</v>
      </c>
      <c r="D75" s="29"/>
      <c r="E75" s="30"/>
      <c r="F75" s="30"/>
      <c r="G75" s="31"/>
      <c r="H75" s="32" t="s">
        <v>142</v>
      </c>
      <c r="I75" s="32" t="s">
        <v>142</v>
      </c>
      <c r="J75" s="33"/>
    </row>
    <row r="76" spans="1:10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>
      <c r="A77" s="27"/>
      <c r="B77" s="27"/>
      <c r="C77" s="28" t="s">
        <v>157</v>
      </c>
      <c r="D77" s="29"/>
      <c r="E77" s="30"/>
      <c r="F77" s="30"/>
      <c r="G77" s="31"/>
      <c r="H77" s="32" t="s">
        <v>142</v>
      </c>
      <c r="I77" s="32" t="s">
        <v>142</v>
      </c>
      <c r="J77" s="33"/>
    </row>
    <row r="78" spans="1:10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>
      <c r="A79" s="27"/>
      <c r="B79" s="27"/>
      <c r="C79" s="28" t="s">
        <v>158</v>
      </c>
      <c r="D79" s="29"/>
      <c r="E79" s="30"/>
      <c r="F79" s="30"/>
      <c r="G79" s="31"/>
      <c r="H79" s="32" t="s">
        <v>142</v>
      </c>
      <c r="I79" s="32" t="s">
        <v>142</v>
      </c>
      <c r="J79" s="33"/>
    </row>
    <row r="80" spans="1:10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>
      <c r="C81" s="34" t="s">
        <v>159</v>
      </c>
      <c r="D81" s="29"/>
      <c r="E81" s="30"/>
      <c r="F81" s="30"/>
      <c r="G81" s="31"/>
      <c r="H81" s="32"/>
      <c r="I81" s="32"/>
      <c r="J81" s="33"/>
    </row>
    <row r="82" spans="1:10">
      <c r="B82" s="1" t="s">
        <v>160</v>
      </c>
      <c r="C82" s="20" t="s">
        <v>161</v>
      </c>
      <c r="D82" s="29"/>
      <c r="E82" s="30"/>
      <c r="F82" s="30"/>
      <c r="G82" s="31"/>
      <c r="H82" s="32">
        <v>3200</v>
      </c>
      <c r="I82" s="32">
        <v>12.52</v>
      </c>
      <c r="J82" s="33"/>
    </row>
    <row r="83" spans="1:10">
      <c r="C83" s="28" t="s">
        <v>133</v>
      </c>
      <c r="D83" s="29"/>
      <c r="E83" s="30"/>
      <c r="F83" s="30"/>
      <c r="G83" s="31"/>
      <c r="H83" s="35">
        <v>3200</v>
      </c>
      <c r="I83" s="35">
        <v>12.52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A85" s="26"/>
      <c r="B85" s="27"/>
      <c r="C85" s="28" t="s">
        <v>162</v>
      </c>
      <c r="D85" s="29"/>
      <c r="E85" s="30"/>
      <c r="F85" s="30"/>
      <c r="G85" s="31"/>
      <c r="H85" s="32"/>
      <c r="I85" s="32"/>
      <c r="J85" s="33"/>
    </row>
    <row r="86" spans="1:10">
      <c r="B86" s="1"/>
      <c r="C86" s="20" t="s">
        <v>163</v>
      </c>
      <c r="D86" s="29"/>
      <c r="E86" s="30"/>
      <c r="F86" s="30"/>
      <c r="G86" s="31"/>
      <c r="H86" s="32">
        <v>1432.84</v>
      </c>
      <c r="I86" s="32">
        <v>5.63</v>
      </c>
      <c r="J86" s="33"/>
    </row>
    <row r="87" spans="1:10">
      <c r="C87" s="28" t="s">
        <v>133</v>
      </c>
      <c r="D87" s="29"/>
      <c r="E87" s="30"/>
      <c r="F87" s="30"/>
      <c r="G87" s="31"/>
      <c r="H87" s="35">
        <v>1432.84</v>
      </c>
      <c r="I87" s="35">
        <v>5.63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 ht="13.5" thickBot="1">
      <c r="C89" s="38" t="s">
        <v>164</v>
      </c>
      <c r="D89" s="39"/>
      <c r="E89" s="40"/>
      <c r="F89" s="41"/>
      <c r="G89" s="42"/>
      <c r="H89" s="43">
        <v>25564.83</v>
      </c>
      <c r="I89" s="43">
        <f>SUMIFS(I:I,C:C,"Total")</f>
        <v>99.999999999999986</v>
      </c>
      <c r="J89" s="44"/>
    </row>
    <row r="92" spans="1:10">
      <c r="C92" s="11" t="s">
        <v>165</v>
      </c>
    </row>
    <row r="93" spans="1:10">
      <c r="C93" s="2" t="s">
        <v>166</v>
      </c>
    </row>
    <row r="94" spans="1:10">
      <c r="C94" s="2" t="s">
        <v>167</v>
      </c>
    </row>
    <row r="95" spans="1:10">
      <c r="C95" s="2" t="s">
        <v>168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topLeftCell="A7" workbookViewId="0">
      <selection activeCell="B20" sqref="B20"/>
    </sheetView>
  </sheetViews>
  <sheetFormatPr defaultRowHeight="15"/>
  <cols>
    <col min="2" max="2" width="45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5" t="s">
        <v>169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170</v>
      </c>
      <c r="C5" s="48" t="s">
        <v>171</v>
      </c>
      <c r="D5" s="48"/>
      <c r="E5" s="48" t="s">
        <v>172</v>
      </c>
      <c r="F5" s="48"/>
      <c r="G5" s="48" t="s">
        <v>173</v>
      </c>
      <c r="H5" s="48"/>
      <c r="I5" s="48" t="s">
        <v>174</v>
      </c>
      <c r="J5" s="48"/>
    </row>
    <row r="6" spans="2:10" ht="63.75">
      <c r="B6" s="49"/>
      <c r="C6" s="50" t="s">
        <v>175</v>
      </c>
      <c r="D6" s="50" t="s">
        <v>176</v>
      </c>
      <c r="E6" s="50" t="s">
        <v>175</v>
      </c>
      <c r="F6" s="50" t="s">
        <v>176</v>
      </c>
      <c r="G6" s="50" t="s">
        <v>175</v>
      </c>
      <c r="H6" s="50" t="s">
        <v>176</v>
      </c>
      <c r="I6" s="50" t="s">
        <v>175</v>
      </c>
      <c r="J6" s="50" t="s">
        <v>176</v>
      </c>
    </row>
    <row r="7" spans="2:10">
      <c r="B7" s="51" t="s">
        <v>177</v>
      </c>
      <c r="C7" s="52">
        <v>8.8609373902044819</v>
      </c>
      <c r="D7" s="52">
        <v>10886.093739020445</v>
      </c>
      <c r="E7" s="52">
        <v>20.714242354731915</v>
      </c>
      <c r="F7" s="52">
        <v>17608.547397135713</v>
      </c>
      <c r="G7" s="52">
        <v>7.055349489543028</v>
      </c>
      <c r="H7" s="52">
        <v>14064.457557875621</v>
      </c>
      <c r="I7" s="52">
        <v>9.784313983002523</v>
      </c>
      <c r="J7" s="52">
        <v>154920</v>
      </c>
    </row>
    <row r="8" spans="2:10">
      <c r="B8" s="51" t="s">
        <v>178</v>
      </c>
      <c r="C8" s="52">
        <v>12.852212392251982</v>
      </c>
      <c r="D8" s="52">
        <v>11285.221239225199</v>
      </c>
      <c r="E8" s="52">
        <v>27.949910833768211</v>
      </c>
      <c r="F8" s="52">
        <v>20946.909806027412</v>
      </c>
      <c r="G8" s="52">
        <v>12.580590069051279</v>
      </c>
      <c r="H8" s="52">
        <v>18084.962101395391</v>
      </c>
      <c r="I8" s="52">
        <v>0</v>
      </c>
      <c r="J8" s="52">
        <v>0</v>
      </c>
    </row>
    <row r="9" spans="2:10">
      <c r="B9" s="51" t="s">
        <v>179</v>
      </c>
      <c r="C9" s="52">
        <v>12.936501642450771</v>
      </c>
      <c r="D9" s="52">
        <v>11293.650164245077</v>
      </c>
      <c r="E9" s="52">
        <v>26.017411031737048</v>
      </c>
      <c r="F9" s="52">
        <v>20012.053672132919</v>
      </c>
      <c r="G9" s="52">
        <v>12.893398277148327</v>
      </c>
      <c r="H9" s="52">
        <v>18337.609960208683</v>
      </c>
      <c r="I9" s="52">
        <v>10.765912626420015</v>
      </c>
      <c r="J9" s="52">
        <v>201127.74960031174</v>
      </c>
    </row>
    <row r="10" spans="2:10">
      <c r="B10" s="51" t="s">
        <v>180</v>
      </c>
      <c r="C10" s="53">
        <v>142.31</v>
      </c>
      <c r="D10" s="54"/>
      <c r="E10" s="53">
        <v>87.98</v>
      </c>
      <c r="F10" s="54"/>
      <c r="G10" s="53">
        <v>110.15</v>
      </c>
      <c r="H10" s="54"/>
      <c r="I10" s="53">
        <v>10</v>
      </c>
      <c r="J10" s="54"/>
    </row>
    <row r="12" spans="2:10" ht="15.75">
      <c r="B12" s="45" t="s">
        <v>181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170</v>
      </c>
      <c r="C13" s="48" t="s">
        <v>171</v>
      </c>
      <c r="D13" s="48"/>
      <c r="E13" s="48" t="s">
        <v>172</v>
      </c>
      <c r="F13" s="48"/>
      <c r="G13" s="48" t="s">
        <v>173</v>
      </c>
      <c r="H13" s="48"/>
      <c r="I13" s="48" t="s">
        <v>174</v>
      </c>
      <c r="J13" s="48"/>
    </row>
    <row r="14" spans="2:10" ht="63.75">
      <c r="B14" s="49"/>
      <c r="C14" s="50" t="s">
        <v>175</v>
      </c>
      <c r="D14" s="50" t="s">
        <v>176</v>
      </c>
      <c r="E14" s="50" t="s">
        <v>175</v>
      </c>
      <c r="F14" s="50" t="s">
        <v>176</v>
      </c>
      <c r="G14" s="50" t="s">
        <v>175</v>
      </c>
      <c r="H14" s="50" t="s">
        <v>176</v>
      </c>
      <c r="I14" s="50" t="s">
        <v>175</v>
      </c>
      <c r="J14" s="50" t="s">
        <v>176</v>
      </c>
    </row>
    <row r="15" spans="2:10">
      <c r="B15" s="51" t="s">
        <v>177</v>
      </c>
      <c r="C15" s="52">
        <v>8.91069012178618</v>
      </c>
      <c r="D15" s="52">
        <v>10891.069012178619</v>
      </c>
      <c r="E15" s="52">
        <v>20.778383448629832</v>
      </c>
      <c r="F15" s="52">
        <v>17636.682370987182</v>
      </c>
      <c r="G15" s="52">
        <v>7.145628032196627</v>
      </c>
      <c r="H15" s="52">
        <v>14123.89225234711</v>
      </c>
      <c r="I15" s="52">
        <v>9.2551840298294543</v>
      </c>
      <c r="J15" s="52">
        <v>25143.705092158703</v>
      </c>
    </row>
    <row r="16" spans="2:10">
      <c r="B16" s="51" t="s">
        <v>178</v>
      </c>
      <c r="C16" s="52">
        <v>12.852212392251982</v>
      </c>
      <c r="D16" s="52">
        <v>11285.221239225199</v>
      </c>
      <c r="E16" s="52">
        <v>27.949910833768211</v>
      </c>
      <c r="F16" s="52">
        <v>20946.909806027412</v>
      </c>
      <c r="G16" s="52">
        <v>12.580590069051279</v>
      </c>
      <c r="H16" s="52">
        <v>18084.962101395391</v>
      </c>
      <c r="I16" s="52">
        <v>13.548411172136587</v>
      </c>
      <c r="J16" s="52">
        <v>37565.582535165995</v>
      </c>
    </row>
    <row r="17" spans="2:10">
      <c r="B17" s="51" t="s">
        <v>179</v>
      </c>
      <c r="C17" s="52">
        <v>12.936501642450771</v>
      </c>
      <c r="D17" s="52">
        <v>11293.650164245077</v>
      </c>
      <c r="E17" s="52">
        <v>26.017411031737048</v>
      </c>
      <c r="F17" s="52">
        <v>20012.053672132919</v>
      </c>
      <c r="G17" s="52">
        <v>12.893398277148327</v>
      </c>
      <c r="H17" s="52">
        <v>18337.609960208683</v>
      </c>
      <c r="I17" s="52">
        <v>12.892401427699873</v>
      </c>
      <c r="J17" s="52">
        <v>35365.411812067206</v>
      </c>
    </row>
    <row r="18" spans="2:10">
      <c r="B18" s="51" t="s">
        <v>182</v>
      </c>
      <c r="C18" s="53">
        <v>147.80000000000001</v>
      </c>
      <c r="D18" s="54"/>
      <c r="E18" s="53">
        <v>91.27</v>
      </c>
      <c r="F18" s="54"/>
      <c r="G18" s="53">
        <v>113.97</v>
      </c>
      <c r="H18" s="54"/>
      <c r="I18" s="53">
        <v>64.02</v>
      </c>
      <c r="J18" s="54"/>
    </row>
    <row r="20" spans="2:10">
      <c r="B20" t="s">
        <v>183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2023-06-02T17:10:30Z</dcterms:created>
  <dcterms:modified xsi:type="dcterms:W3CDTF">2023-06-07T10:48:27Z</dcterms:modified>
</cp:coreProperties>
</file>