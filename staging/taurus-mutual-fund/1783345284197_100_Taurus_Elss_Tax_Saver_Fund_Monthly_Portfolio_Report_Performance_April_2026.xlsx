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udit\All Audit\Operations\MIS Reports\FY2026-27\2. MAY 2026\MONTHLY PORTFOLIO\Ops\"/>
    </mc:Choice>
  </mc:AlternateContent>
  <xr:revisionPtr revIDLastSave="0" documentId="13_ncr:1_{BAF41EF8-F57F-4DA0-9188-5589B30B6F53}" xr6:coauthVersionLast="47" xr6:coauthVersionMax="47" xr10:uidLastSave="{00000000-0000-0000-0000-000000000000}"/>
  <bookViews>
    <workbookView xWindow="-120" yWindow="-120" windowWidth="20730" windowHeight="11040" xr2:uid="{D952168D-0ABF-4CD4-9D2F-C8167EBE06C9}"/>
  </bookViews>
  <sheets>
    <sheet name="TTS" sheetId="1" r:id="rId1"/>
    <sheet name="TTS Performance" sheetId="2" r:id="rId2"/>
  </sheets>
  <externalReferences>
    <externalReference r:id="rId3"/>
  </externalReferences>
  <definedNames>
    <definedName name="XDO_?CLASS_3?7?">TTS!$C$8:$C$39</definedName>
    <definedName name="XDO_?FINAL_ISIN?16?">TTS!$D$10:$D$39</definedName>
    <definedName name="XDO_?FINAL_ISIN?17?">TTS!$D$10:$D$83</definedName>
    <definedName name="XDO_?FINAL_MV?16?">TTS!$H$10:$H$39</definedName>
    <definedName name="XDO_?FINAL_MV?17?">TTS!$H$10:$H$83</definedName>
    <definedName name="XDO_?FINAL_NAME?16?">TTS!$C$10:$C$39</definedName>
    <definedName name="XDO_?FINAL_NAME?17?">TTS!$C$10:$C$83</definedName>
    <definedName name="XDO_?FINAL_PER_NET?16?">TTS!$I$10:$I$39</definedName>
    <definedName name="XDO_?FINAL_PER_NET?17?">TTS!$I$10:$I$83</definedName>
    <definedName name="XDO_?FINAL_QUANTITE?16?">TTS!$G$10:$G$39</definedName>
    <definedName name="XDO_?FINAL_QUANTITE?17?">TTS!$G$10:$G$83</definedName>
    <definedName name="XDO_?IND_01?16?">TTS!$F$10:$F$39</definedName>
    <definedName name="XDO_?IND_01?17?">TTS!$F$10:$F$83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TTS!#REF!</definedName>
    <definedName name="XDO_?NAMCNAME?7?">TTS!$C$2:$C$39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TTS!#REF!</definedName>
    <definedName name="XDO_?NOVAL?16?">TTS!$B$10:$B$39</definedName>
    <definedName name="XDO_?NOVAL?17?">TTS!$B$10:$B$83</definedName>
    <definedName name="XDO_?NPTF?7?">TTS!$D$2:$D$39</definedName>
    <definedName name="XDO_?RATING?16?">TTS!$E$10:$E$39</definedName>
    <definedName name="XDO_?RATING?17?">TTS!$E$10:$E$83</definedName>
    <definedName name="XDO_?REMARKS?16?">TTS!$J$10:$J$39</definedName>
    <definedName name="XDO_?REMARKS?17?">TTS!$J$10:$J$83</definedName>
    <definedName name="XDO_?TITL?7?">TTS!$A$8:$A$39</definedName>
    <definedName name="XDO_GROUP_?G_2?7?">TTS!$2:$86</definedName>
    <definedName name="XDO_GROUP_?G_3?7?">TTS!$8:$85</definedName>
    <definedName name="XDO_GROUP_?G_4?16?">TTS!$B$10:$IV$39</definedName>
    <definedName name="XDO_GROUP_?G_4?17?">TTS!$B$83:$IV$83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86" i="1" l="1"/>
</calcChain>
</file>

<file path=xl/sharedStrings.xml><?xml version="1.0" encoding="utf-8"?>
<sst xmlns="http://schemas.openxmlformats.org/spreadsheetml/2006/main" count="263" uniqueCount="189">
  <si>
    <t>TAURUS MUTUAL FUND</t>
  </si>
  <si>
    <t>TTS</t>
  </si>
  <si>
    <t>SCHEME NAME :</t>
  </si>
  <si>
    <t>Taurus Elss Tax Saver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</si>
  <si>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</si>
  <si>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</si>
  <si>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</si>
  <si>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</si>
  <si>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</si>
  <si>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</si>
  <si>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</si>
  <si>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</si>
  <si>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</si>
  <si>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</si>
  <si>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</si>
  <si>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100019</t>
  </si>
  <si>
    <t>ITC Ltd.</t>
  </si>
  <si>
    <t>INE154A01025</t>
  </si>
  <si>
    <t>Diversified FMCG</t>
  </si>
  <si>
    <t>100325</t>
  </si>
  <si>
    <t>Bajaj Holdings &amp; Investment Ltd.</t>
  </si>
  <si>
    <t>INE118A01012</t>
  </si>
  <si>
    <t>Finance</t>
  </si>
  <si>
    <t>100006</t>
  </si>
  <si>
    <t>HDFC Bank Ltd.</t>
  </si>
  <si>
    <t>INE040A01034</t>
  </si>
  <si>
    <t>Banks</t>
  </si>
  <si>
    <t>100182</t>
  </si>
  <si>
    <t>Power Grid Corporation of India Ltd.</t>
  </si>
  <si>
    <t>INE752E01010</t>
  </si>
  <si>
    <t>Power</t>
  </si>
  <si>
    <t>100012</t>
  </si>
  <si>
    <t>ICICI Bank Ltd.</t>
  </si>
  <si>
    <t>INE090A01021</t>
  </si>
  <si>
    <t>100155</t>
  </si>
  <si>
    <t>Divi's Laboratories Ltd.</t>
  </si>
  <si>
    <t>INE361B01024</t>
  </si>
  <si>
    <t>Pharmaceuticals &amp; Biotechnology</t>
  </si>
  <si>
    <t>100694</t>
  </si>
  <si>
    <t>Indian Energy Exchange Ltd.</t>
  </si>
  <si>
    <t>INE022Q01020</t>
  </si>
  <si>
    <t>Capital Markets</t>
  </si>
  <si>
    <t>102663</t>
  </si>
  <si>
    <t>Pace Digitek Ltd.</t>
  </si>
  <si>
    <t>INE0S3G01027</t>
  </si>
  <si>
    <t>Telecom - Services</t>
  </si>
  <si>
    <t>100097</t>
  </si>
  <si>
    <t>Coal India Ltd.</t>
  </si>
  <si>
    <t>INE522F01014</t>
  </si>
  <si>
    <t>Consumable Fuels</t>
  </si>
  <si>
    <t>100474</t>
  </si>
  <si>
    <t>Narayana Hrudayalaya Ltd.</t>
  </si>
  <si>
    <t>INE410P01011</t>
  </si>
  <si>
    <t>Healthcare Services</t>
  </si>
  <si>
    <t>100014</t>
  </si>
  <si>
    <t>Mahindra &amp; Mahindra Ltd.</t>
  </si>
  <si>
    <t>INE101A01026</t>
  </si>
  <si>
    <t>Automobiles</t>
  </si>
  <si>
    <t>100024</t>
  </si>
  <si>
    <t>Axis Bank Ltd.</t>
  </si>
  <si>
    <t>INE238A01034</t>
  </si>
  <si>
    <t>102729</t>
  </si>
  <si>
    <t>Park Medi World Ltd.</t>
  </si>
  <si>
    <t>INE119201023</t>
  </si>
  <si>
    <t>101184</t>
  </si>
  <si>
    <t>Mazagon Dock Shipbuilders Ltd.</t>
  </si>
  <si>
    <t>INE249Z01020</t>
  </si>
  <si>
    <t>Industrial Manufacturing</t>
  </si>
  <si>
    <t>102823</t>
  </si>
  <si>
    <t>Insolation Energy Ltd.</t>
  </si>
  <si>
    <t>INE0LGX01024</t>
  </si>
  <si>
    <t>Electrical Equipment</t>
  </si>
  <si>
    <t>100095</t>
  </si>
  <si>
    <t>Bharti Airtel Ltd.</t>
  </si>
  <si>
    <t>INE397D01024</t>
  </si>
  <si>
    <t>100194</t>
  </si>
  <si>
    <t>Power Finance Corporation Ltd.</t>
  </si>
  <si>
    <t>INE134E01011</t>
  </si>
  <si>
    <t>100133</t>
  </si>
  <si>
    <t>Oracle Financial Services Software Ltd.</t>
  </si>
  <si>
    <t>INE881D01027</t>
  </si>
  <si>
    <t>IT - Software</t>
  </si>
  <si>
    <t>100002</t>
  </si>
  <si>
    <t>Reliance Industries Ltd.</t>
  </si>
  <si>
    <t>INE002A01018</t>
  </si>
  <si>
    <t>Petroleum Products</t>
  </si>
  <si>
    <t>100003</t>
  </si>
  <si>
    <t>Infosys Ltd.</t>
  </si>
  <si>
    <t>INE009A01021</t>
  </si>
  <si>
    <t>100100</t>
  </si>
  <si>
    <t>Hindustan Petroleum Corporation Ltd.</t>
  </si>
  <si>
    <t>INE094A01015</t>
  </si>
  <si>
    <t>100177</t>
  </si>
  <si>
    <t>Grasim Industries Ltd.</t>
  </si>
  <si>
    <t>INE047A01021</t>
  </si>
  <si>
    <t>Cement &amp; Cement Products</t>
  </si>
  <si>
    <t>102677</t>
  </si>
  <si>
    <t>LG Electronics India Ltd.</t>
  </si>
  <si>
    <t>INE324D01010</t>
  </si>
  <si>
    <t>Consumer Durables</t>
  </si>
  <si>
    <t>100037</t>
  </si>
  <si>
    <t>HCL Technologies Ltd.</t>
  </si>
  <si>
    <t>INE860A01027</t>
  </si>
  <si>
    <t>100814</t>
  </si>
  <si>
    <t>HDFC Asset Management Co. Ltd.</t>
  </si>
  <si>
    <t>INE127D01025</t>
  </si>
  <si>
    <t>100661</t>
  </si>
  <si>
    <t>Central Depository Services (I) Ltd.</t>
  </si>
  <si>
    <t>INE736A01011</t>
  </si>
  <si>
    <t>102094</t>
  </si>
  <si>
    <t>HBL Engineering Ltd.</t>
  </si>
  <si>
    <t>INE292B01021</t>
  </si>
  <si>
    <t>Industrial Products</t>
  </si>
  <si>
    <t>101550</t>
  </si>
  <si>
    <t>Life Insurance Corporation of India</t>
  </si>
  <si>
    <t>INE0J1Y01017</t>
  </si>
  <si>
    <t>Insurance</t>
  </si>
  <si>
    <t>100388</t>
  </si>
  <si>
    <t>Balrampur Chini Mills Ltd.</t>
  </si>
  <si>
    <t>INE119A01028</t>
  </si>
  <si>
    <t>Agricultural Food &amp; other Products</t>
  </si>
  <si>
    <t>102206</t>
  </si>
  <si>
    <t>Chemtech Industrial Valves Ltd.</t>
  </si>
  <si>
    <t>INE212P01011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</si>
  <si>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</si>
  <si>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</si>
  <si>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</si>
  <si>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</si>
  <si>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</si>
  <si>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</si>
  <si>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</si>
  <si>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</si>
  <si>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</si>
  <si>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</si>
  <si>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</si>
  <si>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</si>
  <si>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</si>
  <si>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</si>
  <si>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</si>
  <si>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</si>
  <si>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</si>
  <si>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</si>
  <si>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</si>
  <si>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</si>
  <si>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</si>
  <si>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</si>
  <si>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</si>
  <si>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</si>
  <si>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</si>
  <si>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</si>
  <si>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</si>
  <si>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</si>
  <si>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</si>
  <si>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</si>
  <si>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</si>
  <si>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</si>
  <si>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</si>
  <si>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</si>
  <si>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</si>
  <si>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March 31, 2026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</si>
  <si>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</si>
  <si>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</si>
  <si>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</si>
  <si>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</si>
  <si>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 April 30, 2026.</t>
  </si>
  <si>
    <t>7. The Scheme did not declare any bonus during the month ended as on April 30, 2026.</t>
  </si>
  <si>
    <t>8. Total outstanding exposure in derivative instruments as on April 30, 2026 is Nil</t>
  </si>
  <si>
    <t>9. Total investments in Foreign Securities /ADRs/GDRs /Overseas ETFs as on April 30, 2026 and its percentage to NAV is Nil.</t>
  </si>
  <si>
    <t>10. During the period, the portfolio turnover ratio is 0.68 times.</t>
  </si>
  <si>
    <t>      Portfolio Turnover Ratio = Lower of sales or purchase of securities divided by average AUM for 12 months ended as on April 30, 2026</t>
  </si>
  <si>
    <t>11. The Scheme did not invest in repo transactions of corporate debt securities during the month ended as on April 30, 2026.</t>
  </si>
  <si>
    <t>12. The Scheme did not invest in credit default swaps during the month ended as on April 30, 2026.</t>
  </si>
  <si>
    <t>13. There are Nil instances of deviation from the valuation principles/guidelines during the month ended as on April 30th, 2026.</t>
  </si>
  <si>
    <t>Taurus Elss Tax Saver Fund - Regular Plan Growth Option</t>
  </si>
  <si>
    <t>Particulars</t>
  </si>
  <si>
    <t>1 Year</t>
  </si>
  <si>
    <t>3 Year</t>
  </si>
  <si>
    <t>5 Year</t>
  </si>
  <si>
    <t>10 Year</t>
  </si>
  <si>
    <t>Since Inception</t>
  </si>
  <si>
    <t>CAGR [%]</t>
  </si>
  <si>
    <t>Current Value of Investment of Rs. 10000</t>
  </si>
  <si>
    <t>Scheme</t>
  </si>
  <si>
    <t>BSE 500 TRI (Benchmark)</t>
  </si>
  <si>
    <t>-</t>
  </si>
  <si>
    <t>Nifty 50 TRI (Additional Benchmark)</t>
  </si>
  <si>
    <t>NAV [Rs.] Per Unit (as on April 30,2026 :175.21)</t>
  </si>
  <si>
    <t>Taurus Elss Tax Saver Fund - Direct Plan Growth Option</t>
  </si>
  <si>
    <t>NAV [Rs.] Per Unit (as on April 30,2026 :191.94)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</si>
</sst>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[$-409]mmmm\ d\,\ yyyy;@"/>
    <numFmt numFmtId="168" formatCode="_(\ #,##0.00_);_(\ \(#,##0.00\);_(\ \-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3" fillId="0" borderId="19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6" fillId="0" borderId="9" xfId="0" applyFont="1" applyBorder="1" applyAlignment="1">
      <alignment horizontal="center" vertical="center"/>
    </xf>
    <xf numFmtId="0" fontId="6" fillId="0" borderId="23" xfId="0" applyFont="1" applyBorder="1" applyAlignment="1">
      <alignment vertical="center"/>
    </xf>
    <xf numFmtId="0" fontId="6" fillId="0" borderId="24" xfId="0" applyFont="1" applyBorder="1" applyAlignment="1">
      <alignment horizontal="center" vertical="center"/>
    </xf>
    <xf numFmtId="167" fontId="6" fillId="0" borderId="24" xfId="0" applyNumberFormat="1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2" fontId="3" fillId="0" borderId="24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4" borderId="13" xfId="1" applyNumberFormat="1" applyFill="1" applyBorder="1" applyAlignment="1">
      <alignment horizontal="center"/>
    </xf>
    <xf numFmtId="168" fontId="1" fillId="0" borderId="13" xfId="1" applyNumberFormat="1" applyBorder="1" applyAlignment="1">
      <alignment horizont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13" fillId="3" borderId="13" xfId="0" applyFont="1" applyFill="1" applyBorder="1" applyAlignment="1">
      <alignment horizontal="center"/>
    </xf>
    <xf numFmtId="0" fontId="13" fillId="3" borderId="25" xfId="0" applyFont="1" applyFill="1" applyBorder="1" applyAlignment="1">
      <alignment horizontal="center"/>
    </xf>
    <xf numFmtId="0" fontId="13" fillId="3" borderId="26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168" fontId="1" fillId="4" borderId="25" xfId="1" applyNumberFormat="1" applyFill="1" applyBorder="1" applyAlignment="1">
      <alignment horizontal="center"/>
    </xf>
    <xf numFmtId="168" fontId="1" fillId="4" borderId="26" xfId="1" applyNumberFormat="1" applyFill="1" applyBorder="1" applyAlignment="1">
      <alignment horizontal="center"/>
    </xf>
    <xf numFmtId="168" fontId="1" fillId="0" borderId="25" xfId="1" applyNumberFormat="1" applyBorder="1" applyAlignment="1">
      <alignment horizontal="center"/>
    </xf>
    <xf numFmtId="168" fontId="1" fillId="0" borderId="26" xfId="1" applyNumberFormat="1" applyBorder="1" applyAlignment="1">
      <alignment horizontal="center"/>
    </xf>
  </cellXfs>
  <cellStyles count="6">
    <cellStyle name="Comma" xfId="1" builtinId="3"/>
    <cellStyle name="Comma 2" xfId="5" xr:uid="{A1DE6F24-0E3D-46B4-A1F8-D74B6706D3B5}"/>
    <cellStyle name="Hyperlink" xfId="2" builtinId="8"/>
    <cellStyle name="Normal" xfId="0" builtinId="0"/>
    <cellStyle name="Normal 2" xfId="4" xr:uid="{C32C083C-BFC8-40C8-AC5F-687268D545B4}"/>
    <cellStyle name="Style 1" xfId="3" xr:uid="{E4CCD7B7-A1E8-4158-997B-4AFDB375D9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899583</xdr:colOff>
      <xdr:row>0</xdr:row>
      <xdr:rowOff>1979083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AF0E86-8CBA-4B01-84EC-7A0C0AF79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821083" cy="19790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6-27\Apr_2026\TMF_Monthly_Portfolio_Report_April%202026.xls" TargetMode="External"/><Relationship Id="rId1" Type="http://schemas.openxmlformats.org/officeDocument/2006/relationships/externalLinkPath" Target="file:///Q:\5.TMF\Reporting\Monthly%20Reports\Monthly%20Portfolio\2026-27\Apr_2026\TMF_Monthly_Portfolio_Report_April%20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91108-3054-4D92-932E-C2F8A6BE8CCE}">
  <dimension ref="A1:BB112"/>
  <sheetViews>
    <sheetView showGridLines="0" tabSelected="1" topLeftCell="A81" zoomScale="90" zoomScaleNormal="90" workbookViewId="0">
      <selection activeCell="H1" sqref="H1"/>
    </sheetView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8.25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46142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190569</v>
      </c>
      <c r="H10" s="32">
        <v>600.20000000000005</v>
      </c>
      <c r="I10" s="32">
        <v>8.4700000000000006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5200</v>
      </c>
      <c r="H11" s="32">
        <v>533.95000000000005</v>
      </c>
      <c r="I11" s="32">
        <v>7.53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69220</v>
      </c>
      <c r="H12" s="32">
        <v>533.82000000000005</v>
      </c>
      <c r="I12" s="32">
        <v>7.53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144894</v>
      </c>
      <c r="H13" s="32">
        <v>461.13</v>
      </c>
      <c r="I13" s="32">
        <v>6.51</v>
      </c>
      <c r="J13" s="33"/>
    </row>
    <row r="14" spans="1:54" x14ac:dyDescent="0.25">
      <c r="B14" s="1" t="s">
        <v>31</v>
      </c>
      <c r="C14" s="20" t="s">
        <v>32</v>
      </c>
      <c r="D14" s="29" t="s">
        <v>33</v>
      </c>
      <c r="E14" s="30"/>
      <c r="F14" s="30" t="s">
        <v>26</v>
      </c>
      <c r="G14" s="31">
        <v>36470</v>
      </c>
      <c r="H14" s="32">
        <v>460.52</v>
      </c>
      <c r="I14" s="32">
        <v>6.5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6224</v>
      </c>
      <c r="H15" s="32">
        <v>404.89</v>
      </c>
      <c r="I15" s="32">
        <v>5.71</v>
      </c>
      <c r="J15" s="33"/>
    </row>
    <row r="16" spans="1:54" x14ac:dyDescent="0.25">
      <c r="B16" s="1" t="s">
        <v>38</v>
      </c>
      <c r="C16" s="20" t="s">
        <v>39</v>
      </c>
      <c r="D16" s="29" t="s">
        <v>40</v>
      </c>
      <c r="E16" s="30"/>
      <c r="F16" s="30" t="s">
        <v>41</v>
      </c>
      <c r="G16" s="31">
        <v>319635</v>
      </c>
      <c r="H16" s="32">
        <v>400.66</v>
      </c>
      <c r="I16" s="32">
        <v>5.65</v>
      </c>
      <c r="J16" s="33"/>
    </row>
    <row r="17" spans="2:10" x14ac:dyDescent="0.25">
      <c r="B17" s="1" t="s">
        <v>42</v>
      </c>
      <c r="C17" s="20" t="s">
        <v>43</v>
      </c>
      <c r="D17" s="29" t="s">
        <v>44</v>
      </c>
      <c r="E17" s="30"/>
      <c r="F17" s="30" t="s">
        <v>45</v>
      </c>
      <c r="G17" s="31">
        <v>222716</v>
      </c>
      <c r="H17" s="32">
        <v>380.62</v>
      </c>
      <c r="I17" s="32">
        <v>5.37</v>
      </c>
      <c r="J17" s="33"/>
    </row>
    <row r="18" spans="2:10" x14ac:dyDescent="0.25">
      <c r="B18" s="1" t="s">
        <v>46</v>
      </c>
      <c r="C18" s="20" t="s">
        <v>47</v>
      </c>
      <c r="D18" s="29" t="s">
        <v>48</v>
      </c>
      <c r="E18" s="30"/>
      <c r="F18" s="30" t="s">
        <v>49</v>
      </c>
      <c r="G18" s="31">
        <v>70025</v>
      </c>
      <c r="H18" s="32">
        <v>337.07</v>
      </c>
      <c r="I18" s="32">
        <v>4.76</v>
      </c>
      <c r="J18" s="33"/>
    </row>
    <row r="19" spans="2:10" x14ac:dyDescent="0.25">
      <c r="B19" s="1" t="s">
        <v>50</v>
      </c>
      <c r="C19" s="20" t="s">
        <v>51</v>
      </c>
      <c r="D19" s="29" t="s">
        <v>52</v>
      </c>
      <c r="E19" s="30"/>
      <c r="F19" s="30" t="s">
        <v>53</v>
      </c>
      <c r="G19" s="31">
        <v>15683</v>
      </c>
      <c r="H19" s="32">
        <v>276.99</v>
      </c>
      <c r="I19" s="32">
        <v>3.91</v>
      </c>
      <c r="J19" s="33"/>
    </row>
    <row r="20" spans="2:10" x14ac:dyDescent="0.25">
      <c r="B20" s="1" t="s">
        <v>54</v>
      </c>
      <c r="C20" s="20" t="s">
        <v>55</v>
      </c>
      <c r="D20" s="29" t="s">
        <v>56</v>
      </c>
      <c r="E20" s="30"/>
      <c r="F20" s="30" t="s">
        <v>57</v>
      </c>
      <c r="G20" s="31">
        <v>7337</v>
      </c>
      <c r="H20" s="32">
        <v>227.22</v>
      </c>
      <c r="I20" s="32">
        <v>3.21</v>
      </c>
      <c r="J20" s="33"/>
    </row>
    <row r="21" spans="2:10" x14ac:dyDescent="0.25">
      <c r="B21" s="1" t="s">
        <v>58</v>
      </c>
      <c r="C21" s="20" t="s">
        <v>59</v>
      </c>
      <c r="D21" s="29" t="s">
        <v>60</v>
      </c>
      <c r="E21" s="30"/>
      <c r="F21" s="30" t="s">
        <v>26</v>
      </c>
      <c r="G21" s="31">
        <v>17408</v>
      </c>
      <c r="H21" s="32">
        <v>220.68</v>
      </c>
      <c r="I21" s="32">
        <v>3.11</v>
      </c>
      <c r="J21" s="33"/>
    </row>
    <row r="22" spans="2:10" x14ac:dyDescent="0.25">
      <c r="B22" s="1" t="s">
        <v>61</v>
      </c>
      <c r="C22" s="20" t="s">
        <v>62</v>
      </c>
      <c r="D22" s="29" t="s">
        <v>63</v>
      </c>
      <c r="E22" s="30"/>
      <c r="F22" s="30" t="s">
        <v>53</v>
      </c>
      <c r="G22" s="31">
        <v>85144</v>
      </c>
      <c r="H22" s="32">
        <v>196.04</v>
      </c>
      <c r="I22" s="32">
        <v>2.77</v>
      </c>
      <c r="J22" s="33"/>
    </row>
    <row r="23" spans="2:10" x14ac:dyDescent="0.25">
      <c r="B23" s="1" t="s">
        <v>64</v>
      </c>
      <c r="C23" s="20" t="s">
        <v>65</v>
      </c>
      <c r="D23" s="29" t="s">
        <v>66</v>
      </c>
      <c r="E23" s="30"/>
      <c r="F23" s="30" t="s">
        <v>67</v>
      </c>
      <c r="G23" s="31">
        <v>6727</v>
      </c>
      <c r="H23" s="32">
        <v>183.87</v>
      </c>
      <c r="I23" s="32">
        <v>2.59</v>
      </c>
      <c r="J23" s="33"/>
    </row>
    <row r="24" spans="2:10" x14ac:dyDescent="0.25">
      <c r="B24" s="1" t="s">
        <v>68</v>
      </c>
      <c r="C24" s="20" t="s">
        <v>69</v>
      </c>
      <c r="D24" s="29" t="s">
        <v>70</v>
      </c>
      <c r="E24" s="30"/>
      <c r="F24" s="30" t="s">
        <v>71</v>
      </c>
      <c r="G24" s="31">
        <v>115118</v>
      </c>
      <c r="H24" s="32">
        <v>169.96</v>
      </c>
      <c r="I24" s="32">
        <v>2.4</v>
      </c>
      <c r="J24" s="33"/>
    </row>
    <row r="25" spans="2:10" x14ac:dyDescent="0.25">
      <c r="B25" s="1" t="s">
        <v>72</v>
      </c>
      <c r="C25" s="20" t="s">
        <v>73</v>
      </c>
      <c r="D25" s="29" t="s">
        <v>74</v>
      </c>
      <c r="E25" s="30"/>
      <c r="F25" s="30" t="s">
        <v>45</v>
      </c>
      <c r="G25" s="31">
        <v>8882</v>
      </c>
      <c r="H25" s="32">
        <v>167.52</v>
      </c>
      <c r="I25" s="32">
        <v>2.36</v>
      </c>
      <c r="J25" s="33"/>
    </row>
    <row r="26" spans="2:10" x14ac:dyDescent="0.25">
      <c r="B26" s="1" t="s">
        <v>75</v>
      </c>
      <c r="C26" s="20" t="s">
        <v>76</v>
      </c>
      <c r="D26" s="29" t="s">
        <v>77</v>
      </c>
      <c r="E26" s="30"/>
      <c r="F26" s="30" t="s">
        <v>22</v>
      </c>
      <c r="G26" s="31">
        <v>34916</v>
      </c>
      <c r="H26" s="32">
        <v>156.47999999999999</v>
      </c>
      <c r="I26" s="32">
        <v>2.21</v>
      </c>
      <c r="J26" s="33"/>
    </row>
    <row r="27" spans="2:10" x14ac:dyDescent="0.25">
      <c r="B27" s="1" t="s">
        <v>78</v>
      </c>
      <c r="C27" s="20" t="s">
        <v>79</v>
      </c>
      <c r="D27" s="29" t="s">
        <v>80</v>
      </c>
      <c r="E27" s="30"/>
      <c r="F27" s="30" t="s">
        <v>81</v>
      </c>
      <c r="G27" s="31">
        <v>1512</v>
      </c>
      <c r="H27" s="32">
        <v>146.91999999999999</v>
      </c>
      <c r="I27" s="32">
        <v>2.0699999999999998</v>
      </c>
      <c r="J27" s="33"/>
    </row>
    <row r="28" spans="2:10" x14ac:dyDescent="0.25">
      <c r="B28" s="1" t="s">
        <v>82</v>
      </c>
      <c r="C28" s="20" t="s">
        <v>83</v>
      </c>
      <c r="D28" s="29" t="s">
        <v>84</v>
      </c>
      <c r="E28" s="30"/>
      <c r="F28" s="30" t="s">
        <v>85</v>
      </c>
      <c r="G28" s="31">
        <v>9655</v>
      </c>
      <c r="H28" s="32">
        <v>138.15</v>
      </c>
      <c r="I28" s="32">
        <v>1.95</v>
      </c>
      <c r="J28" s="33"/>
    </row>
    <row r="29" spans="2:10" x14ac:dyDescent="0.25">
      <c r="B29" s="1" t="s">
        <v>86</v>
      </c>
      <c r="C29" s="20" t="s">
        <v>87</v>
      </c>
      <c r="D29" s="29" t="s">
        <v>88</v>
      </c>
      <c r="E29" s="30"/>
      <c r="F29" s="30" t="s">
        <v>81</v>
      </c>
      <c r="G29" s="31">
        <v>10325</v>
      </c>
      <c r="H29" s="32">
        <v>121.99</v>
      </c>
      <c r="I29" s="32">
        <v>1.72</v>
      </c>
      <c r="J29" s="33"/>
    </row>
    <row r="30" spans="2:10" x14ac:dyDescent="0.25">
      <c r="B30" s="1" t="s">
        <v>89</v>
      </c>
      <c r="C30" s="20" t="s">
        <v>90</v>
      </c>
      <c r="D30" s="29" t="s">
        <v>91</v>
      </c>
      <c r="E30" s="30"/>
      <c r="F30" s="30" t="s">
        <v>85</v>
      </c>
      <c r="G30" s="31">
        <v>31987</v>
      </c>
      <c r="H30" s="32">
        <v>119.82</v>
      </c>
      <c r="I30" s="32">
        <v>1.69</v>
      </c>
      <c r="J30" s="33"/>
    </row>
    <row r="31" spans="2:10" x14ac:dyDescent="0.25">
      <c r="B31" s="1" t="s">
        <v>92</v>
      </c>
      <c r="C31" s="20" t="s">
        <v>93</v>
      </c>
      <c r="D31" s="29" t="s">
        <v>94</v>
      </c>
      <c r="E31" s="30"/>
      <c r="F31" s="30" t="s">
        <v>95</v>
      </c>
      <c r="G31" s="31">
        <v>3981</v>
      </c>
      <c r="H31" s="32">
        <v>111.17</v>
      </c>
      <c r="I31" s="32">
        <v>1.57</v>
      </c>
      <c r="J31" s="33"/>
    </row>
    <row r="32" spans="2:10" x14ac:dyDescent="0.25">
      <c r="B32" s="1" t="s">
        <v>96</v>
      </c>
      <c r="C32" s="20" t="s">
        <v>97</v>
      </c>
      <c r="D32" s="29" t="s">
        <v>98</v>
      </c>
      <c r="E32" s="30"/>
      <c r="F32" s="30" t="s">
        <v>99</v>
      </c>
      <c r="G32" s="31">
        <v>6950</v>
      </c>
      <c r="H32" s="32">
        <v>110.5</v>
      </c>
      <c r="I32" s="32">
        <v>1.56</v>
      </c>
      <c r="J32" s="33"/>
    </row>
    <row r="33" spans="2:10" x14ac:dyDescent="0.25">
      <c r="B33" s="1" t="s">
        <v>100</v>
      </c>
      <c r="C33" s="20" t="s">
        <v>101</v>
      </c>
      <c r="D33" s="29" t="s">
        <v>102</v>
      </c>
      <c r="E33" s="30"/>
      <c r="F33" s="30" t="s">
        <v>81</v>
      </c>
      <c r="G33" s="31">
        <v>8561</v>
      </c>
      <c r="H33" s="32">
        <v>102.64</v>
      </c>
      <c r="I33" s="32">
        <v>1.45</v>
      </c>
      <c r="J33" s="33"/>
    </row>
    <row r="34" spans="2:10" x14ac:dyDescent="0.25">
      <c r="B34" s="1" t="s">
        <v>103</v>
      </c>
      <c r="C34" s="20" t="s">
        <v>104</v>
      </c>
      <c r="D34" s="29" t="s">
        <v>105</v>
      </c>
      <c r="E34" s="30"/>
      <c r="F34" s="30" t="s">
        <v>41</v>
      </c>
      <c r="G34" s="31">
        <v>2936</v>
      </c>
      <c r="H34" s="32">
        <v>79.63</v>
      </c>
      <c r="I34" s="32">
        <v>1.1200000000000001</v>
      </c>
      <c r="J34" s="33"/>
    </row>
    <row r="35" spans="2:10" x14ac:dyDescent="0.25">
      <c r="B35" s="1" t="s">
        <v>106</v>
      </c>
      <c r="C35" s="20" t="s">
        <v>107</v>
      </c>
      <c r="D35" s="29" t="s">
        <v>108</v>
      </c>
      <c r="E35" s="30"/>
      <c r="F35" s="30" t="s">
        <v>41</v>
      </c>
      <c r="G35" s="31">
        <v>5823</v>
      </c>
      <c r="H35" s="32">
        <v>74.069999999999993</v>
      </c>
      <c r="I35" s="32">
        <v>1.04</v>
      </c>
      <c r="J35" s="33"/>
    </row>
    <row r="36" spans="2:10" x14ac:dyDescent="0.25">
      <c r="B36" s="1" t="s">
        <v>109</v>
      </c>
      <c r="C36" s="20" t="s">
        <v>110</v>
      </c>
      <c r="D36" s="29" t="s">
        <v>111</v>
      </c>
      <c r="E36" s="30"/>
      <c r="F36" s="30" t="s">
        <v>112</v>
      </c>
      <c r="G36" s="31">
        <v>8650</v>
      </c>
      <c r="H36" s="32">
        <v>69.09</v>
      </c>
      <c r="I36" s="32">
        <v>0.97</v>
      </c>
      <c r="J36" s="33"/>
    </row>
    <row r="37" spans="2:10" x14ac:dyDescent="0.25">
      <c r="B37" s="1" t="s">
        <v>113</v>
      </c>
      <c r="C37" s="20" t="s">
        <v>114</v>
      </c>
      <c r="D37" s="29" t="s">
        <v>115</v>
      </c>
      <c r="E37" s="30"/>
      <c r="F37" s="30" t="s">
        <v>116</v>
      </c>
      <c r="G37" s="31">
        <v>8000</v>
      </c>
      <c r="H37" s="32">
        <v>63.85</v>
      </c>
      <c r="I37" s="32">
        <v>0.9</v>
      </c>
      <c r="J37" s="33"/>
    </row>
    <row r="38" spans="2:10" x14ac:dyDescent="0.25">
      <c r="B38" s="1" t="s">
        <v>117</v>
      </c>
      <c r="C38" s="20" t="s">
        <v>118</v>
      </c>
      <c r="D38" s="29" t="s">
        <v>119</v>
      </c>
      <c r="E38" s="30"/>
      <c r="F38" s="30" t="s">
        <v>120</v>
      </c>
      <c r="G38" s="31">
        <v>10000</v>
      </c>
      <c r="H38" s="32">
        <v>52.06</v>
      </c>
      <c r="I38" s="32">
        <v>0.73</v>
      </c>
      <c r="J38" s="33"/>
    </row>
    <row r="39" spans="2:10" x14ac:dyDescent="0.25">
      <c r="B39" s="1" t="s">
        <v>121</v>
      </c>
      <c r="C39" s="20" t="s">
        <v>122</v>
      </c>
      <c r="D39" s="29" t="s">
        <v>123</v>
      </c>
      <c r="E39" s="30"/>
      <c r="F39" s="30" t="s">
        <v>67</v>
      </c>
      <c r="G39" s="31">
        <v>50000</v>
      </c>
      <c r="H39" s="32">
        <v>44.87</v>
      </c>
      <c r="I39" s="32">
        <v>0.63</v>
      </c>
      <c r="J39" s="33"/>
    </row>
    <row r="40" spans="2:10" x14ac:dyDescent="0.25">
      <c r="C40" s="28" t="s">
        <v>124</v>
      </c>
      <c r="D40" s="29"/>
      <c r="E40" s="30"/>
      <c r="F40" s="30"/>
      <c r="G40" s="31"/>
      <c r="H40" s="35">
        <v>6946.38</v>
      </c>
      <c r="I40" s="35">
        <v>97.99</v>
      </c>
      <c r="J40" s="33"/>
    </row>
    <row r="41" spans="2:10" x14ac:dyDescent="0.25">
      <c r="C41" s="20"/>
      <c r="D41" s="29"/>
      <c r="E41" s="30"/>
      <c r="F41" s="30"/>
      <c r="G41" s="31"/>
      <c r="H41" s="32"/>
      <c r="I41" s="32"/>
      <c r="J41" s="33"/>
    </row>
    <row r="42" spans="2:10" x14ac:dyDescent="0.25">
      <c r="C42" s="28" t="s">
        <v>125</v>
      </c>
      <c r="D42" s="29"/>
      <c r="E42" s="30"/>
      <c r="F42" s="30"/>
      <c r="G42" s="31"/>
      <c r="H42" s="32" t="s">
        <v>126</v>
      </c>
      <c r="I42" s="32" t="s">
        <v>126</v>
      </c>
      <c r="J42" s="33"/>
    </row>
    <row r="43" spans="2:10" x14ac:dyDescent="0.25">
      <c r="C43" s="20"/>
      <c r="D43" s="29"/>
      <c r="E43" s="30"/>
      <c r="F43" s="30"/>
      <c r="G43" s="31"/>
      <c r="H43" s="32"/>
      <c r="I43" s="32"/>
      <c r="J43" s="33"/>
    </row>
    <row r="44" spans="2:10" x14ac:dyDescent="0.25">
      <c r="C44" s="28" t="s">
        <v>127</v>
      </c>
      <c r="D44" s="29"/>
      <c r="E44" s="30"/>
      <c r="F44" s="30"/>
      <c r="G44" s="31"/>
      <c r="H44" s="32" t="s">
        <v>126</v>
      </c>
      <c r="I44" s="32" t="s">
        <v>126</v>
      </c>
      <c r="J44" s="33"/>
    </row>
    <row r="45" spans="2:10" x14ac:dyDescent="0.25">
      <c r="C45" s="20"/>
      <c r="D45" s="29"/>
      <c r="E45" s="30"/>
      <c r="F45" s="30"/>
      <c r="G45" s="31"/>
      <c r="H45" s="32"/>
      <c r="I45" s="32"/>
      <c r="J45" s="33"/>
    </row>
    <row r="46" spans="2:10" x14ac:dyDescent="0.25">
      <c r="C46" s="28" t="s">
        <v>128</v>
      </c>
      <c r="D46" s="29"/>
      <c r="E46" s="30"/>
      <c r="F46" s="30"/>
      <c r="G46" s="31"/>
      <c r="H46" s="32"/>
      <c r="I46" s="32"/>
      <c r="J46" s="33"/>
    </row>
    <row r="47" spans="2:10" x14ac:dyDescent="0.25">
      <c r="C47" s="20"/>
      <c r="D47" s="29"/>
      <c r="E47" s="30"/>
      <c r="F47" s="30"/>
      <c r="G47" s="31"/>
      <c r="H47" s="32"/>
      <c r="I47" s="32"/>
      <c r="J47" s="33"/>
    </row>
    <row r="48" spans="2:10" x14ac:dyDescent="0.25">
      <c r="C48" s="28" t="s">
        <v>129</v>
      </c>
      <c r="D48" s="29"/>
      <c r="E48" s="30"/>
      <c r="F48" s="30"/>
      <c r="G48" s="31"/>
      <c r="H48" s="32" t="s">
        <v>126</v>
      </c>
      <c r="I48" s="32" t="s">
        <v>126</v>
      </c>
      <c r="J48" s="33"/>
    </row>
    <row r="49" spans="3:10" x14ac:dyDescent="0.25">
      <c r="C49" s="20"/>
      <c r="D49" s="29"/>
      <c r="E49" s="30"/>
      <c r="F49" s="30"/>
      <c r="G49" s="31"/>
      <c r="H49" s="32"/>
      <c r="I49" s="32"/>
      <c r="J49" s="33"/>
    </row>
    <row r="50" spans="3:10" x14ac:dyDescent="0.25">
      <c r="C50" s="28" t="s">
        <v>130</v>
      </c>
      <c r="D50" s="29"/>
      <c r="E50" s="30"/>
      <c r="F50" s="30"/>
      <c r="G50" s="31"/>
      <c r="H50" s="32" t="s">
        <v>126</v>
      </c>
      <c r="I50" s="32" t="s">
        <v>126</v>
      </c>
      <c r="J50" s="33"/>
    </row>
    <row r="51" spans="3:10" x14ac:dyDescent="0.25">
      <c r="C51" s="20"/>
      <c r="D51" s="29"/>
      <c r="E51" s="30"/>
      <c r="F51" s="30"/>
      <c r="G51" s="31"/>
      <c r="H51" s="32"/>
      <c r="I51" s="32"/>
      <c r="J51" s="33"/>
    </row>
    <row r="52" spans="3:10" x14ac:dyDescent="0.25">
      <c r="C52" s="28" t="s">
        <v>131</v>
      </c>
      <c r="D52" s="29"/>
      <c r="E52" s="30"/>
      <c r="F52" s="30"/>
      <c r="G52" s="31"/>
      <c r="H52" s="32" t="s">
        <v>126</v>
      </c>
      <c r="I52" s="32" t="s">
        <v>126</v>
      </c>
      <c r="J52" s="33"/>
    </row>
    <row r="53" spans="3:10" x14ac:dyDescent="0.25">
      <c r="C53" s="20"/>
      <c r="D53" s="29"/>
      <c r="E53" s="30"/>
      <c r="F53" s="30"/>
      <c r="G53" s="31"/>
      <c r="H53" s="32"/>
      <c r="I53" s="32"/>
      <c r="J53" s="33"/>
    </row>
    <row r="54" spans="3:10" x14ac:dyDescent="0.25">
      <c r="C54" s="28" t="s">
        <v>132</v>
      </c>
      <c r="D54" s="29"/>
      <c r="E54" s="30"/>
      <c r="F54" s="30"/>
      <c r="G54" s="31"/>
      <c r="H54" s="32" t="s">
        <v>126</v>
      </c>
      <c r="I54" s="32" t="s">
        <v>126</v>
      </c>
      <c r="J54" s="33"/>
    </row>
    <row r="55" spans="3:10" x14ac:dyDescent="0.25">
      <c r="C55" s="20"/>
      <c r="D55" s="29"/>
      <c r="E55" s="30"/>
      <c r="F55" s="30"/>
      <c r="G55" s="31"/>
      <c r="H55" s="32"/>
      <c r="I55" s="32"/>
      <c r="J55" s="33"/>
    </row>
    <row r="56" spans="3:10" x14ac:dyDescent="0.25">
      <c r="C56" s="28" t="s">
        <v>133</v>
      </c>
      <c r="D56" s="29"/>
      <c r="E56" s="30"/>
      <c r="F56" s="30"/>
      <c r="G56" s="31"/>
      <c r="H56" s="32" t="s">
        <v>126</v>
      </c>
      <c r="I56" s="32" t="s">
        <v>126</v>
      </c>
      <c r="J56" s="33"/>
    </row>
    <row r="57" spans="3:10" x14ac:dyDescent="0.25">
      <c r="C57" s="20"/>
      <c r="D57" s="29"/>
      <c r="E57" s="30"/>
      <c r="F57" s="30"/>
      <c r="G57" s="31"/>
      <c r="H57" s="32"/>
      <c r="I57" s="32"/>
      <c r="J57" s="33"/>
    </row>
    <row r="58" spans="3:10" x14ac:dyDescent="0.25">
      <c r="C58" s="28" t="s">
        <v>134</v>
      </c>
      <c r="D58" s="29"/>
      <c r="E58" s="30"/>
      <c r="F58" s="30"/>
      <c r="G58" s="31"/>
      <c r="H58" s="32"/>
      <c r="I58" s="32"/>
      <c r="J58" s="33"/>
    </row>
    <row r="59" spans="3:10" x14ac:dyDescent="0.25">
      <c r="C59" s="20"/>
      <c r="D59" s="29"/>
      <c r="E59" s="30"/>
      <c r="F59" s="30"/>
      <c r="G59" s="31"/>
      <c r="H59" s="32"/>
      <c r="I59" s="32"/>
      <c r="J59" s="33"/>
    </row>
    <row r="60" spans="3:10" x14ac:dyDescent="0.25">
      <c r="C60" s="28" t="s">
        <v>135</v>
      </c>
      <c r="D60" s="29"/>
      <c r="E60" s="30"/>
      <c r="F60" s="30"/>
      <c r="G60" s="31"/>
      <c r="H60" s="32" t="s">
        <v>126</v>
      </c>
      <c r="I60" s="32" t="s">
        <v>126</v>
      </c>
      <c r="J60" s="33"/>
    </row>
    <row r="61" spans="3:10" x14ac:dyDescent="0.25">
      <c r="C61" s="20"/>
      <c r="D61" s="29"/>
      <c r="E61" s="30"/>
      <c r="F61" s="30"/>
      <c r="G61" s="31"/>
      <c r="H61" s="32"/>
      <c r="I61" s="32"/>
      <c r="J61" s="33"/>
    </row>
    <row r="62" spans="3:10" x14ac:dyDescent="0.25">
      <c r="C62" s="28" t="s">
        <v>136</v>
      </c>
      <c r="D62" s="29"/>
      <c r="E62" s="30"/>
      <c r="F62" s="30"/>
      <c r="G62" s="31"/>
      <c r="H62" s="32" t="s">
        <v>126</v>
      </c>
      <c r="I62" s="32" t="s">
        <v>126</v>
      </c>
      <c r="J62" s="33"/>
    </row>
    <row r="63" spans="3:10" x14ac:dyDescent="0.25">
      <c r="C63" s="20"/>
      <c r="D63" s="29"/>
      <c r="E63" s="30"/>
      <c r="F63" s="30"/>
      <c r="G63" s="31"/>
      <c r="H63" s="32"/>
      <c r="I63" s="32"/>
      <c r="J63" s="33"/>
    </row>
    <row r="64" spans="3:10" x14ac:dyDescent="0.25">
      <c r="C64" s="28" t="s">
        <v>137</v>
      </c>
      <c r="D64" s="29"/>
      <c r="E64" s="30"/>
      <c r="F64" s="30"/>
      <c r="G64" s="31"/>
      <c r="H64" s="32" t="s">
        <v>126</v>
      </c>
      <c r="I64" s="32" t="s">
        <v>126</v>
      </c>
      <c r="J64" s="33"/>
    </row>
    <row r="65" spans="3:10" x14ac:dyDescent="0.25">
      <c r="C65" s="20"/>
      <c r="D65" s="29"/>
      <c r="E65" s="30"/>
      <c r="F65" s="30"/>
      <c r="G65" s="31"/>
      <c r="H65" s="32"/>
      <c r="I65" s="32"/>
      <c r="J65" s="33"/>
    </row>
    <row r="66" spans="3:10" x14ac:dyDescent="0.25">
      <c r="C66" s="28" t="s">
        <v>138</v>
      </c>
      <c r="D66" s="29"/>
      <c r="E66" s="30"/>
      <c r="F66" s="30"/>
      <c r="G66" s="31"/>
      <c r="H66" s="32" t="s">
        <v>126</v>
      </c>
      <c r="I66" s="32" t="s">
        <v>126</v>
      </c>
      <c r="J66" s="33"/>
    </row>
    <row r="67" spans="3:10" x14ac:dyDescent="0.25">
      <c r="C67" s="20"/>
      <c r="D67" s="29"/>
      <c r="E67" s="30"/>
      <c r="F67" s="30"/>
      <c r="G67" s="31"/>
      <c r="H67" s="32"/>
      <c r="I67" s="32"/>
      <c r="J67" s="33"/>
    </row>
    <row r="68" spans="3:10" x14ac:dyDescent="0.25">
      <c r="C68" s="28" t="s">
        <v>139</v>
      </c>
      <c r="D68" s="29"/>
      <c r="E68" s="30"/>
      <c r="F68" s="30"/>
      <c r="G68" s="31"/>
      <c r="H68" s="32"/>
      <c r="I68" s="32"/>
      <c r="J68" s="33"/>
    </row>
    <row r="69" spans="3:10" x14ac:dyDescent="0.25">
      <c r="C69" s="20"/>
      <c r="D69" s="29"/>
      <c r="E69" s="30"/>
      <c r="F69" s="30"/>
      <c r="G69" s="31"/>
      <c r="H69" s="32"/>
      <c r="I69" s="32"/>
      <c r="J69" s="33"/>
    </row>
    <row r="70" spans="3:10" x14ac:dyDescent="0.25">
      <c r="C70" s="28" t="s">
        <v>140</v>
      </c>
      <c r="D70" s="29"/>
      <c r="E70" s="30"/>
      <c r="F70" s="30"/>
      <c r="G70" s="31"/>
      <c r="H70" s="32" t="s">
        <v>126</v>
      </c>
      <c r="I70" s="32" t="s">
        <v>126</v>
      </c>
      <c r="J70" s="33"/>
    </row>
    <row r="71" spans="3:10" x14ac:dyDescent="0.25">
      <c r="C71" s="20"/>
      <c r="D71" s="29"/>
      <c r="E71" s="30"/>
      <c r="F71" s="30"/>
      <c r="G71" s="31"/>
      <c r="H71" s="32"/>
      <c r="I71" s="32"/>
      <c r="J71" s="33"/>
    </row>
    <row r="72" spans="3:10" x14ac:dyDescent="0.25">
      <c r="C72" s="28" t="s">
        <v>141</v>
      </c>
      <c r="D72" s="29"/>
      <c r="E72" s="30"/>
      <c r="F72" s="30"/>
      <c r="G72" s="31"/>
      <c r="H72" s="32" t="s">
        <v>126</v>
      </c>
      <c r="I72" s="32" t="s">
        <v>126</v>
      </c>
      <c r="J72" s="33"/>
    </row>
    <row r="73" spans="3:10" x14ac:dyDescent="0.25">
      <c r="C73" s="20"/>
      <c r="D73" s="29"/>
      <c r="E73" s="30"/>
      <c r="F73" s="30"/>
      <c r="G73" s="31"/>
      <c r="H73" s="32"/>
      <c r="I73" s="32"/>
      <c r="J73" s="33"/>
    </row>
    <row r="74" spans="3:10" x14ac:dyDescent="0.25">
      <c r="C74" s="28" t="s">
        <v>142</v>
      </c>
      <c r="D74" s="29"/>
      <c r="E74" s="30"/>
      <c r="F74" s="30"/>
      <c r="G74" s="31"/>
      <c r="H74" s="32" t="s">
        <v>126</v>
      </c>
      <c r="I74" s="32" t="s">
        <v>126</v>
      </c>
      <c r="J74" s="33"/>
    </row>
    <row r="75" spans="3:10" x14ac:dyDescent="0.25">
      <c r="C75" s="20"/>
      <c r="D75" s="29"/>
      <c r="E75" s="30"/>
      <c r="F75" s="30"/>
      <c r="G75" s="31"/>
      <c r="H75" s="32"/>
      <c r="I75" s="32"/>
      <c r="J75" s="33"/>
    </row>
    <row r="76" spans="3:10" x14ac:dyDescent="0.25">
      <c r="C76" s="28" t="s">
        <v>143</v>
      </c>
      <c r="D76" s="29"/>
      <c r="E76" s="30"/>
      <c r="F76" s="30"/>
      <c r="G76" s="31"/>
      <c r="H76" s="32" t="s">
        <v>126</v>
      </c>
      <c r="I76" s="32" t="s">
        <v>126</v>
      </c>
      <c r="J76" s="33"/>
    </row>
    <row r="77" spans="3:10" x14ac:dyDescent="0.25">
      <c r="C77" s="20"/>
      <c r="D77" s="29"/>
      <c r="E77" s="30"/>
      <c r="F77" s="30"/>
      <c r="G77" s="31"/>
      <c r="H77" s="32"/>
      <c r="I77" s="32"/>
      <c r="J77" s="33"/>
    </row>
    <row r="78" spans="3:10" x14ac:dyDescent="0.25">
      <c r="C78" s="28" t="s">
        <v>144</v>
      </c>
      <c r="D78" s="29"/>
      <c r="E78" s="30"/>
      <c r="F78" s="30"/>
      <c r="G78" s="31"/>
      <c r="H78" s="32" t="s">
        <v>126</v>
      </c>
      <c r="I78" s="32" t="s">
        <v>126</v>
      </c>
      <c r="J78" s="33"/>
    </row>
    <row r="79" spans="3:10" x14ac:dyDescent="0.25">
      <c r="C79" s="20"/>
      <c r="D79" s="29"/>
      <c r="E79" s="30"/>
      <c r="F79" s="30"/>
      <c r="G79" s="31"/>
      <c r="H79" s="32"/>
      <c r="I79" s="32"/>
      <c r="J79" s="33"/>
    </row>
    <row r="80" spans="3:10" x14ac:dyDescent="0.25">
      <c r="C80" s="28" t="s">
        <v>145</v>
      </c>
      <c r="D80" s="29"/>
      <c r="E80" s="30"/>
      <c r="F80" s="30"/>
      <c r="G80" s="31"/>
      <c r="H80" s="32" t="s">
        <v>126</v>
      </c>
      <c r="I80" s="32" t="s">
        <v>126</v>
      </c>
      <c r="J80" s="33"/>
    </row>
    <row r="81" spans="1:10" x14ac:dyDescent="0.25">
      <c r="C81" s="20"/>
      <c r="D81" s="29"/>
      <c r="E81" s="30"/>
      <c r="F81" s="30"/>
      <c r="G81" s="31"/>
      <c r="H81" s="32"/>
      <c r="I81" s="32"/>
      <c r="J81" s="33"/>
    </row>
    <row r="82" spans="1:10" x14ac:dyDescent="0.25">
      <c r="A82" s="26"/>
      <c r="B82" s="27"/>
      <c r="C82" s="28" t="s">
        <v>146</v>
      </c>
      <c r="D82" s="29"/>
      <c r="E82" s="30"/>
      <c r="F82" s="30"/>
      <c r="G82" s="31"/>
      <c r="H82" s="32"/>
      <c r="I82" s="32"/>
      <c r="J82" s="33"/>
    </row>
    <row r="83" spans="1:10" x14ac:dyDescent="0.25">
      <c r="B83" s="1"/>
      <c r="C83" s="20" t="s">
        <v>147</v>
      </c>
      <c r="D83" s="29"/>
      <c r="E83" s="30"/>
      <c r="F83" s="30"/>
      <c r="G83" s="31"/>
      <c r="H83" s="32">
        <v>142.08000000000001</v>
      </c>
      <c r="I83" s="32">
        <v>2.0099999999999998</v>
      </c>
      <c r="J83" s="33"/>
    </row>
    <row r="84" spans="1:10" x14ac:dyDescent="0.25">
      <c r="C84" s="28" t="s">
        <v>124</v>
      </c>
      <c r="D84" s="29"/>
      <c r="E84" s="30"/>
      <c r="F84" s="30"/>
      <c r="G84" s="31"/>
      <c r="H84" s="35">
        <v>142.08000000000001</v>
      </c>
      <c r="I84" s="35">
        <v>2.0099999999999998</v>
      </c>
      <c r="J84" s="33"/>
    </row>
    <row r="85" spans="1:10" x14ac:dyDescent="0.25">
      <c r="C85" s="20"/>
      <c r="D85" s="29"/>
      <c r="E85" s="30"/>
      <c r="F85" s="30"/>
      <c r="G85" s="31"/>
      <c r="H85" s="32"/>
      <c r="I85" s="32"/>
      <c r="J85" s="33"/>
    </row>
    <row r="86" spans="1:10" ht="14.25" thickBot="1" x14ac:dyDescent="0.3">
      <c r="C86" s="36" t="s">
        <v>148</v>
      </c>
      <c r="D86" s="37"/>
      <c r="E86" s="38"/>
      <c r="F86" s="39"/>
      <c r="G86" s="40"/>
      <c r="H86" s="41">
        <v>7088.46</v>
      </c>
      <c r="I86" s="41">
        <f>SUMIFS(I:I,C:C,"Total")</f>
        <v>100</v>
      </c>
      <c r="J86" s="42"/>
    </row>
    <row r="89" spans="1:10" x14ac:dyDescent="0.25">
      <c r="C89" s="11" t="s">
        <v>149</v>
      </c>
    </row>
    <row r="90" spans="1:10" x14ac:dyDescent="0.25">
      <c r="C90" s="2" t="s">
        <v>150</v>
      </c>
    </row>
    <row r="91" spans="1:10" x14ac:dyDescent="0.25">
      <c r="C91" s="2" t="s">
        <v>151</v>
      </c>
    </row>
    <row r="92" spans="1:10" x14ac:dyDescent="0.25">
      <c r="C92" s="2" t="s">
        <v>152</v>
      </c>
    </row>
    <row r="93" spans="1:10" x14ac:dyDescent="0.25">
      <c r="C93" s="2" t="s">
        <v>153</v>
      </c>
    </row>
    <row r="94" spans="1:10" x14ac:dyDescent="0.25">
      <c r="C94" s="2" t="s">
        <v>154</v>
      </c>
    </row>
    <row r="95" spans="1:10" ht="14.25" thickBot="1" x14ac:dyDescent="0.3">
      <c r="C95" s="2" t="s">
        <v>155</v>
      </c>
    </row>
    <row r="96" spans="1:10" ht="14.25" thickBot="1" x14ac:dyDescent="0.3">
      <c r="C96" s="43"/>
      <c r="D96" s="61" t="s">
        <v>156</v>
      </c>
      <c r="E96" s="62"/>
    </row>
    <row r="97" spans="3:5" x14ac:dyDescent="0.25">
      <c r="C97" s="44" t="s">
        <v>157</v>
      </c>
      <c r="D97" s="45" t="s">
        <v>158</v>
      </c>
      <c r="E97" s="45" t="s">
        <v>158</v>
      </c>
    </row>
    <row r="98" spans="3:5" ht="14.25" thickBot="1" x14ac:dyDescent="0.3">
      <c r="C98" s="46"/>
      <c r="D98" s="47" t="s">
        <v>159</v>
      </c>
      <c r="E98" s="48">
        <v>46142</v>
      </c>
    </row>
    <row r="99" spans="3:5" ht="14.25" thickBot="1" x14ac:dyDescent="0.3">
      <c r="C99" s="49" t="s">
        <v>160</v>
      </c>
      <c r="D99" s="50">
        <v>74.38</v>
      </c>
      <c r="E99" s="50">
        <v>82.08</v>
      </c>
    </row>
    <row r="100" spans="3:5" ht="14.25" thickBot="1" x14ac:dyDescent="0.3">
      <c r="C100" s="49" t="s">
        <v>161</v>
      </c>
      <c r="D100" s="50">
        <v>158.77000000000001</v>
      </c>
      <c r="E100" s="50">
        <v>175.21</v>
      </c>
    </row>
    <row r="101" spans="3:5" ht="14.25" thickBot="1" x14ac:dyDescent="0.3">
      <c r="C101" s="49" t="s">
        <v>162</v>
      </c>
      <c r="D101" s="50">
        <v>80.12</v>
      </c>
      <c r="E101" s="50">
        <v>88.46</v>
      </c>
    </row>
    <row r="102" spans="3:5" ht="14.25" thickBot="1" x14ac:dyDescent="0.3">
      <c r="C102" s="49" t="s">
        <v>163</v>
      </c>
      <c r="D102" s="50">
        <v>173.84</v>
      </c>
      <c r="E102" s="50">
        <v>191.94</v>
      </c>
    </row>
    <row r="104" spans="3:5" x14ac:dyDescent="0.25">
      <c r="C104" s="2" t="s">
        <v>164</v>
      </c>
    </row>
    <row r="105" spans="3:5" x14ac:dyDescent="0.25">
      <c r="C105" s="2" t="s">
        <v>165</v>
      </c>
    </row>
    <row r="106" spans="3:5" x14ac:dyDescent="0.25">
      <c r="C106" s="2" t="s">
        <v>166</v>
      </c>
    </row>
    <row r="107" spans="3:5" x14ac:dyDescent="0.25">
      <c r="C107" s="2" t="s">
        <v>167</v>
      </c>
    </row>
    <row r="108" spans="3:5" x14ac:dyDescent="0.25">
      <c r="C108" s="2" t="s">
        <v>168</v>
      </c>
    </row>
    <row r="109" spans="3:5" x14ac:dyDescent="0.25">
      <c r="C109" s="2" t="s">
        <v>169</v>
      </c>
    </row>
    <row r="110" spans="3:5" x14ac:dyDescent="0.25">
      <c r="C110" s="2" t="s">
        <v>170</v>
      </c>
    </row>
    <row r="111" spans="3:5" x14ac:dyDescent="0.25">
      <c r="C111" s="2" t="s">
        <v>171</v>
      </c>
    </row>
    <row r="112" spans="3:5" x14ac:dyDescent="0.25">
      <c r="C112" s="51" t="s">
        <v>172</v>
      </c>
    </row>
  </sheetData>
  <mergeCells count="1">
    <mergeCell ref="D96:E96"/>
  </mergeCells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08F0A-A7E0-499D-A620-47121C55BA14}">
  <dimension ref="C3:M17"/>
  <sheetViews>
    <sheetView workbookViewId="0">
      <selection activeCell="I5" sqref="I5"/>
    </sheetView>
  </sheetViews>
  <sheetFormatPr defaultRowHeight="15" x14ac:dyDescent="0.25"/>
  <cols>
    <col min="3" max="3" width="66.140625" bestFit="1" customWidth="1"/>
    <col min="4" max="4" width="7.1406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1" bestFit="1" customWidth="1"/>
    <col min="12" max="12" width="7.42578125" bestFit="1" customWidth="1"/>
    <col min="13" max="13" width="12" bestFit="1" customWidth="1"/>
  </cols>
  <sheetData>
    <row r="3" spans="3:13" ht="15.75" x14ac:dyDescent="0.25">
      <c r="C3" s="52" t="s">
        <v>173</v>
      </c>
      <c r="D3" s="53"/>
      <c r="E3" s="53"/>
      <c r="F3" s="53"/>
      <c r="G3" s="53"/>
      <c r="H3" s="53"/>
      <c r="I3" s="53"/>
      <c r="J3" s="53"/>
      <c r="K3" s="53"/>
      <c r="L3" s="53"/>
      <c r="M3" s="53"/>
    </row>
    <row r="4" spans="3:13" x14ac:dyDescent="0.25">
      <c r="C4" s="54" t="s">
        <v>174</v>
      </c>
      <c r="D4" s="63" t="s">
        <v>175</v>
      </c>
      <c r="E4" s="63"/>
      <c r="F4" s="63" t="s">
        <v>176</v>
      </c>
      <c r="G4" s="63"/>
      <c r="H4" s="63" t="s">
        <v>177</v>
      </c>
      <c r="I4" s="63"/>
      <c r="J4" s="64" t="s">
        <v>178</v>
      </c>
      <c r="K4" s="65"/>
      <c r="L4" s="66" t="s">
        <v>179</v>
      </c>
      <c r="M4" s="66"/>
    </row>
    <row r="5" spans="3:13" ht="63.75" x14ac:dyDescent="0.25">
      <c r="C5" s="55"/>
      <c r="D5" s="56" t="s">
        <v>180</v>
      </c>
      <c r="E5" s="56" t="s">
        <v>181</v>
      </c>
      <c r="F5" s="56" t="s">
        <v>180</v>
      </c>
      <c r="G5" s="56" t="s">
        <v>181</v>
      </c>
      <c r="H5" s="56" t="s">
        <v>180</v>
      </c>
      <c r="I5" s="56" t="s">
        <v>181</v>
      </c>
      <c r="J5" s="56" t="s">
        <v>180</v>
      </c>
      <c r="K5" s="56" t="s">
        <v>181</v>
      </c>
      <c r="L5" s="57" t="s">
        <v>180</v>
      </c>
      <c r="M5" s="57" t="s">
        <v>181</v>
      </c>
    </row>
    <row r="6" spans="3:13" x14ac:dyDescent="0.25">
      <c r="C6" s="58" t="s">
        <v>182</v>
      </c>
      <c r="D6" s="59">
        <v>-0.65210000000000001</v>
      </c>
      <c r="E6" s="60">
        <v>9934.7924699478335</v>
      </c>
      <c r="F6" s="59">
        <v>13.073600000000001</v>
      </c>
      <c r="G6" s="59">
        <v>14471.793177500622</v>
      </c>
      <c r="H6" s="59">
        <v>12.690200000000001</v>
      </c>
      <c r="I6" s="59">
        <v>18179.082797260846</v>
      </c>
      <c r="J6" s="59">
        <v>13.1418</v>
      </c>
      <c r="K6" s="59">
        <v>34408.876669285157</v>
      </c>
      <c r="L6" s="59">
        <v>11.5168</v>
      </c>
      <c r="M6" s="59">
        <v>175210</v>
      </c>
    </row>
    <row r="7" spans="3:13" x14ac:dyDescent="0.25">
      <c r="C7" s="58" t="s">
        <v>183</v>
      </c>
      <c r="D7" s="59">
        <v>3.6420634000000001</v>
      </c>
      <c r="E7" s="60">
        <v>10451.349999999999</v>
      </c>
      <c r="F7" s="59">
        <v>14.898593999999999</v>
      </c>
      <c r="G7" s="59">
        <v>15299.826624741781</v>
      </c>
      <c r="H7" s="59">
        <v>13.867887</v>
      </c>
      <c r="I7" s="59">
        <v>19308.337905193832</v>
      </c>
      <c r="J7" s="59">
        <v>14.434704</v>
      </c>
      <c r="K7" s="59">
        <v>19708.740451375717</v>
      </c>
      <c r="L7" s="59" t="s">
        <v>184</v>
      </c>
      <c r="M7" s="59" t="s">
        <v>184</v>
      </c>
    </row>
    <row r="8" spans="3:13" x14ac:dyDescent="0.25">
      <c r="C8" s="58" t="s">
        <v>185</v>
      </c>
      <c r="D8" s="60">
        <v>-0.27589999999999998</v>
      </c>
      <c r="E8" s="60">
        <v>9972.41</v>
      </c>
      <c r="F8" s="59">
        <v>11.1752</v>
      </c>
      <c r="G8" s="59">
        <v>13741.171444260912</v>
      </c>
      <c r="H8" s="59">
        <v>11.6852</v>
      </c>
      <c r="I8" s="59">
        <v>17377.133247119516</v>
      </c>
      <c r="J8" s="59">
        <v>13.1839</v>
      </c>
      <c r="K8" s="59">
        <v>18574.762612601593</v>
      </c>
      <c r="L8" s="59">
        <v>12.715999999999999</v>
      </c>
      <c r="M8" s="59">
        <v>367144.32654308015</v>
      </c>
    </row>
    <row r="9" spans="3:13" x14ac:dyDescent="0.25">
      <c r="C9" s="58" t="s">
        <v>186</v>
      </c>
      <c r="D9" s="69">
        <v>176.36</v>
      </c>
      <c r="E9" s="70"/>
      <c r="F9" s="67">
        <v>121.07</v>
      </c>
      <c r="G9" s="68"/>
      <c r="H9" s="67">
        <v>96.38</v>
      </c>
      <c r="I9" s="68"/>
      <c r="J9" s="67">
        <v>50.92</v>
      </c>
      <c r="K9" s="68"/>
      <c r="L9" s="67">
        <v>10</v>
      </c>
      <c r="M9" s="68"/>
    </row>
    <row r="11" spans="3:13" ht="15.75" x14ac:dyDescent="0.25">
      <c r="C11" s="52" t="s">
        <v>187</v>
      </c>
      <c r="D11" s="53"/>
      <c r="E11" s="53"/>
      <c r="F11" s="53"/>
      <c r="G11" s="53"/>
      <c r="H11" s="53"/>
      <c r="I11" s="53"/>
      <c r="J11" s="53"/>
      <c r="K11" s="53"/>
      <c r="L11" s="53"/>
      <c r="M11" s="53"/>
    </row>
    <row r="12" spans="3:13" x14ac:dyDescent="0.25">
      <c r="C12" s="54" t="s">
        <v>174</v>
      </c>
      <c r="D12" s="63" t="s">
        <v>175</v>
      </c>
      <c r="E12" s="63"/>
      <c r="F12" s="63" t="s">
        <v>176</v>
      </c>
      <c r="G12" s="63"/>
      <c r="H12" s="63" t="s">
        <v>177</v>
      </c>
      <c r="I12" s="63"/>
      <c r="J12" s="64" t="s">
        <v>178</v>
      </c>
      <c r="K12" s="65"/>
      <c r="L12" s="66" t="s">
        <v>179</v>
      </c>
      <c r="M12" s="66"/>
    </row>
    <row r="13" spans="3:13" ht="63.75" x14ac:dyDescent="0.25">
      <c r="C13" s="55"/>
      <c r="D13" s="56" t="s">
        <v>180</v>
      </c>
      <c r="E13" s="56" t="s">
        <v>181</v>
      </c>
      <c r="F13" s="56" t="s">
        <v>180</v>
      </c>
      <c r="G13" s="56" t="s">
        <v>181</v>
      </c>
      <c r="H13" s="56" t="s">
        <v>180</v>
      </c>
      <c r="I13" s="56" t="s">
        <v>181</v>
      </c>
      <c r="J13" s="56" t="s">
        <v>180</v>
      </c>
      <c r="K13" s="56" t="s">
        <v>181</v>
      </c>
      <c r="L13" s="57" t="s">
        <v>180</v>
      </c>
      <c r="M13" s="57" t="s">
        <v>181</v>
      </c>
    </row>
    <row r="14" spans="3:13" x14ac:dyDescent="0.25">
      <c r="C14" s="58" t="s">
        <v>182</v>
      </c>
      <c r="D14" s="59">
        <v>0.38</v>
      </c>
      <c r="E14" s="59">
        <v>10000</v>
      </c>
      <c r="F14" s="59">
        <v>13.785500000000001</v>
      </c>
      <c r="G14" s="59">
        <v>14747.598924318094</v>
      </c>
      <c r="H14" s="59">
        <v>13.432700000000001</v>
      </c>
      <c r="I14" s="59">
        <v>18786.33649799354</v>
      </c>
      <c r="J14" s="59">
        <v>13.9011</v>
      </c>
      <c r="K14" s="59">
        <v>36791.259344450831</v>
      </c>
      <c r="L14" s="59">
        <v>12.6889</v>
      </c>
      <c r="M14" s="59">
        <v>49609.71827345567</v>
      </c>
    </row>
    <row r="15" spans="3:13" x14ac:dyDescent="0.25">
      <c r="C15" s="58" t="s">
        <v>183</v>
      </c>
      <c r="D15" s="59">
        <v>3.6420634000000001</v>
      </c>
      <c r="E15" s="59">
        <v>10451.349999999999</v>
      </c>
      <c r="F15" s="59">
        <v>14.898593999999999</v>
      </c>
      <c r="G15" s="59">
        <v>15299.826624741781</v>
      </c>
      <c r="H15" s="59">
        <v>13.867887</v>
      </c>
      <c r="I15" s="59">
        <v>19308.337905193832</v>
      </c>
      <c r="J15" s="59">
        <v>14.434704</v>
      </c>
      <c r="K15" s="59">
        <v>19708.740451375717</v>
      </c>
      <c r="L15" s="59">
        <v>13.578295000000001</v>
      </c>
      <c r="M15" s="59">
        <v>59609.092467454604</v>
      </c>
    </row>
    <row r="16" spans="3:13" x14ac:dyDescent="0.25">
      <c r="C16" s="58" t="s">
        <v>185</v>
      </c>
      <c r="D16" s="59">
        <v>-0.27589999999999998</v>
      </c>
      <c r="E16" s="59">
        <v>9972.41</v>
      </c>
      <c r="F16" s="59">
        <v>11.1752</v>
      </c>
      <c r="G16" s="59">
        <v>13741.171444260912</v>
      </c>
      <c r="H16" s="59">
        <v>11.6852</v>
      </c>
      <c r="I16" s="59">
        <v>17377.133247119516</v>
      </c>
      <c r="J16" s="59">
        <v>13.1839</v>
      </c>
      <c r="K16" s="59">
        <v>18574.762612601593</v>
      </c>
      <c r="L16" s="59">
        <v>12.2995</v>
      </c>
      <c r="M16" s="59">
        <v>46947.480187600027</v>
      </c>
    </row>
    <row r="17" spans="3:13" x14ac:dyDescent="0.25">
      <c r="C17" s="58" t="s">
        <v>188</v>
      </c>
      <c r="D17" s="67">
        <v>191.94</v>
      </c>
      <c r="E17" s="68"/>
      <c r="F17" s="67">
        <v>130.15</v>
      </c>
      <c r="G17" s="68"/>
      <c r="H17" s="67">
        <v>102.17</v>
      </c>
      <c r="I17" s="68"/>
      <c r="J17" s="67">
        <v>52.17</v>
      </c>
      <c r="K17" s="68"/>
      <c r="L17" s="67">
        <v>38.69</v>
      </c>
      <c r="M17" s="68"/>
    </row>
  </sheetData>
  <mergeCells count="20">
    <mergeCell ref="D9:E9"/>
    <mergeCell ref="F9:G9"/>
    <mergeCell ref="H9:I9"/>
    <mergeCell ref="J9:K9"/>
    <mergeCell ref="L9:M9"/>
    <mergeCell ref="D4:E4"/>
    <mergeCell ref="F4:G4"/>
    <mergeCell ref="H4:I4"/>
    <mergeCell ref="J4:K4"/>
    <mergeCell ref="L4:M4"/>
    <mergeCell ref="D17:E17"/>
    <mergeCell ref="F17:G17"/>
    <mergeCell ref="H17:I17"/>
    <mergeCell ref="J17:K17"/>
    <mergeCell ref="L17:M17"/>
    <mergeCell ref="D12:E12"/>
    <mergeCell ref="F12:G12"/>
    <mergeCell ref="H12:I12"/>
    <mergeCell ref="J12:K12"/>
    <mergeCell ref="L12:M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TTS</vt:lpstr>
      <vt:lpstr>TTS Performance</vt:lpstr>
      <vt:lpstr>XDO_?CLASS_3?7?</vt:lpstr>
      <vt:lpstr>XDO_?FINAL_ISIN?16?</vt:lpstr>
      <vt:lpstr>XDO_?FINAL_ISIN?17?</vt:lpstr>
      <vt:lpstr>XDO_?FINAL_MV?16?</vt:lpstr>
      <vt:lpstr>XDO_?FINAL_MV?17?</vt:lpstr>
      <vt:lpstr>XDO_?FINAL_NAME?16?</vt:lpstr>
      <vt:lpstr>XDO_?FINAL_NAME?17?</vt:lpstr>
      <vt:lpstr>XDO_?FINAL_PER_NET?16?</vt:lpstr>
      <vt:lpstr>XDO_?FINAL_PER_NET?17?</vt:lpstr>
      <vt:lpstr>XDO_?FINAL_QUANTITE?16?</vt:lpstr>
      <vt:lpstr>XDO_?FINAL_QUANTITE?17?</vt:lpstr>
      <vt:lpstr>XDO_?IND_01?16?</vt:lpstr>
      <vt:lpstr>XDO_?IND_01?17?</vt:lpstr>
      <vt:lpstr>XDO_?NAMCNAME?7?</vt:lpstr>
      <vt:lpstr>XDO_?NOVAL?16?</vt:lpstr>
      <vt:lpstr>XDO_?NOVAL?17?</vt:lpstr>
      <vt:lpstr>XDO_?NPTF?7?</vt:lpstr>
      <vt:lpstr>XDO_?RATING?16?</vt:lpstr>
      <vt:lpstr>XDO_?RATING?17?</vt:lpstr>
      <vt:lpstr>XDO_?REMARKS?16?</vt:lpstr>
      <vt:lpstr>XDO_?REMARKS?17?</vt:lpstr>
      <vt:lpstr>XDO_?TITL?7?</vt:lpstr>
      <vt:lpstr>XDO_GROUP_?G_2?7?</vt:lpstr>
      <vt:lpstr>XDO_GROUP_?G_3?7?</vt:lpstr>
      <vt:lpstr>XDO_GROUP_?G_4?16?</vt:lpstr>
      <vt:lpstr>XDO_GROUP_?G_4?17?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Rohini-Yadav</dc:creator>
  <cp:lastModifiedBy>Gangaram Bharat Chavan</cp:lastModifiedBy>
  <dcterms:created xsi:type="dcterms:W3CDTF">2026-05-06T13:08:04Z</dcterms:created>
  <dcterms:modified xsi:type="dcterms:W3CDTF">2026-05-07T05:34:20Z</dcterms:modified>
</cp:coreProperties>
</file>