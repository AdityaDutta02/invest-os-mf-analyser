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A4A55CD8-98AB-4333-9896-D3C43C7BD1AB}" xr6:coauthVersionLast="47" xr6:coauthVersionMax="47" xr10:uidLastSave="{00000000-0000-0000-0000-000000000000}"/>
  <bookViews>
    <workbookView xWindow="-120" yWindow="-120" windowWidth="20730" windowHeight="11040" xr2:uid="{1DAF42A5-20AC-457D-AA0F-D4A69B0B93BB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TISF!$C$8:$C$45</definedName>
    <definedName name="XDO_?FINAL_ISIN?8?">TISF!$D$10:$D$45</definedName>
    <definedName name="XDO_?FINAL_ISIN?9?">TISF!$D$10:$D$89</definedName>
    <definedName name="XDO_?FINAL_MV?8?">TISF!$H$10:$H$45</definedName>
    <definedName name="XDO_?FINAL_MV?9?">TISF!$H$10:$H$89</definedName>
    <definedName name="XDO_?FINAL_NAME?8?">TISF!$C$10:$C$45</definedName>
    <definedName name="XDO_?FINAL_NAME?9?">TISF!$C$10:$C$89</definedName>
    <definedName name="XDO_?FINAL_PER_NET?8?">TISF!$I$10:$I$45</definedName>
    <definedName name="XDO_?FINAL_PER_NET?9?">TISF!$I$10:$I$89</definedName>
    <definedName name="XDO_?FINAL_QUANTITE?8?">TISF!$G$10:$G$45</definedName>
    <definedName name="XDO_?FINAL_QUANTITE?9?">TISF!$G$10:$G$89</definedName>
    <definedName name="XDO_?IND_01?8?">TISF!$F$10:$F$45</definedName>
    <definedName name="XDO_?IND_01?9?">TISF!$F$10:$F$89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TISF!$B$10:$B$45</definedName>
    <definedName name="XDO_?NOVAL?9?">TISF!$B$10:$B$89</definedName>
    <definedName name="XDO_?NPTF?4?">TISF!$D$2:$D$45</definedName>
    <definedName name="XDO_?RATING?8?">TISF!$E$10:$E$45</definedName>
    <definedName name="XDO_?RATING?9?">TISF!$E$10:$E$89</definedName>
    <definedName name="XDO_?REMARKS?8?">TISF!$J$10:$J$45</definedName>
    <definedName name="XDO_?REMARKS?9?">TISF!$J$10:$J$89</definedName>
    <definedName name="XDO_?TITL?4?">TISF!$A$8:$A$45</definedName>
    <definedName name="XDO_GROUP_?G_2?4?">TISF!$2:$92</definedName>
    <definedName name="XDO_GROUP_?G_3?4?">TISF!$8:$91</definedName>
    <definedName name="XDO_GROUP_?G_4?8?">TISF!$B$10:$IV$45</definedName>
    <definedName name="XDO_GROUP_?G_4?9?">TISF!$B$89:$IV$89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<sst xmlns="http://schemas.openxmlformats.org/spreadsheetml/2006/main" count="280" uniqueCount="205">
  <si>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</si>
  <si>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</si>
  <si>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</si>
  <si>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</si>
  <si>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</si>
  <si>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</si>
  <si>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</si>
  <si>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</si>
  <si>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</si>
  <si>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</si>
  <si>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</si>
  <si>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</si>
  <si>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</si>
  <si>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</si>
  <si>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</si>
  <si>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</si>
  <si>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</si>
  <si>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</si>
  <si>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</si>
  <si>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</si>
  <si>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</si>
  <si>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</si>
  <si>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</si>
  <si>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</si>
  <si>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</si>
  <si>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</si>
  <si>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</si>
  <si>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</si>
  <si>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</si>
  <si>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</si>
  <si>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102206</t>
  </si>
  <si>
    <t>Chemtech Industrial Valves Ltd.</t>
  </si>
  <si>
    <t>INE212P01011</t>
  </si>
  <si>
    <t>Industrial Manufacturing</t>
  </si>
  <si>
    <t>100082</t>
  </si>
  <si>
    <t>Ultratech Cement Ltd.</t>
  </si>
  <si>
    <t>INE481G01011</t>
  </si>
  <si>
    <t>Cement &amp; Cement Products</t>
  </si>
  <si>
    <t>100302</t>
  </si>
  <si>
    <t>DLF Ltd.</t>
  </si>
  <si>
    <t>INE271C01023</t>
  </si>
  <si>
    <t>Realty</t>
  </si>
  <si>
    <t>102060</t>
  </si>
  <si>
    <t>Tarc Ltd.</t>
  </si>
  <si>
    <t>INE0EK901012</t>
  </si>
  <si>
    <t>100177</t>
  </si>
  <si>
    <t>Grasim Industries Ltd.</t>
  </si>
  <si>
    <t>INE047A01021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</si>
  <si>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</si>
  <si>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</si>
  <si>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</si>
  <si>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</si>
  <si>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</si>
  <si>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</si>
  <si>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</si>
  <si>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100094</t>
  </si>
  <si>
    <t>Bharat Petroleum Corporation Ltd.</t>
  </si>
  <si>
    <t>INE029A01011</t>
  </si>
  <si>
    <t>100843</t>
  </si>
  <si>
    <t>Dalmia Bharat Ltd.</t>
  </si>
  <si>
    <t>INE00R701025</t>
  </si>
  <si>
    <t>100292</t>
  </si>
  <si>
    <t>Steel Authority of India Ltd.</t>
  </si>
  <si>
    <t>INE114A01011</t>
  </si>
  <si>
    <t>Ferrous Metals</t>
  </si>
  <si>
    <t>100169</t>
  </si>
  <si>
    <t>Indian Oil Corporation Ltd.</t>
  </si>
  <si>
    <t>INE242A01010</t>
  </si>
  <si>
    <t>102220</t>
  </si>
  <si>
    <t>Interarch Building Products Ltd.</t>
  </si>
  <si>
    <t>INE00M901018</t>
  </si>
  <si>
    <t>100752</t>
  </si>
  <si>
    <t>Praj Industries Ltd.</t>
  </si>
  <si>
    <t>INE074A01025</t>
  </si>
  <si>
    <t>100365</t>
  </si>
  <si>
    <t>Ashok Leyland Ltd.</t>
  </si>
  <si>
    <t>INE208A01029</t>
  </si>
  <si>
    <t>Agricultural, Commercial &amp; Construction Vehicles</t>
  </si>
  <si>
    <t>101489</t>
  </si>
  <si>
    <t>Data Patterns (India) Ltd.</t>
  </si>
  <si>
    <t>INE0IX101010</t>
  </si>
  <si>
    <t>Aerospace &amp; Defense</t>
  </si>
  <si>
    <t>100174</t>
  </si>
  <si>
    <t>Vodafone Idea Ltd.</t>
  </si>
  <si>
    <t>INE669E01016</t>
  </si>
  <si>
    <t>101800</t>
  </si>
  <si>
    <t>Hindware Home Innovation Ltd.</t>
  </si>
  <si>
    <t>INE05AN01011</t>
  </si>
  <si>
    <t>Consumer Durables</t>
  </si>
  <si>
    <t>100498</t>
  </si>
  <si>
    <t>Ahluwalia Contracts (India) Ltd.</t>
  </si>
  <si>
    <t>INE758C01029</t>
  </si>
  <si>
    <t>100111</t>
  </si>
  <si>
    <t>Oil &amp; Natural Gas Corporation Ltd.</t>
  </si>
  <si>
    <t>INE213A01029</t>
  </si>
  <si>
    <t>Oil</t>
  </si>
  <si>
    <t>100014</t>
  </si>
  <si>
    <t>Mahindra &amp; Mahindra Ltd.</t>
  </si>
  <si>
    <t>INE101A01026</t>
  </si>
  <si>
    <t>Automobiles</t>
  </si>
  <si>
    <t>100083</t>
  </si>
  <si>
    <t>Samvardhana Motherson International Ltd.</t>
  </si>
  <si>
    <t>INE775A01035</t>
  </si>
  <si>
    <t>Auto Components</t>
  </si>
  <si>
    <t>100362</t>
  </si>
  <si>
    <t>JSW Energy Ltd.</t>
  </si>
  <si>
    <t>INE121E01018</t>
  </si>
  <si>
    <t>100006</t>
  </si>
  <si>
    <t>HDFC Bank Ltd.</t>
  </si>
  <si>
    <t>INE040A01034</t>
  </si>
  <si>
    <t>Banks</t>
  </si>
  <si>
    <t>102520</t>
  </si>
  <si>
    <t>Transrail Lighting Ltd.</t>
  </si>
  <si>
    <t>INE454P01035</t>
  </si>
  <si>
    <t>Electrical Equipment</t>
  </si>
  <si>
    <t>100809</t>
  </si>
  <si>
    <t>Rites Ltd.</t>
  </si>
  <si>
    <t>INE320J01015</t>
  </si>
  <si>
    <t>100263</t>
  </si>
  <si>
    <t>BEML Ltd.</t>
  </si>
  <si>
    <t>INE258A01016</t>
  </si>
  <si>
    <t>100632</t>
  </si>
  <si>
    <t>Apar Industries Ltd.</t>
  </si>
  <si>
    <t>INE372A01015</t>
  </si>
  <si>
    <t>102094</t>
  </si>
  <si>
    <t>HBL Engineering Ltd.</t>
  </si>
  <si>
    <t>INE292B01021</t>
  </si>
  <si>
    <t>Industrial Products</t>
  </si>
  <si>
    <t>100440</t>
  </si>
  <si>
    <t>Birla Corporation Ltd.</t>
  </si>
  <si>
    <t>INE340A01012</t>
  </si>
  <si>
    <t>100078</t>
  </si>
  <si>
    <t>Sanghi Industries Ltd.</t>
  </si>
  <si>
    <t>INE999B01013</t>
  </si>
  <si>
    <t>102449</t>
  </si>
  <si>
    <t>Swiggy Ltd.</t>
  </si>
  <si>
    <t>INE00H001014</t>
  </si>
  <si>
    <t>Retailing</t>
  </si>
  <si>
    <t>100659</t>
  </si>
  <si>
    <t>Visaka Industries Ltd.</t>
  </si>
  <si>
    <t>INE392A01021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</si>
  <si>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</si>
  <si>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</si>
  <si>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</si>
  <si>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</si>
  <si>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</si>
  <si>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</si>
  <si>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</si>
  <si>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</si>
  <si>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</si>
  <si>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</si>
  <si>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</si>
  <si>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</si>
  <si>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</si>
  <si>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</si>
  <si>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</si>
  <si>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</si>
  <si>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</si>
  <si>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</si>
  <si>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</si>
  <si>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</si>
  <si>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</si>
  <si>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</si>
  <si>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</si>
  <si>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</si>
  <si>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</si>
  <si>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</si>
  <si>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</si>
  <si>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</si>
  <si>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</si>
  <si>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</si>
  <si>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</si>
  <si>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</si>
  <si>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</si>
  <si>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</si>
  <si>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</si>
  <si>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</si>
  <si>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</si>
  <si>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</si>
  <si>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</si>
  <si>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</si>
  <si>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</si>
  <si>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</si>
  <si>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</si>
  <si>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</si>
  <si>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</si>
  <si>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0.74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</si>
  <si>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</si>
  <si>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</si>
  <si>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</si>
  <si>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</si>
  <si>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</si>
  <si>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</si>
  <si>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</si>
  <si>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</si>
  <si>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</si>
  <si>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</si>
  <si>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</si>
  <si>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</si>
  <si>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</si>
  <si>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</si>
  <si>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</si>
  <si>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April 30,2025 :62.46)</t>
  </si>
  <si>
    <t>Taurus Infrastructure Fund - Direct Plan Growth Option</t>
  </si>
  <si>
    <t>NAV [Rs.] Per Unit (as on April 30,2025 :66.94)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</si>
</sst>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805B994-A4DE-482E-91FB-10D458151B98}"/>
    <cellStyle name="Hyperlink" xfId="2" builtinId="8"/>
    <cellStyle name="Normal" xfId="0" builtinId="0"/>
    <cellStyle name="Normal 2" xfId="4" xr:uid="{1A83B153-4A30-456C-A182-213A238DC24C}"/>
    <cellStyle name="Style 1" xfId="3" xr:uid="{FDCE6D9B-AFDD-40E6-8010-3BDFFE197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18B0AA07-FC44-4F4A-80F7-776C50835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9C7E-095A-445B-821F-190E4F861D92}"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91.32</v>
      </c>
      <c r="I10" s="32">
        <v>10.39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5416</v>
      </c>
      <c r="H11" s="32">
        <v>76.28</v>
      </c>
      <c r="I11" s="32">
        <v>8.68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57.42</v>
      </c>
      <c r="I12" s="32">
        <v>6.53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45.19</v>
      </c>
      <c r="I13" s="32">
        <v>5.14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25000</v>
      </c>
      <c r="H14" s="32">
        <v>33.06</v>
      </c>
      <c r="I14" s="32">
        <v>3.76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280</v>
      </c>
      <c r="H15" s="32">
        <v>32.590000000000003</v>
      </c>
      <c r="I15" s="32">
        <v>3.71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4454</v>
      </c>
      <c r="H16" s="32">
        <v>30.01</v>
      </c>
      <c r="I16" s="32">
        <v>3.41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41</v>
      </c>
      <c r="G17" s="31">
        <v>18003</v>
      </c>
      <c r="H17" s="32">
        <v>27.82</v>
      </c>
      <c r="I17" s="32">
        <v>3.17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37</v>
      </c>
      <c r="G18" s="31">
        <v>1015</v>
      </c>
      <c r="H18" s="32">
        <v>27.77</v>
      </c>
      <c r="I18" s="32">
        <v>3.16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7687</v>
      </c>
      <c r="H19" s="32">
        <v>27.25</v>
      </c>
      <c r="I19" s="32">
        <v>3.1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51</v>
      </c>
      <c r="G20" s="31">
        <v>8677</v>
      </c>
      <c r="H20" s="32">
        <v>26.61</v>
      </c>
      <c r="I20" s="32">
        <v>3.03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7604</v>
      </c>
      <c r="H21" s="32">
        <v>23.58</v>
      </c>
      <c r="I21" s="32">
        <v>2.68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37</v>
      </c>
      <c r="G22" s="31">
        <v>1208</v>
      </c>
      <c r="H22" s="32">
        <v>23.53</v>
      </c>
      <c r="I22" s="32">
        <v>2.68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20533</v>
      </c>
      <c r="H23" s="32">
        <v>23.3</v>
      </c>
      <c r="I23" s="32">
        <v>2.65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22</v>
      </c>
      <c r="G24" s="31">
        <v>16067</v>
      </c>
      <c r="H24" s="32">
        <v>22.16</v>
      </c>
      <c r="I24" s="32">
        <v>2.52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26</v>
      </c>
      <c r="G25" s="31">
        <v>1361</v>
      </c>
      <c r="H25" s="32">
        <v>21.64</v>
      </c>
      <c r="I25" s="32">
        <v>2.46</v>
      </c>
      <c r="J25" s="33"/>
    </row>
    <row r="26" spans="2:10" x14ac:dyDescent="0.25">
      <c r="B26" s="1" t="s">
        <v>71</v>
      </c>
      <c r="C26" s="20" t="s">
        <v>72</v>
      </c>
      <c r="D26" s="29" t="s">
        <v>73</v>
      </c>
      <c r="E26" s="30"/>
      <c r="F26" s="30" t="s">
        <v>33</v>
      </c>
      <c r="G26" s="31">
        <v>4394</v>
      </c>
      <c r="H26" s="32">
        <v>20.25</v>
      </c>
      <c r="I26" s="32">
        <v>2.2999999999999998</v>
      </c>
      <c r="J26" s="33"/>
    </row>
    <row r="27" spans="2:10" x14ac:dyDescent="0.25">
      <c r="B27" s="1" t="s">
        <v>74</v>
      </c>
      <c r="C27" s="20" t="s">
        <v>75</v>
      </c>
      <c r="D27" s="29" t="s">
        <v>76</v>
      </c>
      <c r="E27" s="30"/>
      <c r="F27" s="30" t="s">
        <v>77</v>
      </c>
      <c r="G27" s="31">
        <v>8546</v>
      </c>
      <c r="H27" s="32">
        <v>19.260000000000002</v>
      </c>
      <c r="I27" s="32">
        <v>2.19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746</v>
      </c>
      <c r="H28" s="32">
        <v>18.55</v>
      </c>
      <c r="I28" s="32">
        <v>2.11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18</v>
      </c>
      <c r="G29" s="31">
        <v>255518</v>
      </c>
      <c r="H29" s="32">
        <v>18.190000000000001</v>
      </c>
      <c r="I29" s="32">
        <v>2.0699999999999998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8872</v>
      </c>
      <c r="H30" s="32">
        <v>17.7</v>
      </c>
      <c r="I30" s="32">
        <v>2.0099999999999998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26</v>
      </c>
      <c r="G31" s="31">
        <v>2005</v>
      </c>
      <c r="H31" s="32">
        <v>16.97</v>
      </c>
      <c r="I31" s="32">
        <v>1.93</v>
      </c>
      <c r="J31" s="33"/>
    </row>
    <row r="32" spans="2:10" x14ac:dyDescent="0.25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6894</v>
      </c>
      <c r="H32" s="32">
        <v>16.84</v>
      </c>
      <c r="I32" s="32">
        <v>1.92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523</v>
      </c>
      <c r="H33" s="32">
        <v>15.3</v>
      </c>
      <c r="I33" s="32">
        <v>1.74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11000</v>
      </c>
      <c r="H34" s="32">
        <v>14.66</v>
      </c>
      <c r="I34" s="32">
        <v>1.67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51</v>
      </c>
      <c r="G35" s="31">
        <v>3031</v>
      </c>
      <c r="H35" s="32">
        <v>14.52</v>
      </c>
      <c r="I35" s="32">
        <v>1.65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702</v>
      </c>
      <c r="H36" s="32">
        <v>13.5</v>
      </c>
      <c r="I36" s="32">
        <v>1.54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2896</v>
      </c>
      <c r="H37" s="32">
        <v>13.34</v>
      </c>
      <c r="I37" s="32">
        <v>1.52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26</v>
      </c>
      <c r="G38" s="31">
        <v>5803</v>
      </c>
      <c r="H38" s="32">
        <v>13.06</v>
      </c>
      <c r="I38" s="32">
        <v>1.49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77</v>
      </c>
      <c r="G39" s="31">
        <v>280</v>
      </c>
      <c r="H39" s="32">
        <v>8.85</v>
      </c>
      <c r="I39" s="32">
        <v>1.01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114</v>
      </c>
      <c r="G40" s="31">
        <v>150</v>
      </c>
      <c r="H40" s="32">
        <v>8.4</v>
      </c>
      <c r="I40" s="32">
        <v>0.96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1620</v>
      </c>
      <c r="H41" s="32">
        <v>7.8</v>
      </c>
      <c r="I41" s="32">
        <v>0.89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37</v>
      </c>
      <c r="G42" s="31">
        <v>578</v>
      </c>
      <c r="H42" s="32">
        <v>6.12</v>
      </c>
      <c r="I42" s="32">
        <v>0.7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37</v>
      </c>
      <c r="G43" s="31">
        <v>10000</v>
      </c>
      <c r="H43" s="32">
        <v>6.03</v>
      </c>
      <c r="I43" s="32">
        <v>0.69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1503</v>
      </c>
      <c r="H44" s="32">
        <v>4.75</v>
      </c>
      <c r="I44" s="32">
        <v>0.54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37</v>
      </c>
      <c r="G45" s="31">
        <v>5600</v>
      </c>
      <c r="H45" s="32">
        <v>3.45</v>
      </c>
      <c r="I45" s="32">
        <v>0.39</v>
      </c>
      <c r="J45" s="33"/>
    </row>
    <row r="46" spans="2:10" x14ac:dyDescent="0.25">
      <c r="C46" s="28" t="s">
        <v>141</v>
      </c>
      <c r="D46" s="29"/>
      <c r="E46" s="30"/>
      <c r="F46" s="30"/>
      <c r="G46" s="31"/>
      <c r="H46" s="35">
        <v>847.07</v>
      </c>
      <c r="I46" s="35">
        <v>96.39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142</v>
      </c>
      <c r="D48" s="29"/>
      <c r="E48" s="30"/>
      <c r="F48" s="30"/>
      <c r="G48" s="31"/>
      <c r="H48" s="32" t="s">
        <v>143</v>
      </c>
      <c r="I48" s="32" t="s">
        <v>143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144</v>
      </c>
      <c r="D50" s="29"/>
      <c r="E50" s="30"/>
      <c r="F50" s="30"/>
      <c r="G50" s="31"/>
      <c r="H50" s="32" t="s">
        <v>143</v>
      </c>
      <c r="I50" s="32" t="s">
        <v>143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145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146</v>
      </c>
      <c r="D54" s="29"/>
      <c r="E54" s="30"/>
      <c r="F54" s="30"/>
      <c r="G54" s="31"/>
      <c r="H54" s="32" t="s">
        <v>143</v>
      </c>
      <c r="I54" s="32" t="s">
        <v>143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147</v>
      </c>
      <c r="D56" s="29"/>
      <c r="E56" s="30"/>
      <c r="F56" s="30"/>
      <c r="G56" s="31"/>
      <c r="H56" s="32" t="s">
        <v>143</v>
      </c>
      <c r="I56" s="32" t="s">
        <v>143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148</v>
      </c>
      <c r="D58" s="29"/>
      <c r="E58" s="30"/>
      <c r="F58" s="30"/>
      <c r="G58" s="31"/>
      <c r="H58" s="32" t="s">
        <v>143</v>
      </c>
      <c r="I58" s="32" t="s">
        <v>143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149</v>
      </c>
      <c r="D60" s="29"/>
      <c r="E60" s="30"/>
      <c r="F60" s="30"/>
      <c r="G60" s="31"/>
      <c r="H60" s="32" t="s">
        <v>143</v>
      </c>
      <c r="I60" s="32" t="s">
        <v>143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150</v>
      </c>
      <c r="D62" s="29"/>
      <c r="E62" s="30"/>
      <c r="F62" s="30"/>
      <c r="G62" s="31"/>
      <c r="H62" s="32" t="s">
        <v>143</v>
      </c>
      <c r="I62" s="32" t="s">
        <v>143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151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152</v>
      </c>
      <c r="D66" s="29"/>
      <c r="E66" s="30"/>
      <c r="F66" s="30"/>
      <c r="G66" s="31"/>
      <c r="H66" s="32" t="s">
        <v>143</v>
      </c>
      <c r="I66" s="32" t="s">
        <v>143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153</v>
      </c>
      <c r="D68" s="29"/>
      <c r="E68" s="30"/>
      <c r="F68" s="30"/>
      <c r="G68" s="31"/>
      <c r="H68" s="32" t="s">
        <v>143</v>
      </c>
      <c r="I68" s="32" t="s">
        <v>143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154</v>
      </c>
      <c r="D70" s="29"/>
      <c r="E70" s="30"/>
      <c r="F70" s="30"/>
      <c r="G70" s="31"/>
      <c r="H70" s="32" t="s">
        <v>143</v>
      </c>
      <c r="I70" s="32" t="s">
        <v>143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155</v>
      </c>
      <c r="D72" s="29"/>
      <c r="E72" s="30"/>
      <c r="F72" s="30"/>
      <c r="G72" s="31"/>
      <c r="H72" s="32" t="s">
        <v>143</v>
      </c>
      <c r="I72" s="32" t="s">
        <v>143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156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157</v>
      </c>
      <c r="D76" s="29"/>
      <c r="E76" s="30"/>
      <c r="F76" s="30"/>
      <c r="G76" s="31"/>
      <c r="H76" s="32" t="s">
        <v>143</v>
      </c>
      <c r="I76" s="32" t="s">
        <v>143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158</v>
      </c>
      <c r="D78" s="29"/>
      <c r="E78" s="30"/>
      <c r="F78" s="30"/>
      <c r="G78" s="31"/>
      <c r="H78" s="32" t="s">
        <v>143</v>
      </c>
      <c r="I78" s="32" t="s">
        <v>143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159</v>
      </c>
      <c r="D80" s="29"/>
      <c r="E80" s="30"/>
      <c r="F80" s="30"/>
      <c r="G80" s="31"/>
      <c r="H80" s="32" t="s">
        <v>143</v>
      </c>
      <c r="I80" s="32" t="s">
        <v>143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160</v>
      </c>
      <c r="D82" s="29"/>
      <c r="E82" s="30"/>
      <c r="F82" s="30"/>
      <c r="G82" s="31"/>
      <c r="H82" s="32" t="s">
        <v>143</v>
      </c>
      <c r="I82" s="32" t="s">
        <v>143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161</v>
      </c>
      <c r="D84" s="29"/>
      <c r="E84" s="30"/>
      <c r="F84" s="30"/>
      <c r="G84" s="31"/>
      <c r="H84" s="32" t="s">
        <v>143</v>
      </c>
      <c r="I84" s="32" t="s">
        <v>143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162</v>
      </c>
      <c r="D86" s="29"/>
      <c r="E86" s="30"/>
      <c r="F86" s="30"/>
      <c r="G86" s="31"/>
      <c r="H86" s="32" t="s">
        <v>143</v>
      </c>
      <c r="I86" s="32" t="s">
        <v>143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163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164</v>
      </c>
      <c r="D89" s="29"/>
      <c r="E89" s="30"/>
      <c r="F89" s="30"/>
      <c r="G89" s="31"/>
      <c r="H89" s="32">
        <v>31.71</v>
      </c>
      <c r="I89" s="32">
        <v>3.61</v>
      </c>
      <c r="J89" s="33"/>
    </row>
    <row r="90" spans="1:10" x14ac:dyDescent="0.25">
      <c r="C90" s="28" t="s">
        <v>141</v>
      </c>
      <c r="D90" s="29"/>
      <c r="E90" s="30"/>
      <c r="F90" s="30"/>
      <c r="G90" s="31"/>
      <c r="H90" s="35">
        <v>31.71</v>
      </c>
      <c r="I90" s="35">
        <v>3.61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165</v>
      </c>
      <c r="D92" s="37"/>
      <c r="E92" s="38"/>
      <c r="F92" s="39"/>
      <c r="G92" s="40"/>
      <c r="H92" s="41">
        <v>878.78</v>
      </c>
      <c r="I92" s="41">
        <f>SUMIFS(I:I,C:C,"Total")</f>
        <v>100</v>
      </c>
      <c r="J92" s="42"/>
    </row>
    <row r="95" spans="1:10" x14ac:dyDescent="0.25">
      <c r="C95" s="11" t="s">
        <v>166</v>
      </c>
    </row>
    <row r="96" spans="1:10" x14ac:dyDescent="0.25">
      <c r="C96" s="2" t="s">
        <v>167</v>
      </c>
    </row>
    <row r="97" spans="3:5" x14ac:dyDescent="0.25">
      <c r="C97" s="2" t="s">
        <v>168</v>
      </c>
    </row>
    <row r="98" spans="3:5" x14ac:dyDescent="0.25">
      <c r="C98" s="2" t="s">
        <v>169</v>
      </c>
    </row>
    <row r="99" spans="3:5" x14ac:dyDescent="0.25">
      <c r="C99" s="2" t="s">
        <v>170</v>
      </c>
    </row>
    <row r="100" spans="3:5" x14ac:dyDescent="0.25">
      <c r="C100" s="2" t="s">
        <v>171</v>
      </c>
    </row>
    <row r="101" spans="3:5" x14ac:dyDescent="0.25">
      <c r="C101" s="2" t="s">
        <v>172</v>
      </c>
    </row>
    <row r="102" spans="3:5" x14ac:dyDescent="0.25">
      <c r="D102" s="2" t="s">
        <v>173</v>
      </c>
    </row>
    <row r="103" spans="3:5" x14ac:dyDescent="0.25">
      <c r="C103" s="2" t="s">
        <v>174</v>
      </c>
      <c r="D103" s="2" t="s">
        <v>175</v>
      </c>
      <c r="E103" s="2" t="s">
        <v>175</v>
      </c>
    </row>
    <row r="104" spans="3:5" x14ac:dyDescent="0.25">
      <c r="D104" s="2" t="s">
        <v>176</v>
      </c>
      <c r="E104" s="2" t="s">
        <v>177</v>
      </c>
    </row>
    <row r="105" spans="3:5" x14ac:dyDescent="0.25">
      <c r="C105" s="2" t="s">
        <v>178</v>
      </c>
      <c r="D105" s="2">
        <v>56.85</v>
      </c>
      <c r="E105" s="2">
        <v>58.66</v>
      </c>
    </row>
    <row r="106" spans="3:5" x14ac:dyDescent="0.25">
      <c r="C106" s="2" t="s">
        <v>179</v>
      </c>
      <c r="D106" s="2">
        <v>60.53</v>
      </c>
      <c r="E106" s="2">
        <v>62.46</v>
      </c>
    </row>
    <row r="107" spans="3:5" x14ac:dyDescent="0.25">
      <c r="C107" s="2" t="s">
        <v>180</v>
      </c>
      <c r="D107" s="2">
        <v>60.41</v>
      </c>
      <c r="E107" s="2">
        <v>62.34</v>
      </c>
    </row>
    <row r="108" spans="3:5" x14ac:dyDescent="0.25">
      <c r="C108" s="2" t="s">
        <v>181</v>
      </c>
      <c r="D108" s="2">
        <v>64.87</v>
      </c>
      <c r="E108" s="2">
        <v>66.94</v>
      </c>
    </row>
    <row r="110" spans="3:5" x14ac:dyDescent="0.25">
      <c r="C110" s="2" t="s">
        <v>182</v>
      </c>
    </row>
    <row r="111" spans="3:5" x14ac:dyDescent="0.25">
      <c r="C111" s="2" t="s">
        <v>183</v>
      </c>
    </row>
    <row r="112" spans="3:5" x14ac:dyDescent="0.25">
      <c r="C112" s="2" t="s">
        <v>184</v>
      </c>
    </row>
    <row r="113" spans="3:3" x14ac:dyDescent="0.25">
      <c r="C113" s="2" t="s">
        <v>185</v>
      </c>
    </row>
    <row r="114" spans="3:3" x14ac:dyDescent="0.25">
      <c r="C114" s="2" t="s">
        <v>186</v>
      </c>
    </row>
    <row r="115" spans="3:3" x14ac:dyDescent="0.25">
      <c r="C115" s="2" t="s">
        <v>187</v>
      </c>
    </row>
    <row r="116" spans="3:3" x14ac:dyDescent="0.25">
      <c r="C116" s="2" t="s">
        <v>188</v>
      </c>
    </row>
    <row r="117" spans="3:3" x14ac:dyDescent="0.25">
      <c r="C117" s="2" t="s">
        <v>189</v>
      </c>
    </row>
    <row r="118" spans="3:3" x14ac:dyDescent="0.25">
      <c r="C118" s="2" t="s">
        <v>190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ED02-70C1-4D19-9316-73670F8EA04D}">
  <dimension ref="C3:K17"/>
  <sheetViews>
    <sheetView workbookViewId="0"/>
  </sheetViews>
  <sheetFormatPr defaultRowHeight="15" x14ac:dyDescent="0.25"/>
  <cols>
    <col min="3" max="3" width="43.710937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191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192</v>
      </c>
      <c r="D4" s="46" t="s">
        <v>193</v>
      </c>
      <c r="E4" s="46"/>
      <c r="F4" s="46" t="s">
        <v>194</v>
      </c>
      <c r="G4" s="46"/>
      <c r="H4" s="46" t="s">
        <v>195</v>
      </c>
      <c r="I4" s="46"/>
      <c r="J4" s="47" t="s">
        <v>196</v>
      </c>
      <c r="K4" s="47"/>
    </row>
    <row r="5" spans="3:11" ht="63.75" x14ac:dyDescent="0.25">
      <c r="C5" s="48"/>
      <c r="D5" s="49" t="s">
        <v>197</v>
      </c>
      <c r="E5" s="49" t="s">
        <v>198</v>
      </c>
      <c r="F5" s="49" t="s">
        <v>197</v>
      </c>
      <c r="G5" s="49" t="s">
        <v>198</v>
      </c>
      <c r="H5" s="49" t="s">
        <v>197</v>
      </c>
      <c r="I5" s="49" t="s">
        <v>198</v>
      </c>
      <c r="J5" s="50" t="s">
        <v>197</v>
      </c>
      <c r="K5" s="50" t="s">
        <v>198</v>
      </c>
    </row>
    <row r="6" spans="3:11" x14ac:dyDescent="0.25">
      <c r="C6" s="51" t="s">
        <v>199</v>
      </c>
      <c r="D6" s="52">
        <v>-3.6111</v>
      </c>
      <c r="E6" s="52">
        <v>9638.8888888888887</v>
      </c>
      <c r="F6" s="52">
        <v>16.303699999999999</v>
      </c>
      <c r="G6" s="52">
        <v>15744.895386942273</v>
      </c>
      <c r="H6" s="52">
        <v>24.225899999999999</v>
      </c>
      <c r="I6" s="52">
        <v>29601.895734597154</v>
      </c>
      <c r="J6" s="52">
        <v>10.6098</v>
      </c>
      <c r="K6" s="52">
        <v>62460</v>
      </c>
    </row>
    <row r="7" spans="3:11" x14ac:dyDescent="0.25">
      <c r="C7" s="51" t="s">
        <v>200</v>
      </c>
      <c r="D7" s="52">
        <v>3.2772999999999999</v>
      </c>
      <c r="E7" s="52">
        <v>10327.73</v>
      </c>
      <c r="F7" s="52">
        <v>20.623999999999999</v>
      </c>
      <c r="G7" s="52">
        <v>17550.972183306239</v>
      </c>
      <c r="H7" s="52">
        <v>27.561399999999999</v>
      </c>
      <c r="I7" s="52">
        <v>33775.07990337487</v>
      </c>
      <c r="J7" s="52">
        <v>7.7184999999999997</v>
      </c>
      <c r="K7" s="52">
        <v>38603.066888688307</v>
      </c>
    </row>
    <row r="8" spans="3:11" x14ac:dyDescent="0.25">
      <c r="C8" s="51" t="s">
        <v>201</v>
      </c>
      <c r="D8" s="52">
        <v>9.0107999999999997</v>
      </c>
      <c r="E8" s="52">
        <v>10901.08</v>
      </c>
      <c r="F8" s="52">
        <v>13.784000000000001</v>
      </c>
      <c r="G8" s="52">
        <v>14731.385382743036</v>
      </c>
      <c r="H8" s="52">
        <v>21.163399999999999</v>
      </c>
      <c r="I8" s="52">
        <v>26113.029444944637</v>
      </c>
      <c r="J8" s="52">
        <v>12.4526</v>
      </c>
      <c r="K8" s="52">
        <v>84327.497272695779</v>
      </c>
    </row>
    <row r="9" spans="3:11" x14ac:dyDescent="0.25">
      <c r="C9" s="51" t="s">
        <v>202</v>
      </c>
      <c r="D9" s="53">
        <v>64.8</v>
      </c>
      <c r="E9" s="54"/>
      <c r="F9" s="53">
        <v>39.67</v>
      </c>
      <c r="G9" s="54"/>
      <c r="H9" s="53">
        <v>21.1</v>
      </c>
      <c r="I9" s="54"/>
      <c r="J9" s="53">
        <v>10</v>
      </c>
      <c r="K9" s="54"/>
    </row>
    <row r="11" spans="3:11" ht="15.75" x14ac:dyDescent="0.25">
      <c r="C11" s="43" t="s">
        <v>203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192</v>
      </c>
      <c r="D12" s="46" t="s">
        <v>193</v>
      </c>
      <c r="E12" s="46"/>
      <c r="F12" s="46" t="s">
        <v>194</v>
      </c>
      <c r="G12" s="46"/>
      <c r="H12" s="46" t="s">
        <v>195</v>
      </c>
      <c r="I12" s="46"/>
      <c r="J12" s="47" t="s">
        <v>196</v>
      </c>
      <c r="K12" s="47"/>
    </row>
    <row r="13" spans="3:11" ht="63.75" x14ac:dyDescent="0.25">
      <c r="C13" s="48"/>
      <c r="D13" s="49" t="s">
        <v>197</v>
      </c>
      <c r="E13" s="49" t="s">
        <v>198</v>
      </c>
      <c r="F13" s="49" t="s">
        <v>197</v>
      </c>
      <c r="G13" s="49" t="s">
        <v>198</v>
      </c>
      <c r="H13" s="49" t="s">
        <v>197</v>
      </c>
      <c r="I13" s="49" t="s">
        <v>198</v>
      </c>
      <c r="J13" s="50" t="s">
        <v>197</v>
      </c>
      <c r="K13" s="50" t="s">
        <v>198</v>
      </c>
    </row>
    <row r="14" spans="3:11" x14ac:dyDescent="0.25">
      <c r="C14" s="51" t="s">
        <v>199</v>
      </c>
      <c r="D14" s="52">
        <v>-3.1960000000000002</v>
      </c>
      <c r="E14" s="52">
        <v>9680.4049168474321</v>
      </c>
      <c r="F14" s="52">
        <v>16.822900000000001</v>
      </c>
      <c r="G14" s="52">
        <v>15957.091775923718</v>
      </c>
      <c r="H14" s="52">
        <v>24.752400000000002</v>
      </c>
      <c r="I14" s="52">
        <v>30234.869015356817</v>
      </c>
      <c r="J14" s="52">
        <v>14.277799999999999</v>
      </c>
      <c r="K14" s="52">
        <v>52215.288611544456</v>
      </c>
    </row>
    <row r="15" spans="3:11" x14ac:dyDescent="0.25">
      <c r="C15" s="51" t="s">
        <v>200</v>
      </c>
      <c r="D15" s="52">
        <v>3.2772999999999999</v>
      </c>
      <c r="E15" s="52">
        <v>10327.73</v>
      </c>
      <c r="F15" s="52">
        <v>20.623999999999999</v>
      </c>
      <c r="G15" s="52">
        <v>17550.972183306239</v>
      </c>
      <c r="H15" s="52">
        <v>27.561399999999999</v>
      </c>
      <c r="I15" s="52">
        <v>33775.07990337487</v>
      </c>
      <c r="J15" s="52">
        <v>11.779500000000001</v>
      </c>
      <c r="K15" s="52">
        <v>39480.108715343988</v>
      </c>
    </row>
    <row r="16" spans="3:11" x14ac:dyDescent="0.25">
      <c r="C16" s="51" t="s">
        <v>201</v>
      </c>
      <c r="D16" s="52">
        <v>9.0107999999999997</v>
      </c>
      <c r="E16" s="52">
        <v>10901.08</v>
      </c>
      <c r="F16" s="52">
        <v>13.784000000000001</v>
      </c>
      <c r="G16" s="52">
        <v>14731.385382743036</v>
      </c>
      <c r="H16" s="52">
        <v>21.163399999999999</v>
      </c>
      <c r="I16" s="52">
        <v>26113.029444944637</v>
      </c>
      <c r="J16" s="52">
        <v>13.3863</v>
      </c>
      <c r="K16" s="52">
        <v>47077.588855750313</v>
      </c>
    </row>
    <row r="17" spans="3:11" x14ac:dyDescent="0.25">
      <c r="C17" s="51" t="s">
        <v>204</v>
      </c>
      <c r="D17" s="53">
        <v>69.150000000000006</v>
      </c>
      <c r="E17" s="54"/>
      <c r="F17" s="53">
        <v>41.95</v>
      </c>
      <c r="G17" s="54"/>
      <c r="H17" s="53">
        <v>22.14</v>
      </c>
      <c r="I17" s="54"/>
      <c r="J17" s="53">
        <v>12.82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2025-05-05T13:57:41Z</dcterms:created>
  <dcterms:modified xsi:type="dcterms:W3CDTF">2025-05-07T08:49:35Z</dcterms:modified>
</cp:coreProperties>
</file>