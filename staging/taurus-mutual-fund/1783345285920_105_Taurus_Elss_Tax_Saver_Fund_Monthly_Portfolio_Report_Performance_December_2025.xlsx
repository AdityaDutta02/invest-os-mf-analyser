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0. Jan 2025\Monthly Portfolio\Ops\"/>
    </mc:Choice>
  </mc:AlternateContent>
  <xr:revisionPtr revIDLastSave="0" documentId="13_ncr:1_{1248308E-A1EF-4802-AACA-76C6F8C92426}" xr6:coauthVersionLast="47" xr6:coauthVersionMax="47" xr10:uidLastSave="{00000000-0000-0000-0000-000000000000}"/>
  <bookViews>
    <workbookView xWindow="-120" yWindow="-120" windowWidth="20730" windowHeight="11040" xr2:uid="{D42E2010-F7F2-4644-B1D3-EEDBC20950FF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TTS!$C$8:$C$39</definedName>
    <definedName name="XDO_?FINAL_ISIN?16?">TTS!$D$10:$D$39</definedName>
    <definedName name="XDO_?FINAL_ISIN?17?">TTS!$D$10:$D$83</definedName>
    <definedName name="XDO_?FINAL_MV?16?">TTS!$H$10:$H$39</definedName>
    <definedName name="XDO_?FINAL_MV?17?">TTS!$H$10:$H$83</definedName>
    <definedName name="XDO_?FINAL_NAME?16?">TTS!$C$10:$C$39</definedName>
    <definedName name="XDO_?FINAL_NAME?17?">TTS!$C$10:$C$83</definedName>
    <definedName name="XDO_?FINAL_PER_NET?16?">TTS!$I$10:$I$39</definedName>
    <definedName name="XDO_?FINAL_PER_NET?17?">TTS!$I$10:$I$83</definedName>
    <definedName name="XDO_?FINAL_QUANTITE?16?">TTS!$G$10:$G$39</definedName>
    <definedName name="XDO_?FINAL_QUANTITE?17?">TTS!$G$10:$G$83</definedName>
    <definedName name="XDO_?IND_01?16?">TTS!$F$10:$F$39</definedName>
    <definedName name="XDO_?IND_01?17?">TTS!$F$10:$F$83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TTS!$C$2:$C$39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6?">TTS!$B$10:$B$39</definedName>
    <definedName name="XDO_?NOVAL?17?">TTS!$B$10:$B$83</definedName>
    <definedName name="XDO_?NPTF?7?">TTS!$D$2:$D$39</definedName>
    <definedName name="XDO_?RATING?16?">TTS!$E$10:$E$39</definedName>
    <definedName name="XDO_?RATING?17?">TTS!$E$10:$E$83</definedName>
    <definedName name="XDO_?REMARKS?16?">TTS!$J$10:$J$39</definedName>
    <definedName name="XDO_?REMARKS?17?">TTS!$J$10:$J$83</definedName>
    <definedName name="XDO_?TITL?7?">TTS!$A$8:$A$39</definedName>
    <definedName name="XDO_GROUP_?G_2?7?">TTS!$2:$86</definedName>
    <definedName name="XDO_GROUP_?G_3?7?">TTS!$8:$85</definedName>
    <definedName name="XDO_GROUP_?G_4?16?">TTS!$B$10:$IV$39</definedName>
    <definedName name="XDO_GROUP_?G_4?17?">TTS!$B$83:$IV$83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1" l="1"/>
</calcChain>
</file>

<file path=xl/sharedStrings.xml><?xml version="1.0" encoding="utf-8"?>
<sst xmlns="http://schemas.openxmlformats.org/spreadsheetml/2006/main" count="264" uniqueCount="191">
  <si>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</si>
  <si>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</si>
  <si>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</si>
  <si>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</si>
  <si>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</si>
  <si>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</si>
  <si>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</si>
  <si>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</si>
  <si>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</si>
  <si>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</si>
  <si>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</si>
  <si>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</si>
  <si>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</si>
  <si>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</si>
  <si>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</si>
  <si>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</si>
  <si>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</si>
  <si>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</si>
  <si>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</si>
  <si>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</si>
  <si>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</si>
  <si>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</si>
  <si>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</si>
  <si>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</si>
  <si>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</si>
  <si>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</si>
  <si>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</si>
  <si>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</si>
  <si>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</si>
  <si>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</si>
  <si>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100474</t>
  </si>
  <si>
    <t>Narayana Hrudayalaya Ltd.</t>
  </si>
  <si>
    <t>INE410P01011</t>
  </si>
  <si>
    <t>Healthcare Services</t>
  </si>
  <si>
    <t>100694</t>
  </si>
  <si>
    <t>Indian Energy Exchange Ltd.</t>
  </si>
  <si>
    <t>INE022Q01020</t>
  </si>
  <si>
    <t>Capital Markets</t>
  </si>
  <si>
    <t>100182</t>
  </si>
  <si>
    <t>Power Grid Corporation of India Ltd.</t>
  </si>
  <si>
    <t>INE752E01010</t>
  </si>
  <si>
    <t>Power</t>
  </si>
  <si>
    <t>102663</t>
  </si>
  <si>
    <t>Pace Digitek Ltd.</t>
  </si>
  <si>
    <t>INE0S3G01027</t>
  </si>
  <si>
    <t>Telecom - Services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</si>
  <si>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</si>
  <si>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</si>
  <si>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</si>
  <si>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</si>
  <si>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</si>
  <si>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</si>
  <si>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</si>
  <si>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100155</t>
  </si>
  <si>
    <t>Divi's Laboratories Ltd.</t>
  </si>
  <si>
    <t>INE361B01024</t>
  </si>
  <si>
    <t>Pharmaceuticals &amp; Biotechnology</t>
  </si>
  <si>
    <t>100014</t>
  </si>
  <si>
    <t>Mahindra &amp; Mahindra Ltd.</t>
  </si>
  <si>
    <t>INE101A01026</t>
  </si>
  <si>
    <t>Automobiles</t>
  </si>
  <si>
    <t>100037</t>
  </si>
  <si>
    <t>HCL Technologies Ltd.</t>
  </si>
  <si>
    <t>INE860A01027</t>
  </si>
  <si>
    <t>IT - Software</t>
  </si>
  <si>
    <t>101365</t>
  </si>
  <si>
    <t>Voltamp Transformers Ltd.</t>
  </si>
  <si>
    <t>INE540H01012</t>
  </si>
  <si>
    <t>Electrical Equipment</t>
  </si>
  <si>
    <t>100153</t>
  </si>
  <si>
    <t>Cipla Ltd.</t>
  </si>
  <si>
    <t>INE059A01026</t>
  </si>
  <si>
    <t>100389</t>
  </si>
  <si>
    <t>Zydus Wellness Ltd.</t>
  </si>
  <si>
    <t>INE768C01028</t>
  </si>
  <si>
    <t>Food Products</t>
  </si>
  <si>
    <t>100095</t>
  </si>
  <si>
    <t>Bharti Airtel Ltd.</t>
  </si>
  <si>
    <t>INE397D01024</t>
  </si>
  <si>
    <t>101184</t>
  </si>
  <si>
    <t>Mazagon Dock Shipbuilders Ltd.</t>
  </si>
  <si>
    <t>INE249Z01020</t>
  </si>
  <si>
    <t>Industrial Manufacturing</t>
  </si>
  <si>
    <t>100003</t>
  </si>
  <si>
    <t>Infosys Ltd.</t>
  </si>
  <si>
    <t>INE009A01021</t>
  </si>
  <si>
    <t>100100</t>
  </si>
  <si>
    <t>Hindustan Petroleum Corporation Ltd.</t>
  </si>
  <si>
    <t>INE094A01015</t>
  </si>
  <si>
    <t>Petroleum Products</t>
  </si>
  <si>
    <t>100133</t>
  </si>
  <si>
    <t>Oracle Financial Services Software Ltd.</t>
  </si>
  <si>
    <t>INE881D01027</t>
  </si>
  <si>
    <t>100083</t>
  </si>
  <si>
    <t>Samvardhana Motherson International Ltd.</t>
  </si>
  <si>
    <t>INE775A01035</t>
  </si>
  <si>
    <t>Auto Components</t>
  </si>
  <si>
    <t>100194</t>
  </si>
  <si>
    <t>Power Finance Corporation Ltd.</t>
  </si>
  <si>
    <t>INE134E01011</t>
  </si>
  <si>
    <t>100172</t>
  </si>
  <si>
    <t>ACC Ltd.</t>
  </si>
  <si>
    <t>INE012A01025</t>
  </si>
  <si>
    <t>Cement &amp; Cement Products</t>
  </si>
  <si>
    <t>100177</t>
  </si>
  <si>
    <t>Grasim Industries Ltd.</t>
  </si>
  <si>
    <t>INE047A01021</t>
  </si>
  <si>
    <t>100035</t>
  </si>
  <si>
    <t>NMDC Ltd.</t>
  </si>
  <si>
    <t>INE584A01023</t>
  </si>
  <si>
    <t>Minerals &amp; Mining</t>
  </si>
  <si>
    <t>102729</t>
  </si>
  <si>
    <t>Park Medi World Ltd.</t>
  </si>
  <si>
    <t>INE119201023</t>
  </si>
  <si>
    <t>101550</t>
  </si>
  <si>
    <t>Life Insurance Corporation of India</t>
  </si>
  <si>
    <t>INE0J1Y01017</t>
  </si>
  <si>
    <t>Insurance</t>
  </si>
  <si>
    <t>102206</t>
  </si>
  <si>
    <t>Chemtech Industrial Valves Ltd.</t>
  </si>
  <si>
    <t>INE212P01011</t>
  </si>
  <si>
    <t>101967</t>
  </si>
  <si>
    <t>Globus Spirits Ltd.</t>
  </si>
  <si>
    <t>INE615I01010</t>
  </si>
  <si>
    <t>Beverages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</si>
  <si>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</si>
  <si>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</si>
  <si>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</si>
  <si>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</si>
  <si>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</si>
  <si>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</si>
  <si>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</si>
  <si>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</si>
  <si>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</si>
  <si>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</si>
  <si>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</si>
  <si>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</si>
  <si>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</si>
  <si>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</si>
  <si>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</si>
  <si>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</si>
  <si>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</si>
  <si>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</si>
  <si>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</si>
  <si>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</si>
  <si>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</si>
  <si>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</si>
  <si>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</si>
  <si>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</si>
  <si>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</si>
  <si>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</si>
  <si>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</si>
  <si>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</si>
  <si>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</si>
  <si>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</si>
  <si>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</si>
  <si>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</si>
  <si>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</si>
  <si>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</si>
  <si>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</si>
  <si>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November 30, 2025</t>
  </si>
  <si>
    <t>December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</si>
  <si>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</si>
  <si>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</si>
  <si>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</si>
  <si>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</si>
  <si>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December 31, 2025.</t>
  </si>
  <si>
    <t>7. The Scheme did not declare any bonus during the month ended as on December 31, 2025.</t>
  </si>
  <si>
    <t>8. Total outstanding exposure in derivative instruments as on December 31, 2025 is Nil</t>
  </si>
  <si>
    <t>9. Total investments in Foreign Securities /ADRs/GDRs /Overseas ETFs as on December 31, 2025 and its percentage to NAV is Nil.</t>
  </si>
  <si>
    <t>10. During the period, the portfolio turnover ratio is 0.80 times.</t>
  </si>
  <si>
    <t>      Portfolio Turnover Ratio = Lower of sales or purchase of securities divided by average AUM for 12 months ended as on December 31, 2025</t>
  </si>
  <si>
    <t>11. The Scheme did not invest in repo transactions of corporate debt securities during the month ended as on December 31, 2025.</t>
  </si>
  <si>
    <t>12. The Scheme did not invest in credit default swaps during the month ended as on December 31, 2025.</t>
  </si>
  <si>
    <t>13. There are Nil instances of deviation from the valuation principles/guidelines during the month ended as on December 31st, 2025.</t>
  </si>
  <si>
    <t>Taurus Elss Tax Saver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</si>
  <si>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</si>
  <si>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</si>
  <si>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</si>
  <si>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</si>
  <si>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</si>
  <si>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</si>
  <si>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</si>
  <si>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</si>
  <si>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</si>
  <si>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</si>
  <si>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</si>
  <si>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</si>
  <si>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December 31,2025 :183.72)</t>
  </si>
  <si>
    <t>Taurus Elss Tax Saver Fund - Direct Plan Growth Option</t>
  </si>
  <si>
    <t>NAV [Rs.] Per Unit (as on December 31,2025 :200.82)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</si>
</sst>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167" fontId="1" fillId="0" borderId="25" xfId="1" applyNumberFormat="1" applyBorder="1" applyAlignment="1">
      <alignment horizontal="center"/>
    </xf>
    <xf numFmtId="167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F3F65894-661C-4360-BD25-D9D97B495889}"/>
    <cellStyle name="Hyperlink" xfId="2" builtinId="8"/>
    <cellStyle name="Normal" xfId="0" builtinId="0"/>
    <cellStyle name="Normal 2" xfId="4" xr:uid="{4E958CF1-21BD-4BD0-A7B0-0C23018BEF44}"/>
    <cellStyle name="Style 1" xfId="3" xr:uid="{8E118673-94F1-485D-B7B9-C9A25D6D9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416813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id="{9F64578C-467A-421F-869B-A02A64E8B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7020813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Dec_2025\Final\TMF_Monthly_Portfolio_Report_Dec_25.xls" TargetMode="External"/><Relationship Id="rId1" Type="http://schemas.openxmlformats.org/officeDocument/2006/relationships/externalLinkPath" Target="file:///Q:\5.TMF\Reporting\Monthly%20Reports\Monthly%20Portfolio\2025-26\Dec_2025\Final\TMF_Monthly_Portfolio_Report_Dec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C76F-16D3-43FF-A6B5-D9CA57B33556}">
  <dimension ref="A1:BB11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5" width="20.42578125" style="2" bestFit="1" customWidth="1"/>
    <col min="6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1" width="20.42578125" style="2" bestFit="1" customWidth="1"/>
    <col min="262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7" width="20.42578125" style="2" bestFit="1" customWidth="1"/>
    <col min="518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3" width="20.42578125" style="2" bestFit="1" customWidth="1"/>
    <col min="774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9" width="20.42578125" style="2" bestFit="1" customWidth="1"/>
    <col min="1030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5" width="20.42578125" style="2" bestFit="1" customWidth="1"/>
    <col min="1286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1" width="20.42578125" style="2" bestFit="1" customWidth="1"/>
    <col min="1542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7" width="20.42578125" style="2" bestFit="1" customWidth="1"/>
    <col min="1798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3" width="20.42578125" style="2" bestFit="1" customWidth="1"/>
    <col min="2054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9" width="20.42578125" style="2" bestFit="1" customWidth="1"/>
    <col min="2310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5" width="20.42578125" style="2" bestFit="1" customWidth="1"/>
    <col min="2566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1" width="20.42578125" style="2" bestFit="1" customWidth="1"/>
    <col min="2822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7" width="20.42578125" style="2" bestFit="1" customWidth="1"/>
    <col min="3078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3" width="20.42578125" style="2" bestFit="1" customWidth="1"/>
    <col min="3334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9" width="20.42578125" style="2" bestFit="1" customWidth="1"/>
    <col min="3590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5" width="20.42578125" style="2" bestFit="1" customWidth="1"/>
    <col min="3846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1" width="20.42578125" style="2" bestFit="1" customWidth="1"/>
    <col min="4102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7" width="20.42578125" style="2" bestFit="1" customWidth="1"/>
    <col min="4358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3" width="20.42578125" style="2" bestFit="1" customWidth="1"/>
    <col min="4614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9" width="20.42578125" style="2" bestFit="1" customWidth="1"/>
    <col min="4870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5" width="20.42578125" style="2" bestFit="1" customWidth="1"/>
    <col min="5126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1" width="20.42578125" style="2" bestFit="1" customWidth="1"/>
    <col min="5382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7" width="20.42578125" style="2" bestFit="1" customWidth="1"/>
    <col min="5638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3" width="20.42578125" style="2" bestFit="1" customWidth="1"/>
    <col min="5894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9" width="20.42578125" style="2" bestFit="1" customWidth="1"/>
    <col min="6150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5" width="20.42578125" style="2" bestFit="1" customWidth="1"/>
    <col min="6406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1" width="20.42578125" style="2" bestFit="1" customWidth="1"/>
    <col min="6662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7" width="20.42578125" style="2" bestFit="1" customWidth="1"/>
    <col min="6918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3" width="20.42578125" style="2" bestFit="1" customWidth="1"/>
    <col min="7174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9" width="20.42578125" style="2" bestFit="1" customWidth="1"/>
    <col min="7430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5" width="20.42578125" style="2" bestFit="1" customWidth="1"/>
    <col min="7686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1" width="20.42578125" style="2" bestFit="1" customWidth="1"/>
    <col min="7942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7" width="20.42578125" style="2" bestFit="1" customWidth="1"/>
    <col min="8198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3" width="20.42578125" style="2" bestFit="1" customWidth="1"/>
    <col min="8454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9" width="20.42578125" style="2" bestFit="1" customWidth="1"/>
    <col min="8710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5" width="20.42578125" style="2" bestFit="1" customWidth="1"/>
    <col min="8966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1" width="20.42578125" style="2" bestFit="1" customWidth="1"/>
    <col min="9222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7" width="20.42578125" style="2" bestFit="1" customWidth="1"/>
    <col min="9478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3" width="20.42578125" style="2" bestFit="1" customWidth="1"/>
    <col min="9734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9" width="20.42578125" style="2" bestFit="1" customWidth="1"/>
    <col min="9990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5" width="20.42578125" style="2" bestFit="1" customWidth="1"/>
    <col min="10246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1" width="20.42578125" style="2" bestFit="1" customWidth="1"/>
    <col min="10502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7" width="20.42578125" style="2" bestFit="1" customWidth="1"/>
    <col min="10758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3" width="20.42578125" style="2" bestFit="1" customWidth="1"/>
    <col min="11014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9" width="20.42578125" style="2" bestFit="1" customWidth="1"/>
    <col min="11270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5" width="20.42578125" style="2" bestFit="1" customWidth="1"/>
    <col min="11526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1" width="20.42578125" style="2" bestFit="1" customWidth="1"/>
    <col min="11782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7" width="20.42578125" style="2" bestFit="1" customWidth="1"/>
    <col min="12038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3" width="20.42578125" style="2" bestFit="1" customWidth="1"/>
    <col min="12294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9" width="20.42578125" style="2" bestFit="1" customWidth="1"/>
    <col min="12550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5" width="20.42578125" style="2" bestFit="1" customWidth="1"/>
    <col min="12806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1" width="20.42578125" style="2" bestFit="1" customWidth="1"/>
    <col min="13062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7" width="20.42578125" style="2" bestFit="1" customWidth="1"/>
    <col min="13318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3" width="20.42578125" style="2" bestFit="1" customWidth="1"/>
    <col min="13574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9" width="20.42578125" style="2" bestFit="1" customWidth="1"/>
    <col min="13830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5" width="20.42578125" style="2" bestFit="1" customWidth="1"/>
    <col min="14086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1" width="20.42578125" style="2" bestFit="1" customWidth="1"/>
    <col min="14342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7" width="20.42578125" style="2" bestFit="1" customWidth="1"/>
    <col min="14598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3" width="20.42578125" style="2" bestFit="1" customWidth="1"/>
    <col min="14854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9" width="20.42578125" style="2" bestFit="1" customWidth="1"/>
    <col min="15110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5" width="20.42578125" style="2" bestFit="1" customWidth="1"/>
    <col min="15366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1" width="20.42578125" style="2" bestFit="1" customWidth="1"/>
    <col min="15622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7" width="20.42578125" style="2" bestFit="1" customWidth="1"/>
    <col min="15878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3" width="20.42578125" style="2" bestFit="1" customWidth="1"/>
    <col min="16134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69220</v>
      </c>
      <c r="H10" s="32">
        <v>686.49</v>
      </c>
      <c r="I10" s="32">
        <v>9.06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147908</v>
      </c>
      <c r="H11" s="32">
        <v>596.07000000000005</v>
      </c>
      <c r="I11" s="32">
        <v>7.87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588.61</v>
      </c>
      <c r="I12" s="32">
        <v>7.77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36470</v>
      </c>
      <c r="H13" s="32">
        <v>489.76</v>
      </c>
      <c r="I13" s="32">
        <v>6.47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19453</v>
      </c>
      <c r="H14" s="32">
        <v>367.85</v>
      </c>
      <c r="I14" s="32">
        <v>4.8600000000000003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270045</v>
      </c>
      <c r="H15" s="32">
        <v>362.54</v>
      </c>
      <c r="I15" s="32">
        <v>4.79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134399</v>
      </c>
      <c r="H16" s="32">
        <v>355.55</v>
      </c>
      <c r="I16" s="32">
        <v>4.6900000000000004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182716</v>
      </c>
      <c r="H17" s="32">
        <v>344.51</v>
      </c>
      <c r="I17" s="32">
        <v>4.55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18</v>
      </c>
      <c r="G18" s="31">
        <v>22908</v>
      </c>
      <c r="H18" s="32">
        <v>290.63</v>
      </c>
      <c r="I18" s="32">
        <v>3.84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70025</v>
      </c>
      <c r="H19" s="32">
        <v>279.5</v>
      </c>
      <c r="I19" s="32">
        <v>3.69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4308</v>
      </c>
      <c r="H20" s="32">
        <v>275.48</v>
      </c>
      <c r="I20" s="32">
        <v>3.64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7337</v>
      </c>
      <c r="H21" s="32">
        <v>272.17</v>
      </c>
      <c r="I21" s="32">
        <v>3.59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14191</v>
      </c>
      <c r="H22" s="32">
        <v>230.51</v>
      </c>
      <c r="I22" s="32">
        <v>3.04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2883</v>
      </c>
      <c r="H23" s="32">
        <v>226.11</v>
      </c>
      <c r="I23" s="32">
        <v>2.98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56</v>
      </c>
      <c r="G24" s="31">
        <v>13798</v>
      </c>
      <c r="H24" s="32">
        <v>208.47</v>
      </c>
      <c r="I24" s="32">
        <v>2.75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42227</v>
      </c>
      <c r="H25" s="32">
        <v>192.75</v>
      </c>
      <c r="I25" s="32">
        <v>2.54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45</v>
      </c>
      <c r="G26" s="31">
        <v>8882</v>
      </c>
      <c r="H26" s="32">
        <v>187.03</v>
      </c>
      <c r="I26" s="32">
        <v>2.4700000000000002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6727</v>
      </c>
      <c r="H27" s="32">
        <v>167.52</v>
      </c>
      <c r="I27" s="32">
        <v>2.21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64</v>
      </c>
      <c r="G28" s="31">
        <v>10325</v>
      </c>
      <c r="H28" s="32">
        <v>166.9</v>
      </c>
      <c r="I28" s="32">
        <v>2.2000000000000002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31987</v>
      </c>
      <c r="H29" s="32">
        <v>159.62</v>
      </c>
      <c r="I29" s="32">
        <v>2.11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64</v>
      </c>
      <c r="G30" s="31">
        <v>1912</v>
      </c>
      <c r="H30" s="32">
        <v>147.04</v>
      </c>
      <c r="I30" s="32">
        <v>1.94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107347</v>
      </c>
      <c r="H31" s="32">
        <v>128.71</v>
      </c>
      <c r="I31" s="32">
        <v>1.7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26</v>
      </c>
      <c r="G32" s="31">
        <v>34916</v>
      </c>
      <c r="H32" s="32">
        <v>124.09</v>
      </c>
      <c r="I32" s="32">
        <v>1.64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6581</v>
      </c>
      <c r="H33" s="32">
        <v>114.29</v>
      </c>
      <c r="I33" s="32">
        <v>1.51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103</v>
      </c>
      <c r="G34" s="31">
        <v>3981</v>
      </c>
      <c r="H34" s="32">
        <v>112.66</v>
      </c>
      <c r="I34" s="32">
        <v>1.49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114700</v>
      </c>
      <c r="H35" s="32">
        <v>95.4</v>
      </c>
      <c r="I35" s="32">
        <v>1.26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33</v>
      </c>
      <c r="G36" s="31">
        <v>52544</v>
      </c>
      <c r="H36" s="32">
        <v>77.03</v>
      </c>
      <c r="I36" s="32">
        <v>1.02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8000</v>
      </c>
      <c r="H37" s="32">
        <v>68.37</v>
      </c>
      <c r="I37" s="32">
        <v>0.9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82</v>
      </c>
      <c r="G38" s="31">
        <v>50000</v>
      </c>
      <c r="H38" s="32">
        <v>40.229999999999997</v>
      </c>
      <c r="I38" s="32">
        <v>0.53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1720</v>
      </c>
      <c r="H39" s="32">
        <v>18.37</v>
      </c>
      <c r="I39" s="32">
        <v>0.24</v>
      </c>
      <c r="J39" s="33"/>
    </row>
    <row r="40" spans="2:10" x14ac:dyDescent="0.25">
      <c r="C40" s="28" t="s">
        <v>125</v>
      </c>
      <c r="D40" s="29"/>
      <c r="E40" s="30"/>
      <c r="F40" s="30"/>
      <c r="G40" s="31"/>
      <c r="H40" s="35">
        <v>7374.26</v>
      </c>
      <c r="I40" s="35">
        <v>97.35</v>
      </c>
      <c r="J40" s="33"/>
    </row>
    <row r="41" spans="2:10" x14ac:dyDescent="0.25">
      <c r="C41" s="20"/>
      <c r="D41" s="29"/>
      <c r="E41" s="30"/>
      <c r="F41" s="30"/>
      <c r="G41" s="31"/>
      <c r="H41" s="32"/>
      <c r="I41" s="32"/>
      <c r="J41" s="33"/>
    </row>
    <row r="42" spans="2:10" x14ac:dyDescent="0.25">
      <c r="C42" s="28" t="s">
        <v>126</v>
      </c>
      <c r="D42" s="29"/>
      <c r="E42" s="30"/>
      <c r="F42" s="30"/>
      <c r="G42" s="31"/>
      <c r="H42" s="32" t="s">
        <v>127</v>
      </c>
      <c r="I42" s="32" t="s">
        <v>127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128</v>
      </c>
      <c r="D44" s="29"/>
      <c r="E44" s="30"/>
      <c r="F44" s="30"/>
      <c r="G44" s="31"/>
      <c r="H44" s="32" t="s">
        <v>127</v>
      </c>
      <c r="I44" s="32" t="s">
        <v>127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129</v>
      </c>
      <c r="D46" s="29"/>
      <c r="E46" s="30"/>
      <c r="F46" s="30"/>
      <c r="G46" s="31"/>
      <c r="H46" s="32"/>
      <c r="I46" s="32"/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130</v>
      </c>
      <c r="D48" s="29"/>
      <c r="E48" s="30"/>
      <c r="F48" s="30"/>
      <c r="G48" s="31"/>
      <c r="H48" s="32" t="s">
        <v>127</v>
      </c>
      <c r="I48" s="32" t="s">
        <v>127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131</v>
      </c>
      <c r="D50" s="29"/>
      <c r="E50" s="30"/>
      <c r="F50" s="30"/>
      <c r="G50" s="31"/>
      <c r="H50" s="32" t="s">
        <v>127</v>
      </c>
      <c r="I50" s="32" t="s">
        <v>127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132</v>
      </c>
      <c r="D52" s="29"/>
      <c r="E52" s="30"/>
      <c r="F52" s="30"/>
      <c r="G52" s="31"/>
      <c r="H52" s="32" t="s">
        <v>127</v>
      </c>
      <c r="I52" s="32" t="s">
        <v>127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133</v>
      </c>
      <c r="D54" s="29"/>
      <c r="E54" s="30"/>
      <c r="F54" s="30"/>
      <c r="G54" s="31"/>
      <c r="H54" s="32" t="s">
        <v>127</v>
      </c>
      <c r="I54" s="32" t="s">
        <v>127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134</v>
      </c>
      <c r="D56" s="29"/>
      <c r="E56" s="30"/>
      <c r="F56" s="30"/>
      <c r="G56" s="31"/>
      <c r="H56" s="32" t="s">
        <v>127</v>
      </c>
      <c r="I56" s="32" t="s">
        <v>127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135</v>
      </c>
      <c r="D58" s="29"/>
      <c r="E58" s="30"/>
      <c r="F58" s="30"/>
      <c r="G58" s="31"/>
      <c r="H58" s="32"/>
      <c r="I58" s="32"/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136</v>
      </c>
      <c r="D60" s="29"/>
      <c r="E60" s="30"/>
      <c r="F60" s="30"/>
      <c r="G60" s="31"/>
      <c r="H60" s="32" t="s">
        <v>127</v>
      </c>
      <c r="I60" s="32" t="s">
        <v>127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137</v>
      </c>
      <c r="D62" s="29"/>
      <c r="E62" s="30"/>
      <c r="F62" s="30"/>
      <c r="G62" s="31"/>
      <c r="H62" s="32" t="s">
        <v>127</v>
      </c>
      <c r="I62" s="32" t="s">
        <v>127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138</v>
      </c>
      <c r="D64" s="29"/>
      <c r="E64" s="30"/>
      <c r="F64" s="30"/>
      <c r="G64" s="31"/>
      <c r="H64" s="32" t="s">
        <v>127</v>
      </c>
      <c r="I64" s="32" t="s">
        <v>127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139</v>
      </c>
      <c r="D66" s="29"/>
      <c r="E66" s="30"/>
      <c r="F66" s="30"/>
      <c r="G66" s="31"/>
      <c r="H66" s="32" t="s">
        <v>127</v>
      </c>
      <c r="I66" s="32" t="s">
        <v>127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140</v>
      </c>
      <c r="D68" s="29"/>
      <c r="E68" s="30"/>
      <c r="F68" s="30"/>
      <c r="G68" s="31"/>
      <c r="H68" s="32"/>
      <c r="I68" s="32"/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141</v>
      </c>
      <c r="D70" s="29"/>
      <c r="E70" s="30"/>
      <c r="F70" s="30"/>
      <c r="G70" s="31"/>
      <c r="H70" s="32" t="s">
        <v>127</v>
      </c>
      <c r="I70" s="32" t="s">
        <v>127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142</v>
      </c>
      <c r="D72" s="29"/>
      <c r="E72" s="30"/>
      <c r="F72" s="30"/>
      <c r="G72" s="31"/>
      <c r="H72" s="32" t="s">
        <v>127</v>
      </c>
      <c r="I72" s="32" t="s">
        <v>127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143</v>
      </c>
      <c r="D74" s="29"/>
      <c r="E74" s="30"/>
      <c r="F74" s="30"/>
      <c r="G74" s="31"/>
      <c r="H74" s="32" t="s">
        <v>127</v>
      </c>
      <c r="I74" s="32" t="s">
        <v>127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144</v>
      </c>
      <c r="D76" s="29"/>
      <c r="E76" s="30"/>
      <c r="F76" s="30"/>
      <c r="G76" s="31"/>
      <c r="H76" s="32" t="s">
        <v>127</v>
      </c>
      <c r="I76" s="32" t="s">
        <v>127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145</v>
      </c>
      <c r="D78" s="29"/>
      <c r="E78" s="30"/>
      <c r="F78" s="30"/>
      <c r="G78" s="31"/>
      <c r="H78" s="32" t="s">
        <v>127</v>
      </c>
      <c r="I78" s="32" t="s">
        <v>127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146</v>
      </c>
      <c r="D80" s="29"/>
      <c r="E80" s="30"/>
      <c r="F80" s="30"/>
      <c r="G80" s="31"/>
      <c r="H80" s="32" t="s">
        <v>127</v>
      </c>
      <c r="I80" s="32" t="s">
        <v>127</v>
      </c>
      <c r="J80" s="33"/>
    </row>
    <row r="81" spans="1:11" x14ac:dyDescent="0.25">
      <c r="C81" s="20"/>
      <c r="D81" s="29"/>
      <c r="E81" s="30"/>
      <c r="F81" s="30"/>
      <c r="G81" s="31"/>
      <c r="H81" s="32"/>
      <c r="I81" s="32"/>
      <c r="J81" s="33"/>
    </row>
    <row r="82" spans="1:11" x14ac:dyDescent="0.25">
      <c r="A82" s="26"/>
      <c r="B82" s="27"/>
      <c r="C82" s="28" t="s">
        <v>147</v>
      </c>
      <c r="D82" s="29"/>
      <c r="E82" s="30"/>
      <c r="F82" s="30"/>
      <c r="G82" s="31"/>
      <c r="H82" s="32"/>
      <c r="I82" s="32"/>
      <c r="J82" s="33"/>
    </row>
    <row r="83" spans="1:11" x14ac:dyDescent="0.25">
      <c r="B83" s="1"/>
      <c r="C83" s="20" t="s">
        <v>148</v>
      </c>
      <c r="D83" s="29"/>
      <c r="E83" s="30"/>
      <c r="F83" s="30"/>
      <c r="G83" s="31"/>
      <c r="H83" s="32">
        <v>200.62</v>
      </c>
      <c r="I83" s="32">
        <v>2.65</v>
      </c>
      <c r="J83" s="33"/>
    </row>
    <row r="84" spans="1:11" x14ac:dyDescent="0.25">
      <c r="C84" s="28" t="s">
        <v>125</v>
      </c>
      <c r="D84" s="29"/>
      <c r="E84" s="30"/>
      <c r="F84" s="30"/>
      <c r="G84" s="31"/>
      <c r="H84" s="35">
        <v>200.62</v>
      </c>
      <c r="I84" s="35">
        <v>2.65</v>
      </c>
      <c r="J84" s="33"/>
    </row>
    <row r="85" spans="1:11" x14ac:dyDescent="0.25">
      <c r="C85" s="20"/>
      <c r="D85" s="29"/>
      <c r="E85" s="30"/>
      <c r="F85" s="30"/>
      <c r="G85" s="31"/>
      <c r="H85" s="32"/>
      <c r="I85" s="32"/>
      <c r="J85" s="33"/>
    </row>
    <row r="86" spans="1:11" ht="14.25" thickBot="1" x14ac:dyDescent="0.3">
      <c r="C86" s="36" t="s">
        <v>149</v>
      </c>
      <c r="D86" s="37"/>
      <c r="E86" s="38"/>
      <c r="F86" s="39"/>
      <c r="G86" s="40"/>
      <c r="H86" s="41">
        <v>7574.88</v>
      </c>
      <c r="I86" s="41">
        <f>SUMIFS(I:I,C:C,"Total")</f>
        <v>100</v>
      </c>
      <c r="J86" s="42"/>
    </row>
    <row r="89" spans="1:11" x14ac:dyDescent="0.25">
      <c r="C89" s="11" t="s">
        <v>150</v>
      </c>
    </row>
    <row r="90" spans="1:11" ht="24" customHeight="1" x14ac:dyDescent="0.25">
      <c r="C90" s="60" t="s">
        <v>151</v>
      </c>
      <c r="D90" s="60"/>
      <c r="E90" s="60"/>
      <c r="F90" s="60"/>
      <c r="G90" s="60"/>
      <c r="H90" s="60"/>
      <c r="I90" s="60"/>
      <c r="J90" s="60"/>
      <c r="K90" s="60"/>
    </row>
    <row r="91" spans="1:11" x14ac:dyDescent="0.25">
      <c r="C91" s="2" t="s">
        <v>152</v>
      </c>
    </row>
    <row r="92" spans="1:11" x14ac:dyDescent="0.25">
      <c r="C92" s="2" t="s">
        <v>153</v>
      </c>
    </row>
    <row r="93" spans="1:11" x14ac:dyDescent="0.25">
      <c r="C93" s="2" t="s">
        <v>154</v>
      </c>
    </row>
    <row r="94" spans="1:11" x14ac:dyDescent="0.25">
      <c r="C94" s="2" t="s">
        <v>155</v>
      </c>
    </row>
    <row r="95" spans="1:11" ht="14.25" thickBot="1" x14ac:dyDescent="0.3">
      <c r="C95" s="2" t="s">
        <v>156</v>
      </c>
    </row>
    <row r="96" spans="1:11" ht="14.25" thickBot="1" x14ac:dyDescent="0.3">
      <c r="C96" s="43"/>
      <c r="D96" s="61" t="s">
        <v>157</v>
      </c>
      <c r="E96" s="62"/>
    </row>
    <row r="97" spans="3:5" x14ac:dyDescent="0.25">
      <c r="C97" s="44" t="s">
        <v>158</v>
      </c>
      <c r="D97" s="45" t="s">
        <v>159</v>
      </c>
      <c r="E97" s="46" t="s">
        <v>159</v>
      </c>
    </row>
    <row r="98" spans="3:5" ht="14.25" thickBot="1" x14ac:dyDescent="0.3">
      <c r="C98" s="47"/>
      <c r="D98" s="48" t="s">
        <v>160</v>
      </c>
      <c r="E98" s="49" t="s">
        <v>161</v>
      </c>
    </row>
    <row r="99" spans="3:5" ht="14.25" thickBot="1" x14ac:dyDescent="0.3">
      <c r="C99" s="50" t="s">
        <v>162</v>
      </c>
      <c r="D99" s="51">
        <v>87.66</v>
      </c>
      <c r="E99" s="51">
        <v>86.07</v>
      </c>
    </row>
    <row r="100" spans="3:5" ht="14.25" thickBot="1" x14ac:dyDescent="0.3">
      <c r="C100" s="50" t="s">
        <v>163</v>
      </c>
      <c r="D100" s="51">
        <v>187.12</v>
      </c>
      <c r="E100" s="51">
        <v>183.72</v>
      </c>
    </row>
    <row r="101" spans="3:5" ht="14.25" thickBot="1" x14ac:dyDescent="0.3">
      <c r="C101" s="50" t="s">
        <v>164</v>
      </c>
      <c r="D101" s="51">
        <v>94.22</v>
      </c>
      <c r="E101" s="51">
        <v>92.56</v>
      </c>
    </row>
    <row r="102" spans="3:5" ht="14.25" thickBot="1" x14ac:dyDescent="0.3">
      <c r="C102" s="50" t="s">
        <v>165</v>
      </c>
      <c r="D102" s="51">
        <v>204.43</v>
      </c>
      <c r="E102" s="51">
        <v>200.82</v>
      </c>
    </row>
    <row r="104" spans="3:5" x14ac:dyDescent="0.25">
      <c r="C104" s="2" t="s">
        <v>166</v>
      </c>
    </row>
    <row r="105" spans="3:5" x14ac:dyDescent="0.25">
      <c r="C105" s="2" t="s">
        <v>167</v>
      </c>
    </row>
    <row r="106" spans="3:5" x14ac:dyDescent="0.25">
      <c r="C106" s="2" t="s">
        <v>168</v>
      </c>
    </row>
    <row r="107" spans="3:5" x14ac:dyDescent="0.25">
      <c r="C107" s="2" t="s">
        <v>169</v>
      </c>
    </row>
    <row r="108" spans="3:5" x14ac:dyDescent="0.25">
      <c r="C108" s="2" t="s">
        <v>170</v>
      </c>
    </row>
    <row r="109" spans="3:5" x14ac:dyDescent="0.25">
      <c r="C109" s="2" t="s">
        <v>171</v>
      </c>
    </row>
    <row r="110" spans="3:5" x14ac:dyDescent="0.25">
      <c r="C110" s="2" t="s">
        <v>172</v>
      </c>
    </row>
    <row r="111" spans="3:5" x14ac:dyDescent="0.25">
      <c r="C111" s="2" t="s">
        <v>173</v>
      </c>
    </row>
    <row r="112" spans="3:5" x14ac:dyDescent="0.25">
      <c r="C112" s="2" t="s">
        <v>174</v>
      </c>
    </row>
  </sheetData>
  <mergeCells count="2">
    <mergeCell ref="C90:K90"/>
    <mergeCell ref="D96:E9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DBE1-9DF8-43C4-999F-AA423F03AEFE}">
  <dimension ref="C3:M17"/>
  <sheetViews>
    <sheetView workbookViewId="0"/>
  </sheetViews>
  <sheetFormatPr defaultRowHeight="15" x14ac:dyDescent="0.25"/>
  <cols>
    <col min="3" max="3" width="47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2" t="s">
        <v>175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176</v>
      </c>
      <c r="D4" s="63" t="s">
        <v>177</v>
      </c>
      <c r="E4" s="63"/>
      <c r="F4" s="63" t="s">
        <v>178</v>
      </c>
      <c r="G4" s="63"/>
      <c r="H4" s="63" t="s">
        <v>179</v>
      </c>
      <c r="I4" s="63"/>
      <c r="J4" s="64" t="s">
        <v>180</v>
      </c>
      <c r="K4" s="65"/>
      <c r="L4" s="66" t="s">
        <v>181</v>
      </c>
      <c r="M4" s="66"/>
    </row>
    <row r="5" spans="3:13" ht="63.75" x14ac:dyDescent="0.25">
      <c r="C5" s="55"/>
      <c r="D5" s="56" t="s">
        <v>182</v>
      </c>
      <c r="E5" s="56" t="s">
        <v>183</v>
      </c>
      <c r="F5" s="56" t="s">
        <v>182</v>
      </c>
      <c r="G5" s="56" t="s">
        <v>183</v>
      </c>
      <c r="H5" s="56" t="s">
        <v>182</v>
      </c>
      <c r="I5" s="56" t="s">
        <v>183</v>
      </c>
      <c r="J5" s="56" t="s">
        <v>182</v>
      </c>
      <c r="K5" s="56" t="s">
        <v>183</v>
      </c>
      <c r="L5" s="57" t="s">
        <v>182</v>
      </c>
      <c r="M5" s="57" t="s">
        <v>183</v>
      </c>
    </row>
    <row r="6" spans="3:13" x14ac:dyDescent="0.25">
      <c r="C6" s="58" t="s">
        <v>184</v>
      </c>
      <c r="D6" s="59">
        <v>-0.63819999999999999</v>
      </c>
      <c r="E6" s="59">
        <v>9936.1817198485678</v>
      </c>
      <c r="F6" s="59">
        <v>15.7829</v>
      </c>
      <c r="G6" s="59">
        <v>15533.947746681324</v>
      </c>
      <c r="H6" s="59">
        <v>14.736599999999999</v>
      </c>
      <c r="I6" s="59">
        <v>19891.728020788221</v>
      </c>
      <c r="J6" s="59">
        <v>13.2254</v>
      </c>
      <c r="K6" s="59">
        <v>34664.150943396227</v>
      </c>
      <c r="L6" s="59">
        <v>11.8291</v>
      </c>
      <c r="M6" s="59">
        <v>183720</v>
      </c>
    </row>
    <row r="7" spans="3:13" x14ac:dyDescent="0.25">
      <c r="C7" s="58" t="s">
        <v>185</v>
      </c>
      <c r="D7" s="59">
        <v>7.6319999999999997</v>
      </c>
      <c r="E7" s="59">
        <v>10763.199999999999</v>
      </c>
      <c r="F7" s="59">
        <v>16.374700000000001</v>
      </c>
      <c r="G7" s="59">
        <v>15760.708014392341</v>
      </c>
      <c r="H7" s="59">
        <v>16.8062</v>
      </c>
      <c r="I7" s="59">
        <v>21743.501231635131</v>
      </c>
      <c r="J7" s="59">
        <v>14.822699999999999</v>
      </c>
      <c r="K7" s="59">
        <v>19958.999825879982</v>
      </c>
      <c r="L7" s="59" t="s">
        <v>186</v>
      </c>
      <c r="M7" s="59" t="s">
        <v>186</v>
      </c>
    </row>
    <row r="8" spans="3:13" x14ac:dyDescent="0.25">
      <c r="C8" s="58" t="s">
        <v>187</v>
      </c>
      <c r="D8" s="59">
        <v>11.883599999999999</v>
      </c>
      <c r="E8" s="59">
        <v>11188.359999999999</v>
      </c>
      <c r="F8" s="59">
        <v>14.2926</v>
      </c>
      <c r="G8" s="59">
        <v>14929.811940987991</v>
      </c>
      <c r="H8" s="59">
        <v>14.6678</v>
      </c>
      <c r="I8" s="59">
        <v>19824.735485107311</v>
      </c>
      <c r="J8" s="59">
        <v>14.024699999999999</v>
      </c>
      <c r="K8" s="59">
        <v>19275.013522686397</v>
      </c>
      <c r="L8" s="59">
        <v>13.1829</v>
      </c>
      <c r="M8" s="59">
        <v>399204.02342576836</v>
      </c>
    </row>
    <row r="9" spans="3:13" x14ac:dyDescent="0.25">
      <c r="C9" s="58" t="s">
        <v>188</v>
      </c>
      <c r="D9" s="67">
        <v>184.9</v>
      </c>
      <c r="E9" s="68"/>
      <c r="F9" s="67">
        <v>118.27</v>
      </c>
      <c r="G9" s="68"/>
      <c r="H9" s="67">
        <v>92.36</v>
      </c>
      <c r="I9" s="68"/>
      <c r="J9" s="67">
        <v>53</v>
      </c>
      <c r="K9" s="68"/>
      <c r="L9" s="67">
        <v>10</v>
      </c>
      <c r="M9" s="68"/>
    </row>
    <row r="11" spans="3:13" ht="15.75" x14ac:dyDescent="0.25">
      <c r="C11" s="52" t="s">
        <v>189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176</v>
      </c>
      <c r="D12" s="63" t="s">
        <v>177</v>
      </c>
      <c r="E12" s="63"/>
      <c r="F12" s="63" t="s">
        <v>178</v>
      </c>
      <c r="G12" s="63"/>
      <c r="H12" s="63" t="s">
        <v>179</v>
      </c>
      <c r="I12" s="63"/>
      <c r="J12" s="64" t="s">
        <v>180</v>
      </c>
      <c r="K12" s="65"/>
      <c r="L12" s="66" t="s">
        <v>181</v>
      </c>
      <c r="M12" s="66"/>
    </row>
    <row r="13" spans="3:13" ht="63.75" x14ac:dyDescent="0.25">
      <c r="C13" s="55"/>
      <c r="D13" s="56" t="s">
        <v>182</v>
      </c>
      <c r="E13" s="56" t="s">
        <v>183</v>
      </c>
      <c r="F13" s="56" t="s">
        <v>182</v>
      </c>
      <c r="G13" s="56" t="s">
        <v>183</v>
      </c>
      <c r="H13" s="56" t="s">
        <v>182</v>
      </c>
      <c r="I13" s="56" t="s">
        <v>183</v>
      </c>
      <c r="J13" s="56" t="s">
        <v>182</v>
      </c>
      <c r="K13" s="56" t="s">
        <v>183</v>
      </c>
      <c r="L13" s="57" t="s">
        <v>182</v>
      </c>
      <c r="M13" s="57" t="s">
        <v>183</v>
      </c>
    </row>
    <row r="14" spans="3:13" x14ac:dyDescent="0.25">
      <c r="C14" s="58" t="s">
        <v>184</v>
      </c>
      <c r="D14" s="59">
        <v>-0.01</v>
      </c>
      <c r="E14" s="59">
        <v>9999.0041824337786</v>
      </c>
      <c r="F14" s="59">
        <v>16.518699999999999</v>
      </c>
      <c r="G14" s="59">
        <v>15832.544938505202</v>
      </c>
      <c r="H14" s="59">
        <v>15.4839</v>
      </c>
      <c r="I14" s="59">
        <v>20548.449810702954</v>
      </c>
      <c r="J14" s="59">
        <v>14.032</v>
      </c>
      <c r="K14" s="59">
        <v>37216.456634544105</v>
      </c>
      <c r="L14" s="59">
        <v>13.4237</v>
      </c>
      <c r="M14" s="59">
        <v>51904.884983199787</v>
      </c>
    </row>
    <row r="15" spans="3:13" x14ac:dyDescent="0.25">
      <c r="C15" s="58" t="s">
        <v>185</v>
      </c>
      <c r="D15" s="59">
        <v>7.6319999999999997</v>
      </c>
      <c r="E15" s="59">
        <v>10763.199999999999</v>
      </c>
      <c r="F15" s="59">
        <v>16.374700000000001</v>
      </c>
      <c r="G15" s="59">
        <v>15760.708014392341</v>
      </c>
      <c r="H15" s="59">
        <v>16.8062</v>
      </c>
      <c r="I15" s="59">
        <v>21743.501231635131</v>
      </c>
      <c r="J15" s="59">
        <v>14.822699999999999</v>
      </c>
      <c r="K15" s="59">
        <v>19958.999825879982</v>
      </c>
      <c r="L15" s="59">
        <v>14.395687000000001</v>
      </c>
      <c r="M15" s="59">
        <v>57041.717826172477</v>
      </c>
    </row>
    <row r="16" spans="3:13" x14ac:dyDescent="0.25">
      <c r="C16" s="58" t="s">
        <v>187</v>
      </c>
      <c r="D16" s="59">
        <v>11.883599999999999</v>
      </c>
      <c r="E16" s="59">
        <v>11188.359999999999</v>
      </c>
      <c r="F16" s="59">
        <v>14.2926</v>
      </c>
      <c r="G16" s="59">
        <v>14929.811940987991</v>
      </c>
      <c r="H16" s="59">
        <v>14.6678</v>
      </c>
      <c r="I16" s="59">
        <v>19824.735485107311</v>
      </c>
      <c r="J16" s="59">
        <v>14.024699999999999</v>
      </c>
      <c r="K16" s="59">
        <v>19275.013522686397</v>
      </c>
      <c r="L16" s="59">
        <v>13.3569</v>
      </c>
      <c r="M16" s="59">
        <v>51047.286428949112</v>
      </c>
    </row>
    <row r="17" spans="3:13" x14ac:dyDescent="0.25">
      <c r="C17" s="58" t="s">
        <v>190</v>
      </c>
      <c r="D17" s="67">
        <v>200.84</v>
      </c>
      <c r="E17" s="68"/>
      <c r="F17" s="67">
        <v>126.84</v>
      </c>
      <c r="G17" s="68"/>
      <c r="H17" s="67">
        <v>97.73</v>
      </c>
      <c r="I17" s="68"/>
      <c r="J17" s="67">
        <v>53.96</v>
      </c>
      <c r="K17" s="68"/>
      <c r="L17" s="67">
        <v>38.69</v>
      </c>
      <c r="M17" s="68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XDO_?FINAL_ISIN?16?</vt:lpstr>
      <vt:lpstr>XDO_?FINAL_ISIN?17?</vt:lpstr>
      <vt:lpstr>XDO_?FINAL_MV?16?</vt:lpstr>
      <vt:lpstr>XDO_?FINAL_MV?17?</vt:lpstr>
      <vt:lpstr>XDO_?FINAL_NAME?16?</vt:lpstr>
      <vt:lpstr>XDO_?FINAL_NAME?17?</vt:lpstr>
      <vt:lpstr>XDO_?FINAL_PER_NET?16?</vt:lpstr>
      <vt:lpstr>XDO_?FINAL_PER_NET?17?</vt:lpstr>
      <vt:lpstr>XDO_?FINAL_QUANTITE?16?</vt:lpstr>
      <vt:lpstr>XDO_?FINAL_QUANTITE?17?</vt:lpstr>
      <vt:lpstr>XDO_?IND_01?16?</vt:lpstr>
      <vt:lpstr>XDO_?IND_01?17?</vt:lpstr>
      <vt:lpstr>XDO_?NAMCNAME?7?</vt:lpstr>
      <vt:lpstr>XDO_?NOVAL?16?</vt:lpstr>
      <vt:lpstr>XDO_?NOVAL?17?</vt:lpstr>
      <vt:lpstr>XDO_?NPTF?7?</vt:lpstr>
      <vt:lpstr>XDO_?RATING?16?</vt:lpstr>
      <vt:lpstr>XDO_?RATING?17?</vt:lpstr>
      <vt:lpstr>XDO_?REMARKS?16?</vt:lpstr>
      <vt:lpstr>XDO_?REMARKS?17?</vt:lpstr>
      <vt:lpstr>XDO_?TITL?7?</vt:lpstr>
      <vt:lpstr>XDO_GROUP_?G_2?7?</vt:lpstr>
      <vt:lpstr>XDO_GROUP_?G_3?7?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2026-01-06T06:54:56Z</dcterms:created>
  <dcterms:modified xsi:type="dcterms:W3CDTF">2026-01-07T12:21:43Z</dcterms:modified>
</cp:coreProperties>
</file>