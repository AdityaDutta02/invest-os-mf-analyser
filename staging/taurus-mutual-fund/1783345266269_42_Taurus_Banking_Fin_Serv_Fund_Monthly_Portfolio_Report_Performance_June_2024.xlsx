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LY 2024\Portfolio\Ops\"/>
    </mc:Choice>
  </mc:AlternateContent>
  <xr:revisionPtr revIDLastSave="0" documentId="13_ncr:1_{65FD872F-B2C3-4049-BFD4-2136DBDA1C11}" xr6:coauthVersionLast="47" xr6:coauthVersionMax="47" xr10:uidLastSave="{00000000-0000-0000-0000-000000000000}"/>
  <bookViews>
    <workbookView xWindow="-120" yWindow="-120" windowWidth="20730" windowHeight="11040" xr2:uid="{8D9A8200-12A7-4113-8A58-BC453DF0EB33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TBFS!$C$8:$C$28</definedName>
    <definedName name="XDO_?FINAL_ISIN?1?">TBFS!$D$10:$D$28</definedName>
    <definedName name="XDO_?FINAL_ISIN?2?">TBFS!$D$10:$D$72</definedName>
    <definedName name="XDO_?FINAL_MV?1?">TBFS!$H$10:$H$28</definedName>
    <definedName name="XDO_?FINAL_MV?2?">TBFS!$H$10:$H$72</definedName>
    <definedName name="XDO_?FINAL_NAME?1?">TBFS!$C$10:$C$28</definedName>
    <definedName name="XDO_?FINAL_NAME?2?">TBFS!$C$10:$C$72</definedName>
    <definedName name="XDO_?FINAL_PER_NET?1?">TBFS!$I$10:$I$28</definedName>
    <definedName name="XDO_?FINAL_PER_NET?2?">TBFS!$I$10:$I$72</definedName>
    <definedName name="XDO_?FINAL_QUANTITE?1?">TBFS!$G$10:$G$28</definedName>
    <definedName name="XDO_?FINAL_QUANTITE?2?">TBFS!$G$10:$G$72</definedName>
    <definedName name="XDO_?IND_01?1?">TBFS!$F$10:$F$28</definedName>
    <definedName name="XDO_?IND_01?2?">TBFS!$F$10:$F$72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TBFS!$C$2:$C$28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TBFS!$B$10:$B$28</definedName>
    <definedName name="XDO_?NOVAL?2?">TBFS!$B$10:$B$72</definedName>
    <definedName name="XDO_?NPTF?1?">TBFS!$D$2:$D$28</definedName>
    <definedName name="XDO_?RATING?1?">TBFS!$E$10:$E$28</definedName>
    <definedName name="XDO_?RATING?2?">TBFS!$E$10:$E$72</definedName>
    <definedName name="XDO_?REMARKS?1?">TBFS!$J$10:$J$28</definedName>
    <definedName name="XDO_?REMARKS?2?">TBFS!$J$10:$J$72</definedName>
    <definedName name="XDO_?TITL?1?">TBFS!$A$8:$A$28</definedName>
    <definedName name="XDO_GROUP_?G_2?1?">TBFS!$2:$75</definedName>
    <definedName name="XDO_GROUP_?G_3?1?">TBFS!$8:$74</definedName>
    <definedName name="XDO_GROUP_?G_4?1?">TBFS!$B$10:$IV$28</definedName>
    <definedName name="XDO_GROUP_?G_4?2?">TBFS!$B$72:$IV$72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<sst xmlns="http://schemas.openxmlformats.org/spreadsheetml/2006/main" count="190" uniqueCount="119">
  <si>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</si>
  <si>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</si>
  <si>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</si>
  <si>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</si>
  <si>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</si>
  <si>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</si>
  <si>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</si>
  <si>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</si>
  <si>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</si>
  <si>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</si>
  <si>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</si>
  <si>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</si>
  <si>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</si>
  <si>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</si>
  <si>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</si>
  <si>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</si>
  <si>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</si>
  <si>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</si>
  <si>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</si>
  <si>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</si>
  <si>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</si>
  <si>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</si>
  <si>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</si>
  <si>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</si>
  <si>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</si>
  <si>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</si>
  <si>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</si>
  <si>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</si>
  <si>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</si>
  <si>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</si>
  <si>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</si>
  <si>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100361</t>
  </si>
  <si>
    <t>Bank of India</t>
  </si>
  <si>
    <t>INE084A01016</t>
  </si>
  <si>
    <t>100013</t>
  </si>
  <si>
    <t>IndusInd Bank Ltd.</t>
  </si>
  <si>
    <t>INE095A01012</t>
  </si>
  <si>
    <t>100055</t>
  </si>
  <si>
    <t>The Federal Bank Ltd.</t>
  </si>
  <si>
    <t>INE171A01029</t>
  </si>
  <si>
    <t>100325</t>
  </si>
  <si>
    <t>Bajaj Holdings &amp; Investment Ltd.</t>
  </si>
  <si>
    <t>INE118A01012</t>
  </si>
  <si>
    <t>Finance</t>
  </si>
  <si>
    <t>101210</t>
  </si>
  <si>
    <t>Credit Access Grameen Ltd.</t>
  </si>
  <si>
    <t>INE741K01010</t>
  </si>
  <si>
    <t>101740</t>
  </si>
  <si>
    <t>Prudent Corporate Advisory Services Ltd.</t>
  </si>
  <si>
    <t>INE00F201020</t>
  </si>
  <si>
    <t>Capital Markets</t>
  </si>
  <si>
    <t>100191</t>
  </si>
  <si>
    <t>Canara Bank</t>
  </si>
  <si>
    <t>INE476A01022</t>
  </si>
  <si>
    <t>101178</t>
  </si>
  <si>
    <t>Computer Age Management Services Ltd.</t>
  </si>
  <si>
    <t>INE596I01012</t>
  </si>
  <si>
    <t>101181</t>
  </si>
  <si>
    <t>UTI Asset Management Co. Ltd.</t>
  </si>
  <si>
    <t>INE094J01016</t>
  </si>
  <si>
    <t>100122</t>
  </si>
  <si>
    <t>Union Bank of India</t>
  </si>
  <si>
    <t>INE692A01016</t>
  </si>
  <si>
    <t>100399</t>
  </si>
  <si>
    <t>Cholamandalam Investment &amp; Finance Co. Ltd.</t>
  </si>
  <si>
    <t>INE121A01024</t>
  </si>
  <si>
    <t>100211</t>
  </si>
  <si>
    <t>IDFC First Bank Ltd.</t>
  </si>
  <si>
    <t>INE092T01019</t>
  </si>
  <si>
    <t>100073</t>
  </si>
  <si>
    <t>CARE Ratings Ltd.</t>
  </si>
  <si>
    <t>INE752H01013</t>
  </si>
  <si>
    <t>100684</t>
  </si>
  <si>
    <t>SBI Life Insurance Co. Ltd.</t>
  </si>
  <si>
    <t>INE123W01016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</si>
  <si>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</si>
  <si>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</si>
  <si>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</si>
  <si>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</si>
  <si>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</si>
  <si>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</si>
  <si>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</si>
  <si>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</si>
  <si>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</si>
  <si>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</si>
  <si>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</si>
  <si>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</si>
  <si>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</si>
  <si>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</si>
  <si>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</si>
  <si>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</si>
  <si>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</si>
  <si>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</si>
  <si>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</si>
  <si>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</si>
  <si>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</si>
  <si>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</si>
  <si>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</si>
  <si>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</si>
  <si>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</si>
  <si>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</si>
  <si>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</si>
  <si>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</si>
  <si>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</si>
  <si>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</si>
  <si>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</si>
  <si>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</si>
  <si>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</si>
  <si>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</si>
  <si>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</si>
  <si>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</si>
  <si>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</si>
  <si>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</si>
  <si>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</si>
  <si>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</si>
  <si>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</si>
  <si>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June 28, 2024 : 50.52)</t>
  </si>
  <si>
    <t>Taurus Banking &amp; Financial Services Fund - Direct Plan Growth Option</t>
  </si>
  <si>
    <t>NAV [Rs.] Per Unit (as on June 28, 2024 : 56.01)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</si>
</sst>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4480F78-D801-4425-89A9-32E53E58280E}"/>
    <cellStyle name="Hyperlink" xfId="2" builtinId="8"/>
    <cellStyle name="Normal" xfId="0" builtinId="0"/>
    <cellStyle name="Normal 2" xfId="4" xr:uid="{0FA44EF5-EEE6-4CC4-BE9E-FAF16E543DD3}"/>
    <cellStyle name="Style 1" xfId="3" xr:uid="{D7C2FE78-5F7F-4F3A-B6AF-90225A8705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285290</xdr:colOff>
      <xdr:row>0</xdr:row>
      <xdr:rowOff>2127250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9820D-E3B8-4E09-9E1D-121B410AA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037457" cy="212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ne_2024\Client%20Report\TMF_Monthly_Portfolio_Report_June%2024.xls" TargetMode="External"/><Relationship Id="rId1" Type="http://schemas.openxmlformats.org/officeDocument/2006/relationships/externalLinkPath" Target="TMF_Monthly_Portfolio_Report_June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DA8-C9ED-4725-96DE-DEC4B48EC39B}">
  <sheetPr codeName="Sheet1"/>
  <dimension ref="A1:BB8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45473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216.45</v>
      </c>
      <c r="I10" s="32">
        <v>19.329999999999998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201.57</v>
      </c>
      <c r="I11" s="32">
        <v>18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140.63999999999999</v>
      </c>
      <c r="I12" s="32">
        <v>12.56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115.31</v>
      </c>
      <c r="I13" s="32">
        <v>10.3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3916</v>
      </c>
      <c r="H14" s="32">
        <v>70.61</v>
      </c>
      <c r="I14" s="32">
        <v>6.31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57629</v>
      </c>
      <c r="H15" s="32">
        <v>69.36</v>
      </c>
      <c r="I15" s="32">
        <v>6.19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38.590000000000003</v>
      </c>
      <c r="I16" s="32">
        <v>3.45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17035</v>
      </c>
      <c r="H17" s="32">
        <v>30.2</v>
      </c>
      <c r="I17" s="32">
        <v>2.7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43</v>
      </c>
      <c r="G18" s="31">
        <v>346</v>
      </c>
      <c r="H18" s="32">
        <v>29.51</v>
      </c>
      <c r="I18" s="32">
        <v>2.64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43</v>
      </c>
      <c r="G19" s="31">
        <v>2008</v>
      </c>
      <c r="H19" s="32">
        <v>26.55</v>
      </c>
      <c r="I19" s="32">
        <v>2.37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1332</v>
      </c>
      <c r="H20" s="32">
        <v>25.32</v>
      </c>
      <c r="I20" s="32">
        <v>2.2599999999999998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18875</v>
      </c>
      <c r="H21" s="32">
        <v>22.54</v>
      </c>
      <c r="I21" s="32">
        <v>2.0099999999999998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50</v>
      </c>
      <c r="G22" s="31">
        <v>536</v>
      </c>
      <c r="H22" s="32">
        <v>19.36</v>
      </c>
      <c r="I22" s="32">
        <v>1.73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50</v>
      </c>
      <c r="G23" s="31">
        <v>1899</v>
      </c>
      <c r="H23" s="32">
        <v>18.97</v>
      </c>
      <c r="I23" s="32">
        <v>1.69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18</v>
      </c>
      <c r="G24" s="31">
        <v>13215</v>
      </c>
      <c r="H24" s="32">
        <v>18.09</v>
      </c>
      <c r="I24" s="32">
        <v>1.62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43</v>
      </c>
      <c r="G25" s="31">
        <v>1253</v>
      </c>
      <c r="H25" s="32">
        <v>17.829999999999998</v>
      </c>
      <c r="I25" s="32">
        <v>1.59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18</v>
      </c>
      <c r="G26" s="31">
        <v>16184</v>
      </c>
      <c r="H26" s="32">
        <v>13.29</v>
      </c>
      <c r="I26" s="32">
        <v>1.19</v>
      </c>
      <c r="J26" s="33"/>
    </row>
    <row r="27" spans="2:10" x14ac:dyDescent="0.25">
      <c r="B27" s="1" t="s">
        <v>69</v>
      </c>
      <c r="C27" s="20" t="s">
        <v>70</v>
      </c>
      <c r="D27" s="29" t="s">
        <v>71</v>
      </c>
      <c r="E27" s="30"/>
      <c r="F27" s="30" t="s">
        <v>50</v>
      </c>
      <c r="G27" s="31">
        <v>1235</v>
      </c>
      <c r="H27" s="32">
        <v>13.15</v>
      </c>
      <c r="I27" s="32">
        <v>1.17</v>
      </c>
      <c r="J27" s="33"/>
    </row>
    <row r="28" spans="2:10" x14ac:dyDescent="0.25">
      <c r="B28" s="1" t="s">
        <v>72</v>
      </c>
      <c r="C28" s="20" t="s">
        <v>73</v>
      </c>
      <c r="D28" s="29" t="s">
        <v>74</v>
      </c>
      <c r="E28" s="30"/>
      <c r="F28" s="30" t="s">
        <v>75</v>
      </c>
      <c r="G28" s="31">
        <v>796</v>
      </c>
      <c r="H28" s="32">
        <v>11.87</v>
      </c>
      <c r="I28" s="32">
        <v>1.06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1099.21</v>
      </c>
      <c r="I29" s="35">
        <v>98.17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97</v>
      </c>
      <c r="D69" s="29"/>
      <c r="E69" s="30"/>
      <c r="F69" s="30"/>
      <c r="G69" s="31"/>
      <c r="H69" s="32" t="s">
        <v>78</v>
      </c>
      <c r="I69" s="32" t="s">
        <v>78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98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99</v>
      </c>
      <c r="D72" s="29"/>
      <c r="E72" s="30"/>
      <c r="F72" s="30"/>
      <c r="G72" s="31"/>
      <c r="H72" s="32">
        <v>20.56</v>
      </c>
      <c r="I72" s="32">
        <v>1.83</v>
      </c>
      <c r="J72" s="33"/>
    </row>
    <row r="73" spans="1:10" x14ac:dyDescent="0.25">
      <c r="C73" s="28" t="s">
        <v>76</v>
      </c>
      <c r="D73" s="29"/>
      <c r="E73" s="30"/>
      <c r="F73" s="30"/>
      <c r="G73" s="31"/>
      <c r="H73" s="35">
        <v>20.56</v>
      </c>
      <c r="I73" s="35">
        <v>1.83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100</v>
      </c>
      <c r="D75" s="37"/>
      <c r="E75" s="38"/>
      <c r="F75" s="39"/>
      <c r="G75" s="40"/>
      <c r="H75" s="41">
        <v>1119.77</v>
      </c>
      <c r="I75" s="41">
        <f>SUMIFS(I:I,C:C,"Total")</f>
        <v>100</v>
      </c>
      <c r="J75" s="42"/>
    </row>
    <row r="78" spans="1:10" x14ac:dyDescent="0.25">
      <c r="C78" s="11" t="s">
        <v>101</v>
      </c>
    </row>
    <row r="79" spans="1:10" x14ac:dyDescent="0.25">
      <c r="C79" s="2" t="s">
        <v>102</v>
      </c>
    </row>
    <row r="80" spans="1:10" x14ac:dyDescent="0.25">
      <c r="C80" s="2" t="s">
        <v>103</v>
      </c>
    </row>
    <row r="81" spans="3:3" x14ac:dyDescent="0.25">
      <c r="C81" s="2" t="s">
        <v>104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C831-AA58-4E00-A097-2B90AD88B322}">
  <dimension ref="C4:K18"/>
  <sheetViews>
    <sheetView workbookViewId="0"/>
  </sheetViews>
  <sheetFormatPr defaultRowHeight="15" x14ac:dyDescent="0.25"/>
  <cols>
    <col min="3" max="3" width="44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105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106</v>
      </c>
      <c r="D5" s="46" t="s">
        <v>107</v>
      </c>
      <c r="E5" s="46"/>
      <c r="F5" s="46" t="s">
        <v>108</v>
      </c>
      <c r="G5" s="46"/>
      <c r="H5" s="46" t="s">
        <v>109</v>
      </c>
      <c r="I5" s="46"/>
      <c r="J5" s="46" t="s">
        <v>110</v>
      </c>
      <c r="K5" s="46"/>
    </row>
    <row r="6" spans="3:11" ht="63.75" x14ac:dyDescent="0.25">
      <c r="C6" s="47"/>
      <c r="D6" s="48" t="s">
        <v>111</v>
      </c>
      <c r="E6" s="48" t="s">
        <v>112</v>
      </c>
      <c r="F6" s="48" t="s">
        <v>111</v>
      </c>
      <c r="G6" s="48" t="s">
        <v>112</v>
      </c>
      <c r="H6" s="48" t="s">
        <v>111</v>
      </c>
      <c r="I6" s="48" t="s">
        <v>112</v>
      </c>
      <c r="J6" s="48" t="s">
        <v>111</v>
      </c>
      <c r="K6" s="48" t="s">
        <v>112</v>
      </c>
    </row>
    <row r="7" spans="3:11" x14ac:dyDescent="0.25">
      <c r="C7" s="49" t="s">
        <v>113</v>
      </c>
      <c r="D7" s="50">
        <v>22.294843863471314</v>
      </c>
      <c r="E7" s="50">
        <v>12229.484386347131</v>
      </c>
      <c r="F7" s="50">
        <v>16.347733595109617</v>
      </c>
      <c r="G7" s="50">
        <v>15743.222187597381</v>
      </c>
      <c r="H7" s="50">
        <v>13.192008062629569</v>
      </c>
      <c r="I7" s="50">
        <v>18594.037541405964</v>
      </c>
      <c r="J7" s="50">
        <v>14.308437915757244</v>
      </c>
      <c r="K7" s="50">
        <v>50520</v>
      </c>
    </row>
    <row r="8" spans="3:11" x14ac:dyDescent="0.25">
      <c r="C8" s="49" t="s">
        <v>114</v>
      </c>
      <c r="D8" s="50">
        <v>19.170511887724118</v>
      </c>
      <c r="E8" s="50">
        <v>11917.051188772411</v>
      </c>
      <c r="F8" s="50">
        <v>15.789498508640643</v>
      </c>
      <c r="G8" s="50">
        <v>15524.138866547963</v>
      </c>
      <c r="H8" s="50">
        <v>11.864634923236528</v>
      </c>
      <c r="I8" s="50">
        <v>17517.174171418541</v>
      </c>
      <c r="J8" s="50">
        <v>16.221748270196755</v>
      </c>
      <c r="K8" s="50">
        <v>61745.261252970449</v>
      </c>
    </row>
    <row r="9" spans="3:11" x14ac:dyDescent="0.25">
      <c r="C9" s="49" t="s">
        <v>115</v>
      </c>
      <c r="D9" s="50">
        <v>26.655749448050848</v>
      </c>
      <c r="E9" s="50">
        <v>12665.574944805085</v>
      </c>
      <c r="F9" s="50">
        <v>16.55232376873219</v>
      </c>
      <c r="G9" s="50">
        <v>15832.985358067599</v>
      </c>
      <c r="H9" s="50">
        <v>16.659532245726538</v>
      </c>
      <c r="I9" s="50">
        <v>21607.332439649079</v>
      </c>
      <c r="J9" s="50">
        <v>15.543883783782508</v>
      </c>
      <c r="K9" s="50">
        <v>57522.786568527445</v>
      </c>
    </row>
    <row r="10" spans="3:11" x14ac:dyDescent="0.25">
      <c r="C10" s="49" t="s">
        <v>116</v>
      </c>
      <c r="D10" s="51">
        <v>41.31</v>
      </c>
      <c r="E10" s="52"/>
      <c r="F10" s="51">
        <v>32.090000000000003</v>
      </c>
      <c r="G10" s="52"/>
      <c r="H10" s="51">
        <v>27.17</v>
      </c>
      <c r="I10" s="52"/>
      <c r="J10" s="51">
        <v>10</v>
      </c>
      <c r="K10" s="52"/>
    </row>
    <row r="12" spans="3:11" ht="15.75" x14ac:dyDescent="0.25">
      <c r="C12" s="43" t="s">
        <v>117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106</v>
      </c>
      <c r="D13" s="46" t="s">
        <v>107</v>
      </c>
      <c r="E13" s="46"/>
      <c r="F13" s="46" t="s">
        <v>108</v>
      </c>
      <c r="G13" s="46"/>
      <c r="H13" s="46" t="s">
        <v>109</v>
      </c>
      <c r="I13" s="46"/>
      <c r="J13" s="46" t="s">
        <v>110</v>
      </c>
      <c r="K13" s="46"/>
    </row>
    <row r="14" spans="3:11" ht="63.75" x14ac:dyDescent="0.25">
      <c r="C14" s="47"/>
      <c r="D14" s="48" t="s">
        <v>111</v>
      </c>
      <c r="E14" s="48" t="s">
        <v>112</v>
      </c>
      <c r="F14" s="48" t="s">
        <v>111</v>
      </c>
      <c r="G14" s="48" t="s">
        <v>112</v>
      </c>
      <c r="H14" s="48" t="s">
        <v>111</v>
      </c>
      <c r="I14" s="48" t="s">
        <v>112</v>
      </c>
      <c r="J14" s="48" t="s">
        <v>111</v>
      </c>
      <c r="K14" s="48" t="s">
        <v>112</v>
      </c>
    </row>
    <row r="15" spans="3:11" x14ac:dyDescent="0.25">
      <c r="C15" s="49" t="s">
        <v>113</v>
      </c>
      <c r="D15" s="50">
        <v>23.234323432343217</v>
      </c>
      <c r="E15" s="50">
        <v>12323.432343234323</v>
      </c>
      <c r="F15" s="50">
        <v>17.242044678369805</v>
      </c>
      <c r="G15" s="50">
        <v>16108.714408973252</v>
      </c>
      <c r="H15" s="50">
        <v>14.061965588172253</v>
      </c>
      <c r="I15" s="50">
        <v>19320.455329423938</v>
      </c>
      <c r="J15" s="50">
        <v>13.070074855258639</v>
      </c>
      <c r="K15" s="50">
        <v>41032.967032967033</v>
      </c>
    </row>
    <row r="16" spans="3:11" x14ac:dyDescent="0.25">
      <c r="C16" s="49" t="s">
        <v>114</v>
      </c>
      <c r="D16" s="50">
        <v>19.170511887724118</v>
      </c>
      <c r="E16" s="50">
        <v>11917.051188772411</v>
      </c>
      <c r="F16" s="50">
        <v>15.789498508640643</v>
      </c>
      <c r="G16" s="50">
        <v>15524.138866547963</v>
      </c>
      <c r="H16" s="50">
        <v>11.864634923236528</v>
      </c>
      <c r="I16" s="50">
        <v>17517.174171418541</v>
      </c>
      <c r="J16" s="50">
        <v>13.806217646924557</v>
      </c>
      <c r="K16" s="50">
        <v>44210.373510019112</v>
      </c>
    </row>
    <row r="17" spans="3:11" x14ac:dyDescent="0.25">
      <c r="C17" s="49" t="s">
        <v>115</v>
      </c>
      <c r="D17" s="50">
        <v>26.655749448050848</v>
      </c>
      <c r="E17" s="50">
        <v>12665.574944805085</v>
      </c>
      <c r="F17" s="50">
        <v>16.55232376873219</v>
      </c>
      <c r="G17" s="50">
        <v>15832.985358067599</v>
      </c>
      <c r="H17" s="50">
        <v>16.659532245726538</v>
      </c>
      <c r="I17" s="50">
        <v>21607.332439649079</v>
      </c>
      <c r="J17" s="50">
        <v>14.22629140600138</v>
      </c>
      <c r="K17" s="50">
        <v>46122.647092413652</v>
      </c>
    </row>
    <row r="18" spans="3:11" x14ac:dyDescent="0.25">
      <c r="C18" s="49" t="s">
        <v>118</v>
      </c>
      <c r="D18" s="51">
        <v>45.45</v>
      </c>
      <c r="E18" s="52"/>
      <c r="F18" s="51">
        <v>34.770000000000003</v>
      </c>
      <c r="G18" s="52"/>
      <c r="H18" s="51">
        <v>28.99</v>
      </c>
      <c r="I18" s="52"/>
      <c r="J18" s="51">
        <v>13.65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2024-07-01T11:16:43Z</dcterms:created>
  <dcterms:modified xsi:type="dcterms:W3CDTF">2024-07-08T12:47:33Z</dcterms:modified>
</cp:coreProperties>
</file>