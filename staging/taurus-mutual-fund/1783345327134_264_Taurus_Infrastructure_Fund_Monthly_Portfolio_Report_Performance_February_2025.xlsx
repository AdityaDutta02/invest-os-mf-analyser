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DE31059C-CC03-4DF8-A933-73D5055DBCCB}" xr6:coauthVersionLast="47" xr6:coauthVersionMax="47" xr10:uidLastSave="{00000000-0000-0000-0000-000000000000}"/>
  <bookViews>
    <workbookView xWindow="-120" yWindow="-120" windowWidth="20730" windowHeight="11040" xr2:uid="{BC20E0DA-58D2-4417-B085-195347D52414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TISF!$C$8:$C$45</definedName>
    <definedName name="XDO_?FINAL_ISIN?8?">TISF!$D$10:$D$45</definedName>
    <definedName name="XDO_?FINAL_ISIN?9?">TISF!$D$10:$D$89</definedName>
    <definedName name="XDO_?FINAL_MV?8?">TISF!$H$10:$H$45</definedName>
    <definedName name="XDO_?FINAL_MV?9?">TISF!$H$10:$H$89</definedName>
    <definedName name="XDO_?FINAL_NAME?8?">TISF!$C$10:$C$45</definedName>
    <definedName name="XDO_?FINAL_NAME?9?">TISF!$C$10:$C$89</definedName>
    <definedName name="XDO_?FINAL_PER_NET?8?">TISF!$I$10:$I$45</definedName>
    <definedName name="XDO_?FINAL_PER_NET?9?">TISF!$I$10:$I$89</definedName>
    <definedName name="XDO_?FINAL_QUANTITE?8?">TISF!$G$10:$G$45</definedName>
    <definedName name="XDO_?FINAL_QUANTITE?9?">TISF!$G$10:$G$89</definedName>
    <definedName name="XDO_?IND_01?8?">TISF!$F$10:$F$45</definedName>
    <definedName name="XDO_?IND_01?9?">TISF!$F$10:$F$89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TISF!$B$10:$B$45</definedName>
    <definedName name="XDO_?NOVAL?9?">TISF!$B$10:$B$89</definedName>
    <definedName name="XDO_?NPTF?4?">TISF!$D$2:$D$45</definedName>
    <definedName name="XDO_?RATING?8?">TISF!$E$10:$E$45</definedName>
    <definedName name="XDO_?RATING?9?">TISF!$E$10:$E$89</definedName>
    <definedName name="XDO_?REMARKS?8?">TISF!$J$10:$J$45</definedName>
    <definedName name="XDO_?REMARKS?9?">TISF!$J$10:$J$89</definedName>
    <definedName name="XDO_?TITL?4?">TISF!$A$8:$A$45</definedName>
    <definedName name="XDO_GROUP_?G_2?4?">TISF!$2:$92</definedName>
    <definedName name="XDO_GROUP_?G_3?4?">TISF!$8:$91</definedName>
    <definedName name="XDO_GROUP_?G_4?8?">TISF!$B$10:$IV$45</definedName>
    <definedName name="XDO_GROUP_?G_4?9?">TISF!$B$89:$IV$89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<sst xmlns="http://schemas.openxmlformats.org/spreadsheetml/2006/main" count="280" uniqueCount="204">
  <si>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</si>
  <si>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</si>
  <si>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</si>
  <si>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</si>
  <si>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</si>
  <si>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</si>
  <si>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</si>
  <si>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</si>
  <si>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</si>
  <si>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</si>
  <si>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</si>
  <si>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</si>
  <si>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</si>
  <si>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</si>
  <si>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</si>
  <si>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</si>
  <si>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</si>
  <si>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</si>
  <si>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</si>
  <si>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</si>
  <si>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</si>
  <si>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</si>
  <si>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</si>
  <si>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</si>
  <si>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</si>
  <si>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</si>
  <si>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</si>
  <si>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</si>
  <si>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</si>
  <si>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</si>
  <si>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</si>
  <si>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</si>
  <si>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</si>
  <si>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</si>
  <si>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</si>
  <si>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</si>
  <si>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</si>
  <si>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</si>
  <si>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100302</t>
  </si>
  <si>
    <t>DLF Ltd.</t>
  </si>
  <si>
    <t>INE271C01023</t>
  </si>
  <si>
    <t>Realty</t>
  </si>
  <si>
    <t>102206</t>
  </si>
  <si>
    <t>Chemtech Industrial Valves Ltd.</t>
  </si>
  <si>
    <t>INE212P01011</t>
  </si>
  <si>
    <t>Industrial Manufacturing</t>
  </si>
  <si>
    <t>102520</t>
  </si>
  <si>
    <t>Transrail Lighting Ltd.</t>
  </si>
  <si>
    <t>INE454P01035</t>
  </si>
  <si>
    <t>Electrical Equipment</t>
  </si>
  <si>
    <t>100177</t>
  </si>
  <si>
    <t>Grasim Industries Ltd.</t>
  </si>
  <si>
    <t>INE047A01021</t>
  </si>
  <si>
    <t>100182</t>
  </si>
  <si>
    <t>Power Grid Corporation of India Ltd.</t>
  </si>
  <si>
    <t>INE752E01010</t>
  </si>
  <si>
    <t>100292</t>
  </si>
  <si>
    <t>Steel Authority of India Ltd.</t>
  </si>
  <si>
    <t>INE114A01011</t>
  </si>
  <si>
    <t>Ferrous Metals</t>
  </si>
  <si>
    <t>100752</t>
  </si>
  <si>
    <t>Praj Industries Ltd.</t>
  </si>
  <si>
    <t>INE074A01025</t>
  </si>
  <si>
    <t>102060</t>
  </si>
  <si>
    <t>Tarc Ltd.</t>
  </si>
  <si>
    <t>INE0EK901012</t>
  </si>
  <si>
    <t>100843</t>
  </si>
  <si>
    <t>Dalmia Bharat Ltd.</t>
  </si>
  <si>
    <t>INE00R701025</t>
  </si>
  <si>
    <t>102220</t>
  </si>
  <si>
    <t>Interarch Building Products Ltd.</t>
  </si>
  <si>
    <t>INE00M901018</t>
  </si>
  <si>
    <t>100174</t>
  </si>
  <si>
    <t>Vodafone Idea Ltd.</t>
  </si>
  <si>
    <t>INE669E01016</t>
  </si>
  <si>
    <t>100169</t>
  </si>
  <si>
    <t>Indian Oil Corporation Ltd.</t>
  </si>
  <si>
    <t>INE242A01010</t>
  </si>
  <si>
    <t>100365</t>
  </si>
  <si>
    <t>Ashok Leyland Ltd.</t>
  </si>
  <si>
    <t>INE208A01029</t>
  </si>
  <si>
    <t>Agricultural, Commercial &amp; Construction Vehicles</t>
  </si>
  <si>
    <t>101800</t>
  </si>
  <si>
    <t>Hindware Home Innovation Ltd.</t>
  </si>
  <si>
    <t>INE05AN01011</t>
  </si>
  <si>
    <t>Consumer Durables</t>
  </si>
  <si>
    <t>100111</t>
  </si>
  <si>
    <t>Oil &amp; Natural Gas Corporation Ltd.</t>
  </si>
  <si>
    <t>INE213A01029</t>
  </si>
  <si>
    <t>Oil</t>
  </si>
  <si>
    <t>100362</t>
  </si>
  <si>
    <t>JSW Energy Ltd.</t>
  </si>
  <si>
    <t>INE121E01018</t>
  </si>
  <si>
    <t>100014</t>
  </si>
  <si>
    <t>Mahindra &amp; Mahindra Ltd.</t>
  </si>
  <si>
    <t>INE101A01026</t>
  </si>
  <si>
    <t>Automobiles</t>
  </si>
  <si>
    <t>100083</t>
  </si>
  <si>
    <t>Samvardhana Motherson International Ltd.</t>
  </si>
  <si>
    <t>INE775A01035</t>
  </si>
  <si>
    <t>Auto Components</t>
  </si>
  <si>
    <t>100006</t>
  </si>
  <si>
    <t>HDFC Bank Ltd.</t>
  </si>
  <si>
    <t>INE040A01034</t>
  </si>
  <si>
    <t>Banks</t>
  </si>
  <si>
    <t>100094</t>
  </si>
  <si>
    <t>Bharat Petroleum Corporation Ltd.</t>
  </si>
  <si>
    <t>INE029A01011</t>
  </si>
  <si>
    <t>100809</t>
  </si>
  <si>
    <t>Rites Ltd.</t>
  </si>
  <si>
    <t>INE320J01015</t>
  </si>
  <si>
    <t>101489</t>
  </si>
  <si>
    <t>Data Patterns (India) Ltd.</t>
  </si>
  <si>
    <t>INE0IX101010</t>
  </si>
  <si>
    <t>Aerospace &amp; Defense</t>
  </si>
  <si>
    <t>100498</t>
  </si>
  <si>
    <t>Ahluwalia Contracts (India) Ltd.</t>
  </si>
  <si>
    <t>INE758C01029</t>
  </si>
  <si>
    <t>100281</t>
  </si>
  <si>
    <t>Aditya Birla Real Estate Ltd.</t>
  </si>
  <si>
    <t>INE055A01016</t>
  </si>
  <si>
    <t>Paper, Forest &amp; Jute Products</t>
  </si>
  <si>
    <t>100263</t>
  </si>
  <si>
    <t>BEML Ltd.</t>
  </si>
  <si>
    <t>INE258A01016</t>
  </si>
  <si>
    <t>100632</t>
  </si>
  <si>
    <t>Apar Industries Ltd.</t>
  </si>
  <si>
    <t>INE372A01015</t>
  </si>
  <si>
    <t>100078</t>
  </si>
  <si>
    <t>Sanghi Industries Ltd.</t>
  </si>
  <si>
    <t>INE999B01013</t>
  </si>
  <si>
    <t>100440</t>
  </si>
  <si>
    <t>Birla Corporation Ltd.</t>
  </si>
  <si>
    <t>INE340A01012</t>
  </si>
  <si>
    <t>100643</t>
  </si>
  <si>
    <t>PSP Projects Ltd.</t>
  </si>
  <si>
    <t>INE488V01015</t>
  </si>
  <si>
    <t>100659</t>
  </si>
  <si>
    <t>Visaka Industries Ltd.</t>
  </si>
  <si>
    <t>INE392A01021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</si>
  <si>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</si>
  <si>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</si>
  <si>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</si>
  <si>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</si>
  <si>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</si>
  <si>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</si>
  <si>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</si>
  <si>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</si>
  <si>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</si>
  <si>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</si>
  <si>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</si>
  <si>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</si>
  <si>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</si>
  <si>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</si>
  <si>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</si>
  <si>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</si>
  <si>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</si>
  <si>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</si>
  <si>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</si>
  <si>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</si>
  <si>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</si>
  <si>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</si>
  <si>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</si>
  <si>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</si>
  <si>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</si>
  <si>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</si>
  <si>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</si>
  <si>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</si>
  <si>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</si>
  <si>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</si>
  <si>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</si>
  <si>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</si>
  <si>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</si>
  <si>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</si>
  <si>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</si>
  <si>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</si>
  <si>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</si>
  <si>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</si>
  <si>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</si>
  <si>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</si>
  <si>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</si>
  <si>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</si>
  <si>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</si>
  <si>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</si>
  <si>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</si>
  <si>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0.98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</si>
  <si>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</si>
  <si>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</si>
  <si>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</si>
  <si>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</si>
  <si>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</si>
  <si>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</si>
  <si>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</si>
  <si>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</si>
  <si>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</si>
  <si>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</si>
  <si>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</si>
  <si>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</si>
  <si>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</si>
  <si>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</si>
  <si>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</si>
  <si>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February 28,2025 :56.07)</t>
  </si>
  <si>
    <t>Taurus Infrastructure Fund - Direct Plan Growth Option</t>
  </si>
  <si>
    <t>NAV [Rs.] Per Unit (as on February 28,2025 :60.06)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</si>
</sst>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E039CB3-00F8-4822-83C3-F1F8FC97FC21}"/>
    <cellStyle name="Hyperlink" xfId="2" builtinId="8"/>
    <cellStyle name="Normal" xfId="0" builtinId="0"/>
    <cellStyle name="Normal 2" xfId="4" xr:uid="{3FFC19C3-213A-4063-B414-616721531AA7}"/>
    <cellStyle name="Style 1" xfId="3" xr:uid="{CD4F9025-AFE0-4C47-8BAE-EA8237B3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66A52BED-233D-478F-B5FE-0E93CFA85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38DD-0CBA-444E-A618-E12EA5C1F885}"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76.91</v>
      </c>
      <c r="I10" s="32">
        <v>9.7100000000000009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64.97</v>
      </c>
      <c r="I11" s="32">
        <v>8.2100000000000009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54.4</v>
      </c>
      <c r="I12" s="32">
        <v>6.87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44.6</v>
      </c>
      <c r="I13" s="32">
        <v>5.63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9787</v>
      </c>
      <c r="H14" s="32">
        <v>30.43</v>
      </c>
      <c r="I14" s="32">
        <v>3.84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280</v>
      </c>
      <c r="H15" s="32">
        <v>28.32</v>
      </c>
      <c r="I15" s="32">
        <v>3.58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4454</v>
      </c>
      <c r="H16" s="32">
        <v>28.27</v>
      </c>
      <c r="I16" s="32">
        <v>3.57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25000</v>
      </c>
      <c r="H17" s="32">
        <v>27.68</v>
      </c>
      <c r="I17" s="32">
        <v>3.5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4656</v>
      </c>
      <c r="H18" s="32">
        <v>24.07</v>
      </c>
      <c r="I18" s="32">
        <v>3.04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37</v>
      </c>
      <c r="G19" s="31">
        <v>1015</v>
      </c>
      <c r="H19" s="32">
        <v>23.4</v>
      </c>
      <c r="I19" s="32">
        <v>2.96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33</v>
      </c>
      <c r="G20" s="31">
        <v>8677</v>
      </c>
      <c r="H20" s="32">
        <v>21.75</v>
      </c>
      <c r="I20" s="32">
        <v>2.75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20533</v>
      </c>
      <c r="H21" s="32">
        <v>21.56</v>
      </c>
      <c r="I21" s="32">
        <v>2.72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45</v>
      </c>
      <c r="G22" s="31">
        <v>4394</v>
      </c>
      <c r="H22" s="32">
        <v>21.49</v>
      </c>
      <c r="I22" s="32">
        <v>2.71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41</v>
      </c>
      <c r="G23" s="31">
        <v>18003</v>
      </c>
      <c r="H23" s="32">
        <v>21.48</v>
      </c>
      <c r="I23" s="32">
        <v>2.71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37</v>
      </c>
      <c r="G24" s="31">
        <v>1208</v>
      </c>
      <c r="H24" s="32">
        <v>20.39</v>
      </c>
      <c r="I24" s="32">
        <v>2.57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26</v>
      </c>
      <c r="G25" s="31">
        <v>1361</v>
      </c>
      <c r="H25" s="32">
        <v>20.03</v>
      </c>
      <c r="I25" s="32">
        <v>2.5299999999999998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18</v>
      </c>
      <c r="G26" s="31">
        <v>255518</v>
      </c>
      <c r="H26" s="32">
        <v>19.32</v>
      </c>
      <c r="I26" s="32">
        <v>2.44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22</v>
      </c>
      <c r="G27" s="31">
        <v>16067</v>
      </c>
      <c r="H27" s="32">
        <v>18.239999999999998</v>
      </c>
      <c r="I27" s="32">
        <v>2.2999999999999998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8546</v>
      </c>
      <c r="H28" s="32">
        <v>18.190000000000001</v>
      </c>
      <c r="I28" s="32">
        <v>2.2999999999999998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8872</v>
      </c>
      <c r="H29" s="32">
        <v>17.7</v>
      </c>
      <c r="I29" s="32">
        <v>2.23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6894</v>
      </c>
      <c r="H30" s="32">
        <v>15.53</v>
      </c>
      <c r="I30" s="32">
        <v>1.96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33</v>
      </c>
      <c r="G31" s="31">
        <v>3031</v>
      </c>
      <c r="H31" s="32">
        <v>14.06</v>
      </c>
      <c r="I31" s="32">
        <v>1.78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523</v>
      </c>
      <c r="H32" s="32">
        <v>13.51</v>
      </c>
      <c r="I32" s="32">
        <v>1.71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11000</v>
      </c>
      <c r="H33" s="32">
        <v>13.04</v>
      </c>
      <c r="I33" s="32">
        <v>1.65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702</v>
      </c>
      <c r="H34" s="32">
        <v>12.15</v>
      </c>
      <c r="I34" s="32">
        <v>1.53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22</v>
      </c>
      <c r="G35" s="31">
        <v>5104</v>
      </c>
      <c r="H35" s="32">
        <v>12.11</v>
      </c>
      <c r="I35" s="32">
        <v>1.53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26</v>
      </c>
      <c r="G36" s="31">
        <v>5803</v>
      </c>
      <c r="H36" s="32">
        <v>11.86</v>
      </c>
      <c r="I36" s="32">
        <v>1.5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746</v>
      </c>
      <c r="H37" s="32">
        <v>10.73</v>
      </c>
      <c r="I37" s="32">
        <v>1.35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26</v>
      </c>
      <c r="G38" s="31">
        <v>1505</v>
      </c>
      <c r="H38" s="32">
        <v>9.7200000000000006</v>
      </c>
      <c r="I38" s="32">
        <v>1.23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441</v>
      </c>
      <c r="H39" s="32">
        <v>8.1999999999999993</v>
      </c>
      <c r="I39" s="32">
        <v>1.04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81</v>
      </c>
      <c r="G40" s="31">
        <v>280</v>
      </c>
      <c r="H40" s="32">
        <v>6.87</v>
      </c>
      <c r="I40" s="32">
        <v>0.87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49</v>
      </c>
      <c r="G41" s="31">
        <v>100</v>
      </c>
      <c r="H41" s="32">
        <v>5.8</v>
      </c>
      <c r="I41" s="32">
        <v>0.73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37</v>
      </c>
      <c r="G42" s="31">
        <v>10000</v>
      </c>
      <c r="H42" s="32">
        <v>5.19</v>
      </c>
      <c r="I42" s="32">
        <v>0.66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37</v>
      </c>
      <c r="G43" s="31">
        <v>385</v>
      </c>
      <c r="H43" s="32">
        <v>3.74</v>
      </c>
      <c r="I43" s="32">
        <v>0.47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26</v>
      </c>
      <c r="G44" s="31">
        <v>405</v>
      </c>
      <c r="H44" s="32">
        <v>2.52</v>
      </c>
      <c r="I44" s="32">
        <v>0.32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37</v>
      </c>
      <c r="G45" s="31">
        <v>3100</v>
      </c>
      <c r="H45" s="32">
        <v>2.04</v>
      </c>
      <c r="I45" s="32">
        <v>0.26</v>
      </c>
      <c r="J45" s="33"/>
    </row>
    <row r="46" spans="2:10" x14ac:dyDescent="0.25">
      <c r="C46" s="28" t="s">
        <v>140</v>
      </c>
      <c r="D46" s="29"/>
      <c r="E46" s="30"/>
      <c r="F46" s="30"/>
      <c r="G46" s="31"/>
      <c r="H46" s="35">
        <v>750.27</v>
      </c>
      <c r="I46" s="35">
        <v>94.76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141</v>
      </c>
      <c r="D48" s="29"/>
      <c r="E48" s="30"/>
      <c r="F48" s="30"/>
      <c r="G48" s="31"/>
      <c r="H48" s="32" t="s">
        <v>142</v>
      </c>
      <c r="I48" s="32" t="s">
        <v>142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143</v>
      </c>
      <c r="D50" s="29"/>
      <c r="E50" s="30"/>
      <c r="F50" s="30"/>
      <c r="G50" s="31"/>
      <c r="H50" s="32" t="s">
        <v>142</v>
      </c>
      <c r="I50" s="32" t="s">
        <v>142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144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145</v>
      </c>
      <c r="D54" s="29"/>
      <c r="E54" s="30"/>
      <c r="F54" s="30"/>
      <c r="G54" s="31"/>
      <c r="H54" s="32" t="s">
        <v>142</v>
      </c>
      <c r="I54" s="32" t="s">
        <v>142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146</v>
      </c>
      <c r="D56" s="29"/>
      <c r="E56" s="30"/>
      <c r="F56" s="30"/>
      <c r="G56" s="31"/>
      <c r="H56" s="32" t="s">
        <v>142</v>
      </c>
      <c r="I56" s="32" t="s">
        <v>142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147</v>
      </c>
      <c r="D58" s="29"/>
      <c r="E58" s="30"/>
      <c r="F58" s="30"/>
      <c r="G58" s="31"/>
      <c r="H58" s="32" t="s">
        <v>142</v>
      </c>
      <c r="I58" s="32" t="s">
        <v>142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148</v>
      </c>
      <c r="D60" s="29"/>
      <c r="E60" s="30"/>
      <c r="F60" s="30"/>
      <c r="G60" s="31"/>
      <c r="H60" s="32" t="s">
        <v>142</v>
      </c>
      <c r="I60" s="32" t="s">
        <v>142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149</v>
      </c>
      <c r="D62" s="29"/>
      <c r="E62" s="30"/>
      <c r="F62" s="30"/>
      <c r="G62" s="31"/>
      <c r="H62" s="32" t="s">
        <v>142</v>
      </c>
      <c r="I62" s="32" t="s">
        <v>142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150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151</v>
      </c>
      <c r="D66" s="29"/>
      <c r="E66" s="30"/>
      <c r="F66" s="30"/>
      <c r="G66" s="31"/>
      <c r="H66" s="32" t="s">
        <v>142</v>
      </c>
      <c r="I66" s="32" t="s">
        <v>142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152</v>
      </c>
      <c r="D68" s="29"/>
      <c r="E68" s="30"/>
      <c r="F68" s="30"/>
      <c r="G68" s="31"/>
      <c r="H68" s="32" t="s">
        <v>142</v>
      </c>
      <c r="I68" s="32" t="s">
        <v>142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153</v>
      </c>
      <c r="D70" s="29"/>
      <c r="E70" s="30"/>
      <c r="F70" s="30"/>
      <c r="G70" s="31"/>
      <c r="H70" s="32" t="s">
        <v>142</v>
      </c>
      <c r="I70" s="32" t="s">
        <v>142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154</v>
      </c>
      <c r="D72" s="29"/>
      <c r="E72" s="30"/>
      <c r="F72" s="30"/>
      <c r="G72" s="31"/>
      <c r="H72" s="32" t="s">
        <v>142</v>
      </c>
      <c r="I72" s="32" t="s">
        <v>142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155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156</v>
      </c>
      <c r="D76" s="29"/>
      <c r="E76" s="30"/>
      <c r="F76" s="30"/>
      <c r="G76" s="31"/>
      <c r="H76" s="32" t="s">
        <v>142</v>
      </c>
      <c r="I76" s="32" t="s">
        <v>142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157</v>
      </c>
      <c r="D78" s="29"/>
      <c r="E78" s="30"/>
      <c r="F78" s="30"/>
      <c r="G78" s="31"/>
      <c r="H78" s="32" t="s">
        <v>142</v>
      </c>
      <c r="I78" s="32" t="s">
        <v>142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158</v>
      </c>
      <c r="D80" s="29"/>
      <c r="E80" s="30"/>
      <c r="F80" s="30"/>
      <c r="G80" s="31"/>
      <c r="H80" s="32" t="s">
        <v>142</v>
      </c>
      <c r="I80" s="32" t="s">
        <v>142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159</v>
      </c>
      <c r="D82" s="29"/>
      <c r="E82" s="30"/>
      <c r="F82" s="30"/>
      <c r="G82" s="31"/>
      <c r="H82" s="32" t="s">
        <v>142</v>
      </c>
      <c r="I82" s="32" t="s">
        <v>142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160</v>
      </c>
      <c r="D84" s="29"/>
      <c r="E84" s="30"/>
      <c r="F84" s="30"/>
      <c r="G84" s="31"/>
      <c r="H84" s="32" t="s">
        <v>142</v>
      </c>
      <c r="I84" s="32" t="s">
        <v>142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161</v>
      </c>
      <c r="D86" s="29"/>
      <c r="E86" s="30"/>
      <c r="F86" s="30"/>
      <c r="G86" s="31"/>
      <c r="H86" s="32" t="s">
        <v>142</v>
      </c>
      <c r="I86" s="32" t="s">
        <v>142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162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163</v>
      </c>
      <c r="D89" s="29"/>
      <c r="E89" s="30"/>
      <c r="F89" s="30"/>
      <c r="G89" s="31"/>
      <c r="H89" s="32">
        <v>41.56</v>
      </c>
      <c r="I89" s="32">
        <v>5.24</v>
      </c>
      <c r="J89" s="33"/>
    </row>
    <row r="90" spans="1:10" x14ac:dyDescent="0.25">
      <c r="C90" s="28" t="s">
        <v>140</v>
      </c>
      <c r="D90" s="29"/>
      <c r="E90" s="30"/>
      <c r="F90" s="30"/>
      <c r="G90" s="31"/>
      <c r="H90" s="35">
        <v>41.56</v>
      </c>
      <c r="I90" s="35">
        <v>5.24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164</v>
      </c>
      <c r="D92" s="37"/>
      <c r="E92" s="38"/>
      <c r="F92" s="39"/>
      <c r="G92" s="40"/>
      <c r="H92" s="41">
        <v>791.83</v>
      </c>
      <c r="I92" s="41">
        <f>SUMIFS(I:I,C:C,"Total")</f>
        <v>100</v>
      </c>
      <c r="J92" s="42"/>
    </row>
    <row r="95" spans="1:10" x14ac:dyDescent="0.25">
      <c r="C95" s="11" t="s">
        <v>165</v>
      </c>
    </row>
    <row r="96" spans="1:10" x14ac:dyDescent="0.25">
      <c r="C96" s="2" t="s">
        <v>166</v>
      </c>
    </row>
    <row r="97" spans="3:5" x14ac:dyDescent="0.25">
      <c r="C97" s="2" t="s">
        <v>167</v>
      </c>
    </row>
    <row r="98" spans="3:5" x14ac:dyDescent="0.25">
      <c r="C98" s="2" t="s">
        <v>168</v>
      </c>
    </row>
    <row r="99" spans="3:5" x14ac:dyDescent="0.25">
      <c r="C99" s="2" t="s">
        <v>169</v>
      </c>
    </row>
    <row r="100" spans="3:5" x14ac:dyDescent="0.25">
      <c r="C100" s="2" t="s">
        <v>170</v>
      </c>
    </row>
    <row r="101" spans="3:5" x14ac:dyDescent="0.25">
      <c r="C101" s="2" t="s">
        <v>171</v>
      </c>
    </row>
    <row r="102" spans="3:5" x14ac:dyDescent="0.25">
      <c r="D102" s="2" t="s">
        <v>172</v>
      </c>
    </row>
    <row r="103" spans="3:5" x14ac:dyDescent="0.25">
      <c r="C103" s="2" t="s">
        <v>173</v>
      </c>
      <c r="D103" s="2" t="s">
        <v>174</v>
      </c>
      <c r="E103" s="2" t="s">
        <v>174</v>
      </c>
    </row>
    <row r="104" spans="3:5" x14ac:dyDescent="0.25">
      <c r="D104" s="2" t="s">
        <v>175</v>
      </c>
      <c r="E104" s="2" t="s">
        <v>176</v>
      </c>
    </row>
    <row r="105" spans="3:5" x14ac:dyDescent="0.25">
      <c r="C105" s="2" t="s">
        <v>177</v>
      </c>
      <c r="D105" s="2">
        <v>59.51</v>
      </c>
      <c r="E105" s="2">
        <v>52.66</v>
      </c>
    </row>
    <row r="106" spans="3:5" x14ac:dyDescent="0.25">
      <c r="C106" s="2" t="s">
        <v>178</v>
      </c>
      <c r="D106" s="2">
        <v>63.36</v>
      </c>
      <c r="E106" s="2">
        <v>56.07</v>
      </c>
    </row>
    <row r="107" spans="3:5" x14ac:dyDescent="0.25">
      <c r="C107" s="2" t="s">
        <v>179</v>
      </c>
      <c r="D107" s="2">
        <v>63.17</v>
      </c>
      <c r="E107" s="2">
        <v>55.94</v>
      </c>
    </row>
    <row r="108" spans="3:5" x14ac:dyDescent="0.25">
      <c r="C108" s="2" t="s">
        <v>180</v>
      </c>
      <c r="D108" s="2">
        <v>67.83</v>
      </c>
      <c r="E108" s="2">
        <v>60.06</v>
      </c>
    </row>
    <row r="110" spans="3:5" x14ac:dyDescent="0.25">
      <c r="C110" s="2" t="s">
        <v>181</v>
      </c>
    </row>
    <row r="111" spans="3:5" x14ac:dyDescent="0.25">
      <c r="C111" s="2" t="s">
        <v>182</v>
      </c>
    </row>
    <row r="112" spans="3:5" x14ac:dyDescent="0.25">
      <c r="C112" s="2" t="s">
        <v>183</v>
      </c>
    </row>
    <row r="113" spans="3:3" x14ac:dyDescent="0.25">
      <c r="C113" s="2" t="s">
        <v>184</v>
      </c>
    </row>
    <row r="114" spans="3:3" x14ac:dyDescent="0.25">
      <c r="C114" s="2" t="s">
        <v>185</v>
      </c>
    </row>
    <row r="115" spans="3:3" x14ac:dyDescent="0.25">
      <c r="C115" s="2" t="s">
        <v>186</v>
      </c>
    </row>
    <row r="116" spans="3:3" x14ac:dyDescent="0.25">
      <c r="C116" s="2" t="s">
        <v>187</v>
      </c>
    </row>
    <row r="117" spans="3:3" x14ac:dyDescent="0.25">
      <c r="C117" s="2" t="s">
        <v>188</v>
      </c>
    </row>
    <row r="118" spans="3:3" x14ac:dyDescent="0.25">
      <c r="C118" s="2" t="s">
        <v>189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E04C-5789-4B3C-A32D-0E0D4D88D270}">
  <dimension ref="C4:K18"/>
  <sheetViews>
    <sheetView workbookViewId="0"/>
  </sheetViews>
  <sheetFormatPr defaultRowHeight="15" x14ac:dyDescent="0.25"/>
  <cols>
    <col min="3" max="3" width="47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190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191</v>
      </c>
      <c r="D5" s="51" t="s">
        <v>192</v>
      </c>
      <c r="E5" s="51"/>
      <c r="F5" s="51" t="s">
        <v>193</v>
      </c>
      <c r="G5" s="51"/>
      <c r="H5" s="51" t="s">
        <v>194</v>
      </c>
      <c r="I5" s="51"/>
      <c r="J5" s="52" t="s">
        <v>195</v>
      </c>
      <c r="K5" s="52"/>
    </row>
    <row r="6" spans="3:11" ht="63.75" x14ac:dyDescent="0.25">
      <c r="C6" s="46"/>
      <c r="D6" s="47" t="s">
        <v>196</v>
      </c>
      <c r="E6" s="47" t="s">
        <v>197</v>
      </c>
      <c r="F6" s="47" t="s">
        <v>196</v>
      </c>
      <c r="G6" s="47" t="s">
        <v>197</v>
      </c>
      <c r="H6" s="47" t="s">
        <v>196</v>
      </c>
      <c r="I6" s="47" t="s">
        <v>197</v>
      </c>
      <c r="J6" s="48" t="s">
        <v>196</v>
      </c>
      <c r="K6" s="48" t="s">
        <v>197</v>
      </c>
    </row>
    <row r="7" spans="3:11" x14ac:dyDescent="0.25">
      <c r="C7" s="49" t="s">
        <v>198</v>
      </c>
      <c r="D7" s="50">
        <v>-5.415</v>
      </c>
      <c r="E7" s="50">
        <v>9495.3429297205766</v>
      </c>
      <c r="F7" s="50">
        <v>14.703099999999999</v>
      </c>
      <c r="G7" s="50">
        <v>15096.930533117931</v>
      </c>
      <c r="H7" s="50">
        <v>18.277799999999999</v>
      </c>
      <c r="I7" s="50">
        <v>23169.421487603307</v>
      </c>
      <c r="J7" s="50">
        <v>10.051500000000001</v>
      </c>
      <c r="K7" s="50">
        <v>56070</v>
      </c>
    </row>
    <row r="8" spans="3:11" x14ac:dyDescent="0.25">
      <c r="C8" s="49" t="s">
        <v>199</v>
      </c>
      <c r="D8" s="50">
        <v>-4.4410999999999996</v>
      </c>
      <c r="E8" s="50">
        <v>9555.89</v>
      </c>
      <c r="F8" s="50">
        <v>17.906199999999998</v>
      </c>
      <c r="G8" s="50">
        <v>16391.169002224666</v>
      </c>
      <c r="H8" s="50">
        <v>22.103000000000002</v>
      </c>
      <c r="I8" s="50">
        <v>27141.364167864478</v>
      </c>
      <c r="J8" s="50">
        <v>6.9789000000000003</v>
      </c>
      <c r="K8" s="50">
        <v>33679.551837198989</v>
      </c>
    </row>
    <row r="9" spans="3:11" x14ac:dyDescent="0.25">
      <c r="C9" s="49" t="s">
        <v>200</v>
      </c>
      <c r="D9" s="50">
        <v>1.8946000000000001</v>
      </c>
      <c r="E9" s="50">
        <v>10189.459999999999</v>
      </c>
      <c r="F9" s="50">
        <v>10.923299999999999</v>
      </c>
      <c r="G9" s="50">
        <v>13647.97896451152</v>
      </c>
      <c r="H9" s="50">
        <v>15.940099999999999</v>
      </c>
      <c r="I9" s="50">
        <v>20949.243903360148</v>
      </c>
      <c r="J9" s="50">
        <v>11.979900000000001</v>
      </c>
      <c r="K9" s="50">
        <v>76651.623169686805</v>
      </c>
    </row>
    <row r="10" spans="3:11" x14ac:dyDescent="0.25">
      <c r="C10" s="49" t="s">
        <v>201</v>
      </c>
      <c r="D10" s="53">
        <v>59.05</v>
      </c>
      <c r="E10" s="54"/>
      <c r="F10" s="53">
        <v>37.14</v>
      </c>
      <c r="G10" s="54"/>
      <c r="H10" s="53">
        <v>24.2</v>
      </c>
      <c r="I10" s="54"/>
      <c r="J10" s="53">
        <v>10</v>
      </c>
      <c r="K10" s="54"/>
    </row>
    <row r="12" spans="3:11" ht="15.75" x14ac:dyDescent="0.25">
      <c r="C12" s="43" t="s">
        <v>202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191</v>
      </c>
      <c r="D13" s="51" t="s">
        <v>192</v>
      </c>
      <c r="E13" s="51"/>
      <c r="F13" s="51" t="s">
        <v>193</v>
      </c>
      <c r="G13" s="51"/>
      <c r="H13" s="51" t="s">
        <v>194</v>
      </c>
      <c r="I13" s="51"/>
      <c r="J13" s="52" t="s">
        <v>195</v>
      </c>
      <c r="K13" s="52"/>
    </row>
    <row r="14" spans="3:11" ht="63.75" x14ac:dyDescent="0.25">
      <c r="C14" s="46"/>
      <c r="D14" s="47" t="s">
        <v>196</v>
      </c>
      <c r="E14" s="47" t="s">
        <v>197</v>
      </c>
      <c r="F14" s="47" t="s">
        <v>196</v>
      </c>
      <c r="G14" s="47" t="s">
        <v>197</v>
      </c>
      <c r="H14" s="47" t="s">
        <v>196</v>
      </c>
      <c r="I14" s="47" t="s">
        <v>197</v>
      </c>
      <c r="J14" s="48" t="s">
        <v>196</v>
      </c>
      <c r="K14" s="48" t="s">
        <v>197</v>
      </c>
    </row>
    <row r="15" spans="3:11" x14ac:dyDescent="0.25">
      <c r="C15" s="49" t="s">
        <v>198</v>
      </c>
      <c r="D15" s="50">
        <v>-4.9382999999999999</v>
      </c>
      <c r="E15" s="50">
        <v>9543.937708565074</v>
      </c>
      <c r="F15" s="50">
        <v>15.2096</v>
      </c>
      <c r="G15" s="50">
        <v>15298.013245033115</v>
      </c>
      <c r="H15" s="50">
        <v>18.778199999999998</v>
      </c>
      <c r="I15" s="50">
        <v>23664.302600472813</v>
      </c>
      <c r="J15" s="50">
        <v>13.471399999999999</v>
      </c>
      <c r="K15" s="50">
        <v>46848.673946957882</v>
      </c>
    </row>
    <row r="16" spans="3:11" x14ac:dyDescent="0.25">
      <c r="C16" s="49" t="s">
        <v>199</v>
      </c>
      <c r="D16" s="50">
        <v>-4.4410999999999996</v>
      </c>
      <c r="E16" s="50">
        <v>9555.89</v>
      </c>
      <c r="F16" s="50">
        <v>17.906199999999998</v>
      </c>
      <c r="G16" s="50">
        <v>16391.169002224666</v>
      </c>
      <c r="H16" s="50">
        <v>22.103000000000002</v>
      </c>
      <c r="I16" s="50">
        <v>27141.364167864478</v>
      </c>
      <c r="J16" s="50">
        <v>10.7018</v>
      </c>
      <c r="K16" s="50">
        <v>34444.072462618977</v>
      </c>
    </row>
    <row r="17" spans="3:11" x14ac:dyDescent="0.25">
      <c r="C17" s="49" t="s">
        <v>200</v>
      </c>
      <c r="D17" s="50">
        <v>1.8946000000000001</v>
      </c>
      <c r="E17" s="50">
        <v>10189.459999999999</v>
      </c>
      <c r="F17" s="50">
        <v>10.923299999999999</v>
      </c>
      <c r="G17" s="50">
        <v>13647.97896451152</v>
      </c>
      <c r="H17" s="50">
        <v>15.940099999999999</v>
      </c>
      <c r="I17" s="50">
        <v>20949.243903360148</v>
      </c>
      <c r="J17" s="50">
        <v>12.694599999999999</v>
      </c>
      <c r="K17" s="50">
        <v>42792.661105268897</v>
      </c>
    </row>
    <row r="18" spans="3:11" x14ac:dyDescent="0.25">
      <c r="C18" s="49" t="s">
        <v>203</v>
      </c>
      <c r="D18" s="53">
        <v>62.93</v>
      </c>
      <c r="E18" s="54"/>
      <c r="F18" s="53">
        <v>39.26</v>
      </c>
      <c r="G18" s="54"/>
      <c r="H18" s="53">
        <v>25.38</v>
      </c>
      <c r="I18" s="54"/>
      <c r="J18" s="53">
        <v>12.82</v>
      </c>
      <c r="K18" s="54"/>
    </row>
  </sheetData>
  <mergeCells count="16">
    <mergeCell ref="D5:E5"/>
    <mergeCell ref="F5:G5"/>
    <mergeCell ref="H5:I5"/>
    <mergeCell ref="J5:K5"/>
    <mergeCell ref="D10:E10"/>
    <mergeCell ref="F10:G10"/>
    <mergeCell ref="H10:I10"/>
    <mergeCell ref="J10:K10"/>
    <mergeCell ref="D13:E13"/>
    <mergeCell ref="F13:G13"/>
    <mergeCell ref="H13:I13"/>
    <mergeCell ref="J13:K13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2025-03-06T12:10:51Z</dcterms:created>
  <dcterms:modified xsi:type="dcterms:W3CDTF">2025-03-06T15:15:22Z</dcterms:modified>
</cp:coreProperties>
</file>