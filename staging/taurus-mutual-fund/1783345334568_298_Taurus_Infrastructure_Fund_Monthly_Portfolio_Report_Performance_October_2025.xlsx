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8. Nov 2025\Monthly Portfolio\Ops\"/>
    </mc:Choice>
  </mc:AlternateContent>
  <xr:revisionPtr revIDLastSave="0" documentId="13_ncr:1_{DBCD62D3-A7E1-4A80-97EF-E5FF9D55758C}" xr6:coauthVersionLast="47" xr6:coauthVersionMax="47" xr10:uidLastSave="{00000000-0000-0000-0000-000000000000}"/>
  <bookViews>
    <workbookView xWindow="-120" yWindow="-120" windowWidth="20730" windowHeight="11040" xr2:uid="{AF1F3EEF-2632-4740-ADE6-C499C050C14C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TISF!$C$8:$C$44</definedName>
    <definedName name="XDO_?FINAL_ISIN?7?">TISF!$D$10:$D$44</definedName>
    <definedName name="XDO_?FINAL_ISIN?8?">TISF!$D$10:$D$88</definedName>
    <definedName name="XDO_?FINAL_MV?7?">TISF!$H$10:$H$44</definedName>
    <definedName name="XDO_?FINAL_MV?8?">TISF!$H$10:$H$88</definedName>
    <definedName name="XDO_?FINAL_NAME?7?">TISF!$C$10:$C$44</definedName>
    <definedName name="XDO_?FINAL_NAME?8?">TISF!$C$10:$C$88</definedName>
    <definedName name="XDO_?FINAL_PER_NET?7?">TISF!$I$10:$I$44</definedName>
    <definedName name="XDO_?FINAL_PER_NET?8?">TISF!$I$10:$I$88</definedName>
    <definedName name="XDO_?FINAL_QUANTITE?7?">TISF!$G$10:$G$44</definedName>
    <definedName name="XDO_?FINAL_QUANTITE?8?">TISF!$G$10:$G$88</definedName>
    <definedName name="XDO_?IND_01?7?">TISF!$F$10:$F$44</definedName>
    <definedName name="XDO_?IND_01?8?">TISF!$F$10:$F$88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TISF!$B$10:$B$44</definedName>
    <definedName name="XDO_?NOVAL?8?">TISF!$B$10:$B$88</definedName>
    <definedName name="XDO_?NPTF?4?">TISF!$D$2:$D$44</definedName>
    <definedName name="XDO_?RATING?7?">TISF!$E$10:$E$44</definedName>
    <definedName name="XDO_?RATING?8?">TISF!$E$10:$E$88</definedName>
    <definedName name="XDO_?REMARKS?7?">TISF!$J$10:$J$44</definedName>
    <definedName name="XDO_?REMARKS?8?">TISF!$J$10:$J$88</definedName>
    <definedName name="XDO_?TITL?4?">TISF!$A$8:$A$44</definedName>
    <definedName name="XDO_GROUP_?G_2?4?">TISF!$2:$91</definedName>
    <definedName name="XDO_GROUP_?G_3?4?">TISF!$8:$90</definedName>
    <definedName name="XDO_GROUP_?G_4?7?">TISF!$B$10:$IV$44</definedName>
    <definedName name="XDO_GROUP_?G_4?8?">TISF!$B$88:$IV$88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<sst xmlns="http://schemas.openxmlformats.org/spreadsheetml/2006/main" count="282" uniqueCount="204">
  <si>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</si>
  <si>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</si>
  <si>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</si>
  <si>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</si>
  <si>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</si>
  <si>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</si>
  <si>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</si>
  <si>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</si>
  <si>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</si>
  <si>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</si>
  <si>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</si>
  <si>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</si>
  <si>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</si>
  <si>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</si>
  <si>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</si>
  <si>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</si>
  <si>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</si>
  <si>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</si>
  <si>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</si>
  <si>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</si>
  <si>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</si>
  <si>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</si>
  <si>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</si>
  <si>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</si>
  <si>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</si>
  <si>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</si>
  <si>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</si>
  <si>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100182</t>
  </si>
  <si>
    <t>Power Grid Corporation of India Ltd.</t>
  </si>
  <si>
    <t>INE752E01010</t>
  </si>
  <si>
    <t>Power</t>
  </si>
  <si>
    <t>102447</t>
  </si>
  <si>
    <t>Afcons Infrastructure Ltd.</t>
  </si>
  <si>
    <t>INE101I01011</t>
  </si>
  <si>
    <t>102611</t>
  </si>
  <si>
    <t>Kalpataru Ltd.</t>
  </si>
  <si>
    <t>INE227J01012</t>
  </si>
  <si>
    <t>Realty</t>
  </si>
  <si>
    <t>100094</t>
  </si>
  <si>
    <t>Bharat Petroleum Corporation Ltd.</t>
  </si>
  <si>
    <t>INE029A01011</t>
  </si>
  <si>
    <t>100082</t>
  </si>
  <si>
    <t>Ultratech Cement Ltd.</t>
  </si>
  <si>
    <t>INE481G01011</t>
  </si>
  <si>
    <t>Cement &amp; Cement Products</t>
  </si>
  <si>
    <t>100169</t>
  </si>
  <si>
    <t>Indian Oil Corporation Ltd.</t>
  </si>
  <si>
    <t>INE242A01010</t>
  </si>
  <si>
    <t>100181</t>
  </si>
  <si>
    <t>NTPC Ltd.</t>
  </si>
  <si>
    <t>INE733E01010</t>
  </si>
  <si>
    <t>100177</t>
  </si>
  <si>
    <t>Grasim Industries Ltd.</t>
  </si>
  <si>
    <t>INE047A01021</t>
  </si>
  <si>
    <t>100263</t>
  </si>
  <si>
    <t>BEML Ltd.</t>
  </si>
  <si>
    <t>INE258A01024</t>
  </si>
  <si>
    <t>Agricultural, Commercial &amp; Construction Vehicles</t>
  </si>
  <si>
    <t>100111</t>
  </si>
  <si>
    <t>Oil &amp; Natural Gas Corporation Ltd.</t>
  </si>
  <si>
    <t>INE213A01029</t>
  </si>
  <si>
    <t>Oil</t>
  </si>
  <si>
    <t>100292</t>
  </si>
  <si>
    <t>Steel Authority of India Ltd.</t>
  </si>
  <si>
    <t>INE114A01011</t>
  </si>
  <si>
    <t>Ferrous Metals</t>
  </si>
  <si>
    <t>102206</t>
  </si>
  <si>
    <t>Chemtech Industrial Valves Ltd.</t>
  </si>
  <si>
    <t>INE212P01011</t>
  </si>
  <si>
    <t>Industrial Manufacturing</t>
  </si>
  <si>
    <t>100465</t>
  </si>
  <si>
    <t>Interglobe Aviation Ltd.</t>
  </si>
  <si>
    <t>INE646L01027</t>
  </si>
  <si>
    <t>Transport Services</t>
  </si>
  <si>
    <t>100302</t>
  </si>
  <si>
    <t>DLF Ltd.</t>
  </si>
  <si>
    <t>INE271C01023</t>
  </si>
  <si>
    <t>100430</t>
  </si>
  <si>
    <t>Salzer Electronics Ltd.</t>
  </si>
  <si>
    <t>INE457F01013</t>
  </si>
  <si>
    <t>Electrical Equipment</t>
  </si>
  <si>
    <t>100100</t>
  </si>
  <si>
    <t>Hindustan Petroleum Corporation Ltd.</t>
  </si>
  <si>
    <t>INE094A01015</t>
  </si>
  <si>
    <t>100174</t>
  </si>
  <si>
    <t>Vodafone Idea Ltd.</t>
  </si>
  <si>
    <t>INE669E01016</t>
  </si>
  <si>
    <t>102135</t>
  </si>
  <si>
    <t>Le Travenues Technology Ltd.</t>
  </si>
  <si>
    <t>INE0HV901016</t>
  </si>
  <si>
    <t>Leisure Services</t>
  </si>
  <si>
    <t>102505</t>
  </si>
  <si>
    <t>Apeejay Surrendra Park Hotels Ltd.</t>
  </si>
  <si>
    <t>INE988S01028</t>
  </si>
  <si>
    <t>100498</t>
  </si>
  <si>
    <t>Ahluwalia Contracts (India) Ltd.</t>
  </si>
  <si>
    <t>INE758C01029</t>
  </si>
  <si>
    <t>100014</t>
  </si>
  <si>
    <t>Mahindra &amp; Mahindra Ltd.</t>
  </si>
  <si>
    <t>INE101A01026</t>
  </si>
  <si>
    <t>Automobiles</t>
  </si>
  <si>
    <t>100083</t>
  </si>
  <si>
    <t>Samvardhana Motherson International Ltd.</t>
  </si>
  <si>
    <t>INE775A01035</t>
  </si>
  <si>
    <t>Auto Components</t>
  </si>
  <si>
    <t>101949</t>
  </si>
  <si>
    <t>Samhi Hotels Ltd.</t>
  </si>
  <si>
    <t>INE08U801020</t>
  </si>
  <si>
    <t>100843</t>
  </si>
  <si>
    <t>Dalmia Bharat Ltd.</t>
  </si>
  <si>
    <t>INE00R701025</t>
  </si>
  <si>
    <t>100156</t>
  </si>
  <si>
    <t>Finolex Cables Ltd.</t>
  </si>
  <si>
    <t>INE235A01022</t>
  </si>
  <si>
    <t>Industrial Products</t>
  </si>
  <si>
    <t>102644</t>
  </si>
  <si>
    <t>Vikram Solar Ltd.</t>
  </si>
  <si>
    <t>INE078V01014</t>
  </si>
  <si>
    <t>100809</t>
  </si>
  <si>
    <t>Rites Ltd.</t>
  </si>
  <si>
    <t>INE320J01015</t>
  </si>
  <si>
    <t>100694</t>
  </si>
  <si>
    <t>Indian Energy Exchange Ltd.</t>
  </si>
  <si>
    <t>INE022Q01020</t>
  </si>
  <si>
    <t>Capital Markets</t>
  </si>
  <si>
    <t>100560</t>
  </si>
  <si>
    <t>NESCO Ltd.</t>
  </si>
  <si>
    <t>INE317F01035</t>
  </si>
  <si>
    <t>Commercial Services &amp; Supplies</t>
  </si>
  <si>
    <t>100362</t>
  </si>
  <si>
    <t>JSW Energy Ltd.</t>
  </si>
  <si>
    <t>INE121E01018</t>
  </si>
  <si>
    <t>101184</t>
  </si>
  <si>
    <t>Mazagon Dock Shipbuilders Ltd.</t>
  </si>
  <si>
    <t>INE249Z01020</t>
  </si>
  <si>
    <t>101800</t>
  </si>
  <si>
    <t>Hindware Home Innovation Ltd.</t>
  </si>
  <si>
    <t>INE05AN01011</t>
  </si>
  <si>
    <t>Consumer Durables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</si>
  <si>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</si>
  <si>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</si>
  <si>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</si>
  <si>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</si>
  <si>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</si>
  <si>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</si>
  <si>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</si>
  <si>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</si>
  <si>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</si>
  <si>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</si>
  <si>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</si>
  <si>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</si>
  <si>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</si>
  <si>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</si>
  <si>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</si>
  <si>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</si>
  <si>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</si>
  <si>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</si>
  <si>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</si>
  <si>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</si>
  <si>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</si>
  <si>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</si>
  <si>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</si>
  <si>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</si>
  <si>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</si>
  <si>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</si>
  <si>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</si>
  <si>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</si>
  <si>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</si>
  <si>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</si>
  <si>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</si>
  <si>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</si>
  <si>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</si>
  <si>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</si>
  <si>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</si>
  <si>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September 30, 2025</t>
  </si>
  <si>
    <t>October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</si>
  <si>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</si>
  <si>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</si>
  <si>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</si>
  <si>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</si>
  <si>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October 31, 2025.</t>
  </si>
  <si>
    <t>7. The Scheme did not declare any bonus during the month ended As on October 31, 2025.</t>
  </si>
  <si>
    <t>8. Total outstanding exposure in derivative instruments as on As on October 31, 2025 is Nil</t>
  </si>
  <si>
    <t>9. Total investments in Foreign Securities /ADRs/GDRs /Overseas ETFs as at As on October 31, 2025 and its percentage to NAV is Nil.</t>
  </si>
  <si>
    <t>10. During the period, the portfolio turnover ratio is 0.66 times.</t>
  </si>
  <si>
    <t>      Portfolio Turnover Ratio = Lower of sales or purchase of securities divided by average AUM for 12 months ended As on October 31, 2025</t>
  </si>
  <si>
    <t>11. The Scheme did not invest in repo transactions of corporate debt securities during the month ended As on October 31, 2025.</t>
  </si>
  <si>
    <t>12. The Scheme did not invest in credit default swaps during the month ended As on October 31, 2025.</t>
  </si>
  <si>
    <t>13. There are Nil instances of deviation from the valuation principles/guidelines during the month ended as on October 31st, 2025.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</si>
  <si>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</si>
  <si>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</si>
  <si>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</si>
  <si>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</si>
  <si>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</si>
  <si>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</si>
  <si>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</si>
  <si>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</si>
  <si>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</si>
  <si>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</si>
  <si>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</si>
  <si>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</si>
  <si>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October 31,2025 :69.66)</t>
  </si>
  <si>
    <t>Taurus Infrastructure Fund - Direct Plan Growth Option</t>
  </si>
  <si>
    <t>NAV [Rs.] Per Unit (as on October 31,2025 :74.86)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</si>
</sst>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DCD22740-A129-4CE7-82B5-AAB95338FEC9}"/>
    <cellStyle name="Hyperlink" xfId="2" builtinId="8"/>
    <cellStyle name="Normal" xfId="0" builtinId="0"/>
    <cellStyle name="Normal 2" xfId="4" xr:uid="{BD5901BA-2612-4A78-AB1D-4336A03D63F5}"/>
    <cellStyle name="Style 1" xfId="3" xr:uid="{2FC27B4D-715B-4E12-A954-015417193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DF25D756-AEF0-4A2F-BCE0-EA9AE2B1F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Oct_2025\Final\TMF_Monthly_Portfolio_Report_Oct_25.xls" TargetMode="External"/><Relationship Id="rId1" Type="http://schemas.openxmlformats.org/officeDocument/2006/relationships/externalLinkPath" Target="file:///Q:\5.TMF\Reporting\Monthly%20Reports\Monthly%20Portfolio\2025-26\Oct_2025\Final\TMF_Monthly_Portfolio_Report_Oct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56-9384-4A3A-8046-15027476DB65}">
  <dimension ref="A1:BB11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45961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100.68</v>
      </c>
      <c r="I10" s="32">
        <v>10.37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71.38</v>
      </c>
      <c r="I11" s="32">
        <v>7.35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69.3</v>
      </c>
      <c r="I12" s="32">
        <v>7.14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48.65</v>
      </c>
      <c r="I13" s="32">
        <v>5.01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10800</v>
      </c>
      <c r="H14" s="32">
        <v>48.39</v>
      </c>
      <c r="I14" s="32">
        <v>4.9800000000000004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8972</v>
      </c>
      <c r="H15" s="32">
        <v>34.51</v>
      </c>
      <c r="I15" s="32">
        <v>3.55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22</v>
      </c>
      <c r="G16" s="31">
        <v>9374</v>
      </c>
      <c r="H16" s="32">
        <v>33.450000000000003</v>
      </c>
      <c r="I16" s="32">
        <v>3.44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280</v>
      </c>
      <c r="H17" s="32">
        <v>33.450000000000003</v>
      </c>
      <c r="I17" s="32">
        <v>3.45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19975</v>
      </c>
      <c r="H18" s="32">
        <v>33.14</v>
      </c>
      <c r="I18" s="32">
        <v>3.41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30</v>
      </c>
      <c r="G19" s="31">
        <v>8787</v>
      </c>
      <c r="H19" s="32">
        <v>29.6</v>
      </c>
      <c r="I19" s="32">
        <v>3.05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44</v>
      </c>
      <c r="G20" s="31">
        <v>1015</v>
      </c>
      <c r="H20" s="32">
        <v>29.37</v>
      </c>
      <c r="I20" s="32">
        <v>3.02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665</v>
      </c>
      <c r="H21" s="32">
        <v>29.26</v>
      </c>
      <c r="I21" s="32">
        <v>3.01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11318</v>
      </c>
      <c r="H22" s="32">
        <v>28.91</v>
      </c>
      <c r="I22" s="32">
        <v>2.98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20533</v>
      </c>
      <c r="H23" s="32">
        <v>28.16</v>
      </c>
      <c r="I23" s="32">
        <v>2.9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25000</v>
      </c>
      <c r="H24" s="32">
        <v>27.9</v>
      </c>
      <c r="I24" s="32">
        <v>2.87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469</v>
      </c>
      <c r="H25" s="32">
        <v>26.37</v>
      </c>
      <c r="I25" s="32">
        <v>2.72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37</v>
      </c>
      <c r="G26" s="31">
        <v>3216</v>
      </c>
      <c r="H26" s="32">
        <v>24.32</v>
      </c>
      <c r="I26" s="32">
        <v>2.5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2686</v>
      </c>
      <c r="H27" s="32">
        <v>22.83</v>
      </c>
      <c r="I27" s="32">
        <v>2.35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22</v>
      </c>
      <c r="G28" s="31">
        <v>4702</v>
      </c>
      <c r="H28" s="32">
        <v>22.38</v>
      </c>
      <c r="I28" s="32">
        <v>2.31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18</v>
      </c>
      <c r="G29" s="31">
        <v>255518</v>
      </c>
      <c r="H29" s="32">
        <v>22.31</v>
      </c>
      <c r="I29" s="32">
        <v>2.2999999999999998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7944</v>
      </c>
      <c r="H30" s="32">
        <v>21.47</v>
      </c>
      <c r="I30" s="32">
        <v>2.21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90</v>
      </c>
      <c r="G31" s="31">
        <v>13378</v>
      </c>
      <c r="H31" s="32">
        <v>20.21</v>
      </c>
      <c r="I31" s="32">
        <v>2.08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26</v>
      </c>
      <c r="G32" s="31">
        <v>2005</v>
      </c>
      <c r="H32" s="32">
        <v>19.059999999999999</v>
      </c>
      <c r="I32" s="32">
        <v>1.96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523</v>
      </c>
      <c r="H33" s="32">
        <v>18.23</v>
      </c>
      <c r="I33" s="32">
        <v>1.88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16500</v>
      </c>
      <c r="H34" s="32">
        <v>17.38</v>
      </c>
      <c r="I34" s="32">
        <v>1.79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90</v>
      </c>
      <c r="G35" s="31">
        <v>8392</v>
      </c>
      <c r="H35" s="32">
        <v>17.3</v>
      </c>
      <c r="I35" s="32">
        <v>1.78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44</v>
      </c>
      <c r="G36" s="31">
        <v>814</v>
      </c>
      <c r="H36" s="32">
        <v>17.059999999999999</v>
      </c>
      <c r="I36" s="32">
        <v>1.76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1903</v>
      </c>
      <c r="H37" s="32">
        <v>14.95</v>
      </c>
      <c r="I37" s="32">
        <v>1.54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80</v>
      </c>
      <c r="G38" s="31">
        <v>4545</v>
      </c>
      <c r="H38" s="32">
        <v>14.84</v>
      </c>
      <c r="I38" s="32">
        <v>1.53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26</v>
      </c>
      <c r="G39" s="31">
        <v>5803</v>
      </c>
      <c r="H39" s="32">
        <v>14.25</v>
      </c>
      <c r="I39" s="32">
        <v>1.47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5100</v>
      </c>
      <c r="H40" s="32">
        <v>7.09</v>
      </c>
      <c r="I40" s="32">
        <v>0.73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425</v>
      </c>
      <c r="H41" s="32">
        <v>5.83</v>
      </c>
      <c r="I41" s="32">
        <v>0.6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30</v>
      </c>
      <c r="G42" s="31">
        <v>586</v>
      </c>
      <c r="H42" s="32">
        <v>3.09</v>
      </c>
      <c r="I42" s="32">
        <v>0.32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69</v>
      </c>
      <c r="G43" s="31">
        <v>90</v>
      </c>
      <c r="H43" s="32">
        <v>2.46</v>
      </c>
      <c r="I43" s="32">
        <v>0.25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272</v>
      </c>
      <c r="H44" s="32">
        <v>1.01</v>
      </c>
      <c r="I44" s="32">
        <v>0.1</v>
      </c>
      <c r="J44" s="33"/>
    </row>
    <row r="45" spans="2:10" x14ac:dyDescent="0.25">
      <c r="C45" s="28" t="s">
        <v>139</v>
      </c>
      <c r="D45" s="29"/>
      <c r="E45" s="30"/>
      <c r="F45" s="30"/>
      <c r="G45" s="31"/>
      <c r="H45" s="35">
        <v>958.59</v>
      </c>
      <c r="I45" s="35">
        <v>98.71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140</v>
      </c>
      <c r="D47" s="29"/>
      <c r="E47" s="30"/>
      <c r="F47" s="30"/>
      <c r="G47" s="31"/>
      <c r="H47" s="32" t="s">
        <v>141</v>
      </c>
      <c r="I47" s="32" t="s">
        <v>141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142</v>
      </c>
      <c r="D49" s="29"/>
      <c r="E49" s="30"/>
      <c r="F49" s="30"/>
      <c r="G49" s="31"/>
      <c r="H49" s="32" t="s">
        <v>141</v>
      </c>
      <c r="I49" s="32" t="s">
        <v>141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143</v>
      </c>
      <c r="D51" s="29"/>
      <c r="E51" s="30"/>
      <c r="F51" s="30"/>
      <c r="G51" s="31"/>
      <c r="H51" s="32"/>
      <c r="I51" s="32"/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144</v>
      </c>
      <c r="D53" s="29"/>
      <c r="E53" s="30"/>
      <c r="F53" s="30"/>
      <c r="G53" s="31"/>
      <c r="H53" s="32" t="s">
        <v>141</v>
      </c>
      <c r="I53" s="32" t="s">
        <v>141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145</v>
      </c>
      <c r="D55" s="29"/>
      <c r="E55" s="30"/>
      <c r="F55" s="30"/>
      <c r="G55" s="31"/>
      <c r="H55" s="32" t="s">
        <v>141</v>
      </c>
      <c r="I55" s="32" t="s">
        <v>141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146</v>
      </c>
      <c r="D57" s="29"/>
      <c r="E57" s="30"/>
      <c r="F57" s="30"/>
      <c r="G57" s="31"/>
      <c r="H57" s="32" t="s">
        <v>141</v>
      </c>
      <c r="I57" s="32" t="s">
        <v>141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147</v>
      </c>
      <c r="D59" s="29"/>
      <c r="E59" s="30"/>
      <c r="F59" s="30"/>
      <c r="G59" s="31"/>
      <c r="H59" s="32" t="s">
        <v>141</v>
      </c>
      <c r="I59" s="32" t="s">
        <v>141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148</v>
      </c>
      <c r="D61" s="29"/>
      <c r="E61" s="30"/>
      <c r="F61" s="30"/>
      <c r="G61" s="31"/>
      <c r="H61" s="32" t="s">
        <v>141</v>
      </c>
      <c r="I61" s="32" t="s">
        <v>141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149</v>
      </c>
      <c r="D63" s="29"/>
      <c r="E63" s="30"/>
      <c r="F63" s="30"/>
      <c r="G63" s="31"/>
      <c r="H63" s="32"/>
      <c r="I63" s="32"/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150</v>
      </c>
      <c r="D65" s="29"/>
      <c r="E65" s="30"/>
      <c r="F65" s="30"/>
      <c r="G65" s="31"/>
      <c r="H65" s="32" t="s">
        <v>141</v>
      </c>
      <c r="I65" s="32" t="s">
        <v>141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151</v>
      </c>
      <c r="D67" s="29"/>
      <c r="E67" s="30"/>
      <c r="F67" s="30"/>
      <c r="G67" s="31"/>
      <c r="H67" s="32" t="s">
        <v>141</v>
      </c>
      <c r="I67" s="32" t="s">
        <v>141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152</v>
      </c>
      <c r="D69" s="29"/>
      <c r="E69" s="30"/>
      <c r="F69" s="30"/>
      <c r="G69" s="31"/>
      <c r="H69" s="32" t="s">
        <v>141</v>
      </c>
      <c r="I69" s="32" t="s">
        <v>141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153</v>
      </c>
      <c r="D71" s="29"/>
      <c r="E71" s="30"/>
      <c r="F71" s="30"/>
      <c r="G71" s="31"/>
      <c r="H71" s="32" t="s">
        <v>141</v>
      </c>
      <c r="I71" s="32" t="s">
        <v>141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154</v>
      </c>
      <c r="D73" s="29"/>
      <c r="E73" s="30"/>
      <c r="F73" s="30"/>
      <c r="G73" s="31"/>
      <c r="H73" s="32"/>
      <c r="I73" s="32"/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155</v>
      </c>
      <c r="D75" s="29"/>
      <c r="E75" s="30"/>
      <c r="F75" s="30"/>
      <c r="G75" s="31"/>
      <c r="H75" s="32" t="s">
        <v>141</v>
      </c>
      <c r="I75" s="32" t="s">
        <v>141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156</v>
      </c>
      <c r="D77" s="29"/>
      <c r="E77" s="30"/>
      <c r="F77" s="30"/>
      <c r="G77" s="31"/>
      <c r="H77" s="32" t="s">
        <v>141</v>
      </c>
      <c r="I77" s="32" t="s">
        <v>141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157</v>
      </c>
      <c r="D79" s="29"/>
      <c r="E79" s="30"/>
      <c r="F79" s="30"/>
      <c r="G79" s="31"/>
      <c r="H79" s="32" t="s">
        <v>141</v>
      </c>
      <c r="I79" s="32" t="s">
        <v>141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158</v>
      </c>
      <c r="D81" s="29"/>
      <c r="E81" s="30"/>
      <c r="F81" s="30"/>
      <c r="G81" s="31"/>
      <c r="H81" s="32" t="s">
        <v>141</v>
      </c>
      <c r="I81" s="32" t="s">
        <v>141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159</v>
      </c>
      <c r="D83" s="29"/>
      <c r="E83" s="30"/>
      <c r="F83" s="30"/>
      <c r="G83" s="31"/>
      <c r="H83" s="32" t="s">
        <v>141</v>
      </c>
      <c r="I83" s="32" t="s">
        <v>141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160</v>
      </c>
      <c r="D85" s="29"/>
      <c r="E85" s="30"/>
      <c r="F85" s="30"/>
      <c r="G85" s="31"/>
      <c r="H85" s="32" t="s">
        <v>141</v>
      </c>
      <c r="I85" s="32" t="s">
        <v>141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161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/>
      <c r="C88" s="20" t="s">
        <v>162</v>
      </c>
      <c r="D88" s="29"/>
      <c r="E88" s="30"/>
      <c r="F88" s="30"/>
      <c r="G88" s="31"/>
      <c r="H88" s="32">
        <v>12.36</v>
      </c>
      <c r="I88" s="32">
        <v>1.29</v>
      </c>
      <c r="J88" s="33"/>
    </row>
    <row r="89" spans="1:10" x14ac:dyDescent="0.25">
      <c r="C89" s="28" t="s">
        <v>139</v>
      </c>
      <c r="D89" s="29"/>
      <c r="E89" s="30"/>
      <c r="F89" s="30"/>
      <c r="G89" s="31"/>
      <c r="H89" s="35">
        <v>12.36</v>
      </c>
      <c r="I89" s="35">
        <v>1.29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ht="14.25" thickBot="1" x14ac:dyDescent="0.3">
      <c r="C91" s="36" t="s">
        <v>163</v>
      </c>
      <c r="D91" s="37"/>
      <c r="E91" s="38"/>
      <c r="F91" s="39"/>
      <c r="G91" s="40"/>
      <c r="H91" s="41">
        <v>970.95</v>
      </c>
      <c r="I91" s="41">
        <f>SUMIFS(I:I,C:C,"Total")</f>
        <v>100</v>
      </c>
      <c r="J91" s="42"/>
    </row>
    <row r="94" spans="1:10" x14ac:dyDescent="0.25">
      <c r="C94" s="11" t="s">
        <v>164</v>
      </c>
    </row>
    <row r="95" spans="1:10" x14ac:dyDescent="0.25">
      <c r="C95" s="2" t="s">
        <v>165</v>
      </c>
    </row>
    <row r="96" spans="1:10" x14ac:dyDescent="0.25">
      <c r="C96" s="2" t="s">
        <v>166</v>
      </c>
    </row>
    <row r="97" spans="3:5" x14ac:dyDescent="0.25">
      <c r="C97" s="2" t="s">
        <v>167</v>
      </c>
    </row>
    <row r="98" spans="3:5" x14ac:dyDescent="0.25">
      <c r="C98" s="2" t="s">
        <v>168</v>
      </c>
    </row>
    <row r="99" spans="3:5" x14ac:dyDescent="0.25">
      <c r="C99" s="2" t="s">
        <v>169</v>
      </c>
    </row>
    <row r="100" spans="3:5" ht="14.25" thickBot="1" x14ac:dyDescent="0.3">
      <c r="C100" s="2" t="s">
        <v>170</v>
      </c>
    </row>
    <row r="101" spans="3:5" ht="14.25" thickBot="1" x14ac:dyDescent="0.3">
      <c r="C101" s="43"/>
      <c r="D101" s="52" t="s">
        <v>171</v>
      </c>
      <c r="E101" s="53"/>
    </row>
    <row r="102" spans="3:5" x14ac:dyDescent="0.25">
      <c r="C102" s="44" t="s">
        <v>172</v>
      </c>
      <c r="D102" s="45" t="s">
        <v>173</v>
      </c>
      <c r="E102" s="46" t="s">
        <v>173</v>
      </c>
    </row>
    <row r="103" spans="3:5" ht="14.25" thickBot="1" x14ac:dyDescent="0.3">
      <c r="C103" s="47"/>
      <c r="D103" s="48" t="s">
        <v>174</v>
      </c>
      <c r="E103" s="49" t="s">
        <v>175</v>
      </c>
    </row>
    <row r="104" spans="3:5" ht="14.25" thickBot="1" x14ac:dyDescent="0.3">
      <c r="C104" s="50" t="s">
        <v>176</v>
      </c>
      <c r="D104" s="51">
        <v>62.99</v>
      </c>
      <c r="E104" s="51">
        <v>65.430000000000007</v>
      </c>
    </row>
    <row r="105" spans="3:5" ht="14.25" thickBot="1" x14ac:dyDescent="0.3">
      <c r="C105" s="50" t="s">
        <v>177</v>
      </c>
      <c r="D105" s="51">
        <v>67.069999999999993</v>
      </c>
      <c r="E105" s="51">
        <v>69.66</v>
      </c>
    </row>
    <row r="106" spans="3:5" ht="14.25" thickBot="1" x14ac:dyDescent="0.3">
      <c r="C106" s="50" t="s">
        <v>178</v>
      </c>
      <c r="D106" s="51">
        <v>67.09</v>
      </c>
      <c r="E106" s="51">
        <v>69.709999999999994</v>
      </c>
    </row>
    <row r="107" spans="3:5" ht="14.25" thickBot="1" x14ac:dyDescent="0.3">
      <c r="C107" s="50" t="s">
        <v>179</v>
      </c>
      <c r="D107" s="51">
        <v>72.040000000000006</v>
      </c>
      <c r="E107" s="51">
        <v>74.86</v>
      </c>
    </row>
    <row r="109" spans="3:5" x14ac:dyDescent="0.25">
      <c r="C109" s="2" t="s">
        <v>180</v>
      </c>
    </row>
    <row r="110" spans="3:5" x14ac:dyDescent="0.25">
      <c r="C110" s="2" t="s">
        <v>181</v>
      </c>
    </row>
    <row r="111" spans="3:5" x14ac:dyDescent="0.25">
      <c r="C111" s="2" t="s">
        <v>182</v>
      </c>
    </row>
    <row r="112" spans="3:5" x14ac:dyDescent="0.25">
      <c r="C112" s="2" t="s">
        <v>183</v>
      </c>
    </row>
    <row r="113" spans="3:3" x14ac:dyDescent="0.25">
      <c r="C113" s="2" t="s">
        <v>184</v>
      </c>
    </row>
    <row r="114" spans="3:3" x14ac:dyDescent="0.25">
      <c r="C114" s="2" t="s">
        <v>185</v>
      </c>
    </row>
    <row r="115" spans="3:3" x14ac:dyDescent="0.25">
      <c r="C115" s="2" t="s">
        <v>186</v>
      </c>
    </row>
    <row r="116" spans="3:3" x14ac:dyDescent="0.25">
      <c r="C116" s="2" t="s">
        <v>187</v>
      </c>
    </row>
    <row r="117" spans="3:3" x14ac:dyDescent="0.25">
      <c r="C117" s="2" t="s">
        <v>188</v>
      </c>
    </row>
  </sheetData>
  <mergeCells count="1">
    <mergeCell ref="D101:E101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E35E-A7DD-409D-B7DE-838CF4239BE3}">
  <dimension ref="C3:M17"/>
  <sheetViews>
    <sheetView workbookViewId="0"/>
  </sheetViews>
  <sheetFormatPr defaultRowHeight="15" x14ac:dyDescent="0.25"/>
  <cols>
    <col min="3" max="3" width="44.1406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4" t="s">
        <v>189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190</v>
      </c>
      <c r="D4" s="57" t="s">
        <v>191</v>
      </c>
      <c r="E4" s="57"/>
      <c r="F4" s="57" t="s">
        <v>192</v>
      </c>
      <c r="G4" s="57"/>
      <c r="H4" s="57" t="s">
        <v>193</v>
      </c>
      <c r="I4" s="57"/>
      <c r="J4" s="58" t="s">
        <v>194</v>
      </c>
      <c r="K4" s="59"/>
      <c r="L4" s="60" t="s">
        <v>195</v>
      </c>
      <c r="M4" s="60"/>
    </row>
    <row r="5" spans="3:13" ht="63.75" x14ac:dyDescent="0.25">
      <c r="C5" s="61"/>
      <c r="D5" s="62" t="s">
        <v>196</v>
      </c>
      <c r="E5" s="62" t="s">
        <v>197</v>
      </c>
      <c r="F5" s="62" t="s">
        <v>196</v>
      </c>
      <c r="G5" s="62" t="s">
        <v>197</v>
      </c>
      <c r="H5" s="62" t="s">
        <v>196</v>
      </c>
      <c r="I5" s="62" t="s">
        <v>197</v>
      </c>
      <c r="J5" s="62" t="s">
        <v>196</v>
      </c>
      <c r="K5" s="62" t="s">
        <v>197</v>
      </c>
      <c r="L5" s="63" t="s">
        <v>196</v>
      </c>
      <c r="M5" s="63" t="s">
        <v>197</v>
      </c>
    </row>
    <row r="6" spans="3:13" x14ac:dyDescent="0.25">
      <c r="C6" s="64" t="s">
        <v>198</v>
      </c>
      <c r="D6" s="65">
        <v>0.4325</v>
      </c>
      <c r="E6" s="65">
        <v>10043.252595155709</v>
      </c>
      <c r="F6" s="65">
        <v>19.716100000000001</v>
      </c>
      <c r="G6" s="65">
        <v>17056.807051909891</v>
      </c>
      <c r="H6" s="65">
        <v>24.056000000000001</v>
      </c>
      <c r="I6" s="65">
        <v>29417.229729729726</v>
      </c>
      <c r="J6" s="65">
        <v>15.325100000000001</v>
      </c>
      <c r="K6" s="65">
        <v>41662.679425837319</v>
      </c>
      <c r="L6" s="65">
        <v>10.955500000000001</v>
      </c>
      <c r="M6" s="65">
        <v>69660</v>
      </c>
    </row>
    <row r="7" spans="3:13" x14ac:dyDescent="0.25">
      <c r="C7" s="64" t="s">
        <v>199</v>
      </c>
      <c r="D7" s="65">
        <v>9.3535000000000004</v>
      </c>
      <c r="E7" s="65">
        <v>10935.349999999999</v>
      </c>
      <c r="F7" s="65">
        <v>23.174600000000002</v>
      </c>
      <c r="G7" s="65">
        <v>18688.028245467489</v>
      </c>
      <c r="H7" s="65">
        <v>26.415099999999999</v>
      </c>
      <c r="I7" s="65">
        <v>32284.5518870009</v>
      </c>
      <c r="J7" s="65">
        <v>14.467499999999999</v>
      </c>
      <c r="K7" s="65">
        <v>19652.191574327015</v>
      </c>
      <c r="L7" s="65">
        <v>8.0264000000000006</v>
      </c>
      <c r="M7" s="65">
        <v>42271.205612918784</v>
      </c>
    </row>
    <row r="8" spans="3:13" x14ac:dyDescent="0.25">
      <c r="C8" s="64" t="s">
        <v>200</v>
      </c>
      <c r="D8" s="65">
        <v>7.5879000000000003</v>
      </c>
      <c r="E8" s="65">
        <v>10758.79</v>
      </c>
      <c r="F8" s="65">
        <v>13.8985</v>
      </c>
      <c r="G8" s="65">
        <v>14775.902403238213</v>
      </c>
      <c r="H8" s="65">
        <v>18.561499999999999</v>
      </c>
      <c r="I8" s="65">
        <v>23427.094320875454</v>
      </c>
      <c r="J8" s="65">
        <v>13.668900000000001</v>
      </c>
      <c r="K8" s="65">
        <v>18976.157934478382</v>
      </c>
      <c r="L8" s="65">
        <v>12.4861</v>
      </c>
      <c r="M8" s="65">
        <v>89966.061393178228</v>
      </c>
    </row>
    <row r="9" spans="3:13" x14ac:dyDescent="0.25">
      <c r="C9" s="64" t="s">
        <v>201</v>
      </c>
      <c r="D9" s="66">
        <v>69.36</v>
      </c>
      <c r="E9" s="67"/>
      <c r="F9" s="66">
        <v>40.840000000000003</v>
      </c>
      <c r="G9" s="67"/>
      <c r="H9" s="66">
        <v>23.68</v>
      </c>
      <c r="I9" s="67"/>
      <c r="J9" s="66">
        <v>16.72</v>
      </c>
      <c r="K9" s="67"/>
      <c r="L9" s="66">
        <v>10</v>
      </c>
      <c r="M9" s="67"/>
    </row>
    <row r="11" spans="3:13" ht="15.75" x14ac:dyDescent="0.25">
      <c r="C11" s="54" t="s">
        <v>202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190</v>
      </c>
      <c r="D12" s="57" t="s">
        <v>191</v>
      </c>
      <c r="E12" s="57"/>
      <c r="F12" s="57" t="s">
        <v>192</v>
      </c>
      <c r="G12" s="57"/>
      <c r="H12" s="57" t="s">
        <v>193</v>
      </c>
      <c r="I12" s="57"/>
      <c r="J12" s="58" t="s">
        <v>194</v>
      </c>
      <c r="K12" s="59"/>
      <c r="L12" s="60" t="s">
        <v>195</v>
      </c>
      <c r="M12" s="60"/>
    </row>
    <row r="13" spans="3:13" ht="63.75" x14ac:dyDescent="0.25">
      <c r="C13" s="61"/>
      <c r="D13" s="62" t="s">
        <v>196</v>
      </c>
      <c r="E13" s="62" t="s">
        <v>197</v>
      </c>
      <c r="F13" s="62" t="s">
        <v>196</v>
      </c>
      <c r="G13" s="62" t="s">
        <v>197</v>
      </c>
      <c r="H13" s="62" t="s">
        <v>196</v>
      </c>
      <c r="I13" s="62" t="s">
        <v>197</v>
      </c>
      <c r="J13" s="62" t="s">
        <v>196</v>
      </c>
      <c r="K13" s="62" t="s">
        <v>197</v>
      </c>
      <c r="L13" s="63" t="s">
        <v>196</v>
      </c>
      <c r="M13" s="63" t="s">
        <v>197</v>
      </c>
    </row>
    <row r="14" spans="3:13" x14ac:dyDescent="0.25">
      <c r="C14" s="64" t="s">
        <v>198</v>
      </c>
      <c r="D14" s="65">
        <v>0.94389999999999996</v>
      </c>
      <c r="E14" s="65">
        <v>10094.390507011867</v>
      </c>
      <c r="F14" s="65">
        <v>20.287600000000001</v>
      </c>
      <c r="G14" s="65">
        <v>17300.670210307369</v>
      </c>
      <c r="H14" s="65">
        <v>24.616399999999999</v>
      </c>
      <c r="I14" s="65">
        <v>30088.424437299036</v>
      </c>
      <c r="J14" s="65">
        <v>15.9651</v>
      </c>
      <c r="K14" s="65">
        <v>44035.294117647063</v>
      </c>
      <c r="L14" s="65">
        <v>14.6751</v>
      </c>
      <c r="M14" s="65">
        <v>58393.135725429012</v>
      </c>
    </row>
    <row r="15" spans="3:13" x14ac:dyDescent="0.25">
      <c r="C15" s="64" t="s">
        <v>199</v>
      </c>
      <c r="D15" s="65">
        <v>9.3535000000000004</v>
      </c>
      <c r="E15" s="65">
        <v>10935.349999999999</v>
      </c>
      <c r="F15" s="65">
        <v>23.174600000000002</v>
      </c>
      <c r="G15" s="65">
        <v>18688.028245467489</v>
      </c>
      <c r="H15" s="65">
        <v>26.415099999999999</v>
      </c>
      <c r="I15" s="65">
        <v>32284.5518870009</v>
      </c>
      <c r="J15" s="65">
        <v>14.467499999999999</v>
      </c>
      <c r="K15" s="65">
        <v>19652.191574327015</v>
      </c>
      <c r="L15" s="65">
        <v>12.0815</v>
      </c>
      <c r="M15" s="65">
        <v>43231.328769108855</v>
      </c>
    </row>
    <row r="16" spans="3:13" x14ac:dyDescent="0.25">
      <c r="C16" s="64" t="s">
        <v>200</v>
      </c>
      <c r="D16" s="65">
        <v>7.5879000000000003</v>
      </c>
      <c r="E16" s="65">
        <v>10758.79</v>
      </c>
      <c r="F16" s="65">
        <v>13.8985</v>
      </c>
      <c r="G16" s="65">
        <v>14775.902403238213</v>
      </c>
      <c r="H16" s="65">
        <v>18.561499999999999</v>
      </c>
      <c r="I16" s="65">
        <v>23427.094320875454</v>
      </c>
      <c r="J16" s="65">
        <v>13.668900000000001</v>
      </c>
      <c r="K16" s="65">
        <v>18976.157934478382</v>
      </c>
      <c r="L16" s="65">
        <v>13.3986</v>
      </c>
      <c r="M16" s="65">
        <v>50225.399535313605</v>
      </c>
    </row>
    <row r="17" spans="3:13" x14ac:dyDescent="0.25">
      <c r="C17" s="64" t="s">
        <v>203</v>
      </c>
      <c r="D17" s="66">
        <v>74.16</v>
      </c>
      <c r="E17" s="67"/>
      <c r="F17" s="66">
        <v>43.27</v>
      </c>
      <c r="G17" s="67"/>
      <c r="H17" s="66">
        <v>24.88</v>
      </c>
      <c r="I17" s="67"/>
      <c r="J17" s="66">
        <v>17</v>
      </c>
      <c r="K17" s="67"/>
      <c r="L17" s="66">
        <v>12.82</v>
      </c>
      <c r="M17" s="67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2025-11-07T02:40:07Z</dcterms:created>
  <dcterms:modified xsi:type="dcterms:W3CDTF">2025-11-07T13:42:50Z</dcterms:modified>
</cp:coreProperties>
</file>