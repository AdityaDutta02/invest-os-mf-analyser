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TBF-Risk-o-meter &amp; Portfolio" sheetId="1" r:id="rId1"/>
    <sheet name="TBF-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Portfolio'!$C$8:$C$41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Portfolio'!$D$10:$D$83</definedName>
    <definedName name="XDO_?FINAL_MV?">'TBF-Risk-o-meter &amp; Portfolio'!$H$10:$H$83</definedName>
    <definedName name="XDO_?FINAL_NAME?">'TBF-Risk-o-meter &amp; Portfolio'!$C$10:$C$83</definedName>
    <definedName name="XDO_?FINAL_PER_NET?">'TBF-Risk-o-meter &amp; Portfolio'!$I$10:$I$83</definedName>
    <definedName name="XDO_?FINAL_QUANTITE?">'TBF-Risk-o-meter &amp; Portfolio'!$G$10:$G$83</definedName>
    <definedName name="XDO_?IND_01?">'TBF-Risk-o-meter &amp; Portfolio'!$F$10:$F$83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Portfolio'!$C$2:$C$41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Portfolio'!$B$10:$B$83</definedName>
    <definedName name="XDO_?NPTF?">'TBF-Risk-o-meter &amp; Portfolio'!$D$2:$D$41</definedName>
    <definedName name="XDO_?RATING?">'TBF-Risk-o-meter &amp; Portfolio'!$E$10:$E$83</definedName>
    <definedName name="XDO_?REMARKS?">'TBF-Risk-o-meter &amp; Portfolio'!$J$10:$J$83</definedName>
    <definedName name="XDO_?TDATE?">'TBF-Risk-o-meter &amp; Portfolio'!$D$4</definedName>
    <definedName name="XDO_?TITL?">'TBF-Risk-o-meter &amp; Portfolio'!$A$8:$A$41</definedName>
    <definedName name="XDO_GROUP_?G_2?">'TBF-Risk-o-meter &amp; Portfolio'!$2:$86</definedName>
    <definedName name="XDO_GROUP_?G_3?">'TBF-Risk-o-meter &amp; Portfolio'!$8:$85</definedName>
    <definedName name="XDO_GROUP_?G_4?">'TBF-Risk-o-meter &amp; Portfolio'!$B$83:$IV$83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/>
</calcChain>
</file>

<file path=xl/sharedStrings.xml><?xml version="1.0" encoding="utf-8"?>
<sst xmlns="http://schemas.openxmlformats.org/spreadsheetml/2006/main" count="239" uniqueCount="172">
  <si>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</si>
  <si>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</si>
  <si>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</si>
  <si>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</si>
  <si>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</si>
  <si>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</si>
  <si>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</si>
  <si>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</si>
  <si>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</si>
  <si>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</si>
  <si>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</si>
  <si>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</si>
  <si>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</si>
  <si>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</si>
  <si>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</si>
  <si>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</si>
  <si>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</si>
  <si>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</si>
  <si>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</si>
  <si>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100001</t>
  </si>
  <si>
    <t>Housing Development Finance Corporation Ltd.</t>
  </si>
  <si>
    <t>INE001A01036</t>
  </si>
  <si>
    <t>Finance</t>
  </si>
  <si>
    <t>100147</t>
  </si>
  <si>
    <t>Tech Mahindra Ltd.</t>
  </si>
  <si>
    <t>INE669C01036</t>
  </si>
  <si>
    <t>100003</t>
  </si>
  <si>
    <t>Infosys Ltd.</t>
  </si>
  <si>
    <t>INE009A01021</t>
  </si>
  <si>
    <t>100024</t>
  </si>
  <si>
    <t>Axis Bank Ltd.</t>
  </si>
  <si>
    <t>INE238A01034</t>
  </si>
  <si>
    <t>Banks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</si>
  <si>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</si>
  <si>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</si>
  <si>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</si>
  <si>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</si>
  <si>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</si>
  <si>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</si>
  <si>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</si>
  <si>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100302</t>
  </si>
  <si>
    <t>DLF Ltd.</t>
  </si>
  <si>
    <t>INE271C01023</t>
  </si>
  <si>
    <t>Realty</t>
  </si>
  <si>
    <t>100169</t>
  </si>
  <si>
    <t>Indian Oil Corporation Ltd.</t>
  </si>
  <si>
    <t>INE242A01010</t>
  </si>
  <si>
    <t>Petroleum Products</t>
  </si>
  <si>
    <t>100014</t>
  </si>
  <si>
    <t>Mahindra &amp; Mahindra Ltd.</t>
  </si>
  <si>
    <t>INE101A01026</t>
  </si>
  <si>
    <t>Automobiles</t>
  </si>
  <si>
    <t>100172</t>
  </si>
  <si>
    <t>ACC Ltd.</t>
  </si>
  <si>
    <t>INE012A01025</t>
  </si>
  <si>
    <t>Cement &amp; Cement Products</t>
  </si>
  <si>
    <t>100128</t>
  </si>
  <si>
    <t>Eicher Motors Ltd.</t>
  </si>
  <si>
    <t>INE066A01021</t>
  </si>
  <si>
    <t>101178</t>
  </si>
  <si>
    <t>Computer Age Management Services Ltd.</t>
  </si>
  <si>
    <t>INE596I01012</t>
  </si>
  <si>
    <t>Capital Markets</t>
  </si>
  <si>
    <t>100006</t>
  </si>
  <si>
    <t>HDFC Bank Ltd.</t>
  </si>
  <si>
    <t>INE040A01034</t>
  </si>
  <si>
    <t>100080</t>
  </si>
  <si>
    <t>Dr. Reddy's Laboratories Ltd.</t>
  </si>
  <si>
    <t>INE089A01023</t>
  </si>
  <si>
    <t>Pharmaceuticals &amp; Biotechnology</t>
  </si>
  <si>
    <t>100181</t>
  </si>
  <si>
    <t>NTPC Ltd.</t>
  </si>
  <si>
    <t>INE733E01010</t>
  </si>
  <si>
    <t>Power</t>
  </si>
  <si>
    <t>100180</t>
  </si>
  <si>
    <t>Hindalco Industries Ltd.</t>
  </si>
  <si>
    <t>INE038A01020</t>
  </si>
  <si>
    <t>Non - Ferrous Metals</t>
  </si>
  <si>
    <t>100002</t>
  </si>
  <si>
    <t>Reliance Industries Ltd.</t>
  </si>
  <si>
    <t>INE002A01018</t>
  </si>
  <si>
    <t>100019</t>
  </si>
  <si>
    <t>ITC Ltd.</t>
  </si>
  <si>
    <t>INE154A01025</t>
  </si>
  <si>
    <t>Diversified FMCG</t>
  </si>
  <si>
    <t>100314</t>
  </si>
  <si>
    <t>SRF Ltd.</t>
  </si>
  <si>
    <t>INE647A01010</t>
  </si>
  <si>
    <t>Chemicals &amp; Petrochemicals</t>
  </si>
  <si>
    <t>100108</t>
  </si>
  <si>
    <t>Adani Ports and Special Economic Zone Ltd.</t>
  </si>
  <si>
    <t>INE742F01042</t>
  </si>
  <si>
    <t>Transport Infrastructure</t>
  </si>
  <si>
    <t>100081</t>
  </si>
  <si>
    <t>Titan Company Ltd.</t>
  </si>
  <si>
    <t>INE280A01028</t>
  </si>
  <si>
    <t>Consumer Durables</t>
  </si>
  <si>
    <t>100027</t>
  </si>
  <si>
    <t>Pidilite Industries Ltd.</t>
  </si>
  <si>
    <t>INE318A01026</t>
  </si>
  <si>
    <t>100153</t>
  </si>
  <si>
    <t>Cipla Ltd.</t>
  </si>
  <si>
    <t>INE059A01026</t>
  </si>
  <si>
    <t>100431</t>
  </si>
  <si>
    <t>Atul Auto Ltd.</t>
  </si>
  <si>
    <t>INE951D01028</t>
  </si>
  <si>
    <t>Agricultural, Commercial &amp; Construction Vehicles</t>
  </si>
  <si>
    <t>100684</t>
  </si>
  <si>
    <t>SBI Life Insurance Co. Ltd.</t>
  </si>
  <si>
    <t>INE123W01016</t>
  </si>
  <si>
    <t>Insurance</t>
  </si>
  <si>
    <t>100010</t>
  </si>
  <si>
    <t>State Bank of India</t>
  </si>
  <si>
    <t>INE062A01020</t>
  </si>
  <si>
    <t>100435</t>
  </si>
  <si>
    <t>Crompton Greaves Consumer Electricals Ltd.</t>
  </si>
  <si>
    <t>INE299U01018</t>
  </si>
  <si>
    <t>100163</t>
  </si>
  <si>
    <t>Bosch Ltd.</t>
  </si>
  <si>
    <t>INE323A01026</t>
  </si>
  <si>
    <t>Auto Components</t>
  </si>
  <si>
    <t>100099</t>
  </si>
  <si>
    <t>Hindustan Unilever Ltd.</t>
  </si>
  <si>
    <t>INE030A01027</t>
  </si>
  <si>
    <t>100159</t>
  </si>
  <si>
    <t>Sanofi India Ltd.</t>
  </si>
  <si>
    <t>INE058A01010</t>
  </si>
  <si>
    <t>100029</t>
  </si>
  <si>
    <t>Mphasis Ltd.</t>
  </si>
  <si>
    <t>INE356A01018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</si>
  <si>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</si>
  <si>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</si>
  <si>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</si>
  <si>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</si>
  <si>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</si>
  <si>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</si>
  <si>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</si>
  <si>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</si>
  <si>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</si>
  <si>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</si>
  <si>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</si>
  <si>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</si>
  <si>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</si>
  <si>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</si>
  <si>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</si>
  <si>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</si>
  <si>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</si>
  <si>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</si>
  <si>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</si>
  <si>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</si>
  <si>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</si>
  <si>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</si>
  <si>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</si>
  <si>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</si>
  <si>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</si>
  <si>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</si>
  <si>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</si>
  <si>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</si>
  <si>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</si>
  <si>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</si>
  <si>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</si>
  <si>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</si>
  <si>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</si>
  <si>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</si>
  <si>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</si>
  <si>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</si>
  <si>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</si>
  <si>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</si>
  <si>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</si>
  <si>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Taurus Largecap Equity Fund - Direct Plan Growth Option</t>
  </si>
  <si>
    <t>NAV [Rs.] Per Unit (as on June 30, 2023 : 110.20)</t>
  </si>
  <si>
    <t>NAV [Rs.] Per Unit (as on June 30, 2023 : 116.29)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</si>
</sst>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2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45107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21040</v>
      </c>
      <c r="H10" s="32">
        <v>249.92</v>
      </c>
      <c r="I10" s="32">
        <v>7.23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8465</v>
      </c>
      <c r="H11" s="32">
        <v>238.84</v>
      </c>
      <c r="I11" s="32">
        <v>6.91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17700</v>
      </c>
      <c r="H12" s="32">
        <v>200.11</v>
      </c>
      <c r="I12" s="32">
        <v>5.79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14700</v>
      </c>
      <c r="H13" s="32">
        <v>196.27</v>
      </c>
      <c r="I13" s="32">
        <v>5.68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19761</v>
      </c>
      <c r="H14" s="32">
        <v>195.2</v>
      </c>
      <c r="I14" s="32">
        <v>5.65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78500</v>
      </c>
      <c r="H15" s="32">
        <v>181.22</v>
      </c>
      <c r="I15" s="32">
        <v>5.24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32</v>
      </c>
      <c r="G16" s="31">
        <v>19245</v>
      </c>
      <c r="H16" s="32">
        <v>179.82</v>
      </c>
      <c r="I16" s="32">
        <v>5.2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32817</v>
      </c>
      <c r="H17" s="32">
        <v>160.97</v>
      </c>
      <c r="I17" s="32">
        <v>4.66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166330</v>
      </c>
      <c r="H18" s="32">
        <v>151.78</v>
      </c>
      <c r="I18" s="32">
        <v>4.3899999999999997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9811</v>
      </c>
      <c r="H19" s="32">
        <v>142.63</v>
      </c>
      <c r="I19" s="32">
        <v>4.12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7040</v>
      </c>
      <c r="H20" s="32">
        <v>127.68</v>
      </c>
      <c r="I20" s="32">
        <v>3.69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51</v>
      </c>
      <c r="G21" s="31">
        <v>3450</v>
      </c>
      <c r="H21" s="32">
        <v>123.59</v>
      </c>
      <c r="I21" s="32">
        <v>3.57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4880</v>
      </c>
      <c r="H22" s="32">
        <v>107.34</v>
      </c>
      <c r="I22" s="32">
        <v>3.1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32</v>
      </c>
      <c r="G23" s="31">
        <v>6139</v>
      </c>
      <c r="H23" s="32">
        <v>104.47</v>
      </c>
      <c r="I23" s="32">
        <v>3.02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1930</v>
      </c>
      <c r="H24" s="32">
        <v>99.51</v>
      </c>
      <c r="I24" s="32">
        <v>2.88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52356</v>
      </c>
      <c r="H25" s="32">
        <v>99.03</v>
      </c>
      <c r="I25" s="32">
        <v>2.86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22605</v>
      </c>
      <c r="H26" s="32">
        <v>95.14</v>
      </c>
      <c r="I26" s="32">
        <v>2.75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47</v>
      </c>
      <c r="G27" s="31">
        <v>3379</v>
      </c>
      <c r="H27" s="32">
        <v>86.19</v>
      </c>
      <c r="I27" s="32">
        <v>2.4900000000000002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18417</v>
      </c>
      <c r="H28" s="32">
        <v>83.18</v>
      </c>
      <c r="I28" s="32">
        <v>2.41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2936</v>
      </c>
      <c r="H29" s="32">
        <v>67.239999999999995</v>
      </c>
      <c r="I29" s="32">
        <v>1.94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9053</v>
      </c>
      <c r="H30" s="32">
        <v>66.89</v>
      </c>
      <c r="I30" s="32">
        <v>1.93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2089</v>
      </c>
      <c r="H31" s="32">
        <v>63.69</v>
      </c>
      <c r="I31" s="32">
        <v>1.84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88</v>
      </c>
      <c r="G32" s="31">
        <v>1999</v>
      </c>
      <c r="H32" s="32">
        <v>51.93</v>
      </c>
      <c r="I32" s="32">
        <v>1.5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69</v>
      </c>
      <c r="G33" s="31">
        <v>4961</v>
      </c>
      <c r="H33" s="32">
        <v>50.38</v>
      </c>
      <c r="I33" s="32">
        <v>1.46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11413</v>
      </c>
      <c r="H34" s="32">
        <v>39.68</v>
      </c>
      <c r="I34" s="32">
        <v>1.1499999999999999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2681</v>
      </c>
      <c r="H35" s="32">
        <v>35.04</v>
      </c>
      <c r="I35" s="32">
        <v>1.01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32</v>
      </c>
      <c r="G36" s="31">
        <v>5702</v>
      </c>
      <c r="H36" s="32">
        <v>32.659999999999997</v>
      </c>
      <c r="I36" s="32">
        <v>0.94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96</v>
      </c>
      <c r="G37" s="31">
        <v>10951</v>
      </c>
      <c r="H37" s="32">
        <v>31.68</v>
      </c>
      <c r="I37" s="32">
        <v>0.92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162</v>
      </c>
      <c r="H38" s="32">
        <v>30.89</v>
      </c>
      <c r="I38" s="32">
        <v>0.89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84</v>
      </c>
      <c r="G39" s="31">
        <v>1100</v>
      </c>
      <c r="H39" s="32">
        <v>29.46</v>
      </c>
      <c r="I39" s="32">
        <v>0.85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69</v>
      </c>
      <c r="G40" s="31">
        <v>300</v>
      </c>
      <c r="H40" s="32">
        <v>20.72</v>
      </c>
      <c r="I40" s="32">
        <v>0.6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18</v>
      </c>
      <c r="G41" s="31">
        <v>1000</v>
      </c>
      <c r="H41" s="32">
        <v>18.93</v>
      </c>
      <c r="I41" s="32">
        <v>0.55000000000000004</v>
      </c>
      <c r="J41" s="33"/>
    </row>
    <row r="42" spans="2:10">
      <c r="C42" s="28" t="s">
        <v>130</v>
      </c>
      <c r="D42" s="29"/>
      <c r="E42" s="30"/>
      <c r="F42" s="30"/>
      <c r="G42" s="31"/>
      <c r="H42" s="35">
        <v>3362.08</v>
      </c>
      <c r="I42" s="35">
        <v>97.22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131</v>
      </c>
      <c r="D44" s="29"/>
      <c r="E44" s="30"/>
      <c r="F44" s="30"/>
      <c r="G44" s="31"/>
      <c r="H44" s="32" t="s">
        <v>132</v>
      </c>
      <c r="I44" s="32" t="s">
        <v>132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133</v>
      </c>
      <c r="D46" s="29"/>
      <c r="E46" s="30"/>
      <c r="F46" s="30"/>
      <c r="G46" s="31"/>
      <c r="H46" s="32" t="s">
        <v>132</v>
      </c>
      <c r="I46" s="32" t="s">
        <v>132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134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135</v>
      </c>
      <c r="D50" s="29"/>
      <c r="E50" s="30"/>
      <c r="F50" s="30"/>
      <c r="G50" s="31"/>
      <c r="H50" s="32" t="s">
        <v>132</v>
      </c>
      <c r="I50" s="32" t="s">
        <v>132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136</v>
      </c>
      <c r="D52" s="29"/>
      <c r="E52" s="30"/>
      <c r="F52" s="30"/>
      <c r="G52" s="31"/>
      <c r="H52" s="32" t="s">
        <v>132</v>
      </c>
      <c r="I52" s="32" t="s">
        <v>132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137</v>
      </c>
      <c r="D54" s="29"/>
      <c r="E54" s="30"/>
      <c r="F54" s="30"/>
      <c r="G54" s="31"/>
      <c r="H54" s="32" t="s">
        <v>132</v>
      </c>
      <c r="I54" s="32" t="s">
        <v>132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138</v>
      </c>
      <c r="D56" s="29"/>
      <c r="E56" s="30"/>
      <c r="F56" s="30"/>
      <c r="G56" s="31"/>
      <c r="H56" s="32" t="s">
        <v>132</v>
      </c>
      <c r="I56" s="32" t="s">
        <v>132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139</v>
      </c>
      <c r="D58" s="29"/>
      <c r="E58" s="30"/>
      <c r="F58" s="30"/>
      <c r="G58" s="31"/>
      <c r="H58" s="32" t="s">
        <v>132</v>
      </c>
      <c r="I58" s="32" t="s">
        <v>132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140</v>
      </c>
      <c r="D60" s="29"/>
      <c r="E60" s="30"/>
      <c r="F60" s="30"/>
      <c r="G60" s="31"/>
      <c r="H60" s="32"/>
      <c r="I60" s="32"/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141</v>
      </c>
      <c r="D62" s="29"/>
      <c r="E62" s="30"/>
      <c r="F62" s="30"/>
      <c r="G62" s="31"/>
      <c r="H62" s="32" t="s">
        <v>132</v>
      </c>
      <c r="I62" s="32" t="s">
        <v>132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142</v>
      </c>
      <c r="D64" s="29"/>
      <c r="E64" s="30"/>
      <c r="F64" s="30"/>
      <c r="G64" s="31"/>
      <c r="H64" s="32" t="s">
        <v>132</v>
      </c>
      <c r="I64" s="32" t="s">
        <v>132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143</v>
      </c>
      <c r="D66" s="29"/>
      <c r="E66" s="30"/>
      <c r="F66" s="30"/>
      <c r="G66" s="31"/>
      <c r="H66" s="32" t="s">
        <v>132</v>
      </c>
      <c r="I66" s="32" t="s">
        <v>132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144</v>
      </c>
      <c r="D68" s="29"/>
      <c r="E68" s="30"/>
      <c r="F68" s="30"/>
      <c r="G68" s="31"/>
      <c r="H68" s="32" t="s">
        <v>132</v>
      </c>
      <c r="I68" s="32" t="s">
        <v>132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145</v>
      </c>
      <c r="D70" s="29"/>
      <c r="E70" s="30"/>
      <c r="F70" s="30"/>
      <c r="G70" s="31"/>
      <c r="H70" s="32"/>
      <c r="I70" s="32"/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146</v>
      </c>
      <c r="D72" s="29"/>
      <c r="E72" s="30"/>
      <c r="F72" s="30"/>
      <c r="G72" s="31"/>
      <c r="H72" s="32" t="s">
        <v>132</v>
      </c>
      <c r="I72" s="32" t="s">
        <v>132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147</v>
      </c>
      <c r="D74" s="29"/>
      <c r="E74" s="30"/>
      <c r="F74" s="30"/>
      <c r="G74" s="31"/>
      <c r="H74" s="32" t="s">
        <v>132</v>
      </c>
      <c r="I74" s="32" t="s">
        <v>132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148</v>
      </c>
      <c r="D76" s="29"/>
      <c r="E76" s="30"/>
      <c r="F76" s="30"/>
      <c r="G76" s="31"/>
      <c r="H76" s="32" t="s">
        <v>132</v>
      </c>
      <c r="I76" s="32" t="s">
        <v>132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149</v>
      </c>
      <c r="D78" s="29"/>
      <c r="E78" s="30"/>
      <c r="F78" s="30"/>
      <c r="G78" s="31"/>
      <c r="H78" s="32" t="s">
        <v>132</v>
      </c>
      <c r="I78" s="32" t="s">
        <v>132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150</v>
      </c>
      <c r="D80" s="29"/>
      <c r="E80" s="30"/>
      <c r="F80" s="30"/>
      <c r="G80" s="31"/>
      <c r="H80" s="32" t="s">
        <v>132</v>
      </c>
      <c r="I80" s="32" t="s">
        <v>132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A82" s="26"/>
      <c r="B82" s="27"/>
      <c r="C82" s="28" t="s">
        <v>151</v>
      </c>
      <c r="D82" s="29"/>
      <c r="E82" s="30"/>
      <c r="F82" s="30"/>
      <c r="G82" s="31"/>
      <c r="H82" s="32"/>
      <c r="I82" s="32"/>
      <c r="J82" s="33"/>
    </row>
    <row r="83" spans="1:10">
      <c r="B83" s="1"/>
      <c r="C83" s="20" t="s">
        <v>152</v>
      </c>
      <c r="D83" s="29"/>
      <c r="E83" s="30"/>
      <c r="F83" s="30"/>
      <c r="G83" s="31"/>
      <c r="H83" s="32">
        <v>95.73</v>
      </c>
      <c r="I83" s="32">
        <v>2.78</v>
      </c>
      <c r="J83" s="33"/>
    </row>
    <row r="84" spans="1:10">
      <c r="C84" s="28" t="s">
        <v>130</v>
      </c>
      <c r="D84" s="29"/>
      <c r="E84" s="30"/>
      <c r="F84" s="30"/>
      <c r="G84" s="31"/>
      <c r="H84" s="35">
        <v>95.73</v>
      </c>
      <c r="I84" s="35">
        <v>2.78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 ht="13.5" thickBot="1">
      <c r="C86" s="36" t="s">
        <v>153</v>
      </c>
      <c r="D86" s="37"/>
      <c r="E86" s="38"/>
      <c r="F86" s="39"/>
      <c r="G86" s="40"/>
      <c r="H86" s="41">
        <v>3457.81</v>
      </c>
      <c r="I86" s="41">
        <f>SUMIFS(I:I,C:C,"Total")</f>
        <v>100</v>
      </c>
      <c r="J86" s="42"/>
    </row>
    <row r="89" spans="1:10">
      <c r="C89" s="11" t="s">
        <v>154</v>
      </c>
    </row>
    <row r="90" spans="1:10">
      <c r="C90" s="2" t="s">
        <v>155</v>
      </c>
    </row>
    <row r="91" spans="1:10">
      <c r="C91" s="2" t="s">
        <v>156</v>
      </c>
    </row>
    <row r="92" spans="1:10">
      <c r="C92" s="2" t="s">
        <v>157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/>
  </sheetViews>
  <sheetFormatPr defaultRowHeight="15"/>
  <cols>
    <col min="2" max="2" width="46.28515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>
      <c r="B4" s="43" t="s">
        <v>158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159</v>
      </c>
      <c r="C5" s="50" t="s">
        <v>160</v>
      </c>
      <c r="D5" s="50"/>
      <c r="E5" s="50" t="s">
        <v>161</v>
      </c>
      <c r="F5" s="50"/>
      <c r="G5" s="50" t="s">
        <v>162</v>
      </c>
      <c r="H5" s="50"/>
      <c r="I5" s="50" t="s">
        <v>163</v>
      </c>
      <c r="J5" s="50"/>
    </row>
    <row r="6" spans="2:10" ht="63.75">
      <c r="B6" s="46"/>
      <c r="C6" s="47" t="s">
        <v>164</v>
      </c>
      <c r="D6" s="47" t="s">
        <v>165</v>
      </c>
      <c r="E6" s="47" t="s">
        <v>164</v>
      </c>
      <c r="F6" s="47" t="s">
        <v>165</v>
      </c>
      <c r="G6" s="47" t="s">
        <v>164</v>
      </c>
      <c r="H6" s="47" t="s">
        <v>165</v>
      </c>
      <c r="I6" s="47" t="s">
        <v>164</v>
      </c>
      <c r="J6" s="47" t="s">
        <v>165</v>
      </c>
    </row>
    <row r="7" spans="2:10">
      <c r="B7" s="48" t="s">
        <v>166</v>
      </c>
      <c r="C7" s="49">
        <v>22.254271133791882</v>
      </c>
      <c r="D7" s="49">
        <v>12225.427113379188</v>
      </c>
      <c r="E7" s="49">
        <v>19.081649470875028</v>
      </c>
      <c r="F7" s="49">
        <v>16886.30095004597</v>
      </c>
      <c r="G7" s="49">
        <v>9.2137641785126068</v>
      </c>
      <c r="H7" s="49">
        <v>15545.210890111439</v>
      </c>
      <c r="I7" s="49">
        <v>10.265315856358924</v>
      </c>
      <c r="J7" s="49">
        <v>110200</v>
      </c>
    </row>
    <row r="8" spans="2:10">
      <c r="B8" s="48" t="s">
        <v>167</v>
      </c>
      <c r="C8" s="49">
        <v>23.975454336126866</v>
      </c>
      <c r="D8" s="49">
        <v>12397.545433612686</v>
      </c>
      <c r="E8" s="49">
        <v>25.159878325838768</v>
      </c>
      <c r="F8" s="49">
        <v>19606.288860150071</v>
      </c>
      <c r="G8" s="49">
        <v>13.731720087909839</v>
      </c>
      <c r="H8" s="49">
        <v>19028.652604028866</v>
      </c>
      <c r="I8" s="49">
        <v>12.11035740144184</v>
      </c>
      <c r="J8" s="49">
        <v>255638.73851654973</v>
      </c>
    </row>
    <row r="9" spans="2:10">
      <c r="B9" s="48" t="s">
        <v>168</v>
      </c>
      <c r="C9" s="49">
        <v>22.912681409071745</v>
      </c>
      <c r="D9" s="49">
        <v>12291.268140907174</v>
      </c>
      <c r="E9" s="49">
        <v>24.537547973581297</v>
      </c>
      <c r="F9" s="49">
        <v>19315.27660564542</v>
      </c>
      <c r="G9" s="49">
        <v>13.703517956986966</v>
      </c>
      <c r="H9" s="49">
        <v>19005.071562987927</v>
      </c>
      <c r="I9" s="49">
        <v>12.197413469599393</v>
      </c>
      <c r="J9" s="49">
        <v>261327.33047476219</v>
      </c>
    </row>
    <row r="10" spans="2:10">
      <c r="B10" s="48" t="s">
        <v>170</v>
      </c>
      <c r="C10" s="51">
        <v>90.14</v>
      </c>
      <c r="D10" s="52"/>
      <c r="E10" s="51">
        <v>65.260000000000005</v>
      </c>
      <c r="F10" s="52"/>
      <c r="G10" s="51">
        <v>70.89</v>
      </c>
      <c r="H10" s="52"/>
      <c r="I10" s="51">
        <v>10</v>
      </c>
      <c r="J10" s="52"/>
    </row>
    <row r="12" spans="2:10" ht="15.75">
      <c r="B12" s="43" t="s">
        <v>169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159</v>
      </c>
      <c r="C13" s="50" t="s">
        <v>160</v>
      </c>
      <c r="D13" s="50"/>
      <c r="E13" s="50" t="s">
        <v>161</v>
      </c>
      <c r="F13" s="50"/>
      <c r="G13" s="50" t="s">
        <v>162</v>
      </c>
      <c r="H13" s="50"/>
      <c r="I13" s="50" t="s">
        <v>163</v>
      </c>
      <c r="J13" s="50"/>
    </row>
    <row r="14" spans="2:10" ht="63.75">
      <c r="B14" s="46"/>
      <c r="C14" s="47" t="s">
        <v>164</v>
      </c>
      <c r="D14" s="47" t="s">
        <v>165</v>
      </c>
      <c r="E14" s="47" t="s">
        <v>164</v>
      </c>
      <c r="F14" s="47" t="s">
        <v>165</v>
      </c>
      <c r="G14" s="47" t="s">
        <v>164</v>
      </c>
      <c r="H14" s="47" t="s">
        <v>165</v>
      </c>
      <c r="I14" s="47" t="s">
        <v>164</v>
      </c>
      <c r="J14" s="47" t="s">
        <v>165</v>
      </c>
    </row>
    <row r="15" spans="2:10">
      <c r="B15" s="48" t="s">
        <v>166</v>
      </c>
      <c r="C15" s="49">
        <v>22.359006734006726</v>
      </c>
      <c r="D15" s="49">
        <v>12235.900673400673</v>
      </c>
      <c r="E15" s="49">
        <v>19.177758010282055</v>
      </c>
      <c r="F15" s="49">
        <v>16927.219796215428</v>
      </c>
      <c r="G15" s="49">
        <v>9.4272290986922904</v>
      </c>
      <c r="H15" s="49">
        <v>15697.894168466522</v>
      </c>
      <c r="I15" s="49">
        <v>9.5793241308808277</v>
      </c>
      <c r="J15" s="49">
        <v>26120.844564240793</v>
      </c>
    </row>
    <row r="16" spans="2:10">
      <c r="B16" s="48" t="s">
        <v>167</v>
      </c>
      <c r="C16" s="49">
        <v>23.975454336126866</v>
      </c>
      <c r="D16" s="49">
        <v>12397.545433612686</v>
      </c>
      <c r="E16" s="49">
        <v>25.159878325838768</v>
      </c>
      <c r="F16" s="49">
        <v>19606.288860150071</v>
      </c>
      <c r="G16" s="49">
        <v>13.731720087909839</v>
      </c>
      <c r="H16" s="49">
        <v>19028.652604028866</v>
      </c>
      <c r="I16" s="49">
        <v>13.346504019286943</v>
      </c>
      <c r="J16" s="49">
        <v>37244.467183027627</v>
      </c>
    </row>
    <row r="17" spans="2:10">
      <c r="B17" s="48" t="s">
        <v>168</v>
      </c>
      <c r="C17" s="49">
        <v>22.912681409071745</v>
      </c>
      <c r="D17" s="49">
        <v>12291.268140907174</v>
      </c>
      <c r="E17" s="49">
        <v>24.537547973581297</v>
      </c>
      <c r="F17" s="49">
        <v>19315.27660564542</v>
      </c>
      <c r="G17" s="49">
        <v>13.703517956986966</v>
      </c>
      <c r="H17" s="49">
        <v>19005.071562987927</v>
      </c>
      <c r="I17" s="49">
        <v>13.103763352151464</v>
      </c>
      <c r="J17" s="49">
        <v>36415.754747344712</v>
      </c>
    </row>
    <row r="18" spans="2:10">
      <c r="B18" s="48" t="s">
        <v>171</v>
      </c>
      <c r="C18" s="51">
        <v>95.04</v>
      </c>
      <c r="D18" s="52"/>
      <c r="E18" s="51">
        <v>68.7</v>
      </c>
      <c r="F18" s="52"/>
      <c r="G18" s="51">
        <v>74.08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2023-07-03T10:21:58Z</dcterms:created>
  <dcterms:modified xsi:type="dcterms:W3CDTF">2023-07-10T03:19:14Z</dcterms:modified>
</cp:coreProperties>
</file>