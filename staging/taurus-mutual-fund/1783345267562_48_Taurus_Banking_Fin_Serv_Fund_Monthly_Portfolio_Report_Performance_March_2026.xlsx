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1. APR 2026\Monthly Portfolio\Ops\"/>
    </mc:Choice>
  </mc:AlternateContent>
  <xr:revisionPtr revIDLastSave="0" documentId="13_ncr:1_{E19BE203-3052-451F-A1E2-EC31E3520BC3}" xr6:coauthVersionLast="47" xr6:coauthVersionMax="47" xr10:uidLastSave="{00000000-0000-0000-0000-000000000000}"/>
  <bookViews>
    <workbookView xWindow="-120" yWindow="-120" windowWidth="20730" windowHeight="11040" activeTab="1" xr2:uid="{0506C8AA-0E8D-4326-8629-524E0824D9E4}"/>
  </bookViews>
  <sheets>
    <sheet name="TBFS" sheetId="1" r:id="rId1"/>
    <sheet name="TBFS Performance" sheetId="2" r:id="rId2"/>
  </sheets>
  <externalReferences>
    <externalReference r:id="rId3"/>
  </externalReferences>
  <definedNames>
    <definedName name="XDO_?CLASS_3?1?">TBFS!$C$8:$C$29</definedName>
    <definedName name="XDO_?FINAL_ISIN?1?">TBFS!$D$10:$D$29</definedName>
    <definedName name="XDO_?FINAL_ISIN?2?">TBFS!$D$10:$D$73</definedName>
    <definedName name="XDO_?FINAL_MV?1?">TBFS!$H$10:$H$29</definedName>
    <definedName name="XDO_?FINAL_MV?2?">TBFS!$H$10:$H$73</definedName>
    <definedName name="XDO_?FINAL_NAME?1?">TBFS!$C$10:$C$29</definedName>
    <definedName name="XDO_?FINAL_NAME?2?">TBFS!$C$10:$C$73</definedName>
    <definedName name="XDO_?FINAL_PER_NET?1?">TBFS!$I$10:$I$29</definedName>
    <definedName name="XDO_?FINAL_PER_NET?2?">TBFS!$I$10:$I$73</definedName>
    <definedName name="XDO_?FINAL_QUANTITE?1?">TBFS!$G$10:$G$29</definedName>
    <definedName name="XDO_?FINAL_QUANTITE?2?">TBFS!$G$10:$G$73</definedName>
    <definedName name="XDO_?IND_01?1?">TBFS!$F$10:$F$29</definedName>
    <definedName name="XDO_?IND_01?2?">TBFS!$F$10:$F$73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TBFS!$C$2:$C$29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TBFS!$B$10:$B$29</definedName>
    <definedName name="XDO_?NOVAL?2?">TBFS!$B$10:$B$73</definedName>
    <definedName name="XDO_?NPTF?1?">TBFS!$D$2:$D$29</definedName>
    <definedName name="XDO_?RATING?1?">TBFS!$E$10:$E$29</definedName>
    <definedName name="XDO_?RATING?2?">TBFS!$E$10:$E$73</definedName>
    <definedName name="XDO_?REMARKS?1?">TBFS!$J$10:$J$29</definedName>
    <definedName name="XDO_?REMARKS?2?">TBFS!$J$10:$J$73</definedName>
    <definedName name="XDO_?TITL?1?">TBFS!$A$8:$A$29</definedName>
    <definedName name="XDO_GROUP_?G_2?1?">TBFS!$2:$76</definedName>
    <definedName name="XDO_GROUP_?G_3?1?">TBFS!$8:$75</definedName>
    <definedName name="XDO_GROUP_?G_4?1?">TBFS!$B$10:$IV$29</definedName>
    <definedName name="XDO_GROUP_?G_4?2?">TBFS!$B$73:$IV$73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1" l="1"/>
</calcChain>
</file>

<file path=xl/sharedStrings.xml><?xml version="1.0" encoding="utf-8"?>
<sst xmlns="http://schemas.openxmlformats.org/spreadsheetml/2006/main" count="222" uniqueCount="144">
  <si>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</si>
  <si>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</si>
  <si>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</si>
  <si>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</si>
  <si>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</si>
  <si>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</si>
  <si>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</si>
  <si>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</si>
  <si>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</si>
  <si>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</si>
  <si>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</si>
  <si>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</si>
  <si>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</si>
  <si>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</si>
  <si>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</si>
  <si>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</si>
  <si>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</si>
  <si>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</si>
  <si>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</si>
  <si>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</si>
  <si>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</si>
  <si>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</si>
  <si>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</si>
  <si>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</si>
  <si>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</si>
  <si>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</si>
  <si>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</si>
  <si>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</si>
  <si>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</si>
  <si>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</si>
  <si>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INE237A01036</t>
  </si>
  <si>
    <t>100194</t>
  </si>
  <si>
    <t>Power Finance Corporation Ltd.</t>
  </si>
  <si>
    <t>INE134E01011</t>
  </si>
  <si>
    <t>Finance</t>
  </si>
  <si>
    <t>100135</t>
  </si>
  <si>
    <t>The Karnataka Bank Ltd.</t>
  </si>
  <si>
    <t>INE614B01018</t>
  </si>
  <si>
    <t>102528</t>
  </si>
  <si>
    <t>DAM Capital Advisors Ltd.</t>
  </si>
  <si>
    <t>INE284H01025</t>
  </si>
  <si>
    <t>Capital Markets</t>
  </si>
  <si>
    <t>100125</t>
  </si>
  <si>
    <t>Bajaj Finance Ltd.</t>
  </si>
  <si>
    <t>INE296A01032</t>
  </si>
  <si>
    <t>100042</t>
  </si>
  <si>
    <t>LIC Housing Finance Ltd.</t>
  </si>
  <si>
    <t>INE115A01026</t>
  </si>
  <si>
    <t>100733</t>
  </si>
  <si>
    <t>General Insurance Corporation of India</t>
  </si>
  <si>
    <t>INE481Y01014</t>
  </si>
  <si>
    <t>Insurance</t>
  </si>
  <si>
    <t>100325</t>
  </si>
  <si>
    <t>Bajaj Holdings &amp; Investment Ltd.</t>
  </si>
  <si>
    <t>INE118A01012</t>
  </si>
  <si>
    <t>100783</t>
  </si>
  <si>
    <t>JM Financial Ltd.</t>
  </si>
  <si>
    <t>INE780C01023</t>
  </si>
  <si>
    <t>100661</t>
  </si>
  <si>
    <t>Central Depository Services (I) Ltd.</t>
  </si>
  <si>
    <t>INE736A01011</t>
  </si>
  <si>
    <t>100694</t>
  </si>
  <si>
    <t>Indian Energy Exchange Ltd.</t>
  </si>
  <si>
    <t>INE022Q01020</t>
  </si>
  <si>
    <t>100814</t>
  </si>
  <si>
    <t>HDFC Asset Management Co. Ltd.</t>
  </si>
  <si>
    <t>INE127D01025</t>
  </si>
  <si>
    <t>101550</t>
  </si>
  <si>
    <t>Life Insurance Corporation of India</t>
  </si>
  <si>
    <t>INE0J1Y01017</t>
  </si>
  <si>
    <t>100092</t>
  </si>
  <si>
    <t>Bank of Baroda</t>
  </si>
  <si>
    <t>INE028A01039</t>
  </si>
  <si>
    <t>100243</t>
  </si>
  <si>
    <t>Multi Commodity Exchange of India Ltd.</t>
  </si>
  <si>
    <t>INE745G01043</t>
  </si>
  <si>
    <t>101181</t>
  </si>
  <si>
    <t>UTI Asset Management Co. Ltd.</t>
  </si>
  <si>
    <t>INE094J01016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</si>
  <si>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</si>
  <si>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</si>
  <si>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</si>
  <si>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</si>
  <si>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</si>
  <si>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</si>
  <si>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</si>
  <si>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</si>
  <si>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</si>
  <si>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</si>
  <si>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</si>
  <si>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</si>
  <si>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</si>
  <si>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</si>
  <si>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</si>
  <si>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</si>
  <si>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</si>
  <si>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</si>
  <si>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</si>
  <si>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</si>
  <si>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</si>
  <si>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</si>
  <si>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</si>
  <si>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</si>
  <si>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</si>
  <si>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</si>
  <si>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</si>
  <si>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</si>
  <si>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</si>
  <si>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</si>
  <si>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</si>
  <si>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</si>
  <si>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</si>
  <si>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</si>
  <si>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</si>
  <si>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2026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</si>
  <si>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</si>
  <si>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</si>
  <si>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</si>
  <si>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</si>
  <si>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</si>
  <si>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March 31, 2026.</t>
  </si>
  <si>
    <t>7. The Scheme did not declare any bonus during the month ended as on March 31, 2026.</t>
  </si>
  <si>
    <t>8. Total outstanding exposure in derivative instruments as on March 31, 2026 is Nil</t>
  </si>
  <si>
    <t>9. Total investments in Foreign Securities /ADRs/GDRs /Overseas ETFs as on March 31, 2026 and its percentage to NAV is Nil.</t>
  </si>
  <si>
    <t>10. During the period, the portfolio turnover ratio is 0.59 times.</t>
  </si>
  <si>
    <t>      Portfolio Turnover Ratio = Lower of sales or purchase of securities divided by average AUM for 12 months ended as on March 31, 2026</t>
  </si>
  <si>
    <t>11. The Scheme did not invest in repo transactions of corporate debt securities during the month ended as on March 31, 2026.</t>
  </si>
  <si>
    <t>12. The Scheme did not invest in credit default swaps during the month ended as on March 31, 2026.</t>
  </si>
  <si>
    <t>13. There are Nil instances of deviation from the valuation principles/guidelines during the month ended as on March 31st, 2026.</t>
  </si>
  <si>
    <t>Taurus Banking &amp; Financial Services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</si>
  <si>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</si>
  <si>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</si>
  <si>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</si>
  <si>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</si>
  <si>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</si>
  <si>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</si>
  <si>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</si>
  <si>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</si>
  <si>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</si>
  <si>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</si>
  <si>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</si>
  <si>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March 30,2026 :47.79)</t>
  </si>
  <si>
    <t>Taurus Banking &amp; Financial Services Fund - Direct Plan Growth Option</t>
  </si>
  <si>
    <t>NAV [Rs.] Per Unit (as on March 30,2026 :53.69)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</si>
</sst>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4" fontId="3" fillId="0" borderId="0" xfId="0" applyNumberFormat="1" applyFont="1"/>
    <xf numFmtId="4" fontId="3" fillId="0" borderId="0" xfId="1" applyNumberFormat="1" applyFont="1"/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3102D845-ADE9-4E2D-A8F0-C71186811F14}"/>
    <cellStyle name="Hyperlink" xfId="2" builtinId="8"/>
    <cellStyle name="Normal" xfId="0" builtinId="0"/>
    <cellStyle name="Normal 2" xfId="4" xr:uid="{13DBB3FD-6D23-4D10-94A4-8AD89AE2CB68}"/>
    <cellStyle name="Style 1" xfId="3" xr:uid="{711C89C9-55E0-44BA-B707-2C03804764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348064</xdr:colOff>
      <xdr:row>0</xdr:row>
      <xdr:rowOff>2074332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0C6A1-F155-47DA-8D1E-F8A915645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100231" cy="2074332"/>
        </a:xfrm>
        <a:prstGeom prst="rect">
          <a:avLst/>
        </a:prstGeom>
      </xdr:spPr>
    </xdr:pic>
    <xdr:clientData/>
  </xdr:twoCellAnchor>
  <xdr:twoCellAnchor editAs="oneCell">
    <xdr:from>
      <xdr:col>0</xdr:col>
      <xdr:colOff>169332</xdr:colOff>
      <xdr:row>0</xdr:row>
      <xdr:rowOff>0</xdr:rowOff>
    </xdr:from>
    <xdr:to>
      <xdr:col>5</xdr:col>
      <xdr:colOff>572499</xdr:colOff>
      <xdr:row>0</xdr:row>
      <xdr:rowOff>2095500</xdr:rowOff>
    </xdr:to>
    <xdr:pic>
      <xdr:nvPicPr>
        <xdr:cNvPr id="3" name="Picture 2" descr="Product Label - 9th Dec 2024 - Banking.jpg">
          <a:extLst>
            <a:ext uri="{FF2B5EF4-FFF2-40B4-BE49-F238E27FC236}">
              <a16:creationId xmlns:a16="http://schemas.microsoft.com/office/drawing/2014/main" id="{A75B6A54-74CD-437A-8C15-1EA00A1A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9332" y="0"/>
          <a:ext cx="7324667" cy="2095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r_2026\Final\Monthly_Portfolio_Report_March%202026.xls" TargetMode="External"/><Relationship Id="rId1" Type="http://schemas.openxmlformats.org/officeDocument/2006/relationships/externalLinkPath" Target="file:///Q:\5.TMF\Reporting\Monthly%20Reports\Monthly%20Portfolio\2025-26\Mar_2026\Final\Monthly_Portfolio_Report_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AA96-08C4-473E-BEE5-830294892830}">
  <dimension ref="A1:BB102"/>
  <sheetViews>
    <sheetView showGridLines="0" zoomScale="90" zoomScaleNormal="90" workbookViewId="0">
      <selection activeCell="G1" sqref="G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5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14447</v>
      </c>
      <c r="H10" s="32">
        <v>174.12</v>
      </c>
      <c r="I10" s="32">
        <v>16.809999999999999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20113</v>
      </c>
      <c r="H11" s="32">
        <v>147.19</v>
      </c>
      <c r="I11" s="32">
        <v>14.21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8982</v>
      </c>
      <c r="H12" s="32">
        <v>88.01</v>
      </c>
      <c r="I12" s="32">
        <v>8.5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6944</v>
      </c>
      <c r="H13" s="32">
        <v>80.69</v>
      </c>
      <c r="I13" s="32">
        <v>7.79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21269</v>
      </c>
      <c r="H14" s="32">
        <v>75.12</v>
      </c>
      <c r="I14" s="32">
        <v>7.25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14671</v>
      </c>
      <c r="H15" s="32">
        <v>55.7</v>
      </c>
      <c r="I15" s="32">
        <v>5.38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18</v>
      </c>
      <c r="G16" s="31">
        <v>21319</v>
      </c>
      <c r="H16" s="32">
        <v>47.55</v>
      </c>
      <c r="I16" s="32">
        <v>4.59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41</v>
      </c>
      <c r="G17" s="31">
        <v>30629</v>
      </c>
      <c r="H17" s="32">
        <v>37.78</v>
      </c>
      <c r="I17" s="32">
        <v>3.65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34</v>
      </c>
      <c r="G18" s="31">
        <v>4487</v>
      </c>
      <c r="H18" s="32">
        <v>35.96</v>
      </c>
      <c r="I18" s="32">
        <v>3.47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34</v>
      </c>
      <c r="G19" s="31">
        <v>5977</v>
      </c>
      <c r="H19" s="32">
        <v>29.6</v>
      </c>
      <c r="I19" s="32">
        <v>2.86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51</v>
      </c>
      <c r="G20" s="31">
        <v>7712</v>
      </c>
      <c r="H20" s="32">
        <v>27.96</v>
      </c>
      <c r="I20" s="32">
        <v>2.7</v>
      </c>
      <c r="J20" s="33"/>
    </row>
    <row r="21" spans="2:10" x14ac:dyDescent="0.25">
      <c r="B21" s="1" t="s">
        <v>52</v>
      </c>
      <c r="C21" s="20" t="s">
        <v>53</v>
      </c>
      <c r="D21" s="29" t="s">
        <v>54</v>
      </c>
      <c r="E21" s="30"/>
      <c r="F21" s="30" t="s">
        <v>34</v>
      </c>
      <c r="G21" s="31">
        <v>300</v>
      </c>
      <c r="H21" s="32">
        <v>26.23</v>
      </c>
      <c r="I21" s="32">
        <v>2.5299999999999998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34</v>
      </c>
      <c r="G22" s="31">
        <v>21520</v>
      </c>
      <c r="H22" s="32">
        <v>24.44</v>
      </c>
      <c r="I22" s="32">
        <v>2.36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41</v>
      </c>
      <c r="G23" s="31">
        <v>2126</v>
      </c>
      <c r="H23" s="32">
        <v>23.8</v>
      </c>
      <c r="I23" s="32">
        <v>2.2999999999999998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41</v>
      </c>
      <c r="G24" s="31">
        <v>20720</v>
      </c>
      <c r="H24" s="32">
        <v>23.77</v>
      </c>
      <c r="I24" s="32">
        <v>2.29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41</v>
      </c>
      <c r="G25" s="31">
        <v>1068</v>
      </c>
      <c r="H25" s="32">
        <v>23.67</v>
      </c>
      <c r="I25" s="32">
        <v>2.29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51</v>
      </c>
      <c r="G26" s="31">
        <v>2448</v>
      </c>
      <c r="H26" s="32">
        <v>17.760000000000002</v>
      </c>
      <c r="I26" s="32">
        <v>1.71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18</v>
      </c>
      <c r="G27" s="31">
        <v>5858</v>
      </c>
      <c r="H27" s="32">
        <v>14.5</v>
      </c>
      <c r="I27" s="32">
        <v>1.4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41</v>
      </c>
      <c r="G28" s="31">
        <v>450</v>
      </c>
      <c r="H28" s="32">
        <v>10.76</v>
      </c>
      <c r="I28" s="32">
        <v>1.04</v>
      </c>
      <c r="J28" s="33"/>
    </row>
    <row r="29" spans="2:10" x14ac:dyDescent="0.25">
      <c r="B29" s="1" t="s">
        <v>76</v>
      </c>
      <c r="C29" s="20" t="s">
        <v>77</v>
      </c>
      <c r="D29" s="29" t="s">
        <v>78</v>
      </c>
      <c r="E29" s="30"/>
      <c r="F29" s="30" t="s">
        <v>41</v>
      </c>
      <c r="G29" s="31">
        <v>610</v>
      </c>
      <c r="H29" s="32">
        <v>5.72</v>
      </c>
      <c r="I29" s="32">
        <v>0.55000000000000004</v>
      </c>
      <c r="J29" s="33"/>
    </row>
    <row r="30" spans="2:10" x14ac:dyDescent="0.25">
      <c r="C30" s="28" t="s">
        <v>79</v>
      </c>
      <c r="D30" s="29"/>
      <c r="E30" s="30"/>
      <c r="F30" s="30"/>
      <c r="G30" s="31"/>
      <c r="H30" s="35">
        <v>970.33</v>
      </c>
      <c r="I30" s="35">
        <v>93.68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80</v>
      </c>
      <c r="D32" s="29"/>
      <c r="E32" s="30"/>
      <c r="F32" s="30"/>
      <c r="G32" s="31"/>
      <c r="H32" s="32" t="s">
        <v>81</v>
      </c>
      <c r="I32" s="32" t="s">
        <v>81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82</v>
      </c>
      <c r="D34" s="29"/>
      <c r="E34" s="30"/>
      <c r="F34" s="30"/>
      <c r="G34" s="31"/>
      <c r="H34" s="32" t="s">
        <v>81</v>
      </c>
      <c r="I34" s="32" t="s">
        <v>81</v>
      </c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83</v>
      </c>
      <c r="D36" s="29"/>
      <c r="E36" s="30"/>
      <c r="F36" s="30"/>
      <c r="G36" s="31"/>
      <c r="H36" s="32"/>
      <c r="I36" s="32"/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84</v>
      </c>
      <c r="D38" s="29"/>
      <c r="E38" s="30"/>
      <c r="F38" s="30"/>
      <c r="G38" s="31"/>
      <c r="H38" s="32" t="s">
        <v>81</v>
      </c>
      <c r="I38" s="32" t="s">
        <v>81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85</v>
      </c>
      <c r="D40" s="29"/>
      <c r="E40" s="30"/>
      <c r="F40" s="30"/>
      <c r="G40" s="31"/>
      <c r="H40" s="32" t="s">
        <v>81</v>
      </c>
      <c r="I40" s="32" t="s">
        <v>81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86</v>
      </c>
      <c r="D42" s="29"/>
      <c r="E42" s="30"/>
      <c r="F42" s="30"/>
      <c r="G42" s="31"/>
      <c r="H42" s="32" t="s">
        <v>81</v>
      </c>
      <c r="I42" s="32" t="s">
        <v>81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87</v>
      </c>
      <c r="D44" s="29"/>
      <c r="E44" s="30"/>
      <c r="F44" s="30"/>
      <c r="G44" s="31"/>
      <c r="H44" s="32" t="s">
        <v>81</v>
      </c>
      <c r="I44" s="32" t="s">
        <v>81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88</v>
      </c>
      <c r="D46" s="29"/>
      <c r="E46" s="30"/>
      <c r="F46" s="30"/>
      <c r="G46" s="31"/>
      <c r="H46" s="32" t="s">
        <v>81</v>
      </c>
      <c r="I46" s="32" t="s">
        <v>81</v>
      </c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89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90</v>
      </c>
      <c r="D50" s="29"/>
      <c r="E50" s="30"/>
      <c r="F50" s="30"/>
      <c r="G50" s="31"/>
      <c r="H50" s="32" t="s">
        <v>81</v>
      </c>
      <c r="I50" s="32" t="s">
        <v>81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91</v>
      </c>
      <c r="D52" s="29"/>
      <c r="E52" s="30"/>
      <c r="F52" s="30"/>
      <c r="G52" s="31"/>
      <c r="H52" s="32" t="s">
        <v>81</v>
      </c>
      <c r="I52" s="32" t="s">
        <v>81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92</v>
      </c>
      <c r="D54" s="29"/>
      <c r="E54" s="30"/>
      <c r="F54" s="30"/>
      <c r="G54" s="31"/>
      <c r="H54" s="32" t="s">
        <v>81</v>
      </c>
      <c r="I54" s="32" t="s">
        <v>81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93</v>
      </c>
      <c r="D56" s="29"/>
      <c r="E56" s="30"/>
      <c r="F56" s="30"/>
      <c r="G56" s="31"/>
      <c r="H56" s="32" t="s">
        <v>81</v>
      </c>
      <c r="I56" s="32" t="s">
        <v>81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94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95</v>
      </c>
      <c r="D60" s="29"/>
      <c r="E60" s="30"/>
      <c r="F60" s="30"/>
      <c r="G60" s="31"/>
      <c r="H60" s="32" t="s">
        <v>81</v>
      </c>
      <c r="I60" s="32" t="s">
        <v>81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96</v>
      </c>
      <c r="D62" s="29"/>
      <c r="E62" s="30"/>
      <c r="F62" s="30"/>
      <c r="G62" s="31"/>
      <c r="H62" s="32" t="s">
        <v>81</v>
      </c>
      <c r="I62" s="32" t="s">
        <v>81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97</v>
      </c>
      <c r="D64" s="29"/>
      <c r="E64" s="30"/>
      <c r="F64" s="30"/>
      <c r="G64" s="31"/>
      <c r="H64" s="32" t="s">
        <v>81</v>
      </c>
      <c r="I64" s="32" t="s">
        <v>81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98</v>
      </c>
      <c r="D66" s="29"/>
      <c r="E66" s="30"/>
      <c r="F66" s="30"/>
      <c r="G66" s="31"/>
      <c r="H66" s="32" t="s">
        <v>81</v>
      </c>
      <c r="I66" s="32" t="s">
        <v>81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99</v>
      </c>
      <c r="D68" s="29"/>
      <c r="E68" s="30"/>
      <c r="F68" s="30"/>
      <c r="G68" s="31"/>
      <c r="H68" s="32" t="s">
        <v>81</v>
      </c>
      <c r="I68" s="32" t="s">
        <v>81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C70" s="28" t="s">
        <v>100</v>
      </c>
      <c r="D70" s="29"/>
      <c r="E70" s="30"/>
      <c r="F70" s="30"/>
      <c r="G70" s="31"/>
      <c r="H70" s="32" t="s">
        <v>81</v>
      </c>
      <c r="I70" s="32" t="s">
        <v>81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x14ac:dyDescent="0.25">
      <c r="A72" s="26"/>
      <c r="B72" s="27"/>
      <c r="C72" s="28" t="s">
        <v>101</v>
      </c>
      <c r="D72" s="29"/>
      <c r="E72" s="30"/>
      <c r="F72" s="30"/>
      <c r="G72" s="31"/>
      <c r="H72" s="32"/>
      <c r="I72" s="32"/>
      <c r="J72" s="33"/>
    </row>
    <row r="73" spans="1:10" x14ac:dyDescent="0.25">
      <c r="B73" s="1"/>
      <c r="C73" s="20" t="s">
        <v>102</v>
      </c>
      <c r="D73" s="29"/>
      <c r="E73" s="30"/>
      <c r="F73" s="30"/>
      <c r="G73" s="31"/>
      <c r="H73" s="32">
        <v>65.25</v>
      </c>
      <c r="I73" s="32">
        <v>6.3199999999999994</v>
      </c>
      <c r="J73" s="33"/>
    </row>
    <row r="74" spans="1:10" x14ac:dyDescent="0.25">
      <c r="C74" s="28" t="s">
        <v>79</v>
      </c>
      <c r="D74" s="29"/>
      <c r="E74" s="30"/>
      <c r="F74" s="30"/>
      <c r="G74" s="31"/>
      <c r="H74" s="35">
        <v>65.25</v>
      </c>
      <c r="I74" s="35">
        <v>6.3199999999999994</v>
      </c>
      <c r="J74" s="33"/>
    </row>
    <row r="75" spans="1:10" x14ac:dyDescent="0.25">
      <c r="C75" s="20"/>
      <c r="D75" s="29"/>
      <c r="E75" s="30"/>
      <c r="F75" s="30"/>
      <c r="G75" s="31"/>
      <c r="H75" s="32"/>
      <c r="I75" s="32"/>
      <c r="J75" s="33"/>
    </row>
    <row r="76" spans="1:10" ht="14.25" thickBot="1" x14ac:dyDescent="0.3">
      <c r="C76" s="36" t="s">
        <v>103</v>
      </c>
      <c r="D76" s="37"/>
      <c r="E76" s="38"/>
      <c r="F76" s="39"/>
      <c r="G76" s="40"/>
      <c r="H76" s="41">
        <v>1035.58</v>
      </c>
      <c r="I76" s="41">
        <f>SUMIFS(I:I,C:C,"Total")</f>
        <v>100</v>
      </c>
      <c r="J76" s="42"/>
    </row>
    <row r="79" spans="1:10" x14ac:dyDescent="0.25">
      <c r="C79" s="11" t="s">
        <v>104</v>
      </c>
    </row>
    <row r="80" spans="1:10" x14ac:dyDescent="0.25">
      <c r="C80" s="2" t="s">
        <v>105</v>
      </c>
    </row>
    <row r="81" spans="3:7" x14ac:dyDescent="0.25">
      <c r="C81" s="2" t="s">
        <v>106</v>
      </c>
    </row>
    <row r="82" spans="3:7" x14ac:dyDescent="0.25">
      <c r="C82" s="2" t="s">
        <v>107</v>
      </c>
    </row>
    <row r="83" spans="3:7" x14ac:dyDescent="0.25">
      <c r="C83" s="2" t="s">
        <v>108</v>
      </c>
    </row>
    <row r="84" spans="3:7" x14ac:dyDescent="0.25">
      <c r="C84" s="2" t="s">
        <v>109</v>
      </c>
    </row>
    <row r="85" spans="3:7" ht="14.25" thickBot="1" x14ac:dyDescent="0.3">
      <c r="C85" s="2" t="s">
        <v>110</v>
      </c>
    </row>
    <row r="86" spans="3:7" ht="14.25" thickBot="1" x14ac:dyDescent="0.3">
      <c r="C86" s="43"/>
      <c r="D86" s="61" t="s">
        <v>111</v>
      </c>
      <c r="E86" s="62"/>
    </row>
    <row r="87" spans="3:7" x14ac:dyDescent="0.25">
      <c r="C87" s="44" t="s">
        <v>112</v>
      </c>
      <c r="D87" s="45" t="s">
        <v>113</v>
      </c>
      <c r="E87" s="45" t="s">
        <v>113</v>
      </c>
    </row>
    <row r="88" spans="3:7" ht="14.25" thickBot="1" x14ac:dyDescent="0.3">
      <c r="C88" s="46"/>
      <c r="D88" s="47" t="s">
        <v>114</v>
      </c>
      <c r="E88" s="47" t="s">
        <v>115</v>
      </c>
    </row>
    <row r="89" spans="3:7" ht="14.25" thickBot="1" x14ac:dyDescent="0.3">
      <c r="C89" s="48" t="s">
        <v>116</v>
      </c>
      <c r="D89" s="49">
        <v>49.08</v>
      </c>
      <c r="E89" s="49">
        <v>42.78</v>
      </c>
      <c r="F89" s="50"/>
      <c r="G89" s="51"/>
    </row>
    <row r="90" spans="3:7" ht="14.25" thickBot="1" x14ac:dyDescent="0.3">
      <c r="C90" s="48" t="s">
        <v>117</v>
      </c>
      <c r="D90" s="49">
        <v>54.83</v>
      </c>
      <c r="E90" s="49">
        <v>47.78</v>
      </c>
      <c r="F90" s="50"/>
      <c r="G90" s="51"/>
    </row>
    <row r="91" spans="3:7" ht="14.25" thickBot="1" x14ac:dyDescent="0.3">
      <c r="C91" s="48" t="s">
        <v>118</v>
      </c>
      <c r="D91" s="49">
        <v>60.88</v>
      </c>
      <c r="E91" s="49">
        <v>53.07</v>
      </c>
      <c r="F91" s="50"/>
      <c r="G91" s="51"/>
    </row>
    <row r="92" spans="3:7" ht="14.25" thickBot="1" x14ac:dyDescent="0.3">
      <c r="C92" s="48" t="s">
        <v>119</v>
      </c>
      <c r="D92" s="49">
        <v>61.59</v>
      </c>
      <c r="E92" s="49">
        <v>53.69</v>
      </c>
      <c r="F92" s="50"/>
      <c r="G92" s="51"/>
    </row>
    <row r="94" spans="3:7" x14ac:dyDescent="0.25">
      <c r="C94" s="52" t="s">
        <v>120</v>
      </c>
    </row>
    <row r="95" spans="3:7" x14ac:dyDescent="0.25">
      <c r="C95" s="52" t="s">
        <v>121</v>
      </c>
    </row>
    <row r="96" spans="3:7" x14ac:dyDescent="0.25">
      <c r="C96" s="52" t="s">
        <v>122</v>
      </c>
    </row>
    <row r="97" spans="3:3" x14ac:dyDescent="0.25">
      <c r="C97" s="52" t="s">
        <v>123</v>
      </c>
    </row>
    <row r="98" spans="3:3" x14ac:dyDescent="0.25">
      <c r="C98" s="52" t="s">
        <v>124</v>
      </c>
    </row>
    <row r="99" spans="3:3" x14ac:dyDescent="0.25">
      <c r="C99" s="52" t="s">
        <v>125</v>
      </c>
    </row>
    <row r="100" spans="3:3" x14ac:dyDescent="0.25">
      <c r="C100" s="52" t="s">
        <v>126</v>
      </c>
    </row>
    <row r="101" spans="3:3" x14ac:dyDescent="0.25">
      <c r="C101" s="52" t="s">
        <v>127</v>
      </c>
    </row>
    <row r="102" spans="3:3" x14ac:dyDescent="0.25">
      <c r="C102" s="52" t="s">
        <v>128</v>
      </c>
    </row>
  </sheetData>
  <mergeCells count="1">
    <mergeCell ref="D86:E8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24E6-F193-49A4-96D8-087E52B99B69}">
  <dimension ref="C3:M17"/>
  <sheetViews>
    <sheetView tabSelected="1" topLeftCell="A5" workbookViewId="0">
      <selection activeCell="D14" sqref="D14"/>
    </sheetView>
  </sheetViews>
  <sheetFormatPr defaultRowHeight="15" x14ac:dyDescent="0.25"/>
  <cols>
    <col min="3" max="3" width="56.1406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6.8554687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3" t="s">
        <v>129</v>
      </c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3:13" x14ac:dyDescent="0.25">
      <c r="C4" s="55" t="s">
        <v>130</v>
      </c>
      <c r="D4" s="65" t="s">
        <v>131</v>
      </c>
      <c r="E4" s="65"/>
      <c r="F4" s="65" t="s">
        <v>132</v>
      </c>
      <c r="G4" s="65"/>
      <c r="H4" s="65" t="s">
        <v>133</v>
      </c>
      <c r="I4" s="65"/>
      <c r="J4" s="66" t="s">
        <v>134</v>
      </c>
      <c r="K4" s="67"/>
      <c r="L4" s="68" t="s">
        <v>135</v>
      </c>
      <c r="M4" s="68"/>
    </row>
    <row r="5" spans="3:13" ht="63.75" x14ac:dyDescent="0.25">
      <c r="C5" s="56"/>
      <c r="D5" s="57" t="s">
        <v>136</v>
      </c>
      <c r="E5" s="57" t="s">
        <v>137</v>
      </c>
      <c r="F5" s="57" t="s">
        <v>136</v>
      </c>
      <c r="G5" s="57" t="s">
        <v>137</v>
      </c>
      <c r="H5" s="57" t="s">
        <v>136</v>
      </c>
      <c r="I5" s="57" t="s">
        <v>137</v>
      </c>
      <c r="J5" s="57" t="s">
        <v>136</v>
      </c>
      <c r="K5" s="57" t="s">
        <v>137</v>
      </c>
      <c r="L5" s="58" t="s">
        <v>136</v>
      </c>
      <c r="M5" s="58" t="s">
        <v>137</v>
      </c>
    </row>
    <row r="6" spans="3:13" x14ac:dyDescent="0.25">
      <c r="C6" s="59" t="s">
        <v>138</v>
      </c>
      <c r="D6" s="60">
        <v>-4.5862369999999997</v>
      </c>
      <c r="E6" s="60">
        <v>9538.9221556886223</v>
      </c>
      <c r="F6" s="60">
        <v>9.8439999999999994</v>
      </c>
      <c r="G6" s="60">
        <v>13260.266370699223</v>
      </c>
      <c r="H6" s="60">
        <v>8.6890000000000001</v>
      </c>
      <c r="I6" s="60">
        <v>15171.428571428572</v>
      </c>
      <c r="J6" s="60">
        <v>12.376300000000001</v>
      </c>
      <c r="K6" s="60">
        <v>32138.533960995293</v>
      </c>
      <c r="L6" s="60">
        <v>11.944699999999999</v>
      </c>
      <c r="M6" s="60">
        <v>47790</v>
      </c>
    </row>
    <row r="7" spans="3:13" x14ac:dyDescent="0.25">
      <c r="C7" s="59" t="s">
        <v>139</v>
      </c>
      <c r="D7" s="60">
        <v>-4.0970224999999996</v>
      </c>
      <c r="E7" s="60">
        <v>10002.880000000001</v>
      </c>
      <c r="F7" s="60">
        <v>8.6664349999999999</v>
      </c>
      <c r="G7" s="60">
        <v>13501.376067849045</v>
      </c>
      <c r="H7" s="60">
        <v>9.0329049999999995</v>
      </c>
      <c r="I7" s="60">
        <v>16255.066886856614</v>
      </c>
      <c r="J7" s="60">
        <v>12.562404000000001</v>
      </c>
      <c r="K7" s="60">
        <v>18552.454193774778</v>
      </c>
      <c r="L7" s="60">
        <v>13.696218</v>
      </c>
      <c r="M7" s="60">
        <v>73289.374533837035</v>
      </c>
    </row>
    <row r="8" spans="3:13" x14ac:dyDescent="0.25">
      <c r="C8" s="59" t="s">
        <v>140</v>
      </c>
      <c r="D8" s="60">
        <v>-3.99</v>
      </c>
      <c r="E8" s="60">
        <v>9601</v>
      </c>
      <c r="F8" s="60">
        <v>10.604200000000001</v>
      </c>
      <c r="G8" s="60">
        <v>13530.531495890262</v>
      </c>
      <c r="H8" s="60">
        <v>9.7759999999999998</v>
      </c>
      <c r="I8" s="60">
        <v>15941.787283973832</v>
      </c>
      <c r="J8" s="60">
        <v>12.539300000000001</v>
      </c>
      <c r="K8" s="60">
        <v>18051.822206086035</v>
      </c>
      <c r="L8" s="60">
        <v>13.01</v>
      </c>
      <c r="M8" s="60">
        <v>54495.415058066035</v>
      </c>
    </row>
    <row r="9" spans="3:13" x14ac:dyDescent="0.25">
      <c r="C9" s="59" t="s">
        <v>141</v>
      </c>
      <c r="D9" s="63">
        <v>50.1</v>
      </c>
      <c r="E9" s="64"/>
      <c r="F9" s="63">
        <v>36.04</v>
      </c>
      <c r="G9" s="64"/>
      <c r="H9" s="63">
        <v>31.5</v>
      </c>
      <c r="I9" s="64"/>
      <c r="J9" s="63">
        <v>14.87</v>
      </c>
      <c r="K9" s="64"/>
      <c r="L9" s="63">
        <v>10</v>
      </c>
      <c r="M9" s="64"/>
    </row>
    <row r="11" spans="3:13" ht="15.75" x14ac:dyDescent="0.25">
      <c r="C11" s="53" t="s">
        <v>142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3:13" x14ac:dyDescent="0.25">
      <c r="C12" s="55" t="s">
        <v>130</v>
      </c>
      <c r="D12" s="65" t="s">
        <v>131</v>
      </c>
      <c r="E12" s="65"/>
      <c r="F12" s="65" t="s">
        <v>132</v>
      </c>
      <c r="G12" s="65"/>
      <c r="H12" s="65" t="s">
        <v>133</v>
      </c>
      <c r="I12" s="65"/>
      <c r="J12" s="66" t="s">
        <v>134</v>
      </c>
      <c r="K12" s="67"/>
      <c r="L12" s="68" t="s">
        <v>135</v>
      </c>
      <c r="M12" s="68"/>
    </row>
    <row r="13" spans="3:13" ht="63.75" x14ac:dyDescent="0.25">
      <c r="C13" s="56"/>
      <c r="D13" s="57" t="s">
        <v>136</v>
      </c>
      <c r="E13" s="57" t="s">
        <v>137</v>
      </c>
      <c r="F13" s="57" t="s">
        <v>136</v>
      </c>
      <c r="G13" s="57" t="s">
        <v>137</v>
      </c>
      <c r="H13" s="57" t="s">
        <v>136</v>
      </c>
      <c r="I13" s="57" t="s">
        <v>137</v>
      </c>
      <c r="J13" s="57" t="s">
        <v>136</v>
      </c>
      <c r="K13" s="57" t="s">
        <v>137</v>
      </c>
      <c r="L13" s="58" t="s">
        <v>136</v>
      </c>
      <c r="M13" s="58" t="s">
        <v>137</v>
      </c>
    </row>
    <row r="14" spans="3:13" x14ac:dyDescent="0.25">
      <c r="C14" s="59" t="s">
        <v>138</v>
      </c>
      <c r="D14" s="60">
        <v>-3.8468366000000001</v>
      </c>
      <c r="E14" s="60">
        <v>9613.2497761862123</v>
      </c>
      <c r="F14" s="60">
        <v>10.677300000000001</v>
      </c>
      <c r="G14" s="60">
        <v>13564.931783729156</v>
      </c>
      <c r="H14" s="60">
        <v>9.5107999999999997</v>
      </c>
      <c r="I14" s="60">
        <v>15754.107981220657</v>
      </c>
      <c r="J14" s="60">
        <v>13.345800000000001</v>
      </c>
      <c r="K14" s="60">
        <v>35022.831050228306</v>
      </c>
      <c r="L14" s="60">
        <v>10.760300000000001</v>
      </c>
      <c r="M14" s="60">
        <v>39333.333333333336</v>
      </c>
    </row>
    <row r="15" spans="3:13" x14ac:dyDescent="0.25">
      <c r="C15" s="59" t="s">
        <v>139</v>
      </c>
      <c r="D15" s="60">
        <v>-4.0970224999999996</v>
      </c>
      <c r="E15" s="60">
        <v>10002.880000000001</v>
      </c>
      <c r="F15" s="60">
        <v>8.6664349999999999</v>
      </c>
      <c r="G15" s="60">
        <v>13501.376067849045</v>
      </c>
      <c r="H15" s="60">
        <v>9.0329049999999995</v>
      </c>
      <c r="I15" s="60">
        <v>16255.066886856614</v>
      </c>
      <c r="J15" s="60">
        <v>12.562404000000001</v>
      </c>
      <c r="K15" s="60">
        <v>18552.454193774778</v>
      </c>
      <c r="L15" s="60">
        <v>11.535574</v>
      </c>
      <c r="M15" s="60">
        <v>51714.320500517322</v>
      </c>
    </row>
    <row r="16" spans="3:13" x14ac:dyDescent="0.25">
      <c r="C16" s="59" t="s">
        <v>140</v>
      </c>
      <c r="D16" s="60">
        <v>-3.99</v>
      </c>
      <c r="E16" s="60">
        <v>9601</v>
      </c>
      <c r="F16" s="60">
        <v>10.604200000000001</v>
      </c>
      <c r="G16" s="60">
        <v>13530.531495890262</v>
      </c>
      <c r="H16" s="60">
        <v>9.7759999999999998</v>
      </c>
      <c r="I16" s="60">
        <v>15941.787283973832</v>
      </c>
      <c r="J16" s="60">
        <v>12.539300000000001</v>
      </c>
      <c r="K16" s="60">
        <v>18051.822206086035</v>
      </c>
      <c r="L16" s="60">
        <v>11.7521</v>
      </c>
      <c r="M16" s="60">
        <v>43560.260191952562</v>
      </c>
    </row>
    <row r="17" spans="3:13" x14ac:dyDescent="0.25">
      <c r="C17" s="59" t="s">
        <v>143</v>
      </c>
      <c r="D17" s="63">
        <v>55.85</v>
      </c>
      <c r="E17" s="64"/>
      <c r="F17" s="63">
        <v>39.58</v>
      </c>
      <c r="G17" s="64"/>
      <c r="H17" s="63">
        <v>34.08</v>
      </c>
      <c r="I17" s="64"/>
      <c r="J17" s="63">
        <v>15.33</v>
      </c>
      <c r="K17" s="64"/>
      <c r="L17" s="63">
        <v>13.65</v>
      </c>
      <c r="M17" s="64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 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Chandrakant Gajane</cp:lastModifiedBy>
  <dcterms:created xsi:type="dcterms:W3CDTF">2026-04-04T07:23:16Z</dcterms:created>
  <dcterms:modified xsi:type="dcterms:W3CDTF">2026-04-07T06:33:59Z</dcterms:modified>
</cp:coreProperties>
</file>