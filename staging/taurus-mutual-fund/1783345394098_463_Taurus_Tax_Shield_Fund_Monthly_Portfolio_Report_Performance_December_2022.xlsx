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160"/>
  </bookViews>
  <sheets>
    <sheet name="TSS-Risk-O-Meter &amp; Portfolio" sheetId="1" r:id="rId1"/>
    <sheet name="TTS Performance" sheetId="2" r:id="rId2"/>
  </sheets>
  <externalReferences>
    <externalReference r:id="rId3"/>
  </externalReferences>
  <definedNames>
    <definedName name="XDO_?CLASS_3?7?">'TSS-Risk-O-Meter &amp; Portfolio'!$C$8:$C$36</definedName>
    <definedName name="XDO_?FINAL_ISIN?14?">'TSS-Risk-O-Meter &amp; Portfolio'!$D$10:$D$36</definedName>
    <definedName name="XDO_?FINAL_ISIN?15?">'TSS-Risk-O-Meter &amp; Portfolio'!$D$10:$D$78</definedName>
    <definedName name="XDO_?FINAL_MV?14?">'TSS-Risk-O-Meter &amp; Portfolio'!$H$10:$H$36</definedName>
    <definedName name="XDO_?FINAL_MV?15?">'TSS-Risk-O-Meter &amp; Portfolio'!$H$10:$H$78</definedName>
    <definedName name="XDO_?FINAL_NAME?14?">'TSS-Risk-O-Meter &amp; Portfolio'!$C$10:$C$36</definedName>
    <definedName name="XDO_?FINAL_NAME?15?">'TSS-Risk-O-Meter &amp; Portfolio'!$C$10:$C$78</definedName>
    <definedName name="XDO_?FINAL_PER_NET?14?">'TSS-Risk-O-Meter &amp; Portfolio'!$I$10:$I$36</definedName>
    <definedName name="XDO_?FINAL_PER_NET?15?">'TSS-Risk-O-Meter &amp; Portfolio'!$I$10:$I$78</definedName>
    <definedName name="XDO_?FINAL_QUANTITE?14?">'TSS-Risk-O-Meter &amp; Portfolio'!$G$10:$G$36</definedName>
    <definedName name="XDO_?FINAL_QUANTITE?15?">'TSS-Risk-O-Meter &amp; Portfolio'!$G$10:$G$78</definedName>
    <definedName name="XDO_?IND_01?14?">'TSS-Risk-O-Meter &amp; Portfolio'!$F$10:$F$36</definedName>
    <definedName name="XDO_?IND_01?15?">'TSS-Risk-O-Meter &amp; Portfolio'!$F$10:$F$78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'TSS-Risk-O-Meter &amp; Portfolio'!#REF!</definedName>
    <definedName name="XDO_?NAMCNAME?7?">'TSS-Risk-O-Meter &amp; Portfolio'!$C$2:$C$36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'TSS-Risk-O-Meter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'TSS-Risk-O-Meter &amp; Portfolio'!#REF!</definedName>
    <definedName name="XDO_?NOVAL?14?">'TSS-Risk-O-Meter &amp; Portfolio'!$B$10:$B$36</definedName>
    <definedName name="XDO_?NOVAL?15?">'TSS-Risk-O-Meter &amp; Portfolio'!$B$10:$B$78</definedName>
    <definedName name="XDO_?NPTF?7?">'TSS-Risk-O-Meter &amp; Portfolio'!$D$2:$D$36</definedName>
    <definedName name="XDO_?RATING?14?">'TSS-Risk-O-Meter &amp; Portfolio'!$E$10:$E$36</definedName>
    <definedName name="XDO_?RATING?15?">'TSS-Risk-O-Meter &amp; Portfolio'!$E$10:$E$78</definedName>
    <definedName name="XDO_?REMARKS?14?">'TSS-Risk-O-Meter &amp; Portfolio'!$J$10:$J$36</definedName>
    <definedName name="XDO_?REMARKS?15?">'TSS-Risk-O-Meter &amp; Portfolio'!$J$10:$J$78</definedName>
    <definedName name="XDO_?TITL?7?">'TSS-Risk-O-Meter &amp; Portfolio'!$A$8:$A$36</definedName>
    <definedName name="XDO_GROUP_?G_2?7?">'TSS-Risk-O-Meter &amp; Portfolio'!$2:$81</definedName>
    <definedName name="XDO_GROUP_?G_3?7?">'TSS-Risk-O-Meter &amp; Portfolio'!$8:$80</definedName>
    <definedName name="XDO_GROUP_?G_4?14?">'TSS-Risk-O-Meter &amp; Portfolio'!$B$10:$IV$36</definedName>
    <definedName name="XDO_GROUP_?G_4?15?">'TSS-Risk-O-Meter &amp; Portfolio'!$B$78:$IV$78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/>
</calcChain>
</file>

<file path=xl/sharedStrings.xml><?xml version="1.0" encoding="utf-8"?>
<sst xmlns="http://schemas.openxmlformats.org/spreadsheetml/2006/main" count="221" uniqueCount="159">
  <si>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</si>
  <si>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</si>
  <si>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</si>
  <si>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</si>
  <si>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</si>
  <si>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</si>
  <si>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</si>
  <si>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</si>
  <si>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</si>
  <si>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</si>
  <si>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</si>
  <si>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</si>
  <si>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</si>
  <si>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</si>
  <si>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</si>
  <si>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</si>
  <si>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</si>
  <si>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</si>
  <si>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</si>
  <si>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</si>
  <si>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</si>
  <si>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</si>
  <si>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</si>
  <si>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</si>
  <si>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</si>
  <si>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</si>
  <si>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</si>
  <si>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</si>
  <si>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</si>
  <si>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</si>
  <si>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100147</t>
  </si>
  <si>
    <t>Tech Mahindra Ltd.</t>
  </si>
  <si>
    <t>INE669C01036</t>
  </si>
  <si>
    <t>100012</t>
  </si>
  <si>
    <t>ICICI Bank Ltd.</t>
  </si>
  <si>
    <t>INE090A01021</t>
  </si>
  <si>
    <t>Banks</t>
  </si>
  <si>
    <t>100005</t>
  </si>
  <si>
    <t>Larsen &amp; Toubro Ltd.</t>
  </si>
  <si>
    <t>INE018A01030</t>
  </si>
  <si>
    <t>Construction</t>
  </si>
  <si>
    <t>100474</t>
  </si>
  <si>
    <t>Narayana Hrudayalaya Ltd.</t>
  </si>
  <si>
    <t>INE410P01011</t>
  </si>
  <si>
    <t>Healthcare Services</t>
  </si>
  <si>
    <t>100024</t>
  </si>
  <si>
    <t>Axis Bank Ltd.</t>
  </si>
  <si>
    <t>INE238A01034</t>
  </si>
  <si>
    <t>100045</t>
  </si>
  <si>
    <t>Gujarat Pipavav Port Ltd.</t>
  </si>
  <si>
    <t>INE517F01014</t>
  </si>
  <si>
    <t>Transport Infrastructure</t>
  </si>
  <si>
    <t>100544</t>
  </si>
  <si>
    <t>Quess Corp Ltd.</t>
  </si>
  <si>
    <t>INE615P01015</t>
  </si>
  <si>
    <t>Commercial Services &amp; Supplies</t>
  </si>
  <si>
    <t>101469</t>
  </si>
  <si>
    <t>Equitas Small Finance Bank Ltd.</t>
  </si>
  <si>
    <t>INE063P01018</t>
  </si>
  <si>
    <t>100747</t>
  </si>
  <si>
    <t>Mahindra Logistics Ltd.</t>
  </si>
  <si>
    <t>INE766P01016</t>
  </si>
  <si>
    <t>Transport Services</t>
  </si>
  <si>
    <t>100148</t>
  </si>
  <si>
    <t>Motilal Oswal Financial Services Ltd.</t>
  </si>
  <si>
    <t>INE338I01027</t>
  </si>
  <si>
    <t>Capital Markets</t>
  </si>
  <si>
    <t>100271</t>
  </si>
  <si>
    <t>Balkrishna Industries Ltd.</t>
  </si>
  <si>
    <t>INE787D01026</t>
  </si>
  <si>
    <t>Auto Components</t>
  </si>
  <si>
    <t>100035</t>
  </si>
  <si>
    <t>NMDC Ltd.</t>
  </si>
  <si>
    <t>INE584A01023</t>
  </si>
  <si>
    <t>Minerals &amp; Mining</t>
  </si>
  <si>
    <t>100153</t>
  </si>
  <si>
    <t>Cipla Ltd.</t>
  </si>
  <si>
    <t>INE059A01026</t>
  </si>
  <si>
    <t>Pharmaceuticals &amp; Biotechnology</t>
  </si>
  <si>
    <t>100061</t>
  </si>
  <si>
    <t>KEC International Ltd.</t>
  </si>
  <si>
    <t>INE389H01022</t>
  </si>
  <si>
    <t>Electrical Equipment</t>
  </si>
  <si>
    <t>100039</t>
  </si>
  <si>
    <t>Bajaj Auto Ltd.</t>
  </si>
  <si>
    <t>INE917I01010</t>
  </si>
  <si>
    <t>Automobiles</t>
  </si>
  <si>
    <t>100253</t>
  </si>
  <si>
    <t>Amara Raja Batteries Ltd.</t>
  </si>
  <si>
    <t>INE885A01032</t>
  </si>
  <si>
    <t>100032</t>
  </si>
  <si>
    <t>Tata Consultancy Services Ltd.</t>
  </si>
  <si>
    <t>INE467B01029</t>
  </si>
  <si>
    <t>100038</t>
  </si>
  <si>
    <t>TV18 Broadcast Ltd.</t>
  </si>
  <si>
    <t>INE886H01027</t>
  </si>
  <si>
    <t>Entertainment</t>
  </si>
  <si>
    <t>101213</t>
  </si>
  <si>
    <t>Mrs. Bectors Food Specialities Ltd.</t>
  </si>
  <si>
    <t>INE495P01012</t>
  </si>
  <si>
    <t>Food Products</t>
  </si>
  <si>
    <t>100080</t>
  </si>
  <si>
    <t>Dr. Reddy's Laboratories Ltd.</t>
  </si>
  <si>
    <t>INE089A01023</t>
  </si>
  <si>
    <t>100755</t>
  </si>
  <si>
    <t>Amber Enterprises India Ltd.</t>
  </si>
  <si>
    <t>INE371P01015</t>
  </si>
  <si>
    <t>Consumer Durables</t>
  </si>
  <si>
    <t>101434</t>
  </si>
  <si>
    <t>CMS INFOSYSTEMS LTD.</t>
  </si>
  <si>
    <t>INE925R01014</t>
  </si>
  <si>
    <t>101775</t>
  </si>
  <si>
    <t>NMDC Steel Ltd.</t>
  </si>
  <si>
    <t>INE0NNS01018</t>
  </si>
  <si>
    <t>Ferrous Metals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</si>
  <si>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</si>
  <si>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</si>
  <si>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</si>
  <si>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</si>
  <si>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</si>
  <si>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</si>
  <si>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</si>
  <si>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</si>
  <si>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</si>
  <si>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</si>
  <si>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</si>
  <si>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</si>
  <si>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</si>
  <si>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</si>
  <si>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</si>
  <si>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</si>
  <si>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</si>
  <si>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</si>
  <si>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</si>
  <si>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</si>
  <si>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</si>
  <si>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</si>
  <si>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</si>
  <si>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</si>
  <si>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</si>
  <si>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</si>
  <si>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</si>
  <si>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</si>
  <si>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</si>
  <si>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</si>
  <si>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</si>
  <si>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</si>
  <si>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</si>
  <si>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</si>
  <si>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</si>
  <si>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</si>
  <si>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</si>
  <si>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</si>
  <si>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</si>
  <si>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</si>
  <si>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December 30, 2022 : 118.27)</t>
  </si>
  <si>
    <t>Taurus Tax Shield - Direct Plan Growth Option</t>
  </si>
  <si>
    <t>NAV [Rs.] Per Unit (as on December 30, 2022 : 126.84)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</si>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</sst>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7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44926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20500</v>
      </c>
      <c r="H10" s="32">
        <v>540.51</v>
      </c>
      <c r="I10" s="32">
        <v>8.64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47000</v>
      </c>
      <c r="H11" s="32">
        <v>488.33</v>
      </c>
      <c r="I11" s="32">
        <v>7.81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140000</v>
      </c>
      <c r="H12" s="32">
        <v>464.31</v>
      </c>
      <c r="I12" s="32">
        <v>7.42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6600</v>
      </c>
      <c r="H13" s="32">
        <v>379.32</v>
      </c>
      <c r="I13" s="32">
        <v>6.07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36000</v>
      </c>
      <c r="H14" s="32">
        <v>365.94</v>
      </c>
      <c r="I14" s="32">
        <v>5.85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37000</v>
      </c>
      <c r="H15" s="32">
        <v>329.65</v>
      </c>
      <c r="I15" s="32">
        <v>5.27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15000</v>
      </c>
      <c r="H16" s="32">
        <v>312.95</v>
      </c>
      <c r="I16" s="32">
        <v>5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40000</v>
      </c>
      <c r="H17" s="32">
        <v>303.77999999999997</v>
      </c>
      <c r="I17" s="32">
        <v>4.8600000000000003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36</v>
      </c>
      <c r="G18" s="31">
        <v>32000</v>
      </c>
      <c r="H18" s="32">
        <v>298.83</v>
      </c>
      <c r="I18" s="32">
        <v>4.78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279553</v>
      </c>
      <c r="H19" s="32">
        <v>280.95</v>
      </c>
      <c r="I19" s="32">
        <v>4.49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55864</v>
      </c>
      <c r="H20" s="32">
        <v>230.94</v>
      </c>
      <c r="I20" s="32">
        <v>3.69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36</v>
      </c>
      <c r="G21" s="31">
        <v>275000</v>
      </c>
      <c r="H21" s="32">
        <v>160.6</v>
      </c>
      <c r="I21" s="32">
        <v>2.57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32000</v>
      </c>
      <c r="H22" s="32">
        <v>160.11000000000001</v>
      </c>
      <c r="I22" s="32">
        <v>2.56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21275</v>
      </c>
      <c r="H23" s="32">
        <v>146.02000000000001</v>
      </c>
      <c r="I23" s="32">
        <v>2.33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5862</v>
      </c>
      <c r="H24" s="32">
        <v>124.72</v>
      </c>
      <c r="I24" s="32">
        <v>1.99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100000</v>
      </c>
      <c r="H25" s="32">
        <v>123.1</v>
      </c>
      <c r="I25" s="32">
        <v>1.97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10000</v>
      </c>
      <c r="H26" s="32">
        <v>107.51</v>
      </c>
      <c r="I26" s="32">
        <v>1.72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20000</v>
      </c>
      <c r="H27" s="32">
        <v>98.94</v>
      </c>
      <c r="I27" s="32">
        <v>1.58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2500</v>
      </c>
      <c r="H28" s="32">
        <v>90.4</v>
      </c>
      <c r="I28" s="32">
        <v>1.45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70</v>
      </c>
      <c r="G29" s="31">
        <v>14500</v>
      </c>
      <c r="H29" s="32">
        <v>82.95</v>
      </c>
      <c r="I29" s="32">
        <v>1.33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22</v>
      </c>
      <c r="G30" s="31">
        <v>2500</v>
      </c>
      <c r="H30" s="32">
        <v>81.48</v>
      </c>
      <c r="I30" s="32">
        <v>1.3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176824</v>
      </c>
      <c r="H31" s="32">
        <v>65.510000000000005</v>
      </c>
      <c r="I31" s="32">
        <v>1.05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15322</v>
      </c>
      <c r="H32" s="32">
        <v>64.290000000000006</v>
      </c>
      <c r="I32" s="32">
        <v>1.03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78</v>
      </c>
      <c r="G33" s="31">
        <v>1500</v>
      </c>
      <c r="H33" s="32">
        <v>63.52</v>
      </c>
      <c r="I33" s="32">
        <v>1.02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2210</v>
      </c>
      <c r="H34" s="32">
        <v>41.82</v>
      </c>
      <c r="I34" s="32">
        <v>0.67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55</v>
      </c>
      <c r="G35" s="31">
        <v>12166</v>
      </c>
      <c r="H35" s="32">
        <v>38.07</v>
      </c>
      <c r="I35" s="32">
        <v>0.61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100000</v>
      </c>
      <c r="H36" s="32">
        <v>26.4</v>
      </c>
      <c r="I36" s="32">
        <v>0.42</v>
      </c>
      <c r="J36" s="33" t="s">
        <v>115</v>
      </c>
    </row>
    <row r="37" spans="2:10">
      <c r="C37" s="28" t="s">
        <v>116</v>
      </c>
      <c r="D37" s="29"/>
      <c r="E37" s="30"/>
      <c r="F37" s="30"/>
      <c r="G37" s="31"/>
      <c r="H37" s="35">
        <v>5470.95</v>
      </c>
      <c r="I37" s="35">
        <v>87.48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117</v>
      </c>
      <c r="D39" s="29"/>
      <c r="E39" s="30"/>
      <c r="F39" s="30"/>
      <c r="G39" s="31"/>
      <c r="H39" s="32" t="s">
        <v>118</v>
      </c>
      <c r="I39" s="32" t="s">
        <v>118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119</v>
      </c>
      <c r="D41" s="29"/>
      <c r="E41" s="30"/>
      <c r="F41" s="30"/>
      <c r="G41" s="31"/>
      <c r="H41" s="32" t="s">
        <v>118</v>
      </c>
      <c r="I41" s="32" t="s">
        <v>118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120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121</v>
      </c>
      <c r="D45" s="29"/>
      <c r="E45" s="30"/>
      <c r="F45" s="30"/>
      <c r="G45" s="31"/>
      <c r="H45" s="32" t="s">
        <v>118</v>
      </c>
      <c r="I45" s="32" t="s">
        <v>118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122</v>
      </c>
      <c r="D47" s="29"/>
      <c r="E47" s="30"/>
      <c r="F47" s="30"/>
      <c r="G47" s="31"/>
      <c r="H47" s="32" t="s">
        <v>118</v>
      </c>
      <c r="I47" s="32" t="s">
        <v>118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123</v>
      </c>
      <c r="D49" s="29"/>
      <c r="E49" s="30"/>
      <c r="F49" s="30"/>
      <c r="G49" s="31"/>
      <c r="H49" s="32" t="s">
        <v>118</v>
      </c>
      <c r="I49" s="32" t="s">
        <v>118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124</v>
      </c>
      <c r="D51" s="29"/>
      <c r="E51" s="30"/>
      <c r="F51" s="30"/>
      <c r="G51" s="31"/>
      <c r="H51" s="32" t="s">
        <v>118</v>
      </c>
      <c r="I51" s="32" t="s">
        <v>118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125</v>
      </c>
      <c r="D53" s="29"/>
      <c r="E53" s="30"/>
      <c r="F53" s="30"/>
      <c r="G53" s="31"/>
      <c r="H53" s="32" t="s">
        <v>118</v>
      </c>
      <c r="I53" s="32" t="s">
        <v>118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126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127</v>
      </c>
      <c r="D57" s="29"/>
      <c r="E57" s="30"/>
      <c r="F57" s="30"/>
      <c r="G57" s="31"/>
      <c r="H57" s="32" t="s">
        <v>118</v>
      </c>
      <c r="I57" s="32" t="s">
        <v>118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128</v>
      </c>
      <c r="D59" s="29"/>
      <c r="E59" s="30"/>
      <c r="F59" s="30"/>
      <c r="G59" s="31"/>
      <c r="H59" s="32" t="s">
        <v>118</v>
      </c>
      <c r="I59" s="32" t="s">
        <v>118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129</v>
      </c>
      <c r="D61" s="29"/>
      <c r="E61" s="30"/>
      <c r="F61" s="30"/>
      <c r="G61" s="31"/>
      <c r="H61" s="32" t="s">
        <v>118</v>
      </c>
      <c r="I61" s="32" t="s">
        <v>118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130</v>
      </c>
      <c r="D63" s="29"/>
      <c r="E63" s="30"/>
      <c r="F63" s="30"/>
      <c r="G63" s="31"/>
      <c r="H63" s="32" t="s">
        <v>118</v>
      </c>
      <c r="I63" s="32" t="s">
        <v>118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131</v>
      </c>
      <c r="D65" s="29"/>
      <c r="E65" s="30"/>
      <c r="F65" s="30"/>
      <c r="G65" s="31"/>
      <c r="H65" s="32"/>
      <c r="I65" s="32"/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132</v>
      </c>
      <c r="D67" s="29"/>
      <c r="E67" s="30"/>
      <c r="F67" s="30"/>
      <c r="G67" s="31"/>
      <c r="H67" s="32" t="s">
        <v>118</v>
      </c>
      <c r="I67" s="32" t="s">
        <v>118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133</v>
      </c>
      <c r="D69" s="29"/>
      <c r="E69" s="30"/>
      <c r="F69" s="30"/>
      <c r="G69" s="31"/>
      <c r="H69" s="32" t="s">
        <v>118</v>
      </c>
      <c r="I69" s="32" t="s">
        <v>118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134</v>
      </c>
      <c r="D71" s="29"/>
      <c r="E71" s="30"/>
      <c r="F71" s="30"/>
      <c r="G71" s="31"/>
      <c r="H71" s="32" t="s">
        <v>118</v>
      </c>
      <c r="I71" s="32" t="s">
        <v>118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135</v>
      </c>
      <c r="D73" s="29"/>
      <c r="E73" s="30"/>
      <c r="F73" s="30"/>
      <c r="G73" s="31"/>
      <c r="H73" s="32" t="s">
        <v>118</v>
      </c>
      <c r="I73" s="32" t="s">
        <v>118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136</v>
      </c>
      <c r="D75" s="29"/>
      <c r="E75" s="30"/>
      <c r="F75" s="30"/>
      <c r="G75" s="31"/>
      <c r="H75" s="32" t="s">
        <v>118</v>
      </c>
      <c r="I75" s="32" t="s">
        <v>118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137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138</v>
      </c>
      <c r="D78" s="29"/>
      <c r="E78" s="30"/>
      <c r="F78" s="30"/>
      <c r="G78" s="31"/>
      <c r="H78" s="32">
        <v>783.04</v>
      </c>
      <c r="I78" s="32">
        <v>12.52</v>
      </c>
      <c r="J78" s="33"/>
    </row>
    <row r="79" spans="1:10">
      <c r="C79" s="28" t="s">
        <v>116</v>
      </c>
      <c r="D79" s="29"/>
      <c r="E79" s="30"/>
      <c r="F79" s="30"/>
      <c r="G79" s="31"/>
      <c r="H79" s="35">
        <v>783.04</v>
      </c>
      <c r="I79" s="35">
        <v>12.52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5" thickBot="1">
      <c r="C81" s="36" t="s">
        <v>139</v>
      </c>
      <c r="D81" s="37"/>
      <c r="E81" s="38"/>
      <c r="F81" s="39"/>
      <c r="G81" s="40"/>
      <c r="H81" s="41">
        <v>6253.99</v>
      </c>
      <c r="I81" s="41">
        <f>SUMIFS(I:I,C:C,"Total")</f>
        <v>100</v>
      </c>
      <c r="J81" s="42"/>
    </row>
    <row r="84" spans="3:10">
      <c r="C84" s="11" t="s">
        <v>140</v>
      </c>
    </row>
    <row r="85" spans="3:10">
      <c r="C85" s="2" t="s">
        <v>141</v>
      </c>
    </row>
    <row r="86" spans="3:10">
      <c r="C86" s="2" t="s">
        <v>142</v>
      </c>
    </row>
    <row r="87" spans="3:10">
      <c r="C87" s="2" t="s">
        <v>143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N6" sqref="N6"/>
    </sheetView>
  </sheetViews>
  <sheetFormatPr defaultRowHeight="15"/>
  <cols>
    <col min="2" max="2" width="50.28515625" customWidth="1"/>
    <col min="4" max="4" width="11" bestFit="1" customWidth="1"/>
    <col min="6" max="6" width="11" bestFit="1" customWidth="1"/>
    <col min="8" max="8" width="11" bestFit="1" customWidth="1"/>
    <col min="10" max="10" width="12.42578125" bestFit="1" customWidth="1"/>
  </cols>
  <sheetData>
    <row r="4" spans="2:10" ht="15.75">
      <c r="B4" s="43" t="s">
        <v>144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145</v>
      </c>
      <c r="C5" s="50" t="s">
        <v>146</v>
      </c>
      <c r="D5" s="50"/>
      <c r="E5" s="50" t="s">
        <v>147</v>
      </c>
      <c r="F5" s="50"/>
      <c r="G5" s="50" t="s">
        <v>148</v>
      </c>
      <c r="H5" s="50"/>
      <c r="I5" s="50" t="s">
        <v>149</v>
      </c>
      <c r="J5" s="50"/>
    </row>
    <row r="6" spans="2:10" ht="63.75">
      <c r="B6" s="46"/>
      <c r="C6" s="47" t="s">
        <v>150</v>
      </c>
      <c r="D6" s="47" t="s">
        <v>151</v>
      </c>
      <c r="E6" s="47" t="s">
        <v>150</v>
      </c>
      <c r="F6" s="47" t="s">
        <v>151</v>
      </c>
      <c r="G6" s="47" t="s">
        <v>150</v>
      </c>
      <c r="H6" s="47" t="s">
        <v>151</v>
      </c>
      <c r="I6" s="47" t="s">
        <v>150</v>
      </c>
      <c r="J6" s="47" t="s">
        <v>151</v>
      </c>
    </row>
    <row r="7" spans="2:10">
      <c r="B7" s="48" t="s">
        <v>152</v>
      </c>
      <c r="C7" s="49">
        <v>6.6071750495763526</v>
      </c>
      <c r="D7" s="49">
        <v>10660.717504957634</v>
      </c>
      <c r="E7" s="49">
        <v>13.326791425047313</v>
      </c>
      <c r="F7" s="49">
        <v>14554.516367216342</v>
      </c>
      <c r="G7" s="49">
        <v>9.3899274949494682</v>
      </c>
      <c r="H7" s="49">
        <v>15671.127600371008</v>
      </c>
      <c r="I7" s="49">
        <v>11.392419947314082</v>
      </c>
      <c r="J7" s="49">
        <v>118270</v>
      </c>
    </row>
    <row r="8" spans="2:10">
      <c r="B8" s="48" t="s">
        <v>153</v>
      </c>
      <c r="C8" s="49">
        <v>4.7651653479407585</v>
      </c>
      <c r="D8" s="49">
        <v>10476.516534794077</v>
      </c>
      <c r="E8" s="49">
        <v>17.757697886082035</v>
      </c>
      <c r="F8" s="49">
        <v>16329.313253230861</v>
      </c>
      <c r="G8" s="49">
        <v>11.795551280185013</v>
      </c>
      <c r="H8" s="49">
        <v>17463.151001388669</v>
      </c>
      <c r="I8" s="49">
        <v>0</v>
      </c>
      <c r="J8" s="49">
        <v>0</v>
      </c>
    </row>
    <row r="9" spans="2:10">
      <c r="B9" s="48" t="s">
        <v>154</v>
      </c>
      <c r="C9" s="49">
        <v>5.6914227994946387</v>
      </c>
      <c r="D9" s="49">
        <v>10569.142279949463</v>
      </c>
      <c r="E9" s="49">
        <v>15.520561759160877</v>
      </c>
      <c r="F9" s="49">
        <v>15416.219185269591</v>
      </c>
      <c r="G9" s="49">
        <v>12.838507957581768</v>
      </c>
      <c r="H9" s="49">
        <v>18293.073301820179</v>
      </c>
      <c r="I9" s="49">
        <v>12.820384697320076</v>
      </c>
      <c r="J9" s="49">
        <v>252501.9360756363</v>
      </c>
    </row>
    <row r="10" spans="2:10">
      <c r="B10" s="48" t="s">
        <v>155</v>
      </c>
      <c r="C10" s="51">
        <v>110.94</v>
      </c>
      <c r="D10" s="52"/>
      <c r="E10" s="51">
        <v>81.260000000000005</v>
      </c>
      <c r="F10" s="52"/>
      <c r="G10" s="51">
        <v>75.47</v>
      </c>
      <c r="H10" s="52"/>
      <c r="I10" s="51">
        <v>10</v>
      </c>
      <c r="J10" s="52"/>
    </row>
    <row r="12" spans="2:10" ht="15.75">
      <c r="B12" s="43" t="s">
        <v>156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145</v>
      </c>
      <c r="C13" s="50" t="s">
        <v>146</v>
      </c>
      <c r="D13" s="50"/>
      <c r="E13" s="50" t="s">
        <v>147</v>
      </c>
      <c r="F13" s="50"/>
      <c r="G13" s="50" t="s">
        <v>148</v>
      </c>
      <c r="H13" s="50"/>
      <c r="I13" s="50" t="s">
        <v>149</v>
      </c>
      <c r="J13" s="50"/>
    </row>
    <row r="14" spans="2:10" ht="63.75">
      <c r="B14" s="46"/>
      <c r="C14" s="47" t="s">
        <v>150</v>
      </c>
      <c r="D14" s="47" t="s">
        <v>151</v>
      </c>
      <c r="E14" s="47" t="s">
        <v>150</v>
      </c>
      <c r="F14" s="47" t="s">
        <v>151</v>
      </c>
      <c r="G14" s="47" t="s">
        <v>150</v>
      </c>
      <c r="H14" s="47" t="s">
        <v>151</v>
      </c>
      <c r="I14" s="47" t="s">
        <v>150</v>
      </c>
      <c r="J14" s="47" t="s">
        <v>151</v>
      </c>
    </row>
    <row r="15" spans="2:10">
      <c r="B15" s="48" t="s">
        <v>152</v>
      </c>
      <c r="C15" s="49">
        <v>7.3096446700507522</v>
      </c>
      <c r="D15" s="49">
        <v>10730.964467005075</v>
      </c>
      <c r="E15" s="49">
        <v>14.15728594643948</v>
      </c>
      <c r="F15" s="49">
        <v>14876.847290640393</v>
      </c>
      <c r="G15" s="49">
        <v>10.14759119145825</v>
      </c>
      <c r="H15" s="49">
        <v>16222.023276633843</v>
      </c>
      <c r="I15" s="49">
        <v>12.607093840841532</v>
      </c>
      <c r="J15" s="49">
        <v>32783.665029723445</v>
      </c>
    </row>
    <row r="16" spans="2:10">
      <c r="B16" s="48" t="s">
        <v>153</v>
      </c>
      <c r="C16" s="49">
        <v>4.7651653479407585</v>
      </c>
      <c r="D16" s="49">
        <v>10476.516534794077</v>
      </c>
      <c r="E16" s="49">
        <v>17.757697886082035</v>
      </c>
      <c r="F16" s="49">
        <v>16329.313253230861</v>
      </c>
      <c r="G16" s="49">
        <v>11.795551280185013</v>
      </c>
      <c r="H16" s="49">
        <v>17463.151001388669</v>
      </c>
      <c r="I16" s="49">
        <v>13.881068412251807</v>
      </c>
      <c r="J16" s="49">
        <v>36687.264405115769</v>
      </c>
    </row>
    <row r="17" spans="2:10">
      <c r="B17" s="48" t="s">
        <v>154</v>
      </c>
      <c r="C17" s="49">
        <v>5.6914227994946387</v>
      </c>
      <c r="D17" s="49">
        <v>10569.142279949463</v>
      </c>
      <c r="E17" s="49">
        <v>15.520561759160877</v>
      </c>
      <c r="F17" s="49">
        <v>15416.219185269591</v>
      </c>
      <c r="G17" s="49">
        <v>12.838507957581768</v>
      </c>
      <c r="H17" s="49">
        <v>18293.073301820179</v>
      </c>
      <c r="I17" s="49">
        <v>13.153580189400094</v>
      </c>
      <c r="J17" s="49">
        <v>34409.867177635853</v>
      </c>
    </row>
    <row r="18" spans="2:10">
      <c r="B18" s="48" t="s">
        <v>157</v>
      </c>
      <c r="C18" s="51">
        <v>118.2</v>
      </c>
      <c r="D18" s="52"/>
      <c r="E18" s="51">
        <v>85.26</v>
      </c>
      <c r="F18" s="52"/>
      <c r="G18" s="51">
        <v>78.19</v>
      </c>
      <c r="H18" s="52"/>
      <c r="I18" s="51">
        <v>38.69</v>
      </c>
      <c r="J18" s="52"/>
    </row>
    <row r="20" spans="2:10">
      <c r="B20" t="s">
        <v>158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TSS-Risk-O-Meter &amp; Portfolio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2023-01-03T07:35:18Z</dcterms:created>
  <dcterms:modified xsi:type="dcterms:W3CDTF">2023-01-07T09:21:49Z</dcterms:modified>
</cp:coreProperties>
</file>