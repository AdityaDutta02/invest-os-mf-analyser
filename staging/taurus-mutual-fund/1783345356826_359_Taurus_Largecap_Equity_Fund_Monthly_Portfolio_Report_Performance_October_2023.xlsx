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DD437C60-42D8-447A-BBD0-BF3646BDD807}" xr6:coauthVersionLast="47" xr6:coauthVersionMax="47" xr10:uidLastSave="{00000000-0000-0000-0000-000000000000}"/>
  <bookViews>
    <workbookView xWindow="-120" yWindow="-120" windowWidth="20730" windowHeight="11160" xr2:uid="{7089EB0B-70AD-439C-ACE7-A909BE9B6C88}"/>
  </bookViews>
  <sheets>
    <sheet name=" TBF-Risk-O-Meter &amp; Performance" sheetId="1" r:id="rId1"/>
    <sheet name="TBF-Performance" sheetId="2" r:id="rId2"/>
  </sheets>
  <externalReferences>
    <externalReference r:id="rId3"/>
  </externalReferences>
  <definedNames>
    <definedName name="XDO_?AUM?">' TBF-Risk-O-Meter &amp; Performance'!$H$13</definedName>
    <definedName name="XDO_?CLASS_3?">' TBF-Risk-O-Meter &amp; Performance'!$C$8:$C$38</definedName>
    <definedName name="XDO_?CLASS_4?">' TBF-Risk-O-Meter &amp; Performance'!$C$9</definedName>
    <definedName name="XDO_?CS_1?">' TBF-Risk-O-Meter &amp; Performance'!$H$11</definedName>
    <definedName name="XDO_?CS_2?">' TBF-Risk-O-Meter &amp; Performance'!$I$11</definedName>
    <definedName name="XDO_?FINAL_ISIN?">' TBF-Risk-O-Meter &amp; Performance'!$D$10:$D$81</definedName>
    <definedName name="XDO_?FINAL_MV?">' TBF-Risk-O-Meter &amp; Performance'!$H$10:$H$81</definedName>
    <definedName name="XDO_?FINAL_NAME?">' TBF-Risk-O-Meter &amp; Performance'!$C$10:$C$81</definedName>
    <definedName name="XDO_?FINAL_PER_NET?">' TBF-Risk-O-Meter &amp; Performance'!$I$10:$I$81</definedName>
    <definedName name="XDO_?FINAL_QUANTITE?">' TBF-Risk-O-Meter &amp; Performance'!$G$10:$G$81</definedName>
    <definedName name="XDO_?IND_01?">' TBF-Risk-O-Meter &amp; Performance'!$F$10:$F$81</definedName>
    <definedName name="XDO_?LONG_DESC?">' TBF-Risk-O-Meter &amp; Performance'!$D$3</definedName>
    <definedName name="XDO_?NAMC?">' TBF-Risk-O-Meter &amp; Performance'!#REF!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 TBF-Risk-O-Meter &amp; Performance'!$C$2:$C$38</definedName>
    <definedName name="XDO_?NDATE?">' TBF-Risk-O-Meter &amp; Performance'!#REF!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 TBF-Risk-O-Meter &amp; Performance'!#REF!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 TBF-Risk-O-Meter &amp; Performance'!$B$10:$B$81</definedName>
    <definedName name="XDO_?NPTF?">' TBF-Risk-O-Meter &amp; Performance'!$D$2:$D$38</definedName>
    <definedName name="XDO_?RATING?">' TBF-Risk-O-Meter &amp; Performance'!$E$10:$E$81</definedName>
    <definedName name="XDO_?REMARKS?">' TBF-Risk-O-Meter &amp; Performance'!$J$10:$J$81</definedName>
    <definedName name="XDO_?TDATE?">' TBF-Risk-O-Meter &amp; Performance'!$D$4</definedName>
    <definedName name="XDO_?TITL?">' TBF-Risk-O-Meter &amp; Performance'!$A$8:$A$38</definedName>
    <definedName name="XDO_GROUP_?G_2?">' TBF-Risk-O-Meter &amp; Performance'!$2:$84</definedName>
    <definedName name="XDO_GROUP_?G_3?">' TBF-Risk-O-Meter &amp; Performance'!$8:$83</definedName>
    <definedName name="XDO_GROUP_?G_4?">' TBF-Risk-O-Meter &amp; Performance'!$B$81:$IV$81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</calcChain>
</file>

<file path=xl/sharedStrings.xml><?xml version="1.0" encoding="utf-8"?>
<sst xmlns="http://schemas.openxmlformats.org/spreadsheetml/2006/main" count="228" uniqueCount="164">
  <si>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</si>
  <si>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</si>
  <si>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</si>
  <si>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</si>
  <si>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</si>
  <si>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</si>
  <si>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</si>
  <si>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</si>
  <si>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</si>
  <si>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</si>
  <si>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</si>
  <si>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</si>
  <si>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</si>
  <si>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</si>
  <si>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</si>
  <si>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</si>
  <si>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</si>
  <si>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</si>
  <si>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</si>
  <si>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</si>
  <si>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</si>
  <si>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</si>
  <si>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</si>
  <si>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</si>
  <si>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</si>
  <si>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</si>
  <si>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</si>
  <si>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</si>
  <si>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</si>
  <si>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</si>
  <si>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</si>
  <si>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</si>
  <si>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</si>
  <si>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</si>
  <si>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</si>
  <si>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</si>
  <si>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</si>
  <si>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</si>
  <si>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</si>
  <si>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</si>
  <si>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</si>
  <si>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</si>
  <si>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</si>
  <si>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</si>
  <si>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101178</t>
  </si>
  <si>
    <t>Computer Age Management Services Ltd.</t>
  </si>
  <si>
    <t>INE596I01012</t>
  </si>
  <si>
    <t>Capital Markets</t>
  </si>
  <si>
    <t>100147</t>
  </si>
  <si>
    <t>Tech Mahindra Ltd.</t>
  </si>
  <si>
    <t>INE669C01036</t>
  </si>
  <si>
    <t>100150</t>
  </si>
  <si>
    <t>Apollo Hospitals Enterprise Ltd.</t>
  </si>
  <si>
    <t>INE437A01024</t>
  </si>
  <si>
    <t>Healthcare Services</t>
  </si>
  <si>
    <t>100003</t>
  </si>
  <si>
    <t>Infosys Ltd.</t>
  </si>
  <si>
    <t>INE009A01021</t>
  </si>
  <si>
    <t>100263</t>
  </si>
  <si>
    <t>BEML Ltd.</t>
  </si>
  <si>
    <t>INE258A01016</t>
  </si>
  <si>
    <t>Agricultural, Commercial &amp; Construction Vehicles</t>
  </si>
  <si>
    <t>100181</t>
  </si>
  <si>
    <t>NTPC Ltd.</t>
  </si>
  <si>
    <t>INE733E01010</t>
  </si>
  <si>
    <t>Power</t>
  </si>
  <si>
    <t>100180</t>
  </si>
  <si>
    <t>Hindalco Industries Ltd.</t>
  </si>
  <si>
    <t>INE038A01020</t>
  </si>
  <si>
    <t>Non - Ferrous Metals</t>
  </si>
  <si>
    <t>100302</t>
  </si>
  <si>
    <t>DLF Ltd.</t>
  </si>
  <si>
    <t>INE271C01023</t>
  </si>
  <si>
    <t>Realty</t>
  </si>
  <si>
    <t>100128</t>
  </si>
  <si>
    <t>Eicher Motors Ltd.</t>
  </si>
  <si>
    <t>INE066A01021</t>
  </si>
  <si>
    <t>100080</t>
  </si>
  <si>
    <t>Dr. Reddy's Laboratories Ltd.</t>
  </si>
  <si>
    <t>INE089A01023</t>
  </si>
  <si>
    <t>Pharmaceuticals &amp; Biotechnology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</si>
  <si>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</si>
  <si>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</si>
  <si>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</si>
  <si>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</si>
  <si>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</si>
  <si>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</si>
  <si>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100153</t>
  </si>
  <si>
    <t>Cipla Ltd.</t>
  </si>
  <si>
    <t>INE059A01026</t>
  </si>
  <si>
    <t>100002</t>
  </si>
  <si>
    <t>Reliance Industries Ltd.</t>
  </si>
  <si>
    <t>INE002A01018</t>
  </si>
  <si>
    <t>Petroleum Products</t>
  </si>
  <si>
    <t>100119</t>
  </si>
  <si>
    <t>Tata Motors Ltd.</t>
  </si>
  <si>
    <t>INE155A01022</t>
  </si>
  <si>
    <t>100193</t>
  </si>
  <si>
    <t>JSW Steel Ltd.</t>
  </si>
  <si>
    <t>INE019A01038</t>
  </si>
  <si>
    <t>Ferrous Metals</t>
  </si>
  <si>
    <t>100081</t>
  </si>
  <si>
    <t>Titan Company Ltd.</t>
  </si>
  <si>
    <t>INE280A01028</t>
  </si>
  <si>
    <t>Consumer Durables</t>
  </si>
  <si>
    <t>100176</t>
  </si>
  <si>
    <t>GAIL (India) Ltd.</t>
  </si>
  <si>
    <t>INE129A01019</t>
  </si>
  <si>
    <t>Gas</t>
  </si>
  <si>
    <t>100830</t>
  </si>
  <si>
    <t>Varun Beverages Ltd.</t>
  </si>
  <si>
    <t>INE200M01021</t>
  </si>
  <si>
    <t>Beverages</t>
  </si>
  <si>
    <t>101946</t>
  </si>
  <si>
    <t>National Fertilizers Ltd.</t>
  </si>
  <si>
    <t>INE870D01012</t>
  </si>
  <si>
    <t>Fertilizers &amp; Agrochemicals</t>
  </si>
  <si>
    <t>100184</t>
  </si>
  <si>
    <t>Tata Steel Ltd.</t>
  </si>
  <si>
    <t>INE081A01020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</si>
  <si>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</si>
  <si>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</si>
  <si>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</si>
  <si>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</si>
  <si>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</si>
  <si>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</si>
  <si>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</si>
  <si>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</si>
  <si>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</si>
  <si>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</si>
  <si>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</si>
  <si>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</si>
  <si>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</si>
  <si>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</si>
  <si>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</si>
  <si>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</si>
  <si>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</si>
  <si>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</si>
  <si>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</si>
  <si>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</si>
  <si>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</si>
  <si>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</si>
  <si>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</si>
  <si>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</si>
  <si>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</si>
  <si>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</si>
  <si>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</si>
  <si>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</si>
  <si>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</si>
  <si>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</si>
  <si>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</si>
  <si>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</si>
  <si>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</si>
  <si>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</si>
  <si>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</si>
  <si>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</si>
  <si>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</si>
  <si>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</si>
  <si>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</si>
  <si>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</si>
  <si>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</si>
  <si>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October 31, 2023 : 112.52)</t>
  </si>
  <si>
    <t>Taurus Largecap Equity Fund - Direct Plan Growth Option</t>
  </si>
  <si>
    <t>NAV [Rs.] Per Unit (as on October 31, 2023 : 118.77)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</si>
</sst>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1875654-8244-43E8-BC03-9A71EE90680E}"/>
    <cellStyle name="Hyperlink" xfId="2" builtinId="8"/>
    <cellStyle name="Normal" xfId="0" builtinId="0"/>
    <cellStyle name="Normal 2" xfId="4" xr:uid="{A39DEA8E-AC1B-41ED-B963-5F0237963A1F}"/>
    <cellStyle name="Style 1" xfId="3" xr:uid="{87CF82C7-1932-448F-95A0-AEE25A86F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48683</xdr:colOff>
      <xdr:row>0</xdr:row>
      <xdr:rowOff>2169583</xdr:rowOff>
    </xdr:to>
    <xdr:pic>
      <xdr:nvPicPr>
        <xdr:cNvPr id="2" name="Picture 1" descr="Large Prodcut label - 9th Dec 2022.jpg">
          <a:extLst>
            <a:ext uri="{FF2B5EF4-FFF2-40B4-BE49-F238E27FC236}">
              <a16:creationId xmlns:a16="http://schemas.microsoft.com/office/drawing/2014/main" id="{EF8D5DE4-5B77-41B3-B0B5-A1AC1C817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800850" cy="2169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DFD7-51FD-434C-BABE-E04BE61BC385}">
  <sheetPr codeName="Sheet1"/>
  <dimension ref="A1:BB9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6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21331</v>
      </c>
      <c r="H10" s="32">
        <v>314.99</v>
      </c>
      <c r="I10" s="32">
        <v>8.9600000000000009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255.22</v>
      </c>
      <c r="I11" s="32">
        <v>7.26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194.5</v>
      </c>
      <c r="I12" s="32">
        <v>5.53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19761</v>
      </c>
      <c r="H13" s="32">
        <v>194.03</v>
      </c>
      <c r="I13" s="32">
        <v>5.52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57649</v>
      </c>
      <c r="H14" s="32">
        <v>181.25</v>
      </c>
      <c r="I14" s="32">
        <v>5.16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19245</v>
      </c>
      <c r="H15" s="32">
        <v>176.17</v>
      </c>
      <c r="I15" s="32">
        <v>5.01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36337</v>
      </c>
      <c r="H16" s="32">
        <v>155.72</v>
      </c>
      <c r="I16" s="32">
        <v>4.43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8410</v>
      </c>
      <c r="H17" s="32">
        <v>122.68</v>
      </c>
      <c r="I17" s="32">
        <v>3.49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4880</v>
      </c>
      <c r="H18" s="32">
        <v>109.74</v>
      </c>
      <c r="I18" s="32">
        <v>3.12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9419</v>
      </c>
      <c r="H19" s="32">
        <v>106.73</v>
      </c>
      <c r="I19" s="32">
        <v>3.04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2184</v>
      </c>
      <c r="H20" s="32">
        <v>105.24</v>
      </c>
      <c r="I20" s="32">
        <v>2.99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7379</v>
      </c>
      <c r="H21" s="32">
        <v>100.99</v>
      </c>
      <c r="I21" s="32">
        <v>2.87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4710</v>
      </c>
      <c r="H22" s="32">
        <v>95.05</v>
      </c>
      <c r="I22" s="32">
        <v>2.7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38578</v>
      </c>
      <c r="H23" s="32">
        <v>90.99</v>
      </c>
      <c r="I23" s="32">
        <v>2.59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19684</v>
      </c>
      <c r="H24" s="32">
        <v>90.46</v>
      </c>
      <c r="I24" s="32">
        <v>2.57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15145</v>
      </c>
      <c r="H25" s="32">
        <v>85.34</v>
      </c>
      <c r="I25" s="32">
        <v>2.4300000000000002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43</v>
      </c>
      <c r="G26" s="31">
        <v>2453</v>
      </c>
      <c r="H26" s="32">
        <v>80.849999999999994</v>
      </c>
      <c r="I26" s="32">
        <v>2.2999999999999998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1505</v>
      </c>
      <c r="H27" s="32">
        <v>80.7</v>
      </c>
      <c r="I27" s="32">
        <v>2.2999999999999998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43</v>
      </c>
      <c r="G28" s="31">
        <v>754</v>
      </c>
      <c r="H28" s="32">
        <v>78.349999999999994</v>
      </c>
      <c r="I28" s="32">
        <v>2.23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80</v>
      </c>
      <c r="G29" s="31">
        <v>6749</v>
      </c>
      <c r="H29" s="32">
        <v>73.48</v>
      </c>
      <c r="I29" s="32">
        <v>2.09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80</v>
      </c>
      <c r="G30" s="31">
        <v>4961</v>
      </c>
      <c r="H30" s="32">
        <v>59.5</v>
      </c>
      <c r="I30" s="32">
        <v>1.69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2478</v>
      </c>
      <c r="H31" s="32">
        <v>56.71</v>
      </c>
      <c r="I31" s="32">
        <v>1.61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43</v>
      </c>
      <c r="G32" s="31">
        <v>8674</v>
      </c>
      <c r="H32" s="32">
        <v>54.52</v>
      </c>
      <c r="I32" s="32">
        <v>1.55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7364</v>
      </c>
      <c r="H33" s="32">
        <v>54.2</v>
      </c>
      <c r="I33" s="32">
        <v>1.54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1393</v>
      </c>
      <c r="H34" s="32">
        <v>44.42</v>
      </c>
      <c r="I34" s="32">
        <v>1.26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29659</v>
      </c>
      <c r="H35" s="32">
        <v>35.46</v>
      </c>
      <c r="I35" s="32">
        <v>1.01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3677</v>
      </c>
      <c r="H36" s="32">
        <v>33.44</v>
      </c>
      <c r="I36" s="32">
        <v>0.95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47543</v>
      </c>
      <c r="H37" s="32">
        <v>32.93</v>
      </c>
      <c r="I37" s="32">
        <v>0.94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100</v>
      </c>
      <c r="G38" s="31">
        <v>27705</v>
      </c>
      <c r="H38" s="32">
        <v>32.9</v>
      </c>
      <c r="I38" s="32">
        <v>0.94</v>
      </c>
      <c r="J38" s="33"/>
    </row>
    <row r="39" spans="2:10" x14ac:dyDescent="0.25">
      <c r="C39" s="28" t="s">
        <v>120</v>
      </c>
      <c r="D39" s="29"/>
      <c r="E39" s="30"/>
      <c r="F39" s="30"/>
      <c r="G39" s="31"/>
      <c r="H39" s="35">
        <v>3096.56</v>
      </c>
      <c r="I39" s="35">
        <v>88.08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121</v>
      </c>
      <c r="D41" s="29"/>
      <c r="E41" s="30"/>
      <c r="F41" s="30"/>
      <c r="G41" s="31"/>
      <c r="H41" s="32" t="s">
        <v>122</v>
      </c>
      <c r="I41" s="32" t="s">
        <v>122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123</v>
      </c>
      <c r="D43" s="29"/>
      <c r="E43" s="30"/>
      <c r="F43" s="30"/>
      <c r="G43" s="31"/>
      <c r="H43" s="32" t="s">
        <v>122</v>
      </c>
      <c r="I43" s="32" t="s">
        <v>122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124</v>
      </c>
      <c r="D45" s="29"/>
      <c r="E45" s="30"/>
      <c r="F45" s="30"/>
      <c r="G45" s="31"/>
      <c r="H45" s="32"/>
      <c r="I45" s="32"/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125</v>
      </c>
      <c r="D47" s="29"/>
      <c r="E47" s="30"/>
      <c r="F47" s="30"/>
      <c r="G47" s="31"/>
      <c r="H47" s="32" t="s">
        <v>122</v>
      </c>
      <c r="I47" s="32" t="s">
        <v>122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126</v>
      </c>
      <c r="D49" s="29"/>
      <c r="E49" s="30"/>
      <c r="F49" s="30"/>
      <c r="G49" s="31"/>
      <c r="H49" s="32" t="s">
        <v>122</v>
      </c>
      <c r="I49" s="32" t="s">
        <v>122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127</v>
      </c>
      <c r="D51" s="29"/>
      <c r="E51" s="30"/>
      <c r="F51" s="30"/>
      <c r="G51" s="31"/>
      <c r="H51" s="32" t="s">
        <v>122</v>
      </c>
      <c r="I51" s="32" t="s">
        <v>122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128</v>
      </c>
      <c r="D53" s="29"/>
      <c r="E53" s="30"/>
      <c r="F53" s="30"/>
      <c r="G53" s="31"/>
      <c r="H53" s="32" t="s">
        <v>122</v>
      </c>
      <c r="I53" s="32" t="s">
        <v>122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129</v>
      </c>
      <c r="D55" s="29"/>
      <c r="E55" s="30"/>
      <c r="F55" s="30"/>
      <c r="G55" s="31"/>
      <c r="H55" s="32" t="s">
        <v>122</v>
      </c>
      <c r="I55" s="32" t="s">
        <v>122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130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131</v>
      </c>
      <c r="D59" s="29"/>
      <c r="E59" s="30"/>
      <c r="F59" s="30"/>
      <c r="G59" s="31"/>
      <c r="H59" s="32" t="s">
        <v>122</v>
      </c>
      <c r="I59" s="32" t="s">
        <v>122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132</v>
      </c>
      <c r="D61" s="29"/>
      <c r="E61" s="30"/>
      <c r="F61" s="30"/>
      <c r="G61" s="31"/>
      <c r="H61" s="32" t="s">
        <v>122</v>
      </c>
      <c r="I61" s="32" t="s">
        <v>122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133</v>
      </c>
      <c r="D63" s="29"/>
      <c r="E63" s="30"/>
      <c r="F63" s="30"/>
      <c r="G63" s="31"/>
      <c r="H63" s="32" t="s">
        <v>122</v>
      </c>
      <c r="I63" s="32" t="s">
        <v>122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134</v>
      </c>
      <c r="D65" s="29"/>
      <c r="E65" s="30"/>
      <c r="F65" s="30"/>
      <c r="G65" s="31"/>
      <c r="H65" s="32" t="s">
        <v>122</v>
      </c>
      <c r="I65" s="32" t="s">
        <v>122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A67" s="26"/>
      <c r="B67" s="27"/>
      <c r="C67" s="28" t="s">
        <v>135</v>
      </c>
      <c r="D67" s="29"/>
      <c r="E67" s="30"/>
      <c r="F67" s="30"/>
      <c r="G67" s="31"/>
      <c r="H67" s="32"/>
      <c r="I67" s="32"/>
      <c r="J67" s="33"/>
    </row>
    <row r="68" spans="1:10" x14ac:dyDescent="0.25">
      <c r="A68" s="27"/>
      <c r="B68" s="27"/>
      <c r="C68" s="28" t="s">
        <v>136</v>
      </c>
      <c r="D68" s="29"/>
      <c r="E68" s="30"/>
      <c r="F68" s="30"/>
      <c r="G68" s="31"/>
      <c r="H68" s="32" t="s">
        <v>122</v>
      </c>
      <c r="I68" s="32" t="s">
        <v>122</v>
      </c>
      <c r="J68" s="33"/>
    </row>
    <row r="69" spans="1:10" x14ac:dyDescent="0.25">
      <c r="A69" s="27"/>
      <c r="B69" s="27"/>
      <c r="C69" s="28"/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137</v>
      </c>
      <c r="D70" s="29"/>
      <c r="E70" s="30"/>
      <c r="F70" s="30"/>
      <c r="G70" s="31"/>
      <c r="H70" s="32" t="s">
        <v>122</v>
      </c>
      <c r="I70" s="32" t="s">
        <v>122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138</v>
      </c>
      <c r="D72" s="29"/>
      <c r="E72" s="30"/>
      <c r="F72" s="30"/>
      <c r="G72" s="31"/>
      <c r="H72" s="32" t="s">
        <v>122</v>
      </c>
      <c r="I72" s="32" t="s">
        <v>122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139</v>
      </c>
      <c r="D74" s="29"/>
      <c r="E74" s="30"/>
      <c r="F74" s="30"/>
      <c r="G74" s="31"/>
      <c r="H74" s="32" t="s">
        <v>122</v>
      </c>
      <c r="I74" s="32" t="s">
        <v>122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C76" s="34" t="s">
        <v>140</v>
      </c>
      <c r="D76" s="29"/>
      <c r="E76" s="30"/>
      <c r="F76" s="30"/>
      <c r="G76" s="31"/>
      <c r="H76" s="32"/>
      <c r="I76" s="32"/>
      <c r="J76" s="33"/>
    </row>
    <row r="77" spans="1:10" x14ac:dyDescent="0.25">
      <c r="B77" s="1" t="s">
        <v>141</v>
      </c>
      <c r="C77" s="20" t="s">
        <v>142</v>
      </c>
      <c r="D77" s="29"/>
      <c r="E77" s="30"/>
      <c r="F77" s="30"/>
      <c r="G77" s="31"/>
      <c r="H77" s="32">
        <v>240</v>
      </c>
      <c r="I77" s="32">
        <v>6.83</v>
      </c>
      <c r="J77" s="33"/>
    </row>
    <row r="78" spans="1:10" x14ac:dyDescent="0.25">
      <c r="C78" s="28" t="s">
        <v>120</v>
      </c>
      <c r="D78" s="29"/>
      <c r="E78" s="30"/>
      <c r="F78" s="30"/>
      <c r="G78" s="31"/>
      <c r="H78" s="35">
        <v>240</v>
      </c>
      <c r="I78" s="35">
        <v>6.83</v>
      </c>
      <c r="J78" s="33"/>
    </row>
    <row r="79" spans="1:10" x14ac:dyDescent="0.25">
      <c r="C79" s="20"/>
      <c r="D79" s="29"/>
      <c r="E79" s="30"/>
      <c r="F79" s="30"/>
      <c r="G79" s="31"/>
      <c r="H79" s="32"/>
      <c r="I79" s="32"/>
      <c r="J79" s="33"/>
    </row>
    <row r="80" spans="1:10" x14ac:dyDescent="0.25">
      <c r="A80" s="26"/>
      <c r="B80" s="27"/>
      <c r="C80" s="28" t="s">
        <v>143</v>
      </c>
      <c r="D80" s="29"/>
      <c r="E80" s="30"/>
      <c r="F80" s="30"/>
      <c r="G80" s="31"/>
      <c r="H80" s="32"/>
      <c r="I80" s="32"/>
      <c r="J80" s="33"/>
    </row>
    <row r="81" spans="2:10" x14ac:dyDescent="0.25">
      <c r="B81" s="1"/>
      <c r="C81" s="20" t="s">
        <v>144</v>
      </c>
      <c r="D81" s="29"/>
      <c r="E81" s="30"/>
      <c r="F81" s="30"/>
      <c r="G81" s="31"/>
      <c r="H81" s="32">
        <v>178.81</v>
      </c>
      <c r="I81" s="32">
        <v>5.09</v>
      </c>
      <c r="J81" s="33"/>
    </row>
    <row r="82" spans="2:10" x14ac:dyDescent="0.25">
      <c r="C82" s="28" t="s">
        <v>120</v>
      </c>
      <c r="D82" s="29"/>
      <c r="E82" s="30"/>
      <c r="F82" s="30"/>
      <c r="G82" s="31"/>
      <c r="H82" s="35">
        <v>178.81</v>
      </c>
      <c r="I82" s="35">
        <v>5.09</v>
      </c>
      <c r="J82" s="33"/>
    </row>
    <row r="83" spans="2:10" x14ac:dyDescent="0.25">
      <c r="C83" s="20"/>
      <c r="D83" s="29"/>
      <c r="E83" s="30"/>
      <c r="F83" s="30"/>
      <c r="G83" s="31"/>
      <c r="H83" s="32"/>
      <c r="I83" s="32"/>
      <c r="J83" s="33"/>
    </row>
    <row r="84" spans="2:10" ht="14.25" thickBot="1" x14ac:dyDescent="0.3">
      <c r="C84" s="36" t="s">
        <v>145</v>
      </c>
      <c r="D84" s="37"/>
      <c r="E84" s="38"/>
      <c r="F84" s="39"/>
      <c r="G84" s="40"/>
      <c r="H84" s="41">
        <v>3515.37</v>
      </c>
      <c r="I84" s="41">
        <f>SUMIFS(I:I,C:C,"Total")</f>
        <v>100</v>
      </c>
      <c r="J84" s="42"/>
    </row>
    <row r="87" spans="2:10" x14ac:dyDescent="0.25">
      <c r="C87" s="11" t="s">
        <v>146</v>
      </c>
    </row>
    <row r="88" spans="2:10" x14ac:dyDescent="0.25">
      <c r="C88" s="2" t="s">
        <v>147</v>
      </c>
    </row>
    <row r="89" spans="2:10" x14ac:dyDescent="0.25">
      <c r="C89" s="2" t="s">
        <v>148</v>
      </c>
    </row>
    <row r="90" spans="2:10" x14ac:dyDescent="0.25">
      <c r="C90" s="2" t="s">
        <v>149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3643-D152-4785-ACBF-4FC3FD77F05B}">
  <dimension ref="B4:J18"/>
  <sheetViews>
    <sheetView workbookViewId="0"/>
  </sheetViews>
  <sheetFormatPr defaultRowHeight="15" x14ac:dyDescent="0.25"/>
  <cols>
    <col min="2" max="2" width="57.140625" bestFit="1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5703125" bestFit="1" customWidth="1"/>
  </cols>
  <sheetData>
    <row r="4" spans="2:10" ht="15.75" x14ac:dyDescent="0.25">
      <c r="B4" s="43" t="s">
        <v>150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151</v>
      </c>
      <c r="C5" s="46" t="s">
        <v>152</v>
      </c>
      <c r="D5" s="46"/>
      <c r="E5" s="46" t="s">
        <v>153</v>
      </c>
      <c r="F5" s="46"/>
      <c r="G5" s="46" t="s">
        <v>154</v>
      </c>
      <c r="H5" s="46"/>
      <c r="I5" s="46" t="s">
        <v>155</v>
      </c>
      <c r="J5" s="46"/>
    </row>
    <row r="6" spans="2:10" ht="63.75" x14ac:dyDescent="0.25">
      <c r="B6" s="47"/>
      <c r="C6" s="48" t="s">
        <v>156</v>
      </c>
      <c r="D6" s="48" t="s">
        <v>157</v>
      </c>
      <c r="E6" s="48" t="s">
        <v>156</v>
      </c>
      <c r="F6" s="48" t="s">
        <v>157</v>
      </c>
      <c r="G6" s="48" t="s">
        <v>156</v>
      </c>
      <c r="H6" s="48" t="s">
        <v>157</v>
      </c>
      <c r="I6" s="48" t="s">
        <v>156</v>
      </c>
      <c r="J6" s="48" t="s">
        <v>157</v>
      </c>
    </row>
    <row r="7" spans="2:10" x14ac:dyDescent="0.25">
      <c r="B7" s="49" t="s">
        <v>158</v>
      </c>
      <c r="C7" s="50">
        <v>4.6697674418604507</v>
      </c>
      <c r="D7" s="50">
        <v>10466.976744186046</v>
      </c>
      <c r="E7" s="50">
        <v>15.179428268393202</v>
      </c>
      <c r="F7" s="50">
        <v>15285.966580627632</v>
      </c>
      <c r="G7" s="50">
        <v>10.275244931308336</v>
      </c>
      <c r="H7" s="50">
        <v>16311.974485358074</v>
      </c>
      <c r="I7" s="50">
        <v>10.218841925457012</v>
      </c>
      <c r="J7" s="50">
        <v>112520</v>
      </c>
    </row>
    <row r="8" spans="2:10" x14ac:dyDescent="0.25">
      <c r="B8" s="49" t="s">
        <v>159</v>
      </c>
      <c r="C8" s="50">
        <v>7.7256594205395546</v>
      </c>
      <c r="D8" s="50">
        <v>10772.565942053956</v>
      </c>
      <c r="E8" s="50">
        <v>20.167724641955644</v>
      </c>
      <c r="F8" s="50">
        <v>17352.558366108256</v>
      </c>
      <c r="G8" s="50">
        <v>14.390074860345647</v>
      </c>
      <c r="H8" s="50">
        <v>19585.818293610238</v>
      </c>
      <c r="I8" s="50">
        <v>11.97442210959534</v>
      </c>
      <c r="J8" s="50">
        <v>256589.81392393544</v>
      </c>
    </row>
    <row r="9" spans="2:10" x14ac:dyDescent="0.25">
      <c r="B9" s="49" t="s">
        <v>160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12.039972395879506</v>
      </c>
      <c r="J9" s="50">
        <v>260934.47580478142</v>
      </c>
    </row>
    <row r="10" spans="2:10" x14ac:dyDescent="0.25">
      <c r="B10" s="49" t="s">
        <v>161</v>
      </c>
      <c r="C10" s="51">
        <v>107.5</v>
      </c>
      <c r="D10" s="52"/>
      <c r="E10" s="51">
        <v>73.61</v>
      </c>
      <c r="F10" s="52"/>
      <c r="G10" s="51">
        <v>68.98</v>
      </c>
      <c r="H10" s="52"/>
      <c r="I10" s="51">
        <v>10</v>
      </c>
      <c r="J10" s="52"/>
    </row>
    <row r="12" spans="2:10" ht="15.75" x14ac:dyDescent="0.25">
      <c r="B12" s="43" t="s">
        <v>162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151</v>
      </c>
      <c r="C13" s="46" t="s">
        <v>152</v>
      </c>
      <c r="D13" s="46"/>
      <c r="E13" s="46" t="s">
        <v>153</v>
      </c>
      <c r="F13" s="46"/>
      <c r="G13" s="46" t="s">
        <v>154</v>
      </c>
      <c r="H13" s="46"/>
      <c r="I13" s="46" t="s">
        <v>155</v>
      </c>
      <c r="J13" s="46"/>
    </row>
    <row r="14" spans="2:10" ht="63.75" x14ac:dyDescent="0.25">
      <c r="B14" s="47"/>
      <c r="C14" s="48" t="s">
        <v>156</v>
      </c>
      <c r="D14" s="48" t="s">
        <v>157</v>
      </c>
      <c r="E14" s="48" t="s">
        <v>156</v>
      </c>
      <c r="F14" s="48" t="s">
        <v>157</v>
      </c>
      <c r="G14" s="48" t="s">
        <v>156</v>
      </c>
      <c r="H14" s="48" t="s">
        <v>157</v>
      </c>
      <c r="I14" s="48" t="s">
        <v>156</v>
      </c>
      <c r="J14" s="48" t="s">
        <v>157</v>
      </c>
    </row>
    <row r="15" spans="2:10" x14ac:dyDescent="0.25">
      <c r="B15" s="49" t="s">
        <v>158</v>
      </c>
      <c r="C15" s="50">
        <v>4.7631648584281372</v>
      </c>
      <c r="D15" s="50">
        <v>10476.316485842814</v>
      </c>
      <c r="E15" s="50">
        <v>15.277698229546344</v>
      </c>
      <c r="F15" s="50">
        <v>15325.16129032258</v>
      </c>
      <c r="G15" s="50">
        <v>10.43992667043101</v>
      </c>
      <c r="H15" s="50">
        <v>16434.205064342052</v>
      </c>
      <c r="I15" s="50">
        <v>9.4809932824945875</v>
      </c>
      <c r="J15" s="50">
        <v>26677.897574123988</v>
      </c>
    </row>
    <row r="16" spans="2:10" x14ac:dyDescent="0.25">
      <c r="B16" s="49" t="s">
        <v>159</v>
      </c>
      <c r="C16" s="50">
        <v>7.7256594205395546</v>
      </c>
      <c r="D16" s="50">
        <v>10772.565942053956</v>
      </c>
      <c r="E16" s="50">
        <v>20.167724641955644</v>
      </c>
      <c r="F16" s="50">
        <v>17352.558366108256</v>
      </c>
      <c r="G16" s="50">
        <v>14.390074860345647</v>
      </c>
      <c r="H16" s="50">
        <v>19585.818293610238</v>
      </c>
      <c r="I16" s="50">
        <v>12.944310261945224</v>
      </c>
      <c r="J16" s="50">
        <v>37382.906808305175</v>
      </c>
    </row>
    <row r="17" spans="2:10" x14ac:dyDescent="0.25">
      <c r="B17" s="49" t="s">
        <v>160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12.655665551014028</v>
      </c>
      <c r="J17" s="50">
        <v>36360.870874300526</v>
      </c>
    </row>
    <row r="18" spans="2:10" x14ac:dyDescent="0.25">
      <c r="B18" s="49" t="s">
        <v>163</v>
      </c>
      <c r="C18" s="51">
        <v>113.37</v>
      </c>
      <c r="D18" s="52"/>
      <c r="E18" s="51">
        <v>77.5</v>
      </c>
      <c r="F18" s="52"/>
      <c r="G18" s="51">
        <v>72.27</v>
      </c>
      <c r="H18" s="52"/>
      <c r="I18" s="51">
        <v>44.52</v>
      </c>
      <c r="J18" s="52"/>
    </row>
  </sheetData>
  <mergeCells count="16">
    <mergeCell ref="G13:H13"/>
    <mergeCell ref="I13:J13"/>
    <mergeCell ref="C18:D18"/>
    <mergeCell ref="E18:F18"/>
    <mergeCell ref="G18:H18"/>
    <mergeCell ref="I18:J18"/>
    <mergeCell ref="G5:H5"/>
    <mergeCell ref="I5:J5"/>
    <mergeCell ref="C10:D10"/>
    <mergeCell ref="E10:F10"/>
    <mergeCell ref="G10:H10"/>
    <mergeCell ref="I10:J10"/>
    <mergeCell ref="C13:D13"/>
    <mergeCell ref="E13:F13"/>
    <mergeCell ref="C5:D5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 TBF-Risk-O-Meter &amp; Performance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2023-11-04T02:36:40Z</dcterms:created>
  <dcterms:modified xsi:type="dcterms:W3CDTF">2023-11-06T06:01:48Z</dcterms:modified>
</cp:coreProperties>
</file>