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u HDD Data\Taurus\Monthly Portfolio\2023\July 2023\"/>
    </mc:Choice>
  </mc:AlternateContent>
  <xr:revisionPtr revIDLastSave="0" documentId="13_ncr:1_{1B53F57E-BACE-4EC5-9ED3-82B74652B107}" xr6:coauthVersionLast="47" xr6:coauthVersionMax="47" xr10:uidLastSave="{00000000-0000-0000-0000-000000000000}"/>
  <bookViews>
    <workbookView xWindow="-120" yWindow="-120" windowWidth="20730" windowHeight="11160" xr2:uid="{83262D1E-816B-45AA-9548-B153A22AC61D}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Portfolio'!$C$8:$C$30</definedName>
    <definedName name="XDO_?FINAL_ISIN?1?">'TBFS - Risk-O-Meter &amp; Portfolio'!$D$10:$D$30</definedName>
    <definedName name="XDO_?FINAL_ISIN?2?">'TBFS - Risk-O-Meter &amp; Portfolio'!$D$10:$D$72</definedName>
    <definedName name="XDO_?FINAL_MV?1?">'TBFS - Risk-O-Meter &amp; Portfolio'!$H$10:$H$30</definedName>
    <definedName name="XDO_?FINAL_MV?2?">'TBFS - Risk-O-Meter &amp; Portfolio'!$H$10:$H$72</definedName>
    <definedName name="XDO_?FINAL_NAME?1?">'TBFS - Risk-O-Meter &amp; Portfolio'!$C$10:$C$30</definedName>
    <definedName name="XDO_?FINAL_NAME?2?">'TBFS - Risk-O-Meter &amp; Portfolio'!$C$10:$C$72</definedName>
    <definedName name="XDO_?FINAL_PER_NET?1?">'TBFS - Risk-O-Meter &amp; Portfolio'!$I$10:$I$30</definedName>
    <definedName name="XDO_?FINAL_PER_NET?2?">'TBFS - Risk-O-Meter &amp; Portfolio'!$I$10:$I$72</definedName>
    <definedName name="XDO_?FINAL_QUANTITE?1?">'TBFS - Risk-O-Meter &amp; Portfolio'!$G$10:$G$30</definedName>
    <definedName name="XDO_?FINAL_QUANTITE?2?">'TBFS - Risk-O-Meter &amp; Portfolio'!$G$10:$G$72</definedName>
    <definedName name="XDO_?IND_01?1?">'TBFS - Risk-O-Meter &amp; Portfolio'!$F$10:$F$30</definedName>
    <definedName name="XDO_?IND_01?2?">'TBFS - Risk-O-Meter &amp; Portfolio'!$F$10:$F$72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Portfolio'!$C$2:$C$30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Portfolio'!$B$10:$B$30</definedName>
    <definedName name="XDO_?NOVAL?2?">'TBFS - Risk-O-Meter &amp; Portfolio'!$B$10:$B$72</definedName>
    <definedName name="XDO_?NPTF?1?">'TBFS - Risk-O-Meter &amp; Portfolio'!$D$2:$D$30</definedName>
    <definedName name="XDO_?RATING?1?">'TBFS - Risk-O-Meter &amp; Portfolio'!$E$10:$E$30</definedName>
    <definedName name="XDO_?RATING?2?">'TBFS - Risk-O-Meter &amp; Portfolio'!$E$10:$E$72</definedName>
    <definedName name="XDO_?REMARKS?1?">'TBFS - Risk-O-Meter &amp; Portfolio'!$J$10:$J$30</definedName>
    <definedName name="XDO_?REMARKS?2?">'TBFS - Risk-O-Meter &amp; Portfolio'!$J$10:$J$72</definedName>
    <definedName name="XDO_?TITL?1?">'TBFS - Risk-O-Meter &amp; Portfolio'!$A$8:$A$30</definedName>
    <definedName name="XDO_GROUP_?G_2?1?">'TBFS - Risk-O-Meter &amp; Portfolio'!$2:$75</definedName>
    <definedName name="XDO_GROUP_?G_3?1?">'TBFS - Risk-O-Meter &amp; Portfolio'!$8:$74</definedName>
    <definedName name="XDO_GROUP_?G_4?1?">'TBFS - Risk-O-Meter &amp; Portfolio'!$B$10:$IV$30</definedName>
    <definedName name="XDO_GROUP_?G_4?2?">'TBFS - Risk-O-Meter &amp; Portfolio'!$B$72:$IV$72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</calcChain>
</file>

<file path=xl/sharedStrings.xml><?xml version="1.0" encoding="utf-8"?>
<sst xmlns="http://schemas.openxmlformats.org/spreadsheetml/2006/main" count="195" uniqueCount="124">
  <si>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</si>
  <si>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</si>
  <si>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</si>
  <si>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</si>
  <si>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</si>
  <si>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</si>
  <si>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</si>
  <si>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</si>
  <si>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</si>
  <si>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</si>
  <si>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</si>
  <si>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</si>
  <si>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</si>
  <si>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</si>
  <si>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</si>
  <si>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</si>
  <si>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</si>
  <si>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</si>
  <si>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</si>
  <si>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</si>
  <si>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</si>
  <si>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</si>
  <si>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</si>
  <si>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</si>
  <si>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</si>
  <si>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</si>
  <si>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</si>
  <si>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</si>
  <si>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</si>
  <si>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</si>
  <si>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</si>
  <si>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100013</t>
  </si>
  <si>
    <t>IndusInd Bank Ltd.</t>
  </si>
  <si>
    <t>INE095A01012</t>
  </si>
  <si>
    <t>100399</t>
  </si>
  <si>
    <t>Cholamandalam Investment &amp; Finance Co. Ltd.</t>
  </si>
  <si>
    <t>INE121A01024</t>
  </si>
  <si>
    <t>Finance</t>
  </si>
  <si>
    <t>100325</t>
  </si>
  <si>
    <t>Bajaj Holdings &amp; Investment Ltd.</t>
  </si>
  <si>
    <t>INE118A01012</t>
  </si>
  <si>
    <t>100148</t>
  </si>
  <si>
    <t>Motilal Oswal Financial Services Ltd.</t>
  </si>
  <si>
    <t>INE338I01027</t>
  </si>
  <si>
    <t>Capital Markets</t>
  </si>
  <si>
    <t>100055</t>
  </si>
  <si>
    <t>The Federal Bank Ltd.</t>
  </si>
  <si>
    <t>INE171A01029</t>
  </si>
  <si>
    <t>100067</t>
  </si>
  <si>
    <t>DCB Bank Ltd.</t>
  </si>
  <si>
    <t>INE503A01015</t>
  </si>
  <si>
    <t>100774</t>
  </si>
  <si>
    <t>ICICI Securities Ltd.</t>
  </si>
  <si>
    <t>INE763G01038</t>
  </si>
  <si>
    <t>101181</t>
  </si>
  <si>
    <t>UTI Asset Management Co. Ltd.</t>
  </si>
  <si>
    <t>INE094J01016</t>
  </si>
  <si>
    <t>100092</t>
  </si>
  <si>
    <t>Bank of Baroda</t>
  </si>
  <si>
    <t>INE028A01039</t>
  </si>
  <si>
    <t>100701</t>
  </si>
  <si>
    <t>Nippon Life India Asset Management Ltd.</t>
  </si>
  <si>
    <t>INE298J01013</t>
  </si>
  <si>
    <t>101178</t>
  </si>
  <si>
    <t>Computer Age Management Services Ltd.</t>
  </si>
  <si>
    <t>INE596I01012</t>
  </si>
  <si>
    <t>100112</t>
  </si>
  <si>
    <t>Punjab National Bank</t>
  </si>
  <si>
    <t>INE160A01022</t>
  </si>
  <si>
    <t>100684</t>
  </si>
  <si>
    <t>SBI Life Insurance Co. Ltd.</t>
  </si>
  <si>
    <t>INE123W01016</t>
  </si>
  <si>
    <t>Insurance</t>
  </si>
  <si>
    <t>100682</t>
  </si>
  <si>
    <t>ICICI Lombard General Insurance Company Ltd.</t>
  </si>
  <si>
    <t>INE765G01017</t>
  </si>
  <si>
    <t>101550</t>
  </si>
  <si>
    <t>Life Insurance Corporation of India</t>
  </si>
  <si>
    <t>INE0J1Y01017</t>
  </si>
  <si>
    <t>100231</t>
  </si>
  <si>
    <t>Muthoot Finance Ltd.</t>
  </si>
  <si>
    <t>INE414G01012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</si>
  <si>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</si>
  <si>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</si>
  <si>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</si>
  <si>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</si>
  <si>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</si>
  <si>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</si>
  <si>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</si>
  <si>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</si>
  <si>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</si>
  <si>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</si>
  <si>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</si>
  <si>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</si>
  <si>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</si>
  <si>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</si>
  <si>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</si>
  <si>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</si>
  <si>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</si>
  <si>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</si>
  <si>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</si>
  <si>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</si>
  <si>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</si>
  <si>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</si>
  <si>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</si>
  <si>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</si>
  <si>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</si>
  <si>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</si>
  <si>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</si>
  <si>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</si>
  <si>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</si>
  <si>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</si>
  <si>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</si>
  <si>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</si>
  <si>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</si>
  <si>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</si>
  <si>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</si>
  <si>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</si>
  <si>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</si>
  <si>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</si>
  <si>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</si>
  <si>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July 31, 2023 : 42.56)</t>
  </si>
  <si>
    <t>Taurus Banking &amp; Financial Services Fund - Direct Plan Growth Option</t>
  </si>
  <si>
    <t>NAV [Rs.] Per Unit (as on July 31, 2023 : 46.86)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</si>
</sst>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* #,##0.00_);_(* \(#,##0.00\);_(* \-??_);_(@_)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Verdana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  <xf numFmtId="167" fontId="9" fillId="0" borderId="0" applyFill="0" applyBorder="0" applyAlignment="0" applyProtection="0"/>
    <xf numFmtId="0" fontId="11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4" fillId="3" borderId="13" xfId="4" applyFont="1" applyFill="1" applyBorder="1" applyAlignment="1">
      <alignment horizontal="center"/>
    </xf>
    <xf numFmtId="0" fontId="12" fillId="0" borderId="0" xfId="4" applyFont="1"/>
    <xf numFmtId="0" fontId="13" fillId="0" borderId="0" xfId="4" applyFont="1"/>
    <xf numFmtId="0" fontId="14" fillId="3" borderId="13" xfId="4" applyFont="1" applyFill="1" applyBorder="1"/>
    <xf numFmtId="0" fontId="14" fillId="3" borderId="13" xfId="4" applyFont="1" applyFill="1" applyBorder="1" applyAlignment="1">
      <alignment wrapText="1"/>
    </xf>
    <xf numFmtId="0" fontId="14" fillId="3" borderId="13" xfId="4" applyFont="1" applyFill="1" applyBorder="1" applyAlignment="1">
      <alignment horizontal="center" vertical="center" wrapText="1"/>
    </xf>
    <xf numFmtId="0" fontId="14" fillId="0" borderId="13" xfId="4" applyFont="1" applyBorder="1"/>
    <xf numFmtId="168" fontId="9" fillId="0" borderId="13" xfId="6" applyNumberFormat="1" applyBorder="1" applyAlignment="1">
      <alignment horizontal="center"/>
    </xf>
    <xf numFmtId="168" fontId="9" fillId="0" borderId="19" xfId="6" applyNumberFormat="1" applyBorder="1" applyAlignment="1">
      <alignment horizontal="center"/>
    </xf>
    <xf numFmtId="168" fontId="9" fillId="0" borderId="20" xfId="6" applyNumberFormat="1" applyBorder="1" applyAlignment="1">
      <alignment horizontal="center"/>
    </xf>
  </cellXfs>
  <cellStyles count="9">
    <cellStyle name="Comma" xfId="1" builtinId="3"/>
    <cellStyle name="Comma 2" xfId="5" xr:uid="{13107E9D-3E41-489C-B373-202B7D75414E}"/>
    <cellStyle name="Comma 3" xfId="6" xr:uid="{54AAD255-EB92-497C-82A0-9FAEC4CC3AFF}"/>
    <cellStyle name="Comma 4" xfId="8" xr:uid="{03C426EA-C666-45E3-ADEC-3DE1ADF952AA}"/>
    <cellStyle name="Hyperlink" xfId="2" builtinId="8"/>
    <cellStyle name="Normal" xfId="0" builtinId="0"/>
    <cellStyle name="Normal 2" xfId="4" xr:uid="{58999653-1020-4CA1-88AB-E877B0708D96}"/>
    <cellStyle name="Normal 2 2" xfId="7" xr:uid="{EFC31C93-D29D-4BAC-9B7D-06E887084A88}"/>
    <cellStyle name="Style 1" xfId="3" xr:uid="{E35B032E-8A39-458C-840F-90E80CDD0E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1936750</xdr:rowOff>
    </xdr:to>
    <xdr:pic>
      <xdr:nvPicPr>
        <xdr:cNvPr id="2" name="Picture 1" descr="banking Prodcut label - 9th Dec 2022.jpg">
          <a:extLst>
            <a:ext uri="{FF2B5EF4-FFF2-40B4-BE49-F238E27FC236}">
              <a16:creationId xmlns:a16="http://schemas.microsoft.com/office/drawing/2014/main" id="{603BCF79-D962-4A9F-8E8C-9326A61E5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3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uly%2023\Client%20Report\TMF_Monthly_Portfolio_Report_Jul%2023.xls" TargetMode="External"/><Relationship Id="rId1" Type="http://schemas.openxmlformats.org/officeDocument/2006/relationships/externalLinkPath" Target="TMF_Monthly_Portfolio_Report_Jul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A51A-F268-41F0-BB7C-5A9B6C8162B3}">
  <dimension ref="A1:BB81"/>
  <sheetViews>
    <sheetView showGridLines="0" tabSelected="1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11000</v>
      </c>
      <c r="H10" s="32">
        <v>181.62</v>
      </c>
      <c r="I10" s="32">
        <v>18.59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167.67</v>
      </c>
      <c r="I11" s="32">
        <v>17.16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102.74</v>
      </c>
      <c r="I12" s="32">
        <v>10.51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9625</v>
      </c>
      <c r="H13" s="32">
        <v>91.82</v>
      </c>
      <c r="I13" s="32">
        <v>9.4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4700</v>
      </c>
      <c r="H14" s="32">
        <v>87.26</v>
      </c>
      <c r="I14" s="32">
        <v>8.93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3250</v>
      </c>
      <c r="H15" s="32">
        <v>46.07</v>
      </c>
      <c r="I15" s="32">
        <v>4.71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37</v>
      </c>
      <c r="G16" s="31">
        <v>3707</v>
      </c>
      <c r="H16" s="32">
        <v>41.95</v>
      </c>
      <c r="I16" s="32">
        <v>4.29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37</v>
      </c>
      <c r="G17" s="31">
        <v>471</v>
      </c>
      <c r="H17" s="32">
        <v>35.53</v>
      </c>
      <c r="I17" s="32">
        <v>3.64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44</v>
      </c>
      <c r="G18" s="31">
        <v>3645</v>
      </c>
      <c r="H18" s="32">
        <v>30.58</v>
      </c>
      <c r="I18" s="32">
        <v>3.13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18</v>
      </c>
      <c r="G19" s="31">
        <v>19137</v>
      </c>
      <c r="H19" s="32">
        <v>25.96</v>
      </c>
      <c r="I19" s="32">
        <v>2.66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18</v>
      </c>
      <c r="G20" s="31">
        <v>14645</v>
      </c>
      <c r="H20" s="32">
        <v>17.940000000000001</v>
      </c>
      <c r="I20" s="32">
        <v>1.84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44</v>
      </c>
      <c r="G21" s="31">
        <v>2667</v>
      </c>
      <c r="H21" s="32">
        <v>16.95</v>
      </c>
      <c r="I21" s="32">
        <v>1.73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44</v>
      </c>
      <c r="G22" s="31">
        <v>1899</v>
      </c>
      <c r="H22" s="32">
        <v>15.21</v>
      </c>
      <c r="I22" s="32">
        <v>1.56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18</v>
      </c>
      <c r="G23" s="31">
        <v>6535</v>
      </c>
      <c r="H23" s="32">
        <v>13.21</v>
      </c>
      <c r="I23" s="32">
        <v>1.35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44</v>
      </c>
      <c r="G24" s="31">
        <v>4181</v>
      </c>
      <c r="H24" s="32">
        <v>13.21</v>
      </c>
      <c r="I24" s="32">
        <v>1.35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44</v>
      </c>
      <c r="G25" s="31">
        <v>554</v>
      </c>
      <c r="H25" s="32">
        <v>13.08</v>
      </c>
      <c r="I25" s="32">
        <v>1.34</v>
      </c>
      <c r="J25" s="33"/>
    </row>
    <row r="26" spans="2:10" x14ac:dyDescent="0.25">
      <c r="B26" s="1" t="s">
        <v>66</v>
      </c>
      <c r="C26" s="20" t="s">
        <v>67</v>
      </c>
      <c r="D26" s="29" t="s">
        <v>68</v>
      </c>
      <c r="E26" s="30"/>
      <c r="F26" s="30" t="s">
        <v>18</v>
      </c>
      <c r="G26" s="31">
        <v>17709</v>
      </c>
      <c r="H26" s="32">
        <v>10.95</v>
      </c>
      <c r="I26" s="32">
        <v>1.1200000000000001</v>
      </c>
      <c r="J26" s="33"/>
    </row>
    <row r="27" spans="2:10" x14ac:dyDescent="0.25">
      <c r="B27" s="1" t="s">
        <v>69</v>
      </c>
      <c r="C27" s="20" t="s">
        <v>70</v>
      </c>
      <c r="D27" s="29" t="s">
        <v>71</v>
      </c>
      <c r="E27" s="30"/>
      <c r="F27" s="30" t="s">
        <v>72</v>
      </c>
      <c r="G27" s="31">
        <v>796</v>
      </c>
      <c r="H27" s="32">
        <v>10.199999999999999</v>
      </c>
      <c r="I27" s="32">
        <v>1.04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72</v>
      </c>
      <c r="G28" s="31">
        <v>675</v>
      </c>
      <c r="H28" s="32">
        <v>9.33</v>
      </c>
      <c r="I28" s="32">
        <v>0.95</v>
      </c>
      <c r="J28" s="33"/>
    </row>
    <row r="29" spans="2:10" x14ac:dyDescent="0.25">
      <c r="B29" s="1" t="s">
        <v>76</v>
      </c>
      <c r="C29" s="20" t="s">
        <v>77</v>
      </c>
      <c r="D29" s="29" t="s">
        <v>78</v>
      </c>
      <c r="E29" s="30"/>
      <c r="F29" s="30" t="s">
        <v>72</v>
      </c>
      <c r="G29" s="31">
        <v>1446</v>
      </c>
      <c r="H29" s="32">
        <v>9.25</v>
      </c>
      <c r="I29" s="32">
        <v>0.95</v>
      </c>
      <c r="J29" s="33"/>
    </row>
    <row r="30" spans="2:10" x14ac:dyDescent="0.25">
      <c r="B30" s="1" t="s">
        <v>79</v>
      </c>
      <c r="C30" s="20" t="s">
        <v>80</v>
      </c>
      <c r="D30" s="29" t="s">
        <v>81</v>
      </c>
      <c r="E30" s="30"/>
      <c r="F30" s="30" t="s">
        <v>37</v>
      </c>
      <c r="G30" s="31">
        <v>535</v>
      </c>
      <c r="H30" s="32">
        <v>7.24</v>
      </c>
      <c r="I30" s="32">
        <v>0.74</v>
      </c>
      <c r="J30" s="33"/>
    </row>
    <row r="31" spans="2:10" x14ac:dyDescent="0.25">
      <c r="C31" s="28" t="s">
        <v>82</v>
      </c>
      <c r="D31" s="29"/>
      <c r="E31" s="30"/>
      <c r="F31" s="30"/>
      <c r="G31" s="31"/>
      <c r="H31" s="35">
        <v>947.77</v>
      </c>
      <c r="I31" s="35">
        <v>96.99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83</v>
      </c>
      <c r="D33" s="29"/>
      <c r="E33" s="30"/>
      <c r="F33" s="30"/>
      <c r="G33" s="31"/>
      <c r="H33" s="32" t="s">
        <v>84</v>
      </c>
      <c r="I33" s="32" t="s">
        <v>84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85</v>
      </c>
      <c r="D35" s="29"/>
      <c r="E35" s="30"/>
      <c r="F35" s="30"/>
      <c r="G35" s="31"/>
      <c r="H35" s="32" t="s">
        <v>84</v>
      </c>
      <c r="I35" s="32" t="s">
        <v>84</v>
      </c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86</v>
      </c>
      <c r="D37" s="29"/>
      <c r="E37" s="30"/>
      <c r="F37" s="30"/>
      <c r="G37" s="31"/>
      <c r="H37" s="32"/>
      <c r="I37" s="32"/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87</v>
      </c>
      <c r="D39" s="29"/>
      <c r="E39" s="30"/>
      <c r="F39" s="30"/>
      <c r="G39" s="31"/>
      <c r="H39" s="32" t="s">
        <v>84</v>
      </c>
      <c r="I39" s="32" t="s">
        <v>84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88</v>
      </c>
      <c r="D41" s="29"/>
      <c r="E41" s="30"/>
      <c r="F41" s="30"/>
      <c r="G41" s="31"/>
      <c r="H41" s="32" t="s">
        <v>84</v>
      </c>
      <c r="I41" s="32" t="s">
        <v>84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89</v>
      </c>
      <c r="D43" s="29"/>
      <c r="E43" s="30"/>
      <c r="F43" s="30"/>
      <c r="G43" s="31"/>
      <c r="H43" s="32" t="s">
        <v>84</v>
      </c>
      <c r="I43" s="32" t="s">
        <v>84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90</v>
      </c>
      <c r="D45" s="29"/>
      <c r="E45" s="30"/>
      <c r="F45" s="30"/>
      <c r="G45" s="31"/>
      <c r="H45" s="32" t="s">
        <v>84</v>
      </c>
      <c r="I45" s="32" t="s">
        <v>84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91</v>
      </c>
      <c r="D47" s="29"/>
      <c r="E47" s="30"/>
      <c r="F47" s="30"/>
      <c r="G47" s="31"/>
      <c r="H47" s="32" t="s">
        <v>84</v>
      </c>
      <c r="I47" s="32" t="s">
        <v>84</v>
      </c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92</v>
      </c>
      <c r="D49" s="29"/>
      <c r="E49" s="30"/>
      <c r="F49" s="30"/>
      <c r="G49" s="31"/>
      <c r="H49" s="32"/>
      <c r="I49" s="32"/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93</v>
      </c>
      <c r="D51" s="29"/>
      <c r="E51" s="30"/>
      <c r="F51" s="30"/>
      <c r="G51" s="31"/>
      <c r="H51" s="32" t="s">
        <v>84</v>
      </c>
      <c r="I51" s="32" t="s">
        <v>84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94</v>
      </c>
      <c r="D53" s="29"/>
      <c r="E53" s="30"/>
      <c r="F53" s="30"/>
      <c r="G53" s="31"/>
      <c r="H53" s="32" t="s">
        <v>84</v>
      </c>
      <c r="I53" s="32" t="s">
        <v>84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95</v>
      </c>
      <c r="D55" s="29"/>
      <c r="E55" s="30"/>
      <c r="F55" s="30"/>
      <c r="G55" s="31"/>
      <c r="H55" s="32" t="s">
        <v>84</v>
      </c>
      <c r="I55" s="32" t="s">
        <v>84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96</v>
      </c>
      <c r="D57" s="29"/>
      <c r="E57" s="30"/>
      <c r="F57" s="30"/>
      <c r="G57" s="31"/>
      <c r="H57" s="32" t="s">
        <v>84</v>
      </c>
      <c r="I57" s="32" t="s">
        <v>84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97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98</v>
      </c>
      <c r="D61" s="29"/>
      <c r="E61" s="30"/>
      <c r="F61" s="30"/>
      <c r="G61" s="31"/>
      <c r="H61" s="32" t="s">
        <v>84</v>
      </c>
      <c r="I61" s="32" t="s">
        <v>84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99</v>
      </c>
      <c r="D63" s="29"/>
      <c r="E63" s="30"/>
      <c r="F63" s="30"/>
      <c r="G63" s="31"/>
      <c r="H63" s="32" t="s">
        <v>84</v>
      </c>
      <c r="I63" s="32" t="s">
        <v>84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100</v>
      </c>
      <c r="D65" s="29"/>
      <c r="E65" s="30"/>
      <c r="F65" s="30"/>
      <c r="G65" s="31"/>
      <c r="H65" s="32" t="s">
        <v>84</v>
      </c>
      <c r="I65" s="32" t="s">
        <v>84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101</v>
      </c>
      <c r="D67" s="29"/>
      <c r="E67" s="30"/>
      <c r="F67" s="30"/>
      <c r="G67" s="31"/>
      <c r="H67" s="32" t="s">
        <v>84</v>
      </c>
      <c r="I67" s="32" t="s">
        <v>84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102</v>
      </c>
      <c r="D69" s="29"/>
      <c r="E69" s="30"/>
      <c r="F69" s="30"/>
      <c r="G69" s="31"/>
      <c r="H69" s="32" t="s">
        <v>84</v>
      </c>
      <c r="I69" s="32" t="s">
        <v>84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A71" s="26"/>
      <c r="B71" s="27"/>
      <c r="C71" s="28" t="s">
        <v>103</v>
      </c>
      <c r="D71" s="29"/>
      <c r="E71" s="30"/>
      <c r="F71" s="30"/>
      <c r="G71" s="31"/>
      <c r="H71" s="32"/>
      <c r="I71" s="32"/>
      <c r="J71" s="33"/>
    </row>
    <row r="72" spans="1:10" x14ac:dyDescent="0.25">
      <c r="B72" s="1"/>
      <c r="C72" s="20" t="s">
        <v>104</v>
      </c>
      <c r="D72" s="29"/>
      <c r="E72" s="30"/>
      <c r="F72" s="30"/>
      <c r="G72" s="31"/>
      <c r="H72" s="32">
        <v>29.35</v>
      </c>
      <c r="I72" s="32">
        <v>3.01</v>
      </c>
      <c r="J72" s="33"/>
    </row>
    <row r="73" spans="1:10" x14ac:dyDescent="0.25">
      <c r="C73" s="28" t="s">
        <v>82</v>
      </c>
      <c r="D73" s="29"/>
      <c r="E73" s="30"/>
      <c r="F73" s="30"/>
      <c r="G73" s="31"/>
      <c r="H73" s="35">
        <v>29.35</v>
      </c>
      <c r="I73" s="35">
        <v>3.01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ht="14.25" thickBot="1" x14ac:dyDescent="0.3">
      <c r="C75" s="36" t="s">
        <v>105</v>
      </c>
      <c r="D75" s="37"/>
      <c r="E75" s="38"/>
      <c r="F75" s="39"/>
      <c r="G75" s="40"/>
      <c r="H75" s="41">
        <v>977.12</v>
      </c>
      <c r="I75" s="41">
        <f>SUMIFS(I:I,C:C,"Total")</f>
        <v>100</v>
      </c>
      <c r="J75" s="42"/>
    </row>
    <row r="78" spans="1:10" x14ac:dyDescent="0.25">
      <c r="C78" s="11" t="s">
        <v>106</v>
      </c>
    </row>
    <row r="79" spans="1:10" x14ac:dyDescent="0.25">
      <c r="C79" s="2" t="s">
        <v>107</v>
      </c>
    </row>
    <row r="80" spans="1:10" x14ac:dyDescent="0.25">
      <c r="C80" s="2" t="s">
        <v>108</v>
      </c>
    </row>
    <row r="81" spans="3:3" x14ac:dyDescent="0.25">
      <c r="C81" s="2" t="s">
        <v>109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6136-D995-46D9-AF86-22BC262BB8DB}">
  <dimension ref="B4:J18"/>
  <sheetViews>
    <sheetView workbookViewId="0">
      <selection activeCell="A4" sqref="A4"/>
    </sheetView>
  </sheetViews>
  <sheetFormatPr defaultRowHeight="15" x14ac:dyDescent="0.25"/>
  <cols>
    <col min="2" max="2" width="45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 x14ac:dyDescent="0.25">
      <c r="B4" s="44" t="s">
        <v>110</v>
      </c>
      <c r="C4" s="45"/>
      <c r="D4" s="45"/>
      <c r="E4" s="45"/>
      <c r="F4" s="45"/>
      <c r="G4" s="45"/>
      <c r="H4" s="45"/>
      <c r="I4" s="45"/>
      <c r="J4" s="45"/>
    </row>
    <row r="5" spans="2:10" x14ac:dyDescent="0.25">
      <c r="B5" s="46" t="s">
        <v>111</v>
      </c>
      <c r="C5" s="43" t="s">
        <v>112</v>
      </c>
      <c r="D5" s="43"/>
      <c r="E5" s="43" t="s">
        <v>113</v>
      </c>
      <c r="F5" s="43"/>
      <c r="G5" s="43" t="s">
        <v>114</v>
      </c>
      <c r="H5" s="43"/>
      <c r="I5" s="43" t="s">
        <v>115</v>
      </c>
      <c r="J5" s="43"/>
    </row>
    <row r="6" spans="2:10" ht="63.75" x14ac:dyDescent="0.25">
      <c r="B6" s="47"/>
      <c r="C6" s="48" t="s">
        <v>116</v>
      </c>
      <c r="D6" s="48" t="s">
        <v>117</v>
      </c>
      <c r="E6" s="48" t="s">
        <v>116</v>
      </c>
      <c r="F6" s="48" t="s">
        <v>117</v>
      </c>
      <c r="G6" s="48" t="s">
        <v>116</v>
      </c>
      <c r="H6" s="48" t="s">
        <v>117</v>
      </c>
      <c r="I6" s="48" t="s">
        <v>116</v>
      </c>
      <c r="J6" s="48" t="s">
        <v>117</v>
      </c>
    </row>
    <row r="7" spans="2:10" x14ac:dyDescent="0.25">
      <c r="B7" s="49" t="s">
        <v>118</v>
      </c>
      <c r="C7" s="50">
        <v>25.02338216618498</v>
      </c>
      <c r="D7" s="50">
        <v>12517.64705882353</v>
      </c>
      <c r="E7" s="50">
        <v>25.116320622664023</v>
      </c>
      <c r="F7" s="50">
        <v>19585.826046939714</v>
      </c>
      <c r="G7" s="50">
        <v>11.90029164732449</v>
      </c>
      <c r="H7" s="50">
        <v>17550.515463917527</v>
      </c>
      <c r="I7" s="50">
        <v>13.804873103174309</v>
      </c>
      <c r="J7" s="50">
        <v>42560</v>
      </c>
    </row>
    <row r="8" spans="2:10" x14ac:dyDescent="0.25">
      <c r="B8" s="49" t="s">
        <v>119</v>
      </c>
      <c r="C8" s="50">
        <v>20.095793557244491</v>
      </c>
      <c r="D8" s="50">
        <v>12009.579355724449</v>
      </c>
      <c r="E8" s="50">
        <v>28.591832205011556</v>
      </c>
      <c r="F8" s="50">
        <v>21263.764457368612</v>
      </c>
      <c r="G8" s="50">
        <v>11.121512480970575</v>
      </c>
      <c r="H8" s="50">
        <v>16943.015957671778</v>
      </c>
      <c r="I8" s="50">
        <v>16.016818488789418</v>
      </c>
      <c r="J8" s="50">
        <v>52778.602841072934</v>
      </c>
    </row>
    <row r="9" spans="2:10" x14ac:dyDescent="0.25">
      <c r="B9" s="49" t="s">
        <v>120</v>
      </c>
      <c r="C9" s="50">
        <v>16.184790485396093</v>
      </c>
      <c r="D9" s="50">
        <v>11618.47904853961</v>
      </c>
      <c r="E9" s="50">
        <v>22.712795144557418</v>
      </c>
      <c r="F9" s="50">
        <v>18478.620471015642</v>
      </c>
      <c r="G9" s="50">
        <v>13.019737732339532</v>
      </c>
      <c r="H9" s="50">
        <v>18440.448341042771</v>
      </c>
      <c r="I9" s="50">
        <v>14.776638596761593</v>
      </c>
      <c r="J9" s="50">
        <v>46794.545793603364</v>
      </c>
    </row>
    <row r="10" spans="2:10" x14ac:dyDescent="0.25">
      <c r="B10" s="49" t="s">
        <v>121</v>
      </c>
      <c r="C10" s="51">
        <v>34</v>
      </c>
      <c r="D10" s="52"/>
      <c r="E10" s="51">
        <v>21.73</v>
      </c>
      <c r="F10" s="52"/>
      <c r="G10" s="51">
        <v>24.25</v>
      </c>
      <c r="H10" s="52"/>
      <c r="I10" s="51">
        <v>10</v>
      </c>
      <c r="J10" s="52"/>
    </row>
    <row r="12" spans="2:10" ht="15.75" x14ac:dyDescent="0.25">
      <c r="B12" s="44" t="s">
        <v>122</v>
      </c>
      <c r="C12" s="45"/>
      <c r="D12" s="45"/>
      <c r="E12" s="45"/>
      <c r="F12" s="45"/>
      <c r="G12" s="45"/>
      <c r="H12" s="45"/>
      <c r="I12" s="45"/>
      <c r="J12" s="45"/>
    </row>
    <row r="13" spans="2:10" x14ac:dyDescent="0.25">
      <c r="B13" s="46" t="s">
        <v>111</v>
      </c>
      <c r="C13" s="43" t="s">
        <v>112</v>
      </c>
      <c r="D13" s="43"/>
      <c r="E13" s="43" t="s">
        <v>113</v>
      </c>
      <c r="F13" s="43"/>
      <c r="G13" s="43" t="s">
        <v>114</v>
      </c>
      <c r="H13" s="43"/>
      <c r="I13" s="43" t="s">
        <v>115</v>
      </c>
      <c r="J13" s="43"/>
    </row>
    <row r="14" spans="2:10" ht="63.75" x14ac:dyDescent="0.25">
      <c r="B14" s="47"/>
      <c r="C14" s="48" t="s">
        <v>116</v>
      </c>
      <c r="D14" s="48" t="s">
        <v>117</v>
      </c>
      <c r="E14" s="48" t="s">
        <v>116</v>
      </c>
      <c r="F14" s="48" t="s">
        <v>117</v>
      </c>
      <c r="G14" s="48" t="s">
        <v>116</v>
      </c>
      <c r="H14" s="48" t="s">
        <v>117</v>
      </c>
      <c r="I14" s="48" t="s">
        <v>116</v>
      </c>
      <c r="J14" s="48" t="s">
        <v>117</v>
      </c>
    </row>
    <row r="15" spans="2:10" x14ac:dyDescent="0.25">
      <c r="B15" s="49" t="s">
        <v>118</v>
      </c>
      <c r="C15" s="50">
        <v>26.011503112447908</v>
      </c>
      <c r="D15" s="50">
        <v>12617.124394184168</v>
      </c>
      <c r="E15" s="50">
        <v>26.11782777210836</v>
      </c>
      <c r="F15" s="50">
        <v>20059.931506849316</v>
      </c>
      <c r="G15" s="50">
        <v>12.77500192833525</v>
      </c>
      <c r="H15" s="50">
        <v>18247.663551401867</v>
      </c>
      <c r="I15" s="50">
        <v>12.363812691705034</v>
      </c>
      <c r="J15" s="50">
        <v>34329.670329670327</v>
      </c>
    </row>
    <row r="16" spans="2:10" x14ac:dyDescent="0.25">
      <c r="B16" s="49" t="s">
        <v>119</v>
      </c>
      <c r="C16" s="50">
        <v>20.095793557244491</v>
      </c>
      <c r="D16" s="50">
        <v>12009.579355724449</v>
      </c>
      <c r="E16" s="50">
        <v>28.591832205011556</v>
      </c>
      <c r="F16" s="50">
        <v>21263.764457368612</v>
      </c>
      <c r="G16" s="50">
        <v>11.121512480970575</v>
      </c>
      <c r="H16" s="50">
        <v>16943.015957671778</v>
      </c>
      <c r="I16" s="50">
        <v>13.388286872312417</v>
      </c>
      <c r="J16" s="50">
        <v>37789.952062969714</v>
      </c>
    </row>
    <row r="17" spans="2:10" x14ac:dyDescent="0.25">
      <c r="B17" s="49" t="s">
        <v>120</v>
      </c>
      <c r="C17" s="50">
        <v>16.184790485396093</v>
      </c>
      <c r="D17" s="50">
        <v>11618.47904853961</v>
      </c>
      <c r="E17" s="50">
        <v>22.712795144557418</v>
      </c>
      <c r="F17" s="50">
        <v>18478.620471015642</v>
      </c>
      <c r="G17" s="50">
        <v>13.019737732339532</v>
      </c>
      <c r="H17" s="50">
        <v>18440.448341042771</v>
      </c>
      <c r="I17" s="50">
        <v>13.311455807635241</v>
      </c>
      <c r="J17" s="50">
        <v>37519.895241753817</v>
      </c>
    </row>
    <row r="18" spans="2:10" x14ac:dyDescent="0.25">
      <c r="B18" s="49" t="s">
        <v>123</v>
      </c>
      <c r="C18" s="51">
        <v>37.14</v>
      </c>
      <c r="D18" s="52"/>
      <c r="E18" s="51">
        <v>23.36</v>
      </c>
      <c r="F18" s="52"/>
      <c r="G18" s="51">
        <v>25.68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2023-08-02T10:02:59Z</dcterms:created>
  <dcterms:modified xsi:type="dcterms:W3CDTF">2023-08-09T07:12:40Z</dcterms:modified>
</cp:coreProperties>
</file>