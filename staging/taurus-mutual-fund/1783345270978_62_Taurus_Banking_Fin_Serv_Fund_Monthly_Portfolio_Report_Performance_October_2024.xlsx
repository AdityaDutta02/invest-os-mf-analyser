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3D470536-BF11-4944-A18A-A87DEF12005D}" xr6:coauthVersionLast="47" xr6:coauthVersionMax="47" xr10:uidLastSave="{00000000-0000-0000-0000-000000000000}"/>
  <bookViews>
    <workbookView xWindow="-120" yWindow="-120" windowWidth="20730" windowHeight="11040" xr2:uid="{726FEDA3-F37B-4F7F-9CBA-2D1BB1836C94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TBFS!$C$8:$C$29</definedName>
    <definedName name="XDO_?FINAL_ISIN?1?">TBFS!$D$10:$D$29</definedName>
    <definedName name="XDO_?FINAL_ISIN?2?">TBFS!$D$10:$D$73</definedName>
    <definedName name="XDO_?FINAL_MV?1?">TBFS!$H$10:$H$29</definedName>
    <definedName name="XDO_?FINAL_MV?2?">TBFS!$H$10:$H$73</definedName>
    <definedName name="XDO_?FINAL_NAME?1?">TBFS!$C$10:$C$29</definedName>
    <definedName name="XDO_?FINAL_NAME?2?">TBFS!$C$10:$C$73</definedName>
    <definedName name="XDO_?FINAL_PER_NET?1?">TBFS!$I$10:$I$29</definedName>
    <definedName name="XDO_?FINAL_PER_NET?2?">TBFS!$I$10:$I$73</definedName>
    <definedName name="XDO_?FINAL_QUANTITE?1?">TBFS!$G$10:$G$29</definedName>
    <definedName name="XDO_?FINAL_QUANTITE?2?">TBFS!$G$10:$G$73</definedName>
    <definedName name="XDO_?IND_01?1?">TBFS!$F$10:$F$29</definedName>
    <definedName name="XDO_?IND_01?2?">TBFS!$F$10:$F$73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TBFS!$C$2:$C$29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TBFS!$B$10:$B$29</definedName>
    <definedName name="XDO_?NOVAL?2?">TBFS!$B$10:$B$73</definedName>
    <definedName name="XDO_?NPTF?1?">TBFS!$D$2:$D$29</definedName>
    <definedName name="XDO_?RATING?1?">TBFS!$E$10:$E$29</definedName>
    <definedName name="XDO_?RATING?2?">TBFS!$E$10:$E$73</definedName>
    <definedName name="XDO_?REMARKS?1?">TBFS!$J$10:$J$29</definedName>
    <definedName name="XDO_?REMARKS?2?">TBFS!$J$10:$J$73</definedName>
    <definedName name="XDO_?TITL?1?">TBFS!$A$8:$A$29</definedName>
    <definedName name="XDO_GROUP_?G_2?1?">TBFS!$2:$76</definedName>
    <definedName name="XDO_GROUP_?G_3?1?">TBFS!$8:$75</definedName>
    <definedName name="XDO_GROUP_?G_4?1?">TBFS!$B$10:$IV$29</definedName>
    <definedName name="XDO_GROUP_?G_4?2?">TBFS!$B$73:$IV$73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1" l="1"/>
</calcChain>
</file>

<file path=xl/sharedStrings.xml><?xml version="1.0" encoding="utf-8"?>
<sst xmlns="http://schemas.openxmlformats.org/spreadsheetml/2006/main" count="216" uniqueCount="143">
  <si>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</si>
  <si>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</si>
  <si>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</si>
  <si>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</si>
  <si>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</si>
  <si>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</si>
  <si>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</si>
  <si>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</si>
  <si>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</si>
  <si>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</si>
  <si>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</si>
  <si>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</si>
  <si>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</si>
  <si>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</si>
  <si>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</si>
  <si>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</si>
  <si>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</si>
  <si>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</si>
  <si>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</si>
  <si>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</si>
  <si>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</si>
  <si>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</si>
  <si>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</si>
  <si>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</si>
  <si>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</si>
  <si>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</si>
  <si>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</si>
  <si>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</si>
  <si>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</si>
  <si>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</si>
  <si>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</si>
  <si>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</si>
  <si>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</si>
  <si>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</si>
  <si>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</si>
  <si>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</si>
  <si>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</si>
  <si>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</si>
  <si>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100706</t>
  </si>
  <si>
    <t>HDFC Life Insurance Company Ltd.</t>
  </si>
  <si>
    <t>INE795G01014</t>
  </si>
  <si>
    <t>Insurance</t>
  </si>
  <si>
    <t>100013</t>
  </si>
  <si>
    <t>IndusInd Bank Ltd.</t>
  </si>
  <si>
    <t>INE095A01012</t>
  </si>
  <si>
    <t>101740</t>
  </si>
  <si>
    <t>Prudent Corporate Advisory Services Ltd.</t>
  </si>
  <si>
    <t>INE00F201020</t>
  </si>
  <si>
    <t>Capital Markets</t>
  </si>
  <si>
    <t>100361</t>
  </si>
  <si>
    <t>Bank of India</t>
  </si>
  <si>
    <t>INE084A01016</t>
  </si>
  <si>
    <t>101178</t>
  </si>
  <si>
    <t>Computer Age Management Services Ltd.</t>
  </si>
  <si>
    <t>INE596I01012</t>
  </si>
  <si>
    <t>100055</t>
  </si>
  <si>
    <t>The Federal Bank Ltd.</t>
  </si>
  <si>
    <t>INE171A01029</t>
  </si>
  <si>
    <t>100191</t>
  </si>
  <si>
    <t>Canara Bank</t>
  </si>
  <si>
    <t>INE476A01022</t>
  </si>
  <si>
    <t>100665</t>
  </si>
  <si>
    <t>Aditya Birla Capital Ltd.</t>
  </si>
  <si>
    <t>INE674K01013</t>
  </si>
  <si>
    <t>100211</t>
  </si>
  <si>
    <t>IDFC First Bank Ltd.</t>
  </si>
  <si>
    <t>INE092T01019</t>
  </si>
  <si>
    <t>101889</t>
  </si>
  <si>
    <t>Jio Financial Services Ltd.</t>
  </si>
  <si>
    <t>INE758E01017</t>
  </si>
  <si>
    <t>100112</t>
  </si>
  <si>
    <t>Punjab National Bank</t>
  </si>
  <si>
    <t>INE160A01022</t>
  </si>
  <si>
    <t>101181</t>
  </si>
  <si>
    <t>UTI Asset Management Co. Ltd.</t>
  </si>
  <si>
    <t>INE094J01016</t>
  </si>
  <si>
    <t>100399</t>
  </si>
  <si>
    <t>Cholamandalam Investment &amp; Finance Co. Ltd.</t>
  </si>
  <si>
    <t>INE121A01024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</si>
  <si>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</si>
  <si>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</si>
  <si>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</si>
  <si>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</si>
  <si>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</si>
  <si>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</si>
  <si>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</si>
  <si>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</si>
  <si>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</si>
  <si>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</si>
  <si>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</si>
  <si>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</si>
  <si>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</si>
  <si>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</si>
  <si>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</si>
  <si>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</si>
  <si>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</si>
  <si>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</si>
  <si>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</si>
  <si>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</si>
  <si>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</si>
  <si>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</si>
  <si>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</si>
  <si>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</si>
  <si>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</si>
  <si>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</si>
  <si>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</si>
  <si>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</si>
  <si>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</si>
  <si>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</si>
  <si>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</si>
  <si>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</si>
  <si>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</si>
  <si>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</si>
  <si>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</si>
  <si>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</si>
  <si>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</si>
  <si>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</si>
  <si>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</si>
  <si>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</si>
  <si>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</si>
  <si>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</si>
  <si>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</si>
  <si>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</si>
  <si>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</si>
  <si>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0.34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</si>
  <si>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</si>
  <si>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</si>
  <si>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</si>
  <si>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</si>
  <si>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</si>
  <si>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</si>
  <si>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</si>
  <si>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</si>
  <si>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</si>
  <si>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</si>
  <si>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</si>
  <si>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</si>
  <si>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</si>
  <si>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</si>
  <si>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</si>
  <si>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October 31,2024 :50.5)</t>
  </si>
  <si>
    <t>Taurus Banking &amp; Financial Services Fund - Direct Plan Growth Option</t>
  </si>
  <si>
    <t>NAV [Rs.] Per Unit (as on October 31,2024 :56.12)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</si>
</sst>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540FDA1-2EB7-48DB-86E6-2D4A0E4EEDC8}"/>
    <cellStyle name="Hyperlink" xfId="2" builtinId="8"/>
    <cellStyle name="Normal" xfId="0" builtinId="0"/>
    <cellStyle name="Normal 2" xfId="4" xr:uid="{0ACD96CC-4B84-4776-8DE2-57E6A0AB4FF8}"/>
    <cellStyle name="Style 1" xfId="3" xr:uid="{C87C36A1-0971-4274-9B88-936060825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659079</xdr:colOff>
      <xdr:row>0</xdr:row>
      <xdr:rowOff>2131695</xdr:rowOff>
    </xdr:to>
    <xdr:pic>
      <xdr:nvPicPr>
        <xdr:cNvPr id="2" name="Picture 1" descr="Product Label - 18th Oct 2024 - Banking.jpg">
          <a:extLst>
            <a:ext uri="{FF2B5EF4-FFF2-40B4-BE49-F238E27FC236}">
              <a16:creationId xmlns:a16="http://schemas.microsoft.com/office/drawing/2014/main" id="{F14AD712-5578-422B-BE9B-B0D97745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411246" cy="21316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F717-3BC2-4327-BA20-9BBE915E9BDF}">
  <dimension ref="A1:BB10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12955</v>
      </c>
      <c r="H10" s="32">
        <v>224.76</v>
      </c>
      <c r="I10" s="32">
        <v>20.260000000000002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16931</v>
      </c>
      <c r="H11" s="32">
        <v>218.67</v>
      </c>
      <c r="I11" s="32">
        <v>19.71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135.94</v>
      </c>
      <c r="I12" s="32">
        <v>12.25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10320</v>
      </c>
      <c r="H13" s="32">
        <v>119.56</v>
      </c>
      <c r="I13" s="32">
        <v>10.78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5278</v>
      </c>
      <c r="H14" s="32">
        <v>91.34</v>
      </c>
      <c r="I14" s="32">
        <v>8.23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346</v>
      </c>
      <c r="H15" s="32">
        <v>35.5</v>
      </c>
      <c r="I15" s="32">
        <v>3.2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3356</v>
      </c>
      <c r="H16" s="32">
        <v>32.950000000000003</v>
      </c>
      <c r="I16" s="32">
        <v>2.97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3981</v>
      </c>
      <c r="H17" s="32">
        <v>28.62</v>
      </c>
      <c r="I17" s="32">
        <v>2.58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2636</v>
      </c>
      <c r="H18" s="32">
        <v>27.83</v>
      </c>
      <c r="I18" s="32">
        <v>2.5099999999999998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48</v>
      </c>
      <c r="G19" s="31">
        <v>847</v>
      </c>
      <c r="H19" s="32">
        <v>26.41</v>
      </c>
      <c r="I19" s="32">
        <v>2.38</v>
      </c>
      <c r="J19" s="33"/>
    </row>
    <row r="20" spans="2:10" x14ac:dyDescent="0.25">
      <c r="B20" s="1" t="s">
        <v>49</v>
      </c>
      <c r="C20" s="20" t="s">
        <v>50</v>
      </c>
      <c r="D20" s="29" t="s">
        <v>51</v>
      </c>
      <c r="E20" s="30"/>
      <c r="F20" s="30" t="s">
        <v>18</v>
      </c>
      <c r="G20" s="31">
        <v>23388</v>
      </c>
      <c r="H20" s="32">
        <v>25.42</v>
      </c>
      <c r="I20" s="32">
        <v>2.29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48</v>
      </c>
      <c r="G21" s="31">
        <v>536</v>
      </c>
      <c r="H21" s="32">
        <v>23.8</v>
      </c>
      <c r="I21" s="32">
        <v>2.15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18</v>
      </c>
      <c r="G22" s="31">
        <v>11415</v>
      </c>
      <c r="H22" s="32">
        <v>23.3</v>
      </c>
      <c r="I22" s="32">
        <v>2.1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18875</v>
      </c>
      <c r="H23" s="32">
        <v>19.38</v>
      </c>
      <c r="I23" s="32">
        <v>1.75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34</v>
      </c>
      <c r="G24" s="31">
        <v>6780</v>
      </c>
      <c r="H24" s="32">
        <v>13.78</v>
      </c>
      <c r="I24" s="32">
        <v>1.24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16184</v>
      </c>
      <c r="H25" s="32">
        <v>10.67</v>
      </c>
      <c r="I25" s="32">
        <v>0.96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34</v>
      </c>
      <c r="G26" s="31">
        <v>2428</v>
      </c>
      <c r="H26" s="32">
        <v>7.83</v>
      </c>
      <c r="I26" s="32">
        <v>0.71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3960</v>
      </c>
      <c r="H27" s="32">
        <v>3.87</v>
      </c>
      <c r="I27" s="32">
        <v>0.35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48</v>
      </c>
      <c r="G28" s="31">
        <v>198</v>
      </c>
      <c r="H28" s="32">
        <v>2.65</v>
      </c>
      <c r="I28" s="32">
        <v>0.24</v>
      </c>
      <c r="J28" s="33"/>
    </row>
    <row r="29" spans="2:10" x14ac:dyDescent="0.25">
      <c r="B29" s="1" t="s">
        <v>76</v>
      </c>
      <c r="C29" s="20" t="s">
        <v>77</v>
      </c>
      <c r="D29" s="29" t="s">
        <v>78</v>
      </c>
      <c r="E29" s="30"/>
      <c r="F29" s="30" t="s">
        <v>34</v>
      </c>
      <c r="G29" s="31">
        <v>19</v>
      </c>
      <c r="H29" s="32">
        <v>0.24</v>
      </c>
      <c r="I29" s="32">
        <v>0.02</v>
      </c>
      <c r="J29" s="33"/>
    </row>
    <row r="30" spans="2:10" x14ac:dyDescent="0.25">
      <c r="C30" s="28" t="s">
        <v>79</v>
      </c>
      <c r="D30" s="29"/>
      <c r="E30" s="30"/>
      <c r="F30" s="30"/>
      <c r="G30" s="31"/>
      <c r="H30" s="35">
        <v>1072.52</v>
      </c>
      <c r="I30" s="35">
        <v>96.68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100</v>
      </c>
      <c r="D70" s="29"/>
      <c r="E70" s="30"/>
      <c r="F70" s="30"/>
      <c r="G70" s="31"/>
      <c r="H70" s="32" t="s">
        <v>81</v>
      </c>
      <c r="I70" s="32" t="s">
        <v>81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A72" s="26"/>
      <c r="B72" s="27"/>
      <c r="C72" s="28" t="s">
        <v>101</v>
      </c>
      <c r="D72" s="29"/>
      <c r="E72" s="30"/>
      <c r="F72" s="30"/>
      <c r="G72" s="31"/>
      <c r="H72" s="32"/>
      <c r="I72" s="32"/>
      <c r="J72" s="33"/>
    </row>
    <row r="73" spans="1:10" x14ac:dyDescent="0.25">
      <c r="B73" s="1"/>
      <c r="C73" s="20" t="s">
        <v>102</v>
      </c>
      <c r="D73" s="29"/>
      <c r="E73" s="30"/>
      <c r="F73" s="30"/>
      <c r="G73" s="31"/>
      <c r="H73" s="32">
        <v>36.76</v>
      </c>
      <c r="I73" s="32">
        <v>3.32</v>
      </c>
      <c r="J73" s="33"/>
    </row>
    <row r="74" spans="1:10" x14ac:dyDescent="0.25">
      <c r="C74" s="28" t="s">
        <v>79</v>
      </c>
      <c r="D74" s="29"/>
      <c r="E74" s="30"/>
      <c r="F74" s="30"/>
      <c r="G74" s="31"/>
      <c r="H74" s="35">
        <v>36.76</v>
      </c>
      <c r="I74" s="35">
        <v>3.32</v>
      </c>
      <c r="J74" s="33"/>
    </row>
    <row r="75" spans="1:10" x14ac:dyDescent="0.25">
      <c r="C75" s="20"/>
      <c r="D75" s="29"/>
      <c r="E75" s="30"/>
      <c r="F75" s="30"/>
      <c r="G75" s="31"/>
      <c r="H75" s="32"/>
      <c r="I75" s="32"/>
      <c r="J75" s="33"/>
    </row>
    <row r="76" spans="1:10" ht="14.25" thickBot="1" x14ac:dyDescent="0.3">
      <c r="C76" s="36" t="s">
        <v>103</v>
      </c>
      <c r="D76" s="37"/>
      <c r="E76" s="38"/>
      <c r="F76" s="39"/>
      <c r="G76" s="40"/>
      <c r="H76" s="41">
        <v>1109.28</v>
      </c>
      <c r="I76" s="41">
        <f>SUMIFS(I:I,C:C,"Total")</f>
        <v>100</v>
      </c>
      <c r="J76" s="42"/>
    </row>
    <row r="79" spans="1:10" x14ac:dyDescent="0.25">
      <c r="C79" s="11" t="s">
        <v>104</v>
      </c>
    </row>
    <row r="80" spans="1:10" x14ac:dyDescent="0.25">
      <c r="C80" s="2" t="s">
        <v>105</v>
      </c>
    </row>
    <row r="81" spans="3:5" x14ac:dyDescent="0.25">
      <c r="C81" s="2" t="s">
        <v>106</v>
      </c>
    </row>
    <row r="82" spans="3:5" x14ac:dyDescent="0.25">
      <c r="C82" s="2" t="s">
        <v>107</v>
      </c>
    </row>
    <row r="83" spans="3:5" x14ac:dyDescent="0.25">
      <c r="C83" s="2" t="s">
        <v>108</v>
      </c>
    </row>
    <row r="84" spans="3:5" x14ac:dyDescent="0.25">
      <c r="C84" s="2" t="s">
        <v>109</v>
      </c>
    </row>
    <row r="85" spans="3:5" x14ac:dyDescent="0.25">
      <c r="C85" s="2" t="s">
        <v>110</v>
      </c>
    </row>
    <row r="86" spans="3:5" x14ac:dyDescent="0.25">
      <c r="D86" s="2" t="s">
        <v>111</v>
      </c>
    </row>
    <row r="87" spans="3:5" x14ac:dyDescent="0.25">
      <c r="C87" s="2" t="s">
        <v>112</v>
      </c>
      <c r="D87" s="2" t="s">
        <v>113</v>
      </c>
      <c r="E87" s="2" t="s">
        <v>113</v>
      </c>
    </row>
    <row r="88" spans="3:5" x14ac:dyDescent="0.25">
      <c r="D88" s="2" t="s">
        <v>114</v>
      </c>
      <c r="E88" s="2" t="s">
        <v>115</v>
      </c>
    </row>
    <row r="89" spans="3:5" x14ac:dyDescent="0.25">
      <c r="C89" s="2" t="s">
        <v>116</v>
      </c>
      <c r="D89" s="2">
        <v>46.28</v>
      </c>
      <c r="E89" s="2">
        <v>45.21</v>
      </c>
    </row>
    <row r="90" spans="3:5" x14ac:dyDescent="0.25">
      <c r="C90" s="2" t="s">
        <v>117</v>
      </c>
      <c r="D90" s="2">
        <v>51.7</v>
      </c>
      <c r="E90" s="2">
        <v>50.5</v>
      </c>
    </row>
    <row r="91" spans="3:5" x14ac:dyDescent="0.25">
      <c r="C91" s="2" t="s">
        <v>118</v>
      </c>
      <c r="D91" s="2">
        <v>56.76</v>
      </c>
      <c r="E91" s="2">
        <v>55.47</v>
      </c>
    </row>
    <row r="92" spans="3:5" x14ac:dyDescent="0.25">
      <c r="C92" s="2" t="s">
        <v>119</v>
      </c>
      <c r="D92" s="2">
        <v>57.42</v>
      </c>
      <c r="E92" s="2">
        <v>56.12</v>
      </c>
    </row>
    <row r="94" spans="3:5" x14ac:dyDescent="0.25">
      <c r="C94" s="2" t="s">
        <v>120</v>
      </c>
    </row>
    <row r="95" spans="3:5" x14ac:dyDescent="0.25">
      <c r="C95" s="2" t="s">
        <v>121</v>
      </c>
    </row>
    <row r="96" spans="3:5" x14ac:dyDescent="0.25">
      <c r="C96" s="2" t="s">
        <v>122</v>
      </c>
    </row>
    <row r="97" spans="3:3" x14ac:dyDescent="0.25">
      <c r="C97" s="2" t="s">
        <v>123</v>
      </c>
    </row>
    <row r="98" spans="3:3" x14ac:dyDescent="0.25">
      <c r="C98" s="2" t="s">
        <v>124</v>
      </c>
    </row>
    <row r="99" spans="3:3" x14ac:dyDescent="0.25">
      <c r="C99" s="2" t="s">
        <v>125</v>
      </c>
    </row>
    <row r="100" spans="3:3" x14ac:dyDescent="0.25">
      <c r="C100" s="2" t="s">
        <v>126</v>
      </c>
    </row>
    <row r="101" spans="3:3" x14ac:dyDescent="0.25">
      <c r="C101" s="2" t="s">
        <v>127</v>
      </c>
    </row>
    <row r="102" spans="3:3" x14ac:dyDescent="0.25">
      <c r="C102" s="2" t="s">
        <v>128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8977-CC7D-4BB7-8E6E-1D82CDC332C9}">
  <dimension ref="C3:K17"/>
  <sheetViews>
    <sheetView workbookViewId="0"/>
  </sheetViews>
  <sheetFormatPr defaultRowHeight="15" x14ac:dyDescent="0.25"/>
  <cols>
    <col min="3" max="3" width="46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129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130</v>
      </c>
      <c r="D4" s="46" t="s">
        <v>131</v>
      </c>
      <c r="E4" s="46"/>
      <c r="F4" s="46" t="s">
        <v>132</v>
      </c>
      <c r="G4" s="46"/>
      <c r="H4" s="46" t="s">
        <v>133</v>
      </c>
      <c r="I4" s="46"/>
      <c r="J4" s="47" t="s">
        <v>134</v>
      </c>
      <c r="K4" s="47"/>
    </row>
    <row r="5" spans="3:11" ht="63.75" x14ac:dyDescent="0.25">
      <c r="C5" s="48"/>
      <c r="D5" s="49" t="s">
        <v>135</v>
      </c>
      <c r="E5" s="49" t="s">
        <v>136</v>
      </c>
      <c r="F5" s="49" t="s">
        <v>135</v>
      </c>
      <c r="G5" s="49" t="s">
        <v>136</v>
      </c>
      <c r="H5" s="49" t="s">
        <v>135</v>
      </c>
      <c r="I5" s="49" t="s">
        <v>136</v>
      </c>
      <c r="J5" s="50" t="s">
        <v>135</v>
      </c>
      <c r="K5" s="50" t="s">
        <v>136</v>
      </c>
    </row>
    <row r="6" spans="3:11" x14ac:dyDescent="0.25">
      <c r="C6" s="51" t="s">
        <v>137</v>
      </c>
      <c r="D6" s="52">
        <v>24.231200000000001</v>
      </c>
      <c r="E6" s="52">
        <v>12423.124231242313</v>
      </c>
      <c r="F6" s="52">
        <v>11.2547</v>
      </c>
      <c r="G6" s="52">
        <v>13782.751091703058</v>
      </c>
      <c r="H6" s="52">
        <v>12.910399999999999</v>
      </c>
      <c r="I6" s="52">
        <v>18363.636363636364</v>
      </c>
      <c r="J6" s="52">
        <v>13.888500000000001</v>
      </c>
      <c r="K6" s="52">
        <v>50500</v>
      </c>
    </row>
    <row r="7" spans="3:11" x14ac:dyDescent="0.25">
      <c r="C7" s="51" t="s">
        <v>138</v>
      </c>
      <c r="D7" s="52">
        <v>22.1877</v>
      </c>
      <c r="E7" s="52">
        <v>12218.77</v>
      </c>
      <c r="F7" s="52">
        <v>10.4011</v>
      </c>
      <c r="G7" s="52">
        <v>13456.130853287536</v>
      </c>
      <c r="H7" s="52">
        <v>12.192500000000001</v>
      </c>
      <c r="I7" s="52">
        <v>17775.389579605926</v>
      </c>
      <c r="J7" s="52">
        <v>15.6142</v>
      </c>
      <c r="K7" s="52">
        <v>60900.189794627986</v>
      </c>
    </row>
    <row r="8" spans="3:11" x14ac:dyDescent="0.25">
      <c r="C8" s="51" t="s">
        <v>139</v>
      </c>
      <c r="D8" s="52">
        <v>28.3888</v>
      </c>
      <c r="E8" s="52">
        <v>12838.88</v>
      </c>
      <c r="F8" s="52">
        <v>12.3499</v>
      </c>
      <c r="G8" s="52">
        <v>14181.366161216205</v>
      </c>
      <c r="H8" s="52">
        <v>16.612400000000001</v>
      </c>
      <c r="I8" s="52">
        <v>21563.719221139781</v>
      </c>
      <c r="J8" s="52">
        <v>15.201000000000001</v>
      </c>
      <c r="K8" s="52">
        <v>58244.722420098275</v>
      </c>
    </row>
    <row r="9" spans="3:11" x14ac:dyDescent="0.25">
      <c r="C9" s="51" t="s">
        <v>140</v>
      </c>
      <c r="D9" s="53">
        <v>40.65</v>
      </c>
      <c r="E9" s="54"/>
      <c r="F9" s="53">
        <v>36.64</v>
      </c>
      <c r="G9" s="54"/>
      <c r="H9" s="53">
        <v>27.5</v>
      </c>
      <c r="I9" s="54"/>
      <c r="J9" s="53">
        <v>10</v>
      </c>
      <c r="K9" s="54"/>
    </row>
    <row r="11" spans="3:11" ht="15.75" x14ac:dyDescent="0.25">
      <c r="C11" s="43" t="s">
        <v>141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130</v>
      </c>
      <c r="D12" s="46" t="s">
        <v>131</v>
      </c>
      <c r="E12" s="46"/>
      <c r="F12" s="46" t="s">
        <v>132</v>
      </c>
      <c r="G12" s="46"/>
      <c r="H12" s="46" t="s">
        <v>133</v>
      </c>
      <c r="I12" s="46"/>
      <c r="J12" s="47" t="s">
        <v>134</v>
      </c>
      <c r="K12" s="47"/>
    </row>
    <row r="13" spans="3:11" ht="63.75" x14ac:dyDescent="0.25">
      <c r="C13" s="48"/>
      <c r="D13" s="49" t="s">
        <v>135</v>
      </c>
      <c r="E13" s="49" t="s">
        <v>136</v>
      </c>
      <c r="F13" s="49" t="s">
        <v>135</v>
      </c>
      <c r="G13" s="49" t="s">
        <v>136</v>
      </c>
      <c r="H13" s="49" t="s">
        <v>135</v>
      </c>
      <c r="I13" s="49" t="s">
        <v>136</v>
      </c>
      <c r="J13" s="50" t="s">
        <v>135</v>
      </c>
      <c r="K13" s="50" t="s">
        <v>136</v>
      </c>
    </row>
    <row r="14" spans="3:11" x14ac:dyDescent="0.25">
      <c r="C14" s="51" t="s">
        <v>137</v>
      </c>
      <c r="D14" s="52">
        <v>25.156099999999999</v>
      </c>
      <c r="E14" s="52">
        <v>12515.611061552183</v>
      </c>
      <c r="F14" s="52">
        <v>12.110200000000001</v>
      </c>
      <c r="G14" s="52">
        <v>14104.046242774566</v>
      </c>
      <c r="H14" s="52">
        <v>13.7638</v>
      </c>
      <c r="I14" s="52">
        <v>19068.977234114849</v>
      </c>
      <c r="J14" s="52">
        <v>12.538500000000001</v>
      </c>
      <c r="K14" s="52">
        <v>41113.553113553113</v>
      </c>
    </row>
    <row r="15" spans="3:11" x14ac:dyDescent="0.25">
      <c r="C15" s="51" t="s">
        <v>138</v>
      </c>
      <c r="D15" s="52">
        <v>22.1877</v>
      </c>
      <c r="E15" s="52">
        <v>12218.77</v>
      </c>
      <c r="F15" s="52">
        <v>10.4011</v>
      </c>
      <c r="G15" s="52">
        <v>13456.130853287536</v>
      </c>
      <c r="H15" s="52">
        <v>12.192500000000001</v>
      </c>
      <c r="I15" s="52">
        <v>17775.389579605926</v>
      </c>
      <c r="J15" s="52">
        <v>13.257</v>
      </c>
      <c r="K15" s="52">
        <v>43625.971815822842</v>
      </c>
    </row>
    <row r="16" spans="3:11" x14ac:dyDescent="0.25">
      <c r="C16" s="51" t="s">
        <v>139</v>
      </c>
      <c r="D16" s="52">
        <v>28.3888</v>
      </c>
      <c r="E16" s="52">
        <v>12838.88</v>
      </c>
      <c r="F16" s="52">
        <v>12.3499</v>
      </c>
      <c r="G16" s="52">
        <v>14181.366161216205</v>
      </c>
      <c r="H16" s="52">
        <v>16.612400000000001</v>
      </c>
      <c r="I16" s="52">
        <v>21563.719221139781</v>
      </c>
      <c r="J16" s="52">
        <v>13.8811</v>
      </c>
      <c r="K16" s="52">
        <v>46557.050107084506</v>
      </c>
    </row>
    <row r="17" spans="3:11" x14ac:dyDescent="0.25">
      <c r="C17" s="51" t="s">
        <v>142</v>
      </c>
      <c r="D17" s="53">
        <v>44.84</v>
      </c>
      <c r="E17" s="54"/>
      <c r="F17" s="53">
        <v>39.79</v>
      </c>
      <c r="G17" s="54"/>
      <c r="H17" s="53">
        <v>29.43</v>
      </c>
      <c r="I17" s="54"/>
      <c r="J17" s="53">
        <v>13.65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2024-11-06T11:46:36Z</dcterms:created>
  <dcterms:modified xsi:type="dcterms:W3CDTF">2024-11-07T05:33:49Z</dcterms:modified>
</cp:coreProperties>
</file>