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u HDD Data\Taurus\Monthly Portfolio\2023\July 2023\"/>
    </mc:Choice>
  </mc:AlternateContent>
  <xr:revisionPtr revIDLastSave="0" documentId="13_ncr:1_{8AD7B15A-8B0D-4435-A1F9-50736932F858}" xr6:coauthVersionLast="47" xr6:coauthVersionMax="47" xr10:uidLastSave="{00000000-0000-0000-0000-000000000000}"/>
  <bookViews>
    <workbookView xWindow="-120" yWindow="-120" windowWidth="20730" windowHeight="11160" xr2:uid="{86C7236B-874A-49DB-846F-077DA4A3F61D}"/>
  </bookViews>
  <sheets>
    <sheet name="TTS-Risk-O-Meter &amp; Portfolio" sheetId="1" r:id="rId1"/>
    <sheet name="TTS Performance" sheetId="2" r:id="rId2"/>
  </sheets>
  <externalReferences>
    <externalReference r:id="rId3"/>
  </externalReferences>
  <definedNames>
    <definedName name="XDO_?CLASS_3?7?">'TTS-Risk-O-Meter &amp; Portfolio'!$C$8:$C$36</definedName>
    <definedName name="XDO_?FINAL_ISIN?14?">'TTS-Risk-O-Meter &amp; Portfolio'!$D$10:$D$36</definedName>
    <definedName name="XDO_?FINAL_ISIN?15?">'TTS-Risk-O-Meter &amp; Portfolio'!$D$10:$D$75</definedName>
    <definedName name="XDO_?FINAL_ISIN?16?">'TTS-Risk-O-Meter &amp; Portfolio'!$D$10:$D$79</definedName>
    <definedName name="XDO_?FINAL_MV?14?">'TTS-Risk-O-Meter &amp; Portfolio'!$H$10:$H$36</definedName>
    <definedName name="XDO_?FINAL_MV?15?">'TTS-Risk-O-Meter &amp; Portfolio'!$H$10:$H$75</definedName>
    <definedName name="XDO_?FINAL_MV?16?">'TTS-Risk-O-Meter &amp; Portfolio'!$H$10:$H$79</definedName>
    <definedName name="XDO_?FINAL_NAME?14?">'TTS-Risk-O-Meter &amp; Portfolio'!$C$10:$C$36</definedName>
    <definedName name="XDO_?FINAL_NAME?15?">'TTS-Risk-O-Meter &amp; Portfolio'!$C$10:$C$75</definedName>
    <definedName name="XDO_?FINAL_NAME?16?">'TTS-Risk-O-Meter &amp; Portfolio'!$C$10:$C$79</definedName>
    <definedName name="XDO_?FINAL_PER_NET?14?">'TTS-Risk-O-Meter &amp; Portfolio'!$I$10:$I$36</definedName>
    <definedName name="XDO_?FINAL_PER_NET?15?">'TTS-Risk-O-Meter &amp; Portfolio'!$I$10:$I$75</definedName>
    <definedName name="XDO_?FINAL_PER_NET?16?">'TTS-Risk-O-Meter &amp; Portfolio'!$I$10:$I$79</definedName>
    <definedName name="XDO_?FINAL_QUANTITE?14?">'TTS-Risk-O-Meter &amp; Portfolio'!$G$10:$G$36</definedName>
    <definedName name="XDO_?FINAL_QUANTITE?15?">'TTS-Risk-O-Meter &amp; Portfolio'!$G$10:$G$75</definedName>
    <definedName name="XDO_?FINAL_QUANTITE?16?">'TTS-Risk-O-Meter &amp; Portfolio'!$G$10:$G$79</definedName>
    <definedName name="XDO_?IND_01?14?">'TTS-Risk-O-Meter &amp; Portfolio'!$F$10:$F$36</definedName>
    <definedName name="XDO_?IND_01?15?">'TTS-Risk-O-Meter &amp; Portfolio'!$F$10:$F$75</definedName>
    <definedName name="XDO_?IND_01?16?">'TTS-Risk-O-Meter &amp; Portfolio'!$F$10:$F$79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Portfolio'!$B$10:$B$36</definedName>
    <definedName name="XDO_?NOVAL?15?">'TTS-Risk-O-Meter &amp; Portfolio'!$B$10:$B$75</definedName>
    <definedName name="XDO_?NOVAL?16?">'TTS-Risk-O-Meter &amp; Portfolio'!$B$10:$B$79</definedName>
    <definedName name="XDO_?NPTF?7?">'TTS-Risk-O-Meter &amp; Portfolio'!$D$2:$D$36</definedName>
    <definedName name="XDO_?RATING?14?">'TTS-Risk-O-Meter &amp; Portfolio'!$E$10:$E$36</definedName>
    <definedName name="XDO_?RATING?15?">'TTS-Risk-O-Meter &amp; Portfolio'!$E$10:$E$75</definedName>
    <definedName name="XDO_?RATING?16?">'TTS-Risk-O-Meter &amp; Portfolio'!$E$10:$E$79</definedName>
    <definedName name="XDO_?REMARKS?14?">'TTS-Risk-O-Meter &amp; Portfolio'!$J$10:$J$36</definedName>
    <definedName name="XDO_?REMARKS?15?">'TTS-Risk-O-Meter &amp; Portfolio'!$J$10:$J$75</definedName>
    <definedName name="XDO_?REMARKS?16?">'TTS-Risk-O-Meter &amp; Portfolio'!$J$10:$J$79</definedName>
    <definedName name="XDO_?TITL?7?">'TTS-Risk-O-Meter &amp; Portfolio'!$A$8:$A$36</definedName>
    <definedName name="XDO_GROUP_?G_2?7?">'TTS-Risk-O-Meter &amp; Portfolio'!$2:$82</definedName>
    <definedName name="XDO_GROUP_?G_3?7?">'TTS-Risk-O-Meter &amp; Portfolio'!$8:$81</definedName>
    <definedName name="XDO_GROUP_?G_4?14?">'TTS-Risk-O-Meter &amp; Portfolio'!$B$10:$IV$36</definedName>
    <definedName name="XDO_GROUP_?G_4?15?">'TTS-Risk-O-Meter &amp; Portfolio'!$B$75:$IV$75</definedName>
    <definedName name="XDO_GROUP_?G_4?16?">'TTS-Risk-O-Meter &amp; Portfolio'!$B$79:$IV$79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 l="1"/>
</calcChain>
</file>

<file path=xl/sharedStrings.xml><?xml version="1.0" encoding="utf-8"?>
<sst xmlns="http://schemas.openxmlformats.org/spreadsheetml/2006/main" count="221" uniqueCount="157">
  <si>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</si>
  <si>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</si>
  <si>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</si>
  <si>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</si>
  <si>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</si>
  <si>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</si>
  <si>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</si>
  <si>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</si>
  <si>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</si>
  <si>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</si>
  <si>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</si>
  <si>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</si>
  <si>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</si>
  <si>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</si>
  <si>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</si>
  <si>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</si>
  <si>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</si>
  <si>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</si>
  <si>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</si>
  <si>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</si>
  <si>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</si>
  <si>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</si>
  <si>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</si>
  <si>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</si>
  <si>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</si>
  <si>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</si>
  <si>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Finance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</si>
  <si>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</si>
  <si>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</si>
  <si>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</si>
  <si>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</si>
  <si>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</si>
  <si>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</si>
  <si>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</si>
  <si>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100147</t>
  </si>
  <si>
    <t>Tech Mahindra Ltd.</t>
  </si>
  <si>
    <t>INE669C01036</t>
  </si>
  <si>
    <t>100003</t>
  </si>
  <si>
    <t>Infosys Ltd.</t>
  </si>
  <si>
    <t>INE009A01021</t>
  </si>
  <si>
    <t>100024</t>
  </si>
  <si>
    <t>Axis Bank Ltd.</t>
  </si>
  <si>
    <t>INE238A01034</t>
  </si>
  <si>
    <t>100045</t>
  </si>
  <si>
    <t>Gujarat Pipavav Port Ltd.</t>
  </si>
  <si>
    <t>INE517F01014</t>
  </si>
  <si>
    <t>Transport Infrastructure</t>
  </si>
  <si>
    <t>100172</t>
  </si>
  <si>
    <t>ACC Ltd.</t>
  </si>
  <si>
    <t>INE012A01025</t>
  </si>
  <si>
    <t>Cement &amp; Cement Products</t>
  </si>
  <si>
    <t>100474</t>
  </si>
  <si>
    <t>Narayana Hrudayalaya Ltd.</t>
  </si>
  <si>
    <t>INE410P01011</t>
  </si>
  <si>
    <t>Healthcare Services</t>
  </si>
  <si>
    <t>100097</t>
  </si>
  <si>
    <t>Coal India Ltd.</t>
  </si>
  <si>
    <t>INE522F01014</t>
  </si>
  <si>
    <t>Consumable Fuels</t>
  </si>
  <si>
    <t>101181</t>
  </si>
  <si>
    <t>UTI Asset Management Co. Ltd.</t>
  </si>
  <si>
    <t>INE094J01016</t>
  </si>
  <si>
    <t>Capital Markets</t>
  </si>
  <si>
    <t>100148</t>
  </si>
  <si>
    <t>Motilal Oswal Financial Services Ltd.</t>
  </si>
  <si>
    <t>INE338I01027</t>
  </si>
  <si>
    <t>101178</t>
  </si>
  <si>
    <t>Computer Age Management Services Ltd.</t>
  </si>
  <si>
    <t>INE596I01012</t>
  </si>
  <si>
    <t>100153</t>
  </si>
  <si>
    <t>Cipla Ltd.</t>
  </si>
  <si>
    <t>INE059A01026</t>
  </si>
  <si>
    <t>Pharmaceuticals &amp; Biotechnology</t>
  </si>
  <si>
    <t>100035</t>
  </si>
  <si>
    <t>NMDC Ltd.</t>
  </si>
  <si>
    <t>INE584A01023</t>
  </si>
  <si>
    <t>Minerals &amp; Mining</t>
  </si>
  <si>
    <t>100342</t>
  </si>
  <si>
    <t>Vardhman Textiles Ltd.</t>
  </si>
  <si>
    <t>INE825A01020</t>
  </si>
  <si>
    <t>Textiles &amp; Apparels</t>
  </si>
  <si>
    <t>100096</t>
  </si>
  <si>
    <t>Container Corporation of India Ltd.</t>
  </si>
  <si>
    <t>INE111A01025</t>
  </si>
  <si>
    <t>Transport Services</t>
  </si>
  <si>
    <t>100401</t>
  </si>
  <si>
    <t>Jamna Auto Industries Ltd.</t>
  </si>
  <si>
    <t>INE039C01032</t>
  </si>
  <si>
    <t>Auto Components</t>
  </si>
  <si>
    <t>100080</t>
  </si>
  <si>
    <t>Dr. Reddy's Laboratories Ltd.</t>
  </si>
  <si>
    <t>INE089A01023</t>
  </si>
  <si>
    <t>100410</t>
  </si>
  <si>
    <t>Healthcare Global Enterprises Ltd.</t>
  </si>
  <si>
    <t>INE075I01017</t>
  </si>
  <si>
    <t>100747</t>
  </si>
  <si>
    <t>Mahindra Logistics Ltd.</t>
  </si>
  <si>
    <t>INE766P01016</t>
  </si>
  <si>
    <t>100169</t>
  </si>
  <si>
    <t>Indian Oil Corporation Ltd.</t>
  </si>
  <si>
    <t>INE242A01010</t>
  </si>
  <si>
    <t>Petroleum Products</t>
  </si>
  <si>
    <t>100155</t>
  </si>
  <si>
    <t>Divi's Laboratories Ltd.</t>
  </si>
  <si>
    <t>INE361B01024</t>
  </si>
  <si>
    <t>100271</t>
  </si>
  <si>
    <t>Balkrishna Industries Ltd.</t>
  </si>
  <si>
    <t>INE787D01026</t>
  </si>
  <si>
    <t>100165</t>
  </si>
  <si>
    <t>Rallis India Ltd.</t>
  </si>
  <si>
    <t>INE613A01020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</si>
  <si>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</si>
  <si>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</si>
  <si>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</si>
  <si>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</si>
  <si>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</si>
  <si>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</si>
  <si>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</si>
  <si>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</si>
  <si>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</si>
  <si>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</si>
  <si>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</si>
  <si>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</si>
  <si>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</si>
  <si>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</si>
  <si>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</si>
  <si>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</si>
  <si>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</si>
  <si>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</si>
  <si>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</si>
  <si>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</si>
  <si>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</si>
  <si>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</si>
  <si>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</si>
  <si>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</si>
  <si>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</si>
  <si>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</si>
  <si>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</si>
  <si>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</si>
  <si>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</si>
  <si>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</si>
  <si>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</si>
  <si>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</si>
  <si>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</si>
  <si>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</si>
  <si>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</si>
  <si>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</si>
  <si>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</si>
  <si>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</si>
  <si>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</si>
  <si>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</si>
  <si>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</si>
  <si>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</si>
  <si>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July 31, 2023 : 133.04)</t>
  </si>
  <si>
    <t>Taurus Tax Shield - Direct Plan Growth Option</t>
  </si>
  <si>
    <t>NAV [Rs.] Per Unit (as on July 31, 2023 : 143.26)</t>
  </si>
  <si>
    <r>
      <rPr>
        <b/>
        <sz val="11"/>
        <color indexed="8"/>
        <rFont val="Calibri"/>
        <family val="2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</si>
</sst>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0" fillId="0" borderId="0" xfId="0"/>
  </cellXfs>
  <cellStyles count="6">
    <cellStyle name="Comma" xfId="1" builtinId="3"/>
    <cellStyle name="Comma 2" xfId="5" xr:uid="{11148B49-C16B-4D1F-A869-DE46FC1E8533}"/>
    <cellStyle name="Hyperlink" xfId="2" builtinId="8"/>
    <cellStyle name="Normal" xfId="0" builtinId="0"/>
    <cellStyle name="Normal 2" xfId="4" xr:uid="{0132E11D-6551-46B6-BBE6-B712A4078C16}"/>
    <cellStyle name="Style 1" xfId="3" xr:uid="{EBF40E76-5BF2-4D27-B1BE-45F63B5A3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9DB3B382-633A-4D09-A448-8A3469F26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uly%2023\Client%20Report\TMF_Monthly_Portfolio_Report_Jul%2023.xls" TargetMode="External"/><Relationship Id="rId1" Type="http://schemas.openxmlformats.org/officeDocument/2006/relationships/externalLinkPath" Target="TMF_Monthly_Portfolio_Report_Jul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B363-8BD7-46F8-95E1-DFA1B016615C}">
  <dimension ref="A1:BB88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4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33600</v>
      </c>
      <c r="H10" s="32">
        <v>554.77</v>
      </c>
      <c r="I10" s="32">
        <v>8.5500000000000007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48200</v>
      </c>
      <c r="H11" s="32">
        <v>538.41999999999996</v>
      </c>
      <c r="I11" s="32">
        <v>8.2899999999999991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6000</v>
      </c>
      <c r="H12" s="32">
        <v>452.57</v>
      </c>
      <c r="I12" s="32">
        <v>6.97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80000</v>
      </c>
      <c r="H13" s="32">
        <v>372.48</v>
      </c>
      <c r="I13" s="32">
        <v>5.74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36000</v>
      </c>
      <c r="H14" s="32">
        <v>359.3</v>
      </c>
      <c r="I14" s="32">
        <v>5.53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31000</v>
      </c>
      <c r="H15" s="32">
        <v>345.85</v>
      </c>
      <c r="I15" s="32">
        <v>5.33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25000</v>
      </c>
      <c r="H16" s="32">
        <v>338.78</v>
      </c>
      <c r="I16" s="32">
        <v>5.22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35000</v>
      </c>
      <c r="H17" s="32">
        <v>333.9</v>
      </c>
      <c r="I17" s="32">
        <v>5.14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240000</v>
      </c>
      <c r="H18" s="32">
        <v>300.83999999999997</v>
      </c>
      <c r="I18" s="32">
        <v>4.63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14500</v>
      </c>
      <c r="H19" s="32">
        <v>292.38</v>
      </c>
      <c r="I19" s="32">
        <v>4.5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25000</v>
      </c>
      <c r="H20" s="32">
        <v>252.74</v>
      </c>
      <c r="I20" s="32">
        <v>3.89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80000</v>
      </c>
      <c r="H21" s="32">
        <v>183.36</v>
      </c>
      <c r="I21" s="32">
        <v>2.82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22000</v>
      </c>
      <c r="H22" s="32">
        <v>176.24</v>
      </c>
      <c r="I22" s="32">
        <v>2.71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62</v>
      </c>
      <c r="G23" s="31">
        <v>17300</v>
      </c>
      <c r="H23" s="32">
        <v>145.13</v>
      </c>
      <c r="I23" s="32">
        <v>2.2400000000000002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62</v>
      </c>
      <c r="G24" s="31">
        <v>5500</v>
      </c>
      <c r="H24" s="32">
        <v>129.87</v>
      </c>
      <c r="I24" s="32">
        <v>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11000</v>
      </c>
      <c r="H25" s="32">
        <v>129.34</v>
      </c>
      <c r="I25" s="32">
        <v>1.99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100000</v>
      </c>
      <c r="H26" s="32">
        <v>117.25</v>
      </c>
      <c r="I26" s="32">
        <v>1.81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30000</v>
      </c>
      <c r="H27" s="32">
        <v>111.14</v>
      </c>
      <c r="I27" s="32">
        <v>1.71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15000</v>
      </c>
      <c r="H28" s="32">
        <v>104.15</v>
      </c>
      <c r="I28" s="32">
        <v>1.6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80000</v>
      </c>
      <c r="H29" s="32">
        <v>89.88</v>
      </c>
      <c r="I29" s="32">
        <v>1.38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72</v>
      </c>
      <c r="G30" s="31">
        <v>1200</v>
      </c>
      <c r="H30" s="32">
        <v>67.760000000000005</v>
      </c>
      <c r="I30" s="32">
        <v>1.04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54</v>
      </c>
      <c r="G31" s="31">
        <v>20000</v>
      </c>
      <c r="H31" s="32">
        <v>64.709999999999994</v>
      </c>
      <c r="I31" s="32">
        <v>1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84</v>
      </c>
      <c r="G32" s="31">
        <v>17000</v>
      </c>
      <c r="H32" s="32">
        <v>60.92</v>
      </c>
      <c r="I32" s="32">
        <v>0.94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60000</v>
      </c>
      <c r="H33" s="32">
        <v>56.28</v>
      </c>
      <c r="I33" s="32">
        <v>0.87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72</v>
      </c>
      <c r="G34" s="31">
        <v>1500</v>
      </c>
      <c r="H34" s="32">
        <v>55.31</v>
      </c>
      <c r="I34" s="32">
        <v>0.85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88</v>
      </c>
      <c r="G35" s="31">
        <v>1500</v>
      </c>
      <c r="H35" s="32">
        <v>38.119999999999997</v>
      </c>
      <c r="I35" s="32">
        <v>0.59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9405</v>
      </c>
      <c r="H36" s="32">
        <v>20.55</v>
      </c>
      <c r="I36" s="32">
        <v>0.32</v>
      </c>
      <c r="J36" s="33"/>
    </row>
    <row r="37" spans="2:10" x14ac:dyDescent="0.25">
      <c r="C37" s="28" t="s">
        <v>112</v>
      </c>
      <c r="D37" s="29"/>
      <c r="E37" s="30"/>
      <c r="F37" s="30"/>
      <c r="G37" s="31"/>
      <c r="H37" s="35">
        <v>5692.04</v>
      </c>
      <c r="I37" s="35">
        <v>87.66</v>
      </c>
      <c r="J37" s="33"/>
    </row>
    <row r="38" spans="2:10" x14ac:dyDescent="0.25">
      <c r="C38" s="20"/>
      <c r="D38" s="29"/>
      <c r="E38" s="30"/>
      <c r="F38" s="30"/>
      <c r="G38" s="31"/>
      <c r="H38" s="32"/>
      <c r="I38" s="32"/>
      <c r="J38" s="33"/>
    </row>
    <row r="39" spans="2:10" x14ac:dyDescent="0.25">
      <c r="C39" s="28" t="s">
        <v>113</v>
      </c>
      <c r="D39" s="29"/>
      <c r="E39" s="30"/>
      <c r="F39" s="30"/>
      <c r="G39" s="31"/>
      <c r="H39" s="32" t="s">
        <v>114</v>
      </c>
      <c r="I39" s="32" t="s">
        <v>114</v>
      </c>
      <c r="J39" s="33"/>
    </row>
    <row r="40" spans="2:10" x14ac:dyDescent="0.25">
      <c r="C40" s="20"/>
      <c r="D40" s="29"/>
      <c r="E40" s="30"/>
      <c r="F40" s="30"/>
      <c r="G40" s="31"/>
      <c r="H40" s="32"/>
      <c r="I40" s="32"/>
      <c r="J40" s="33"/>
    </row>
    <row r="41" spans="2:10" x14ac:dyDescent="0.25">
      <c r="C41" s="28" t="s">
        <v>115</v>
      </c>
      <c r="D41" s="29"/>
      <c r="E41" s="30"/>
      <c r="F41" s="30"/>
      <c r="G41" s="31"/>
      <c r="H41" s="32" t="s">
        <v>114</v>
      </c>
      <c r="I41" s="32" t="s">
        <v>114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116</v>
      </c>
      <c r="D43" s="29"/>
      <c r="E43" s="30"/>
      <c r="F43" s="30"/>
      <c r="G43" s="31"/>
      <c r="H43" s="32"/>
      <c r="I43" s="32"/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117</v>
      </c>
      <c r="D45" s="29"/>
      <c r="E45" s="30"/>
      <c r="F45" s="30"/>
      <c r="G45" s="31"/>
      <c r="H45" s="32" t="s">
        <v>114</v>
      </c>
      <c r="I45" s="32" t="s">
        <v>114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118</v>
      </c>
      <c r="D47" s="29"/>
      <c r="E47" s="30"/>
      <c r="F47" s="30"/>
      <c r="G47" s="31"/>
      <c r="H47" s="32" t="s">
        <v>114</v>
      </c>
      <c r="I47" s="32" t="s">
        <v>114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119</v>
      </c>
      <c r="D49" s="29"/>
      <c r="E49" s="30"/>
      <c r="F49" s="30"/>
      <c r="G49" s="31"/>
      <c r="H49" s="32" t="s">
        <v>114</v>
      </c>
      <c r="I49" s="32" t="s">
        <v>114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120</v>
      </c>
      <c r="D51" s="29"/>
      <c r="E51" s="30"/>
      <c r="F51" s="30"/>
      <c r="G51" s="31"/>
      <c r="H51" s="32" t="s">
        <v>114</v>
      </c>
      <c r="I51" s="32" t="s">
        <v>114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121</v>
      </c>
      <c r="D53" s="29"/>
      <c r="E53" s="30"/>
      <c r="F53" s="30"/>
      <c r="G53" s="31"/>
      <c r="H53" s="32" t="s">
        <v>114</v>
      </c>
      <c r="I53" s="32" t="s">
        <v>114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122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123</v>
      </c>
      <c r="D57" s="29"/>
      <c r="E57" s="30"/>
      <c r="F57" s="30"/>
      <c r="G57" s="31"/>
      <c r="H57" s="32" t="s">
        <v>114</v>
      </c>
      <c r="I57" s="32" t="s">
        <v>114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124</v>
      </c>
      <c r="D59" s="29"/>
      <c r="E59" s="30"/>
      <c r="F59" s="30"/>
      <c r="G59" s="31"/>
      <c r="H59" s="32" t="s">
        <v>114</v>
      </c>
      <c r="I59" s="32" t="s">
        <v>114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125</v>
      </c>
      <c r="D61" s="29"/>
      <c r="E61" s="30"/>
      <c r="F61" s="30"/>
      <c r="G61" s="31"/>
      <c r="H61" s="32" t="s">
        <v>114</v>
      </c>
      <c r="I61" s="32" t="s">
        <v>114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126</v>
      </c>
      <c r="D63" s="29"/>
      <c r="E63" s="30"/>
      <c r="F63" s="30"/>
      <c r="G63" s="31"/>
      <c r="H63" s="32" t="s">
        <v>114</v>
      </c>
      <c r="I63" s="32" t="s">
        <v>114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A65" s="26"/>
      <c r="B65" s="27"/>
      <c r="C65" s="28" t="s">
        <v>127</v>
      </c>
      <c r="D65" s="29"/>
      <c r="E65" s="30"/>
      <c r="F65" s="30"/>
      <c r="G65" s="31"/>
      <c r="H65" s="32"/>
      <c r="I65" s="32"/>
      <c r="J65" s="33"/>
    </row>
    <row r="66" spans="1:10" x14ac:dyDescent="0.25">
      <c r="A66" s="27"/>
      <c r="B66" s="27"/>
      <c r="C66" s="28" t="s">
        <v>128</v>
      </c>
      <c r="D66" s="29"/>
      <c r="E66" s="30"/>
      <c r="F66" s="30"/>
      <c r="G66" s="31"/>
      <c r="H66" s="32" t="s">
        <v>114</v>
      </c>
      <c r="I66" s="32" t="s">
        <v>114</v>
      </c>
      <c r="J66" s="33"/>
    </row>
    <row r="67" spans="1:10" x14ac:dyDescent="0.25">
      <c r="A67" s="27"/>
      <c r="B67" s="27"/>
      <c r="C67" s="28"/>
      <c r="D67" s="29"/>
      <c r="E67" s="30"/>
      <c r="F67" s="30"/>
      <c r="G67" s="31"/>
      <c r="H67" s="32"/>
      <c r="I67" s="32"/>
      <c r="J67" s="33"/>
    </row>
    <row r="68" spans="1:10" x14ac:dyDescent="0.25">
      <c r="A68" s="27"/>
      <c r="B68" s="27"/>
      <c r="C68" s="28" t="s">
        <v>129</v>
      </c>
      <c r="D68" s="29"/>
      <c r="E68" s="30"/>
      <c r="F68" s="30"/>
      <c r="G68" s="31"/>
      <c r="H68" s="32" t="s">
        <v>114</v>
      </c>
      <c r="I68" s="32" t="s">
        <v>114</v>
      </c>
      <c r="J68" s="33"/>
    </row>
    <row r="69" spans="1:10" x14ac:dyDescent="0.25">
      <c r="A69" s="27"/>
      <c r="B69" s="27"/>
      <c r="C69" s="28"/>
      <c r="D69" s="29"/>
      <c r="E69" s="30"/>
      <c r="F69" s="30"/>
      <c r="G69" s="31"/>
      <c r="H69" s="32"/>
      <c r="I69" s="32"/>
      <c r="J69" s="33"/>
    </row>
    <row r="70" spans="1:10" x14ac:dyDescent="0.25">
      <c r="A70" s="27"/>
      <c r="B70" s="27"/>
      <c r="C70" s="28" t="s">
        <v>130</v>
      </c>
      <c r="D70" s="29"/>
      <c r="E70" s="30"/>
      <c r="F70" s="30"/>
      <c r="G70" s="31"/>
      <c r="H70" s="32" t="s">
        <v>114</v>
      </c>
      <c r="I70" s="32" t="s">
        <v>114</v>
      </c>
      <c r="J70" s="33"/>
    </row>
    <row r="71" spans="1:10" x14ac:dyDescent="0.25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131</v>
      </c>
      <c r="D72" s="29"/>
      <c r="E72" s="30"/>
      <c r="F72" s="30"/>
      <c r="G72" s="31"/>
      <c r="H72" s="32" t="s">
        <v>114</v>
      </c>
      <c r="I72" s="32" t="s">
        <v>114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C74" s="34" t="s">
        <v>132</v>
      </c>
      <c r="D74" s="29"/>
      <c r="E74" s="30"/>
      <c r="F74" s="30"/>
      <c r="G74" s="31"/>
      <c r="H74" s="32"/>
      <c r="I74" s="32"/>
      <c r="J74" s="33"/>
    </row>
    <row r="75" spans="1:10" x14ac:dyDescent="0.25">
      <c r="B75" s="1" t="s">
        <v>133</v>
      </c>
      <c r="C75" s="20" t="s">
        <v>134</v>
      </c>
      <c r="D75" s="29"/>
      <c r="E75" s="30"/>
      <c r="F75" s="30"/>
      <c r="G75" s="31"/>
      <c r="H75" s="32">
        <v>600</v>
      </c>
      <c r="I75" s="32">
        <v>9.24</v>
      </c>
      <c r="J75" s="33"/>
    </row>
    <row r="76" spans="1:10" x14ac:dyDescent="0.25">
      <c r="C76" s="28" t="s">
        <v>112</v>
      </c>
      <c r="D76" s="29"/>
      <c r="E76" s="30"/>
      <c r="F76" s="30"/>
      <c r="G76" s="31"/>
      <c r="H76" s="35">
        <v>600</v>
      </c>
      <c r="I76" s="35">
        <v>9.24</v>
      </c>
      <c r="J76" s="33"/>
    </row>
    <row r="77" spans="1:10" x14ac:dyDescent="0.25">
      <c r="C77" s="20"/>
      <c r="D77" s="29"/>
      <c r="E77" s="30"/>
      <c r="F77" s="30"/>
      <c r="G77" s="31"/>
      <c r="H77" s="32"/>
      <c r="I77" s="32"/>
      <c r="J77" s="33"/>
    </row>
    <row r="78" spans="1:10" x14ac:dyDescent="0.25">
      <c r="A78" s="26"/>
      <c r="B78" s="27"/>
      <c r="C78" s="28" t="s">
        <v>135</v>
      </c>
      <c r="D78" s="29"/>
      <c r="E78" s="30"/>
      <c r="F78" s="30"/>
      <c r="G78" s="31"/>
      <c r="H78" s="32"/>
      <c r="I78" s="32"/>
      <c r="J78" s="33"/>
    </row>
    <row r="79" spans="1:10" x14ac:dyDescent="0.25">
      <c r="B79" s="1"/>
      <c r="C79" s="20" t="s">
        <v>136</v>
      </c>
      <c r="D79" s="29"/>
      <c r="E79" s="30"/>
      <c r="F79" s="30"/>
      <c r="G79" s="31"/>
      <c r="H79" s="32">
        <v>200.21</v>
      </c>
      <c r="I79" s="32">
        <v>3.1</v>
      </c>
      <c r="J79" s="33"/>
    </row>
    <row r="80" spans="1:10" x14ac:dyDescent="0.25">
      <c r="C80" s="28" t="s">
        <v>112</v>
      </c>
      <c r="D80" s="29"/>
      <c r="E80" s="30"/>
      <c r="F80" s="30"/>
      <c r="G80" s="31"/>
      <c r="H80" s="35">
        <v>200.21</v>
      </c>
      <c r="I80" s="35">
        <v>3.1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ht="14.25" thickBot="1" x14ac:dyDescent="0.3">
      <c r="C82" s="36" t="s">
        <v>137</v>
      </c>
      <c r="D82" s="37"/>
      <c r="E82" s="38"/>
      <c r="F82" s="39"/>
      <c r="G82" s="40"/>
      <c r="H82" s="41">
        <v>6492.25</v>
      </c>
      <c r="I82" s="41">
        <f>SUMIFS(I:I,C:C,"Total")</f>
        <v>99.999999999999986</v>
      </c>
      <c r="J82" s="42"/>
    </row>
    <row r="85" spans="3:10" x14ac:dyDescent="0.25">
      <c r="C85" s="11" t="s">
        <v>138</v>
      </c>
    </row>
    <row r="86" spans="3:10" x14ac:dyDescent="0.25">
      <c r="C86" s="2" t="s">
        <v>139</v>
      </c>
    </row>
    <row r="87" spans="3:10" x14ac:dyDescent="0.25">
      <c r="C87" s="2" t="s">
        <v>140</v>
      </c>
    </row>
    <row r="88" spans="3:10" x14ac:dyDescent="0.25">
      <c r="C88" s="2" t="s">
        <v>141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F2D4-C907-45EF-AD24-6ACD8D4CD760}">
  <dimension ref="B4:J20"/>
  <sheetViews>
    <sheetView workbookViewId="0">
      <selection activeCell="A4" sqref="A4"/>
    </sheetView>
  </sheetViews>
  <sheetFormatPr defaultRowHeight="15" x14ac:dyDescent="0.25"/>
  <cols>
    <col min="2" max="2" width="46.5703125" customWidth="1"/>
    <col min="4" max="4" width="11" bestFit="1" customWidth="1"/>
    <col min="6" max="6" width="11" bestFit="1" customWidth="1"/>
    <col min="7" max="7" width="7.42578125" bestFit="1" customWidth="1"/>
    <col min="8" max="8" width="11" bestFit="1" customWidth="1"/>
    <col min="10" max="10" width="12" bestFit="1" customWidth="1"/>
  </cols>
  <sheetData>
    <row r="4" spans="2:10" ht="15.75" x14ac:dyDescent="0.25">
      <c r="B4" s="43" t="s">
        <v>142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143</v>
      </c>
      <c r="C5" s="46" t="s">
        <v>144</v>
      </c>
      <c r="D5" s="46"/>
      <c r="E5" s="46" t="s">
        <v>145</v>
      </c>
      <c r="F5" s="46"/>
      <c r="G5" s="46" t="s">
        <v>146</v>
      </c>
      <c r="H5" s="46"/>
      <c r="I5" s="46" t="s">
        <v>147</v>
      </c>
      <c r="J5" s="46"/>
    </row>
    <row r="6" spans="2:10" ht="63.75" x14ac:dyDescent="0.25">
      <c r="B6" s="47"/>
      <c r="C6" s="48" t="s">
        <v>148</v>
      </c>
      <c r="D6" s="48" t="s">
        <v>149</v>
      </c>
      <c r="E6" s="48" t="s">
        <v>148</v>
      </c>
      <c r="F6" s="48" t="s">
        <v>149</v>
      </c>
      <c r="G6" s="48" t="s">
        <v>148</v>
      </c>
      <c r="H6" s="48" t="s">
        <v>149</v>
      </c>
      <c r="I6" s="48" t="s">
        <v>148</v>
      </c>
      <c r="J6" s="48" t="s">
        <v>149</v>
      </c>
    </row>
    <row r="7" spans="2:10" x14ac:dyDescent="0.25">
      <c r="B7" s="49" t="s">
        <v>150</v>
      </c>
      <c r="C7" s="50">
        <v>21.214722530651041</v>
      </c>
      <c r="D7" s="50">
        <v>12134.257570229844</v>
      </c>
      <c r="E7" s="50">
        <v>20.224626670418356</v>
      </c>
      <c r="F7" s="50">
        <v>17377.220480668755</v>
      </c>
      <c r="G7" s="50">
        <v>10.506342232100764</v>
      </c>
      <c r="H7" s="50">
        <v>16483.707099492007</v>
      </c>
      <c r="I7" s="50">
        <v>11.615480364346698</v>
      </c>
      <c r="J7" s="50">
        <v>133040</v>
      </c>
    </row>
    <row r="8" spans="2:10" x14ac:dyDescent="0.25">
      <c r="B8" s="49" t="s">
        <v>151</v>
      </c>
      <c r="C8" s="50">
        <v>17.311999338074902</v>
      </c>
      <c r="D8" s="50">
        <v>11731.199933807489</v>
      </c>
      <c r="E8" s="50">
        <v>25.151359460603718</v>
      </c>
      <c r="F8" s="50">
        <v>19602.28569315765</v>
      </c>
      <c r="G8" s="50">
        <v>13.493917215872365</v>
      </c>
      <c r="H8" s="50">
        <v>18830.546713497963</v>
      </c>
      <c r="I8" s="50">
        <v>0</v>
      </c>
      <c r="J8" s="50">
        <v>0</v>
      </c>
    </row>
    <row r="9" spans="2:10" x14ac:dyDescent="0.25">
      <c r="B9" s="49" t="s">
        <v>152</v>
      </c>
      <c r="C9" s="50">
        <v>16.184790485396093</v>
      </c>
      <c r="D9" s="50">
        <v>11618.47904853961</v>
      </c>
      <c r="E9" s="50">
        <v>22.712795144557418</v>
      </c>
      <c r="F9" s="50">
        <v>18478.620471015642</v>
      </c>
      <c r="G9" s="50">
        <v>13.019737732339532</v>
      </c>
      <c r="H9" s="50">
        <v>18440.448341042771</v>
      </c>
      <c r="I9" s="50">
        <v>12.916272083766888</v>
      </c>
      <c r="J9" s="50">
        <v>277285.57172603777</v>
      </c>
    </row>
    <row r="10" spans="2:10" x14ac:dyDescent="0.25">
      <c r="B10" s="49" t="s">
        <v>153</v>
      </c>
      <c r="C10" s="51">
        <v>109.64</v>
      </c>
      <c r="D10" s="52"/>
      <c r="E10" s="51">
        <v>76.56</v>
      </c>
      <c r="F10" s="52"/>
      <c r="G10" s="51">
        <v>80.709999999999994</v>
      </c>
      <c r="H10" s="52"/>
      <c r="I10" s="51">
        <v>10</v>
      </c>
      <c r="J10" s="52"/>
    </row>
    <row r="12" spans="2:10" ht="15.75" x14ac:dyDescent="0.25">
      <c r="B12" s="43" t="s">
        <v>154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143</v>
      </c>
      <c r="C13" s="46" t="s">
        <v>144</v>
      </c>
      <c r="D13" s="46"/>
      <c r="E13" s="46" t="s">
        <v>145</v>
      </c>
      <c r="F13" s="46"/>
      <c r="G13" s="46" t="s">
        <v>146</v>
      </c>
      <c r="H13" s="46"/>
      <c r="I13" s="46" t="s">
        <v>147</v>
      </c>
      <c r="J13" s="46"/>
    </row>
    <row r="14" spans="2:10" ht="63.75" x14ac:dyDescent="0.25">
      <c r="B14" s="47"/>
      <c r="C14" s="48" t="s">
        <v>148</v>
      </c>
      <c r="D14" s="48" t="s">
        <v>149</v>
      </c>
      <c r="E14" s="48" t="s">
        <v>148</v>
      </c>
      <c r="F14" s="48" t="s">
        <v>149</v>
      </c>
      <c r="G14" s="48" t="s">
        <v>148</v>
      </c>
      <c r="H14" s="48" t="s">
        <v>149</v>
      </c>
      <c r="I14" s="48" t="s">
        <v>148</v>
      </c>
      <c r="J14" s="48" t="s">
        <v>149</v>
      </c>
    </row>
    <row r="15" spans="2:10" x14ac:dyDescent="0.25">
      <c r="B15" s="49" t="s">
        <v>150</v>
      </c>
      <c r="C15" s="50">
        <v>22.050036906527936</v>
      </c>
      <c r="D15" s="50">
        <v>12218.336886993602</v>
      </c>
      <c r="E15" s="50">
        <v>21.018227950285429</v>
      </c>
      <c r="F15" s="50">
        <v>17723.617468761597</v>
      </c>
      <c r="G15" s="50">
        <v>11.282392765712057</v>
      </c>
      <c r="H15" s="50">
        <v>17071.020019065774</v>
      </c>
      <c r="I15" s="50">
        <v>13.166492056572743</v>
      </c>
      <c r="J15" s="50">
        <v>37027.655724993536</v>
      </c>
    </row>
    <row r="16" spans="2:10" x14ac:dyDescent="0.25">
      <c r="B16" s="49" t="s">
        <v>151</v>
      </c>
      <c r="C16" s="50">
        <v>17.311999338074902</v>
      </c>
      <c r="D16" s="50">
        <v>11731.199933807489</v>
      </c>
      <c r="E16" s="50">
        <v>25.151359460603718</v>
      </c>
      <c r="F16" s="50">
        <v>19602.28569315765</v>
      </c>
      <c r="G16" s="50">
        <v>13.493917215872365</v>
      </c>
      <c r="H16" s="50">
        <v>18830.546713497963</v>
      </c>
      <c r="I16" s="50">
        <v>14.187431688376595</v>
      </c>
      <c r="J16" s="50">
        <v>40719.916760974629</v>
      </c>
    </row>
    <row r="17" spans="2:10" x14ac:dyDescent="0.25">
      <c r="B17" s="49" t="s">
        <v>152</v>
      </c>
      <c r="C17" s="50">
        <v>16.184790485396093</v>
      </c>
      <c r="D17" s="50">
        <v>11618.47904853961</v>
      </c>
      <c r="E17" s="50">
        <v>22.712795144557418</v>
      </c>
      <c r="F17" s="50">
        <v>18478.620471015642</v>
      </c>
      <c r="G17" s="50">
        <v>13.019737732339532</v>
      </c>
      <c r="H17" s="50">
        <v>18440.448341042771</v>
      </c>
      <c r="I17" s="50">
        <v>13.383864389264488</v>
      </c>
      <c r="J17" s="50">
        <v>37787.361354730587</v>
      </c>
    </row>
    <row r="18" spans="2:10" x14ac:dyDescent="0.25">
      <c r="B18" s="49" t="s">
        <v>155</v>
      </c>
      <c r="C18" s="51">
        <v>117.25</v>
      </c>
      <c r="D18" s="52"/>
      <c r="E18" s="51">
        <v>80.83</v>
      </c>
      <c r="F18" s="52"/>
      <c r="G18" s="51">
        <v>83.92</v>
      </c>
      <c r="H18" s="52"/>
      <c r="I18" s="51">
        <v>38.69</v>
      </c>
      <c r="J18" s="52"/>
    </row>
    <row r="20" spans="2:10" x14ac:dyDescent="0.25">
      <c r="B20" s="53" t="s">
        <v>156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TTS-Risk-O-Meter &amp; Portfolio</vt:lpstr>
      <vt:lpstr>TTS Performance</vt:lpstr>
      <vt:lpstr>XDO_?CLASS_3?7?</vt:lpstr>
      <vt:lpstr>XDO_?FINAL_ISIN?14?</vt:lpstr>
      <vt:lpstr>XDO_?FINAL_ISIN?15?</vt:lpstr>
      <vt:lpstr>XDO_?FINAL_ISIN?16?</vt:lpstr>
      <vt:lpstr>XDO_?FINAL_MV?14?</vt:lpstr>
      <vt:lpstr>XDO_?FINAL_MV?15?</vt:lpstr>
      <vt:lpstr>XDO_?FINAL_MV?16?</vt:lpstr>
      <vt:lpstr>XDO_?FINAL_NAME?14?</vt:lpstr>
      <vt:lpstr>XDO_?FINAL_NAME?15?</vt:lpstr>
      <vt:lpstr>XDO_?FINAL_NAME?16?</vt:lpstr>
      <vt:lpstr>XDO_?FINAL_PER_NET?14?</vt:lpstr>
      <vt:lpstr>XDO_?FINAL_PER_NET?15?</vt:lpstr>
      <vt:lpstr>XDO_?FINAL_PER_NET?16?</vt:lpstr>
      <vt:lpstr>XDO_?FINAL_QUANTITE?14?</vt:lpstr>
      <vt:lpstr>XDO_?FINAL_QUANTITE?15?</vt:lpstr>
      <vt:lpstr>XDO_?FINAL_QUANTITE?16?</vt:lpstr>
      <vt:lpstr>XDO_?IND_01?14?</vt:lpstr>
      <vt:lpstr>XDO_?IND_01?15?</vt:lpstr>
      <vt:lpstr>XDO_?IND_01?16?</vt:lpstr>
      <vt:lpstr>XDO_?NAMCNAME?7?</vt:lpstr>
      <vt:lpstr>XDO_?NOVAL?14?</vt:lpstr>
      <vt:lpstr>XDO_?NOVAL?15?</vt:lpstr>
      <vt:lpstr>XDO_?NOVAL?16?</vt:lpstr>
      <vt:lpstr>XDO_?NPTF?7?</vt:lpstr>
      <vt:lpstr>XDO_?RATING?14?</vt:lpstr>
      <vt:lpstr>XDO_?RATING?15?</vt:lpstr>
      <vt:lpstr>XDO_?RATING?16?</vt:lpstr>
      <vt:lpstr>XDO_?REMARKS?14?</vt:lpstr>
      <vt:lpstr>XDO_?REMARKS?15?</vt:lpstr>
      <vt:lpstr>XDO_?REMARKS?16?</vt:lpstr>
      <vt:lpstr>XDO_?TITL?7?</vt:lpstr>
      <vt:lpstr>XDO_GROUP_?G_2?7?</vt:lpstr>
      <vt:lpstr>XDO_GROUP_?G_3?7?</vt:lpstr>
      <vt:lpstr>XDO_GROUP_?G_4?14?</vt:lpstr>
      <vt:lpstr>XDO_GROUP_?G_4?15?</vt:lpstr>
      <vt:lpstr>XDO_GROUP_?G_4?16?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2023-08-02T10:03:04Z</dcterms:created>
  <dcterms:modified xsi:type="dcterms:W3CDTF">2023-08-09T07:26:55Z</dcterms:modified>
</cp:coreProperties>
</file>