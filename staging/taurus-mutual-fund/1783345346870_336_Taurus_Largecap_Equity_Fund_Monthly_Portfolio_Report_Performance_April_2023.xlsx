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7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Portfolio'!$C$8:$C$41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Portfolio'!$D$10:$D$83</definedName>
    <definedName name="XDO_?FINAL_MV?">'TBF-Risk-o-meter &amp; Portfolio'!$H$10:$H$83</definedName>
    <definedName name="XDO_?FINAL_NAME?">'TBF-Risk-o-meter &amp; Portfolio'!$C$10:$C$83</definedName>
    <definedName name="XDO_?FINAL_PER_NET?">'TBF-Risk-o-meter &amp; Portfolio'!$I$10:$I$83</definedName>
    <definedName name="XDO_?FINAL_QUANTITE?">'TBF-Risk-o-meter &amp; Portfolio'!$G$10:$G$83</definedName>
    <definedName name="XDO_?IND_01?">'TBF-Risk-o-meter &amp; Portfolio'!$F$10:$F$83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Portfolio'!$C$2:$C$41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Portfolio'!$B$10:$B$83</definedName>
    <definedName name="XDO_?NPTF?">'TBF-Risk-o-meter &amp; Portfolio'!$D$2:$D$41</definedName>
    <definedName name="XDO_?RATING?">'TBF-Risk-o-meter &amp; Portfolio'!$E$10:$E$83</definedName>
    <definedName name="XDO_?REMARKS?">'TBF-Risk-o-meter &amp; Portfolio'!$J$10:$J$83</definedName>
    <definedName name="XDO_?TDATE?">'TBF-Risk-o-meter &amp; Portfolio'!$D$4</definedName>
    <definedName name="XDO_?TITL?">'TBF-Risk-o-meter &amp; Portfolio'!$A$8:$A$41</definedName>
    <definedName name="XDO_GROUP_?G_2?">'TBF-Risk-o-meter &amp; Portfolio'!$2:$86</definedName>
    <definedName name="XDO_GROUP_?G_3?">'TBF-Risk-o-meter &amp; Portfolio'!$8:$85</definedName>
    <definedName name="XDO_GROUP_?G_4?">'TBF-Risk-o-meter &amp; Portfolio'!$B$83:$IV$83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/>
</calcChain>
</file>

<file path=xl/sharedStrings.xml><?xml version="1.0" encoding="utf-8"?>
<sst xmlns="http://schemas.openxmlformats.org/spreadsheetml/2006/main" count="239" uniqueCount="172">
  <si>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</si>
  <si>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</si>
  <si>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</si>
  <si>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</si>
  <si>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</si>
  <si>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</si>
  <si>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</si>
  <si>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</si>
  <si>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</si>
  <si>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</si>
  <si>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</si>
  <si>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</si>
  <si>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</si>
  <si>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</si>
  <si>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</si>
  <si>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100302</t>
  </si>
  <si>
    <t>DLF Ltd.</t>
  </si>
  <si>
    <t>INE271C01023</t>
  </si>
  <si>
    <t>Realty</t>
  </si>
  <si>
    <t>100012</t>
  </si>
  <si>
    <t>ICICI Bank Ltd.</t>
  </si>
  <si>
    <t>INE090A01021</t>
  </si>
  <si>
    <t>Banks</t>
  </si>
  <si>
    <t>100314</t>
  </si>
  <si>
    <t>SRF Ltd.</t>
  </si>
  <si>
    <t>INE647A01010</t>
  </si>
  <si>
    <t>Chemicals &amp; Petrochemicals</t>
  </si>
  <si>
    <t>100027</t>
  </si>
  <si>
    <t>Pidilite Industries Ltd.</t>
  </si>
  <si>
    <t>INE318A01026</t>
  </si>
  <si>
    <t>100003</t>
  </si>
  <si>
    <t>Infosys Ltd.</t>
  </si>
  <si>
    <t>INE009A01021</t>
  </si>
  <si>
    <t>IT - Software</t>
  </si>
  <si>
    <t>100108</t>
  </si>
  <si>
    <t>Adani Ports and Special Economic Zone Ltd.</t>
  </si>
  <si>
    <t>INE742F01042</t>
  </si>
  <si>
    <t>Transport Infrastructure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</si>
  <si>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</si>
  <si>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</si>
  <si>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</si>
  <si>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</si>
  <si>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</si>
  <si>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</si>
  <si>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</si>
  <si>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100147</t>
  </si>
  <si>
    <t>Tech Mahindra Ltd.</t>
  </si>
  <si>
    <t>INE669C01036</t>
  </si>
  <si>
    <t>100172</t>
  </si>
  <si>
    <t>ACC Ltd.</t>
  </si>
  <si>
    <t>INE012A01025</t>
  </si>
  <si>
    <t>Cement &amp; Cement Products</t>
  </si>
  <si>
    <t>100128</t>
  </si>
  <si>
    <t>Eicher Motors Ltd.</t>
  </si>
  <si>
    <t>INE066A01021</t>
  </si>
  <si>
    <t>100273</t>
  </si>
  <si>
    <t>Havells India Ltd.</t>
  </si>
  <si>
    <t>INE176B01034</t>
  </si>
  <si>
    <t>Consumer Durables</t>
  </si>
  <si>
    <t>100139</t>
  </si>
  <si>
    <t>UPL Ltd.</t>
  </si>
  <si>
    <t>INE628A01036</t>
  </si>
  <si>
    <t>Fertilizers &amp; Agrochemicals</t>
  </si>
  <si>
    <t>100115</t>
  </si>
  <si>
    <t>Siemens Ltd.</t>
  </si>
  <si>
    <t>INE003A01024</t>
  </si>
  <si>
    <t>Electrical Equipment</t>
  </si>
  <si>
    <t>100180</t>
  </si>
  <si>
    <t>Hindalco Industries Ltd.</t>
  </si>
  <si>
    <t>INE038A01020</t>
  </si>
  <si>
    <t>Non - Ferrous Metals</t>
  </si>
  <si>
    <t>100081</t>
  </si>
  <si>
    <t>Titan Company Ltd.</t>
  </si>
  <si>
    <t>INE280A01028</t>
  </si>
  <si>
    <t>100080</t>
  </si>
  <si>
    <t>Dr. Reddy's Laboratories Ltd.</t>
  </si>
  <si>
    <t>INE089A01023</t>
  </si>
  <si>
    <t>Pharmaceuticals &amp; Biotechnology</t>
  </si>
  <si>
    <t>100037</t>
  </si>
  <si>
    <t>HCL Technologies Ltd.</t>
  </si>
  <si>
    <t>INE860A01027</t>
  </si>
  <si>
    <t>101178</t>
  </si>
  <si>
    <t>Computer Age Management Services Ltd.</t>
  </si>
  <si>
    <t>INE596I01012</t>
  </si>
  <si>
    <t>Capital Markets</t>
  </si>
  <si>
    <t>100001</t>
  </si>
  <si>
    <t>Housing Development Finance Corporation Ltd.</t>
  </si>
  <si>
    <t>INE001A01036</t>
  </si>
  <si>
    <t>Finance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</si>
  <si>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</si>
  <si>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</si>
  <si>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</si>
  <si>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</si>
  <si>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</si>
  <si>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</si>
  <si>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</si>
  <si>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</si>
  <si>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</si>
  <si>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</si>
  <si>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</si>
  <si>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100013</t>
  </si>
  <si>
    <t>IndusInd Bank Ltd.</t>
  </si>
  <si>
    <t>INE095A01012</t>
  </si>
  <si>
    <t>100431</t>
  </si>
  <si>
    <t>Atul Auto Ltd.</t>
  </si>
  <si>
    <t>INE951D01028</t>
  </si>
  <si>
    <t>Agricultural, Commercial &amp; Construction Vehicles</t>
  </si>
  <si>
    <t>100029</t>
  </si>
  <si>
    <t>Mphasis Ltd.</t>
  </si>
  <si>
    <t>INE356A01018</t>
  </si>
  <si>
    <t>100183</t>
  </si>
  <si>
    <t>Vedanta Ltd.</t>
  </si>
  <si>
    <t>INE205A01025</t>
  </si>
  <si>
    <t>Diversified Metals</t>
  </si>
  <si>
    <t>100315</t>
  </si>
  <si>
    <t>Prestige Estates Projects Ltd.</t>
  </si>
  <si>
    <t>INE811K01011</t>
  </si>
  <si>
    <t>100099</t>
  </si>
  <si>
    <t>Hindustan Unilever Ltd.</t>
  </si>
  <si>
    <t>INE030A01027</t>
  </si>
  <si>
    <t>Diversified FMCG</t>
  </si>
  <si>
    <t>101229</t>
  </si>
  <si>
    <t>Jubilant Ingrevia Ltd.</t>
  </si>
  <si>
    <t>INE0BY001018</t>
  </si>
  <si>
    <t>100179</t>
  </si>
  <si>
    <t>Hero MotoCorp Ltd.</t>
  </si>
  <si>
    <t>INE158A01026</t>
  </si>
  <si>
    <t>100178</t>
  </si>
  <si>
    <t>Ambuja Cements Ltd.</t>
  </si>
  <si>
    <t>INE079A01024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</si>
  <si>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</si>
  <si>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</si>
  <si>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</si>
  <si>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</si>
  <si>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</si>
  <si>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</si>
  <si>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</si>
  <si>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</si>
  <si>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</si>
  <si>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</si>
  <si>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</si>
  <si>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</si>
  <si>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</si>
  <si>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</si>
  <si>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</si>
  <si>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</si>
  <si>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</si>
  <si>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</si>
  <si>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</si>
  <si>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</si>
  <si>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</si>
  <si>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</si>
  <si>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</si>
  <si>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</si>
  <si>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</si>
  <si>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</si>
  <si>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</si>
  <si>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</si>
  <si>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</si>
  <si>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</si>
  <si>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</si>
  <si>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</si>
  <si>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</si>
  <si>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</si>
  <si>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</si>
  <si>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</si>
  <si>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</si>
  <si>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</si>
  <si>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</si>
  <si>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April 28, 2023 : 104.17)</t>
  </si>
  <si>
    <t>Taurus Largecap Equity Fund - Direct Plan Growth Option</t>
  </si>
  <si>
    <t>NAV [Rs.] Per Unit (as on April 28, 2023 : 109.91)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</si>
</sst>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2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6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42817</v>
      </c>
      <c r="H10" s="32">
        <v>181.99</v>
      </c>
      <c r="I10" s="32">
        <v>5.54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19245</v>
      </c>
      <c r="H11" s="32">
        <v>176.61</v>
      </c>
      <c r="I11" s="32">
        <v>5.38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6935</v>
      </c>
      <c r="H12" s="32">
        <v>176.14</v>
      </c>
      <c r="I12" s="32">
        <v>5.36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7019</v>
      </c>
      <c r="H13" s="32">
        <v>169.74</v>
      </c>
      <c r="I13" s="32">
        <v>5.17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12900</v>
      </c>
      <c r="H14" s="32">
        <v>161.58000000000001</v>
      </c>
      <c r="I14" s="32">
        <v>4.92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20803</v>
      </c>
      <c r="H15" s="32">
        <v>141.71</v>
      </c>
      <c r="I15" s="32">
        <v>4.3099999999999996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11321</v>
      </c>
      <c r="H16" s="32">
        <v>138.86000000000001</v>
      </c>
      <c r="I16" s="32">
        <v>4.2300000000000004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22</v>
      </c>
      <c r="G17" s="31">
        <v>6976</v>
      </c>
      <c r="H17" s="32">
        <v>135.16999999999999</v>
      </c>
      <c r="I17" s="32">
        <v>4.1100000000000003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33</v>
      </c>
      <c r="G18" s="31">
        <v>12700</v>
      </c>
      <c r="H18" s="32">
        <v>130.02000000000001</v>
      </c>
      <c r="I18" s="32">
        <v>3.96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7040</v>
      </c>
      <c r="H19" s="32">
        <v>124.11</v>
      </c>
      <c r="I19" s="32">
        <v>3.78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41</v>
      </c>
      <c r="G20" s="31">
        <v>3450</v>
      </c>
      <c r="H20" s="32">
        <v>113.87</v>
      </c>
      <c r="I20" s="32">
        <v>3.47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8488</v>
      </c>
      <c r="H21" s="32">
        <v>104.41</v>
      </c>
      <c r="I21" s="32">
        <v>3.18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13697</v>
      </c>
      <c r="H22" s="32">
        <v>101.34</v>
      </c>
      <c r="I22" s="32">
        <v>3.08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2893</v>
      </c>
      <c r="H23" s="32">
        <v>99.83</v>
      </c>
      <c r="I23" s="32">
        <v>3.04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22605</v>
      </c>
      <c r="H24" s="32">
        <v>98.55</v>
      </c>
      <c r="I24" s="32">
        <v>3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58</v>
      </c>
      <c r="G25" s="31">
        <v>3667</v>
      </c>
      <c r="H25" s="32">
        <v>96.82</v>
      </c>
      <c r="I25" s="32">
        <v>2.95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1930</v>
      </c>
      <c r="H26" s="32">
        <v>95.08</v>
      </c>
      <c r="I26" s="32">
        <v>2.89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33</v>
      </c>
      <c r="G27" s="31">
        <v>8860</v>
      </c>
      <c r="H27" s="32">
        <v>94.24</v>
      </c>
      <c r="I27" s="32">
        <v>2.87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4380</v>
      </c>
      <c r="H28" s="32">
        <v>90.32</v>
      </c>
      <c r="I28" s="32">
        <v>2.75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2500</v>
      </c>
      <c r="H29" s="32">
        <v>69.38</v>
      </c>
      <c r="I29" s="32">
        <v>2.11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29500</v>
      </c>
      <c r="H30" s="32">
        <v>68.760000000000005</v>
      </c>
      <c r="I30" s="32">
        <v>2.09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22</v>
      </c>
      <c r="G31" s="31">
        <v>7100</v>
      </c>
      <c r="H31" s="32">
        <v>61.06</v>
      </c>
      <c r="I31" s="32">
        <v>1.86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2500</v>
      </c>
      <c r="H32" s="32">
        <v>60.51</v>
      </c>
      <c r="I32" s="32">
        <v>1.84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22</v>
      </c>
      <c r="G33" s="31">
        <v>4700</v>
      </c>
      <c r="H33" s="32">
        <v>54.15</v>
      </c>
      <c r="I33" s="32">
        <v>1.65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11413</v>
      </c>
      <c r="H34" s="32">
        <v>43.68</v>
      </c>
      <c r="I34" s="32">
        <v>1.33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33</v>
      </c>
      <c r="G35" s="31">
        <v>2000</v>
      </c>
      <c r="H35" s="32">
        <v>36.299999999999997</v>
      </c>
      <c r="I35" s="32">
        <v>1.1000000000000001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12685</v>
      </c>
      <c r="H36" s="32">
        <v>35.44</v>
      </c>
      <c r="I36" s="32">
        <v>1.08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18</v>
      </c>
      <c r="G37" s="31">
        <v>7092</v>
      </c>
      <c r="H37" s="32">
        <v>34.75</v>
      </c>
      <c r="I37" s="32">
        <v>1.06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1100</v>
      </c>
      <c r="H38" s="32">
        <v>27</v>
      </c>
      <c r="I38" s="32">
        <v>0.82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26</v>
      </c>
      <c r="G39" s="31">
        <v>5700</v>
      </c>
      <c r="H39" s="32">
        <v>24.01</v>
      </c>
      <c r="I39" s="32">
        <v>0.73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41</v>
      </c>
      <c r="G40" s="31">
        <v>500</v>
      </c>
      <c r="H40" s="32">
        <v>12.78</v>
      </c>
      <c r="I40" s="32">
        <v>0.39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51</v>
      </c>
      <c r="G41" s="31">
        <v>300</v>
      </c>
      <c r="H41" s="32">
        <v>1.19</v>
      </c>
      <c r="I41" s="32">
        <v>0.04</v>
      </c>
      <c r="J41" s="33"/>
    </row>
    <row r="42" spans="2:10">
      <c r="C42" s="28" t="s">
        <v>130</v>
      </c>
      <c r="D42" s="29"/>
      <c r="E42" s="30"/>
      <c r="F42" s="30"/>
      <c r="G42" s="31"/>
      <c r="H42" s="35">
        <v>2959.4</v>
      </c>
      <c r="I42" s="35">
        <v>90.09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131</v>
      </c>
      <c r="D44" s="29"/>
      <c r="E44" s="30"/>
      <c r="F44" s="30"/>
      <c r="G44" s="31"/>
      <c r="H44" s="32" t="s">
        <v>132</v>
      </c>
      <c r="I44" s="32" t="s">
        <v>132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133</v>
      </c>
      <c r="D46" s="29"/>
      <c r="E46" s="30"/>
      <c r="F46" s="30"/>
      <c r="G46" s="31"/>
      <c r="H46" s="32" t="s">
        <v>132</v>
      </c>
      <c r="I46" s="32" t="s">
        <v>132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134</v>
      </c>
      <c r="D48" s="29"/>
      <c r="E48" s="30"/>
      <c r="F48" s="30"/>
      <c r="G48" s="31"/>
      <c r="H48" s="32"/>
      <c r="I48" s="32"/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135</v>
      </c>
      <c r="D50" s="29"/>
      <c r="E50" s="30"/>
      <c r="F50" s="30"/>
      <c r="G50" s="31"/>
      <c r="H50" s="32" t="s">
        <v>132</v>
      </c>
      <c r="I50" s="32" t="s">
        <v>132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136</v>
      </c>
      <c r="D52" s="29"/>
      <c r="E52" s="30"/>
      <c r="F52" s="30"/>
      <c r="G52" s="31"/>
      <c r="H52" s="32" t="s">
        <v>132</v>
      </c>
      <c r="I52" s="32" t="s">
        <v>132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137</v>
      </c>
      <c r="D54" s="29"/>
      <c r="E54" s="30"/>
      <c r="F54" s="30"/>
      <c r="G54" s="31"/>
      <c r="H54" s="32" t="s">
        <v>132</v>
      </c>
      <c r="I54" s="32" t="s">
        <v>132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138</v>
      </c>
      <c r="D56" s="29"/>
      <c r="E56" s="30"/>
      <c r="F56" s="30"/>
      <c r="G56" s="31"/>
      <c r="H56" s="32" t="s">
        <v>132</v>
      </c>
      <c r="I56" s="32" t="s">
        <v>132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139</v>
      </c>
      <c r="D58" s="29"/>
      <c r="E58" s="30"/>
      <c r="F58" s="30"/>
      <c r="G58" s="31"/>
      <c r="H58" s="32" t="s">
        <v>132</v>
      </c>
      <c r="I58" s="32" t="s">
        <v>132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140</v>
      </c>
      <c r="D60" s="29"/>
      <c r="E60" s="30"/>
      <c r="F60" s="30"/>
      <c r="G60" s="31"/>
      <c r="H60" s="32"/>
      <c r="I60" s="32"/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141</v>
      </c>
      <c r="D62" s="29"/>
      <c r="E62" s="30"/>
      <c r="F62" s="30"/>
      <c r="G62" s="31"/>
      <c r="H62" s="32" t="s">
        <v>132</v>
      </c>
      <c r="I62" s="32" t="s">
        <v>132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142</v>
      </c>
      <c r="D64" s="29"/>
      <c r="E64" s="30"/>
      <c r="F64" s="30"/>
      <c r="G64" s="31"/>
      <c r="H64" s="32" t="s">
        <v>132</v>
      </c>
      <c r="I64" s="32" t="s">
        <v>132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143</v>
      </c>
      <c r="D66" s="29"/>
      <c r="E66" s="30"/>
      <c r="F66" s="30"/>
      <c r="G66" s="31"/>
      <c r="H66" s="32" t="s">
        <v>132</v>
      </c>
      <c r="I66" s="32" t="s">
        <v>132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144</v>
      </c>
      <c r="D68" s="29"/>
      <c r="E68" s="30"/>
      <c r="F68" s="30"/>
      <c r="G68" s="31"/>
      <c r="H68" s="32" t="s">
        <v>132</v>
      </c>
      <c r="I68" s="32" t="s">
        <v>132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145</v>
      </c>
      <c r="D70" s="29"/>
      <c r="E70" s="30"/>
      <c r="F70" s="30"/>
      <c r="G70" s="31"/>
      <c r="H70" s="32"/>
      <c r="I70" s="32"/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146</v>
      </c>
      <c r="D72" s="29"/>
      <c r="E72" s="30"/>
      <c r="F72" s="30"/>
      <c r="G72" s="31"/>
      <c r="H72" s="32" t="s">
        <v>132</v>
      </c>
      <c r="I72" s="32" t="s">
        <v>132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147</v>
      </c>
      <c r="D74" s="29"/>
      <c r="E74" s="30"/>
      <c r="F74" s="30"/>
      <c r="G74" s="31"/>
      <c r="H74" s="32" t="s">
        <v>132</v>
      </c>
      <c r="I74" s="32" t="s">
        <v>132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148</v>
      </c>
      <c r="D76" s="29"/>
      <c r="E76" s="30"/>
      <c r="F76" s="30"/>
      <c r="G76" s="31"/>
      <c r="H76" s="32" t="s">
        <v>132</v>
      </c>
      <c r="I76" s="32" t="s">
        <v>132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149</v>
      </c>
      <c r="D78" s="29"/>
      <c r="E78" s="30"/>
      <c r="F78" s="30"/>
      <c r="G78" s="31"/>
      <c r="H78" s="32" t="s">
        <v>132</v>
      </c>
      <c r="I78" s="32" t="s">
        <v>132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150</v>
      </c>
      <c r="D80" s="29"/>
      <c r="E80" s="30"/>
      <c r="F80" s="30"/>
      <c r="G80" s="31"/>
      <c r="H80" s="32" t="s">
        <v>132</v>
      </c>
      <c r="I80" s="32" t="s">
        <v>132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A82" s="26"/>
      <c r="B82" s="27"/>
      <c r="C82" s="28" t="s">
        <v>151</v>
      </c>
      <c r="D82" s="29"/>
      <c r="E82" s="30"/>
      <c r="F82" s="30"/>
      <c r="G82" s="31"/>
      <c r="H82" s="32"/>
      <c r="I82" s="32"/>
      <c r="J82" s="33"/>
    </row>
    <row r="83" spans="1:10">
      <c r="B83" s="1"/>
      <c r="C83" s="20" t="s">
        <v>152</v>
      </c>
      <c r="D83" s="29"/>
      <c r="E83" s="30"/>
      <c r="F83" s="30"/>
      <c r="G83" s="31"/>
      <c r="H83" s="32">
        <v>325.88</v>
      </c>
      <c r="I83" s="32">
        <v>9.91</v>
      </c>
      <c r="J83" s="33"/>
    </row>
    <row r="84" spans="1:10">
      <c r="C84" s="28" t="s">
        <v>130</v>
      </c>
      <c r="D84" s="29"/>
      <c r="E84" s="30"/>
      <c r="F84" s="30"/>
      <c r="G84" s="31"/>
      <c r="H84" s="35">
        <v>325.88</v>
      </c>
      <c r="I84" s="35">
        <v>9.91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 ht="13.5" thickBot="1">
      <c r="C86" s="36" t="s">
        <v>153</v>
      </c>
      <c r="D86" s="37"/>
      <c r="E86" s="38"/>
      <c r="F86" s="39"/>
      <c r="G86" s="40"/>
      <c r="H86" s="41">
        <v>3285.28</v>
      </c>
      <c r="I86" s="41">
        <f>SUMIFS(I:I,C:C,"Total")</f>
        <v>100</v>
      </c>
      <c r="J86" s="42"/>
    </row>
    <row r="89" spans="1:10">
      <c r="C89" s="11" t="s">
        <v>154</v>
      </c>
    </row>
    <row r="90" spans="1:10">
      <c r="C90" s="2" t="s">
        <v>155</v>
      </c>
    </row>
    <row r="91" spans="1:10">
      <c r="C91" s="2" t="s">
        <v>156</v>
      </c>
    </row>
    <row r="92" spans="1:10">
      <c r="C92" s="2" t="s">
        <v>157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L6" sqref="L6"/>
    </sheetView>
  </sheetViews>
  <sheetFormatPr defaultRowHeight="15"/>
  <cols>
    <col min="2" max="2" width="43.28515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158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159</v>
      </c>
      <c r="C5" s="46" t="s">
        <v>160</v>
      </c>
      <c r="D5" s="46"/>
      <c r="E5" s="46" t="s">
        <v>161</v>
      </c>
      <c r="F5" s="46"/>
      <c r="G5" s="46" t="s">
        <v>162</v>
      </c>
      <c r="H5" s="46"/>
      <c r="I5" s="46" t="s">
        <v>163</v>
      </c>
      <c r="J5" s="46"/>
    </row>
    <row r="6" spans="2:10" ht="63.75">
      <c r="B6" s="47"/>
      <c r="C6" s="48" t="s">
        <v>164</v>
      </c>
      <c r="D6" s="48" t="s">
        <v>165</v>
      </c>
      <c r="E6" s="48" t="s">
        <v>164</v>
      </c>
      <c r="F6" s="48" t="s">
        <v>165</v>
      </c>
      <c r="G6" s="48" t="s">
        <v>164</v>
      </c>
      <c r="H6" s="48" t="s">
        <v>165</v>
      </c>
      <c r="I6" s="48" t="s">
        <v>164</v>
      </c>
      <c r="J6" s="48" t="s">
        <v>165</v>
      </c>
    </row>
    <row r="7" spans="2:10">
      <c r="B7" s="49" t="s">
        <v>166</v>
      </c>
      <c r="C7" s="50">
        <v>0.95948827292109407</v>
      </c>
      <c r="D7" s="50">
        <v>10095.948827292112</v>
      </c>
      <c r="E7" s="50">
        <v>17.92471408339642</v>
      </c>
      <c r="F7" s="50">
        <v>16384.083044982697</v>
      </c>
      <c r="G7" s="50">
        <v>7.1928701280011609</v>
      </c>
      <c r="H7" s="50">
        <v>14149.68758489541</v>
      </c>
      <c r="I7" s="50">
        <v>10.111251199614358</v>
      </c>
      <c r="J7" s="50">
        <v>104170</v>
      </c>
    </row>
    <row r="8" spans="2:10">
      <c r="B8" s="49" t="s">
        <v>167</v>
      </c>
      <c r="C8" s="50">
        <v>5.7832707815883344</v>
      </c>
      <c r="D8" s="50">
        <v>10578.327078158833</v>
      </c>
      <c r="E8" s="50">
        <v>24.18878170768788</v>
      </c>
      <c r="F8" s="50">
        <v>19153.45386874464</v>
      </c>
      <c r="G8" s="50">
        <v>11.894328288270618</v>
      </c>
      <c r="H8" s="50">
        <v>17540.4353233822</v>
      </c>
      <c r="I8" s="50">
        <v>11.906350817778556</v>
      </c>
      <c r="J8" s="50">
        <v>238103.92655299717</v>
      </c>
    </row>
    <row r="9" spans="2:10">
      <c r="B9" s="49" t="s">
        <v>168</v>
      </c>
      <c r="C9" s="50">
        <v>6.8929782767188641</v>
      </c>
      <c r="D9" s="50">
        <v>10689.297827671886</v>
      </c>
      <c r="E9" s="50">
        <v>23.783804099770322</v>
      </c>
      <c r="F9" s="50">
        <v>18966.686929372914</v>
      </c>
      <c r="G9" s="50">
        <v>12.312287809612998</v>
      </c>
      <c r="H9" s="50">
        <v>17870.48625225159</v>
      </c>
      <c r="I9" s="50">
        <v>12.019256833280977</v>
      </c>
      <c r="J9" s="50">
        <v>244967.48156678912</v>
      </c>
    </row>
    <row r="10" spans="2:10">
      <c r="B10" s="49" t="s">
        <v>169</v>
      </c>
      <c r="C10" s="51">
        <v>103.18</v>
      </c>
      <c r="D10" s="52"/>
      <c r="E10" s="51">
        <v>63.58</v>
      </c>
      <c r="F10" s="52"/>
      <c r="G10" s="51">
        <v>73.62</v>
      </c>
      <c r="H10" s="52"/>
      <c r="I10" s="51">
        <v>10</v>
      </c>
      <c r="J10" s="52"/>
    </row>
    <row r="12" spans="2:10" ht="15.75">
      <c r="B12" s="43" t="s">
        <v>170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159</v>
      </c>
      <c r="C13" s="46" t="s">
        <v>160</v>
      </c>
      <c r="D13" s="46"/>
      <c r="E13" s="46" t="s">
        <v>161</v>
      </c>
      <c r="F13" s="46"/>
      <c r="G13" s="46" t="s">
        <v>162</v>
      </c>
      <c r="H13" s="46"/>
      <c r="I13" s="46" t="s">
        <v>163</v>
      </c>
      <c r="J13" s="46"/>
    </row>
    <row r="14" spans="2:10" ht="63.75">
      <c r="B14" s="47"/>
      <c r="C14" s="48" t="s">
        <v>164</v>
      </c>
      <c r="D14" s="48" t="s">
        <v>165</v>
      </c>
      <c r="E14" s="48" t="s">
        <v>164</v>
      </c>
      <c r="F14" s="48" t="s">
        <v>165</v>
      </c>
      <c r="G14" s="48" t="s">
        <v>164</v>
      </c>
      <c r="H14" s="48" t="s">
        <v>165</v>
      </c>
      <c r="I14" s="48" t="s">
        <v>164</v>
      </c>
      <c r="J14" s="48" t="s">
        <v>165</v>
      </c>
    </row>
    <row r="15" spans="2:10">
      <c r="B15" s="49" t="s">
        <v>166</v>
      </c>
      <c r="C15" s="50">
        <v>1.0480831111519651</v>
      </c>
      <c r="D15" s="50">
        <v>10104.808311115197</v>
      </c>
      <c r="E15" s="50">
        <v>18.026681562513435</v>
      </c>
      <c r="F15" s="50">
        <v>16426.543117620684</v>
      </c>
      <c r="G15" s="50">
        <v>7.4254088589954081</v>
      </c>
      <c r="H15" s="50">
        <v>14303.748047891722</v>
      </c>
      <c r="I15" s="50">
        <v>9.1488325198314957</v>
      </c>
      <c r="J15" s="50">
        <v>24687.780772686434</v>
      </c>
    </row>
    <row r="16" spans="2:10">
      <c r="B16" s="49" t="s">
        <v>167</v>
      </c>
      <c r="C16" s="50">
        <v>5.7832707815883344</v>
      </c>
      <c r="D16" s="50">
        <v>10578.327078158833</v>
      </c>
      <c r="E16" s="50">
        <v>24.18878170768788</v>
      </c>
      <c r="F16" s="50">
        <v>19153.45386874464</v>
      </c>
      <c r="G16" s="50">
        <v>11.894328288270618</v>
      </c>
      <c r="H16" s="50">
        <v>17540.4353233822</v>
      </c>
      <c r="I16" s="50">
        <v>12.804971848064639</v>
      </c>
      <c r="J16" s="50">
        <v>34689.615817173733</v>
      </c>
    </row>
    <row r="17" spans="2:10">
      <c r="B17" s="49" t="s">
        <v>168</v>
      </c>
      <c r="C17" s="50">
        <v>6.8929782767188641</v>
      </c>
      <c r="D17" s="50">
        <v>10689.297827671886</v>
      </c>
      <c r="E17" s="50">
        <v>23.783804099770322</v>
      </c>
      <c r="F17" s="50">
        <v>18966.686929372914</v>
      </c>
      <c r="G17" s="50">
        <v>12.312287809612998</v>
      </c>
      <c r="H17" s="50">
        <v>17870.48625225159</v>
      </c>
      <c r="I17" s="50">
        <v>12.629272982911587</v>
      </c>
      <c r="J17" s="50">
        <v>34135.874248575055</v>
      </c>
    </row>
    <row r="18" spans="2:10">
      <c r="B18" s="49" t="s">
        <v>171</v>
      </c>
      <c r="C18" s="51">
        <v>108.77</v>
      </c>
      <c r="D18" s="52"/>
      <c r="E18" s="51">
        <v>66.91</v>
      </c>
      <c r="F18" s="52"/>
      <c r="G18" s="51">
        <v>76.84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Acer</cp:lastModifiedBy>
  <dcterms:created xsi:type="dcterms:W3CDTF">2023-05-05T11:20:24Z</dcterms:created>
  <dcterms:modified xsi:type="dcterms:W3CDTF">2023-05-09T08:30:46Z</dcterms:modified>
</cp:coreProperties>
</file>