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TS-Risk-O-Meter &amp; Portfolio" sheetId="1" r:id="rId1"/>
    <sheet name="TTS - Performance" sheetId="2" r:id="rId2"/>
  </sheets>
  <externalReferences>
    <externalReference r:id="rId3"/>
  </externalReferences>
  <definedNames>
    <definedName name="XDO_?CLASS_3?7?">'TTS-Risk-O-Meter &amp; Portfolio'!$C$8:$C$36</definedName>
    <definedName name="XDO_?FINAL_ISIN?14?">'TTS-Risk-O-Meter &amp; Portfolio'!$D$10:$D$36</definedName>
    <definedName name="XDO_?FINAL_ISIN?15?">'TTS-Risk-O-Meter &amp; Portfolio'!$D$10:$D$78</definedName>
    <definedName name="XDO_?FINAL_MV?14?">'TTS-Risk-O-Meter &amp; Portfolio'!$H$10:$H$36</definedName>
    <definedName name="XDO_?FINAL_MV?15?">'TTS-Risk-O-Meter &amp; Portfolio'!$H$10:$H$78</definedName>
    <definedName name="XDO_?FINAL_NAME?14?">'TTS-Risk-O-Meter &amp; Portfolio'!$C$10:$C$36</definedName>
    <definedName name="XDO_?FINAL_NAME?15?">'TTS-Risk-O-Meter &amp; Portfolio'!$C$10:$C$78</definedName>
    <definedName name="XDO_?FINAL_PER_NET?14?">'TTS-Risk-O-Meter &amp; Portfolio'!$I$10:$I$36</definedName>
    <definedName name="XDO_?FINAL_PER_NET?15?">'TTS-Risk-O-Meter &amp; Portfolio'!$I$10:$I$78</definedName>
    <definedName name="XDO_?FINAL_QUANTITE?14?">'TTS-Risk-O-Meter &amp; Portfolio'!$G$10:$G$36</definedName>
    <definedName name="XDO_?FINAL_QUANTITE?15?">'TTS-Risk-O-Meter &amp; Portfolio'!$G$10:$G$78</definedName>
    <definedName name="XDO_?IND_01?14?">'TTS-Risk-O-Meter &amp; Portfolio'!$F$10:$F$36</definedName>
    <definedName name="XDO_?IND_01?15?">'TTS-Risk-O-Meter &amp; Portfolio'!$F$10:$F$78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Portfolio'!$B$10:$B$36</definedName>
    <definedName name="XDO_?NOVAL?15?">'TTS-Risk-O-Meter &amp; Portfolio'!$B$10:$B$78</definedName>
    <definedName name="XDO_?NPTF?7?">'TTS-Risk-O-Meter &amp; Portfolio'!$D$2:$D$36</definedName>
    <definedName name="XDO_?RATING?14?">'TTS-Risk-O-Meter &amp; Portfolio'!$E$10:$E$36</definedName>
    <definedName name="XDO_?RATING?15?">'TTS-Risk-O-Meter &amp; Portfolio'!$E$10:$E$78</definedName>
    <definedName name="XDO_?REMARKS?14?">'TTS-Risk-O-Meter &amp; Portfolio'!$J$10:$J$36</definedName>
    <definedName name="XDO_?REMARKS?15?">'TTS-Risk-O-Meter &amp; Portfolio'!$J$10:$J$78</definedName>
    <definedName name="XDO_?TITL?7?">'TTS-Risk-O-Meter &amp; Portfolio'!$A$8:$A$36</definedName>
    <definedName name="XDO_GROUP_?G_2?7?">'TTS-Risk-O-Meter &amp; Portfolio'!$2:$81</definedName>
    <definedName name="XDO_GROUP_?G_3?7?">'TTS-Risk-O-Meter &amp; Portfolio'!$8:$80</definedName>
    <definedName name="XDO_GROUP_?G_4?14?">'TTS-Risk-O-Meter &amp; Portfolio'!$B$10:$IV$36</definedName>
    <definedName name="XDO_GROUP_?G_4?15?">'TTS-Risk-O-Meter &amp; Portfolio'!$B$78:$IV$78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<sst xmlns="http://schemas.openxmlformats.org/spreadsheetml/2006/main" count="221" uniqueCount="157">
  <si>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</si>
  <si>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</si>
  <si>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</si>
  <si>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</si>
  <si>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</si>
  <si>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</si>
  <si>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</si>
  <si>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</si>
  <si>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</si>
  <si>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</si>
  <si>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</si>
  <si>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</si>
  <si>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</si>
  <si>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</si>
  <si>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</si>
  <si>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</si>
  <si>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</si>
  <si>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</si>
  <si>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</si>
  <si>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</si>
  <si>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</si>
  <si>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</si>
  <si>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</si>
  <si>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</si>
  <si>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</si>
  <si>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</si>
  <si>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Finance</t>
  </si>
  <si>
    <t>100001</t>
  </si>
  <si>
    <t>Housing Development Finance Corporation Ltd.</t>
  </si>
  <si>
    <t>INE001A01036</t>
  </si>
  <si>
    <t>100012</t>
  </si>
  <si>
    <t>ICICI Bank Ltd.</t>
  </si>
  <si>
    <t>INE090A01021</t>
  </si>
  <si>
    <t>Banks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</si>
  <si>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</si>
  <si>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</si>
  <si>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</si>
  <si>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</si>
  <si>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</si>
  <si>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</si>
  <si>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</si>
  <si>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100147</t>
  </si>
  <si>
    <t>Tech Mahindra Ltd.</t>
  </si>
  <si>
    <t>INE669C01036</t>
  </si>
  <si>
    <t>100474</t>
  </si>
  <si>
    <t>Narayana Hrudayalaya Ltd.</t>
  </si>
  <si>
    <t>INE410P01011</t>
  </si>
  <si>
    <t>Healthcare Services</t>
  </si>
  <si>
    <t>100032</t>
  </si>
  <si>
    <t>Tata Consultancy Services Ltd.</t>
  </si>
  <si>
    <t>INE467B01029</t>
  </si>
  <si>
    <t>100045</t>
  </si>
  <si>
    <t>Gujarat Pipavav Port Ltd.</t>
  </si>
  <si>
    <t>INE517F01014</t>
  </si>
  <si>
    <t>Transport Infrastructure</t>
  </si>
  <si>
    <t>100006</t>
  </si>
  <si>
    <t>HDFC Bank Ltd.</t>
  </si>
  <si>
    <t>INE040A01034</t>
  </si>
  <si>
    <t>100153</t>
  </si>
  <si>
    <t>Cipla Ltd.</t>
  </si>
  <si>
    <t>INE059A01026</t>
  </si>
  <si>
    <t>Pharmaceuticals &amp; Biotechnology</t>
  </si>
  <si>
    <t>100747</t>
  </si>
  <si>
    <t>Mahindra Logistics Ltd.</t>
  </si>
  <si>
    <t>INE766P01016</t>
  </si>
  <si>
    <t>Transport Services</t>
  </si>
  <si>
    <t>100148</t>
  </si>
  <si>
    <t>Motilal Oswal Financial Services Ltd.</t>
  </si>
  <si>
    <t>INE338I01027</t>
  </si>
  <si>
    <t>Capital Markets</t>
  </si>
  <si>
    <t>101469</t>
  </si>
  <si>
    <t>Equitas Small Finance Bank Ltd.</t>
  </si>
  <si>
    <t>INE063P01018</t>
  </si>
  <si>
    <t>100061</t>
  </si>
  <si>
    <t>KEC International Ltd.</t>
  </si>
  <si>
    <t>INE389H01022</t>
  </si>
  <si>
    <t>Electrical Equipment</t>
  </si>
  <si>
    <t>100271</t>
  </si>
  <si>
    <t>Balkrishna Industries Ltd.</t>
  </si>
  <si>
    <t>INE787D01026</t>
  </si>
  <si>
    <t>Auto Components</t>
  </si>
  <si>
    <t>100035</t>
  </si>
  <si>
    <t>NMDC Ltd.</t>
  </si>
  <si>
    <t>INE584A01023</t>
  </si>
  <si>
    <t>Minerals &amp; Mining</t>
  </si>
  <si>
    <t>100011</t>
  </si>
  <si>
    <t>Wipro Ltd.</t>
  </si>
  <si>
    <t>INE075A01022</t>
  </si>
  <si>
    <t>100039</t>
  </si>
  <si>
    <t>Bajaj Auto Ltd.</t>
  </si>
  <si>
    <t>INE917I01010</t>
  </si>
  <si>
    <t>Automobiles</t>
  </si>
  <si>
    <t>101103</t>
  </si>
  <si>
    <t>FDC Ltd.</t>
  </si>
  <si>
    <t>INE258B01022</t>
  </si>
  <si>
    <t>100080</t>
  </si>
  <si>
    <t>Dr. Reddy's Laboratories Ltd.</t>
  </si>
  <si>
    <t>INE089A01023</t>
  </si>
  <si>
    <t>100544</t>
  </si>
  <si>
    <t>Quess Corp Ltd.</t>
  </si>
  <si>
    <t>INE615P01015</t>
  </si>
  <si>
    <t>Commercial Services &amp; Supplies</t>
  </si>
  <si>
    <t>101213</t>
  </si>
  <si>
    <t>Mrs. Bectors Food Specialities Ltd.</t>
  </si>
  <si>
    <t>INE495P01012</t>
  </si>
  <si>
    <t>Food Products</t>
  </si>
  <si>
    <t>101775</t>
  </si>
  <si>
    <t>NMDC Steel Ltd.</t>
  </si>
  <si>
    <t>INE0NNS01018</t>
  </si>
  <si>
    <t>Ferrous Metals</t>
  </si>
  <si>
    <t>101434</t>
  </si>
  <si>
    <t>CMS INFOSYSTEMS LTD.</t>
  </si>
  <si>
    <t>INE925R01014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</si>
  <si>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</si>
  <si>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</si>
  <si>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</si>
  <si>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</si>
  <si>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</si>
  <si>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</si>
  <si>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</si>
  <si>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</si>
  <si>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</si>
  <si>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</si>
  <si>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</si>
  <si>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</si>
  <si>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</si>
  <si>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</si>
  <si>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</si>
  <si>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</si>
  <si>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</si>
  <si>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</si>
  <si>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</si>
  <si>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</si>
  <si>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</si>
  <si>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</si>
  <si>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</si>
  <si>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</si>
  <si>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</si>
  <si>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</si>
  <si>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</si>
  <si>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</si>
  <si>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A**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</si>
  <si>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</si>
  <si>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</si>
  <si>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</si>
  <si>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</si>
  <si>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</si>
  <si>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</si>
  <si>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</si>
  <si>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</si>
  <si>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</si>
  <si>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</si>
  <si>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</si>
  <si>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October 31, 2022 : 117.92)</t>
  </si>
  <si>
    <t>Taurus Tax Shield - Direct Plan Growth Option</t>
  </si>
  <si>
    <t>NAV [Rs.] Per Unit (as on October 31, 2022 : 126.31)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</si>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</sst>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2331720</xdr:rowOff>
    </xdr:to>
    <xdr:pic>
      <xdr:nvPicPr>
        <xdr:cNvPr id="2" name="Picture 1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4</xdr:col>
      <xdr:colOff>1513417</xdr:colOff>
      <xdr:row>0</xdr:row>
      <xdr:rowOff>0</xdr:rowOff>
    </xdr:from>
    <xdr:to>
      <xdr:col>6</xdr:col>
      <xdr:colOff>682413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58000" y="0"/>
          <a:ext cx="232283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7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5.1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47000</v>
      </c>
      <c r="H10" s="32">
        <v>489.55</v>
      </c>
      <c r="I10" s="32">
        <v>7.72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140000</v>
      </c>
      <c r="H11" s="32">
        <v>487.34</v>
      </c>
      <c r="I11" s="32">
        <v>7.68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6903</v>
      </c>
      <c r="H12" s="32">
        <v>460.01</v>
      </c>
      <c r="I12" s="32">
        <v>7.25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18500</v>
      </c>
      <c r="H13" s="32">
        <v>456.9</v>
      </c>
      <c r="I13" s="32">
        <v>7.2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47500</v>
      </c>
      <c r="H14" s="32">
        <v>431.56</v>
      </c>
      <c r="I14" s="32">
        <v>6.8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17526</v>
      </c>
      <c r="H15" s="32">
        <v>354.72</v>
      </c>
      <c r="I15" s="32">
        <v>5.59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34000</v>
      </c>
      <c r="H16" s="32">
        <v>307.99</v>
      </c>
      <c r="I16" s="32">
        <v>4.8499999999999996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28500</v>
      </c>
      <c r="H17" s="32">
        <v>303.10000000000002</v>
      </c>
      <c r="I17" s="32">
        <v>4.78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34022</v>
      </c>
      <c r="H18" s="32">
        <v>269.02999999999997</v>
      </c>
      <c r="I18" s="32">
        <v>4.24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8200</v>
      </c>
      <c r="H19" s="32">
        <v>261.83</v>
      </c>
      <c r="I19" s="32">
        <v>4.13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279553</v>
      </c>
      <c r="H20" s="32">
        <v>240.42</v>
      </c>
      <c r="I20" s="32">
        <v>3.79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33</v>
      </c>
      <c r="G21" s="31">
        <v>15533</v>
      </c>
      <c r="H21" s="32">
        <v>232.44</v>
      </c>
      <c r="I21" s="32">
        <v>3.66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15000</v>
      </c>
      <c r="H22" s="32">
        <v>174.93</v>
      </c>
      <c r="I22" s="32">
        <v>2.76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32000</v>
      </c>
      <c r="H23" s="32">
        <v>172.22</v>
      </c>
      <c r="I23" s="32">
        <v>2.71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21275</v>
      </c>
      <c r="H24" s="32">
        <v>145.78</v>
      </c>
      <c r="I24" s="32">
        <v>2.2999999999999998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33</v>
      </c>
      <c r="G25" s="31">
        <v>275000</v>
      </c>
      <c r="H25" s="32">
        <v>137.78</v>
      </c>
      <c r="I25" s="32">
        <v>2.17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30000</v>
      </c>
      <c r="H26" s="32">
        <v>131.81</v>
      </c>
      <c r="I26" s="32">
        <v>2.08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5862</v>
      </c>
      <c r="H27" s="32">
        <v>115.04</v>
      </c>
      <c r="I27" s="32">
        <v>1.81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100000</v>
      </c>
      <c r="H28" s="32">
        <v>99.7</v>
      </c>
      <c r="I28" s="32">
        <v>1.57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25000</v>
      </c>
      <c r="H29" s="32">
        <v>96.6</v>
      </c>
      <c r="I29" s="32">
        <v>1.52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2500</v>
      </c>
      <c r="H30" s="32">
        <v>91.73</v>
      </c>
      <c r="I30" s="32">
        <v>1.45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61</v>
      </c>
      <c r="G31" s="31">
        <v>22000</v>
      </c>
      <c r="H31" s="32">
        <v>68.650000000000006</v>
      </c>
      <c r="I31" s="32">
        <v>1.08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61</v>
      </c>
      <c r="G32" s="31">
        <v>1500</v>
      </c>
      <c r="H32" s="32">
        <v>66.47</v>
      </c>
      <c r="I32" s="32">
        <v>1.05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11000</v>
      </c>
      <c r="H33" s="32">
        <v>60.87</v>
      </c>
      <c r="I33" s="32">
        <v>0.96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15322</v>
      </c>
      <c r="H34" s="32">
        <v>58.3</v>
      </c>
      <c r="I34" s="32">
        <v>0.92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100000</v>
      </c>
      <c r="H35" s="32">
        <v>26.4</v>
      </c>
      <c r="I35" s="32">
        <v>0.42</v>
      </c>
      <c r="J35" s="33" t="s">
        <v>141</v>
      </c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101</v>
      </c>
      <c r="G36" s="31">
        <v>6083</v>
      </c>
      <c r="H36" s="32">
        <v>19</v>
      </c>
      <c r="I36" s="32">
        <v>0.3</v>
      </c>
      <c r="J36" s="33"/>
    </row>
    <row r="37" spans="2:10">
      <c r="C37" s="28" t="s">
        <v>113</v>
      </c>
      <c r="D37" s="29"/>
      <c r="E37" s="30"/>
      <c r="F37" s="30"/>
      <c r="G37" s="31"/>
      <c r="H37" s="35">
        <v>5760.17</v>
      </c>
      <c r="I37" s="35">
        <v>90.79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114</v>
      </c>
      <c r="D39" s="29"/>
      <c r="E39" s="30"/>
      <c r="F39" s="30"/>
      <c r="G39" s="31"/>
      <c r="H39" s="32" t="s">
        <v>115</v>
      </c>
      <c r="I39" s="32" t="s">
        <v>115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116</v>
      </c>
      <c r="D41" s="29"/>
      <c r="E41" s="30"/>
      <c r="F41" s="30"/>
      <c r="G41" s="31"/>
      <c r="H41" s="32" t="s">
        <v>115</v>
      </c>
      <c r="I41" s="32" t="s">
        <v>115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117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118</v>
      </c>
      <c r="D45" s="29"/>
      <c r="E45" s="30"/>
      <c r="F45" s="30"/>
      <c r="G45" s="31"/>
      <c r="H45" s="32" t="s">
        <v>115</v>
      </c>
      <c r="I45" s="32" t="s">
        <v>115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119</v>
      </c>
      <c r="D47" s="29"/>
      <c r="E47" s="30"/>
      <c r="F47" s="30"/>
      <c r="G47" s="31"/>
      <c r="H47" s="32" t="s">
        <v>115</v>
      </c>
      <c r="I47" s="32" t="s">
        <v>115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120</v>
      </c>
      <c r="D49" s="29"/>
      <c r="E49" s="30"/>
      <c r="F49" s="30"/>
      <c r="G49" s="31"/>
      <c r="H49" s="32" t="s">
        <v>115</v>
      </c>
      <c r="I49" s="32" t="s">
        <v>115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121</v>
      </c>
      <c r="D51" s="29"/>
      <c r="E51" s="30"/>
      <c r="F51" s="30"/>
      <c r="G51" s="31"/>
      <c r="H51" s="32" t="s">
        <v>115</v>
      </c>
      <c r="I51" s="32" t="s">
        <v>115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122</v>
      </c>
      <c r="D53" s="29"/>
      <c r="E53" s="30"/>
      <c r="F53" s="30"/>
      <c r="G53" s="31"/>
      <c r="H53" s="32" t="s">
        <v>115</v>
      </c>
      <c r="I53" s="32" t="s">
        <v>115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123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124</v>
      </c>
      <c r="D57" s="29"/>
      <c r="E57" s="30"/>
      <c r="F57" s="30"/>
      <c r="G57" s="31"/>
      <c r="H57" s="32" t="s">
        <v>115</v>
      </c>
      <c r="I57" s="32" t="s">
        <v>115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125</v>
      </c>
      <c r="D59" s="29"/>
      <c r="E59" s="30"/>
      <c r="F59" s="30"/>
      <c r="G59" s="31"/>
      <c r="H59" s="32" t="s">
        <v>115</v>
      </c>
      <c r="I59" s="32" t="s">
        <v>115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126</v>
      </c>
      <c r="D61" s="29"/>
      <c r="E61" s="30"/>
      <c r="F61" s="30"/>
      <c r="G61" s="31"/>
      <c r="H61" s="32" t="s">
        <v>115</v>
      </c>
      <c r="I61" s="32" t="s">
        <v>115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127</v>
      </c>
      <c r="D63" s="29"/>
      <c r="E63" s="30"/>
      <c r="F63" s="30"/>
      <c r="G63" s="31"/>
      <c r="H63" s="32" t="s">
        <v>115</v>
      </c>
      <c r="I63" s="32" t="s">
        <v>115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128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129</v>
      </c>
      <c r="D67" s="29"/>
      <c r="E67" s="30"/>
      <c r="F67" s="30"/>
      <c r="G67" s="31"/>
      <c r="H67" s="32" t="s">
        <v>115</v>
      </c>
      <c r="I67" s="32" t="s">
        <v>115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130</v>
      </c>
      <c r="D69" s="29"/>
      <c r="E69" s="30"/>
      <c r="F69" s="30"/>
      <c r="G69" s="31"/>
      <c r="H69" s="32" t="s">
        <v>115</v>
      </c>
      <c r="I69" s="32" t="s">
        <v>115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131</v>
      </c>
      <c r="D71" s="29"/>
      <c r="E71" s="30"/>
      <c r="F71" s="30"/>
      <c r="G71" s="31"/>
      <c r="H71" s="32" t="s">
        <v>115</v>
      </c>
      <c r="I71" s="32" t="s">
        <v>115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132</v>
      </c>
      <c r="D73" s="29"/>
      <c r="E73" s="30"/>
      <c r="F73" s="30"/>
      <c r="G73" s="31"/>
      <c r="H73" s="32" t="s">
        <v>115</v>
      </c>
      <c r="I73" s="32" t="s">
        <v>115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133</v>
      </c>
      <c r="D75" s="29"/>
      <c r="E75" s="30"/>
      <c r="F75" s="30"/>
      <c r="G75" s="31"/>
      <c r="H75" s="32" t="s">
        <v>115</v>
      </c>
      <c r="I75" s="32" t="s">
        <v>115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134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135</v>
      </c>
      <c r="D78" s="29"/>
      <c r="E78" s="30"/>
      <c r="F78" s="30"/>
      <c r="G78" s="31"/>
      <c r="H78" s="32">
        <v>584.27</v>
      </c>
      <c r="I78" s="32">
        <v>9.2100000000000009</v>
      </c>
      <c r="J78" s="33"/>
    </row>
    <row r="79" spans="1:10">
      <c r="C79" s="28" t="s">
        <v>113</v>
      </c>
      <c r="D79" s="29"/>
      <c r="E79" s="30"/>
      <c r="F79" s="30"/>
      <c r="G79" s="31"/>
      <c r="H79" s="35">
        <v>584.27</v>
      </c>
      <c r="I79" s="35">
        <v>9.2100000000000009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5" thickBot="1">
      <c r="C81" s="36" t="s">
        <v>136</v>
      </c>
      <c r="D81" s="37"/>
      <c r="E81" s="38"/>
      <c r="F81" s="39"/>
      <c r="G81" s="40"/>
      <c r="H81" s="41">
        <v>6344.44</v>
      </c>
      <c r="I81" s="41">
        <f>SUMIFS(I:I,C:C,"Total")</f>
        <v>100</v>
      </c>
      <c r="J81" s="42"/>
    </row>
    <row r="84" spans="3:10">
      <c r="C84" s="11" t="s">
        <v>137</v>
      </c>
    </row>
    <row r="85" spans="3:10">
      <c r="C85" s="2" t="s">
        <v>138</v>
      </c>
    </row>
    <row r="86" spans="3:10">
      <c r="C86" s="2" t="s">
        <v>139</v>
      </c>
    </row>
    <row r="87" spans="3:10">
      <c r="C87" s="2" t="s">
        <v>140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/>
  </sheetViews>
  <sheetFormatPr defaultRowHeight="15"/>
  <cols>
    <col min="2" max="2" width="47" customWidth="1"/>
    <col min="4" max="4" width="11" bestFit="1" customWidth="1"/>
    <col min="6" max="6" width="11" bestFit="1" customWidth="1"/>
    <col min="8" max="8" width="11" bestFit="1" customWidth="1"/>
    <col min="10" max="10" width="12.42578125" bestFit="1" customWidth="1"/>
  </cols>
  <sheetData>
    <row r="4" spans="2:10" ht="15.75">
      <c r="B4" s="43" t="s">
        <v>142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143</v>
      </c>
      <c r="C5" s="50" t="s">
        <v>144</v>
      </c>
      <c r="D5" s="50"/>
      <c r="E5" s="50" t="s">
        <v>145</v>
      </c>
      <c r="F5" s="50"/>
      <c r="G5" s="50" t="s">
        <v>146</v>
      </c>
      <c r="H5" s="50"/>
      <c r="I5" s="50" t="s">
        <v>147</v>
      </c>
      <c r="J5" s="50"/>
    </row>
    <row r="6" spans="2:10" ht="63.75">
      <c r="B6" s="46"/>
      <c r="C6" s="47" t="s">
        <v>148</v>
      </c>
      <c r="D6" s="47" t="s">
        <v>149</v>
      </c>
      <c r="E6" s="47" t="s">
        <v>148</v>
      </c>
      <c r="F6" s="47" t="s">
        <v>149</v>
      </c>
      <c r="G6" s="47" t="s">
        <v>148</v>
      </c>
      <c r="H6" s="47" t="s">
        <v>149</v>
      </c>
      <c r="I6" s="47" t="s">
        <v>148</v>
      </c>
      <c r="J6" s="47" t="s">
        <v>149</v>
      </c>
    </row>
    <row r="7" spans="2:10">
      <c r="B7" s="48" t="s">
        <v>150</v>
      </c>
      <c r="C7" s="49">
        <v>3.5098442657973239</v>
      </c>
      <c r="D7" s="49">
        <v>10352.941176470587</v>
      </c>
      <c r="E7" s="49">
        <v>13.773805175728814</v>
      </c>
      <c r="F7" s="49">
        <v>14732.633683158419</v>
      </c>
      <c r="G7" s="49">
        <v>10.090314454301996</v>
      </c>
      <c r="H7" s="49">
        <v>16175.582990397803</v>
      </c>
      <c r="I7" s="49">
        <v>11.454282666914262</v>
      </c>
      <c r="J7" s="49">
        <v>117920</v>
      </c>
    </row>
    <row r="8" spans="2:10">
      <c r="B8" s="48" t="s">
        <v>151</v>
      </c>
      <c r="C8" s="49">
        <v>3.8919967489343232</v>
      </c>
      <c r="D8" s="49">
        <v>10389.199674893433</v>
      </c>
      <c r="E8" s="49">
        <v>18.383881601866257</v>
      </c>
      <c r="F8" s="49">
        <v>16591.197260837271</v>
      </c>
      <c r="G8" s="49">
        <v>12.557008808119431</v>
      </c>
      <c r="H8" s="49">
        <v>18066.029548670369</v>
      </c>
      <c r="I8" s="49">
        <v>0</v>
      </c>
      <c r="J8" s="49">
        <v>0</v>
      </c>
    </row>
    <row r="9" spans="2:10">
      <c r="B9" s="48" t="s">
        <v>152</v>
      </c>
      <c r="C9" s="49">
        <v>3.3024534027818353</v>
      </c>
      <c r="D9" s="49">
        <v>10330.245340278183</v>
      </c>
      <c r="E9" s="49">
        <v>16.230902925925239</v>
      </c>
      <c r="F9" s="49">
        <v>15702.356556487057</v>
      </c>
      <c r="G9" s="49">
        <v>13.155552697674388</v>
      </c>
      <c r="H9" s="49">
        <v>18551.513690816424</v>
      </c>
      <c r="I9" s="49">
        <v>12.881226215974584</v>
      </c>
      <c r="J9" s="49">
        <v>251120.33394468864</v>
      </c>
    </row>
    <row r="10" spans="2:10">
      <c r="B10" s="48" t="s">
        <v>153</v>
      </c>
      <c r="C10" s="51">
        <v>113.9</v>
      </c>
      <c r="D10" s="52"/>
      <c r="E10" s="51">
        <v>80.040000000000006</v>
      </c>
      <c r="F10" s="52"/>
      <c r="G10" s="51">
        <v>72.900000000000006</v>
      </c>
      <c r="H10" s="52"/>
      <c r="I10" s="51">
        <v>10</v>
      </c>
      <c r="J10" s="52"/>
    </row>
    <row r="12" spans="2:10" ht="15.75">
      <c r="B12" s="43" t="s">
        <v>154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143</v>
      </c>
      <c r="C13" s="50" t="s">
        <v>144</v>
      </c>
      <c r="D13" s="50"/>
      <c r="E13" s="50" t="s">
        <v>145</v>
      </c>
      <c r="F13" s="50"/>
      <c r="G13" s="50" t="s">
        <v>146</v>
      </c>
      <c r="H13" s="50"/>
      <c r="I13" s="50" t="s">
        <v>147</v>
      </c>
      <c r="J13" s="50"/>
    </row>
    <row r="14" spans="2:10" ht="63.75">
      <c r="B14" s="46"/>
      <c r="C14" s="47" t="s">
        <v>148</v>
      </c>
      <c r="D14" s="47" t="s">
        <v>149</v>
      </c>
      <c r="E14" s="47" t="s">
        <v>148</v>
      </c>
      <c r="F14" s="47" t="s">
        <v>149</v>
      </c>
      <c r="G14" s="47" t="s">
        <v>148</v>
      </c>
      <c r="H14" s="47" t="s">
        <v>149</v>
      </c>
      <c r="I14" s="47" t="s">
        <v>148</v>
      </c>
      <c r="J14" s="47" t="s">
        <v>149</v>
      </c>
    </row>
    <row r="15" spans="2:10">
      <c r="B15" s="48" t="s">
        <v>150</v>
      </c>
      <c r="C15" s="49">
        <v>4.1927201488154431</v>
      </c>
      <c r="D15" s="49">
        <v>10421.617161716173</v>
      </c>
      <c r="E15" s="49">
        <v>14.591916475480925</v>
      </c>
      <c r="F15" s="49">
        <v>15053.033011560005</v>
      </c>
      <c r="G15" s="49">
        <v>10.845912501379695</v>
      </c>
      <c r="H15" s="49">
        <v>16738.669493771537</v>
      </c>
      <c r="I15" s="49">
        <v>12.782751179241592</v>
      </c>
      <c r="J15" s="49">
        <v>32646.678728353578</v>
      </c>
    </row>
    <row r="16" spans="2:10">
      <c r="B16" s="48" t="s">
        <v>151</v>
      </c>
      <c r="C16" s="49">
        <v>3.8919967489343232</v>
      </c>
      <c r="D16" s="49">
        <v>10389.199674893433</v>
      </c>
      <c r="E16" s="49">
        <v>18.383881601866257</v>
      </c>
      <c r="F16" s="49">
        <v>16591.197260837271</v>
      </c>
      <c r="G16" s="49">
        <v>12.557008808119431</v>
      </c>
      <c r="H16" s="49">
        <v>18066.029548670369</v>
      </c>
      <c r="I16" s="49">
        <v>14.105410505753513</v>
      </c>
      <c r="J16" s="49">
        <v>36613.578185998937</v>
      </c>
    </row>
    <row r="17" spans="2:10">
      <c r="B17" s="48" t="s">
        <v>152</v>
      </c>
      <c r="C17" s="49">
        <v>3.3024534027818353</v>
      </c>
      <c r="D17" s="49">
        <v>10330.245340278183</v>
      </c>
      <c r="E17" s="49">
        <v>16.230902925925239</v>
      </c>
      <c r="F17" s="49">
        <v>15702.356556487057</v>
      </c>
      <c r="G17" s="49">
        <v>13.155552697674388</v>
      </c>
      <c r="H17" s="49">
        <v>18551.513690816424</v>
      </c>
      <c r="I17" s="49">
        <v>13.324304509044559</v>
      </c>
      <c r="J17" s="49">
        <v>34221.638987716324</v>
      </c>
    </row>
    <row r="18" spans="2:10">
      <c r="B18" s="48" t="s">
        <v>155</v>
      </c>
      <c r="C18" s="51">
        <v>121.2</v>
      </c>
      <c r="D18" s="52"/>
      <c r="E18" s="51">
        <v>83.91</v>
      </c>
      <c r="F18" s="52"/>
      <c r="G18" s="51">
        <v>75.459999999999994</v>
      </c>
      <c r="H18" s="52"/>
      <c r="I18" s="51">
        <v>38.69</v>
      </c>
      <c r="J18" s="52"/>
    </row>
    <row r="20" spans="2:10">
      <c r="B20" t="s">
        <v>156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2022-11-01T16:51:56Z</dcterms:created>
  <dcterms:modified xsi:type="dcterms:W3CDTF">2022-11-09T10:54:29Z</dcterms:modified>
</cp:coreProperties>
</file>