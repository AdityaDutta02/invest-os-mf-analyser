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ISF-Risk-O-Meter &amp; Performance" sheetId="1" r:id="rId1"/>
    <sheet name="TISF-Performance" sheetId="2" r:id="rId2"/>
  </sheets>
  <externalReferences>
    <externalReference r:id="rId3"/>
  </externalReferences>
  <definedNames>
    <definedName name="XDO_?CLASS_3?4?">'TISF-Risk-O-Meter &amp; Performance'!$C$8:$C$49</definedName>
    <definedName name="XDO_?FINAL_ISIN?7?">'TISF-Risk-O-Meter &amp; Performance'!$D$10:$D$49</definedName>
    <definedName name="XDO_?FINAL_ISIN?8?">'TISF-Risk-O-Meter &amp; Performance'!$D$10:$D$91</definedName>
    <definedName name="XDO_?FINAL_MV?7?">'TISF-Risk-O-Meter &amp; Performance'!$H$10:$H$49</definedName>
    <definedName name="XDO_?FINAL_MV?8?">'TISF-Risk-O-Meter &amp; Performance'!$H$10:$H$91</definedName>
    <definedName name="XDO_?FINAL_NAME?7?">'TISF-Risk-O-Meter &amp; Performance'!$C$10:$C$49</definedName>
    <definedName name="XDO_?FINAL_NAME?8?">'TISF-Risk-O-Meter &amp; Performance'!$C$10:$C$91</definedName>
    <definedName name="XDO_?FINAL_PER_NET?7?">'TISF-Risk-O-Meter &amp; Performance'!$I$10:$I$49</definedName>
    <definedName name="XDO_?FINAL_PER_NET?8?">'TISF-Risk-O-Meter &amp; Performance'!$I$10:$I$91</definedName>
    <definedName name="XDO_?FINAL_QUANTITE?7?">'TISF-Risk-O-Meter &amp; Performance'!$G$10:$G$49</definedName>
    <definedName name="XDO_?FINAL_QUANTITE?8?">'TISF-Risk-O-Meter &amp; Performance'!$G$10:$G$91</definedName>
    <definedName name="XDO_?IND_01?7?">'TISF-Risk-O-Meter &amp; Performance'!$F$10:$F$49</definedName>
    <definedName name="XDO_?IND_01?8?">'TISF-Risk-O-Meter &amp; Performance'!$F$10:$F$91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Performance'!$C$2:$C$49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Performance'!$B$10:$B$49</definedName>
    <definedName name="XDO_?NOVAL?8?">'TISF-Risk-O-Meter &amp; Performance'!$B$10:$B$91</definedName>
    <definedName name="XDO_?NPTF?4?">'TISF-Risk-O-Meter &amp; Performance'!$D$2:$D$49</definedName>
    <definedName name="XDO_?RATING?7?">'TISF-Risk-O-Meter &amp; Performance'!$E$10:$E$49</definedName>
    <definedName name="XDO_?RATING?8?">'TISF-Risk-O-Meter &amp; Performance'!$E$10:$E$91</definedName>
    <definedName name="XDO_?REMARKS?7?">'TISF-Risk-O-Meter &amp; Performance'!$J$10:$J$49</definedName>
    <definedName name="XDO_?REMARKS?8?">'TISF-Risk-O-Meter &amp; Performance'!$J$10:$J$91</definedName>
    <definedName name="XDO_?TITL?4?">'TISF-Risk-O-Meter &amp; Performance'!$A$8:$A$49</definedName>
    <definedName name="XDO_GROUP_?G_2?4?">'TISF-Risk-O-Meter &amp; Performance'!$2:$94</definedName>
    <definedName name="XDO_GROUP_?G_3?4?">'TISF-Risk-O-Meter &amp; Performance'!$8:$93</definedName>
    <definedName name="XDO_GROUP_?G_4?7?">'TISF-Risk-O-Meter &amp; Performance'!$B$10:$IV$49</definedName>
    <definedName name="XDO_GROUP_?G_4?8?">'TISF-Risk-O-Meter &amp; Performance'!$B$91:$IV$91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1"/>
</calcChain>
</file>

<file path=xl/sharedStrings.xml><?xml version="1.0" encoding="utf-8"?>
<sst xmlns="http://schemas.openxmlformats.org/spreadsheetml/2006/main" count="271" uniqueCount="197">
  <si>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</si>
  <si>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</si>
  <si>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</si>
  <si>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</si>
  <si>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</si>
  <si>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</si>
  <si>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</si>
  <si>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</si>
  <si>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</si>
  <si>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</si>
  <si>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</si>
  <si>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</si>
  <si>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</si>
  <si>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</si>
  <si>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</si>
  <si>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</si>
  <si>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</si>
  <si>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</si>
  <si>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</si>
  <si>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</si>
  <si>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</si>
  <si>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</si>
  <si>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</si>
  <si>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100024</t>
  </si>
  <si>
    <t>Axis Bank Ltd.</t>
  </si>
  <si>
    <t>INE238A01034</t>
  </si>
  <si>
    <t>Banks</t>
  </si>
  <si>
    <t>100178</t>
  </si>
  <si>
    <t>Ambuja Cements Ltd.</t>
  </si>
  <si>
    <t>INE079A01024</t>
  </si>
  <si>
    <t>Cement &amp; Cement Products</t>
  </si>
  <si>
    <t>100108</t>
  </si>
  <si>
    <t>Adani Ports and Special Economic Zone Ltd.</t>
  </si>
  <si>
    <t>INE742F01042</t>
  </si>
  <si>
    <t>Transport Infrastructure</t>
  </si>
  <si>
    <t>100055</t>
  </si>
  <si>
    <t>The Federal Bank Ltd.</t>
  </si>
  <si>
    <t>INE171A01029</t>
  </si>
  <si>
    <t>100106</t>
  </si>
  <si>
    <t>Maruti Suzuki India Ltd.</t>
  </si>
  <si>
    <t>INE585B01010</t>
  </si>
  <si>
    <t>Automobiles</t>
  </si>
  <si>
    <t>100302</t>
  </si>
  <si>
    <t>DLF Ltd.</t>
  </si>
  <si>
    <t>INE271C01023</t>
  </si>
  <si>
    <t>Realty</t>
  </si>
  <si>
    <t>100184</t>
  </si>
  <si>
    <t>Tata Steel Ltd.</t>
  </si>
  <si>
    <t>INE081A01020</t>
  </si>
  <si>
    <t>Ferrous Metals</t>
  </si>
  <si>
    <t>100221</t>
  </si>
  <si>
    <t>Sundram Fasteners Ltd.</t>
  </si>
  <si>
    <t>INE387A01021</t>
  </si>
  <si>
    <t>Auto Components</t>
  </si>
  <si>
    <t>100282</t>
  </si>
  <si>
    <t>Blue Star Ltd.</t>
  </si>
  <si>
    <t>INE472A01039</t>
  </si>
  <si>
    <t>Consumer Durables</t>
  </si>
  <si>
    <t>100090</t>
  </si>
  <si>
    <t>Bharat Forge Ltd.</t>
  </si>
  <si>
    <t>INE465A01025</t>
  </si>
  <si>
    <t>Industrial Products</t>
  </si>
  <si>
    <t>100210</t>
  </si>
  <si>
    <t>IRB Infrastructure Developers Ltd.</t>
  </si>
  <si>
    <t>INE821I01014</t>
  </si>
  <si>
    <t>100896</t>
  </si>
  <si>
    <t>Polycab India Ltd.</t>
  </si>
  <si>
    <t>INE455K01017</t>
  </si>
  <si>
    <t>100095</t>
  </si>
  <si>
    <t>Bharti Airtel Ltd.</t>
  </si>
  <si>
    <t>INE397D01024</t>
  </si>
  <si>
    <t>Telecom - Services</t>
  </si>
  <si>
    <t>100180</t>
  </si>
  <si>
    <t>Hindalco Industries Ltd.</t>
  </si>
  <si>
    <t>INE038A01020</t>
  </si>
  <si>
    <t>Non - Ferrous Metals</t>
  </si>
  <si>
    <t>100444</t>
  </si>
  <si>
    <t>PCBL Ltd.</t>
  </si>
  <si>
    <t>INE602A01031</t>
  </si>
  <si>
    <t>Chemicals &amp; Petrochemicals</t>
  </si>
  <si>
    <t>100314</t>
  </si>
  <si>
    <t>SRF Ltd.</t>
  </si>
  <si>
    <t>INE647A01010</t>
  </si>
  <si>
    <t>100181</t>
  </si>
  <si>
    <t>NTPC Ltd.</t>
  </si>
  <si>
    <t>INE733E01010</t>
  </si>
  <si>
    <t>Power</t>
  </si>
  <si>
    <t>100315</t>
  </si>
  <si>
    <t>Prestige Estates Projects Ltd.</t>
  </si>
  <si>
    <t>INE811K01011</t>
  </si>
  <si>
    <t>101306</t>
  </si>
  <si>
    <t>Apollo Pipes Ltd.</t>
  </si>
  <si>
    <t>INE126J01016</t>
  </si>
  <si>
    <t>100461</t>
  </si>
  <si>
    <t>Astral Limited</t>
  </si>
  <si>
    <t>INE006I01046</t>
  </si>
  <si>
    <t>100752</t>
  </si>
  <si>
    <t>Praj Industries Ltd.</t>
  </si>
  <si>
    <t>INE074A01025</t>
  </si>
  <si>
    <t>Industrial Manufacturing</t>
  </si>
  <si>
    <t>100013</t>
  </si>
  <si>
    <t>IndusInd Bank Ltd.</t>
  </si>
  <si>
    <t>INE095A01012</t>
  </si>
  <si>
    <t>100417</t>
  </si>
  <si>
    <t>CEAT Ltd.</t>
  </si>
  <si>
    <t>INE482A01020</t>
  </si>
  <si>
    <t>101574</t>
  </si>
  <si>
    <t>Linde India Ltd.</t>
  </si>
  <si>
    <t>INE473A01011</t>
  </si>
  <si>
    <t>100281</t>
  </si>
  <si>
    <t>Century Textiles &amp; Industries Ltd.</t>
  </si>
  <si>
    <t>INE055A01016</t>
  </si>
  <si>
    <t>Paper, Forest &amp; Jute Products</t>
  </si>
  <si>
    <t>100092</t>
  </si>
  <si>
    <t>Bank of Baroda</t>
  </si>
  <si>
    <t>INE028A01039</t>
  </si>
  <si>
    <t>100161</t>
  </si>
  <si>
    <t>Cummins India Ltd.</t>
  </si>
  <si>
    <t>INE298A01020</t>
  </si>
  <si>
    <t>100143</t>
  </si>
  <si>
    <t>Thermax Ltd.</t>
  </si>
  <si>
    <t>INE152A01029</t>
  </si>
  <si>
    <t>Electrical Equipment</t>
  </si>
  <si>
    <t>100128</t>
  </si>
  <si>
    <t>Eicher Motors Ltd.</t>
  </si>
  <si>
    <t>INE066A01021</t>
  </si>
  <si>
    <t>100728</t>
  </si>
  <si>
    <t>Welspun Corp Ltd.</t>
  </si>
  <si>
    <t>INE191B01025</t>
  </si>
  <si>
    <t>100115</t>
  </si>
  <si>
    <t>Siemens Ltd.</t>
  </si>
  <si>
    <t>INE003A01024</t>
  </si>
  <si>
    <t>100104</t>
  </si>
  <si>
    <t>Kotak Mahindra Bank Ltd.</t>
  </si>
  <si>
    <t>INE237A01028</t>
  </si>
  <si>
    <t>100740</t>
  </si>
  <si>
    <t>Sterlite Technologies Ltd.</t>
  </si>
  <si>
    <t>INE089C01029</t>
  </si>
  <si>
    <t>100654</t>
  </si>
  <si>
    <t>Automotive Axles Ltd.</t>
  </si>
  <si>
    <t>INE449A01011</t>
  </si>
  <si>
    <t>100512</t>
  </si>
  <si>
    <t>Elgi Equipments Ltd.</t>
  </si>
  <si>
    <t>INE285A01027</t>
  </si>
  <si>
    <t>100014</t>
  </si>
  <si>
    <t>Mahindra &amp; Mahindra Ltd.</t>
  </si>
  <si>
    <t>INE101A01026</t>
  </si>
  <si>
    <t>100399</t>
  </si>
  <si>
    <t>Cholamandalam Investment &amp; Finance Co. Ltd.</t>
  </si>
  <si>
    <t>INE121A01024</t>
  </si>
  <si>
    <t>Finance</t>
  </si>
  <si>
    <t>100775</t>
  </si>
  <si>
    <t>Lemon Tree Hotels Ltd.</t>
  </si>
  <si>
    <t>INE970X01018</t>
  </si>
  <si>
    <t>Leisure Services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</si>
  <si>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</si>
  <si>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</si>
  <si>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</si>
  <si>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</si>
  <si>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</si>
  <si>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</si>
  <si>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</si>
  <si>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</si>
  <si>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</si>
  <si>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</si>
  <si>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</si>
  <si>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</si>
  <si>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</si>
  <si>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</si>
  <si>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</si>
  <si>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</si>
  <si>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</si>
  <si>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</si>
  <si>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</si>
  <si>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</si>
  <si>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</si>
  <si>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</si>
  <si>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</si>
  <si>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</si>
  <si>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</si>
  <si>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</si>
  <si>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</si>
  <si>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</si>
  <si>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</si>
  <si>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</si>
  <si>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</si>
  <si>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</si>
  <si>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</si>
  <si>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</si>
  <si>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</si>
  <si>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</si>
  <si>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</si>
  <si>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</si>
  <si>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</si>
  <si>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December 30, 2022 : 40.24)</t>
  </si>
  <si>
    <t>Taurus Infrastructure Fund - Direct Plan Growth Option</t>
  </si>
  <si>
    <t>NAV [Rs.] Per Unit (as on December 30, 2022 : 42.66)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</si>
</sst>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Infra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0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Dec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0"/>
  <sheetViews>
    <sheetView showGridLines="0" tabSelected="1" zoomScale="90" zoomScaleNormal="90" workbookViewId="0">
      <selection activeCell="C1" sqref="C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62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44926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1283</v>
      </c>
      <c r="H10" s="32">
        <v>32.69</v>
      </c>
      <c r="I10" s="32">
        <v>5.97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1515</v>
      </c>
      <c r="H11" s="32">
        <v>31.61</v>
      </c>
      <c r="I11" s="32">
        <v>5.77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2912</v>
      </c>
      <c r="H12" s="32">
        <v>27.19</v>
      </c>
      <c r="I12" s="32">
        <v>4.96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4541</v>
      </c>
      <c r="H13" s="32">
        <v>23.8</v>
      </c>
      <c r="I13" s="32">
        <v>4.34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2854</v>
      </c>
      <c r="H14" s="32">
        <v>23.34</v>
      </c>
      <c r="I14" s="32">
        <v>4.26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26</v>
      </c>
      <c r="G15" s="31">
        <v>13366</v>
      </c>
      <c r="H15" s="32">
        <v>18.57</v>
      </c>
      <c r="I15" s="32">
        <v>3.39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216</v>
      </c>
      <c r="H16" s="32">
        <v>18.149999999999999</v>
      </c>
      <c r="I16" s="32">
        <v>3.31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4771</v>
      </c>
      <c r="H17" s="32">
        <v>17.899999999999999</v>
      </c>
      <c r="I17" s="32">
        <v>3.27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14821</v>
      </c>
      <c r="H18" s="32">
        <v>16.7</v>
      </c>
      <c r="I18" s="32">
        <v>3.05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1615</v>
      </c>
      <c r="H19" s="32">
        <v>15.74</v>
      </c>
      <c r="I19" s="32">
        <v>2.87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1319</v>
      </c>
      <c r="H20" s="32">
        <v>15.73</v>
      </c>
      <c r="I20" s="32">
        <v>2.87</v>
      </c>
      <c r="J20" s="33"/>
    </row>
    <row r="21" spans="2:10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1687</v>
      </c>
      <c r="H21" s="32">
        <v>14.84</v>
      </c>
      <c r="I21" s="32">
        <v>2.71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22</v>
      </c>
      <c r="G22" s="31">
        <v>5110</v>
      </c>
      <c r="H22" s="32">
        <v>14.84</v>
      </c>
      <c r="I22" s="32">
        <v>2.71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61</v>
      </c>
      <c r="G23" s="31">
        <v>540</v>
      </c>
      <c r="H23" s="32">
        <v>13.88</v>
      </c>
      <c r="I23" s="32">
        <v>2.5299999999999998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1678</v>
      </c>
      <c r="H24" s="32">
        <v>13.54</v>
      </c>
      <c r="I24" s="32">
        <v>2.4700000000000002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2807</v>
      </c>
      <c r="H25" s="32">
        <v>13.28</v>
      </c>
      <c r="I25" s="32">
        <v>2.4300000000000002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10128</v>
      </c>
      <c r="H26" s="32">
        <v>13.13</v>
      </c>
      <c r="I26" s="32">
        <v>2.4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79</v>
      </c>
      <c r="G27" s="31">
        <v>570</v>
      </c>
      <c r="H27" s="32">
        <v>13.06</v>
      </c>
      <c r="I27" s="32">
        <v>2.38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7710</v>
      </c>
      <c r="H28" s="32">
        <v>12.83</v>
      </c>
      <c r="I28" s="32">
        <v>2.34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45</v>
      </c>
      <c r="G29" s="31">
        <v>2703</v>
      </c>
      <c r="H29" s="32">
        <v>12.52</v>
      </c>
      <c r="I29" s="32">
        <v>2.29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61</v>
      </c>
      <c r="G30" s="31">
        <v>2285</v>
      </c>
      <c r="H30" s="32">
        <v>11.86</v>
      </c>
      <c r="I30" s="32">
        <v>2.16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61</v>
      </c>
      <c r="G31" s="31">
        <v>568</v>
      </c>
      <c r="H31" s="32">
        <v>11.16</v>
      </c>
      <c r="I31" s="32">
        <v>2.04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3086</v>
      </c>
      <c r="H32" s="32">
        <v>11</v>
      </c>
      <c r="I32" s="32">
        <v>2.0099999999999998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26</v>
      </c>
      <c r="G33" s="31">
        <v>896</v>
      </c>
      <c r="H33" s="32">
        <v>10.94</v>
      </c>
      <c r="I33" s="32">
        <v>2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53</v>
      </c>
      <c r="G34" s="31">
        <v>654</v>
      </c>
      <c r="H34" s="32">
        <v>10.73</v>
      </c>
      <c r="I34" s="32">
        <v>1.96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79</v>
      </c>
      <c r="G35" s="31">
        <v>308</v>
      </c>
      <c r="H35" s="32">
        <v>10.56</v>
      </c>
      <c r="I35" s="32">
        <v>1.93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1415</v>
      </c>
      <c r="H36" s="32">
        <v>10.14</v>
      </c>
      <c r="I36" s="32">
        <v>1.85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26</v>
      </c>
      <c r="G37" s="31">
        <v>5456</v>
      </c>
      <c r="H37" s="32">
        <v>10.130000000000001</v>
      </c>
      <c r="I37" s="32">
        <v>1.85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61</v>
      </c>
      <c r="G38" s="31">
        <v>710</v>
      </c>
      <c r="H38" s="32">
        <v>9.7899999999999991</v>
      </c>
      <c r="I38" s="32">
        <v>1.79</v>
      </c>
      <c r="J38" s="33"/>
    </row>
    <row r="39" spans="2:10">
      <c r="B39" s="1" t="s">
        <v>119</v>
      </c>
      <c r="C39" s="20" t="s">
        <v>120</v>
      </c>
      <c r="D39" s="29" t="s">
        <v>121</v>
      </c>
      <c r="E39" s="30"/>
      <c r="F39" s="30" t="s">
        <v>122</v>
      </c>
      <c r="G39" s="31">
        <v>491</v>
      </c>
      <c r="H39" s="32">
        <v>9.6300000000000008</v>
      </c>
      <c r="I39" s="32">
        <v>1.76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41</v>
      </c>
      <c r="G40" s="31">
        <v>278</v>
      </c>
      <c r="H40" s="32">
        <v>8.98</v>
      </c>
      <c r="I40" s="32">
        <v>1.64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61</v>
      </c>
      <c r="G41" s="31">
        <v>3490</v>
      </c>
      <c r="H41" s="32">
        <v>8.27</v>
      </c>
      <c r="I41" s="32">
        <v>1.51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122</v>
      </c>
      <c r="G42" s="31">
        <v>290</v>
      </c>
      <c r="H42" s="32">
        <v>8.19</v>
      </c>
      <c r="I42" s="32">
        <v>1.5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26</v>
      </c>
      <c r="G43" s="31">
        <v>414</v>
      </c>
      <c r="H43" s="32">
        <v>7.56</v>
      </c>
      <c r="I43" s="32">
        <v>1.38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71</v>
      </c>
      <c r="G44" s="31">
        <v>3850</v>
      </c>
      <c r="H44" s="32">
        <v>6.76</v>
      </c>
      <c r="I44" s="32">
        <v>1.23</v>
      </c>
      <c r="J44" s="33"/>
    </row>
    <row r="45" spans="2:10">
      <c r="B45" s="1" t="s">
        <v>138</v>
      </c>
      <c r="C45" s="20" t="s">
        <v>139</v>
      </c>
      <c r="D45" s="29" t="s">
        <v>140</v>
      </c>
      <c r="E45" s="30"/>
      <c r="F45" s="30" t="s">
        <v>53</v>
      </c>
      <c r="G45" s="31">
        <v>317</v>
      </c>
      <c r="H45" s="32">
        <v>6.27</v>
      </c>
      <c r="I45" s="32">
        <v>1.1399999999999999</v>
      </c>
      <c r="J45" s="33"/>
    </row>
    <row r="46" spans="2:10">
      <c r="B46" s="1" t="s">
        <v>141</v>
      </c>
      <c r="C46" s="20" t="s">
        <v>142</v>
      </c>
      <c r="D46" s="29" t="s">
        <v>143</v>
      </c>
      <c r="E46" s="30"/>
      <c r="F46" s="30" t="s">
        <v>61</v>
      </c>
      <c r="G46" s="31">
        <v>1448</v>
      </c>
      <c r="H46" s="32">
        <v>6.08</v>
      </c>
      <c r="I46" s="32">
        <v>1.1100000000000001</v>
      </c>
      <c r="J46" s="33"/>
    </row>
    <row r="47" spans="2:10">
      <c r="B47" s="1" t="s">
        <v>144</v>
      </c>
      <c r="C47" s="20" t="s">
        <v>145</v>
      </c>
      <c r="D47" s="29" t="s">
        <v>146</v>
      </c>
      <c r="E47" s="30"/>
      <c r="F47" s="30" t="s">
        <v>41</v>
      </c>
      <c r="G47" s="31">
        <v>449</v>
      </c>
      <c r="H47" s="32">
        <v>5.61</v>
      </c>
      <c r="I47" s="32">
        <v>1.02</v>
      </c>
      <c r="J47" s="33"/>
    </row>
    <row r="48" spans="2:10">
      <c r="B48" s="1" t="s">
        <v>147</v>
      </c>
      <c r="C48" s="20" t="s">
        <v>148</v>
      </c>
      <c r="D48" s="29" t="s">
        <v>149</v>
      </c>
      <c r="E48" s="30"/>
      <c r="F48" s="30" t="s">
        <v>150</v>
      </c>
      <c r="G48" s="31">
        <v>753</v>
      </c>
      <c r="H48" s="32">
        <v>5.44</v>
      </c>
      <c r="I48" s="32">
        <v>0.99</v>
      </c>
      <c r="J48" s="33"/>
    </row>
    <row r="49" spans="2:10">
      <c r="B49" s="1" t="s">
        <v>151</v>
      </c>
      <c r="C49" s="20" t="s">
        <v>152</v>
      </c>
      <c r="D49" s="29" t="s">
        <v>153</v>
      </c>
      <c r="E49" s="30"/>
      <c r="F49" s="30" t="s">
        <v>154</v>
      </c>
      <c r="G49" s="31">
        <v>6233</v>
      </c>
      <c r="H49" s="32">
        <v>5.34</v>
      </c>
      <c r="I49" s="32">
        <v>0.98</v>
      </c>
      <c r="J49" s="33"/>
    </row>
    <row r="50" spans="2:10">
      <c r="C50" s="28" t="s">
        <v>155</v>
      </c>
      <c r="D50" s="29"/>
      <c r="E50" s="30"/>
      <c r="F50" s="30"/>
      <c r="G50" s="31"/>
      <c r="H50" s="35">
        <v>537.78</v>
      </c>
      <c r="I50" s="35">
        <v>98.17</v>
      </c>
      <c r="J50" s="33"/>
    </row>
    <row r="51" spans="2:10">
      <c r="C51" s="20"/>
      <c r="D51" s="29"/>
      <c r="E51" s="30"/>
      <c r="F51" s="30"/>
      <c r="G51" s="31"/>
      <c r="H51" s="32"/>
      <c r="I51" s="32"/>
      <c r="J51" s="33"/>
    </row>
    <row r="52" spans="2:10">
      <c r="C52" s="28" t="s">
        <v>156</v>
      </c>
      <c r="D52" s="29"/>
      <c r="E52" s="30"/>
      <c r="F52" s="30"/>
      <c r="G52" s="31"/>
      <c r="H52" s="32" t="s">
        <v>157</v>
      </c>
      <c r="I52" s="32" t="s">
        <v>157</v>
      </c>
      <c r="J52" s="33"/>
    </row>
    <row r="53" spans="2:10">
      <c r="C53" s="20"/>
      <c r="D53" s="29"/>
      <c r="E53" s="30"/>
      <c r="F53" s="30"/>
      <c r="G53" s="31"/>
      <c r="H53" s="32"/>
      <c r="I53" s="32"/>
      <c r="J53" s="33"/>
    </row>
    <row r="54" spans="2:10">
      <c r="C54" s="28" t="s">
        <v>158</v>
      </c>
      <c r="D54" s="29"/>
      <c r="E54" s="30"/>
      <c r="F54" s="30"/>
      <c r="G54" s="31"/>
      <c r="H54" s="32" t="s">
        <v>157</v>
      </c>
      <c r="I54" s="32" t="s">
        <v>157</v>
      </c>
      <c r="J54" s="33"/>
    </row>
    <row r="55" spans="2:10">
      <c r="C55" s="20"/>
      <c r="D55" s="29"/>
      <c r="E55" s="30"/>
      <c r="F55" s="30"/>
      <c r="G55" s="31"/>
      <c r="H55" s="32"/>
      <c r="I55" s="32"/>
      <c r="J55" s="33"/>
    </row>
    <row r="56" spans="2:10">
      <c r="C56" s="28" t="s">
        <v>159</v>
      </c>
      <c r="D56" s="29"/>
      <c r="E56" s="30"/>
      <c r="F56" s="30"/>
      <c r="G56" s="31"/>
      <c r="H56" s="32"/>
      <c r="I56" s="32"/>
      <c r="J56" s="33"/>
    </row>
    <row r="57" spans="2:10">
      <c r="C57" s="20"/>
      <c r="D57" s="29"/>
      <c r="E57" s="30"/>
      <c r="F57" s="30"/>
      <c r="G57" s="31"/>
      <c r="H57" s="32"/>
      <c r="I57" s="32"/>
      <c r="J57" s="33"/>
    </row>
    <row r="58" spans="2:10">
      <c r="C58" s="28" t="s">
        <v>160</v>
      </c>
      <c r="D58" s="29"/>
      <c r="E58" s="30"/>
      <c r="F58" s="30"/>
      <c r="G58" s="31"/>
      <c r="H58" s="32" t="s">
        <v>157</v>
      </c>
      <c r="I58" s="32" t="s">
        <v>157</v>
      </c>
      <c r="J58" s="33"/>
    </row>
    <row r="59" spans="2:10">
      <c r="C59" s="20"/>
      <c r="D59" s="29"/>
      <c r="E59" s="30"/>
      <c r="F59" s="30"/>
      <c r="G59" s="31"/>
      <c r="H59" s="32"/>
      <c r="I59" s="32"/>
      <c r="J59" s="33"/>
    </row>
    <row r="60" spans="2:10">
      <c r="C60" s="28" t="s">
        <v>161</v>
      </c>
      <c r="D60" s="29"/>
      <c r="E60" s="30"/>
      <c r="F60" s="30"/>
      <c r="G60" s="31"/>
      <c r="H60" s="32" t="s">
        <v>157</v>
      </c>
      <c r="I60" s="32" t="s">
        <v>157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162</v>
      </c>
      <c r="D62" s="29"/>
      <c r="E62" s="30"/>
      <c r="F62" s="30"/>
      <c r="G62" s="31"/>
      <c r="H62" s="32" t="s">
        <v>157</v>
      </c>
      <c r="I62" s="32" t="s">
        <v>157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163</v>
      </c>
      <c r="D64" s="29"/>
      <c r="E64" s="30"/>
      <c r="F64" s="30"/>
      <c r="G64" s="31"/>
      <c r="H64" s="32" t="s">
        <v>157</v>
      </c>
      <c r="I64" s="32" t="s">
        <v>157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164</v>
      </c>
      <c r="D66" s="29"/>
      <c r="E66" s="30"/>
      <c r="F66" s="30"/>
      <c r="G66" s="31"/>
      <c r="H66" s="32" t="s">
        <v>157</v>
      </c>
      <c r="I66" s="32" t="s">
        <v>157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165</v>
      </c>
      <c r="D68" s="29"/>
      <c r="E68" s="30"/>
      <c r="F68" s="30"/>
      <c r="G68" s="31"/>
      <c r="H68" s="32"/>
      <c r="I68" s="32"/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166</v>
      </c>
      <c r="D70" s="29"/>
      <c r="E70" s="30"/>
      <c r="F70" s="30"/>
      <c r="G70" s="31"/>
      <c r="H70" s="32" t="s">
        <v>157</v>
      </c>
      <c r="I70" s="32" t="s">
        <v>157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167</v>
      </c>
      <c r="D72" s="29"/>
      <c r="E72" s="30"/>
      <c r="F72" s="30"/>
      <c r="G72" s="31"/>
      <c r="H72" s="32" t="s">
        <v>157</v>
      </c>
      <c r="I72" s="32" t="s">
        <v>157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168</v>
      </c>
      <c r="D74" s="29"/>
      <c r="E74" s="30"/>
      <c r="F74" s="30"/>
      <c r="G74" s="31"/>
      <c r="H74" s="32" t="s">
        <v>157</v>
      </c>
      <c r="I74" s="32" t="s">
        <v>157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169</v>
      </c>
      <c r="D76" s="29"/>
      <c r="E76" s="30"/>
      <c r="F76" s="30"/>
      <c r="G76" s="31"/>
      <c r="H76" s="32" t="s">
        <v>157</v>
      </c>
      <c r="I76" s="32" t="s">
        <v>157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170</v>
      </c>
      <c r="D78" s="29"/>
      <c r="E78" s="30"/>
      <c r="F78" s="30"/>
      <c r="G78" s="31"/>
      <c r="H78" s="32"/>
      <c r="I78" s="32"/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171</v>
      </c>
      <c r="D80" s="29"/>
      <c r="E80" s="30"/>
      <c r="F80" s="30"/>
      <c r="G80" s="31"/>
      <c r="H80" s="32" t="s">
        <v>157</v>
      </c>
      <c r="I80" s="32" t="s">
        <v>157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172</v>
      </c>
      <c r="D82" s="29"/>
      <c r="E82" s="30"/>
      <c r="F82" s="30"/>
      <c r="G82" s="31"/>
      <c r="H82" s="32" t="s">
        <v>157</v>
      </c>
      <c r="I82" s="32" t="s">
        <v>157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173</v>
      </c>
      <c r="D84" s="29"/>
      <c r="E84" s="30"/>
      <c r="F84" s="30"/>
      <c r="G84" s="31"/>
      <c r="H84" s="32" t="s">
        <v>157</v>
      </c>
      <c r="I84" s="32" t="s">
        <v>157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174</v>
      </c>
      <c r="D86" s="29"/>
      <c r="E86" s="30"/>
      <c r="F86" s="30"/>
      <c r="G86" s="31"/>
      <c r="H86" s="32" t="s">
        <v>157</v>
      </c>
      <c r="I86" s="32" t="s">
        <v>157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C88" s="28" t="s">
        <v>175</v>
      </c>
      <c r="D88" s="29"/>
      <c r="E88" s="30"/>
      <c r="F88" s="30"/>
      <c r="G88" s="31"/>
      <c r="H88" s="32" t="s">
        <v>157</v>
      </c>
      <c r="I88" s="32" t="s">
        <v>157</v>
      </c>
      <c r="J88" s="33"/>
    </row>
    <row r="89" spans="1:10">
      <c r="C89" s="20"/>
      <c r="D89" s="29"/>
      <c r="E89" s="30"/>
      <c r="F89" s="30"/>
      <c r="G89" s="31"/>
      <c r="H89" s="32"/>
      <c r="I89" s="32"/>
      <c r="J89" s="33"/>
    </row>
    <row r="90" spans="1:10">
      <c r="A90" s="26"/>
      <c r="B90" s="27"/>
      <c r="C90" s="28" t="s">
        <v>176</v>
      </c>
      <c r="D90" s="29"/>
      <c r="E90" s="30"/>
      <c r="F90" s="30"/>
      <c r="G90" s="31"/>
      <c r="H90" s="32"/>
      <c r="I90" s="32"/>
      <c r="J90" s="33"/>
    </row>
    <row r="91" spans="1:10">
      <c r="B91" s="1"/>
      <c r="C91" s="20" t="s">
        <v>177</v>
      </c>
      <c r="D91" s="29"/>
      <c r="E91" s="30"/>
      <c r="F91" s="30"/>
      <c r="G91" s="31"/>
      <c r="H91" s="32">
        <v>10</v>
      </c>
      <c r="I91" s="32">
        <v>1.83</v>
      </c>
      <c r="J91" s="33"/>
    </row>
    <row r="92" spans="1:10">
      <c r="C92" s="28" t="s">
        <v>155</v>
      </c>
      <c r="D92" s="29"/>
      <c r="E92" s="30"/>
      <c r="F92" s="30"/>
      <c r="G92" s="31"/>
      <c r="H92" s="35">
        <v>10</v>
      </c>
      <c r="I92" s="35">
        <v>1.83</v>
      </c>
      <c r="J92" s="33"/>
    </row>
    <row r="93" spans="1:10">
      <c r="C93" s="20"/>
      <c r="D93" s="29"/>
      <c r="E93" s="30"/>
      <c r="F93" s="30"/>
      <c r="G93" s="31"/>
      <c r="H93" s="32"/>
      <c r="I93" s="32"/>
      <c r="J93" s="33"/>
    </row>
    <row r="94" spans="1:10" ht="13.8" thickBot="1">
      <c r="C94" s="36" t="s">
        <v>178</v>
      </c>
      <c r="D94" s="37"/>
      <c r="E94" s="38"/>
      <c r="F94" s="39"/>
      <c r="G94" s="40"/>
      <c r="H94" s="41">
        <v>547.78</v>
      </c>
      <c r="I94" s="41">
        <f>SUMIFS(I:I,C:C,"Total")</f>
        <v>100</v>
      </c>
      <c r="J94" s="42"/>
    </row>
    <row r="97" spans="3:3">
      <c r="C97" s="11" t="s">
        <v>179</v>
      </c>
    </row>
    <row r="98" spans="3:3">
      <c r="C98" s="2" t="s">
        <v>180</v>
      </c>
    </row>
    <row r="99" spans="3:3">
      <c r="C99" s="2" t="s">
        <v>181</v>
      </c>
    </row>
    <row r="100" spans="3:3">
      <c r="C100" s="2" t="s">
        <v>182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K7" sqref="K7"/>
    </sheetView>
  </sheetViews>
  <sheetFormatPr defaultRowHeight="14.4"/>
  <cols>
    <col min="2" max="2" width="48.77734375" customWidth="1"/>
    <col min="4" max="4" width="11" bestFit="1" customWidth="1"/>
    <col min="6" max="6" width="11" bestFit="1" customWidth="1"/>
    <col min="8" max="8" width="11" bestFit="1" customWidth="1"/>
    <col min="10" max="10" width="11" bestFit="1" customWidth="1"/>
  </cols>
  <sheetData>
    <row r="4" spans="2:10" ht="15.6">
      <c r="B4" s="43" t="s">
        <v>183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184</v>
      </c>
      <c r="C5" s="46" t="s">
        <v>185</v>
      </c>
      <c r="D5" s="46"/>
      <c r="E5" s="46" t="s">
        <v>186</v>
      </c>
      <c r="F5" s="46"/>
      <c r="G5" s="46" t="s">
        <v>187</v>
      </c>
      <c r="H5" s="46"/>
      <c r="I5" s="46" t="s">
        <v>188</v>
      </c>
      <c r="J5" s="46"/>
    </row>
    <row r="6" spans="2:10" ht="79.2">
      <c r="B6" s="47"/>
      <c r="C6" s="48" t="s">
        <v>189</v>
      </c>
      <c r="D6" s="48" t="s">
        <v>190</v>
      </c>
      <c r="E6" s="48" t="s">
        <v>189</v>
      </c>
      <c r="F6" s="48" t="s">
        <v>190</v>
      </c>
      <c r="G6" s="48" t="s">
        <v>189</v>
      </c>
      <c r="H6" s="48" t="s">
        <v>190</v>
      </c>
      <c r="I6" s="48" t="s">
        <v>189</v>
      </c>
      <c r="J6" s="48" t="s">
        <v>190</v>
      </c>
    </row>
    <row r="7" spans="2:10">
      <c r="B7" s="49" t="s">
        <v>191</v>
      </c>
      <c r="C7" s="50">
        <v>5.1201671891327072</v>
      </c>
      <c r="D7" s="50">
        <v>10512.01671891327</v>
      </c>
      <c r="E7" s="50">
        <v>18.082513827779991</v>
      </c>
      <c r="F7" s="50">
        <v>16464.811783960718</v>
      </c>
      <c r="G7" s="50">
        <v>8.6052190169281459</v>
      </c>
      <c r="H7" s="50">
        <v>15116.453794139745</v>
      </c>
      <c r="I7" s="50">
        <v>9.1901389493147079</v>
      </c>
      <c r="J7" s="50">
        <v>40240</v>
      </c>
    </row>
    <row r="8" spans="2:10">
      <c r="B8" s="49" t="s">
        <v>192</v>
      </c>
      <c r="C8" s="50">
        <v>7.4889712933955632</v>
      </c>
      <c r="D8" s="50">
        <v>10748.897129339557</v>
      </c>
      <c r="E8" s="50">
        <v>19.191316218638853</v>
      </c>
      <c r="F8" s="50">
        <v>16932.997607956691</v>
      </c>
      <c r="G8" s="50">
        <v>9.4948471608082841</v>
      </c>
      <c r="H8" s="50">
        <v>15738.683740088503</v>
      </c>
      <c r="I8" s="50">
        <v>5.3082099144538208</v>
      </c>
      <c r="J8" s="50">
        <v>22679.93082227794</v>
      </c>
    </row>
    <row r="9" spans="2:10">
      <c r="B9" s="49" t="s">
        <v>193</v>
      </c>
      <c r="C9" s="50">
        <v>5.6914227994946387</v>
      </c>
      <c r="D9" s="50">
        <v>10569.142279949463</v>
      </c>
      <c r="E9" s="50">
        <v>15.520561759160877</v>
      </c>
      <c r="F9" s="50">
        <v>15416.219185269591</v>
      </c>
      <c r="G9" s="50">
        <v>12.838507957581768</v>
      </c>
      <c r="H9" s="50">
        <v>18293.073301820179</v>
      </c>
      <c r="I9" s="50">
        <v>12.119812826835608</v>
      </c>
      <c r="J9" s="50">
        <v>61180.74275976084</v>
      </c>
    </row>
    <row r="10" spans="2:10">
      <c r="B10" s="49" t="s">
        <v>194</v>
      </c>
      <c r="C10" s="51">
        <v>38.28</v>
      </c>
      <c r="D10" s="52"/>
      <c r="E10" s="51">
        <v>24.44</v>
      </c>
      <c r="F10" s="52"/>
      <c r="G10" s="51">
        <v>26.62</v>
      </c>
      <c r="H10" s="52"/>
      <c r="I10" s="51">
        <v>10</v>
      </c>
      <c r="J10" s="52"/>
    </row>
    <row r="12" spans="2:10" ht="15.6">
      <c r="B12" s="43" t="s">
        <v>195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184</v>
      </c>
      <c r="C13" s="46" t="s">
        <v>185</v>
      </c>
      <c r="D13" s="46"/>
      <c r="E13" s="46" t="s">
        <v>186</v>
      </c>
      <c r="F13" s="46"/>
      <c r="G13" s="46" t="s">
        <v>187</v>
      </c>
      <c r="H13" s="46"/>
      <c r="I13" s="46" t="s">
        <v>188</v>
      </c>
      <c r="J13" s="46"/>
    </row>
    <row r="14" spans="2:10" ht="79.2">
      <c r="B14" s="47"/>
      <c r="C14" s="48" t="s">
        <v>189</v>
      </c>
      <c r="D14" s="48" t="s">
        <v>190</v>
      </c>
      <c r="E14" s="48" t="s">
        <v>189</v>
      </c>
      <c r="F14" s="48" t="s">
        <v>190</v>
      </c>
      <c r="G14" s="48" t="s">
        <v>189</v>
      </c>
      <c r="H14" s="48" t="s">
        <v>190</v>
      </c>
      <c r="I14" s="48" t="s">
        <v>189</v>
      </c>
      <c r="J14" s="48" t="s">
        <v>190</v>
      </c>
    </row>
    <row r="15" spans="2:10">
      <c r="B15" s="49" t="s">
        <v>191</v>
      </c>
      <c r="C15" s="50">
        <v>5.4896142433234374</v>
      </c>
      <c r="D15" s="50">
        <v>10548.961424332345</v>
      </c>
      <c r="E15" s="50">
        <v>18.54150158402026</v>
      </c>
      <c r="F15" s="50">
        <v>16657.555642327214</v>
      </c>
      <c r="G15" s="50">
        <v>9.0653237226282712</v>
      </c>
      <c r="H15" s="50">
        <v>15439.739413680782</v>
      </c>
      <c r="I15" s="50">
        <v>12.77511602847181</v>
      </c>
      <c r="J15" s="50">
        <v>33276.131045241804</v>
      </c>
    </row>
    <row r="16" spans="2:10">
      <c r="B16" s="49" t="s">
        <v>192</v>
      </c>
      <c r="C16" s="50">
        <v>7.4889712933955632</v>
      </c>
      <c r="D16" s="50">
        <v>10748.897129339557</v>
      </c>
      <c r="E16" s="50">
        <v>19.191316218638853</v>
      </c>
      <c r="F16" s="50">
        <v>16932.997607956691</v>
      </c>
      <c r="G16" s="50">
        <v>9.4948471608082841</v>
      </c>
      <c r="H16" s="50">
        <v>15738.683740088503</v>
      </c>
      <c r="I16" s="50">
        <v>8.8791325080724413</v>
      </c>
      <c r="J16" s="50">
        <v>23412.431502795611</v>
      </c>
    </row>
    <row r="17" spans="2:10">
      <c r="B17" s="49" t="s">
        <v>193</v>
      </c>
      <c r="C17" s="50">
        <v>5.6914227994946387</v>
      </c>
      <c r="D17" s="50">
        <v>10569.142279949463</v>
      </c>
      <c r="E17" s="50">
        <v>15.520561759160877</v>
      </c>
      <c r="F17" s="50">
        <v>15416.219185269591</v>
      </c>
      <c r="G17" s="50">
        <v>12.838507957581768</v>
      </c>
      <c r="H17" s="50">
        <v>18293.073301820179</v>
      </c>
      <c r="I17" s="50">
        <v>13.153580189400094</v>
      </c>
      <c r="J17" s="50">
        <v>34409.867177635853</v>
      </c>
    </row>
    <row r="18" spans="2:10">
      <c r="B18" s="49" t="s">
        <v>196</v>
      </c>
      <c r="C18" s="51">
        <v>40.44</v>
      </c>
      <c r="D18" s="52"/>
      <c r="E18" s="51">
        <v>25.61</v>
      </c>
      <c r="F18" s="52"/>
      <c r="G18" s="51">
        <v>27.63</v>
      </c>
      <c r="H18" s="52"/>
      <c r="I18" s="51">
        <v>12.82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2023-01-03T07:35:15Z</dcterms:created>
  <dcterms:modified xsi:type="dcterms:W3CDTF">2023-01-06T13:25:47Z</dcterms:modified>
</cp:coreProperties>
</file>