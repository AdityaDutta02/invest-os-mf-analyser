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7449AE46-FBAB-4482-9D8E-D009E8A3F49F}" xr6:coauthVersionLast="47" xr6:coauthVersionMax="47" xr10:uidLastSave="{00000000-0000-0000-0000-000000000000}"/>
  <bookViews>
    <workbookView xWindow="-120" yWindow="-120" windowWidth="20730" windowHeight="11040" xr2:uid="{FDC164B4-C137-4A0A-B105-9A2C52A379AA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TEF!$C$8:$C$53</definedName>
    <definedName name="XDO_?FINAL_ISIN?5?">TEF!$D$10:$D$53</definedName>
    <definedName name="XDO_?FINAL_ISIN?6?">TEF!$D$10:$D$97</definedName>
    <definedName name="XDO_?FINAL_MV?5?">TEF!$H$10:$H$53</definedName>
    <definedName name="XDO_?FINAL_MV?6?">TEF!$H$10:$H$97</definedName>
    <definedName name="XDO_?FINAL_NAME?5?">TEF!$C$10:$C$53</definedName>
    <definedName name="XDO_?FINAL_NAME?6?">TEF!$C$10:$C$97</definedName>
    <definedName name="XDO_?FINAL_PER_NET?5?">TEF!$I$10:$I$53</definedName>
    <definedName name="XDO_?FINAL_PER_NET?6?">TEF!$I$10:$I$97</definedName>
    <definedName name="XDO_?FINAL_QUANTITE?5?">TEF!$G$10:$G$53</definedName>
    <definedName name="XDO_?FINAL_QUANTITE?6?">TEF!$G$10:$G$97</definedName>
    <definedName name="XDO_?IND_01?5?">TEF!$F$10:$F$53</definedName>
    <definedName name="XDO_?IND_01?6?">TEF!$F$10:$F$97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TEF!$C$2:$C$53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TEF!$B$10:$B$53</definedName>
    <definedName name="XDO_?NOVAL?6?">TEF!$B$10:$B$97</definedName>
    <definedName name="XDO_?NPTF?3?">TEF!$D$2:$D$53</definedName>
    <definedName name="XDO_?RATING?5?">TEF!$E$10:$E$53</definedName>
    <definedName name="XDO_?RATING?6?">TEF!$E$10:$E$97</definedName>
    <definedName name="XDO_?REMARKS?5?">TEF!$J$10:$J$53</definedName>
    <definedName name="XDO_?REMARKS?6?">TEF!$J$10:$J$97</definedName>
    <definedName name="XDO_?TITL?3?">TEF!$A$8:$A$53</definedName>
    <definedName name="XDO_GROUP_?G_2?3?">TEF!$2:$100</definedName>
    <definedName name="XDO_GROUP_?G_3?3?">TEF!$8:$99</definedName>
    <definedName name="XDO_GROUP_?G_4?5?">TEF!$B$10:$IV$53</definedName>
    <definedName name="XDO_GROUP_?G_4?6?">TEF!$B$97:$IV$97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<sst xmlns="http://schemas.openxmlformats.org/spreadsheetml/2006/main" count="290" uniqueCount="215">
  <si>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</si>
  <si>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</si>
  <si>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</si>
  <si>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</si>
  <si>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</si>
  <si>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</si>
  <si>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</si>
  <si>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</si>
  <si>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</si>
  <si>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</si>
  <si>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</si>
  <si>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</si>
  <si>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</si>
  <si>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</si>
  <si>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</si>
  <si>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</si>
  <si>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</si>
  <si>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</si>
  <si>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</si>
  <si>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</si>
  <si>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</si>
  <si>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</si>
  <si>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</si>
  <si>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100106</t>
  </si>
  <si>
    <t>Maruti Suzuki India Ltd.</t>
  </si>
  <si>
    <t>INE585B01010</t>
  </si>
  <si>
    <t>Automobiles</t>
  </si>
  <si>
    <t>100037</t>
  </si>
  <si>
    <t>HCL Technologies Ltd.</t>
  </si>
  <si>
    <t>INE860A01027</t>
  </si>
  <si>
    <t>101178</t>
  </si>
  <si>
    <t>Computer Age Management Services Ltd.</t>
  </si>
  <si>
    <t>INE596I01012</t>
  </si>
  <si>
    <t>Capital Markets</t>
  </si>
  <si>
    <t>100032</t>
  </si>
  <si>
    <t>Tata Consultancy Services Ltd.</t>
  </si>
  <si>
    <t>INE467B01029</t>
  </si>
  <si>
    <t>100045</t>
  </si>
  <si>
    <t>Gujarat Pipavav Port Ltd.</t>
  </si>
  <si>
    <t>INE517F01014</t>
  </si>
  <si>
    <t>Transport Infrastructure</t>
  </si>
  <si>
    <t>100164</t>
  </si>
  <si>
    <t>Petronet LNG Ltd.</t>
  </si>
  <si>
    <t>INE347G01014</t>
  </si>
  <si>
    <t>Gas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</si>
  <si>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</si>
  <si>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</si>
  <si>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</si>
  <si>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</si>
  <si>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</si>
  <si>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</si>
  <si>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</si>
  <si>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100029</t>
  </si>
  <si>
    <t>Mphasis Ltd.</t>
  </si>
  <si>
    <t>INE356A01018</t>
  </si>
  <si>
    <t>100020</t>
  </si>
  <si>
    <t>Tata Consumer Products Ltd.</t>
  </si>
  <si>
    <t>INE192A01025</t>
  </si>
  <si>
    <t>Agricultural Food &amp; other Products</t>
  </si>
  <si>
    <t>100271</t>
  </si>
  <si>
    <t>Balkrishna Industries Ltd.</t>
  </si>
  <si>
    <t>INE787D01026</t>
  </si>
  <si>
    <t>Auto Components</t>
  </si>
  <si>
    <t>100474</t>
  </si>
  <si>
    <t>Narayana Hrudayalaya Ltd.</t>
  </si>
  <si>
    <t>INE410P01011</t>
  </si>
  <si>
    <t>Healthcare Services</t>
  </si>
  <si>
    <t>100089</t>
  </si>
  <si>
    <t>Bharat Electronics Ltd.</t>
  </si>
  <si>
    <t>INE263A01024</t>
  </si>
  <si>
    <t>Aerospace &amp; Defense</t>
  </si>
  <si>
    <t>100099</t>
  </si>
  <si>
    <t>Hindustan Unilever Ltd.</t>
  </si>
  <si>
    <t>INE030A01027</t>
  </si>
  <si>
    <t>Diversified FMCG</t>
  </si>
  <si>
    <t>100027</t>
  </si>
  <si>
    <t>Pidilite Industries Ltd.</t>
  </si>
  <si>
    <t>INE318A01026</t>
  </si>
  <si>
    <t>Chemicals &amp; Petrochemicals</t>
  </si>
  <si>
    <t>100004</t>
  </si>
  <si>
    <t>Zydus Lifesciences Ltd.</t>
  </si>
  <si>
    <t>INE010B01027</t>
  </si>
  <si>
    <t>100270</t>
  </si>
  <si>
    <t>PI Industries Ltd.</t>
  </si>
  <si>
    <t>INE603J01030</t>
  </si>
  <si>
    <t>Fertilizers &amp; Agrochemicals</t>
  </si>
  <si>
    <t>100830</t>
  </si>
  <si>
    <t>Varun Beverages Ltd.</t>
  </si>
  <si>
    <t>INE200M01021</t>
  </si>
  <si>
    <t>Beverages</t>
  </si>
  <si>
    <t>100219</t>
  </si>
  <si>
    <t>Indraprastha Gas Ltd.</t>
  </si>
  <si>
    <t>INE203G01027</t>
  </si>
  <si>
    <t>100147</t>
  </si>
  <si>
    <t>Tech Mahindra Ltd.</t>
  </si>
  <si>
    <t>INE669C01036</t>
  </si>
  <si>
    <t>101176</t>
  </si>
  <si>
    <t>Happiest Minds Technologies Ltd.</t>
  </si>
  <si>
    <t>INE419U01012</t>
  </si>
  <si>
    <t>100188</t>
  </si>
  <si>
    <t>Firstsource Solutions Ltd.</t>
  </si>
  <si>
    <t>INE684F01012</t>
  </si>
  <si>
    <t>Commercial Services &amp; Supplies</t>
  </si>
  <si>
    <t>100176</t>
  </si>
  <si>
    <t>GAIL (India) Ltd.</t>
  </si>
  <si>
    <t>INE129A01019</t>
  </si>
  <si>
    <t>100447</t>
  </si>
  <si>
    <t>LTIMindtree Ltd.</t>
  </si>
  <si>
    <t>INE214T01019</t>
  </si>
  <si>
    <t>100283</t>
  </si>
  <si>
    <t>Honeywell Automation India Ltd.</t>
  </si>
  <si>
    <t>INE671A01010</t>
  </si>
  <si>
    <t>Industrial Manufacturing</t>
  </si>
  <si>
    <t>100872</t>
  </si>
  <si>
    <t>KPIT Technologies Ltd.</t>
  </si>
  <si>
    <t>INE04I401011</t>
  </si>
  <si>
    <t>100035</t>
  </si>
  <si>
    <t>NMDC Ltd.</t>
  </si>
  <si>
    <t>INE584A01023</t>
  </si>
  <si>
    <t>Minerals &amp; Mining</t>
  </si>
  <si>
    <t>100536</t>
  </si>
  <si>
    <t>VIP Industries Ltd.</t>
  </si>
  <si>
    <t>INE054A01027</t>
  </si>
  <si>
    <t>Consumer Durables</t>
  </si>
  <si>
    <t>100018</t>
  </si>
  <si>
    <t>Tata Communications Ltd.</t>
  </si>
  <si>
    <t>INE151A01013</t>
  </si>
  <si>
    <t>Telecom - Services</t>
  </si>
  <si>
    <t>101457</t>
  </si>
  <si>
    <t>Motherson Sumi Wiring India Ltd.</t>
  </si>
  <si>
    <t>INE0FS801015</t>
  </si>
  <si>
    <t>100155</t>
  </si>
  <si>
    <t>Divi's Laboratories Ltd.</t>
  </si>
  <si>
    <t>INE361B01024</t>
  </si>
  <si>
    <t>100172</t>
  </si>
  <si>
    <t>ACC Ltd.</t>
  </si>
  <si>
    <t>INE012A01025</t>
  </si>
  <si>
    <t>Cement &amp; Cement Products</t>
  </si>
  <si>
    <t>100080</t>
  </si>
  <si>
    <t>Dr. Reddy's Laboratories Ltd.</t>
  </si>
  <si>
    <t>INE089A01023</t>
  </si>
  <si>
    <t>100565</t>
  </si>
  <si>
    <t>Glaxosmithkline Pharmaceuticals Ltd.</t>
  </si>
  <si>
    <t>INE159A01016</t>
  </si>
  <si>
    <t>100133</t>
  </si>
  <si>
    <t>Oracle Financial Services Software Ltd.</t>
  </si>
  <si>
    <t>INE881D01027</t>
  </si>
  <si>
    <t>100096</t>
  </si>
  <si>
    <t>Container Corporation of India Ltd.</t>
  </si>
  <si>
    <t>INE111A01025</t>
  </si>
  <si>
    <t>Transport Services</t>
  </si>
  <si>
    <t>100342</t>
  </si>
  <si>
    <t>Vardhman Textiles Ltd.</t>
  </si>
  <si>
    <t>INE825A01020</t>
  </si>
  <si>
    <t>Textiles &amp; Apparels</t>
  </si>
  <si>
    <t>100257</t>
  </si>
  <si>
    <t>Whirlpool of India Ltd.</t>
  </si>
  <si>
    <t>INE716A01013</t>
  </si>
  <si>
    <t>100093</t>
  </si>
  <si>
    <t>Blue Dart Express Ltd.</t>
  </si>
  <si>
    <t>INE233B01017</t>
  </si>
  <si>
    <t>100293</t>
  </si>
  <si>
    <t>AIA Engineering Ltd.</t>
  </si>
  <si>
    <t>INE212H01026</t>
  </si>
  <si>
    <t>Industrial Products</t>
  </si>
  <si>
    <t>100635</t>
  </si>
  <si>
    <t>L&amp;T Technology Services Ltd.</t>
  </si>
  <si>
    <t>INE010V01017</t>
  </si>
  <si>
    <t>IT - Services</t>
  </si>
  <si>
    <t>100383</t>
  </si>
  <si>
    <t>Lakshmi Machine Works Ltd.</t>
  </si>
  <si>
    <t>INE269B01029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</si>
  <si>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</si>
  <si>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</si>
  <si>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</si>
  <si>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</si>
  <si>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</si>
  <si>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</si>
  <si>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</si>
  <si>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</si>
  <si>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</si>
  <si>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</si>
  <si>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</si>
  <si>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</si>
  <si>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</si>
  <si>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</si>
  <si>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</si>
  <si>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</si>
  <si>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</si>
  <si>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</si>
  <si>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</si>
  <si>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</si>
  <si>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</si>
  <si>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</si>
  <si>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</si>
  <si>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</si>
  <si>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</si>
  <si>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</si>
  <si>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</si>
  <si>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</si>
  <si>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</si>
  <si>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</si>
  <si>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</si>
  <si>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</si>
  <si>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</si>
  <si>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</si>
  <si>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</si>
  <si>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</si>
  <si>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</si>
  <si>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</si>
  <si>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</si>
  <si>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</si>
  <si>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March 31, 2024 : 117.06)</t>
  </si>
  <si>
    <t>Taurus Ethical Fund - Direct Plan Growth Option</t>
  </si>
  <si>
    <t>NAV [Rs.] Per Unit  (as on March 31, 2024 : 129.62)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</si>
</sst>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92439B8-761E-4160-BC36-3840D5477378}"/>
    <cellStyle name="Hyperlink" xfId="2" builtinId="8"/>
    <cellStyle name="Normal" xfId="0" builtinId="0"/>
    <cellStyle name="Normal 2" xfId="4" xr:uid="{C810AADC-CFEE-4E41-9753-E31DF5FDB5A4}"/>
    <cellStyle name="Style 1" xfId="3" xr:uid="{8A762D54-E83E-4098-9D80-FFD2CFA03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1957917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88F95072-D00B-4F6E-9B05-62BEAEE85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5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C3F4-445A-4B5A-813D-69D75E3DF214}">
  <dimension ref="A1:IV106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32512</v>
      </c>
      <c r="H10" s="32">
        <v>967.82</v>
      </c>
      <c r="I10" s="32">
        <v>5.84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64319</v>
      </c>
      <c r="H11" s="32">
        <v>964.01</v>
      </c>
      <c r="I11" s="32">
        <v>5.82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6856</v>
      </c>
      <c r="H12" s="32">
        <v>864.75</v>
      </c>
      <c r="I12" s="32">
        <v>5.22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51393</v>
      </c>
      <c r="H13" s="32">
        <v>793.15</v>
      </c>
      <c r="I13" s="32">
        <v>4.79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20770</v>
      </c>
      <c r="H14" s="32">
        <v>605.52</v>
      </c>
      <c r="I14" s="32">
        <v>3.66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15099</v>
      </c>
      <c r="H15" s="32">
        <v>586.38</v>
      </c>
      <c r="I15" s="32">
        <v>3.54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242979</v>
      </c>
      <c r="H16" s="32">
        <v>516.45000000000005</v>
      </c>
      <c r="I16" s="32">
        <v>3.12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171525</v>
      </c>
      <c r="H17" s="32">
        <v>451.71</v>
      </c>
      <c r="I17" s="32">
        <v>2.73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29372</v>
      </c>
      <c r="H18" s="32">
        <v>439.01</v>
      </c>
      <c r="I18" s="32">
        <v>2.65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48</v>
      </c>
      <c r="G19" s="31">
        <v>25000</v>
      </c>
      <c r="H19" s="32">
        <v>405.13</v>
      </c>
      <c r="I19" s="32">
        <v>2.4500000000000002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22</v>
      </c>
      <c r="G20" s="31">
        <v>16763</v>
      </c>
      <c r="H20" s="32">
        <v>400.33</v>
      </c>
      <c r="I20" s="32">
        <v>2.42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36157</v>
      </c>
      <c r="H21" s="32">
        <v>396.06</v>
      </c>
      <c r="I21" s="32">
        <v>2.39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16761</v>
      </c>
      <c r="H22" s="32">
        <v>388.52</v>
      </c>
      <c r="I22" s="32">
        <v>2.35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29770</v>
      </c>
      <c r="H23" s="32">
        <v>381.13</v>
      </c>
      <c r="I23" s="32">
        <v>2.2999999999999998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182312</v>
      </c>
      <c r="H24" s="32">
        <v>367.27</v>
      </c>
      <c r="I24" s="32">
        <v>2.2200000000000002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16013</v>
      </c>
      <c r="H25" s="32">
        <v>363.21</v>
      </c>
      <c r="I25" s="32">
        <v>2.19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11809</v>
      </c>
      <c r="H26" s="32">
        <v>356.01</v>
      </c>
      <c r="I26" s="32">
        <v>2.15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48</v>
      </c>
      <c r="G27" s="31">
        <v>33938</v>
      </c>
      <c r="H27" s="32">
        <v>341.16</v>
      </c>
      <c r="I27" s="32">
        <v>2.06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8322</v>
      </c>
      <c r="H28" s="32">
        <v>321.97000000000003</v>
      </c>
      <c r="I28" s="32">
        <v>1.94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22634</v>
      </c>
      <c r="H29" s="32">
        <v>316.45</v>
      </c>
      <c r="I29" s="32">
        <v>1.91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44</v>
      </c>
      <c r="G30" s="31">
        <v>71277</v>
      </c>
      <c r="H30" s="32">
        <v>307.17</v>
      </c>
      <c r="I30" s="32">
        <v>1.85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22</v>
      </c>
      <c r="G31" s="31">
        <v>23311</v>
      </c>
      <c r="H31" s="32">
        <v>291.48</v>
      </c>
      <c r="I31" s="32">
        <v>1.76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22</v>
      </c>
      <c r="G32" s="31">
        <v>37964</v>
      </c>
      <c r="H32" s="32">
        <v>282.49</v>
      </c>
      <c r="I32" s="32">
        <v>1.71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143131</v>
      </c>
      <c r="H33" s="32">
        <v>282.39999999999998</v>
      </c>
      <c r="I33" s="32">
        <v>1.71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44</v>
      </c>
      <c r="G34" s="31">
        <v>155318</v>
      </c>
      <c r="H34" s="32">
        <v>281.36</v>
      </c>
      <c r="I34" s="32">
        <v>1.7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22</v>
      </c>
      <c r="G35" s="31">
        <v>5151</v>
      </c>
      <c r="H35" s="32">
        <v>254.26</v>
      </c>
      <c r="I35" s="32">
        <v>1.54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635</v>
      </c>
      <c r="H36" s="32">
        <v>245.43</v>
      </c>
      <c r="I36" s="32">
        <v>1.48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22</v>
      </c>
      <c r="G37" s="31">
        <v>16015</v>
      </c>
      <c r="H37" s="32">
        <v>238.02</v>
      </c>
      <c r="I37" s="32">
        <v>1.44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115198</v>
      </c>
      <c r="H38" s="32">
        <v>232.35</v>
      </c>
      <c r="I38" s="32">
        <v>1.4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44012</v>
      </c>
      <c r="H39" s="32">
        <v>231.44</v>
      </c>
      <c r="I39" s="32">
        <v>1.4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10282</v>
      </c>
      <c r="H40" s="32">
        <v>206.8</v>
      </c>
      <c r="I40" s="32">
        <v>1.25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62</v>
      </c>
      <c r="G41" s="31">
        <v>303414</v>
      </c>
      <c r="H41" s="32">
        <v>200.16</v>
      </c>
      <c r="I41" s="32">
        <v>1.21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48</v>
      </c>
      <c r="G42" s="31">
        <v>5530</v>
      </c>
      <c r="H42" s="32">
        <v>190.05</v>
      </c>
      <c r="I42" s="32">
        <v>1.1499999999999999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7622</v>
      </c>
      <c r="H43" s="32">
        <v>189.84</v>
      </c>
      <c r="I43" s="32">
        <v>1.1499999999999999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48</v>
      </c>
      <c r="G44" s="31">
        <v>3050</v>
      </c>
      <c r="H44" s="32">
        <v>187.73</v>
      </c>
      <c r="I44" s="32">
        <v>1.1299999999999999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48</v>
      </c>
      <c r="G45" s="31">
        <v>9603</v>
      </c>
      <c r="H45" s="32">
        <v>186.6</v>
      </c>
      <c r="I45" s="32">
        <v>1.1299999999999999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22</v>
      </c>
      <c r="G46" s="31">
        <v>1906</v>
      </c>
      <c r="H46" s="32">
        <v>167.08</v>
      </c>
      <c r="I46" s="32">
        <v>1.01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18559</v>
      </c>
      <c r="H47" s="32">
        <v>163.72999999999999</v>
      </c>
      <c r="I47" s="32">
        <v>0.99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34458</v>
      </c>
      <c r="H48" s="32">
        <v>152.86000000000001</v>
      </c>
      <c r="I48" s="32">
        <v>0.92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123</v>
      </c>
      <c r="G49" s="31">
        <v>11985</v>
      </c>
      <c r="H49" s="32">
        <v>145.63999999999999</v>
      </c>
      <c r="I49" s="32">
        <v>0.88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150</v>
      </c>
      <c r="G50" s="31">
        <v>2337</v>
      </c>
      <c r="H50" s="32">
        <v>144.43</v>
      </c>
      <c r="I50" s="32">
        <v>0.87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3614</v>
      </c>
      <c r="H51" s="32">
        <v>141.51</v>
      </c>
      <c r="I51" s="32">
        <v>0.85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1365</v>
      </c>
      <c r="H52" s="32">
        <v>74.81</v>
      </c>
      <c r="I52" s="32">
        <v>0.45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112</v>
      </c>
      <c r="G53" s="31">
        <v>175</v>
      </c>
      <c r="H53" s="32">
        <v>26.54</v>
      </c>
      <c r="I53" s="32">
        <v>0.16</v>
      </c>
      <c r="J53" s="33"/>
    </row>
    <row r="54" spans="2:10" x14ac:dyDescent="0.25">
      <c r="C54" s="28" t="s">
        <v>172</v>
      </c>
      <c r="D54" s="29"/>
      <c r="E54" s="30"/>
      <c r="F54" s="30"/>
      <c r="G54" s="31"/>
      <c r="H54" s="35">
        <v>15050.22</v>
      </c>
      <c r="I54" s="35">
        <v>90.89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28" t="s">
        <v>173</v>
      </c>
      <c r="D56" s="29"/>
      <c r="E56" s="30"/>
      <c r="F56" s="30"/>
      <c r="G56" s="31"/>
      <c r="H56" s="32" t="s">
        <v>174</v>
      </c>
      <c r="I56" s="32" t="s">
        <v>174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175</v>
      </c>
      <c r="D58" s="29"/>
      <c r="E58" s="30"/>
      <c r="F58" s="30"/>
      <c r="G58" s="31"/>
      <c r="H58" s="32" t="s">
        <v>174</v>
      </c>
      <c r="I58" s="32" t="s">
        <v>174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176</v>
      </c>
      <c r="D60" s="29"/>
      <c r="E60" s="30"/>
      <c r="F60" s="30"/>
      <c r="G60" s="31"/>
      <c r="H60" s="32"/>
      <c r="I60" s="32"/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177</v>
      </c>
      <c r="D62" s="29"/>
      <c r="E62" s="30"/>
      <c r="F62" s="30"/>
      <c r="G62" s="31"/>
      <c r="H62" s="32" t="s">
        <v>174</v>
      </c>
      <c r="I62" s="32" t="s">
        <v>174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178</v>
      </c>
      <c r="D64" s="29"/>
      <c r="E64" s="30"/>
      <c r="F64" s="30"/>
      <c r="G64" s="31"/>
      <c r="H64" s="32" t="s">
        <v>174</v>
      </c>
      <c r="I64" s="32" t="s">
        <v>174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179</v>
      </c>
      <c r="D66" s="29"/>
      <c r="E66" s="30"/>
      <c r="F66" s="30"/>
      <c r="G66" s="31"/>
      <c r="H66" s="32" t="s">
        <v>174</v>
      </c>
      <c r="I66" s="32" t="s">
        <v>174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180</v>
      </c>
      <c r="D68" s="29"/>
      <c r="E68" s="30"/>
      <c r="F68" s="30"/>
      <c r="G68" s="31"/>
      <c r="H68" s="32" t="s">
        <v>174</v>
      </c>
      <c r="I68" s="32" t="s">
        <v>174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181</v>
      </c>
      <c r="D70" s="29"/>
      <c r="E70" s="30"/>
      <c r="F70" s="30"/>
      <c r="G70" s="31"/>
      <c r="H70" s="32" t="s">
        <v>174</v>
      </c>
      <c r="I70" s="32" t="s">
        <v>174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182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183</v>
      </c>
      <c r="D74" s="29"/>
      <c r="E74" s="30"/>
      <c r="F74" s="30"/>
      <c r="G74" s="31"/>
      <c r="H74" s="32" t="s">
        <v>174</v>
      </c>
      <c r="I74" s="32" t="s">
        <v>174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184</v>
      </c>
      <c r="D76" s="29"/>
      <c r="E76" s="30"/>
      <c r="F76" s="30"/>
      <c r="G76" s="31"/>
      <c r="H76" s="32" t="s">
        <v>174</v>
      </c>
      <c r="I76" s="32" t="s">
        <v>174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185</v>
      </c>
      <c r="D78" s="29"/>
      <c r="E78" s="30"/>
      <c r="F78" s="30"/>
      <c r="G78" s="31"/>
      <c r="H78" s="32" t="s">
        <v>174</v>
      </c>
      <c r="I78" s="32" t="s">
        <v>174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186</v>
      </c>
      <c r="D80" s="29"/>
      <c r="E80" s="30"/>
      <c r="F80" s="30"/>
      <c r="G80" s="31"/>
      <c r="H80" s="32" t="s">
        <v>174</v>
      </c>
      <c r="I80" s="32" t="s">
        <v>174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187</v>
      </c>
      <c r="D82" s="29"/>
      <c r="E82" s="30"/>
      <c r="F82" s="30"/>
      <c r="G82" s="31"/>
      <c r="H82" s="32"/>
      <c r="I82" s="32"/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188</v>
      </c>
      <c r="D84" s="29"/>
      <c r="E84" s="30"/>
      <c r="F84" s="30"/>
      <c r="G84" s="31"/>
      <c r="H84" s="32" t="s">
        <v>174</v>
      </c>
      <c r="I84" s="32" t="s">
        <v>174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189</v>
      </c>
      <c r="D86" s="29"/>
      <c r="E86" s="30"/>
      <c r="F86" s="30"/>
      <c r="G86" s="31"/>
      <c r="H86" s="32" t="s">
        <v>174</v>
      </c>
      <c r="I86" s="32" t="s">
        <v>174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190</v>
      </c>
      <c r="D88" s="29"/>
      <c r="E88" s="30"/>
      <c r="F88" s="30"/>
      <c r="G88" s="31"/>
      <c r="H88" s="32" t="s">
        <v>174</v>
      </c>
      <c r="I88" s="32" t="s">
        <v>174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191</v>
      </c>
      <c r="D90" s="29"/>
      <c r="E90" s="30"/>
      <c r="F90" s="30"/>
      <c r="G90" s="31"/>
      <c r="H90" s="32" t="s">
        <v>174</v>
      </c>
      <c r="I90" s="32" t="s">
        <v>174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192</v>
      </c>
      <c r="D92" s="29"/>
      <c r="E92" s="30"/>
      <c r="F92" s="30"/>
      <c r="G92" s="31"/>
      <c r="H92" s="32" t="s">
        <v>174</v>
      </c>
      <c r="I92" s="32" t="s">
        <v>174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193</v>
      </c>
      <c r="D94" s="29"/>
      <c r="E94" s="30"/>
      <c r="F94" s="30"/>
      <c r="G94" s="31"/>
      <c r="H94" s="32" t="s">
        <v>174</v>
      </c>
      <c r="I94" s="32" t="s">
        <v>174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194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195</v>
      </c>
      <c r="D97" s="29"/>
      <c r="E97" s="30"/>
      <c r="F97" s="30"/>
      <c r="G97" s="31"/>
      <c r="H97" s="32">
        <v>1510.47</v>
      </c>
      <c r="I97" s="32">
        <v>9.11</v>
      </c>
      <c r="J97" s="33"/>
    </row>
    <row r="98" spans="2:10" x14ac:dyDescent="0.25">
      <c r="C98" s="28" t="s">
        <v>172</v>
      </c>
      <c r="D98" s="29"/>
      <c r="E98" s="30"/>
      <c r="F98" s="30"/>
      <c r="G98" s="31"/>
      <c r="H98" s="35">
        <v>1510.47</v>
      </c>
      <c r="I98" s="35">
        <v>9.11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5.75" thickBot="1" x14ac:dyDescent="0.3">
      <c r="C100" s="36" t="s">
        <v>196</v>
      </c>
      <c r="D100" s="37"/>
      <c r="E100" s="38"/>
      <c r="F100" s="39"/>
      <c r="G100" s="40"/>
      <c r="H100" s="41">
        <v>16560.689999999999</v>
      </c>
      <c r="I100" s="41">
        <f>SUMIFS(I:I,C:C,"Total")</f>
        <v>100</v>
      </c>
      <c r="J100" s="42"/>
    </row>
    <row r="103" spans="2:10" x14ac:dyDescent="0.25">
      <c r="C103" s="11" t="s">
        <v>197</v>
      </c>
    </row>
    <row r="104" spans="2:10" x14ac:dyDescent="0.25">
      <c r="C104" s="2" t="s">
        <v>198</v>
      </c>
    </row>
    <row r="105" spans="2:10" x14ac:dyDescent="0.25">
      <c r="C105" s="2" t="s">
        <v>199</v>
      </c>
    </row>
    <row r="106" spans="2:10" x14ac:dyDescent="0.25">
      <c r="C106" s="2" t="s">
        <v>200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FFB7-F169-4CA7-AC46-C90946621B60}">
  <dimension ref="B3:J17"/>
  <sheetViews>
    <sheetView workbookViewId="0"/>
  </sheetViews>
  <sheetFormatPr defaultRowHeight="15" x14ac:dyDescent="0.25"/>
  <cols>
    <col min="2" max="2" width="47.140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201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202</v>
      </c>
      <c r="C4" s="46" t="s">
        <v>203</v>
      </c>
      <c r="D4" s="46"/>
      <c r="E4" s="46" t="s">
        <v>204</v>
      </c>
      <c r="F4" s="46"/>
      <c r="G4" s="46" t="s">
        <v>205</v>
      </c>
      <c r="H4" s="46"/>
      <c r="I4" s="46" t="s">
        <v>206</v>
      </c>
      <c r="J4" s="46"/>
    </row>
    <row r="5" spans="2:10" ht="63.75" x14ac:dyDescent="0.25">
      <c r="B5" s="47"/>
      <c r="C5" s="48" t="s">
        <v>207</v>
      </c>
      <c r="D5" s="48" t="s">
        <v>208</v>
      </c>
      <c r="E5" s="48" t="s">
        <v>207</v>
      </c>
      <c r="F5" s="48" t="s">
        <v>208</v>
      </c>
      <c r="G5" s="48" t="s">
        <v>207</v>
      </c>
      <c r="H5" s="48" t="s">
        <v>208</v>
      </c>
      <c r="I5" s="48" t="s">
        <v>207</v>
      </c>
      <c r="J5" s="48" t="s">
        <v>208</v>
      </c>
    </row>
    <row r="6" spans="2:10" x14ac:dyDescent="0.25">
      <c r="B6" s="49" t="s">
        <v>209</v>
      </c>
      <c r="C6" s="50">
        <v>47.052806485884858</v>
      </c>
      <c r="D6" s="50">
        <v>14720.824949698192</v>
      </c>
      <c r="E6" s="50">
        <v>18.218239415194958</v>
      </c>
      <c r="F6" s="50">
        <v>16529.22903134708</v>
      </c>
      <c r="G6" s="50">
        <v>17.887493199534489</v>
      </c>
      <c r="H6" s="50">
        <v>22809.820732657834</v>
      </c>
      <c r="I6" s="50">
        <v>17.825759142962404</v>
      </c>
      <c r="J6" s="50">
        <v>117060</v>
      </c>
    </row>
    <row r="7" spans="2:10" x14ac:dyDescent="0.25">
      <c r="B7" s="49" t="s">
        <v>210</v>
      </c>
      <c r="C7" s="50">
        <v>40.101564787709606</v>
      </c>
      <c r="D7" s="50">
        <v>14010.156478770961</v>
      </c>
      <c r="E7" s="50">
        <v>16.378296743939224</v>
      </c>
      <c r="F7" s="50">
        <v>15762.169388292037</v>
      </c>
      <c r="G7" s="50">
        <v>18.849202908543994</v>
      </c>
      <c r="H7" s="50">
        <v>23712.719654748063</v>
      </c>
      <c r="I7" s="50">
        <v>17.086516762321779</v>
      </c>
      <c r="J7" s="50">
        <v>106470.16168398554</v>
      </c>
    </row>
    <row r="8" spans="2:10" x14ac:dyDescent="0.25">
      <c r="B8" s="49" t="s">
        <v>211</v>
      </c>
      <c r="C8" s="50">
        <v>29.991061160818866</v>
      </c>
      <c r="D8" s="50">
        <v>12999.106116081886</v>
      </c>
      <c r="E8" s="50">
        <v>16.298056124779148</v>
      </c>
      <c r="F8" s="50">
        <v>15729.588715574562</v>
      </c>
      <c r="G8" s="50">
        <v>15.240203602027647</v>
      </c>
      <c r="H8" s="50">
        <v>20324.510021371232</v>
      </c>
      <c r="I8" s="50">
        <v>15.05721118496044</v>
      </c>
      <c r="J8" s="50">
        <v>81916.968693153773</v>
      </c>
    </row>
    <row r="9" spans="2:10" x14ac:dyDescent="0.25">
      <c r="B9" s="49" t="s">
        <v>212</v>
      </c>
      <c r="C9" s="51">
        <v>79.52</v>
      </c>
      <c r="D9" s="52"/>
      <c r="E9" s="51">
        <v>70.819999999999993</v>
      </c>
      <c r="F9" s="52"/>
      <c r="G9" s="51">
        <v>51.32</v>
      </c>
      <c r="H9" s="52"/>
      <c r="I9" s="51">
        <v>10</v>
      </c>
      <c r="J9" s="52"/>
    </row>
    <row r="11" spans="2:10" ht="15.75" x14ac:dyDescent="0.25">
      <c r="B11" s="43" t="s">
        <v>213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202</v>
      </c>
      <c r="C12" s="46" t="s">
        <v>203</v>
      </c>
      <c r="D12" s="46"/>
      <c r="E12" s="46" t="s">
        <v>204</v>
      </c>
      <c r="F12" s="46"/>
      <c r="G12" s="46" t="s">
        <v>205</v>
      </c>
      <c r="H12" s="46"/>
      <c r="I12" s="46" t="s">
        <v>206</v>
      </c>
      <c r="J12" s="46"/>
    </row>
    <row r="13" spans="2:10" ht="63.75" x14ac:dyDescent="0.25">
      <c r="B13" s="47"/>
      <c r="C13" s="48" t="s">
        <v>207</v>
      </c>
      <c r="D13" s="48" t="s">
        <v>208</v>
      </c>
      <c r="E13" s="48" t="s">
        <v>207</v>
      </c>
      <c r="F13" s="48" t="s">
        <v>208</v>
      </c>
      <c r="G13" s="48" t="s">
        <v>207</v>
      </c>
      <c r="H13" s="48" t="s">
        <v>208</v>
      </c>
      <c r="I13" s="48" t="s">
        <v>207</v>
      </c>
      <c r="J13" s="48" t="s">
        <v>208</v>
      </c>
    </row>
    <row r="14" spans="2:10" x14ac:dyDescent="0.25">
      <c r="B14" s="49" t="s">
        <v>209</v>
      </c>
      <c r="C14" s="50">
        <v>48.80923698469126</v>
      </c>
      <c r="D14" s="50">
        <v>14897.138259970119</v>
      </c>
      <c r="E14" s="50">
        <v>19.547227358791709</v>
      </c>
      <c r="F14" s="50">
        <v>17093.498615323751</v>
      </c>
      <c r="G14" s="50">
        <v>19.146730847722871</v>
      </c>
      <c r="H14" s="50">
        <v>24057.164068299924</v>
      </c>
      <c r="I14" s="50">
        <v>16.405656393906142</v>
      </c>
      <c r="J14" s="50">
        <v>55251.491901108267</v>
      </c>
    </row>
    <row r="15" spans="2:10" x14ac:dyDescent="0.25">
      <c r="B15" s="49" t="s">
        <v>210</v>
      </c>
      <c r="C15" s="50">
        <v>40.101564787709606</v>
      </c>
      <c r="D15" s="50">
        <v>14010.156478770961</v>
      </c>
      <c r="E15" s="50">
        <v>16.378296743939224</v>
      </c>
      <c r="F15" s="50">
        <v>15762.169388292037</v>
      </c>
      <c r="G15" s="50">
        <v>18.849202908543994</v>
      </c>
      <c r="H15" s="50">
        <v>23712.719654748063</v>
      </c>
      <c r="I15" s="50">
        <v>16.699850755484125</v>
      </c>
      <c r="J15" s="50">
        <v>56843.223456570522</v>
      </c>
    </row>
    <row r="16" spans="2:10" x14ac:dyDescent="0.25">
      <c r="B16" s="49" t="s">
        <v>211</v>
      </c>
      <c r="C16" s="50">
        <v>29.991061160818866</v>
      </c>
      <c r="D16" s="50">
        <v>12999.106116081886</v>
      </c>
      <c r="E16" s="50">
        <v>16.298056124779148</v>
      </c>
      <c r="F16" s="50">
        <v>15729.588715574562</v>
      </c>
      <c r="G16" s="50">
        <v>15.240203602027647</v>
      </c>
      <c r="H16" s="50">
        <v>20324.510021371232</v>
      </c>
      <c r="I16" s="50">
        <v>13.83119370039465</v>
      </c>
      <c r="J16" s="50">
        <v>42959.094580711593</v>
      </c>
    </row>
    <row r="17" spans="2:10" x14ac:dyDescent="0.25">
      <c r="B17" s="49" t="s">
        <v>214</v>
      </c>
      <c r="C17" s="51">
        <v>87.01</v>
      </c>
      <c r="D17" s="52"/>
      <c r="E17" s="51">
        <v>75.83</v>
      </c>
      <c r="F17" s="52"/>
      <c r="G17" s="51">
        <v>53.88</v>
      </c>
      <c r="H17" s="52"/>
      <c r="I17" s="51">
        <v>23.46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2024-03-31T14:02:56Z</dcterms:created>
  <dcterms:modified xsi:type="dcterms:W3CDTF">2024-04-05T10:24:06Z</dcterms:modified>
</cp:coreProperties>
</file>