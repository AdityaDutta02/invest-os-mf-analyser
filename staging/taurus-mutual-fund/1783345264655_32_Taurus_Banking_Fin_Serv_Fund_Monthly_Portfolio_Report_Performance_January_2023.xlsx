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Portfolio'!$C$8:$C$27</definedName>
    <definedName name="XDO_?FINAL_ISIN?1?">'TBFS - Risk-O-Meter &amp; Portfolio'!$D$10:$D$27</definedName>
    <definedName name="XDO_?FINAL_ISIN?2?">'TBFS - Risk-O-Meter &amp; Portfolio'!$D$10:$D$69</definedName>
    <definedName name="XDO_?FINAL_MV?1?">'TBFS - Risk-O-Meter &amp; Portfolio'!$H$10:$H$27</definedName>
    <definedName name="XDO_?FINAL_MV?2?">'TBFS - Risk-O-Meter &amp; Portfolio'!$H$10:$H$69</definedName>
    <definedName name="XDO_?FINAL_NAME?1?">'TBFS - Risk-O-Meter &amp; Portfolio'!$C$10:$C$27</definedName>
    <definedName name="XDO_?FINAL_NAME?2?">'TBFS - Risk-O-Meter &amp; Portfolio'!$C$10:$C$69</definedName>
    <definedName name="XDO_?FINAL_PER_NET?1?">'TBFS - Risk-O-Meter &amp; Portfolio'!$I$10:$I$27</definedName>
    <definedName name="XDO_?FINAL_PER_NET?2?">'TBFS - Risk-O-Meter &amp; Portfolio'!$I$10:$I$69</definedName>
    <definedName name="XDO_?FINAL_QUANTITE?1?">'TBFS - Risk-O-Meter &amp; Portfolio'!$G$10:$G$27</definedName>
    <definedName name="XDO_?FINAL_QUANTITE?2?">'TBFS - Risk-O-Meter &amp; Portfolio'!$G$10:$G$69</definedName>
    <definedName name="XDO_?IND_01?1?">'TBFS - Risk-O-Meter &amp; Portfolio'!$F$10:$F$27</definedName>
    <definedName name="XDO_?IND_01?2?">'TBFS - Risk-O-Meter &amp; Portfolio'!$F$10:$F$69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Portfolio'!$C$2:$C$27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Portfolio'!$B$10:$B$27</definedName>
    <definedName name="XDO_?NOVAL?2?">'TBFS - Risk-O-Meter &amp; Portfolio'!$B$10:$B$69</definedName>
    <definedName name="XDO_?NPTF?1?">'TBFS - Risk-O-Meter &amp; Portfolio'!$D$2:$D$27</definedName>
    <definedName name="XDO_?RATING?1?">'TBFS - Risk-O-Meter &amp; Portfolio'!$E$10:$E$27</definedName>
    <definedName name="XDO_?RATING?2?">'TBFS - Risk-O-Meter &amp; Portfolio'!$E$10:$E$69</definedName>
    <definedName name="XDO_?REMARKS?1?">'TBFS - Risk-O-Meter &amp; Portfolio'!$J$10:$J$27</definedName>
    <definedName name="XDO_?REMARKS?2?">'TBFS - Risk-O-Meter &amp; Portfolio'!$J$10:$J$69</definedName>
    <definedName name="XDO_?TITL?1?">'TBFS - Risk-O-Meter &amp; Portfolio'!$A$8:$A$27</definedName>
    <definedName name="XDO_GROUP_?G_2?1?">'TBFS - Risk-O-Meter &amp; Portfolio'!$2:$72</definedName>
    <definedName name="XDO_GROUP_?G_3?1?">'TBFS - Risk-O-Meter &amp; Portfolio'!$8:$71</definedName>
    <definedName name="XDO_GROUP_?G_4?1?">'TBFS - Risk-O-Meter &amp; Portfolio'!$B$10:$IV$27</definedName>
    <definedName name="XDO_GROUP_?G_4?2?">'TBFS - Risk-O-Meter &amp; Portfolio'!$B$69:$IV$69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/>
</calcChain>
</file>

<file path=xl/sharedStrings.xml><?xml version="1.0" encoding="utf-8"?>
<sst xmlns="http://schemas.openxmlformats.org/spreadsheetml/2006/main" count="183" uniqueCount="115">
  <si>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</si>
  <si>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</si>
  <si>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</si>
  <si>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</si>
  <si>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</si>
  <si>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</si>
  <si>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</si>
  <si>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</si>
  <si>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</si>
  <si>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</si>
  <si>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</si>
  <si>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</si>
  <si>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</si>
  <si>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</si>
  <si>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</si>
  <si>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</si>
  <si>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</si>
  <si>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</si>
  <si>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</si>
  <si>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</si>
  <si>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</si>
  <si>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</si>
  <si>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</si>
  <si>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</si>
  <si>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</si>
  <si>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</si>
  <si>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</si>
  <si>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</si>
  <si>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</si>
  <si>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</si>
  <si>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</si>
  <si>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100112</t>
  </si>
  <si>
    <t>Punjab National Bank</t>
  </si>
  <si>
    <t>INE160A01022</t>
  </si>
  <si>
    <t>100399</t>
  </si>
  <si>
    <t>Cholamandalam Investment &amp; Finance Co. Ltd.</t>
  </si>
  <si>
    <t>INE121A01024</t>
  </si>
  <si>
    <t>Finance</t>
  </si>
  <si>
    <t>100067</t>
  </si>
  <si>
    <t>DCB Bank Ltd.</t>
  </si>
  <si>
    <t>INE503A01015</t>
  </si>
  <si>
    <t>100013</t>
  </si>
  <si>
    <t>IndusInd Bank Ltd.</t>
  </si>
  <si>
    <t>INE095A01012</t>
  </si>
  <si>
    <t>100325</t>
  </si>
  <si>
    <t>Bajaj Holdings &amp; Investment Ltd.</t>
  </si>
  <si>
    <t>INE118A01012</t>
  </si>
  <si>
    <t>100055</t>
  </si>
  <si>
    <t>The Federal Bank Ltd.</t>
  </si>
  <si>
    <t>INE171A01029</t>
  </si>
  <si>
    <t>100122</t>
  </si>
  <si>
    <t>Union Bank of India</t>
  </si>
  <si>
    <t>INE692A01016</t>
  </si>
  <si>
    <t>100125</t>
  </si>
  <si>
    <t>Bajaj Finance Ltd.</t>
  </si>
  <si>
    <t>INE296A01024</t>
  </si>
  <si>
    <t>100148</t>
  </si>
  <si>
    <t>Motilal Oswal Financial Services Ltd.</t>
  </si>
  <si>
    <t>INE338I01027</t>
  </si>
  <si>
    <t>Capital Markets</t>
  </si>
  <si>
    <t>100701</t>
  </si>
  <si>
    <t>Nippon Life India Asset Management Ltd.</t>
  </si>
  <si>
    <t>INE298J01013</t>
  </si>
  <si>
    <t>100684</t>
  </si>
  <si>
    <t>SBI Life Insurance Company Ltd.</t>
  </si>
  <si>
    <t>INE123W01016</t>
  </si>
  <si>
    <t>Insurance</t>
  </si>
  <si>
    <t>100294</t>
  </si>
  <si>
    <t>IIFL Finance Ltd.</t>
  </si>
  <si>
    <t>INE530B01024</t>
  </si>
  <si>
    <t>100231</t>
  </si>
  <si>
    <t>Muthoot Finance Ltd.</t>
  </si>
  <si>
    <t>INE414G01012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</si>
  <si>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</si>
  <si>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</si>
  <si>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</si>
  <si>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</si>
  <si>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</si>
  <si>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</si>
  <si>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</si>
  <si>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</si>
  <si>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</si>
  <si>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</si>
  <si>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</si>
  <si>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</si>
  <si>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</si>
  <si>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</si>
  <si>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</si>
  <si>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</si>
  <si>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</si>
  <si>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</si>
  <si>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</si>
  <si>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</si>
  <si>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</si>
  <si>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</si>
  <si>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</si>
  <si>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</si>
  <si>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</si>
  <si>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</si>
  <si>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</si>
  <si>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</si>
  <si>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</si>
  <si>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</si>
  <si>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</si>
  <si>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</si>
  <si>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</si>
  <si>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</si>
  <si>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</si>
  <si>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</si>
  <si>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</si>
  <si>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</si>
  <si>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</si>
  <si>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January 31, 2023 : 37.45)</t>
  </si>
  <si>
    <t>Taurus Banking &amp; Financial Services Fund - Direct Plan Growth Option</t>
  </si>
  <si>
    <t>NAV [Rs.] Per Unit (as on January 31, 2023 : 41.07)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</si>
</sst>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8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98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11500</v>
      </c>
      <c r="H10" s="32">
        <v>184.4</v>
      </c>
      <c r="I10" s="32">
        <v>20.36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16000</v>
      </c>
      <c r="H11" s="32">
        <v>133.06</v>
      </c>
      <c r="I11" s="32">
        <v>14.7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5200</v>
      </c>
      <c r="H12" s="32">
        <v>89.97</v>
      </c>
      <c r="I12" s="32">
        <v>9.94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15500</v>
      </c>
      <c r="H13" s="32">
        <v>85.82</v>
      </c>
      <c r="I13" s="32">
        <v>9.48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7250</v>
      </c>
      <c r="H14" s="32">
        <v>63.19</v>
      </c>
      <c r="I14" s="32">
        <v>6.98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100000</v>
      </c>
      <c r="H15" s="32">
        <v>53.6</v>
      </c>
      <c r="I15" s="32">
        <v>5.92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6250</v>
      </c>
      <c r="H16" s="32">
        <v>44.21</v>
      </c>
      <c r="I16" s="32">
        <v>4.88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26000</v>
      </c>
      <c r="H17" s="32">
        <v>30.25</v>
      </c>
      <c r="I17" s="32">
        <v>3.34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2750</v>
      </c>
      <c r="H18" s="32">
        <v>29.8</v>
      </c>
      <c r="I18" s="32">
        <v>3.29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37</v>
      </c>
      <c r="G19" s="31">
        <v>500</v>
      </c>
      <c r="H19" s="32">
        <v>29.38</v>
      </c>
      <c r="I19" s="32">
        <v>3.24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18000</v>
      </c>
      <c r="H20" s="32">
        <v>24.21</v>
      </c>
      <c r="I20" s="32">
        <v>2.67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30000</v>
      </c>
      <c r="H21" s="32">
        <v>23.52</v>
      </c>
      <c r="I21" s="32">
        <v>2.6</v>
      </c>
      <c r="J21" s="33"/>
    </row>
    <row r="22" spans="2:10">
      <c r="B22" s="1" t="s">
        <v>53</v>
      </c>
      <c r="C22" s="20" t="s">
        <v>54</v>
      </c>
      <c r="D22" s="29" t="s">
        <v>55</v>
      </c>
      <c r="E22" s="30"/>
      <c r="F22" s="30" t="s">
        <v>37</v>
      </c>
      <c r="G22" s="31">
        <v>361</v>
      </c>
      <c r="H22" s="32">
        <v>21.25</v>
      </c>
      <c r="I22" s="32">
        <v>2.35</v>
      </c>
      <c r="J22" s="33"/>
    </row>
    <row r="23" spans="2:10">
      <c r="B23" s="1" t="s">
        <v>56</v>
      </c>
      <c r="C23" s="20" t="s">
        <v>57</v>
      </c>
      <c r="D23" s="29" t="s">
        <v>58</v>
      </c>
      <c r="E23" s="30"/>
      <c r="F23" s="30" t="s">
        <v>59</v>
      </c>
      <c r="G23" s="31">
        <v>2400</v>
      </c>
      <c r="H23" s="32">
        <v>16.34</v>
      </c>
      <c r="I23" s="32">
        <v>1.8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59</v>
      </c>
      <c r="G24" s="31">
        <v>6000</v>
      </c>
      <c r="H24" s="32">
        <v>14.94</v>
      </c>
      <c r="I24" s="32">
        <v>1.65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1200</v>
      </c>
      <c r="H25" s="32">
        <v>14.64</v>
      </c>
      <c r="I25" s="32">
        <v>1.62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37</v>
      </c>
      <c r="G26" s="31">
        <v>2500</v>
      </c>
      <c r="H26" s="32">
        <v>12.86</v>
      </c>
      <c r="I26" s="32">
        <v>1.42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37</v>
      </c>
      <c r="G27" s="31">
        <v>1000</v>
      </c>
      <c r="H27" s="32">
        <v>10.44</v>
      </c>
      <c r="I27" s="32">
        <v>1.1499999999999999</v>
      </c>
      <c r="J27" s="33"/>
    </row>
    <row r="28" spans="2:10">
      <c r="C28" s="28" t="s">
        <v>73</v>
      </c>
      <c r="D28" s="29"/>
      <c r="E28" s="30"/>
      <c r="F28" s="30"/>
      <c r="G28" s="31"/>
      <c r="H28" s="35">
        <v>881.88</v>
      </c>
      <c r="I28" s="35">
        <v>97.39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A68" s="26"/>
      <c r="B68" s="27"/>
      <c r="C68" s="28" t="s">
        <v>94</v>
      </c>
      <c r="D68" s="29"/>
      <c r="E68" s="30"/>
      <c r="F68" s="30"/>
      <c r="G68" s="31"/>
      <c r="H68" s="32"/>
      <c r="I68" s="32"/>
      <c r="J68" s="33"/>
    </row>
    <row r="69" spans="1:10">
      <c r="B69" s="1"/>
      <c r="C69" s="20" t="s">
        <v>95</v>
      </c>
      <c r="D69" s="29"/>
      <c r="E69" s="30"/>
      <c r="F69" s="30"/>
      <c r="G69" s="31"/>
      <c r="H69" s="32">
        <v>23.58</v>
      </c>
      <c r="I69" s="32">
        <v>2.61</v>
      </c>
      <c r="J69" s="33"/>
    </row>
    <row r="70" spans="1:10">
      <c r="C70" s="28" t="s">
        <v>73</v>
      </c>
      <c r="D70" s="29"/>
      <c r="E70" s="30"/>
      <c r="F70" s="30"/>
      <c r="G70" s="31"/>
      <c r="H70" s="35">
        <v>23.58</v>
      </c>
      <c r="I70" s="35">
        <v>2.61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 ht="13.5" thickBot="1">
      <c r="C72" s="36" t="s">
        <v>96</v>
      </c>
      <c r="D72" s="37"/>
      <c r="E72" s="38"/>
      <c r="F72" s="39"/>
      <c r="G72" s="40"/>
      <c r="H72" s="41">
        <v>905.46</v>
      </c>
      <c r="I72" s="41">
        <f>SUMIFS(I:I,C:C,"Total")</f>
        <v>100</v>
      </c>
      <c r="J72" s="42"/>
    </row>
    <row r="75" spans="1:10">
      <c r="C75" s="11" t="s">
        <v>97</v>
      </c>
    </row>
    <row r="76" spans="1:10">
      <c r="C76" s="2" t="s">
        <v>98</v>
      </c>
    </row>
    <row r="77" spans="1:10">
      <c r="C77" s="2" t="s">
        <v>99</v>
      </c>
    </row>
    <row r="78" spans="1:10">
      <c r="C78" s="2" t="s">
        <v>100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5" max="5" width="7.2851562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101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102</v>
      </c>
      <c r="C5" s="46" t="s">
        <v>103</v>
      </c>
      <c r="D5" s="46"/>
      <c r="E5" s="46" t="s">
        <v>104</v>
      </c>
      <c r="F5" s="46"/>
      <c r="G5" s="46" t="s">
        <v>105</v>
      </c>
      <c r="H5" s="46"/>
      <c r="I5" s="46" t="s">
        <v>106</v>
      </c>
      <c r="J5" s="46"/>
    </row>
    <row r="6" spans="2:10" ht="63.75">
      <c r="B6" s="47"/>
      <c r="C6" s="48" t="s">
        <v>107</v>
      </c>
      <c r="D6" s="48" t="s">
        <v>108</v>
      </c>
      <c r="E6" s="48" t="s">
        <v>107</v>
      </c>
      <c r="F6" s="48" t="s">
        <v>108</v>
      </c>
      <c r="G6" s="48" t="s">
        <v>107</v>
      </c>
      <c r="H6" s="48" t="s">
        <v>108</v>
      </c>
      <c r="I6" s="48" t="s">
        <v>107</v>
      </c>
      <c r="J6" s="48" t="s">
        <v>108</v>
      </c>
    </row>
    <row r="7" spans="2:10">
      <c r="B7" s="49" t="s">
        <v>109</v>
      </c>
      <c r="C7" s="50">
        <v>7.5840275782820932</v>
      </c>
      <c r="D7" s="50">
        <v>10758.402757828211</v>
      </c>
      <c r="E7" s="50">
        <v>8.9892600555526272</v>
      </c>
      <c r="F7" s="50">
        <v>12949.515905947441</v>
      </c>
      <c r="G7" s="50">
        <v>9.6695341973895399</v>
      </c>
      <c r="H7" s="50">
        <v>15868.644067796611</v>
      </c>
      <c r="I7" s="50">
        <v>13.128766605667707</v>
      </c>
      <c r="J7" s="50">
        <v>37450</v>
      </c>
    </row>
    <row r="8" spans="2:10">
      <c r="B8" s="49" t="s">
        <v>110</v>
      </c>
      <c r="C8" s="50">
        <v>6.5351334918506421</v>
      </c>
      <c r="D8" s="50">
        <v>10653.513349185065</v>
      </c>
      <c r="E8" s="50">
        <v>9.6840156331402749</v>
      </c>
      <c r="F8" s="50">
        <v>13195.626851528119</v>
      </c>
      <c r="G8" s="50">
        <v>8.6378212852933132</v>
      </c>
      <c r="H8" s="50">
        <v>15132.310241160087</v>
      </c>
      <c r="I8" s="50">
        <v>15.557324973962427</v>
      </c>
      <c r="J8" s="50">
        <v>46991.472957349572</v>
      </c>
    </row>
    <row r="9" spans="2:10">
      <c r="B9" s="49" t="s">
        <v>111</v>
      </c>
      <c r="C9" s="50">
        <v>3.1786787667375416</v>
      </c>
      <c r="D9" s="50">
        <v>10317.867876673754</v>
      </c>
      <c r="E9" s="50">
        <v>15.20948157089097</v>
      </c>
      <c r="F9" s="50">
        <v>15292.013299900276</v>
      </c>
      <c r="G9" s="50">
        <v>11.250631257369781</v>
      </c>
      <c r="H9" s="50">
        <v>17041.680532244904</v>
      </c>
      <c r="I9" s="50">
        <v>14.242650173213555</v>
      </c>
      <c r="J9" s="50">
        <v>41575.903645980681</v>
      </c>
    </row>
    <row r="10" spans="2:10">
      <c r="B10" s="49" t="s">
        <v>112</v>
      </c>
      <c r="C10" s="51">
        <v>34.81</v>
      </c>
      <c r="D10" s="52"/>
      <c r="E10" s="51">
        <v>28.92</v>
      </c>
      <c r="F10" s="52"/>
      <c r="G10" s="51">
        <v>23.6</v>
      </c>
      <c r="H10" s="52"/>
      <c r="I10" s="51">
        <v>10</v>
      </c>
      <c r="J10" s="52"/>
    </row>
    <row r="12" spans="2:10" ht="15.75">
      <c r="B12" s="43" t="s">
        <v>113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102</v>
      </c>
      <c r="C13" s="46" t="s">
        <v>103</v>
      </c>
      <c r="D13" s="46"/>
      <c r="E13" s="46" t="s">
        <v>104</v>
      </c>
      <c r="F13" s="46"/>
      <c r="G13" s="46" t="s">
        <v>105</v>
      </c>
      <c r="H13" s="46"/>
      <c r="I13" s="46" t="s">
        <v>106</v>
      </c>
      <c r="J13" s="46"/>
    </row>
    <row r="14" spans="2:10" ht="63.75">
      <c r="B14" s="47"/>
      <c r="C14" s="48" t="s">
        <v>107</v>
      </c>
      <c r="D14" s="48" t="s">
        <v>108</v>
      </c>
      <c r="E14" s="48" t="s">
        <v>107</v>
      </c>
      <c r="F14" s="48" t="s">
        <v>108</v>
      </c>
      <c r="G14" s="48" t="s">
        <v>107</v>
      </c>
      <c r="H14" s="48" t="s">
        <v>108</v>
      </c>
      <c r="I14" s="48" t="s">
        <v>107</v>
      </c>
      <c r="J14" s="48" t="s">
        <v>108</v>
      </c>
    </row>
    <row r="15" spans="2:10">
      <c r="B15" s="49" t="s">
        <v>109</v>
      </c>
      <c r="C15" s="50">
        <v>8.4213305174234421</v>
      </c>
      <c r="D15" s="50">
        <v>10842.133051742343</v>
      </c>
      <c r="E15" s="50">
        <v>9.7852384070898459</v>
      </c>
      <c r="F15" s="50">
        <v>13235.578472446019</v>
      </c>
      <c r="G15" s="50">
        <v>10.537852688378102</v>
      </c>
      <c r="H15" s="50">
        <v>16507.234726688104</v>
      </c>
      <c r="I15" s="50">
        <v>11.538150288367778</v>
      </c>
      <c r="J15" s="50">
        <v>30087.912087912089</v>
      </c>
    </row>
    <row r="16" spans="2:10">
      <c r="B16" s="49" t="s">
        <v>110</v>
      </c>
      <c r="C16" s="50">
        <v>6.5351334918506421</v>
      </c>
      <c r="D16" s="50">
        <v>10653.513349185065</v>
      </c>
      <c r="E16" s="50">
        <v>9.6840156331402749</v>
      </c>
      <c r="F16" s="50">
        <v>13195.626851528119</v>
      </c>
      <c r="G16" s="50">
        <v>8.6378212852933132</v>
      </c>
      <c r="H16" s="50">
        <v>15132.310241160087</v>
      </c>
      <c r="I16" s="50">
        <v>12.780840091143464</v>
      </c>
      <c r="J16" s="50">
        <v>33645.949449246749</v>
      </c>
    </row>
    <row r="17" spans="2:10">
      <c r="B17" s="49" t="s">
        <v>111</v>
      </c>
      <c r="C17" s="50">
        <v>3.1786787667375416</v>
      </c>
      <c r="D17" s="50">
        <v>10317.867876673754</v>
      </c>
      <c r="E17" s="50">
        <v>15.20948157089097</v>
      </c>
      <c r="F17" s="50">
        <v>15292.013299900276</v>
      </c>
      <c r="G17" s="50">
        <v>11.250631257369781</v>
      </c>
      <c r="H17" s="50">
        <v>17041.680532244904</v>
      </c>
      <c r="I17" s="50">
        <v>12.677136632072571</v>
      </c>
      <c r="J17" s="50">
        <v>33335.158902374445</v>
      </c>
    </row>
    <row r="18" spans="2:10">
      <c r="B18" s="49" t="s">
        <v>114</v>
      </c>
      <c r="C18" s="51">
        <v>37.880000000000003</v>
      </c>
      <c r="D18" s="52"/>
      <c r="E18" s="51">
        <v>31.03</v>
      </c>
      <c r="F18" s="52"/>
      <c r="G18" s="51">
        <v>24.88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2023-02-02T04:50:14Z</dcterms:created>
  <dcterms:modified xsi:type="dcterms:W3CDTF">2023-02-09T07:03:25Z</dcterms:modified>
</cp:coreProperties>
</file>