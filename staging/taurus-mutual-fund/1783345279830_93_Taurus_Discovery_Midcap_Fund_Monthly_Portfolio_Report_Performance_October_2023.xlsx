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NOV 2023\Portfolio\OPS\TMF_Monthly_Portfolio_Report_Oct 23\"/>
    </mc:Choice>
  </mc:AlternateContent>
  <xr:revisionPtr revIDLastSave="0" documentId="13_ncr:1_{87428808-F94F-4529-AF24-C201DC8DA63A}" xr6:coauthVersionLast="47" xr6:coauthVersionMax="47" xr10:uidLastSave="{00000000-0000-0000-0000-000000000000}"/>
  <bookViews>
    <workbookView xWindow="-120" yWindow="-120" windowWidth="20730" windowHeight="11160" xr2:uid="{8869C85A-6AC7-43ED-9212-AC0DCCA64652}"/>
  </bookViews>
  <sheets>
    <sheet name="TDF-Risk-O-Meter &amp; Portfolio" sheetId="1" r:id="rId1"/>
    <sheet name="TDF Performance" sheetId="2" r:id="rId2"/>
  </sheets>
  <externalReferences>
    <externalReference r:id="rId3"/>
  </externalReferences>
  <definedNames>
    <definedName name="XDO_?CLASS_3?2?">'TDF-Risk-O-Meter &amp; Portfolio'!$C$8:$C$50</definedName>
    <definedName name="XDO_?FINAL_ISIN?3?">'TDF-Risk-O-Meter &amp; Portfolio'!$D$10:$D$50</definedName>
    <definedName name="XDO_?FINAL_ISIN?4?">'TDF-Risk-O-Meter &amp; Portfolio'!$D$10:$D$92</definedName>
    <definedName name="XDO_?FINAL_MV?3?">'TDF-Risk-O-Meter &amp; Portfolio'!$H$10:$H$50</definedName>
    <definedName name="XDO_?FINAL_MV?4?">'TDF-Risk-O-Meter &amp; Portfolio'!$H$10:$H$92</definedName>
    <definedName name="XDO_?FINAL_NAME?3?">'TDF-Risk-O-Meter &amp; Portfolio'!$C$10:$C$50</definedName>
    <definedName name="XDO_?FINAL_NAME?4?">'TDF-Risk-O-Meter &amp; Portfolio'!$C$10:$C$92</definedName>
    <definedName name="XDO_?FINAL_PER_NET?3?">'TDF-Risk-O-Meter &amp; Portfolio'!$I$10:$I$50</definedName>
    <definedName name="XDO_?FINAL_PER_NET?4?">'TDF-Risk-O-Meter &amp; Portfolio'!$I$10:$I$92</definedName>
    <definedName name="XDO_?FINAL_QUANTITE?3?">'TDF-Risk-O-Meter &amp; Portfolio'!$G$10:$G$50</definedName>
    <definedName name="XDO_?FINAL_QUANTITE?4?">'TDF-Risk-O-Meter &amp; Portfolio'!$G$10:$G$92</definedName>
    <definedName name="XDO_?IND_01?3?">'TDF-Risk-O-Meter &amp; Portfolio'!$F$10:$F$50</definedName>
    <definedName name="XDO_?IND_01?4?">'TDF-Risk-O-Meter &amp; Portfolio'!$F$10:$F$92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Portfolio'!$C$2:$C$50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Portfolio'!$B$10:$B$50</definedName>
    <definedName name="XDO_?NOVAL?4?">'TDF-Risk-O-Meter &amp; Portfolio'!$B$10:$B$92</definedName>
    <definedName name="XDO_?NPTF?2?">'TDF-Risk-O-Meter &amp; Portfolio'!$D$2:$D$50</definedName>
    <definedName name="XDO_?RATING?3?">'TDF-Risk-O-Meter &amp; Portfolio'!$E$10:$E$50</definedName>
    <definedName name="XDO_?RATING?4?">'TDF-Risk-O-Meter &amp; Portfolio'!$E$10:$E$92</definedName>
    <definedName name="XDO_?REMARKS?3?">'TDF-Risk-O-Meter &amp; Portfolio'!$J$10:$J$50</definedName>
    <definedName name="XDO_?REMARKS?4?">'TDF-Risk-O-Meter &amp; Portfolio'!$J$10:$J$92</definedName>
    <definedName name="XDO_?TITL?2?">'TDF-Risk-O-Meter &amp; Portfolio'!$A$8:$A$50</definedName>
    <definedName name="XDO_GROUP_?G_2?2?">'TDF-Risk-O-Meter &amp; Portfolio'!$2:$95</definedName>
    <definedName name="XDO_GROUP_?G_3?2?">'TDF-Risk-O-Meter &amp; Portfolio'!$8:$94</definedName>
    <definedName name="XDO_GROUP_?G_4?3?">'TDF-Risk-O-Meter &amp; Portfolio'!$B$10:$IV$50</definedName>
    <definedName name="XDO_GROUP_?G_4?4?">'TDF-Risk-O-Meter &amp; Portfolio'!$B$92:$IV$92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" i="1" l="1"/>
</calcChain>
</file>

<file path=xl/sharedStrings.xml><?xml version="1.0" encoding="utf-8"?>
<sst xmlns="http://schemas.openxmlformats.org/spreadsheetml/2006/main" count="276" uniqueCount="201">
  <si>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</si>
  <si>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</si>
  <si>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</si>
  <si>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</si>
  <si>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</si>
  <si>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</si>
  <si>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</si>
  <si>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</si>
  <si>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</si>
  <si>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</si>
  <si>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</si>
  <si>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</si>
  <si>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</si>
  <si>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</si>
  <si>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</si>
  <si>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</si>
  <si>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</si>
  <si>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</si>
  <si>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</si>
  <si>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</si>
  <si>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</si>
  <si>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</si>
  <si>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</si>
  <si>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101800</t>
  </si>
  <si>
    <t>Hindware Home Innovation Ltd.</t>
  </si>
  <si>
    <t>INE05AN01011</t>
  </si>
  <si>
    <t>Consumer Durables</t>
  </si>
  <si>
    <t>101718</t>
  </si>
  <si>
    <t>Faze Three Ltd.</t>
  </si>
  <si>
    <t>INE963C01033</t>
  </si>
  <si>
    <t>Textiles &amp; Apparels</t>
  </si>
  <si>
    <t>100719</t>
  </si>
  <si>
    <t>Mayur Uniquoters Ltd.</t>
  </si>
  <si>
    <t>INE040D01038</t>
  </si>
  <si>
    <t>100055</t>
  </si>
  <si>
    <t>The Federal Bank Ltd.</t>
  </si>
  <si>
    <t>INE171A01029</t>
  </si>
  <si>
    <t>Banks</t>
  </si>
  <si>
    <t>100814</t>
  </si>
  <si>
    <t>HDFC Asset Management Co. Ltd.</t>
  </si>
  <si>
    <t>INE127D01025</t>
  </si>
  <si>
    <t>Capital Markets</t>
  </si>
  <si>
    <t>100466</t>
  </si>
  <si>
    <t>Igarashi Motors India Ltd.</t>
  </si>
  <si>
    <t>INE188B01013</t>
  </si>
  <si>
    <t>Auto Components</t>
  </si>
  <si>
    <t>100088</t>
  </si>
  <si>
    <t>Bharat Heavy Electricals Ltd.</t>
  </si>
  <si>
    <t>INE257A01026</t>
  </si>
  <si>
    <t>Electrical Equipment</t>
  </si>
  <si>
    <t>100109</t>
  </si>
  <si>
    <t>Piramal Enterprises Ltd.</t>
  </si>
  <si>
    <t>INE140A01024</t>
  </si>
  <si>
    <t>Finance</t>
  </si>
  <si>
    <t>100398</t>
  </si>
  <si>
    <t>Aditya Birla Fashion and Retail Ltd.</t>
  </si>
  <si>
    <t>INE647O01011</t>
  </si>
  <si>
    <t>Retailing</t>
  </si>
  <si>
    <t>100018</t>
  </si>
  <si>
    <t>Tata Communications Ltd.</t>
  </si>
  <si>
    <t>INE151A01013</t>
  </si>
  <si>
    <t>Telecom - Services</t>
  </si>
  <si>
    <t>100116</t>
  </si>
  <si>
    <t>Sundaram Finance Ltd.</t>
  </si>
  <si>
    <t>INE660A01013</t>
  </si>
  <si>
    <t>100843</t>
  </si>
  <si>
    <t>Dalmia Bharat Ltd.</t>
  </si>
  <si>
    <t>INE00R701025</t>
  </si>
  <si>
    <t>Cement &amp; Cement Products</t>
  </si>
  <si>
    <t>100234</t>
  </si>
  <si>
    <t>Coforge Ltd.</t>
  </si>
  <si>
    <t>INE591G01017</t>
  </si>
  <si>
    <t>IT - Software</t>
  </si>
  <si>
    <t>100029</t>
  </si>
  <si>
    <t>Mphasis Ltd.</t>
  </si>
  <si>
    <t>INE356A01018</t>
  </si>
  <si>
    <t>100090</t>
  </si>
  <si>
    <t>Bharat Forge Ltd.</t>
  </si>
  <si>
    <t>INE465A01025</t>
  </si>
  <si>
    <t>Industrial Products</t>
  </si>
  <si>
    <t>101152</t>
  </si>
  <si>
    <t>Sumitomo Chemical India Ltd.</t>
  </si>
  <si>
    <t>INE258G01013</t>
  </si>
  <si>
    <t>Fertilizers &amp; Agrochemicals</t>
  </si>
  <si>
    <t>100042</t>
  </si>
  <si>
    <t>LIC Housing Finance Ltd.</t>
  </si>
  <si>
    <t>INE115A01026</t>
  </si>
  <si>
    <t>100242</t>
  </si>
  <si>
    <t>Schaeffler India Ltd.</t>
  </si>
  <si>
    <t>INE513A01022</t>
  </si>
  <si>
    <t>100144</t>
  </si>
  <si>
    <t>Voltas Ltd.</t>
  </si>
  <si>
    <t>INE226A01021</t>
  </si>
  <si>
    <t>101883</t>
  </si>
  <si>
    <t>Anant Raj Ltd.</t>
  </si>
  <si>
    <t>INE242C01024</t>
  </si>
  <si>
    <t>Realty</t>
  </si>
  <si>
    <t>100035</t>
  </si>
  <si>
    <t>NMDC Ltd.</t>
  </si>
  <si>
    <t>INE584A01023</t>
  </si>
  <si>
    <t>Minerals &amp; Mining</t>
  </si>
  <si>
    <t>100227</t>
  </si>
  <si>
    <t>Jubilant Foodworks Ltd.</t>
  </si>
  <si>
    <t>INE797F01020</t>
  </si>
  <si>
    <t>Leisure Services</t>
  </si>
  <si>
    <t>100471</t>
  </si>
  <si>
    <t>Endurance Technologies Ltd.</t>
  </si>
  <si>
    <t>INE913H01037</t>
  </si>
  <si>
    <t>100476</t>
  </si>
  <si>
    <t>Caplin Point Laboratories Ltd.</t>
  </si>
  <si>
    <t>INE475E01026</t>
  </si>
  <si>
    <t>100195</t>
  </si>
  <si>
    <t>REC Ltd.</t>
  </si>
  <si>
    <t>INE020B01018</t>
  </si>
  <si>
    <t>100107</t>
  </si>
  <si>
    <t>Max Financial Services Ltd.</t>
  </si>
  <si>
    <t>INE180A01020</t>
  </si>
  <si>
    <t>Insurance</t>
  </si>
  <si>
    <t>100426</t>
  </si>
  <si>
    <t>Relaxo Footwears Ltd.</t>
  </si>
  <si>
    <t>INE131B01039</t>
  </si>
  <si>
    <t>100570</t>
  </si>
  <si>
    <t>K.P.R. Mill Ltd.</t>
  </si>
  <si>
    <t>INE930H01031</t>
  </si>
  <si>
    <t>100335</t>
  </si>
  <si>
    <t>Kajaria Ceramics Ltd.</t>
  </si>
  <si>
    <t>INE217B01036</t>
  </si>
  <si>
    <t>100258</t>
  </si>
  <si>
    <t>Arvind Ltd.</t>
  </si>
  <si>
    <t>INE034A01011</t>
  </si>
  <si>
    <t>100665</t>
  </si>
  <si>
    <t>Aditya Birla Capital Ltd.</t>
  </si>
  <si>
    <t>INE674K01013</t>
  </si>
  <si>
    <t>100566</t>
  </si>
  <si>
    <t>Laurus Labs Ltd.</t>
  </si>
  <si>
    <t>INE947Q01028</t>
  </si>
  <si>
    <t>100461</t>
  </si>
  <si>
    <t>Astral Ltd.</t>
  </si>
  <si>
    <t>INE006I01046</t>
  </si>
  <si>
    <t>100137</t>
  </si>
  <si>
    <t>The Ramco Cements Ltd.</t>
  </si>
  <si>
    <t>INE331A01037</t>
  </si>
  <si>
    <t>100054</t>
  </si>
  <si>
    <t>Oberoi Realty Ltd.</t>
  </si>
  <si>
    <t>INE093I01010</t>
  </si>
  <si>
    <t>100161</t>
  </si>
  <si>
    <t>Cummins India Ltd.</t>
  </si>
  <si>
    <t>INE298A01020</t>
  </si>
  <si>
    <t>100047</t>
  </si>
  <si>
    <t>Emami Ltd.</t>
  </si>
  <si>
    <t>INE548C01032</t>
  </si>
  <si>
    <t>Personal Products</t>
  </si>
  <si>
    <t>100222</t>
  </si>
  <si>
    <t>The Indian Hotels Company Ltd.</t>
  </si>
  <si>
    <t>INE053A01029</t>
  </si>
  <si>
    <t>100201</t>
  </si>
  <si>
    <t>Aurobindo Pharma Ltd.</t>
  </si>
  <si>
    <t>INE406A01037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</si>
  <si>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</si>
  <si>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</si>
  <si>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</si>
  <si>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</si>
  <si>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</si>
  <si>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</si>
  <si>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</si>
  <si>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</si>
  <si>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</si>
  <si>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</si>
  <si>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</si>
  <si>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</si>
  <si>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</si>
  <si>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</si>
  <si>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</si>
  <si>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</si>
  <si>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</si>
  <si>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</si>
  <si>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</si>
  <si>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</si>
  <si>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</si>
  <si>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</si>
  <si>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</si>
  <si>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</si>
  <si>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</si>
  <si>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</si>
  <si>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</si>
  <si>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</si>
  <si>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</si>
  <si>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</si>
  <si>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</si>
  <si>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</si>
  <si>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</si>
  <si>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</si>
  <si>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</si>
  <si>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</si>
  <si>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</si>
  <si>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</si>
  <si>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</si>
  <si>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Taurus Discovery (Midcap) Fund-Direct Plan-Growth Option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</si>
  <si>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</si>
  <si>
    <t>NAV [Rs.] Per Unit (as on October 31, 2023 : 94.90)</t>
  </si>
  <si>
    <t>NAV [Rs.] Per Unit (as on October 31, 2023 : 99.49)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</si>
</sst>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124EA2C-13C8-4536-B99B-663021C1CB86}"/>
    <cellStyle name="Hyperlink" xfId="2" builtinId="8"/>
    <cellStyle name="Normal" xfId="0" builtinId="0"/>
    <cellStyle name="Normal 2" xfId="4" xr:uid="{1CE44E2E-EA3F-40D7-A678-C555A00286A6}"/>
    <cellStyle name="Style 1" xfId="3" xr:uid="{C8F9309A-51DC-46BF-8F2C-9AF25481DA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1788583</xdr:rowOff>
    </xdr:to>
    <xdr:pic>
      <xdr:nvPicPr>
        <xdr:cNvPr id="2" name="Picture 1" descr="Discovery Prodcut label - 9th Dec 2022.jpg">
          <a:extLst>
            <a:ext uri="{FF2B5EF4-FFF2-40B4-BE49-F238E27FC236}">
              <a16:creationId xmlns:a16="http://schemas.microsoft.com/office/drawing/2014/main" id="{66A4F51B-B852-4FEE-B478-EE5D37F85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788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Oct%2023\Client%20Report\TMF_Monthly_Portfolio_Report_Oct%2023.xls" TargetMode="External"/><Relationship Id="rId1" Type="http://schemas.openxmlformats.org/officeDocument/2006/relationships/externalLinkPath" Target="TMF_Monthly_Portfolio_Report_Oc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F8D1-27A2-4661-9CC9-53A1F2BB7DB8}">
  <dimension ref="A1:BB10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45230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53750</v>
      </c>
      <c r="H10" s="32">
        <v>632.17999999999995</v>
      </c>
      <c r="I10" s="32">
        <v>6.3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52200</v>
      </c>
      <c r="H11" s="32">
        <v>565.07000000000005</v>
      </c>
      <c r="I11" s="32">
        <v>5.63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95000</v>
      </c>
      <c r="H12" s="32">
        <v>483.22</v>
      </c>
      <c r="I12" s="32">
        <v>4.82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81000</v>
      </c>
      <c r="H13" s="32">
        <v>373.13</v>
      </c>
      <c r="I13" s="32">
        <v>3.72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70000</v>
      </c>
      <c r="H14" s="32">
        <v>366.1</v>
      </c>
      <c r="I14" s="32">
        <v>3.65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260000</v>
      </c>
      <c r="H15" s="32">
        <v>365.43</v>
      </c>
      <c r="I15" s="32">
        <v>3.64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12950</v>
      </c>
      <c r="H16" s="32">
        <v>353.94</v>
      </c>
      <c r="I16" s="32">
        <v>3.53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57500</v>
      </c>
      <c r="H17" s="32">
        <v>337.5</v>
      </c>
      <c r="I17" s="32">
        <v>3.37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265000</v>
      </c>
      <c r="H18" s="32">
        <v>320.39</v>
      </c>
      <c r="I18" s="32">
        <v>3.19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31000</v>
      </c>
      <c r="H19" s="32">
        <v>302.22000000000003</v>
      </c>
      <c r="I19" s="32">
        <v>3.01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135000</v>
      </c>
      <c r="H20" s="32">
        <v>289.70999999999998</v>
      </c>
      <c r="I20" s="32">
        <v>2.89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16450</v>
      </c>
      <c r="H21" s="32">
        <v>273.64999999999998</v>
      </c>
      <c r="I21" s="32">
        <v>2.73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53</v>
      </c>
      <c r="G22" s="31">
        <v>8500</v>
      </c>
      <c r="H22" s="32">
        <v>269.36</v>
      </c>
      <c r="I22" s="32">
        <v>2.69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12400</v>
      </c>
      <c r="H23" s="32">
        <v>260.45</v>
      </c>
      <c r="I23" s="32">
        <v>2.6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5200</v>
      </c>
      <c r="H24" s="32">
        <v>259.12</v>
      </c>
      <c r="I24" s="32">
        <v>2.58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72</v>
      </c>
      <c r="G25" s="31">
        <v>11950</v>
      </c>
      <c r="H25" s="32">
        <v>253.93</v>
      </c>
      <c r="I25" s="32">
        <v>2.5299999999999998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24250</v>
      </c>
      <c r="H26" s="32">
        <v>247.07</v>
      </c>
      <c r="I26" s="32">
        <v>2.46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65000</v>
      </c>
      <c r="H27" s="32">
        <v>242.81</v>
      </c>
      <c r="I27" s="32">
        <v>2.42</v>
      </c>
      <c r="J27" s="33"/>
    </row>
    <row r="28" spans="2:10" x14ac:dyDescent="0.25">
      <c r="B28" s="1" t="s">
        <v>84</v>
      </c>
      <c r="C28" s="20" t="s">
        <v>85</v>
      </c>
      <c r="D28" s="29" t="s">
        <v>86</v>
      </c>
      <c r="E28" s="30"/>
      <c r="F28" s="30" t="s">
        <v>53</v>
      </c>
      <c r="G28" s="31">
        <v>52500</v>
      </c>
      <c r="H28" s="32">
        <v>240.92</v>
      </c>
      <c r="I28" s="32">
        <v>2.4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45</v>
      </c>
      <c r="G29" s="31">
        <v>8000</v>
      </c>
      <c r="H29" s="32">
        <v>225.31</v>
      </c>
      <c r="I29" s="32">
        <v>2.25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26</v>
      </c>
      <c r="G30" s="31">
        <v>26500</v>
      </c>
      <c r="H30" s="32">
        <v>221.87</v>
      </c>
      <c r="I30" s="32">
        <v>2.21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90000</v>
      </c>
      <c r="H31" s="32">
        <v>218.57</v>
      </c>
      <c r="I31" s="32">
        <v>2.1800000000000002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140000</v>
      </c>
      <c r="H32" s="32">
        <v>215.88</v>
      </c>
      <c r="I32" s="32">
        <v>2.15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42500</v>
      </c>
      <c r="H33" s="32">
        <v>212.99</v>
      </c>
      <c r="I33" s="32">
        <v>2.12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45</v>
      </c>
      <c r="G34" s="31">
        <v>12875</v>
      </c>
      <c r="H34" s="32">
        <v>205.38</v>
      </c>
      <c r="I34" s="32">
        <v>2.0499999999999998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18</v>
      </c>
      <c r="G35" s="31">
        <v>19974</v>
      </c>
      <c r="H35" s="32">
        <v>204.56</v>
      </c>
      <c r="I35" s="32">
        <v>2.04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53</v>
      </c>
      <c r="G36" s="31">
        <v>70000</v>
      </c>
      <c r="H36" s="32">
        <v>201.29</v>
      </c>
      <c r="I36" s="32">
        <v>2.0099999999999998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22000</v>
      </c>
      <c r="H37" s="32">
        <v>201.1</v>
      </c>
      <c r="I37" s="32">
        <v>2.0099999999999998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26</v>
      </c>
      <c r="G38" s="31">
        <v>21500</v>
      </c>
      <c r="H38" s="32">
        <v>193.23</v>
      </c>
      <c r="I38" s="32">
        <v>1.93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30</v>
      </c>
      <c r="G39" s="31">
        <v>24000</v>
      </c>
      <c r="H39" s="32">
        <v>192.71</v>
      </c>
      <c r="I39" s="32">
        <v>1.92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26</v>
      </c>
      <c r="G40" s="31">
        <v>14500</v>
      </c>
      <c r="H40" s="32">
        <v>183.02</v>
      </c>
      <c r="I40" s="32">
        <v>1.82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30</v>
      </c>
      <c r="G41" s="31">
        <v>90000</v>
      </c>
      <c r="H41" s="32">
        <v>176.36</v>
      </c>
      <c r="I41" s="32">
        <v>1.76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53</v>
      </c>
      <c r="G42" s="31">
        <v>100000</v>
      </c>
      <c r="H42" s="32">
        <v>172.5</v>
      </c>
      <c r="I42" s="32">
        <v>1.72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18</v>
      </c>
      <c r="G43" s="31">
        <v>45000</v>
      </c>
      <c r="H43" s="32">
        <v>162.68</v>
      </c>
      <c r="I43" s="32">
        <v>1.62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79</v>
      </c>
      <c r="G44" s="31">
        <v>6500</v>
      </c>
      <c r="H44" s="32">
        <v>120.27</v>
      </c>
      <c r="I44" s="32">
        <v>1.2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68</v>
      </c>
      <c r="G45" s="31">
        <v>12000</v>
      </c>
      <c r="H45" s="32">
        <v>119.06</v>
      </c>
      <c r="I45" s="32">
        <v>1.19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96</v>
      </c>
      <c r="G46" s="31">
        <v>10000</v>
      </c>
      <c r="H46" s="32">
        <v>113.56</v>
      </c>
      <c r="I46" s="32">
        <v>1.1299999999999999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79</v>
      </c>
      <c r="G47" s="31">
        <v>4000</v>
      </c>
      <c r="H47" s="32">
        <v>67.06</v>
      </c>
      <c r="I47" s="32">
        <v>0.67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12000</v>
      </c>
      <c r="H48" s="32">
        <v>61.25</v>
      </c>
      <c r="I48" s="32">
        <v>0.61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104</v>
      </c>
      <c r="G49" s="31">
        <v>14500</v>
      </c>
      <c r="H49" s="32">
        <v>55.61</v>
      </c>
      <c r="I49" s="32">
        <v>0.55000000000000004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18</v>
      </c>
      <c r="G50" s="31">
        <v>3000</v>
      </c>
      <c r="H50" s="32">
        <v>25.48</v>
      </c>
      <c r="I50" s="32">
        <v>0.25</v>
      </c>
      <c r="J50" s="33"/>
    </row>
    <row r="51" spans="2:10" x14ac:dyDescent="0.25">
      <c r="C51" s="28" t="s">
        <v>158</v>
      </c>
      <c r="D51" s="29"/>
      <c r="E51" s="30"/>
      <c r="F51" s="30"/>
      <c r="G51" s="31"/>
      <c r="H51" s="35">
        <v>9985.94</v>
      </c>
      <c r="I51" s="35">
        <v>99.55</v>
      </c>
      <c r="J51" s="33"/>
    </row>
    <row r="52" spans="2:10" x14ac:dyDescent="0.25">
      <c r="C52" s="20"/>
      <c r="D52" s="29"/>
      <c r="E52" s="30"/>
      <c r="F52" s="30"/>
      <c r="G52" s="31"/>
      <c r="H52" s="32"/>
      <c r="I52" s="32"/>
      <c r="J52" s="33"/>
    </row>
    <row r="53" spans="2:10" x14ac:dyDescent="0.25">
      <c r="C53" s="28" t="s">
        <v>159</v>
      </c>
      <c r="D53" s="29"/>
      <c r="E53" s="30"/>
      <c r="F53" s="30"/>
      <c r="G53" s="31"/>
      <c r="H53" s="32" t="s">
        <v>160</v>
      </c>
      <c r="I53" s="32" t="s">
        <v>160</v>
      </c>
      <c r="J53" s="33"/>
    </row>
    <row r="54" spans="2:10" x14ac:dyDescent="0.25">
      <c r="C54" s="20"/>
      <c r="D54" s="29"/>
      <c r="E54" s="30"/>
      <c r="F54" s="30"/>
      <c r="G54" s="31"/>
      <c r="H54" s="32"/>
      <c r="I54" s="32"/>
      <c r="J54" s="33"/>
    </row>
    <row r="55" spans="2:10" x14ac:dyDescent="0.25">
      <c r="C55" s="28" t="s">
        <v>161</v>
      </c>
      <c r="D55" s="29"/>
      <c r="E55" s="30"/>
      <c r="F55" s="30"/>
      <c r="G55" s="31"/>
      <c r="H55" s="32" t="s">
        <v>160</v>
      </c>
      <c r="I55" s="32" t="s">
        <v>160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28" t="s">
        <v>162</v>
      </c>
      <c r="D57" s="29"/>
      <c r="E57" s="30"/>
      <c r="F57" s="30"/>
      <c r="G57" s="31"/>
      <c r="H57" s="32"/>
      <c r="I57" s="32"/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28" t="s">
        <v>163</v>
      </c>
      <c r="D59" s="29"/>
      <c r="E59" s="30"/>
      <c r="F59" s="30"/>
      <c r="G59" s="31"/>
      <c r="H59" s="32" t="s">
        <v>160</v>
      </c>
      <c r="I59" s="32" t="s">
        <v>160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164</v>
      </c>
      <c r="D61" s="29"/>
      <c r="E61" s="30"/>
      <c r="F61" s="30"/>
      <c r="G61" s="31"/>
      <c r="H61" s="32" t="s">
        <v>160</v>
      </c>
      <c r="I61" s="32" t="s">
        <v>160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165</v>
      </c>
      <c r="D63" s="29"/>
      <c r="E63" s="30"/>
      <c r="F63" s="30"/>
      <c r="G63" s="31"/>
      <c r="H63" s="32" t="s">
        <v>160</v>
      </c>
      <c r="I63" s="32" t="s">
        <v>160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166</v>
      </c>
      <c r="D65" s="29"/>
      <c r="E65" s="30"/>
      <c r="F65" s="30"/>
      <c r="G65" s="31"/>
      <c r="H65" s="32" t="s">
        <v>160</v>
      </c>
      <c r="I65" s="32" t="s">
        <v>160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167</v>
      </c>
      <c r="D67" s="29"/>
      <c r="E67" s="30"/>
      <c r="F67" s="30"/>
      <c r="G67" s="31"/>
      <c r="H67" s="32" t="s">
        <v>160</v>
      </c>
      <c r="I67" s="32" t="s">
        <v>160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168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169</v>
      </c>
      <c r="D71" s="29"/>
      <c r="E71" s="30"/>
      <c r="F71" s="30"/>
      <c r="G71" s="31"/>
      <c r="H71" s="32" t="s">
        <v>160</v>
      </c>
      <c r="I71" s="32" t="s">
        <v>160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170</v>
      </c>
      <c r="D73" s="29"/>
      <c r="E73" s="30"/>
      <c r="F73" s="30"/>
      <c r="G73" s="31"/>
      <c r="H73" s="32" t="s">
        <v>160</v>
      </c>
      <c r="I73" s="32" t="s">
        <v>160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171</v>
      </c>
      <c r="D75" s="29"/>
      <c r="E75" s="30"/>
      <c r="F75" s="30"/>
      <c r="G75" s="31"/>
      <c r="H75" s="32" t="s">
        <v>160</v>
      </c>
      <c r="I75" s="32" t="s">
        <v>160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172</v>
      </c>
      <c r="D77" s="29"/>
      <c r="E77" s="30"/>
      <c r="F77" s="30"/>
      <c r="G77" s="31"/>
      <c r="H77" s="32" t="s">
        <v>160</v>
      </c>
      <c r="I77" s="32" t="s">
        <v>160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173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174</v>
      </c>
      <c r="D81" s="29"/>
      <c r="E81" s="30"/>
      <c r="F81" s="30"/>
      <c r="G81" s="31"/>
      <c r="H81" s="32" t="s">
        <v>160</v>
      </c>
      <c r="I81" s="32" t="s">
        <v>160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175</v>
      </c>
      <c r="D83" s="29"/>
      <c r="E83" s="30"/>
      <c r="F83" s="30"/>
      <c r="G83" s="31"/>
      <c r="H83" s="32" t="s">
        <v>160</v>
      </c>
      <c r="I83" s="32" t="s">
        <v>160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176</v>
      </c>
      <c r="D85" s="29"/>
      <c r="E85" s="30"/>
      <c r="F85" s="30"/>
      <c r="G85" s="31"/>
      <c r="H85" s="32" t="s">
        <v>160</v>
      </c>
      <c r="I85" s="32" t="s">
        <v>160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177</v>
      </c>
      <c r="D87" s="29"/>
      <c r="E87" s="30"/>
      <c r="F87" s="30"/>
      <c r="G87" s="31"/>
      <c r="H87" s="32" t="s">
        <v>160</v>
      </c>
      <c r="I87" s="32" t="s">
        <v>160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178</v>
      </c>
      <c r="D89" s="29"/>
      <c r="E89" s="30"/>
      <c r="F89" s="30"/>
      <c r="G89" s="31"/>
      <c r="H89" s="32" t="s">
        <v>160</v>
      </c>
      <c r="I89" s="32" t="s">
        <v>160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A91" s="26"/>
      <c r="B91" s="27"/>
      <c r="C91" s="28" t="s">
        <v>179</v>
      </c>
      <c r="D91" s="29"/>
      <c r="E91" s="30"/>
      <c r="F91" s="30"/>
      <c r="G91" s="31"/>
      <c r="H91" s="32"/>
      <c r="I91" s="32"/>
      <c r="J91" s="33"/>
    </row>
    <row r="92" spans="1:10" x14ac:dyDescent="0.25">
      <c r="B92" s="1"/>
      <c r="C92" s="20" t="s">
        <v>180</v>
      </c>
      <c r="D92" s="29"/>
      <c r="E92" s="30"/>
      <c r="F92" s="30"/>
      <c r="G92" s="31"/>
      <c r="H92" s="32">
        <v>42.61</v>
      </c>
      <c r="I92" s="32">
        <v>0.44999999999999996</v>
      </c>
      <c r="J92" s="33"/>
    </row>
    <row r="93" spans="1:10" x14ac:dyDescent="0.25">
      <c r="C93" s="28" t="s">
        <v>158</v>
      </c>
      <c r="D93" s="29"/>
      <c r="E93" s="30"/>
      <c r="F93" s="30"/>
      <c r="G93" s="31"/>
      <c r="H93" s="35">
        <v>42.61</v>
      </c>
      <c r="I93" s="35">
        <v>0.44999999999999996</v>
      </c>
      <c r="J93" s="33"/>
    </row>
    <row r="94" spans="1:10" x14ac:dyDescent="0.25">
      <c r="C94" s="20"/>
      <c r="D94" s="29"/>
      <c r="E94" s="30"/>
      <c r="F94" s="30"/>
      <c r="G94" s="31"/>
      <c r="H94" s="32"/>
      <c r="I94" s="32"/>
      <c r="J94" s="33"/>
    </row>
    <row r="95" spans="1:10" ht="14.25" thickBot="1" x14ac:dyDescent="0.3">
      <c r="C95" s="36" t="s">
        <v>181</v>
      </c>
      <c r="D95" s="37"/>
      <c r="E95" s="38"/>
      <c r="F95" s="39"/>
      <c r="G95" s="40"/>
      <c r="H95" s="41">
        <v>10028.549999999999</v>
      </c>
      <c r="I95" s="41">
        <f>SUMIFS(I:I,C:C,"Total")</f>
        <v>100</v>
      </c>
      <c r="J95" s="42"/>
    </row>
    <row r="98" spans="3:3" x14ac:dyDescent="0.25">
      <c r="C98" s="11" t="s">
        <v>182</v>
      </c>
    </row>
    <row r="99" spans="3:3" x14ac:dyDescent="0.25">
      <c r="C99" s="2" t="s">
        <v>183</v>
      </c>
    </row>
    <row r="100" spans="3:3" x14ac:dyDescent="0.25">
      <c r="C100" s="2" t="s">
        <v>184</v>
      </c>
    </row>
    <row r="101" spans="3:3" x14ac:dyDescent="0.25">
      <c r="C101" s="2" t="s">
        <v>185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A240-374E-4614-9DA4-50E3C374E6B0}">
  <dimension ref="B4:J20"/>
  <sheetViews>
    <sheetView workbookViewId="0"/>
  </sheetViews>
  <sheetFormatPr defaultRowHeight="15" x14ac:dyDescent="0.25"/>
  <cols>
    <col min="2" max="2" width="54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4" spans="2:10" ht="15.75" x14ac:dyDescent="0.25">
      <c r="B4" s="43" t="s">
        <v>186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187</v>
      </c>
      <c r="C5" s="46" t="s">
        <v>188</v>
      </c>
      <c r="D5" s="46"/>
      <c r="E5" s="46" t="s">
        <v>189</v>
      </c>
      <c r="F5" s="46"/>
      <c r="G5" s="46" t="s">
        <v>190</v>
      </c>
      <c r="H5" s="46"/>
      <c r="I5" s="46" t="s">
        <v>191</v>
      </c>
      <c r="J5" s="46"/>
    </row>
    <row r="6" spans="2:10" ht="63.75" x14ac:dyDescent="0.25">
      <c r="B6" s="47"/>
      <c r="C6" s="48" t="s">
        <v>192</v>
      </c>
      <c r="D6" s="48" t="s">
        <v>193</v>
      </c>
      <c r="E6" s="48" t="s">
        <v>192</v>
      </c>
      <c r="F6" s="48" t="s">
        <v>193</v>
      </c>
      <c r="G6" s="48" t="s">
        <v>192</v>
      </c>
      <c r="H6" s="48" t="s">
        <v>193</v>
      </c>
      <c r="I6" s="48" t="s">
        <v>192</v>
      </c>
      <c r="J6" s="48" t="s">
        <v>193</v>
      </c>
    </row>
    <row r="7" spans="2:10" x14ac:dyDescent="0.25">
      <c r="B7" s="49" t="s">
        <v>194</v>
      </c>
      <c r="C7" s="50">
        <v>24.622455679579769</v>
      </c>
      <c r="D7" s="50">
        <v>12462.245567957978</v>
      </c>
      <c r="E7" s="50">
        <v>26.062947991770578</v>
      </c>
      <c r="F7" s="50">
        <v>20046.472327841151</v>
      </c>
      <c r="G7" s="50">
        <v>18.236277131313816</v>
      </c>
      <c r="H7" s="50">
        <v>23118.148599269185</v>
      </c>
      <c r="I7" s="50">
        <v>8.0180434253074306</v>
      </c>
      <c r="J7" s="50">
        <v>94900</v>
      </c>
    </row>
    <row r="8" spans="2:10" x14ac:dyDescent="0.25">
      <c r="B8" s="49" t="s">
        <v>195</v>
      </c>
      <c r="C8" s="50">
        <v>23.454122688022405</v>
      </c>
      <c r="D8" s="50">
        <v>12345.41226880224</v>
      </c>
      <c r="E8" s="50">
        <v>31.953413945218912</v>
      </c>
      <c r="F8" s="50">
        <v>22975.337130665368</v>
      </c>
      <c r="G8" s="50">
        <v>20.216514365333449</v>
      </c>
      <c r="H8" s="50">
        <v>25108.493616845357</v>
      </c>
      <c r="I8" s="50">
        <v>0</v>
      </c>
      <c r="J8" s="50">
        <v>0</v>
      </c>
    </row>
    <row r="9" spans="2:10" x14ac:dyDescent="0.25">
      <c r="B9" s="49" t="s">
        <v>196</v>
      </c>
      <c r="C9" s="50">
        <v>7.0085355178066466</v>
      </c>
      <c r="D9" s="50">
        <v>10700.853551780665</v>
      </c>
      <c r="E9" s="50">
        <v>19.272785240684787</v>
      </c>
      <c r="F9" s="50">
        <v>16967.743206865995</v>
      </c>
      <c r="G9" s="50">
        <v>14.2661924180016</v>
      </c>
      <c r="H9" s="50">
        <v>19479.992271038322</v>
      </c>
      <c r="I9" s="50">
        <v>10.730756574956635</v>
      </c>
      <c r="J9" s="50">
        <v>195623.29740376378</v>
      </c>
    </row>
    <row r="10" spans="2:10" x14ac:dyDescent="0.25">
      <c r="B10" s="49" t="s">
        <v>199</v>
      </c>
      <c r="C10" s="51">
        <v>76.150000000000006</v>
      </c>
      <c r="D10" s="52"/>
      <c r="E10" s="51">
        <v>47.34</v>
      </c>
      <c r="F10" s="52"/>
      <c r="G10" s="51">
        <v>41.05</v>
      </c>
      <c r="H10" s="52"/>
      <c r="I10" s="51">
        <v>10</v>
      </c>
      <c r="J10" s="52"/>
    </row>
    <row r="12" spans="2:10" ht="15.75" x14ac:dyDescent="0.25">
      <c r="B12" s="43" t="s">
        <v>197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187</v>
      </c>
      <c r="C13" s="46" t="s">
        <v>188</v>
      </c>
      <c r="D13" s="46"/>
      <c r="E13" s="46" t="s">
        <v>189</v>
      </c>
      <c r="F13" s="46"/>
      <c r="G13" s="46" t="s">
        <v>190</v>
      </c>
      <c r="H13" s="46"/>
      <c r="I13" s="46" t="s">
        <v>191</v>
      </c>
      <c r="J13" s="46"/>
    </row>
    <row r="14" spans="2:10" ht="63.75" x14ac:dyDescent="0.25">
      <c r="B14" s="47"/>
      <c r="C14" s="48" t="s">
        <v>192</v>
      </c>
      <c r="D14" s="48" t="s">
        <v>193</v>
      </c>
      <c r="E14" s="48" t="s">
        <v>192</v>
      </c>
      <c r="F14" s="48" t="s">
        <v>193</v>
      </c>
      <c r="G14" s="48" t="s">
        <v>192</v>
      </c>
      <c r="H14" s="48" t="s">
        <v>193</v>
      </c>
      <c r="I14" s="48" t="s">
        <v>192</v>
      </c>
      <c r="J14" s="48" t="s">
        <v>193</v>
      </c>
    </row>
    <row r="15" spans="2:10" x14ac:dyDescent="0.25">
      <c r="B15" s="49" t="s">
        <v>194</v>
      </c>
      <c r="C15" s="50">
        <v>25.050276520864756</v>
      </c>
      <c r="D15" s="50">
        <v>12505.027652086474</v>
      </c>
      <c r="E15" s="50">
        <v>26.497070144986811</v>
      </c>
      <c r="F15" s="50">
        <v>20254.478827361563</v>
      </c>
      <c r="G15" s="50">
        <v>18.694892395498663</v>
      </c>
      <c r="H15" s="50">
        <v>23570.244018005211</v>
      </c>
      <c r="I15" s="50">
        <v>17.266956956418777</v>
      </c>
      <c r="J15" s="50">
        <v>56177.300959909648</v>
      </c>
    </row>
    <row r="16" spans="2:10" x14ac:dyDescent="0.25">
      <c r="B16" s="49" t="s">
        <v>195</v>
      </c>
      <c r="C16" s="50">
        <v>23.454122688022405</v>
      </c>
      <c r="D16" s="50">
        <v>12345.41226880224</v>
      </c>
      <c r="E16" s="50">
        <v>31.953413945218912</v>
      </c>
      <c r="F16" s="50">
        <v>22975.337130665368</v>
      </c>
      <c r="G16" s="50">
        <v>20.216514365333449</v>
      </c>
      <c r="H16" s="50">
        <v>25108.493616845357</v>
      </c>
      <c r="I16" s="50">
        <v>18.070174020252416</v>
      </c>
      <c r="J16" s="50">
        <v>60489.998413495872</v>
      </c>
    </row>
    <row r="17" spans="2:10" x14ac:dyDescent="0.25">
      <c r="B17" s="49" t="s">
        <v>196</v>
      </c>
      <c r="C17" s="50">
        <v>7.0085355178066466</v>
      </c>
      <c r="D17" s="50">
        <v>10700.853551780665</v>
      </c>
      <c r="E17" s="50">
        <v>19.272785240684787</v>
      </c>
      <c r="F17" s="50">
        <v>16967.743206865995</v>
      </c>
      <c r="G17" s="50">
        <v>14.2661924180016</v>
      </c>
      <c r="H17" s="50">
        <v>19479.992271038322</v>
      </c>
      <c r="I17" s="50">
        <v>12.726145382760778</v>
      </c>
      <c r="J17" s="50">
        <v>36620.07471094605</v>
      </c>
    </row>
    <row r="18" spans="2:10" x14ac:dyDescent="0.25">
      <c r="B18" s="49" t="s">
        <v>200</v>
      </c>
      <c r="C18" s="51">
        <v>79.56</v>
      </c>
      <c r="D18" s="52"/>
      <c r="E18" s="51">
        <v>49.12</v>
      </c>
      <c r="F18" s="52"/>
      <c r="G18" s="51">
        <v>42.21</v>
      </c>
      <c r="H18" s="52"/>
      <c r="I18" s="51">
        <v>17.71</v>
      </c>
      <c r="J18" s="52"/>
    </row>
    <row r="20" spans="2:10" x14ac:dyDescent="0.25">
      <c r="B20" t="s">
        <v>198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2023-11-04T02:36:41Z</dcterms:created>
  <dcterms:modified xsi:type="dcterms:W3CDTF">2023-11-06T06:16:01Z</dcterms:modified>
</cp:coreProperties>
</file>