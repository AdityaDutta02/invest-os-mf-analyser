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B6815101-0D19-4D5A-BD4F-C66C8AFC5187}" xr6:coauthVersionLast="47" xr6:coauthVersionMax="47" xr10:uidLastSave="{00000000-0000-0000-0000-000000000000}"/>
  <bookViews>
    <workbookView xWindow="-120" yWindow="-120" windowWidth="20730" windowHeight="11040" activeTab="1" xr2:uid="{5EBBA655-A6E3-4953-895A-B53E6A776204}"/>
  </bookViews>
  <sheets>
    <sheet name="TISF" sheetId="1" r:id="rId1"/>
    <sheet name="TISF Performance" sheetId="2" r:id="rId2"/>
  </sheets>
  <externalReferences>
    <externalReference r:id="rId3"/>
  </externalReferences>
  <definedNames>
    <definedName name="XDO_?CLASS_3?4?">TISF!$C$8:$C$42</definedName>
    <definedName name="XDO_?FINAL_ISIN?8?">TISF!$D$10:$D$42</definedName>
    <definedName name="XDO_?FINAL_ISIN?9?">TISF!$D$10:$D$86</definedName>
    <definedName name="XDO_?FINAL_MV?8?">TISF!$H$10:$H$42</definedName>
    <definedName name="XDO_?FINAL_MV?9?">TISF!$H$10:$H$86</definedName>
    <definedName name="XDO_?FINAL_NAME?8?">TISF!$C$10:$C$42</definedName>
    <definedName name="XDO_?FINAL_NAME?9?">TISF!$C$10:$C$86</definedName>
    <definedName name="XDO_?FINAL_PER_NET?8?">TISF!$I$10:$I$42</definedName>
    <definedName name="XDO_?FINAL_PER_NET?9?">TISF!$I$10:$I$86</definedName>
    <definedName name="XDO_?FINAL_QUANTITE?8?">TISF!$G$10:$G$42</definedName>
    <definedName name="XDO_?FINAL_QUANTITE?9?">TISF!$G$10:$G$86</definedName>
    <definedName name="XDO_?IND_01?8?">TISF!$F$10:$F$42</definedName>
    <definedName name="XDO_?IND_01?9?">TISF!$F$10:$F$86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TISF!$B$10:$B$42</definedName>
    <definedName name="XDO_?NOVAL?9?">TISF!$B$10:$B$86</definedName>
    <definedName name="XDO_?NPTF?4?">TISF!$D$2:$D$42</definedName>
    <definedName name="XDO_?RATING?8?">TISF!$E$10:$E$42</definedName>
    <definedName name="XDO_?RATING?9?">TISF!$E$10:$E$86</definedName>
    <definedName name="XDO_?REMARKS?8?">TISF!$J$10:$J$42</definedName>
    <definedName name="XDO_?REMARKS?9?">TISF!$J$10:$J$86</definedName>
    <definedName name="XDO_?TITL?4?">TISF!$A$8:$A$42</definedName>
    <definedName name="XDO_GROUP_?G_2?4?">TISF!$2:$89</definedName>
    <definedName name="XDO_GROUP_?G_3?4?">TISF!$8:$88</definedName>
    <definedName name="XDO_GROUP_?G_4?8?">TISF!$B$10:$IV$42</definedName>
    <definedName name="XDO_GROUP_?G_4?9?">TISF!$B$86:$IV$86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<sst xmlns="http://schemas.openxmlformats.org/spreadsheetml/2006/main" count="274" uniqueCount="197">
  <si>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</si>
  <si>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</si>
  <si>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</si>
  <si>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</si>
  <si>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</si>
  <si>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</si>
  <si>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</si>
  <si>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</si>
  <si>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</si>
  <si>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</si>
  <si>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</si>
  <si>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</si>
  <si>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</si>
  <si>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</si>
  <si>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</si>
  <si>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</si>
  <si>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</si>
  <si>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</si>
  <si>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</si>
  <si>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</si>
  <si>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</si>
  <si>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</si>
  <si>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</si>
  <si>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</si>
  <si>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</si>
  <si>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</si>
  <si>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</si>
  <si>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100182</t>
  </si>
  <si>
    <t>Power Grid Corporation of India Ltd.</t>
  </si>
  <si>
    <t>INE752E01010</t>
  </si>
  <si>
    <t>Power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</si>
  <si>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</si>
  <si>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</si>
  <si>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</si>
  <si>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</si>
  <si>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</si>
  <si>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</si>
  <si>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</si>
  <si>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102135</t>
  </si>
  <si>
    <t>Le Travenues Technology Ltd.</t>
  </si>
  <si>
    <t>INE0HV901016</t>
  </si>
  <si>
    <t>Leisure Services</t>
  </si>
  <si>
    <t>100111</t>
  </si>
  <si>
    <t>Oil &amp; Natural Gas Corporation Ltd.</t>
  </si>
  <si>
    <t>INE213A01029</t>
  </si>
  <si>
    <t>Oil</t>
  </si>
  <si>
    <t>100177</t>
  </si>
  <si>
    <t>Grasim Industries Ltd.</t>
  </si>
  <si>
    <t>INE047A01021</t>
  </si>
  <si>
    <t>100174</t>
  </si>
  <si>
    <t>Vodafone Idea Ltd.</t>
  </si>
  <si>
    <t>INE669E01016</t>
  </si>
  <si>
    <t>101365</t>
  </si>
  <si>
    <t>Voltamp Transformers Ltd.</t>
  </si>
  <si>
    <t>INE540H01012</t>
  </si>
  <si>
    <t>Electrical Equipment</t>
  </si>
  <si>
    <t>100094</t>
  </si>
  <si>
    <t>Bharat Petroleum Corporation Ltd.</t>
  </si>
  <si>
    <t>INE029A01011</t>
  </si>
  <si>
    <t>100418</t>
  </si>
  <si>
    <t>Adani Enterprises Ltd.</t>
  </si>
  <si>
    <t>INE423A01024</t>
  </si>
  <si>
    <t>Metals &amp; Minerals Trading</t>
  </si>
  <si>
    <t>102447</t>
  </si>
  <si>
    <t>Afcons Infrastructure Ltd.</t>
  </si>
  <si>
    <t>INE101I01011</t>
  </si>
  <si>
    <t>100465</t>
  </si>
  <si>
    <t>Interglobe Aviation Ltd.</t>
  </si>
  <si>
    <t>INE646L01027</t>
  </si>
  <si>
    <t>Transport Services</t>
  </si>
  <si>
    <t>100263</t>
  </si>
  <si>
    <t>BEML Ltd.</t>
  </si>
  <si>
    <t>INE258A01024</t>
  </si>
  <si>
    <t>Agricultural, Commercial &amp; Construction Vehicles</t>
  </si>
  <si>
    <t>100430</t>
  </si>
  <si>
    <t>Salzer Electronics Ltd.</t>
  </si>
  <si>
    <t>INE457F01013</t>
  </si>
  <si>
    <t>100292</t>
  </si>
  <si>
    <t>Steel Authority of India Ltd.</t>
  </si>
  <si>
    <t>INE114A01011</t>
  </si>
  <si>
    <t>Ferrous Metals</t>
  </si>
  <si>
    <t>100100</t>
  </si>
  <si>
    <t>Hindustan Petroleum Corporation Ltd.</t>
  </si>
  <si>
    <t>INE094A01015</t>
  </si>
  <si>
    <t>100694</t>
  </si>
  <si>
    <t>Indian Energy Exchange Ltd.</t>
  </si>
  <si>
    <t>INE022Q01020</t>
  </si>
  <si>
    <t>Capital Markets</t>
  </si>
  <si>
    <t>100169</t>
  </si>
  <si>
    <t>Indian Oil Corporation Ltd.</t>
  </si>
  <si>
    <t>INE242A01010</t>
  </si>
  <si>
    <t>100809</t>
  </si>
  <si>
    <t>Rites Ltd.</t>
  </si>
  <si>
    <t>INE320J01015</t>
  </si>
  <si>
    <t>100014</t>
  </si>
  <si>
    <t>Mahindra &amp; Mahindra Ltd.</t>
  </si>
  <si>
    <t>INE101A01026</t>
  </si>
  <si>
    <t>Automobiles</t>
  </si>
  <si>
    <t>101184</t>
  </si>
  <si>
    <t>Mazagon Dock Shipbuilders Ltd.</t>
  </si>
  <si>
    <t>INE249Z01020</t>
  </si>
  <si>
    <t>Industrial Manufacturing</t>
  </si>
  <si>
    <t>100156</t>
  </si>
  <si>
    <t>Finolex Cables Ltd.</t>
  </si>
  <si>
    <t>INE235A01022</t>
  </si>
  <si>
    <t>Industrial Products</t>
  </si>
  <si>
    <t>101949</t>
  </si>
  <si>
    <t>Samhi Hotels Ltd.</t>
  </si>
  <si>
    <t>INE08U801020</t>
  </si>
  <si>
    <t>102206</t>
  </si>
  <si>
    <t>Chemtech Industrial Valves Ltd.</t>
  </si>
  <si>
    <t>INE212P01011</t>
  </si>
  <si>
    <t>100498</t>
  </si>
  <si>
    <t>Ahluwalia Contracts (India) Ltd.</t>
  </si>
  <si>
    <t>INE758C01029</t>
  </si>
  <si>
    <t>100560</t>
  </si>
  <si>
    <t>NESCO Ltd.</t>
  </si>
  <si>
    <t>INE317F01035</t>
  </si>
  <si>
    <t>Commercial Services &amp; Supplies</t>
  </si>
  <si>
    <t>102220</t>
  </si>
  <si>
    <t>Interarch Building Solutions Ltd.</t>
  </si>
  <si>
    <t>INE00M901018</t>
  </si>
  <si>
    <t>102094</t>
  </si>
  <si>
    <t>HBL Engineering Ltd.</t>
  </si>
  <si>
    <t>INE292B01021</t>
  </si>
  <si>
    <t>100134</t>
  </si>
  <si>
    <t>Inox Wind Ltd.</t>
  </si>
  <si>
    <t>INE066P01011</t>
  </si>
  <si>
    <t>102611</t>
  </si>
  <si>
    <t>Kalpataru Ltd.</t>
  </si>
  <si>
    <t>INE227J01012</t>
  </si>
  <si>
    <t>Realty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</si>
  <si>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</si>
  <si>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</si>
  <si>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</si>
  <si>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</si>
  <si>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</si>
  <si>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</si>
  <si>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</si>
  <si>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</si>
  <si>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</si>
  <si>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</si>
  <si>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</si>
  <si>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</si>
  <si>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</si>
  <si>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</si>
  <si>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</si>
  <si>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</si>
  <si>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</si>
  <si>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</si>
  <si>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</si>
  <si>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</si>
  <si>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</si>
  <si>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</si>
  <si>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</si>
  <si>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</si>
  <si>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</si>
  <si>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</si>
  <si>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</si>
  <si>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</si>
  <si>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</si>
  <si>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</si>
  <si>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</si>
  <si>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</si>
  <si>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</si>
  <si>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</si>
  <si>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</si>
  <si>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</si>
  <si>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</si>
  <si>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</si>
  <si>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</si>
  <si>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</si>
  <si>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</si>
  <si>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February 28, 2026.</t>
  </si>
  <si>
    <t>7. The Scheme did not declare any bonus during the month ended as on February 28, 2026.</t>
  </si>
  <si>
    <t>8. Total outstanding exposure in derivative instruments as on February 28, 2026 is Nil</t>
  </si>
  <si>
    <t>9. Total investments in Foreign Securities /ADRs/GDRs /Overseas ETFs as on February 28, 2026 and its percentage to NAV is Nil.</t>
  </si>
  <si>
    <t>10. During the period, the portfolio turnover ratio is 0.64 times.</t>
  </si>
  <si>
    <t>      Portfolio Turnover Ratio = Lower of sales or purchase of securities divided by average AUM for 12 months ended as on 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</si>
  <si>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</si>
  <si>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 February 28, 2026.</t>
  </si>
  <si>
    <t>13. There are Nil instances of deviation from the valuation principles/guidelines during the month ended as on February 28th, 2026.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</si>
  <si>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</si>
  <si>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</si>
  <si>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</si>
  <si>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</si>
  <si>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</si>
  <si>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</si>
  <si>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</si>
  <si>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</si>
  <si>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</si>
  <si>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</si>
  <si>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</si>
  <si>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</si>
  <si>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February 27,2026 :64.75)</t>
  </si>
  <si>
    <t>Taurus Infrastructure Fund - Direct Plan Growth Option</t>
  </si>
  <si>
    <t>NAV [Rs.] Per Unit (as on February 27,2026 :69.73)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</si>
</sst>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3A0C441F-BB99-448E-868D-8F0EA04FB280}"/>
    <cellStyle name="Hyperlink" xfId="2" builtinId="8"/>
    <cellStyle name="Normal" xfId="0" builtinId="0"/>
    <cellStyle name="Normal 2" xfId="4" xr:uid="{05EF60B1-D26E-40EC-A9F8-C16552C97578}"/>
    <cellStyle name="Style 1" xfId="3" xr:uid="{5BB4D5DC-8395-44DA-B43D-9C2D9465D8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05884EC1-4D1A-48C4-A1B5-48827AC73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886B-5E86-4FAC-9269-A243179168BB}">
  <dimension ref="A1:BB115"/>
  <sheetViews>
    <sheetView showGridLines="0" zoomScale="90" zoomScaleNormal="90" workbookViewId="0">
      <selection activeCell="I1" sqref="I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8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92.11</v>
      </c>
      <c r="I10" s="32">
        <v>10.36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73.58</v>
      </c>
      <c r="I11" s="32">
        <v>8.27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4802</v>
      </c>
      <c r="H12" s="32">
        <v>66.95</v>
      </c>
      <c r="I12" s="32">
        <v>7.53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50.44</v>
      </c>
      <c r="I13" s="32">
        <v>5.67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280</v>
      </c>
      <c r="H14" s="32">
        <v>35.5</v>
      </c>
      <c r="I14" s="32">
        <v>3.99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8787</v>
      </c>
      <c r="H15" s="32">
        <v>33.549999999999997</v>
      </c>
      <c r="I15" s="32">
        <v>3.77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18697</v>
      </c>
      <c r="H16" s="32">
        <v>31.84</v>
      </c>
      <c r="I16" s="32">
        <v>3.58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11318</v>
      </c>
      <c r="H17" s="32">
        <v>31.68</v>
      </c>
      <c r="I17" s="32">
        <v>3.56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34</v>
      </c>
      <c r="G18" s="31">
        <v>1015</v>
      </c>
      <c r="H18" s="32">
        <v>28.42</v>
      </c>
      <c r="I18" s="32">
        <v>3.2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255518</v>
      </c>
      <c r="H19" s="32">
        <v>27.11</v>
      </c>
      <c r="I19" s="32">
        <v>3.05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293</v>
      </c>
      <c r="H20" s="32">
        <v>26.66</v>
      </c>
      <c r="I20" s="32">
        <v>3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26</v>
      </c>
      <c r="G21" s="31">
        <v>6894</v>
      </c>
      <c r="H21" s="32">
        <v>26.59</v>
      </c>
      <c r="I21" s="32">
        <v>2.99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1171</v>
      </c>
      <c r="H22" s="32">
        <v>25.35</v>
      </c>
      <c r="I22" s="32">
        <v>2.85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22</v>
      </c>
      <c r="G23" s="31">
        <v>8600</v>
      </c>
      <c r="H23" s="32">
        <v>25.11</v>
      </c>
      <c r="I23" s="32">
        <v>2.82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469</v>
      </c>
      <c r="H24" s="32">
        <v>22.62</v>
      </c>
      <c r="I24" s="32">
        <v>2.54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1330</v>
      </c>
      <c r="H25" s="32">
        <v>22.35</v>
      </c>
      <c r="I25" s="32">
        <v>2.5099999999999998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55</v>
      </c>
      <c r="G26" s="31">
        <v>3336</v>
      </c>
      <c r="H26" s="32">
        <v>21.96</v>
      </c>
      <c r="I26" s="32">
        <v>2.4700000000000002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12800</v>
      </c>
      <c r="H27" s="32">
        <v>21.25</v>
      </c>
      <c r="I27" s="32">
        <v>2.39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26</v>
      </c>
      <c r="G28" s="31">
        <v>4702</v>
      </c>
      <c r="H28" s="32">
        <v>20.65</v>
      </c>
      <c r="I28" s="32">
        <v>2.3199999999999998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15410</v>
      </c>
      <c r="H29" s="32">
        <v>19.29</v>
      </c>
      <c r="I29" s="32">
        <v>2.17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26</v>
      </c>
      <c r="G30" s="31">
        <v>9575</v>
      </c>
      <c r="H30" s="32">
        <v>17.96</v>
      </c>
      <c r="I30" s="32">
        <v>2.02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22</v>
      </c>
      <c r="G31" s="31">
        <v>8404</v>
      </c>
      <c r="H31" s="32">
        <v>17.96</v>
      </c>
      <c r="I31" s="32">
        <v>2.02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523</v>
      </c>
      <c r="H32" s="32">
        <v>17.78</v>
      </c>
      <c r="I32" s="32">
        <v>2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795</v>
      </c>
      <c r="H33" s="32">
        <v>17.68</v>
      </c>
      <c r="I33" s="32">
        <v>1.99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1903</v>
      </c>
      <c r="H34" s="32">
        <v>17.399999999999999</v>
      </c>
      <c r="I34" s="32">
        <v>1.96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41</v>
      </c>
      <c r="G35" s="31">
        <v>10392</v>
      </c>
      <c r="H35" s="32">
        <v>16.89</v>
      </c>
      <c r="I35" s="32">
        <v>1.9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101</v>
      </c>
      <c r="G36" s="31">
        <v>25000</v>
      </c>
      <c r="H36" s="32">
        <v>16.149999999999999</v>
      </c>
      <c r="I36" s="32">
        <v>1.82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22</v>
      </c>
      <c r="G37" s="31">
        <v>2005</v>
      </c>
      <c r="H37" s="32">
        <v>15.48</v>
      </c>
      <c r="I37" s="32">
        <v>1.74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815</v>
      </c>
      <c r="H38" s="32">
        <v>9.16</v>
      </c>
      <c r="I38" s="32">
        <v>1.03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22</v>
      </c>
      <c r="G39" s="31">
        <v>463</v>
      </c>
      <c r="H39" s="32">
        <v>8.69</v>
      </c>
      <c r="I39" s="32">
        <v>0.98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105</v>
      </c>
      <c r="G40" s="31">
        <v>1050</v>
      </c>
      <c r="H40" s="32">
        <v>7.19</v>
      </c>
      <c r="I40" s="32">
        <v>0.81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55</v>
      </c>
      <c r="G41" s="31">
        <v>7672</v>
      </c>
      <c r="H41" s="32">
        <v>7.07</v>
      </c>
      <c r="I41" s="32">
        <v>0.79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1926</v>
      </c>
      <c r="H42" s="32">
        <v>6.24</v>
      </c>
      <c r="I42" s="32">
        <v>0.7</v>
      </c>
      <c r="J42" s="33"/>
    </row>
    <row r="43" spans="2:10" x14ac:dyDescent="0.25">
      <c r="C43" s="28" t="s">
        <v>132</v>
      </c>
      <c r="D43" s="29"/>
      <c r="E43" s="30"/>
      <c r="F43" s="30"/>
      <c r="G43" s="31"/>
      <c r="H43" s="35">
        <v>878.66</v>
      </c>
      <c r="I43" s="35">
        <v>98.8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133</v>
      </c>
      <c r="D45" s="29"/>
      <c r="E45" s="30"/>
      <c r="F45" s="30"/>
      <c r="G45" s="31"/>
      <c r="H45" s="32" t="s">
        <v>134</v>
      </c>
      <c r="I45" s="32" t="s">
        <v>134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135</v>
      </c>
      <c r="D47" s="29"/>
      <c r="E47" s="30"/>
      <c r="F47" s="30"/>
      <c r="G47" s="31"/>
      <c r="H47" s="32" t="s">
        <v>134</v>
      </c>
      <c r="I47" s="32" t="s">
        <v>134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136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137</v>
      </c>
      <c r="D51" s="29"/>
      <c r="E51" s="30"/>
      <c r="F51" s="30"/>
      <c r="G51" s="31"/>
      <c r="H51" s="32" t="s">
        <v>134</v>
      </c>
      <c r="I51" s="32" t="s">
        <v>134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138</v>
      </c>
      <c r="D53" s="29"/>
      <c r="E53" s="30"/>
      <c r="F53" s="30"/>
      <c r="G53" s="31"/>
      <c r="H53" s="32" t="s">
        <v>134</v>
      </c>
      <c r="I53" s="32" t="s">
        <v>134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139</v>
      </c>
      <c r="D55" s="29"/>
      <c r="E55" s="30"/>
      <c r="F55" s="30"/>
      <c r="G55" s="31"/>
      <c r="H55" s="32" t="s">
        <v>134</v>
      </c>
      <c r="I55" s="32" t="s">
        <v>134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140</v>
      </c>
      <c r="D57" s="29"/>
      <c r="E57" s="30"/>
      <c r="F57" s="30"/>
      <c r="G57" s="31"/>
      <c r="H57" s="32" t="s">
        <v>134</v>
      </c>
      <c r="I57" s="32" t="s">
        <v>134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141</v>
      </c>
      <c r="D59" s="29"/>
      <c r="E59" s="30"/>
      <c r="F59" s="30"/>
      <c r="G59" s="31"/>
      <c r="H59" s="32" t="s">
        <v>134</v>
      </c>
      <c r="I59" s="32" t="s">
        <v>134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142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143</v>
      </c>
      <c r="D63" s="29"/>
      <c r="E63" s="30"/>
      <c r="F63" s="30"/>
      <c r="G63" s="31"/>
      <c r="H63" s="32" t="s">
        <v>134</v>
      </c>
      <c r="I63" s="32" t="s">
        <v>134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144</v>
      </c>
      <c r="D65" s="29"/>
      <c r="E65" s="30"/>
      <c r="F65" s="30"/>
      <c r="G65" s="31"/>
      <c r="H65" s="32" t="s">
        <v>134</v>
      </c>
      <c r="I65" s="32" t="s">
        <v>134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145</v>
      </c>
      <c r="D67" s="29"/>
      <c r="E67" s="30"/>
      <c r="F67" s="30"/>
      <c r="G67" s="31"/>
      <c r="H67" s="32" t="s">
        <v>134</v>
      </c>
      <c r="I67" s="32" t="s">
        <v>134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146</v>
      </c>
      <c r="D69" s="29"/>
      <c r="E69" s="30"/>
      <c r="F69" s="30"/>
      <c r="G69" s="31"/>
      <c r="H69" s="32" t="s">
        <v>134</v>
      </c>
      <c r="I69" s="32" t="s">
        <v>134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147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148</v>
      </c>
      <c r="D73" s="29"/>
      <c r="E73" s="30"/>
      <c r="F73" s="30"/>
      <c r="G73" s="31"/>
      <c r="H73" s="32" t="s">
        <v>134</v>
      </c>
      <c r="I73" s="32" t="s">
        <v>134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149</v>
      </c>
      <c r="D75" s="29"/>
      <c r="E75" s="30"/>
      <c r="F75" s="30"/>
      <c r="G75" s="31"/>
      <c r="H75" s="32" t="s">
        <v>134</v>
      </c>
      <c r="I75" s="32" t="s">
        <v>134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150</v>
      </c>
      <c r="D77" s="29"/>
      <c r="E77" s="30"/>
      <c r="F77" s="30"/>
      <c r="G77" s="31"/>
      <c r="H77" s="32" t="s">
        <v>134</v>
      </c>
      <c r="I77" s="32" t="s">
        <v>134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151</v>
      </c>
      <c r="D79" s="29"/>
      <c r="E79" s="30"/>
      <c r="F79" s="30"/>
      <c r="G79" s="31"/>
      <c r="H79" s="32" t="s">
        <v>134</v>
      </c>
      <c r="I79" s="32" t="s">
        <v>134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152</v>
      </c>
      <c r="D81" s="29"/>
      <c r="E81" s="30"/>
      <c r="F81" s="30"/>
      <c r="G81" s="31"/>
      <c r="H81" s="32" t="s">
        <v>134</v>
      </c>
      <c r="I81" s="32" t="s">
        <v>134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153</v>
      </c>
      <c r="D83" s="29"/>
      <c r="E83" s="30"/>
      <c r="F83" s="30"/>
      <c r="G83" s="31"/>
      <c r="H83" s="32" t="s">
        <v>134</v>
      </c>
      <c r="I83" s="32" t="s">
        <v>134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154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155</v>
      </c>
      <c r="D86" s="29"/>
      <c r="E86" s="30"/>
      <c r="F86" s="30"/>
      <c r="G86" s="31"/>
      <c r="H86" s="32">
        <v>10.83</v>
      </c>
      <c r="I86" s="32">
        <v>1.2</v>
      </c>
      <c r="J86" s="33"/>
    </row>
    <row r="87" spans="1:10" x14ac:dyDescent="0.25">
      <c r="C87" s="28" t="s">
        <v>132</v>
      </c>
      <c r="D87" s="29"/>
      <c r="E87" s="30"/>
      <c r="F87" s="30"/>
      <c r="G87" s="31"/>
      <c r="H87" s="35">
        <v>10.83</v>
      </c>
      <c r="I87" s="35">
        <v>1.2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156</v>
      </c>
      <c r="D89" s="37"/>
      <c r="E89" s="38"/>
      <c r="F89" s="39"/>
      <c r="G89" s="40"/>
      <c r="H89" s="41">
        <v>889.49</v>
      </c>
      <c r="I89" s="41">
        <f>SUMIFS(I:I,C:C,"Total")</f>
        <v>100</v>
      </c>
      <c r="J89" s="42"/>
    </row>
    <row r="92" spans="1:10" x14ac:dyDescent="0.25">
      <c r="C92" s="11" t="s">
        <v>157</v>
      </c>
    </row>
    <row r="93" spans="1:10" x14ac:dyDescent="0.25">
      <c r="C93" s="2" t="s">
        <v>158</v>
      </c>
    </row>
    <row r="94" spans="1:10" x14ac:dyDescent="0.25">
      <c r="C94" s="2" t="s">
        <v>159</v>
      </c>
    </row>
    <row r="95" spans="1:10" x14ac:dyDescent="0.25">
      <c r="C95" s="2" t="s">
        <v>160</v>
      </c>
    </row>
    <row r="96" spans="1:10" x14ac:dyDescent="0.25">
      <c r="C96" s="2" t="s">
        <v>161</v>
      </c>
    </row>
    <row r="97" spans="3:5" x14ac:dyDescent="0.25">
      <c r="C97" s="2" t="s">
        <v>162</v>
      </c>
    </row>
    <row r="98" spans="3:5" ht="14.25" thickBot="1" x14ac:dyDescent="0.3">
      <c r="C98" s="2" t="s">
        <v>163</v>
      </c>
    </row>
    <row r="99" spans="3:5" ht="14.25" thickBot="1" x14ac:dyDescent="0.3">
      <c r="C99" s="43"/>
      <c r="D99" s="60" t="s">
        <v>164</v>
      </c>
      <c r="E99" s="61"/>
    </row>
    <row r="100" spans="3:5" x14ac:dyDescent="0.25">
      <c r="C100" s="44" t="s">
        <v>165</v>
      </c>
      <c r="D100" s="45" t="s">
        <v>166</v>
      </c>
      <c r="E100" s="46" t="s">
        <v>166</v>
      </c>
    </row>
    <row r="101" spans="3:5" ht="14.25" thickBot="1" x14ac:dyDescent="0.3">
      <c r="C101" s="47"/>
      <c r="D101" s="48" t="s">
        <v>167</v>
      </c>
      <c r="E101" s="49" t="s">
        <v>168</v>
      </c>
    </row>
    <row r="102" spans="3:5" ht="14.25" thickBot="1" x14ac:dyDescent="0.3">
      <c r="C102" s="50" t="s">
        <v>169</v>
      </c>
      <c r="D102" s="51">
        <v>59.99</v>
      </c>
      <c r="E102" s="51">
        <v>60.81</v>
      </c>
    </row>
    <row r="103" spans="3:5" ht="14.25" thickBot="1" x14ac:dyDescent="0.3">
      <c r="C103" s="50" t="s">
        <v>170</v>
      </c>
      <c r="D103" s="51">
        <v>63.87</v>
      </c>
      <c r="E103" s="51">
        <v>64.739999999999995</v>
      </c>
    </row>
    <row r="104" spans="3:5" ht="14.25" thickBot="1" x14ac:dyDescent="0.3">
      <c r="C104" s="50" t="s">
        <v>171</v>
      </c>
      <c r="D104" s="51">
        <v>64.02</v>
      </c>
      <c r="E104" s="51">
        <v>64.94</v>
      </c>
    </row>
    <row r="105" spans="3:5" ht="14.25" thickBot="1" x14ac:dyDescent="0.3">
      <c r="C105" s="50" t="s">
        <v>172</v>
      </c>
      <c r="D105" s="51">
        <v>68.739999999999995</v>
      </c>
      <c r="E105" s="51">
        <v>69.73</v>
      </c>
    </row>
    <row r="107" spans="3:5" x14ac:dyDescent="0.25">
      <c r="C107" s="2" t="s">
        <v>173</v>
      </c>
    </row>
    <row r="108" spans="3:5" x14ac:dyDescent="0.25">
      <c r="C108" s="2" t="s">
        <v>174</v>
      </c>
    </row>
    <row r="109" spans="3:5" x14ac:dyDescent="0.25">
      <c r="C109" s="2" t="s">
        <v>175</v>
      </c>
    </row>
    <row r="110" spans="3:5" x14ac:dyDescent="0.25">
      <c r="C110" s="2" t="s">
        <v>176</v>
      </c>
    </row>
    <row r="111" spans="3:5" x14ac:dyDescent="0.25">
      <c r="C111" s="2" t="s">
        <v>177</v>
      </c>
    </row>
    <row r="112" spans="3:5" x14ac:dyDescent="0.25">
      <c r="C112" s="2" t="s">
        <v>178</v>
      </c>
    </row>
    <row r="113" spans="3:3" x14ac:dyDescent="0.25">
      <c r="C113" s="2" t="s">
        <v>179</v>
      </c>
    </row>
    <row r="114" spans="3:3" x14ac:dyDescent="0.25">
      <c r="C114" s="2" t="s">
        <v>180</v>
      </c>
    </row>
    <row r="115" spans="3:3" x14ac:dyDescent="0.25">
      <c r="C115" s="2" t="s">
        <v>181</v>
      </c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A542-2767-440A-B80A-C8EB024EB82B}">
  <dimension ref="C3:M17"/>
  <sheetViews>
    <sheetView tabSelected="1" workbookViewId="0">
      <selection activeCell="C3" sqref="C3"/>
    </sheetView>
  </sheetViews>
  <sheetFormatPr defaultRowHeight="15" x14ac:dyDescent="0.25"/>
  <cols>
    <col min="3" max="3" width="64.7109375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182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183</v>
      </c>
      <c r="D4" s="62" t="s">
        <v>184</v>
      </c>
      <c r="E4" s="62"/>
      <c r="F4" s="62" t="s">
        <v>185</v>
      </c>
      <c r="G4" s="62"/>
      <c r="H4" s="62" t="s">
        <v>186</v>
      </c>
      <c r="I4" s="62"/>
      <c r="J4" s="63" t="s">
        <v>187</v>
      </c>
      <c r="K4" s="64"/>
      <c r="L4" s="65" t="s">
        <v>188</v>
      </c>
      <c r="M4" s="65"/>
    </row>
    <row r="5" spans="3:13" ht="63.75" x14ac:dyDescent="0.25">
      <c r="C5" s="55"/>
      <c r="D5" s="56" t="s">
        <v>189</v>
      </c>
      <c r="E5" s="56" t="s">
        <v>190</v>
      </c>
      <c r="F5" s="56" t="s">
        <v>189</v>
      </c>
      <c r="G5" s="56" t="s">
        <v>190</v>
      </c>
      <c r="H5" s="56" t="s">
        <v>189</v>
      </c>
      <c r="I5" s="56" t="s">
        <v>190</v>
      </c>
      <c r="J5" s="56" t="s">
        <v>189</v>
      </c>
      <c r="K5" s="56" t="s">
        <v>190</v>
      </c>
      <c r="L5" s="57" t="s">
        <v>189</v>
      </c>
      <c r="M5" s="57" t="s">
        <v>190</v>
      </c>
    </row>
    <row r="6" spans="3:13" x14ac:dyDescent="0.25">
      <c r="C6" s="58" t="s">
        <v>191</v>
      </c>
      <c r="D6" s="59">
        <v>12.8245</v>
      </c>
      <c r="E6" s="59">
        <v>11282.453389092176</v>
      </c>
      <c r="F6" s="59">
        <v>19.673500000000001</v>
      </c>
      <c r="G6" s="59">
        <v>17147.775423728814</v>
      </c>
      <c r="H6" s="59">
        <v>16.040099999999999</v>
      </c>
      <c r="I6" s="59">
        <v>21056.91056910569</v>
      </c>
      <c r="J6" s="59">
        <v>16.4556</v>
      </c>
      <c r="K6" s="59">
        <v>45954.577714691273</v>
      </c>
      <c r="L6" s="59">
        <v>10.3324</v>
      </c>
      <c r="M6" s="59">
        <v>64750</v>
      </c>
    </row>
    <row r="7" spans="3:13" x14ac:dyDescent="0.25">
      <c r="C7" s="58" t="s">
        <v>192</v>
      </c>
      <c r="D7" s="59">
        <v>22.737200000000001</v>
      </c>
      <c r="E7" s="59">
        <v>12273.72</v>
      </c>
      <c r="F7" s="59">
        <v>24.733599999999999</v>
      </c>
      <c r="G7" s="59">
        <v>19406.640944538693</v>
      </c>
      <c r="H7" s="59">
        <v>19.508900000000001</v>
      </c>
      <c r="I7" s="59">
        <v>24378.178075812848</v>
      </c>
      <c r="J7" s="59">
        <v>16.8062</v>
      </c>
      <c r="K7" s="59">
        <v>21743.501231635131</v>
      </c>
      <c r="L7" s="59">
        <v>7.875</v>
      </c>
      <c r="M7" s="59">
        <v>42209.010556110661</v>
      </c>
    </row>
    <row r="8" spans="3:13" x14ac:dyDescent="0.25">
      <c r="C8" s="58" t="s">
        <v>193</v>
      </c>
      <c r="D8" s="59">
        <v>12.9283</v>
      </c>
      <c r="E8" s="59">
        <v>11292.83</v>
      </c>
      <c r="F8" s="59">
        <v>14.430300000000001</v>
      </c>
      <c r="G8" s="59">
        <v>14983.839401403065</v>
      </c>
      <c r="H8" s="59">
        <v>12.929500000000001</v>
      </c>
      <c r="I8" s="59">
        <v>18366.949269106684</v>
      </c>
      <c r="J8" s="59">
        <v>15.0045</v>
      </c>
      <c r="K8" s="59">
        <v>20117.507447051736</v>
      </c>
      <c r="L8" s="59">
        <v>12.1425</v>
      </c>
      <c r="M8" s="59">
        <v>88205.990679226292</v>
      </c>
    </row>
    <row r="9" spans="3:13" x14ac:dyDescent="0.25">
      <c r="C9" s="58" t="s">
        <v>194</v>
      </c>
      <c r="D9" s="66">
        <v>57.39</v>
      </c>
      <c r="E9" s="67"/>
      <c r="F9" s="66">
        <v>37.76</v>
      </c>
      <c r="G9" s="67"/>
      <c r="H9" s="66">
        <v>30.75</v>
      </c>
      <c r="I9" s="67"/>
      <c r="J9" s="66">
        <v>14.09</v>
      </c>
      <c r="K9" s="67"/>
      <c r="L9" s="66">
        <v>10</v>
      </c>
      <c r="M9" s="67"/>
    </row>
    <row r="11" spans="3:13" ht="15.75" x14ac:dyDescent="0.25">
      <c r="C11" s="52" t="s">
        <v>195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183</v>
      </c>
      <c r="D12" s="62" t="s">
        <v>184</v>
      </c>
      <c r="E12" s="62"/>
      <c r="F12" s="62" t="s">
        <v>185</v>
      </c>
      <c r="G12" s="62"/>
      <c r="H12" s="62" t="s">
        <v>186</v>
      </c>
      <c r="I12" s="62"/>
      <c r="J12" s="63" t="s">
        <v>187</v>
      </c>
      <c r="K12" s="64"/>
      <c r="L12" s="65" t="s">
        <v>188</v>
      </c>
      <c r="M12" s="65"/>
    </row>
    <row r="13" spans="3:13" ht="63.75" x14ac:dyDescent="0.25">
      <c r="C13" s="55"/>
      <c r="D13" s="56" t="s">
        <v>189</v>
      </c>
      <c r="E13" s="56" t="s">
        <v>190</v>
      </c>
      <c r="F13" s="56" t="s">
        <v>189</v>
      </c>
      <c r="G13" s="56" t="s">
        <v>190</v>
      </c>
      <c r="H13" s="56" t="s">
        <v>189</v>
      </c>
      <c r="I13" s="56" t="s">
        <v>190</v>
      </c>
      <c r="J13" s="56" t="s">
        <v>189</v>
      </c>
      <c r="K13" s="56" t="s">
        <v>190</v>
      </c>
      <c r="L13" s="57" t="s">
        <v>189</v>
      </c>
      <c r="M13" s="57" t="s">
        <v>190</v>
      </c>
    </row>
    <row r="14" spans="3:13" x14ac:dyDescent="0.25">
      <c r="C14" s="58" t="s">
        <v>191</v>
      </c>
      <c r="D14" s="59">
        <v>13.419</v>
      </c>
      <c r="E14" s="59">
        <v>11341.899804814575</v>
      </c>
      <c r="F14" s="59">
        <v>20.281600000000001</v>
      </c>
      <c r="G14" s="59">
        <v>17410.736579275908</v>
      </c>
      <c r="H14" s="59">
        <v>16.576000000000001</v>
      </c>
      <c r="I14" s="59">
        <v>21548.20766378245</v>
      </c>
      <c r="J14" s="59">
        <v>17.0579</v>
      </c>
      <c r="K14" s="59">
        <v>48390.006939625258</v>
      </c>
      <c r="L14" s="59">
        <v>13.672000000000001</v>
      </c>
      <c r="M14" s="59">
        <v>54391.575663026524</v>
      </c>
    </row>
    <row r="15" spans="3:13" x14ac:dyDescent="0.25">
      <c r="C15" s="58" t="s">
        <v>192</v>
      </c>
      <c r="D15" s="59">
        <v>22.737200000000001</v>
      </c>
      <c r="E15" s="59">
        <v>12273.72</v>
      </c>
      <c r="F15" s="59">
        <v>24.733599999999999</v>
      </c>
      <c r="G15" s="59">
        <v>19406.640944538693</v>
      </c>
      <c r="H15" s="59">
        <v>19.508900000000001</v>
      </c>
      <c r="I15" s="59">
        <v>24378.178075812848</v>
      </c>
      <c r="J15" s="59">
        <v>16.8062</v>
      </c>
      <c r="K15" s="59">
        <v>21743.501231635131</v>
      </c>
      <c r="L15" s="59">
        <v>11.752800000000001</v>
      </c>
      <c r="M15" s="59">
        <v>43167.813150679634</v>
      </c>
    </row>
    <row r="16" spans="3:13" x14ac:dyDescent="0.25">
      <c r="C16" s="58" t="s">
        <v>193</v>
      </c>
      <c r="D16" s="59">
        <v>12.9283</v>
      </c>
      <c r="E16" s="59">
        <v>11292.83</v>
      </c>
      <c r="F16" s="59">
        <v>14.430300000000001</v>
      </c>
      <c r="G16" s="59">
        <v>14983.839401403065</v>
      </c>
      <c r="H16" s="59">
        <v>12.929500000000001</v>
      </c>
      <c r="I16" s="59">
        <v>18366.949269106684</v>
      </c>
      <c r="J16" s="59">
        <v>15.0045</v>
      </c>
      <c r="K16" s="59">
        <v>20117.507447051736</v>
      </c>
      <c r="L16" s="59">
        <v>12.8764</v>
      </c>
      <c r="M16" s="59">
        <v>49242.934250118211</v>
      </c>
    </row>
    <row r="17" spans="3:13" x14ac:dyDescent="0.25">
      <c r="C17" s="58" t="s">
        <v>196</v>
      </c>
      <c r="D17" s="66">
        <v>61.48</v>
      </c>
      <c r="E17" s="67"/>
      <c r="F17" s="66">
        <v>40.049999999999997</v>
      </c>
      <c r="G17" s="67"/>
      <c r="H17" s="66">
        <v>32.36</v>
      </c>
      <c r="I17" s="67"/>
      <c r="J17" s="66">
        <v>14.41</v>
      </c>
      <c r="K17" s="67"/>
      <c r="L17" s="66">
        <v>12.82</v>
      </c>
      <c r="M17" s="67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 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Gangaram Bharat Chavan</cp:lastModifiedBy>
  <dcterms:created xsi:type="dcterms:W3CDTF">2026-03-06T09:35:27Z</dcterms:created>
  <dcterms:modified xsi:type="dcterms:W3CDTF">2026-03-09T06:33:41Z</dcterms:modified>
</cp:coreProperties>
</file>