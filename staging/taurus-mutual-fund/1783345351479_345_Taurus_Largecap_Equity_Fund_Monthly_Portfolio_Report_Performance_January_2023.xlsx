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Portfolio'!$C$8:$C$38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Portfolio'!$D$10:$D$80</definedName>
    <definedName name="XDO_?FINAL_MV?">'TBF-Risk-o-meter &amp; Portfolio'!$H$10:$H$80</definedName>
    <definedName name="XDO_?FINAL_NAME?">'TBF-Risk-o-meter &amp; Portfolio'!$C$10:$C$80</definedName>
    <definedName name="XDO_?FINAL_PER_NET?">'TBF-Risk-o-meter &amp; Portfolio'!$I$10:$I$80</definedName>
    <definedName name="XDO_?FINAL_QUANTITE?">'TBF-Risk-o-meter &amp; Portfolio'!$G$10:$G$80</definedName>
    <definedName name="XDO_?IND_01?">'TBF-Risk-o-meter &amp; Portfolio'!$F$10:$F$80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Portfolio'!$C$2:$C$38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Portfolio'!$B$10:$B$80</definedName>
    <definedName name="XDO_?NPTF?">'TBF-Risk-o-meter &amp; Portfolio'!$D$2:$D$38</definedName>
    <definedName name="XDO_?RATING?">'TBF-Risk-o-meter &amp; Portfolio'!$E$10:$E$80</definedName>
    <definedName name="XDO_?REMARKS?">'TBF-Risk-o-meter &amp; Portfolio'!$J$10:$J$80</definedName>
    <definedName name="XDO_?TDATE?">'TBF-Risk-o-meter &amp; Portfolio'!$D$4</definedName>
    <definedName name="XDO_?TITL?">'TBF-Risk-o-meter &amp; Portfolio'!$A$8:$A$38</definedName>
    <definedName name="XDO_GROUP_?G_2?">'TBF-Risk-o-meter &amp; Portfolio'!$2:$83</definedName>
    <definedName name="XDO_GROUP_?G_3?">'TBF-Risk-o-meter &amp; Portfolio'!$8:$82</definedName>
    <definedName name="XDO_GROUP_?G_4?">'TBF-Risk-o-meter &amp; Portfolio'!$B$80:$IV$80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/>
</calcChain>
</file>

<file path=xl/sharedStrings.xml><?xml version="1.0" encoding="utf-8"?>
<sst xmlns="http://schemas.openxmlformats.org/spreadsheetml/2006/main" count="227" uniqueCount="160">
  <si>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</si>
  <si>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</si>
  <si>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</si>
  <si>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</si>
  <si>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</si>
  <si>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</si>
  <si>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</si>
  <si>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</si>
  <si>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</si>
  <si>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</si>
  <si>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</si>
  <si>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</si>
  <si>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</si>
  <si>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</si>
  <si>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</si>
  <si>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100183</t>
  </si>
  <si>
    <t>Vedanta Ltd.</t>
  </si>
  <si>
    <t>INE205A01025</t>
  </si>
  <si>
    <t>Diversified Metals</t>
  </si>
  <si>
    <t>100273</t>
  </si>
  <si>
    <t>Havells India Ltd.</t>
  </si>
  <si>
    <t>INE176B01034</t>
  </si>
  <si>
    <t>Consumer Durables</t>
  </si>
  <si>
    <t>100115</t>
  </si>
  <si>
    <t>Siemens Ltd.</t>
  </si>
  <si>
    <t>INE003A01024</t>
  </si>
  <si>
    <t>Electrical Equipment</t>
  </si>
  <si>
    <t>100104</t>
  </si>
  <si>
    <t>Kotak Mahindra Bank Ltd.</t>
  </si>
  <si>
    <t>INE237A01028</t>
  </si>
  <si>
    <t>Banks</t>
  </si>
  <si>
    <t>100027</t>
  </si>
  <si>
    <t>Pidilite Industries Ltd.</t>
  </si>
  <si>
    <t>INE318A01026</t>
  </si>
  <si>
    <t>Chemicals &amp; Petrochemicals</t>
  </si>
  <si>
    <t>100012</t>
  </si>
  <si>
    <t>ICICI Bank Ltd.</t>
  </si>
  <si>
    <t>INE090A01021</t>
  </si>
  <si>
    <t>100418</t>
  </si>
  <si>
    <t>Adani Enterprises Ltd.</t>
  </si>
  <si>
    <t>INE423A01024</t>
  </si>
  <si>
    <t>Metals &amp; Minerals Trading</t>
  </si>
  <si>
    <t>100014</t>
  </si>
  <si>
    <t>Mahindra &amp; Mahindra Ltd.</t>
  </si>
  <si>
    <t>INE101A01026</t>
  </si>
  <si>
    <t>Automobiles</t>
  </si>
  <si>
    <t>100108</t>
  </si>
  <si>
    <t>Adani Ports and Special Economic Zone Ltd.</t>
  </si>
  <si>
    <t>INE742F01042</t>
  </si>
  <si>
    <t>Transport Infrastructure</t>
  </si>
  <si>
    <t>101617</t>
  </si>
  <si>
    <t>Macrotech Developers Ltd.</t>
  </si>
  <si>
    <t>INE670K01029</t>
  </si>
  <si>
    <t>Realty</t>
  </si>
  <si>
    <t>100302</t>
  </si>
  <si>
    <t>DLF Ltd.</t>
  </si>
  <si>
    <t>INE271C01023</t>
  </si>
  <si>
    <t>100314</t>
  </si>
  <si>
    <t>SRF Ltd.</t>
  </si>
  <si>
    <t>INE647A01010</t>
  </si>
  <si>
    <t>100139</t>
  </si>
  <si>
    <t>UPL Ltd.</t>
  </si>
  <si>
    <t>INE628A01036</t>
  </si>
  <si>
    <t>Fertilizers &amp; Agrochemicals</t>
  </si>
  <si>
    <t>100335</t>
  </si>
  <si>
    <t>Kajaria Ceramics Ltd.</t>
  </si>
  <si>
    <t>INE217B01036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</si>
  <si>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</si>
  <si>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</si>
  <si>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</si>
  <si>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</si>
  <si>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</si>
  <si>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</si>
  <si>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INE089A01023</t>
  </si>
  <si>
    <t>Pharmaceuticals &amp; Biotechnology</t>
  </si>
  <si>
    <t>100081</t>
  </si>
  <si>
    <t>Titan Company Ltd.</t>
  </si>
  <si>
    <t>INE280A01028</t>
  </si>
  <si>
    <t>100461</t>
  </si>
  <si>
    <t>Astral Limited</t>
  </si>
  <si>
    <t>INE006I01046</t>
  </si>
  <si>
    <t>Industrial Products</t>
  </si>
  <si>
    <t>100013</t>
  </si>
  <si>
    <t>IndusInd Bank Ltd.</t>
  </si>
  <si>
    <t>INE095A01012</t>
  </si>
  <si>
    <t>100431</t>
  </si>
  <si>
    <t>Atul Auto Ltd.</t>
  </si>
  <si>
    <t>INE951D01028</t>
  </si>
  <si>
    <t>Agricultural, Commercial &amp; Construction Vehicles</t>
  </si>
  <si>
    <t>100315</t>
  </si>
  <si>
    <t>Prestige Estates Projects Ltd.</t>
  </si>
  <si>
    <t>INE811K01011</t>
  </si>
  <si>
    <t>100282</t>
  </si>
  <si>
    <t>Blue Star Ltd.</t>
  </si>
  <si>
    <t>INE472A01039</t>
  </si>
  <si>
    <t>100178</t>
  </si>
  <si>
    <t>Ambuja Cements Ltd.</t>
  </si>
  <si>
    <t>INE079A01024</t>
  </si>
  <si>
    <t>Cement &amp; Cement Products</t>
  </si>
  <si>
    <t>100235</t>
  </si>
  <si>
    <t>CRISIL Ltd.</t>
  </si>
  <si>
    <t>INE007A01025</t>
  </si>
  <si>
    <t>Finance</t>
  </si>
  <si>
    <t>100128</t>
  </si>
  <si>
    <t>Eicher Motors Ltd.</t>
  </si>
  <si>
    <t>INE066A01021</t>
  </si>
  <si>
    <t>100821</t>
  </si>
  <si>
    <t>TTK Prestige Ltd.</t>
  </si>
  <si>
    <t>INE690A01028</t>
  </si>
  <si>
    <t>101229</t>
  </si>
  <si>
    <t>Jubilant Ingrevia Ltd.</t>
  </si>
  <si>
    <t>INE0BY001018</t>
  </si>
  <si>
    <t>100172</t>
  </si>
  <si>
    <t>ACC Ltd.</t>
  </si>
  <si>
    <t>INE012A01025</t>
  </si>
  <si>
    <t>101306</t>
  </si>
  <si>
    <t>Apollo Pipes Ltd.</t>
  </si>
  <si>
    <t>INE126J01016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</si>
  <si>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</si>
  <si>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</si>
  <si>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</si>
  <si>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</si>
  <si>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</si>
  <si>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</si>
  <si>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</si>
  <si>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</si>
  <si>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</si>
  <si>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</si>
  <si>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</si>
  <si>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</si>
  <si>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</si>
  <si>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</si>
  <si>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</si>
  <si>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</si>
  <si>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</si>
  <si>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</si>
  <si>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</si>
  <si>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</si>
  <si>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</si>
  <si>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</si>
  <si>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</si>
  <si>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</si>
  <si>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</si>
  <si>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</si>
  <si>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</si>
  <si>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</si>
  <si>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</si>
  <si>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</si>
  <si>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</si>
  <si>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</si>
  <si>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</si>
  <si>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</si>
  <si>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</si>
  <si>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</si>
  <si>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</si>
  <si>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</si>
  <si>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</si>
  <si>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January 31, 2023 : 101.75)</t>
  </si>
  <si>
    <t>Taurus Largecap Equity Fund - Direct Plan Growth Option</t>
  </si>
  <si>
    <t>NAV [Rs.] Per Unit (as on January 31, 2023 : 107.33)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</si>
</sst>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Large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9"/>
  <sheetViews>
    <sheetView showGridLines="0" tabSelected="1" zoomScale="90" zoomScaleNormal="90" workbookViewId="0">
      <selection activeCell="C1" sqref="C1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3.2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44957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64285</v>
      </c>
      <c r="H10" s="32">
        <v>213.81</v>
      </c>
      <c r="I10" s="32">
        <v>6.63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15408</v>
      </c>
      <c r="H11" s="32">
        <v>182.21</v>
      </c>
      <c r="I11" s="32">
        <v>5.65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6097</v>
      </c>
      <c r="H12" s="32">
        <v>178.61</v>
      </c>
      <c r="I12" s="32">
        <v>5.54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9526</v>
      </c>
      <c r="H13" s="32">
        <v>164.82</v>
      </c>
      <c r="I13" s="32">
        <v>5.1100000000000003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7019</v>
      </c>
      <c r="H14" s="32">
        <v>160.07</v>
      </c>
      <c r="I14" s="32">
        <v>4.97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30</v>
      </c>
      <c r="G15" s="31">
        <v>19245</v>
      </c>
      <c r="H15" s="32">
        <v>160.05000000000001</v>
      </c>
      <c r="I15" s="32">
        <v>4.96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5377</v>
      </c>
      <c r="H16" s="32">
        <v>159.97</v>
      </c>
      <c r="I16" s="32">
        <v>4.96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11321</v>
      </c>
      <c r="H17" s="32">
        <v>156.07</v>
      </c>
      <c r="I17" s="32">
        <v>4.84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25403</v>
      </c>
      <c r="H18" s="32">
        <v>155.66999999999999</v>
      </c>
      <c r="I18" s="32">
        <v>4.83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14962</v>
      </c>
      <c r="H19" s="32">
        <v>152.87</v>
      </c>
      <c r="I19" s="32">
        <v>4.74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53</v>
      </c>
      <c r="G20" s="31">
        <v>42817</v>
      </c>
      <c r="H20" s="32">
        <v>152.6</v>
      </c>
      <c r="I20" s="32">
        <v>4.7300000000000004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34</v>
      </c>
      <c r="G21" s="31">
        <v>6935</v>
      </c>
      <c r="H21" s="32">
        <v>151.33000000000001</v>
      </c>
      <c r="I21" s="32">
        <v>4.6900000000000004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19142</v>
      </c>
      <c r="H22" s="32">
        <v>144.94999999999999</v>
      </c>
      <c r="I22" s="32">
        <v>4.5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22</v>
      </c>
      <c r="G23" s="31">
        <v>11550</v>
      </c>
      <c r="H23" s="32">
        <v>121.53</v>
      </c>
      <c r="I23" s="32">
        <v>3.77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22605</v>
      </c>
      <c r="H24" s="32">
        <v>105.92</v>
      </c>
      <c r="I24" s="32">
        <v>3.29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2430</v>
      </c>
      <c r="H25" s="32">
        <v>105.07</v>
      </c>
      <c r="I25" s="32">
        <v>3.26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22</v>
      </c>
      <c r="G26" s="31">
        <v>4167</v>
      </c>
      <c r="H26" s="32">
        <v>99.07</v>
      </c>
      <c r="I26" s="32">
        <v>3.07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4572</v>
      </c>
      <c r="H27" s="32">
        <v>93.89</v>
      </c>
      <c r="I27" s="32">
        <v>2.91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30</v>
      </c>
      <c r="G28" s="31">
        <v>6800</v>
      </c>
      <c r="H28" s="32">
        <v>73.680000000000007</v>
      </c>
      <c r="I28" s="32">
        <v>2.29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20100</v>
      </c>
      <c r="H29" s="32">
        <v>64.75</v>
      </c>
      <c r="I29" s="32">
        <v>2.0099999999999998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53</v>
      </c>
      <c r="G30" s="31">
        <v>15092</v>
      </c>
      <c r="H30" s="32">
        <v>63.39</v>
      </c>
      <c r="I30" s="32">
        <v>1.97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22</v>
      </c>
      <c r="G31" s="31">
        <v>4847</v>
      </c>
      <c r="H31" s="32">
        <v>59.54</v>
      </c>
      <c r="I31" s="32">
        <v>1.85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12800</v>
      </c>
      <c r="H32" s="32">
        <v>51.33</v>
      </c>
      <c r="I32" s="32">
        <v>1.59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1598</v>
      </c>
      <c r="H33" s="32">
        <v>50.24</v>
      </c>
      <c r="I33" s="32">
        <v>1.56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45</v>
      </c>
      <c r="G34" s="31">
        <v>1450</v>
      </c>
      <c r="H34" s="32">
        <v>47.36</v>
      </c>
      <c r="I34" s="32">
        <v>1.47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22</v>
      </c>
      <c r="G35" s="31">
        <v>4541</v>
      </c>
      <c r="H35" s="32">
        <v>35.47</v>
      </c>
      <c r="I35" s="32">
        <v>1.1000000000000001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34</v>
      </c>
      <c r="G36" s="31">
        <v>5700</v>
      </c>
      <c r="H36" s="32">
        <v>27.85</v>
      </c>
      <c r="I36" s="32">
        <v>0.86</v>
      </c>
      <c r="J36" s="33"/>
    </row>
    <row r="37" spans="2:10">
      <c r="B37" s="1" t="s">
        <v>112</v>
      </c>
      <c r="C37" s="20" t="s">
        <v>113</v>
      </c>
      <c r="D37" s="29" t="s">
        <v>114</v>
      </c>
      <c r="E37" s="30"/>
      <c r="F37" s="30" t="s">
        <v>98</v>
      </c>
      <c r="G37" s="31">
        <v>1350</v>
      </c>
      <c r="H37" s="32">
        <v>26.59</v>
      </c>
      <c r="I37" s="32">
        <v>0.82</v>
      </c>
      <c r="J37" s="33"/>
    </row>
    <row r="38" spans="2:10">
      <c r="B38" s="1" t="s">
        <v>115</v>
      </c>
      <c r="C38" s="20" t="s">
        <v>116</v>
      </c>
      <c r="D38" s="29" t="s">
        <v>117</v>
      </c>
      <c r="E38" s="30"/>
      <c r="F38" s="30" t="s">
        <v>81</v>
      </c>
      <c r="G38" s="31">
        <v>4200</v>
      </c>
      <c r="H38" s="32">
        <v>21.34</v>
      </c>
      <c r="I38" s="32">
        <v>0.66</v>
      </c>
      <c r="J38" s="33"/>
    </row>
    <row r="39" spans="2:10">
      <c r="C39" s="28" t="s">
        <v>118</v>
      </c>
      <c r="D39" s="29"/>
      <c r="E39" s="30"/>
      <c r="F39" s="30"/>
      <c r="G39" s="31"/>
      <c r="H39" s="35">
        <v>3180.05</v>
      </c>
      <c r="I39" s="35">
        <v>98.63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119</v>
      </c>
      <c r="D41" s="29"/>
      <c r="E41" s="30"/>
      <c r="F41" s="30"/>
      <c r="G41" s="31"/>
      <c r="H41" s="32" t="s">
        <v>120</v>
      </c>
      <c r="I41" s="32" t="s">
        <v>120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121</v>
      </c>
      <c r="D43" s="29"/>
      <c r="E43" s="30"/>
      <c r="F43" s="30"/>
      <c r="G43" s="31"/>
      <c r="H43" s="32" t="s">
        <v>120</v>
      </c>
      <c r="I43" s="32" t="s">
        <v>120</v>
      </c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122</v>
      </c>
      <c r="D45" s="29"/>
      <c r="E45" s="30"/>
      <c r="F45" s="30"/>
      <c r="G45" s="31"/>
      <c r="H45" s="32"/>
      <c r="I45" s="32"/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123</v>
      </c>
      <c r="D47" s="29"/>
      <c r="E47" s="30"/>
      <c r="F47" s="30"/>
      <c r="G47" s="31"/>
      <c r="H47" s="32" t="s">
        <v>120</v>
      </c>
      <c r="I47" s="32" t="s">
        <v>120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124</v>
      </c>
      <c r="D49" s="29"/>
      <c r="E49" s="30"/>
      <c r="F49" s="30"/>
      <c r="G49" s="31"/>
      <c r="H49" s="32" t="s">
        <v>120</v>
      </c>
      <c r="I49" s="32" t="s">
        <v>120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125</v>
      </c>
      <c r="D51" s="29"/>
      <c r="E51" s="30"/>
      <c r="F51" s="30"/>
      <c r="G51" s="31"/>
      <c r="H51" s="32" t="s">
        <v>120</v>
      </c>
      <c r="I51" s="32" t="s">
        <v>120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126</v>
      </c>
      <c r="D53" s="29"/>
      <c r="E53" s="30"/>
      <c r="F53" s="30"/>
      <c r="G53" s="31"/>
      <c r="H53" s="32" t="s">
        <v>120</v>
      </c>
      <c r="I53" s="32" t="s">
        <v>120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127</v>
      </c>
      <c r="D55" s="29"/>
      <c r="E55" s="30"/>
      <c r="F55" s="30"/>
      <c r="G55" s="31"/>
      <c r="H55" s="32" t="s">
        <v>120</v>
      </c>
      <c r="I55" s="32" t="s">
        <v>120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128</v>
      </c>
      <c r="D57" s="29"/>
      <c r="E57" s="30"/>
      <c r="F57" s="30"/>
      <c r="G57" s="31"/>
      <c r="H57" s="32"/>
      <c r="I57" s="32"/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129</v>
      </c>
      <c r="D59" s="29"/>
      <c r="E59" s="30"/>
      <c r="F59" s="30"/>
      <c r="G59" s="31"/>
      <c r="H59" s="32" t="s">
        <v>120</v>
      </c>
      <c r="I59" s="32" t="s">
        <v>120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130</v>
      </c>
      <c r="D61" s="29"/>
      <c r="E61" s="30"/>
      <c r="F61" s="30"/>
      <c r="G61" s="31"/>
      <c r="H61" s="32" t="s">
        <v>120</v>
      </c>
      <c r="I61" s="32" t="s">
        <v>120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131</v>
      </c>
      <c r="D63" s="29"/>
      <c r="E63" s="30"/>
      <c r="F63" s="30"/>
      <c r="G63" s="31"/>
      <c r="H63" s="32" t="s">
        <v>120</v>
      </c>
      <c r="I63" s="32" t="s">
        <v>120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132</v>
      </c>
      <c r="D65" s="29"/>
      <c r="E65" s="30"/>
      <c r="F65" s="30"/>
      <c r="G65" s="31"/>
      <c r="H65" s="32" t="s">
        <v>120</v>
      </c>
      <c r="I65" s="32" t="s">
        <v>120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133</v>
      </c>
      <c r="D67" s="29"/>
      <c r="E67" s="30"/>
      <c r="F67" s="30"/>
      <c r="G67" s="31"/>
      <c r="H67" s="32"/>
      <c r="I67" s="32"/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134</v>
      </c>
      <c r="D69" s="29"/>
      <c r="E69" s="30"/>
      <c r="F69" s="30"/>
      <c r="G69" s="31"/>
      <c r="H69" s="32" t="s">
        <v>120</v>
      </c>
      <c r="I69" s="32" t="s">
        <v>120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135</v>
      </c>
      <c r="D71" s="29"/>
      <c r="E71" s="30"/>
      <c r="F71" s="30"/>
      <c r="G71" s="31"/>
      <c r="H71" s="32" t="s">
        <v>120</v>
      </c>
      <c r="I71" s="32" t="s">
        <v>120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136</v>
      </c>
      <c r="D73" s="29"/>
      <c r="E73" s="30"/>
      <c r="F73" s="30"/>
      <c r="G73" s="31"/>
      <c r="H73" s="32" t="s">
        <v>120</v>
      </c>
      <c r="I73" s="32" t="s">
        <v>120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137</v>
      </c>
      <c r="D75" s="29"/>
      <c r="E75" s="30"/>
      <c r="F75" s="30"/>
      <c r="G75" s="31"/>
      <c r="H75" s="32" t="s">
        <v>120</v>
      </c>
      <c r="I75" s="32" t="s">
        <v>120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C77" s="28" t="s">
        <v>138</v>
      </c>
      <c r="D77" s="29"/>
      <c r="E77" s="30"/>
      <c r="F77" s="30"/>
      <c r="G77" s="31"/>
      <c r="H77" s="32" t="s">
        <v>120</v>
      </c>
      <c r="I77" s="32" t="s">
        <v>120</v>
      </c>
      <c r="J77" s="33"/>
    </row>
    <row r="78" spans="1:10">
      <c r="C78" s="20"/>
      <c r="D78" s="29"/>
      <c r="E78" s="30"/>
      <c r="F78" s="30"/>
      <c r="G78" s="31"/>
      <c r="H78" s="32"/>
      <c r="I78" s="32"/>
      <c r="J78" s="33"/>
    </row>
    <row r="79" spans="1:10">
      <c r="A79" s="26"/>
      <c r="B79" s="27"/>
      <c r="C79" s="28" t="s">
        <v>139</v>
      </c>
      <c r="D79" s="29"/>
      <c r="E79" s="30"/>
      <c r="F79" s="30"/>
      <c r="G79" s="31"/>
      <c r="H79" s="32"/>
      <c r="I79" s="32"/>
      <c r="J79" s="33"/>
    </row>
    <row r="80" spans="1:10">
      <c r="B80" s="1"/>
      <c r="C80" s="20" t="s">
        <v>140</v>
      </c>
      <c r="D80" s="29"/>
      <c r="E80" s="30"/>
      <c r="F80" s="30"/>
      <c r="G80" s="31"/>
      <c r="H80" s="32">
        <v>43.69</v>
      </c>
      <c r="I80" s="32">
        <v>1.37</v>
      </c>
      <c r="J80" s="33"/>
    </row>
    <row r="81" spans="3:10">
      <c r="C81" s="28" t="s">
        <v>118</v>
      </c>
      <c r="D81" s="29"/>
      <c r="E81" s="30"/>
      <c r="F81" s="30"/>
      <c r="G81" s="31"/>
      <c r="H81" s="35">
        <v>43.69</v>
      </c>
      <c r="I81" s="35">
        <v>1.37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 ht="13.5" thickBot="1">
      <c r="C83" s="36" t="s">
        <v>141</v>
      </c>
      <c r="D83" s="37"/>
      <c r="E83" s="38"/>
      <c r="F83" s="39"/>
      <c r="G83" s="40"/>
      <c r="H83" s="41">
        <v>3223.74</v>
      </c>
      <c r="I83" s="41">
        <f>SUMIFS(I:I,C:C,"Total")</f>
        <v>100</v>
      </c>
      <c r="J83" s="42"/>
    </row>
    <row r="86" spans="3:10">
      <c r="C86" s="11" t="s">
        <v>142</v>
      </c>
    </row>
    <row r="87" spans="3:10">
      <c r="C87" s="2" t="s">
        <v>143</v>
      </c>
    </row>
    <row r="88" spans="3:10">
      <c r="C88" s="2" t="s">
        <v>144</v>
      </c>
    </row>
    <row r="89" spans="3:10">
      <c r="C89" s="2" t="s">
        <v>145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B4" sqref="B4:J18"/>
    </sheetView>
  </sheetViews>
  <sheetFormatPr defaultRowHeight="15"/>
  <cols>
    <col min="2" max="2" width="46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3" t="s">
        <v>146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147</v>
      </c>
      <c r="C5" s="46" t="s">
        <v>148</v>
      </c>
      <c r="D5" s="46"/>
      <c r="E5" s="46" t="s">
        <v>149</v>
      </c>
      <c r="F5" s="46"/>
      <c r="G5" s="46" t="s">
        <v>150</v>
      </c>
      <c r="H5" s="46"/>
      <c r="I5" s="46" t="s">
        <v>151</v>
      </c>
      <c r="J5" s="46"/>
    </row>
    <row r="6" spans="2:10" ht="63.75">
      <c r="B6" s="47"/>
      <c r="C6" s="48" t="s">
        <v>152</v>
      </c>
      <c r="D6" s="48" t="s">
        <v>153</v>
      </c>
      <c r="E6" s="48" t="s">
        <v>152</v>
      </c>
      <c r="F6" s="48" t="s">
        <v>153</v>
      </c>
      <c r="G6" s="48" t="s">
        <v>152</v>
      </c>
      <c r="H6" s="48" t="s">
        <v>153</v>
      </c>
      <c r="I6" s="48" t="s">
        <v>152</v>
      </c>
      <c r="J6" s="48" t="s">
        <v>153</v>
      </c>
    </row>
    <row r="7" spans="2:10">
      <c r="B7" s="49" t="s">
        <v>154</v>
      </c>
      <c r="C7" s="50">
        <v>0.27594362865872579</v>
      </c>
      <c r="D7" s="50">
        <v>10027.594362865872</v>
      </c>
      <c r="E7" s="50">
        <v>9.8882193447575872</v>
      </c>
      <c r="F7" s="50">
        <v>13272.893295069136</v>
      </c>
      <c r="G7" s="50">
        <v>6.0031726334259128</v>
      </c>
      <c r="H7" s="50">
        <v>13386.396526772791</v>
      </c>
      <c r="I7" s="50">
        <v>10.109097314438543</v>
      </c>
      <c r="J7" s="50">
        <v>101750</v>
      </c>
    </row>
    <row r="8" spans="2:10">
      <c r="B8" s="49" t="s">
        <v>155</v>
      </c>
      <c r="C8" s="50">
        <v>3.2656451910651585</v>
      </c>
      <c r="D8" s="50">
        <v>10326.564519106516</v>
      </c>
      <c r="E8" s="50">
        <v>15.602262908783171</v>
      </c>
      <c r="F8" s="50">
        <v>15448.951379700398</v>
      </c>
      <c r="G8" s="50">
        <v>10.897067392293858</v>
      </c>
      <c r="H8" s="50">
        <v>16772.596845869339</v>
      </c>
      <c r="I8" s="50">
        <v>11.91787030015734</v>
      </c>
      <c r="J8" s="50">
        <v>232472.10738420932</v>
      </c>
    </row>
    <row r="9" spans="2:10">
      <c r="B9" s="49" t="s">
        <v>156</v>
      </c>
      <c r="C9" s="50">
        <v>3.1786787667375416</v>
      </c>
      <c r="D9" s="50">
        <v>10317.867876673754</v>
      </c>
      <c r="E9" s="50">
        <v>15.20948157089097</v>
      </c>
      <c r="F9" s="50">
        <v>15292.013299900276</v>
      </c>
      <c r="G9" s="50">
        <v>11.250631257369781</v>
      </c>
      <c r="H9" s="50">
        <v>17041.680532244904</v>
      </c>
      <c r="I9" s="50">
        <v>12.032555407478874</v>
      </c>
      <c r="J9" s="50">
        <v>239221.27227860695</v>
      </c>
    </row>
    <row r="10" spans="2:10">
      <c r="B10" s="49" t="s">
        <v>157</v>
      </c>
      <c r="C10" s="51">
        <v>101.47</v>
      </c>
      <c r="D10" s="52"/>
      <c r="E10" s="51">
        <v>76.66</v>
      </c>
      <c r="F10" s="52"/>
      <c r="G10" s="51">
        <v>76.010000000000005</v>
      </c>
      <c r="H10" s="52"/>
      <c r="I10" s="51">
        <v>10</v>
      </c>
      <c r="J10" s="52"/>
    </row>
    <row r="12" spans="2:10" ht="15.75">
      <c r="B12" s="43" t="s">
        <v>158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147</v>
      </c>
      <c r="C13" s="46" t="s">
        <v>148</v>
      </c>
      <c r="D13" s="46"/>
      <c r="E13" s="46" t="s">
        <v>149</v>
      </c>
      <c r="F13" s="46"/>
      <c r="G13" s="46" t="s">
        <v>150</v>
      </c>
      <c r="H13" s="46"/>
      <c r="I13" s="46" t="s">
        <v>151</v>
      </c>
      <c r="J13" s="46"/>
    </row>
    <row r="14" spans="2:10" ht="63.75">
      <c r="B14" s="47"/>
      <c r="C14" s="48" t="s">
        <v>152</v>
      </c>
      <c r="D14" s="48" t="s">
        <v>153</v>
      </c>
      <c r="E14" s="48" t="s">
        <v>152</v>
      </c>
      <c r="F14" s="48" t="s">
        <v>153</v>
      </c>
      <c r="G14" s="48" t="s">
        <v>152</v>
      </c>
      <c r="H14" s="48" t="s">
        <v>153</v>
      </c>
      <c r="I14" s="48" t="s">
        <v>152</v>
      </c>
      <c r="J14" s="48" t="s">
        <v>153</v>
      </c>
    </row>
    <row r="15" spans="2:10">
      <c r="B15" s="49" t="s">
        <v>154</v>
      </c>
      <c r="C15" s="50">
        <v>0.35530621785879735</v>
      </c>
      <c r="D15" s="50">
        <v>10035.530621785882</v>
      </c>
      <c r="E15" s="50">
        <v>9.994349421067783</v>
      </c>
      <c r="F15" s="50">
        <v>13311.42254743892</v>
      </c>
      <c r="G15" s="50">
        <v>6.2636507243636785</v>
      </c>
      <c r="H15" s="50">
        <v>13551.767676767677</v>
      </c>
      <c r="I15" s="50">
        <v>9.1175864974086807</v>
      </c>
      <c r="J15" s="50">
        <v>24108.265947888587</v>
      </c>
    </row>
    <row r="16" spans="2:10">
      <c r="B16" s="49" t="s">
        <v>155</v>
      </c>
      <c r="C16" s="50">
        <v>3.2656451910651585</v>
      </c>
      <c r="D16" s="50">
        <v>10326.564519106516</v>
      </c>
      <c r="E16" s="50">
        <v>15.602262908783171</v>
      </c>
      <c r="F16" s="50">
        <v>15448.951379700398</v>
      </c>
      <c r="G16" s="50">
        <v>10.897067392293858</v>
      </c>
      <c r="H16" s="50">
        <v>16772.596845869339</v>
      </c>
      <c r="I16" s="50">
        <v>12.858483379790142</v>
      </c>
      <c r="J16" s="50">
        <v>33869.119608142915</v>
      </c>
    </row>
    <row r="17" spans="2:10">
      <c r="B17" s="49" t="s">
        <v>156</v>
      </c>
      <c r="C17" s="50">
        <v>3.1786787667375416</v>
      </c>
      <c r="D17" s="50">
        <v>10317.867876673754</v>
      </c>
      <c r="E17" s="50">
        <v>15.20948157089097</v>
      </c>
      <c r="F17" s="50">
        <v>15292.013299900276</v>
      </c>
      <c r="G17" s="50">
        <v>11.250631257369781</v>
      </c>
      <c r="H17" s="50">
        <v>17041.680532244904</v>
      </c>
      <c r="I17" s="50">
        <v>12.680790245018891</v>
      </c>
      <c r="J17" s="50">
        <v>33335.158902374489</v>
      </c>
    </row>
    <row r="18" spans="2:10">
      <c r="B18" s="49" t="s">
        <v>159</v>
      </c>
      <c r="C18" s="51">
        <v>106.95</v>
      </c>
      <c r="D18" s="52"/>
      <c r="E18" s="51">
        <v>80.63</v>
      </c>
      <c r="F18" s="52"/>
      <c r="G18" s="51">
        <v>79.2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2023-02-02T04:50:13Z</dcterms:created>
  <dcterms:modified xsi:type="dcterms:W3CDTF">2023-02-09T07:01:19Z</dcterms:modified>
</cp:coreProperties>
</file>