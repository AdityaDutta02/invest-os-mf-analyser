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emonthlyportfoliolinksmay2026\"/>
    </mc:Choice>
  </mc:AlternateContent>
  <xr:revisionPtr revIDLastSave="0" documentId="13_ncr:1_{355354AC-F3EF-4B92-93D6-E6583D3C873A}" xr6:coauthVersionLast="47" xr6:coauthVersionMax="47" xr10:uidLastSave="{00000000-0000-0000-0000-000000000000}"/>
  <bookViews>
    <workbookView xWindow="-108" yWindow="-108" windowWidth="23256" windowHeight="12456" xr2:uid="{6587E7A3-F093-407C-B40C-174A1F621018}"/>
  </bookViews>
  <sheets>
    <sheet name="TISF" sheetId="1" r:id="rId1"/>
    <sheet name="TISF Performance" sheetId="2" r:id="rId2"/>
  </sheets>
  <externalReferences>
    <externalReference r:id="rId3"/>
  </externalReferences>
  <definedNames>
    <definedName name="XDO_?CLASS_3?4?">TISF!$C$8:$C$42</definedName>
    <definedName name="XDO_?FINAL_ISIN?8?">TISF!$D$10:$D$42</definedName>
    <definedName name="XDO_?FINAL_ISIN?9?">TISF!$D$10:$D$86</definedName>
    <definedName name="XDO_?FINAL_MV?8?">TISF!$H$10:$H$42</definedName>
    <definedName name="XDO_?FINAL_MV?9?">TISF!$H$10:$H$86</definedName>
    <definedName name="XDO_?FINAL_NAME?8?">TISF!$C$10:$C$42</definedName>
    <definedName name="XDO_?FINAL_NAME?9?">TISF!$C$10:$C$86</definedName>
    <definedName name="XDO_?FINAL_PER_NET?8?">TISF!$I$10:$I$42</definedName>
    <definedName name="XDO_?FINAL_PER_NET?9?">TISF!$I$10:$I$86</definedName>
    <definedName name="XDO_?FINAL_QUANTITE?8?">TISF!$G$10:$G$42</definedName>
    <definedName name="XDO_?FINAL_QUANTITE?9?">TISF!$G$10:$G$86</definedName>
    <definedName name="XDO_?IND_01?8?">TISF!$F$10:$F$42</definedName>
    <definedName name="XDO_?IND_01?9?">TISF!$F$10:$F$86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TISF!$B$10:$B$42</definedName>
    <definedName name="XDO_?NOVAL?9?">TISF!$B$10:$B$86</definedName>
    <definedName name="XDO_?NPTF?4?">TISF!$D$2:$D$42</definedName>
    <definedName name="XDO_?RATING?8?">TISF!$E$10:$E$42</definedName>
    <definedName name="XDO_?RATING?9?">TISF!$E$10:$E$86</definedName>
    <definedName name="XDO_?REMARKS?8?">TISF!$J$10:$J$42</definedName>
    <definedName name="XDO_?REMARKS?9?">TISF!$J$10:$J$86</definedName>
    <definedName name="XDO_?TITL?4?">TISF!$A$8:$A$42</definedName>
    <definedName name="XDO_GROUP_?G_2?4?">TISF!$2:$89</definedName>
    <definedName name="XDO_GROUP_?G_3?4?">TISF!$8:$88</definedName>
    <definedName name="XDO_GROUP_?G_4?8?">TISF!$B$10:$IV$42</definedName>
    <definedName name="XDO_GROUP_?G_4?9?">TISF!$B$86:$IV$86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<sst xmlns="http://schemas.openxmlformats.org/spreadsheetml/2006/main" count="272" uniqueCount="194">
  <si>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</si>
  <si>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</si>
  <si>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</si>
  <si>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</si>
  <si>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</si>
  <si>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</si>
  <si>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</si>
  <si>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</si>
  <si>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</si>
  <si>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</si>
  <si>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</si>
  <si>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</si>
  <si>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</si>
  <si>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</si>
  <si>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</si>
  <si>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</si>
  <si>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</si>
  <si>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</si>
  <si>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</si>
  <si>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</si>
  <si>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</si>
  <si>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</si>
  <si>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</si>
  <si>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</si>
  <si>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</si>
  <si>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</si>
  <si>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</si>
  <si>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100182</t>
  </si>
  <si>
    <t>Power Grid Corporation of India Ltd.</t>
  </si>
  <si>
    <t>INE752E01010</t>
  </si>
  <si>
    <t>Power</t>
  </si>
  <si>
    <t>100174</t>
  </si>
  <si>
    <t>Vodafone Idea Ltd.</t>
  </si>
  <si>
    <t>INE669E01016</t>
  </si>
  <si>
    <t>100181</t>
  </si>
  <si>
    <t>NTPC Ltd.</t>
  </si>
  <si>
    <t>INE733E01010</t>
  </si>
  <si>
    <t>100082</t>
  </si>
  <si>
    <t>Ultratech Cement Ltd.</t>
  </si>
  <si>
    <t>INE481G01011</t>
  </si>
  <si>
    <t>Cement &amp; Cement Products</t>
  </si>
  <si>
    <t>100177</t>
  </si>
  <si>
    <t>Grasim Industries Ltd.</t>
  </si>
  <si>
    <t>INE047A01021</t>
  </si>
  <si>
    <t>102135</t>
  </si>
  <si>
    <t>Le Travenues Technology Ltd.</t>
  </si>
  <si>
    <t>INE0HV901016</t>
  </si>
  <si>
    <t>Leisure Services</t>
  </si>
  <si>
    <t>100111</t>
  </si>
  <si>
    <t>Oil &amp; Natural Gas Corporation Ltd.</t>
  </si>
  <si>
    <t>INE213A01029</t>
  </si>
  <si>
    <t>Oil</t>
  </si>
  <si>
    <t>102823</t>
  </si>
  <si>
    <t>Insolation Energy Ltd.</t>
  </si>
  <si>
    <t>INE0LGX01024</t>
  </si>
  <si>
    <t>Electrical Equipment</t>
  </si>
  <si>
    <t>100292</t>
  </si>
  <si>
    <t>Steel Authority of India Ltd.</t>
  </si>
  <si>
    <t>INE114A01011</t>
  </si>
  <si>
    <t>Ferrous Metals</t>
  </si>
  <si>
    <t>101949</t>
  </si>
  <si>
    <t>Samhi Hotels Ltd.</t>
  </si>
  <si>
    <t>INE08U801020</t>
  </si>
  <si>
    <t>100418</t>
  </si>
  <si>
    <t>Adani Enterprises Ltd.</t>
  </si>
  <si>
    <t>INE423A01024</t>
  </si>
  <si>
    <t>Metals &amp; Minerals Trading</t>
  </si>
  <si>
    <t>100263</t>
  </si>
  <si>
    <t>BEML Ltd.</t>
  </si>
  <si>
    <t>INE258A01024</t>
  </si>
  <si>
    <t>Agricultural, Commercial &amp; Construction Vehicles</t>
  </si>
  <si>
    <t>102220</t>
  </si>
  <si>
    <t>Interarch Building Solutions Ltd.</t>
  </si>
  <si>
    <t>INE00M901018</t>
  </si>
  <si>
    <t>102206</t>
  </si>
  <si>
    <t>Chemtech Industrial Valves Ltd.</t>
  </si>
  <si>
    <t>INE212P01011</t>
  </si>
  <si>
    <t>Industrial Manufacturing</t>
  </si>
  <si>
    <t>100465</t>
  </si>
  <si>
    <t>Interglobe Aviation Ltd.</t>
  </si>
  <si>
    <t>INE646L01027</t>
  </si>
  <si>
    <t>Transport Services</t>
  </si>
  <si>
    <t>100094</t>
  </si>
  <si>
    <t>Bharat Petroleum Corporation Ltd.</t>
  </si>
  <si>
    <t>INE029A01011</t>
  </si>
  <si>
    <t>100694</t>
  </si>
  <si>
    <t>Indian Energy Exchange Ltd.</t>
  </si>
  <si>
    <t>INE022Q01020</t>
  </si>
  <si>
    <t>Capital Markets</t>
  </si>
  <si>
    <t>101184</t>
  </si>
  <si>
    <t>Mazagon Dock Shipbuilders Ltd.</t>
  </si>
  <si>
    <t>INE249Z01020</t>
  </si>
  <si>
    <t>102447</t>
  </si>
  <si>
    <t>Afcons Infrastructure Ltd.</t>
  </si>
  <si>
    <t>INE101I01011</t>
  </si>
  <si>
    <t>100100</t>
  </si>
  <si>
    <t>Hindustan Petroleum Corporation Ltd.</t>
  </si>
  <si>
    <t>INE094A01015</t>
  </si>
  <si>
    <t>100809</t>
  </si>
  <si>
    <t>Rites Ltd.</t>
  </si>
  <si>
    <t>INE320J01015</t>
  </si>
  <si>
    <t>100014</t>
  </si>
  <si>
    <t>Mahindra &amp; Mahindra Ltd.</t>
  </si>
  <si>
    <t>INE101A01026</t>
  </si>
  <si>
    <t>Automobiles</t>
  </si>
  <si>
    <t>100498</t>
  </si>
  <si>
    <t>Ahluwalia Contracts (India) Ltd.</t>
  </si>
  <si>
    <t>INE758C01029</t>
  </si>
  <si>
    <t>100430</t>
  </si>
  <si>
    <t>Salzer Electronics Ltd.</t>
  </si>
  <si>
    <t>INE457F01013</t>
  </si>
  <si>
    <t>100156</t>
  </si>
  <si>
    <t>Finolex Cables Ltd.</t>
  </si>
  <si>
    <t>INE235A01022</t>
  </si>
  <si>
    <t>Industrial Products</t>
  </si>
  <si>
    <t>100560</t>
  </si>
  <si>
    <t>NESCO Ltd.</t>
  </si>
  <si>
    <t>INE317F01035</t>
  </si>
  <si>
    <t>Commercial Services &amp; Supplies</t>
  </si>
  <si>
    <t>102094</t>
  </si>
  <si>
    <t>HBL Engineering Ltd.</t>
  </si>
  <si>
    <t>INE292B01021</t>
  </si>
  <si>
    <t>100185</t>
  </si>
  <si>
    <t>Tata Power Company Ltd.</t>
  </si>
  <si>
    <t>INE245A01021</t>
  </si>
  <si>
    <t>100169</t>
  </si>
  <si>
    <t>Indian Oil Corporation Ltd.</t>
  </si>
  <si>
    <t>INE242A01010</t>
  </si>
  <si>
    <t>101365</t>
  </si>
  <si>
    <t>Voltamp Transformers Ltd.</t>
  </si>
  <si>
    <t>INE540H01012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</si>
  <si>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</si>
  <si>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</si>
  <si>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</si>
  <si>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</si>
  <si>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</si>
  <si>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</si>
  <si>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</si>
  <si>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</si>
  <si>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</si>
  <si>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</si>
  <si>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</si>
  <si>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</si>
  <si>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</si>
  <si>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</si>
  <si>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</si>
  <si>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</si>
  <si>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</si>
  <si>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</si>
  <si>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</si>
  <si>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</si>
  <si>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</si>
  <si>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</si>
  <si>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</si>
  <si>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</si>
  <si>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</si>
  <si>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</si>
  <si>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</si>
  <si>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</si>
  <si>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</si>
  <si>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</si>
  <si>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</si>
  <si>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</si>
  <si>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</si>
  <si>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</si>
  <si>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</si>
  <si>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</si>
  <si>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</si>
  <si>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</si>
  <si>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</si>
  <si>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May 31, 2026.</t>
  </si>
  <si>
    <t>7. The Scheme did not declare any bonus during the month ended as on May 31, 2026.</t>
  </si>
  <si>
    <t>8. Total outstanding exposure in derivative instruments as on May 31, 2026 is Nil</t>
  </si>
  <si>
    <t>9. Total investments in Foreign Securities /ADRs/GDRs /Overseas ETFs as on May 31, 2026 and its percentage to NAV is Nil.</t>
  </si>
  <si>
    <t>10. During the period, the portfolio turnover ratio is 0.60 times.</t>
  </si>
  <si>
    <t>      Portfolio Turnover Ratio = Lower of sales or purchase of securities divided by average AUM for 12 months ended as on May 31, 2026</t>
  </si>
  <si>
    <t>11. The Scheme did not invest in repo transactions of corporate debt securities during the month ended as on May 31, 2026.</t>
  </si>
  <si>
    <t>12. The Scheme did not invest in credit default swaps during the month ended as on May 31, 2026.</t>
  </si>
  <si>
    <t>13. There are Nil instances of deviation from the valuation principles/guidelines during the month ended as on May 31st, 2026.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</si>
  <si>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</si>
  <si>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</si>
  <si>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</si>
  <si>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</si>
  <si>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</si>
  <si>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</si>
  <si>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</si>
  <si>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</si>
  <si>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</si>
  <si>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</si>
  <si>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</si>
  <si>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</si>
  <si>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May 29,2026 :64.98)</t>
  </si>
  <si>
    <t>Taurus Infrastructure Fund - Direct Plan Growth Option</t>
  </si>
  <si>
    <t>NAV [Rs.] Per Unit (as on May 29,2026 :70.07)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</si>
</sst>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C83F1BA6-028B-4C0A-8DF3-1231FF6B21DF}"/>
    <cellStyle name="Hyperlink" xfId="2" builtinId="8"/>
    <cellStyle name="Normal" xfId="0" builtinId="0"/>
    <cellStyle name="Normal 2" xfId="4" xr:uid="{00115C89-C548-4E55-8AC7-F7289EB79872}"/>
    <cellStyle name="Style 1" xfId="3" xr:uid="{245AEC42-C17B-4CAE-BF63-16B510822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264583</xdr:colOff>
      <xdr:row>0</xdr:row>
      <xdr:rowOff>1827169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DF135-41EC-4715-84E0-AA75E98A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016750" cy="1827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May_2026\TMF_Monthly_Portfolio_Report_May%202026.xls" TargetMode="External"/><Relationship Id="rId1" Type="http://schemas.openxmlformats.org/officeDocument/2006/relationships/externalLinkPath" Target="https://taurusasset.sharepoint.com/sites/GURGAON-FILESERVER/Shared%20Documents/Fund%20Ops/Audit/All%20Audit/Operations/MIS%20Reports/FY2026-27/3.%20JUNE%202026/MONTHLY%20PORTFOLIO%20FINAL/Ops/TMF_Monthly_Portfolio_Report_Ma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146D-9083-4F8F-87D6-6D3194509190}">
  <dimension ref="A1:BB115"/>
  <sheetViews>
    <sheetView showGridLines="0" tabSelected="1" zoomScale="90" zoomScaleNormal="90" workbookViewId="0">
      <selection activeCell="E2" sqref="E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3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46173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89.66</v>
      </c>
      <c r="I10" s="32">
        <v>10.050000000000001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70.08</v>
      </c>
      <c r="I11" s="32">
        <v>7.86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4802</v>
      </c>
      <c r="H12" s="32">
        <v>63.41</v>
      </c>
      <c r="I12" s="32">
        <v>7.11</v>
      </c>
      <c r="J12" s="33"/>
    </row>
    <row r="13" spans="1:54" x14ac:dyDescent="0.3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48.92</v>
      </c>
      <c r="I13" s="32">
        <v>5.49</v>
      </c>
      <c r="J13" s="33"/>
    </row>
    <row r="14" spans="1:54" x14ac:dyDescent="0.3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255518</v>
      </c>
      <c r="H14" s="32">
        <v>35.75</v>
      </c>
      <c r="I14" s="32">
        <v>4.01</v>
      </c>
      <c r="J14" s="33"/>
    </row>
    <row r="15" spans="1:54" x14ac:dyDescent="0.3">
      <c r="B15" s="1" t="s">
        <v>34</v>
      </c>
      <c r="C15" s="20" t="s">
        <v>35</v>
      </c>
      <c r="D15" s="29" t="s">
        <v>36</v>
      </c>
      <c r="E15" s="30"/>
      <c r="F15" s="30" t="s">
        <v>30</v>
      </c>
      <c r="G15" s="31">
        <v>8787</v>
      </c>
      <c r="H15" s="32">
        <v>33.979999999999997</v>
      </c>
      <c r="I15" s="32">
        <v>3.81</v>
      </c>
      <c r="J15" s="33"/>
    </row>
    <row r="16" spans="1:54" x14ac:dyDescent="0.3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280</v>
      </c>
      <c r="H16" s="32">
        <v>32.06</v>
      </c>
      <c r="I16" s="32">
        <v>3.59</v>
      </c>
      <c r="J16" s="33"/>
    </row>
    <row r="17" spans="2:10" x14ac:dyDescent="0.3">
      <c r="B17" s="1" t="s">
        <v>41</v>
      </c>
      <c r="C17" s="20" t="s">
        <v>42</v>
      </c>
      <c r="D17" s="29" t="s">
        <v>43</v>
      </c>
      <c r="E17" s="30"/>
      <c r="F17" s="30" t="s">
        <v>40</v>
      </c>
      <c r="G17" s="31">
        <v>1015</v>
      </c>
      <c r="H17" s="32">
        <v>31.67</v>
      </c>
      <c r="I17" s="32">
        <v>3.55</v>
      </c>
      <c r="J17" s="33"/>
    </row>
    <row r="18" spans="2:10" x14ac:dyDescent="0.3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18697</v>
      </c>
      <c r="H18" s="32">
        <v>31.49</v>
      </c>
      <c r="I18" s="32">
        <v>3.53</v>
      </c>
      <c r="J18" s="33"/>
    </row>
    <row r="19" spans="2:10" x14ac:dyDescent="0.3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11318</v>
      </c>
      <c r="H19" s="32">
        <v>30.11</v>
      </c>
      <c r="I19" s="32">
        <v>3.38</v>
      </c>
      <c r="J19" s="33"/>
    </row>
    <row r="20" spans="2:10" x14ac:dyDescent="0.3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22937</v>
      </c>
      <c r="H20" s="32">
        <v>28.92</v>
      </c>
      <c r="I20" s="32">
        <v>3.24</v>
      </c>
      <c r="J20" s="33"/>
    </row>
    <row r="21" spans="2:10" x14ac:dyDescent="0.3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12800</v>
      </c>
      <c r="H21" s="32">
        <v>26.17</v>
      </c>
      <c r="I21" s="32">
        <v>2.93</v>
      </c>
      <c r="J21" s="33"/>
    </row>
    <row r="22" spans="2:10" x14ac:dyDescent="0.3">
      <c r="B22" s="1" t="s">
        <v>60</v>
      </c>
      <c r="C22" s="20" t="s">
        <v>61</v>
      </c>
      <c r="D22" s="29" t="s">
        <v>62</v>
      </c>
      <c r="E22" s="30"/>
      <c r="F22" s="30" t="s">
        <v>47</v>
      </c>
      <c r="G22" s="31">
        <v>15495</v>
      </c>
      <c r="H22" s="32">
        <v>25.69</v>
      </c>
      <c r="I22" s="32">
        <v>2.88</v>
      </c>
      <c r="J22" s="33"/>
    </row>
    <row r="23" spans="2:10" x14ac:dyDescent="0.3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821</v>
      </c>
      <c r="H23" s="32">
        <v>24.13</v>
      </c>
      <c r="I23" s="32">
        <v>2.71</v>
      </c>
      <c r="J23" s="33"/>
    </row>
    <row r="24" spans="2:10" x14ac:dyDescent="0.3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1330</v>
      </c>
      <c r="H24" s="32">
        <v>22.86</v>
      </c>
      <c r="I24" s="32">
        <v>2.56</v>
      </c>
      <c r="J24" s="33"/>
    </row>
    <row r="25" spans="2:10" x14ac:dyDescent="0.3">
      <c r="B25" s="1" t="s">
        <v>71</v>
      </c>
      <c r="C25" s="20" t="s">
        <v>72</v>
      </c>
      <c r="D25" s="29" t="s">
        <v>73</v>
      </c>
      <c r="E25" s="30"/>
      <c r="F25" s="30" t="s">
        <v>22</v>
      </c>
      <c r="G25" s="31">
        <v>1243</v>
      </c>
      <c r="H25" s="32">
        <v>21.73</v>
      </c>
      <c r="I25" s="32">
        <v>2.44</v>
      </c>
      <c r="J25" s="33"/>
    </row>
    <row r="26" spans="2:10" x14ac:dyDescent="0.3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25000</v>
      </c>
      <c r="H26" s="32">
        <v>20.99</v>
      </c>
      <c r="I26" s="32">
        <v>2.35</v>
      </c>
      <c r="J26" s="33"/>
    </row>
    <row r="27" spans="2:10" x14ac:dyDescent="0.3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469</v>
      </c>
      <c r="H27" s="32">
        <v>20.66</v>
      </c>
      <c r="I27" s="32">
        <v>2.3199999999999998</v>
      </c>
      <c r="J27" s="33"/>
    </row>
    <row r="28" spans="2:10" x14ac:dyDescent="0.3">
      <c r="B28" s="1" t="s">
        <v>82</v>
      </c>
      <c r="C28" s="20" t="s">
        <v>83</v>
      </c>
      <c r="D28" s="29" t="s">
        <v>84</v>
      </c>
      <c r="E28" s="30"/>
      <c r="F28" s="30" t="s">
        <v>26</v>
      </c>
      <c r="G28" s="31">
        <v>6894</v>
      </c>
      <c r="H28" s="32">
        <v>20.51</v>
      </c>
      <c r="I28" s="32">
        <v>2.2999999999999998</v>
      </c>
      <c r="J28" s="33"/>
    </row>
    <row r="29" spans="2:10" x14ac:dyDescent="0.3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15410</v>
      </c>
      <c r="H29" s="32">
        <v>19.75</v>
      </c>
      <c r="I29" s="32">
        <v>2.21</v>
      </c>
      <c r="J29" s="33"/>
    </row>
    <row r="30" spans="2:10" x14ac:dyDescent="0.3">
      <c r="B30" s="1" t="s">
        <v>89</v>
      </c>
      <c r="C30" s="20" t="s">
        <v>90</v>
      </c>
      <c r="D30" s="29" t="s">
        <v>91</v>
      </c>
      <c r="E30" s="30"/>
      <c r="F30" s="30" t="s">
        <v>77</v>
      </c>
      <c r="G30" s="31">
        <v>795</v>
      </c>
      <c r="H30" s="32">
        <v>19.54</v>
      </c>
      <c r="I30" s="32">
        <v>2.19</v>
      </c>
      <c r="J30" s="33"/>
    </row>
    <row r="31" spans="2:10" x14ac:dyDescent="0.3">
      <c r="B31" s="1" t="s">
        <v>92</v>
      </c>
      <c r="C31" s="20" t="s">
        <v>93</v>
      </c>
      <c r="D31" s="29" t="s">
        <v>94</v>
      </c>
      <c r="E31" s="30"/>
      <c r="F31" s="30" t="s">
        <v>22</v>
      </c>
      <c r="G31" s="31">
        <v>5600</v>
      </c>
      <c r="H31" s="32">
        <v>19</v>
      </c>
      <c r="I31" s="32">
        <v>2.13</v>
      </c>
      <c r="J31" s="33"/>
    </row>
    <row r="32" spans="2:10" x14ac:dyDescent="0.3">
      <c r="B32" s="1" t="s">
        <v>95</v>
      </c>
      <c r="C32" s="20" t="s">
        <v>96</v>
      </c>
      <c r="D32" s="29" t="s">
        <v>97</v>
      </c>
      <c r="E32" s="30"/>
      <c r="F32" s="30" t="s">
        <v>26</v>
      </c>
      <c r="G32" s="31">
        <v>4702</v>
      </c>
      <c r="H32" s="32">
        <v>18.47</v>
      </c>
      <c r="I32" s="32">
        <v>2.0699999999999998</v>
      </c>
      <c r="J32" s="33"/>
    </row>
    <row r="33" spans="2:10" x14ac:dyDescent="0.3">
      <c r="B33" s="1" t="s">
        <v>98</v>
      </c>
      <c r="C33" s="20" t="s">
        <v>99</v>
      </c>
      <c r="D33" s="29" t="s">
        <v>100</v>
      </c>
      <c r="E33" s="30"/>
      <c r="F33" s="30" t="s">
        <v>22</v>
      </c>
      <c r="G33" s="31">
        <v>8404</v>
      </c>
      <c r="H33" s="32">
        <v>16.97</v>
      </c>
      <c r="I33" s="32">
        <v>1.9</v>
      </c>
      <c r="J33" s="33"/>
    </row>
    <row r="34" spans="2:10" x14ac:dyDescent="0.3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523</v>
      </c>
      <c r="H34" s="32">
        <v>15.87</v>
      </c>
      <c r="I34" s="32">
        <v>1.78</v>
      </c>
      <c r="J34" s="33"/>
    </row>
    <row r="35" spans="2:10" x14ac:dyDescent="0.3">
      <c r="B35" s="1" t="s">
        <v>105</v>
      </c>
      <c r="C35" s="20" t="s">
        <v>106</v>
      </c>
      <c r="D35" s="29" t="s">
        <v>107</v>
      </c>
      <c r="E35" s="30"/>
      <c r="F35" s="30" t="s">
        <v>22</v>
      </c>
      <c r="G35" s="31">
        <v>2005</v>
      </c>
      <c r="H35" s="32">
        <v>15.79</v>
      </c>
      <c r="I35" s="32">
        <v>1.77</v>
      </c>
      <c r="J35" s="33"/>
    </row>
    <row r="36" spans="2:10" x14ac:dyDescent="0.3">
      <c r="B36" s="1" t="s">
        <v>108</v>
      </c>
      <c r="C36" s="20" t="s">
        <v>109</v>
      </c>
      <c r="D36" s="29" t="s">
        <v>110</v>
      </c>
      <c r="E36" s="30"/>
      <c r="F36" s="30" t="s">
        <v>55</v>
      </c>
      <c r="G36" s="31">
        <v>2036</v>
      </c>
      <c r="H36" s="32">
        <v>12.63</v>
      </c>
      <c r="I36" s="32">
        <v>1.42</v>
      </c>
      <c r="J36" s="33"/>
    </row>
    <row r="37" spans="2:10" x14ac:dyDescent="0.3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1063</v>
      </c>
      <c r="H37" s="32">
        <v>12.09</v>
      </c>
      <c r="I37" s="32">
        <v>1.35</v>
      </c>
      <c r="J37" s="33"/>
    </row>
    <row r="38" spans="2:10" x14ac:dyDescent="0.3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815</v>
      </c>
      <c r="H38" s="32">
        <v>9.57</v>
      </c>
      <c r="I38" s="32">
        <v>1.07</v>
      </c>
      <c r="J38" s="33"/>
    </row>
    <row r="39" spans="2:10" x14ac:dyDescent="0.3">
      <c r="B39" s="1" t="s">
        <v>119</v>
      </c>
      <c r="C39" s="20" t="s">
        <v>120</v>
      </c>
      <c r="D39" s="29" t="s">
        <v>121</v>
      </c>
      <c r="E39" s="30"/>
      <c r="F39" s="30" t="s">
        <v>114</v>
      </c>
      <c r="G39" s="31">
        <v>1050</v>
      </c>
      <c r="H39" s="32">
        <v>8.64</v>
      </c>
      <c r="I39" s="32">
        <v>0.97</v>
      </c>
      <c r="J39" s="33"/>
    </row>
    <row r="40" spans="2:10" x14ac:dyDescent="0.3">
      <c r="B40" s="1" t="s">
        <v>122</v>
      </c>
      <c r="C40" s="20" t="s">
        <v>123</v>
      </c>
      <c r="D40" s="29" t="s">
        <v>124</v>
      </c>
      <c r="E40" s="30"/>
      <c r="F40" s="30" t="s">
        <v>30</v>
      </c>
      <c r="G40" s="31">
        <v>2028</v>
      </c>
      <c r="H40" s="32">
        <v>8.5299999999999994</v>
      </c>
      <c r="I40" s="32">
        <v>0.96</v>
      </c>
      <c r="J40" s="33"/>
    </row>
    <row r="41" spans="2:10" x14ac:dyDescent="0.3">
      <c r="B41" s="1" t="s">
        <v>125</v>
      </c>
      <c r="C41" s="20" t="s">
        <v>126</v>
      </c>
      <c r="D41" s="29" t="s">
        <v>127</v>
      </c>
      <c r="E41" s="30"/>
      <c r="F41" s="30" t="s">
        <v>26</v>
      </c>
      <c r="G41" s="31">
        <v>5075</v>
      </c>
      <c r="H41" s="32">
        <v>7.12</v>
      </c>
      <c r="I41" s="32">
        <v>0.8</v>
      </c>
      <c r="J41" s="33"/>
    </row>
    <row r="42" spans="2:10" x14ac:dyDescent="0.3">
      <c r="B42" s="1" t="s">
        <v>128</v>
      </c>
      <c r="C42" s="20" t="s">
        <v>129</v>
      </c>
      <c r="D42" s="29" t="s">
        <v>130</v>
      </c>
      <c r="E42" s="30"/>
      <c r="F42" s="30" t="s">
        <v>55</v>
      </c>
      <c r="G42" s="31">
        <v>67</v>
      </c>
      <c r="H42" s="32">
        <v>6.35</v>
      </c>
      <c r="I42" s="32">
        <v>0.71</v>
      </c>
      <c r="J42" s="33"/>
    </row>
    <row r="43" spans="2:10" x14ac:dyDescent="0.3">
      <c r="C43" s="28" t="s">
        <v>131</v>
      </c>
      <c r="D43" s="29"/>
      <c r="E43" s="30"/>
      <c r="F43" s="30"/>
      <c r="G43" s="31"/>
      <c r="H43" s="35">
        <v>869.11</v>
      </c>
      <c r="I43" s="35">
        <v>97.44</v>
      </c>
      <c r="J43" s="33"/>
    </row>
    <row r="44" spans="2:10" x14ac:dyDescent="0.3">
      <c r="C44" s="20"/>
      <c r="D44" s="29"/>
      <c r="E44" s="30"/>
      <c r="F44" s="30"/>
      <c r="G44" s="31"/>
      <c r="H44" s="32"/>
      <c r="I44" s="32"/>
      <c r="J44" s="33"/>
    </row>
    <row r="45" spans="2:10" x14ac:dyDescent="0.3">
      <c r="C45" s="28" t="s">
        <v>132</v>
      </c>
      <c r="D45" s="29"/>
      <c r="E45" s="30"/>
      <c r="F45" s="30"/>
      <c r="G45" s="31"/>
      <c r="H45" s="32" t="s">
        <v>133</v>
      </c>
      <c r="I45" s="32" t="s">
        <v>133</v>
      </c>
      <c r="J45" s="33"/>
    </row>
    <row r="46" spans="2:10" x14ac:dyDescent="0.3">
      <c r="C46" s="20"/>
      <c r="D46" s="29"/>
      <c r="E46" s="30"/>
      <c r="F46" s="30"/>
      <c r="G46" s="31"/>
      <c r="H46" s="32"/>
      <c r="I46" s="32"/>
      <c r="J46" s="33"/>
    </row>
    <row r="47" spans="2:10" x14ac:dyDescent="0.3">
      <c r="C47" s="28" t="s">
        <v>134</v>
      </c>
      <c r="D47" s="29"/>
      <c r="E47" s="30"/>
      <c r="F47" s="30"/>
      <c r="G47" s="31"/>
      <c r="H47" s="32" t="s">
        <v>133</v>
      </c>
      <c r="I47" s="32" t="s">
        <v>133</v>
      </c>
      <c r="J47" s="33"/>
    </row>
    <row r="48" spans="2:10" x14ac:dyDescent="0.3">
      <c r="C48" s="20"/>
      <c r="D48" s="29"/>
      <c r="E48" s="30"/>
      <c r="F48" s="30"/>
      <c r="G48" s="31"/>
      <c r="H48" s="32"/>
      <c r="I48" s="32"/>
      <c r="J48" s="33"/>
    </row>
    <row r="49" spans="3:10" x14ac:dyDescent="0.3">
      <c r="C49" s="28" t="s">
        <v>135</v>
      </c>
      <c r="D49" s="29"/>
      <c r="E49" s="30"/>
      <c r="F49" s="30"/>
      <c r="G49" s="31"/>
      <c r="H49" s="32"/>
      <c r="I49" s="32"/>
      <c r="J49" s="33"/>
    </row>
    <row r="50" spans="3:10" x14ac:dyDescent="0.3">
      <c r="C50" s="20"/>
      <c r="D50" s="29"/>
      <c r="E50" s="30"/>
      <c r="F50" s="30"/>
      <c r="G50" s="31"/>
      <c r="H50" s="32"/>
      <c r="I50" s="32"/>
      <c r="J50" s="33"/>
    </row>
    <row r="51" spans="3:10" x14ac:dyDescent="0.3">
      <c r="C51" s="28" t="s">
        <v>136</v>
      </c>
      <c r="D51" s="29"/>
      <c r="E51" s="30"/>
      <c r="F51" s="30"/>
      <c r="G51" s="31"/>
      <c r="H51" s="32" t="s">
        <v>133</v>
      </c>
      <c r="I51" s="32" t="s">
        <v>133</v>
      </c>
      <c r="J51" s="33"/>
    </row>
    <row r="52" spans="3:10" x14ac:dyDescent="0.3">
      <c r="C52" s="20"/>
      <c r="D52" s="29"/>
      <c r="E52" s="30"/>
      <c r="F52" s="30"/>
      <c r="G52" s="31"/>
      <c r="H52" s="32"/>
      <c r="I52" s="32"/>
      <c r="J52" s="33"/>
    </row>
    <row r="53" spans="3:10" x14ac:dyDescent="0.3">
      <c r="C53" s="28" t="s">
        <v>137</v>
      </c>
      <c r="D53" s="29"/>
      <c r="E53" s="30"/>
      <c r="F53" s="30"/>
      <c r="G53" s="31"/>
      <c r="H53" s="32" t="s">
        <v>133</v>
      </c>
      <c r="I53" s="32" t="s">
        <v>133</v>
      </c>
      <c r="J53" s="33"/>
    </row>
    <row r="54" spans="3:10" x14ac:dyDescent="0.3">
      <c r="C54" s="20"/>
      <c r="D54" s="29"/>
      <c r="E54" s="30"/>
      <c r="F54" s="30"/>
      <c r="G54" s="31"/>
      <c r="H54" s="32"/>
      <c r="I54" s="32"/>
      <c r="J54" s="33"/>
    </row>
    <row r="55" spans="3:10" x14ac:dyDescent="0.3">
      <c r="C55" s="28" t="s">
        <v>138</v>
      </c>
      <c r="D55" s="29"/>
      <c r="E55" s="30"/>
      <c r="F55" s="30"/>
      <c r="G55" s="31"/>
      <c r="H55" s="32" t="s">
        <v>133</v>
      </c>
      <c r="I55" s="32" t="s">
        <v>133</v>
      </c>
      <c r="J55" s="33"/>
    </row>
    <row r="56" spans="3:10" x14ac:dyDescent="0.3">
      <c r="C56" s="20"/>
      <c r="D56" s="29"/>
      <c r="E56" s="30"/>
      <c r="F56" s="30"/>
      <c r="G56" s="31"/>
      <c r="H56" s="32"/>
      <c r="I56" s="32"/>
      <c r="J56" s="33"/>
    </row>
    <row r="57" spans="3:10" x14ac:dyDescent="0.3">
      <c r="C57" s="28" t="s">
        <v>139</v>
      </c>
      <c r="D57" s="29"/>
      <c r="E57" s="30"/>
      <c r="F57" s="30"/>
      <c r="G57" s="31"/>
      <c r="H57" s="32" t="s">
        <v>133</v>
      </c>
      <c r="I57" s="32" t="s">
        <v>133</v>
      </c>
      <c r="J57" s="33"/>
    </row>
    <row r="58" spans="3:10" x14ac:dyDescent="0.3">
      <c r="C58" s="20"/>
      <c r="D58" s="29"/>
      <c r="E58" s="30"/>
      <c r="F58" s="30"/>
      <c r="G58" s="31"/>
      <c r="H58" s="32"/>
      <c r="I58" s="32"/>
      <c r="J58" s="33"/>
    </row>
    <row r="59" spans="3:10" x14ac:dyDescent="0.3">
      <c r="C59" s="28" t="s">
        <v>140</v>
      </c>
      <c r="D59" s="29"/>
      <c r="E59" s="30"/>
      <c r="F59" s="30"/>
      <c r="G59" s="31"/>
      <c r="H59" s="32" t="s">
        <v>133</v>
      </c>
      <c r="I59" s="32" t="s">
        <v>133</v>
      </c>
      <c r="J59" s="33"/>
    </row>
    <row r="60" spans="3:10" x14ac:dyDescent="0.3">
      <c r="C60" s="20"/>
      <c r="D60" s="29"/>
      <c r="E60" s="30"/>
      <c r="F60" s="30"/>
      <c r="G60" s="31"/>
      <c r="H60" s="32"/>
      <c r="I60" s="32"/>
      <c r="J60" s="33"/>
    </row>
    <row r="61" spans="3:10" x14ac:dyDescent="0.3">
      <c r="C61" s="28" t="s">
        <v>141</v>
      </c>
      <c r="D61" s="29"/>
      <c r="E61" s="30"/>
      <c r="F61" s="30"/>
      <c r="G61" s="31"/>
      <c r="H61" s="32"/>
      <c r="I61" s="32"/>
      <c r="J61" s="33"/>
    </row>
    <row r="62" spans="3:10" x14ac:dyDescent="0.3">
      <c r="C62" s="20"/>
      <c r="D62" s="29"/>
      <c r="E62" s="30"/>
      <c r="F62" s="30"/>
      <c r="G62" s="31"/>
      <c r="H62" s="32"/>
      <c r="I62" s="32"/>
      <c r="J62" s="33"/>
    </row>
    <row r="63" spans="3:10" x14ac:dyDescent="0.3">
      <c r="C63" s="28" t="s">
        <v>142</v>
      </c>
      <c r="D63" s="29"/>
      <c r="E63" s="30"/>
      <c r="F63" s="30"/>
      <c r="G63" s="31"/>
      <c r="H63" s="32" t="s">
        <v>133</v>
      </c>
      <c r="I63" s="32" t="s">
        <v>133</v>
      </c>
      <c r="J63" s="33"/>
    </row>
    <row r="64" spans="3:10" x14ac:dyDescent="0.3">
      <c r="C64" s="20"/>
      <c r="D64" s="29"/>
      <c r="E64" s="30"/>
      <c r="F64" s="30"/>
      <c r="G64" s="31"/>
      <c r="H64" s="32"/>
      <c r="I64" s="32"/>
      <c r="J64" s="33"/>
    </row>
    <row r="65" spans="3:10" x14ac:dyDescent="0.3">
      <c r="C65" s="28" t="s">
        <v>143</v>
      </c>
      <c r="D65" s="29"/>
      <c r="E65" s="30"/>
      <c r="F65" s="30"/>
      <c r="G65" s="31"/>
      <c r="H65" s="32" t="s">
        <v>133</v>
      </c>
      <c r="I65" s="32" t="s">
        <v>133</v>
      </c>
      <c r="J65" s="33"/>
    </row>
    <row r="66" spans="3:10" x14ac:dyDescent="0.3">
      <c r="C66" s="20"/>
      <c r="D66" s="29"/>
      <c r="E66" s="30"/>
      <c r="F66" s="30"/>
      <c r="G66" s="31"/>
      <c r="H66" s="32"/>
      <c r="I66" s="32"/>
      <c r="J66" s="33"/>
    </row>
    <row r="67" spans="3:10" x14ac:dyDescent="0.3">
      <c r="C67" s="28" t="s">
        <v>144</v>
      </c>
      <c r="D67" s="29"/>
      <c r="E67" s="30"/>
      <c r="F67" s="30"/>
      <c r="G67" s="31"/>
      <c r="H67" s="32" t="s">
        <v>133</v>
      </c>
      <c r="I67" s="32" t="s">
        <v>133</v>
      </c>
      <c r="J67" s="33"/>
    </row>
    <row r="68" spans="3:10" x14ac:dyDescent="0.3">
      <c r="C68" s="20"/>
      <c r="D68" s="29"/>
      <c r="E68" s="30"/>
      <c r="F68" s="30"/>
      <c r="G68" s="31"/>
      <c r="H68" s="32"/>
      <c r="I68" s="32"/>
      <c r="J68" s="33"/>
    </row>
    <row r="69" spans="3:10" x14ac:dyDescent="0.3">
      <c r="C69" s="28" t="s">
        <v>145</v>
      </c>
      <c r="D69" s="29"/>
      <c r="E69" s="30"/>
      <c r="F69" s="30"/>
      <c r="G69" s="31"/>
      <c r="H69" s="32" t="s">
        <v>133</v>
      </c>
      <c r="I69" s="32" t="s">
        <v>133</v>
      </c>
      <c r="J69" s="33"/>
    </row>
    <row r="70" spans="3:10" x14ac:dyDescent="0.3">
      <c r="C70" s="20"/>
      <c r="D70" s="29"/>
      <c r="E70" s="30"/>
      <c r="F70" s="30"/>
      <c r="G70" s="31"/>
      <c r="H70" s="32"/>
      <c r="I70" s="32"/>
      <c r="J70" s="33"/>
    </row>
    <row r="71" spans="3:10" x14ac:dyDescent="0.3">
      <c r="C71" s="28" t="s">
        <v>146</v>
      </c>
      <c r="D71" s="29"/>
      <c r="E71" s="30"/>
      <c r="F71" s="30"/>
      <c r="G71" s="31"/>
      <c r="H71" s="32"/>
      <c r="I71" s="32"/>
      <c r="J71" s="33"/>
    </row>
    <row r="72" spans="3:10" x14ac:dyDescent="0.3">
      <c r="C72" s="20"/>
      <c r="D72" s="29"/>
      <c r="E72" s="30"/>
      <c r="F72" s="30"/>
      <c r="G72" s="31"/>
      <c r="H72" s="32"/>
      <c r="I72" s="32"/>
      <c r="J72" s="33"/>
    </row>
    <row r="73" spans="3:10" x14ac:dyDescent="0.3">
      <c r="C73" s="28" t="s">
        <v>147</v>
      </c>
      <c r="D73" s="29"/>
      <c r="E73" s="30"/>
      <c r="F73" s="30"/>
      <c r="G73" s="31"/>
      <c r="H73" s="32" t="s">
        <v>133</v>
      </c>
      <c r="I73" s="32" t="s">
        <v>133</v>
      </c>
      <c r="J73" s="33"/>
    </row>
    <row r="74" spans="3:10" x14ac:dyDescent="0.3">
      <c r="C74" s="20"/>
      <c r="D74" s="29"/>
      <c r="E74" s="30"/>
      <c r="F74" s="30"/>
      <c r="G74" s="31"/>
      <c r="H74" s="32"/>
      <c r="I74" s="32"/>
      <c r="J74" s="33"/>
    </row>
    <row r="75" spans="3:10" x14ac:dyDescent="0.3">
      <c r="C75" s="28" t="s">
        <v>148</v>
      </c>
      <c r="D75" s="29"/>
      <c r="E75" s="30"/>
      <c r="F75" s="30"/>
      <c r="G75" s="31"/>
      <c r="H75" s="32" t="s">
        <v>133</v>
      </c>
      <c r="I75" s="32" t="s">
        <v>133</v>
      </c>
      <c r="J75" s="33"/>
    </row>
    <row r="76" spans="3:10" x14ac:dyDescent="0.3">
      <c r="C76" s="20"/>
      <c r="D76" s="29"/>
      <c r="E76" s="30"/>
      <c r="F76" s="30"/>
      <c r="G76" s="31"/>
      <c r="H76" s="32"/>
      <c r="I76" s="32"/>
      <c r="J76" s="33"/>
    </row>
    <row r="77" spans="3:10" x14ac:dyDescent="0.3">
      <c r="C77" s="28" t="s">
        <v>149</v>
      </c>
      <c r="D77" s="29"/>
      <c r="E77" s="30"/>
      <c r="F77" s="30"/>
      <c r="G77" s="31"/>
      <c r="H77" s="32" t="s">
        <v>133</v>
      </c>
      <c r="I77" s="32" t="s">
        <v>133</v>
      </c>
      <c r="J77" s="33"/>
    </row>
    <row r="78" spans="3:10" x14ac:dyDescent="0.3">
      <c r="C78" s="20"/>
      <c r="D78" s="29"/>
      <c r="E78" s="30"/>
      <c r="F78" s="30"/>
      <c r="G78" s="31"/>
      <c r="H78" s="32"/>
      <c r="I78" s="32"/>
      <c r="J78" s="33"/>
    </row>
    <row r="79" spans="3:10" x14ac:dyDescent="0.3">
      <c r="C79" s="28" t="s">
        <v>150</v>
      </c>
      <c r="D79" s="29"/>
      <c r="E79" s="30"/>
      <c r="F79" s="30"/>
      <c r="G79" s="31"/>
      <c r="H79" s="32" t="s">
        <v>133</v>
      </c>
      <c r="I79" s="32" t="s">
        <v>133</v>
      </c>
      <c r="J79" s="33"/>
    </row>
    <row r="80" spans="3:10" x14ac:dyDescent="0.3">
      <c r="C80" s="20"/>
      <c r="D80" s="29"/>
      <c r="E80" s="30"/>
      <c r="F80" s="30"/>
      <c r="G80" s="31"/>
      <c r="H80" s="32"/>
      <c r="I80" s="32"/>
      <c r="J80" s="33"/>
    </row>
    <row r="81" spans="1:10" x14ac:dyDescent="0.3">
      <c r="C81" s="28" t="s">
        <v>151</v>
      </c>
      <c r="D81" s="29"/>
      <c r="E81" s="30"/>
      <c r="F81" s="30"/>
      <c r="G81" s="31"/>
      <c r="H81" s="32" t="s">
        <v>133</v>
      </c>
      <c r="I81" s="32" t="s">
        <v>133</v>
      </c>
      <c r="J81" s="33"/>
    </row>
    <row r="82" spans="1:10" x14ac:dyDescent="0.3">
      <c r="C82" s="20"/>
      <c r="D82" s="29"/>
      <c r="E82" s="30"/>
      <c r="F82" s="30"/>
      <c r="G82" s="31"/>
      <c r="H82" s="32"/>
      <c r="I82" s="32"/>
      <c r="J82" s="33"/>
    </row>
    <row r="83" spans="1:10" x14ac:dyDescent="0.3">
      <c r="C83" s="28" t="s">
        <v>152</v>
      </c>
      <c r="D83" s="29"/>
      <c r="E83" s="30"/>
      <c r="F83" s="30"/>
      <c r="G83" s="31"/>
      <c r="H83" s="32" t="s">
        <v>133</v>
      </c>
      <c r="I83" s="32" t="s">
        <v>133</v>
      </c>
      <c r="J83" s="33"/>
    </row>
    <row r="84" spans="1:10" x14ac:dyDescent="0.3">
      <c r="C84" s="20"/>
      <c r="D84" s="29"/>
      <c r="E84" s="30"/>
      <c r="F84" s="30"/>
      <c r="G84" s="31"/>
      <c r="H84" s="32"/>
      <c r="I84" s="32"/>
      <c r="J84" s="33"/>
    </row>
    <row r="85" spans="1:10" x14ac:dyDescent="0.3">
      <c r="A85" s="26"/>
      <c r="B85" s="27"/>
      <c r="C85" s="28" t="s">
        <v>153</v>
      </c>
      <c r="D85" s="29"/>
      <c r="E85" s="30"/>
      <c r="F85" s="30"/>
      <c r="G85" s="31"/>
      <c r="H85" s="32"/>
      <c r="I85" s="32"/>
      <c r="J85" s="33"/>
    </row>
    <row r="86" spans="1:10" x14ac:dyDescent="0.3">
      <c r="B86" s="1"/>
      <c r="C86" s="20" t="s">
        <v>154</v>
      </c>
      <c r="D86" s="29"/>
      <c r="E86" s="30"/>
      <c r="F86" s="30"/>
      <c r="G86" s="31"/>
      <c r="H86" s="32">
        <v>22.81</v>
      </c>
      <c r="I86" s="32">
        <v>2.56</v>
      </c>
      <c r="J86" s="33"/>
    </row>
    <row r="87" spans="1:10" x14ac:dyDescent="0.3">
      <c r="C87" s="28" t="s">
        <v>131</v>
      </c>
      <c r="D87" s="29"/>
      <c r="E87" s="30"/>
      <c r="F87" s="30"/>
      <c r="G87" s="31"/>
      <c r="H87" s="35">
        <v>22.81</v>
      </c>
      <c r="I87" s="35">
        <v>2.56</v>
      </c>
      <c r="J87" s="33"/>
    </row>
    <row r="88" spans="1:10" x14ac:dyDescent="0.3">
      <c r="C88" s="20"/>
      <c r="D88" s="29"/>
      <c r="E88" s="30"/>
      <c r="F88" s="30"/>
      <c r="G88" s="31"/>
      <c r="H88" s="32"/>
      <c r="I88" s="32"/>
      <c r="J88" s="33"/>
    </row>
    <row r="89" spans="1:10" ht="14.4" thickBot="1" x14ac:dyDescent="0.35">
      <c r="C89" s="36" t="s">
        <v>155</v>
      </c>
      <c r="D89" s="37"/>
      <c r="E89" s="38"/>
      <c r="F89" s="39"/>
      <c r="G89" s="40"/>
      <c r="H89" s="41">
        <v>891.92</v>
      </c>
      <c r="I89" s="41">
        <f>SUMIFS(I:I,C:C,"Total")</f>
        <v>100</v>
      </c>
      <c r="J89" s="42"/>
    </row>
    <row r="92" spans="1:10" x14ac:dyDescent="0.3">
      <c r="C92" s="11" t="s">
        <v>156</v>
      </c>
    </row>
    <row r="93" spans="1:10" x14ac:dyDescent="0.3">
      <c r="C93" s="2" t="s">
        <v>157</v>
      </c>
    </row>
    <row r="94" spans="1:10" x14ac:dyDescent="0.3">
      <c r="C94" s="2" t="s">
        <v>158</v>
      </c>
    </row>
    <row r="95" spans="1:10" x14ac:dyDescent="0.3">
      <c r="C95" s="2" t="s">
        <v>159</v>
      </c>
    </row>
    <row r="96" spans="1:10" x14ac:dyDescent="0.3">
      <c r="C96" s="2" t="s">
        <v>160</v>
      </c>
    </row>
    <row r="97" spans="3:5" x14ac:dyDescent="0.3">
      <c r="C97" s="2" t="s">
        <v>161</v>
      </c>
    </row>
    <row r="98" spans="3:5" ht="14.4" thickBot="1" x14ac:dyDescent="0.35">
      <c r="C98" s="2" t="s">
        <v>162</v>
      </c>
    </row>
    <row r="99" spans="3:5" ht="14.4" thickBot="1" x14ac:dyDescent="0.35">
      <c r="C99" s="43"/>
      <c r="D99" s="59" t="s">
        <v>163</v>
      </c>
      <c r="E99" s="60"/>
    </row>
    <row r="100" spans="3:5" x14ac:dyDescent="0.3">
      <c r="C100" s="44" t="s">
        <v>164</v>
      </c>
      <c r="D100" s="45" t="s">
        <v>165</v>
      </c>
      <c r="E100" s="45" t="s">
        <v>165</v>
      </c>
    </row>
    <row r="101" spans="3:5" ht="14.4" thickBot="1" x14ac:dyDescent="0.35">
      <c r="C101" s="46"/>
      <c r="D101" s="47">
        <v>46142</v>
      </c>
      <c r="E101" s="47">
        <v>46173</v>
      </c>
    </row>
    <row r="102" spans="3:5" ht="14.4" thickBot="1" x14ac:dyDescent="0.35">
      <c r="C102" s="48" t="s">
        <v>166</v>
      </c>
      <c r="D102" s="49">
        <v>61.63</v>
      </c>
      <c r="E102" s="49">
        <v>61.02</v>
      </c>
    </row>
    <row r="103" spans="3:5" ht="14.4" thickBot="1" x14ac:dyDescent="0.35">
      <c r="C103" s="48" t="s">
        <v>167</v>
      </c>
      <c r="D103" s="49">
        <v>65.61</v>
      </c>
      <c r="E103" s="49">
        <v>64.97</v>
      </c>
    </row>
    <row r="104" spans="3:5" ht="14.4" thickBot="1" x14ac:dyDescent="0.35">
      <c r="C104" s="48" t="s">
        <v>168</v>
      </c>
      <c r="D104" s="49">
        <v>65.86</v>
      </c>
      <c r="E104" s="49">
        <v>65.25</v>
      </c>
    </row>
    <row r="105" spans="3:5" ht="14.4" thickBot="1" x14ac:dyDescent="0.35">
      <c r="C105" s="48" t="s">
        <v>169</v>
      </c>
      <c r="D105" s="49">
        <v>70.72</v>
      </c>
      <c r="E105" s="49">
        <v>70.06</v>
      </c>
    </row>
    <row r="107" spans="3:5" x14ac:dyDescent="0.3">
      <c r="C107" s="2" t="s">
        <v>170</v>
      </c>
    </row>
    <row r="108" spans="3:5" x14ac:dyDescent="0.3">
      <c r="C108" s="2" t="s">
        <v>171</v>
      </c>
    </row>
    <row r="109" spans="3:5" x14ac:dyDescent="0.3">
      <c r="C109" s="2" t="s">
        <v>172</v>
      </c>
    </row>
    <row r="110" spans="3:5" x14ac:dyDescent="0.3">
      <c r="C110" s="2" t="s">
        <v>173</v>
      </c>
    </row>
    <row r="111" spans="3:5" x14ac:dyDescent="0.3">
      <c r="C111" s="2" t="s">
        <v>174</v>
      </c>
    </row>
    <row r="112" spans="3:5" x14ac:dyDescent="0.3">
      <c r="C112" s="2" t="s">
        <v>175</v>
      </c>
    </row>
    <row r="113" spans="3:3" x14ac:dyDescent="0.3">
      <c r="C113" s="2" t="s">
        <v>176</v>
      </c>
    </row>
    <row r="114" spans="3:3" x14ac:dyDescent="0.3">
      <c r="C114" s="2" t="s">
        <v>177</v>
      </c>
    </row>
    <row r="115" spans="3:3" x14ac:dyDescent="0.3">
      <c r="C115" s="50" t="s">
        <v>178</v>
      </c>
    </row>
  </sheetData>
  <mergeCells count="1">
    <mergeCell ref="D99:E9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A21C-1BC9-4D0D-8414-4211458353A9}">
  <dimension ref="C3:M17"/>
  <sheetViews>
    <sheetView topLeftCell="A3" workbookViewId="0">
      <selection activeCell="C10" sqref="C10"/>
    </sheetView>
  </sheetViews>
  <sheetFormatPr defaultRowHeight="14.4" x14ac:dyDescent="0.3"/>
  <cols>
    <col min="3" max="3" width="64.6640625" bestFit="1" customWidth="1"/>
    <col min="4" max="4" width="7.10937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1" bestFit="1" customWidth="1"/>
  </cols>
  <sheetData>
    <row r="3" spans="3:13" ht="15.6" x14ac:dyDescent="0.3">
      <c r="C3" s="51" t="s">
        <v>179</v>
      </c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3:13" x14ac:dyDescent="0.3">
      <c r="C4" s="53" t="s">
        <v>180</v>
      </c>
      <c r="D4" s="63" t="s">
        <v>181</v>
      </c>
      <c r="E4" s="63"/>
      <c r="F4" s="63" t="s">
        <v>182</v>
      </c>
      <c r="G4" s="63"/>
      <c r="H4" s="63" t="s">
        <v>183</v>
      </c>
      <c r="I4" s="63"/>
      <c r="J4" s="64" t="s">
        <v>184</v>
      </c>
      <c r="K4" s="65"/>
      <c r="L4" s="66" t="s">
        <v>185</v>
      </c>
      <c r="M4" s="66"/>
    </row>
    <row r="5" spans="3:13" ht="66" x14ac:dyDescent="0.3">
      <c r="C5" s="54"/>
      <c r="D5" s="55" t="s">
        <v>186</v>
      </c>
      <c r="E5" s="55" t="s">
        <v>187</v>
      </c>
      <c r="F5" s="55" t="s">
        <v>186</v>
      </c>
      <c r="G5" s="55" t="s">
        <v>187</v>
      </c>
      <c r="H5" s="55" t="s">
        <v>186</v>
      </c>
      <c r="I5" s="55" t="s">
        <v>187</v>
      </c>
      <c r="J5" s="55" t="s">
        <v>186</v>
      </c>
      <c r="K5" s="55" t="s">
        <v>187</v>
      </c>
      <c r="L5" s="56" t="s">
        <v>186</v>
      </c>
      <c r="M5" s="56" t="s">
        <v>187</v>
      </c>
    </row>
    <row r="6" spans="3:13" x14ac:dyDescent="0.3">
      <c r="C6" s="57" t="s">
        <v>188</v>
      </c>
      <c r="D6" s="58">
        <v>-2.4030999999999998</v>
      </c>
      <c r="E6" s="58">
        <v>9759.687593872035</v>
      </c>
      <c r="F6" s="58">
        <v>16.1797</v>
      </c>
      <c r="G6" s="58">
        <v>15688.073394495412</v>
      </c>
      <c r="H6" s="58">
        <v>13.6152</v>
      </c>
      <c r="I6" s="58">
        <v>18944.60641399417</v>
      </c>
      <c r="J6" s="58">
        <v>14.406599999999999</v>
      </c>
      <c r="K6" s="58">
        <v>38472.46891651865</v>
      </c>
      <c r="L6" s="58">
        <v>10.219621</v>
      </c>
      <c r="M6" s="58">
        <v>64980.000000000007</v>
      </c>
    </row>
    <row r="7" spans="3:13" x14ac:dyDescent="0.3">
      <c r="C7" s="57" t="s">
        <v>189</v>
      </c>
      <c r="D7" s="58">
        <v>4.8727999999999998</v>
      </c>
      <c r="E7" s="58">
        <v>10487.28</v>
      </c>
      <c r="F7" s="58">
        <v>20.5671</v>
      </c>
      <c r="G7" s="58">
        <v>17526.146792483265</v>
      </c>
      <c r="H7" s="58">
        <v>18.077100000000002</v>
      </c>
      <c r="I7" s="58">
        <v>22952.415183043006</v>
      </c>
      <c r="J7" s="58">
        <v>14.5359</v>
      </c>
      <c r="K7" s="58">
        <v>19710.977575938203</v>
      </c>
      <c r="L7" s="58">
        <v>7.2590884999999998</v>
      </c>
      <c r="M7" s="58">
        <v>41474.693165043747</v>
      </c>
    </row>
    <row r="8" spans="3:13" x14ac:dyDescent="0.3">
      <c r="C8" s="57" t="s">
        <v>190</v>
      </c>
      <c r="D8" s="58">
        <v>-4.0838000000000001</v>
      </c>
      <c r="E8" s="58">
        <v>9591.619999999999</v>
      </c>
      <c r="F8" s="58">
        <v>9.4129000000000005</v>
      </c>
      <c r="G8" s="58">
        <v>13098.018141499084</v>
      </c>
      <c r="H8" s="58">
        <v>10.1014</v>
      </c>
      <c r="I8" s="58">
        <v>16179.466849099232</v>
      </c>
      <c r="J8" s="58">
        <v>12.550800000000001</v>
      </c>
      <c r="K8" s="58">
        <v>18061.047356176892</v>
      </c>
      <c r="L8" s="58">
        <v>11.598100000000001</v>
      </c>
      <c r="M8" s="58">
        <v>82647.591891598247</v>
      </c>
    </row>
    <row r="9" spans="3:13" x14ac:dyDescent="0.3">
      <c r="C9" s="57" t="s">
        <v>191</v>
      </c>
      <c r="D9" s="61">
        <v>66.58</v>
      </c>
      <c r="E9" s="62"/>
      <c r="F9" s="61">
        <v>41.42</v>
      </c>
      <c r="G9" s="62"/>
      <c r="H9" s="61">
        <v>34.299999999999997</v>
      </c>
      <c r="I9" s="62"/>
      <c r="J9" s="61">
        <v>16.89</v>
      </c>
      <c r="K9" s="62"/>
      <c r="L9" s="61">
        <v>10</v>
      </c>
      <c r="M9" s="62"/>
    </row>
    <row r="11" spans="3:13" ht="15.6" x14ac:dyDescent="0.3">
      <c r="C11" s="51" t="s">
        <v>192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3:13" x14ac:dyDescent="0.3">
      <c r="C12" s="53" t="s">
        <v>180</v>
      </c>
      <c r="D12" s="63" t="s">
        <v>181</v>
      </c>
      <c r="E12" s="63"/>
      <c r="F12" s="63" t="s">
        <v>182</v>
      </c>
      <c r="G12" s="63"/>
      <c r="H12" s="63" t="s">
        <v>183</v>
      </c>
      <c r="I12" s="63"/>
      <c r="J12" s="64" t="s">
        <v>184</v>
      </c>
      <c r="K12" s="65"/>
      <c r="L12" s="66" t="s">
        <v>185</v>
      </c>
      <c r="M12" s="66"/>
    </row>
    <row r="13" spans="3:13" ht="66" x14ac:dyDescent="0.3">
      <c r="C13" s="54"/>
      <c r="D13" s="55" t="s">
        <v>186</v>
      </c>
      <c r="E13" s="55" t="s">
        <v>187</v>
      </c>
      <c r="F13" s="55" t="s">
        <v>186</v>
      </c>
      <c r="G13" s="55" t="s">
        <v>187</v>
      </c>
      <c r="H13" s="55" t="s">
        <v>186</v>
      </c>
      <c r="I13" s="55" t="s">
        <v>187</v>
      </c>
      <c r="J13" s="55" t="s">
        <v>186</v>
      </c>
      <c r="K13" s="55" t="s">
        <v>187</v>
      </c>
      <c r="L13" s="56" t="s">
        <v>186</v>
      </c>
      <c r="M13" s="56" t="s">
        <v>187</v>
      </c>
    </row>
    <row r="14" spans="3:13" x14ac:dyDescent="0.3">
      <c r="C14" s="57" t="s">
        <v>188</v>
      </c>
      <c r="D14" s="58">
        <v>-1.849</v>
      </c>
      <c r="E14" s="58">
        <v>9815.100154083204</v>
      </c>
      <c r="F14" s="58">
        <v>16.743500000000001</v>
      </c>
      <c r="G14" s="58">
        <v>15917.764652430711</v>
      </c>
      <c r="H14" s="58">
        <v>14.142099999999999</v>
      </c>
      <c r="I14" s="58">
        <v>19388.489208633095</v>
      </c>
      <c r="J14" s="58">
        <v>14.975899999999999</v>
      </c>
      <c r="K14" s="58">
        <v>40432.775533756489</v>
      </c>
      <c r="L14" s="58">
        <v>13.442696</v>
      </c>
      <c r="M14" s="58">
        <v>54656.786271450852</v>
      </c>
    </row>
    <row r="15" spans="3:13" x14ac:dyDescent="0.3">
      <c r="C15" s="57" t="s">
        <v>189</v>
      </c>
      <c r="D15" s="58">
        <v>4.8727999999999998</v>
      </c>
      <c r="E15" s="58">
        <v>10487.28</v>
      </c>
      <c r="F15" s="58">
        <v>20.5671</v>
      </c>
      <c r="G15" s="58">
        <v>17526.146792483265</v>
      </c>
      <c r="H15" s="58">
        <v>18.077100000000002</v>
      </c>
      <c r="I15" s="58">
        <v>22952.415183043006</v>
      </c>
      <c r="J15" s="58">
        <v>14.5359</v>
      </c>
      <c r="K15" s="58">
        <v>19710.977575938203</v>
      </c>
      <c r="L15" s="58">
        <v>11.376308999999999</v>
      </c>
      <c r="M15" s="58">
        <v>42416.627280617417</v>
      </c>
    </row>
    <row r="16" spans="3:13" x14ac:dyDescent="0.3">
      <c r="C16" s="57" t="s">
        <v>190</v>
      </c>
      <c r="D16" s="58">
        <v>-4.0838000000000001</v>
      </c>
      <c r="E16" s="58">
        <v>9591.619999999999</v>
      </c>
      <c r="F16" s="58">
        <v>9.4129000000000005</v>
      </c>
      <c r="G16" s="58">
        <v>13098.018141499084</v>
      </c>
      <c r="H16" s="58">
        <v>10.1014</v>
      </c>
      <c r="I16" s="58">
        <v>16179.466849099232</v>
      </c>
      <c r="J16" s="58">
        <v>12.550800000000001</v>
      </c>
      <c r="K16" s="58">
        <v>18061.047356176892</v>
      </c>
      <c r="L16" s="58">
        <v>12.077299999999999</v>
      </c>
      <c r="M16" s="58">
        <v>46140.182038940497</v>
      </c>
    </row>
    <row r="17" spans="3:13" x14ac:dyDescent="0.3">
      <c r="C17" s="57" t="s">
        <v>193</v>
      </c>
      <c r="D17" s="61">
        <v>71.39</v>
      </c>
      <c r="E17" s="62"/>
      <c r="F17" s="61">
        <v>44.02</v>
      </c>
      <c r="G17" s="62"/>
      <c r="H17" s="61">
        <v>36.14</v>
      </c>
      <c r="I17" s="62"/>
      <c r="J17" s="61">
        <v>17.329999999999998</v>
      </c>
      <c r="K17" s="62"/>
      <c r="L17" s="61">
        <v>12.82</v>
      </c>
      <c r="M17" s="62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F90623-E429-4AA7-9E0B-546690388E18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customXml/itemProps2.xml><?xml version="1.0" encoding="utf-8"?>
<ds:datastoreItem xmlns:ds="http://schemas.openxmlformats.org/officeDocument/2006/customXml" ds:itemID="{02A07491-53D5-4E07-A740-CEEB99A01D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2CE2FC-AC97-4B7C-B668-F504A0D4D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 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2026-06-04T14:36:54Z</dcterms:created>
  <dcterms:modified xsi:type="dcterms:W3CDTF">2026-06-08T09:55:46Z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0x010100940A884CA212A64490D7B69778880BBA</vt:lpwstr>
  </property>
  <property fmtid="{D5CDD505-2E9C-101B-9397-08002B2CF9AE}" pid="3" name="MediaServiceImageTags">
    <vt:lpwstr/>
  </property>
</Properties>
</file>