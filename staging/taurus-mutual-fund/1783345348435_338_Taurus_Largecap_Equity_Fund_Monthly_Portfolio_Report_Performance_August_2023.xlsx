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19425" windowHeight="10425"/>
  </bookViews>
  <sheets>
    <sheet name="TBF-Risk-o-meter &amp; Portfolio" sheetId="1" r:id="rId1"/>
    <sheet name="TBF-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Portfolio'!$C$8:$C$40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Portfolio'!$D$10:$D$82</definedName>
    <definedName name="XDO_?FINAL_MV?">'TBF-Risk-o-meter &amp; Portfolio'!$H$10:$H$82</definedName>
    <definedName name="XDO_?FINAL_NAME?">'TBF-Risk-o-meter &amp; Portfolio'!$C$10:$C$82</definedName>
    <definedName name="XDO_?FINAL_PER_NET?">'TBF-Risk-o-meter &amp; Portfolio'!$I$10:$I$82</definedName>
    <definedName name="XDO_?FINAL_QUANTITE?">'TBF-Risk-o-meter &amp; Portfolio'!$G$10:$G$82</definedName>
    <definedName name="XDO_?IND_01?">'TBF-Risk-o-meter &amp; Portfolio'!$F$10:$F$82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Portfolio'!$C$2:$C$40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Portfolio'!$B$10:$B$82</definedName>
    <definedName name="XDO_?NPTF?">'TBF-Risk-o-meter &amp; Portfolio'!$D$2:$D$40</definedName>
    <definedName name="XDO_?RATING?">'TBF-Risk-o-meter &amp; Portfolio'!$E$10:$E$82</definedName>
    <definedName name="XDO_?REMARKS?">'TBF-Risk-o-meter &amp; Portfolio'!$J$10:$J$82</definedName>
    <definedName name="XDO_?TDATE?">'TBF-Risk-o-meter &amp; Portfolio'!$D$4</definedName>
    <definedName name="XDO_?TITL?">'TBF-Risk-o-meter &amp; Portfolio'!$A$8:$A$40</definedName>
    <definedName name="XDO_GROUP_?G_2?">'TBF-Risk-o-meter &amp; Portfolio'!$2:$85</definedName>
    <definedName name="XDO_GROUP_?G_3?">'TBF-Risk-o-meter &amp; Portfolio'!$8:$84</definedName>
    <definedName name="XDO_GROUP_?G_4?">'TBF-Risk-o-meter &amp; Portfolio'!$B$82:$IV$82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5" i="1"/>
</calcChain>
</file>

<file path=xl/sharedStrings.xml><?xml version="1.0" encoding="utf-8"?>
<sst xmlns="http://schemas.openxmlformats.org/spreadsheetml/2006/main" count="235" uniqueCount="169">
  <si>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</si>
  <si>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</si>
  <si>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</si>
  <si>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</si>
  <si>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</si>
  <si>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</si>
  <si>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</si>
  <si>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</si>
  <si>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</si>
  <si>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</si>
  <si>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</si>
  <si>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</si>
  <si>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</si>
  <si>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</si>
  <si>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</si>
  <si>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</si>
  <si>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</si>
  <si>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</si>
  <si>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</si>
  <si>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</si>
  <si>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</si>
  <si>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</si>
  <si>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</si>
  <si>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100010</t>
  </si>
  <si>
    <t>State Bank of India</t>
  </si>
  <si>
    <t>INE062A01020</t>
  </si>
  <si>
    <t>100024</t>
  </si>
  <si>
    <t>Axis Bank Ltd.</t>
  </si>
  <si>
    <t>INE238A01034</t>
  </si>
  <si>
    <t>100012</t>
  </si>
  <si>
    <t>ICICI Bank Ltd.</t>
  </si>
  <si>
    <t>INE090A01021</t>
  </si>
  <si>
    <t>100003</t>
  </si>
  <si>
    <t>Infosys Ltd.</t>
  </si>
  <si>
    <t>INE009A01021</t>
  </si>
  <si>
    <t>100180</t>
  </si>
  <si>
    <t>Hindalco Industries Ltd.</t>
  </si>
  <si>
    <t>INE038A01020</t>
  </si>
  <si>
    <t>Non - Ferrous Metals</t>
  </si>
  <si>
    <t>100014</t>
  </si>
  <si>
    <t>Mahindra &amp; Mahindra Ltd.</t>
  </si>
  <si>
    <t>INE101A01026</t>
  </si>
  <si>
    <t>Automobiles</t>
  </si>
  <si>
    <t>100019</t>
  </si>
  <si>
    <t>ITC Ltd.</t>
  </si>
  <si>
    <t>INE154A01025</t>
  </si>
  <si>
    <t>Diversified FMCG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</si>
  <si>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</si>
  <si>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</si>
  <si>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</si>
  <si>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</si>
  <si>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</si>
  <si>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</si>
  <si>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</si>
  <si>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100263</t>
  </si>
  <si>
    <t>BEML Ltd.</t>
  </si>
  <si>
    <t>INE258A01016</t>
  </si>
  <si>
    <t>Agricultural, Commercial &amp; Construction Vehicles</t>
  </si>
  <si>
    <t>101178</t>
  </si>
  <si>
    <t>Computer Age Management Services Ltd.</t>
  </si>
  <si>
    <t>INE596I01012</t>
  </si>
  <si>
    <t>Capital Markets</t>
  </si>
  <si>
    <t>100181</t>
  </si>
  <si>
    <t>NTPC Ltd.</t>
  </si>
  <si>
    <t>INE733E01010</t>
  </si>
  <si>
    <t>Power</t>
  </si>
  <si>
    <t>100128</t>
  </si>
  <si>
    <t>Eicher Motors Ltd.</t>
  </si>
  <si>
    <t>INE066A01021</t>
  </si>
  <si>
    <t>100172</t>
  </si>
  <si>
    <t>ACC Ltd.</t>
  </si>
  <si>
    <t>INE012A01025</t>
  </si>
  <si>
    <t>Cement &amp; Cement Products</t>
  </si>
  <si>
    <t>100150</t>
  </si>
  <si>
    <t>Apollo Hospitals Enterprise Ltd.</t>
  </si>
  <si>
    <t>INE437A01024</t>
  </si>
  <si>
    <t>Healthcare Services</t>
  </si>
  <si>
    <t>100002</t>
  </si>
  <si>
    <t>Reliance Industries Ltd.</t>
  </si>
  <si>
    <t>INE002A01018</t>
  </si>
  <si>
    <t>Petroleum Products</t>
  </si>
  <si>
    <t>100080</t>
  </si>
  <si>
    <t>Dr. Reddy's Laboratories Ltd.</t>
  </si>
  <si>
    <t>INE089A01023</t>
  </si>
  <si>
    <t>Pharmaceuticals &amp; Biotechnology</t>
  </si>
  <si>
    <t>100302</t>
  </si>
  <si>
    <t>DLF Ltd.</t>
  </si>
  <si>
    <t>INE271C01023</t>
  </si>
  <si>
    <t>Realty</t>
  </si>
  <si>
    <t>100119</t>
  </si>
  <si>
    <t>Tata Motors Ltd.</t>
  </si>
  <si>
    <t>INE155A01022</t>
  </si>
  <si>
    <t>100081</t>
  </si>
  <si>
    <t>Titan Company Ltd.</t>
  </si>
  <si>
    <t>INE280A01028</t>
  </si>
  <si>
    <t>Consumer Durables</t>
  </si>
  <si>
    <t>100153</t>
  </si>
  <si>
    <t>Cipla Ltd.</t>
  </si>
  <si>
    <t>INE059A01026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</si>
  <si>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</si>
  <si>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</si>
  <si>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</si>
  <si>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</si>
  <si>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</si>
  <si>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</si>
  <si>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100193</t>
  </si>
  <si>
    <t>JSW Steel Ltd.</t>
  </si>
  <si>
    <t>INE019A01038</t>
  </si>
  <si>
    <t>Ferrous Metals</t>
  </si>
  <si>
    <t>100163</t>
  </si>
  <si>
    <t>Bosch Ltd.</t>
  </si>
  <si>
    <t>INE323A01026</t>
  </si>
  <si>
    <t>Auto Components</t>
  </si>
  <si>
    <t>100176</t>
  </si>
  <si>
    <t>GAIL (India) Ltd.</t>
  </si>
  <si>
    <t>INE129A01019</t>
  </si>
  <si>
    <t>Gas</t>
  </si>
  <si>
    <t>100361</t>
  </si>
  <si>
    <t>Bank of India</t>
  </si>
  <si>
    <t>INE084A01016</t>
  </si>
  <si>
    <t>100092</t>
  </si>
  <si>
    <t>Bank of Baroda</t>
  </si>
  <si>
    <t>INE028A01039</t>
  </si>
  <si>
    <t>100027</t>
  </si>
  <si>
    <t>Pidilite Industries Ltd.</t>
  </si>
  <si>
    <t>INE318A01026</t>
  </si>
  <si>
    <t>Chemicals &amp; Petrochemicals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</si>
  <si>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</si>
  <si>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</si>
  <si>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</si>
  <si>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</si>
  <si>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</si>
  <si>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</si>
  <si>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</si>
  <si>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</si>
  <si>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</si>
  <si>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</si>
  <si>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</si>
  <si>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</si>
  <si>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</si>
  <si>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</si>
  <si>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</si>
  <si>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</si>
  <si>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</si>
  <si>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</si>
  <si>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</si>
  <si>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</si>
  <si>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</si>
  <si>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</si>
  <si>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</si>
  <si>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</si>
  <si>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</si>
  <si>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</si>
  <si>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</si>
  <si>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</si>
  <si>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</si>
  <si>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</si>
  <si>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</si>
  <si>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</si>
  <si>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</si>
  <si>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</si>
  <si>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</si>
  <si>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</si>
  <si>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</si>
  <si>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</si>
  <si>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</si>
  <si>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August 31, 2023 : 112.90)</t>
  </si>
  <si>
    <t>Taurus Largecap Equity Fund - Direct Plan Growth Option</t>
  </si>
  <si>
    <t>NAV [Rs.] Per Unit (as on August 31, 2023 : 119.15)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</si>
</sst>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48683</xdr:colOff>
      <xdr:row>0</xdr:row>
      <xdr:rowOff>1924050</xdr:rowOff>
    </xdr:to>
    <xdr:pic>
      <xdr:nvPicPr>
        <xdr:cNvPr id="2" name="Picture 1" descr="Large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80085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1"/>
  <sheetViews>
    <sheetView showGridLines="0" tabSelected="1" topLeftCell="C1" zoomScale="90" zoomScaleNormal="90" workbookViewId="0">
      <selection activeCell="C1" sqref="C1"/>
    </sheetView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>
      <c r="C2" s="6" t="s">
        <v>0</v>
      </c>
      <c r="D2" s="1" t="s">
        <v>1</v>
      </c>
      <c r="J2" s="9"/>
    </row>
    <row r="3" spans="1:54" ht="16.5">
      <c r="C3" s="11" t="s">
        <v>2</v>
      </c>
      <c r="D3" s="12" t="s">
        <v>3</v>
      </c>
    </row>
    <row r="4" spans="1:54" ht="15.75">
      <c r="C4" s="11" t="s">
        <v>4</v>
      </c>
      <c r="D4" s="13">
        <v>45169</v>
      </c>
    </row>
    <row r="5" spans="1:54" ht="14.25" thickBot="1">
      <c r="C5" s="11"/>
    </row>
    <row r="6" spans="1:54" ht="27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21331</v>
      </c>
      <c r="H10" s="32">
        <v>335.31</v>
      </c>
      <c r="I10" s="32">
        <v>9.48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19988</v>
      </c>
      <c r="H11" s="32">
        <v>234.44</v>
      </c>
      <c r="I11" s="32">
        <v>6.63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34404</v>
      </c>
      <c r="H12" s="32">
        <v>193.11</v>
      </c>
      <c r="I12" s="32">
        <v>5.46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19761</v>
      </c>
      <c r="H13" s="32">
        <v>192.47</v>
      </c>
      <c r="I13" s="32">
        <v>5.44</v>
      </c>
      <c r="J13" s="33"/>
    </row>
    <row r="14" spans="1:54">
      <c r="B14" s="1" t="s">
        <v>29</v>
      </c>
      <c r="C14" s="20" t="s">
        <v>30</v>
      </c>
      <c r="D14" s="29" t="s">
        <v>31</v>
      </c>
      <c r="E14" s="30"/>
      <c r="F14" s="30" t="s">
        <v>18</v>
      </c>
      <c r="G14" s="31">
        <v>19245</v>
      </c>
      <c r="H14" s="32">
        <v>184.41</v>
      </c>
      <c r="I14" s="32">
        <v>5.21</v>
      </c>
      <c r="J14" s="33"/>
    </row>
    <row r="15" spans="1:54">
      <c r="B15" s="1" t="s">
        <v>32</v>
      </c>
      <c r="C15" s="20" t="s">
        <v>33</v>
      </c>
      <c r="D15" s="29" t="s">
        <v>34</v>
      </c>
      <c r="E15" s="30"/>
      <c r="F15" s="30" t="s">
        <v>22</v>
      </c>
      <c r="G15" s="31">
        <v>12217</v>
      </c>
      <c r="H15" s="32">
        <v>175.2</v>
      </c>
      <c r="I15" s="32">
        <v>4.95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34036</v>
      </c>
      <c r="H16" s="32">
        <v>156.34</v>
      </c>
      <c r="I16" s="32">
        <v>4.42</v>
      </c>
      <c r="J16" s="33"/>
    </row>
    <row r="17" spans="2:10">
      <c r="B17" s="1" t="s">
        <v>39</v>
      </c>
      <c r="C17" s="20" t="s">
        <v>40</v>
      </c>
      <c r="D17" s="29" t="s">
        <v>41</v>
      </c>
      <c r="E17" s="30"/>
      <c r="F17" s="30" t="s">
        <v>42</v>
      </c>
      <c r="G17" s="31">
        <v>9811</v>
      </c>
      <c r="H17" s="32">
        <v>154.63</v>
      </c>
      <c r="I17" s="32">
        <v>4.37</v>
      </c>
      <c r="J17" s="33"/>
    </row>
    <row r="18" spans="2:10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34297</v>
      </c>
      <c r="H18" s="32">
        <v>150.79</v>
      </c>
      <c r="I18" s="32">
        <v>4.26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22</v>
      </c>
      <c r="G19" s="31">
        <v>12396</v>
      </c>
      <c r="H19" s="32">
        <v>148.97</v>
      </c>
      <c r="I19" s="32">
        <v>4.21</v>
      </c>
      <c r="J19" s="33"/>
    </row>
    <row r="20" spans="2:10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64054</v>
      </c>
      <c r="H20" s="32">
        <v>147.38999999999999</v>
      </c>
      <c r="I20" s="32">
        <v>4.17</v>
      </c>
      <c r="J20" s="33"/>
    </row>
    <row r="21" spans="2:10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4710</v>
      </c>
      <c r="H21" s="32">
        <v>116.11</v>
      </c>
      <c r="I21" s="32">
        <v>3.28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4880</v>
      </c>
      <c r="H22" s="32">
        <v>115.95</v>
      </c>
      <c r="I22" s="32">
        <v>3.28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52356</v>
      </c>
      <c r="H23" s="32">
        <v>115.16</v>
      </c>
      <c r="I23" s="32">
        <v>3.26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42</v>
      </c>
      <c r="G24" s="31">
        <v>3450</v>
      </c>
      <c r="H24" s="32">
        <v>115.15</v>
      </c>
      <c r="I24" s="32">
        <v>3.26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5293</v>
      </c>
      <c r="H25" s="32">
        <v>106.37</v>
      </c>
      <c r="I25" s="32">
        <v>3.01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2002</v>
      </c>
      <c r="H26" s="32">
        <v>96.46</v>
      </c>
      <c r="I26" s="32">
        <v>2.73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3976</v>
      </c>
      <c r="H27" s="32">
        <v>95.7</v>
      </c>
      <c r="I27" s="32">
        <v>2.71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1505</v>
      </c>
      <c r="H28" s="32">
        <v>84.52</v>
      </c>
      <c r="I28" s="32">
        <v>2.39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15145</v>
      </c>
      <c r="H29" s="32">
        <v>76.290000000000006</v>
      </c>
      <c r="I29" s="32">
        <v>2.16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42</v>
      </c>
      <c r="G30" s="31">
        <v>11097</v>
      </c>
      <c r="H30" s="32">
        <v>66.7</v>
      </c>
      <c r="I30" s="32">
        <v>1.89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2089</v>
      </c>
      <c r="H31" s="32">
        <v>64.91</v>
      </c>
      <c r="I31" s="32">
        <v>1.84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84</v>
      </c>
      <c r="G32" s="31">
        <v>4961</v>
      </c>
      <c r="H32" s="32">
        <v>62.37</v>
      </c>
      <c r="I32" s="32">
        <v>1.76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42</v>
      </c>
      <c r="G33" s="31">
        <v>623</v>
      </c>
      <c r="H33" s="32">
        <v>62.34</v>
      </c>
      <c r="I33" s="32">
        <v>1.76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84</v>
      </c>
      <c r="G34" s="31">
        <v>5160</v>
      </c>
      <c r="H34" s="32">
        <v>57.39</v>
      </c>
      <c r="I34" s="32">
        <v>1.62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5791</v>
      </c>
      <c r="H35" s="32">
        <v>45.16</v>
      </c>
      <c r="I35" s="32">
        <v>1.28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220</v>
      </c>
      <c r="H36" s="32">
        <v>40.89</v>
      </c>
      <c r="I36" s="32">
        <v>1.1599999999999999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29659</v>
      </c>
      <c r="H37" s="32">
        <v>34.119999999999997</v>
      </c>
      <c r="I37" s="32">
        <v>0.96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18</v>
      </c>
      <c r="G38" s="31">
        <v>38313</v>
      </c>
      <c r="H38" s="32">
        <v>32.909999999999997</v>
      </c>
      <c r="I38" s="32">
        <v>0.93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18</v>
      </c>
      <c r="G39" s="31">
        <v>17492</v>
      </c>
      <c r="H39" s="32">
        <v>32.75</v>
      </c>
      <c r="I39" s="32">
        <v>0.93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515</v>
      </c>
      <c r="H40" s="32">
        <v>12.97</v>
      </c>
      <c r="I40" s="32">
        <v>0.37</v>
      </c>
      <c r="J40" s="33"/>
    </row>
    <row r="41" spans="2:10">
      <c r="C41" s="28" t="s">
        <v>127</v>
      </c>
      <c r="D41" s="29"/>
      <c r="E41" s="30"/>
      <c r="F41" s="30"/>
      <c r="G41" s="31"/>
      <c r="H41" s="35">
        <v>3507.28</v>
      </c>
      <c r="I41" s="35">
        <v>99.18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128</v>
      </c>
      <c r="D43" s="29"/>
      <c r="E43" s="30"/>
      <c r="F43" s="30"/>
      <c r="G43" s="31"/>
      <c r="H43" s="32" t="s">
        <v>129</v>
      </c>
      <c r="I43" s="32" t="s">
        <v>129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130</v>
      </c>
      <c r="D45" s="29"/>
      <c r="E45" s="30"/>
      <c r="F45" s="30"/>
      <c r="G45" s="31"/>
      <c r="H45" s="32" t="s">
        <v>129</v>
      </c>
      <c r="I45" s="32" t="s">
        <v>129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131</v>
      </c>
      <c r="D47" s="29"/>
      <c r="E47" s="30"/>
      <c r="F47" s="30"/>
      <c r="G47" s="31"/>
      <c r="H47" s="32"/>
      <c r="I47" s="32"/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132</v>
      </c>
      <c r="D49" s="29"/>
      <c r="E49" s="30"/>
      <c r="F49" s="30"/>
      <c r="G49" s="31"/>
      <c r="H49" s="32" t="s">
        <v>129</v>
      </c>
      <c r="I49" s="32" t="s">
        <v>129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133</v>
      </c>
      <c r="D51" s="29"/>
      <c r="E51" s="30"/>
      <c r="F51" s="30"/>
      <c r="G51" s="31"/>
      <c r="H51" s="32" t="s">
        <v>129</v>
      </c>
      <c r="I51" s="32" t="s">
        <v>129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134</v>
      </c>
      <c r="D53" s="29"/>
      <c r="E53" s="30"/>
      <c r="F53" s="30"/>
      <c r="G53" s="31"/>
      <c r="H53" s="32" t="s">
        <v>129</v>
      </c>
      <c r="I53" s="32" t="s">
        <v>129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135</v>
      </c>
      <c r="D55" s="29"/>
      <c r="E55" s="30"/>
      <c r="F55" s="30"/>
      <c r="G55" s="31"/>
      <c r="H55" s="32" t="s">
        <v>129</v>
      </c>
      <c r="I55" s="32" t="s">
        <v>129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136</v>
      </c>
      <c r="D57" s="29"/>
      <c r="E57" s="30"/>
      <c r="F57" s="30"/>
      <c r="G57" s="31"/>
      <c r="H57" s="32" t="s">
        <v>129</v>
      </c>
      <c r="I57" s="32" t="s">
        <v>129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137</v>
      </c>
      <c r="D59" s="29"/>
      <c r="E59" s="30"/>
      <c r="F59" s="30"/>
      <c r="G59" s="31"/>
      <c r="H59" s="32"/>
      <c r="I59" s="32"/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138</v>
      </c>
      <c r="D61" s="29"/>
      <c r="E61" s="30"/>
      <c r="F61" s="30"/>
      <c r="G61" s="31"/>
      <c r="H61" s="32" t="s">
        <v>129</v>
      </c>
      <c r="I61" s="32" t="s">
        <v>129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139</v>
      </c>
      <c r="D63" s="29"/>
      <c r="E63" s="30"/>
      <c r="F63" s="30"/>
      <c r="G63" s="31"/>
      <c r="H63" s="32" t="s">
        <v>129</v>
      </c>
      <c r="I63" s="32" t="s">
        <v>129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140</v>
      </c>
      <c r="D65" s="29"/>
      <c r="E65" s="30"/>
      <c r="F65" s="30"/>
      <c r="G65" s="31"/>
      <c r="H65" s="32" t="s">
        <v>129</v>
      </c>
      <c r="I65" s="32" t="s">
        <v>129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141</v>
      </c>
      <c r="D67" s="29"/>
      <c r="E67" s="30"/>
      <c r="F67" s="30"/>
      <c r="G67" s="31"/>
      <c r="H67" s="32" t="s">
        <v>129</v>
      </c>
      <c r="I67" s="32" t="s">
        <v>129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142</v>
      </c>
      <c r="D69" s="29"/>
      <c r="E69" s="30"/>
      <c r="F69" s="30"/>
      <c r="G69" s="31"/>
      <c r="H69" s="32"/>
      <c r="I69" s="32"/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143</v>
      </c>
      <c r="D71" s="29"/>
      <c r="E71" s="30"/>
      <c r="F71" s="30"/>
      <c r="G71" s="31"/>
      <c r="H71" s="32" t="s">
        <v>129</v>
      </c>
      <c r="I71" s="32" t="s">
        <v>129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144</v>
      </c>
      <c r="D73" s="29"/>
      <c r="E73" s="30"/>
      <c r="F73" s="30"/>
      <c r="G73" s="31"/>
      <c r="H73" s="32" t="s">
        <v>129</v>
      </c>
      <c r="I73" s="32" t="s">
        <v>129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145</v>
      </c>
      <c r="D75" s="29"/>
      <c r="E75" s="30"/>
      <c r="F75" s="30"/>
      <c r="G75" s="31"/>
      <c r="H75" s="32" t="s">
        <v>129</v>
      </c>
      <c r="I75" s="32" t="s">
        <v>129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146</v>
      </c>
      <c r="D77" s="29"/>
      <c r="E77" s="30"/>
      <c r="F77" s="30"/>
      <c r="G77" s="31"/>
      <c r="H77" s="32" t="s">
        <v>129</v>
      </c>
      <c r="I77" s="32" t="s">
        <v>129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147</v>
      </c>
      <c r="D79" s="29"/>
      <c r="E79" s="30"/>
      <c r="F79" s="30"/>
      <c r="G79" s="31"/>
      <c r="H79" s="32" t="s">
        <v>129</v>
      </c>
      <c r="I79" s="32" t="s">
        <v>129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A81" s="26"/>
      <c r="B81" s="27"/>
      <c r="C81" s="28" t="s">
        <v>148</v>
      </c>
      <c r="D81" s="29"/>
      <c r="E81" s="30"/>
      <c r="F81" s="30"/>
      <c r="G81" s="31"/>
      <c r="H81" s="32"/>
      <c r="I81" s="32"/>
      <c r="J81" s="33"/>
    </row>
    <row r="82" spans="1:10">
      <c r="B82" s="1"/>
      <c r="C82" s="20" t="s">
        <v>149</v>
      </c>
      <c r="D82" s="29"/>
      <c r="E82" s="30"/>
      <c r="F82" s="30"/>
      <c r="G82" s="31"/>
      <c r="H82" s="32">
        <v>29.58</v>
      </c>
      <c r="I82" s="32">
        <v>0.82</v>
      </c>
      <c r="J82" s="33"/>
    </row>
    <row r="83" spans="1:10">
      <c r="C83" s="28" t="s">
        <v>127</v>
      </c>
      <c r="D83" s="29"/>
      <c r="E83" s="30"/>
      <c r="F83" s="30"/>
      <c r="G83" s="31"/>
      <c r="H83" s="35">
        <v>29.58</v>
      </c>
      <c r="I83" s="35">
        <v>0.82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 ht="14.25" thickBot="1">
      <c r="C85" s="36" t="s">
        <v>150</v>
      </c>
      <c r="D85" s="37"/>
      <c r="E85" s="38"/>
      <c r="F85" s="39"/>
      <c r="G85" s="40"/>
      <c r="H85" s="41">
        <v>3536.86</v>
      </c>
      <c r="I85" s="41">
        <f>SUMIFS(I:I,C:C,"Total")</f>
        <v>100</v>
      </c>
      <c r="J85" s="42"/>
    </row>
    <row r="88" spans="1:10">
      <c r="C88" s="11" t="s">
        <v>151</v>
      </c>
    </row>
    <row r="89" spans="1:10">
      <c r="C89" s="2" t="s">
        <v>152</v>
      </c>
    </row>
    <row r="90" spans="1:10">
      <c r="C90" s="2" t="s">
        <v>153</v>
      </c>
    </row>
    <row r="91" spans="1:10">
      <c r="C91" s="2" t="s">
        <v>154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9.140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155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156</v>
      </c>
      <c r="C5" s="46" t="s">
        <v>157</v>
      </c>
      <c r="D5" s="46"/>
      <c r="E5" s="46" t="s">
        <v>158</v>
      </c>
      <c r="F5" s="46"/>
      <c r="G5" s="46" t="s">
        <v>159</v>
      </c>
      <c r="H5" s="46"/>
      <c r="I5" s="46" t="s">
        <v>160</v>
      </c>
      <c r="J5" s="46"/>
    </row>
    <row r="6" spans="2:10" ht="63.75">
      <c r="B6" s="47"/>
      <c r="C6" s="48" t="s">
        <v>161</v>
      </c>
      <c r="D6" s="48" t="s">
        <v>162</v>
      </c>
      <c r="E6" s="48" t="s">
        <v>161</v>
      </c>
      <c r="F6" s="48" t="s">
        <v>162</v>
      </c>
      <c r="G6" s="48" t="s">
        <v>161</v>
      </c>
      <c r="H6" s="48" t="s">
        <v>162</v>
      </c>
      <c r="I6" s="48" t="s">
        <v>161</v>
      </c>
      <c r="J6" s="48" t="s">
        <v>162</v>
      </c>
    </row>
    <row r="7" spans="2:10">
      <c r="B7" s="49" t="s">
        <v>163</v>
      </c>
      <c r="C7" s="50">
        <v>2.8996071424018499</v>
      </c>
      <c r="D7" s="50">
        <v>10290.766566402335</v>
      </c>
      <c r="E7" s="50">
        <v>16.873817541243863</v>
      </c>
      <c r="F7" s="50">
        <v>15964.366515837106</v>
      </c>
      <c r="G7" s="50">
        <v>7.8604958604908681</v>
      </c>
      <c r="H7" s="50">
        <v>14601.65545783756</v>
      </c>
      <c r="I7" s="50">
        <v>10.294722893050977</v>
      </c>
      <c r="J7" s="50">
        <v>112900</v>
      </c>
    </row>
    <row r="8" spans="2:10">
      <c r="B8" s="49" t="s">
        <v>164</v>
      </c>
      <c r="C8" s="50">
        <v>9.9459290465992787</v>
      </c>
      <c r="D8" s="50">
        <v>10994.592904659929</v>
      </c>
      <c r="E8" s="50">
        <v>21.489123703307889</v>
      </c>
      <c r="F8" s="50">
        <v>17931.317422842851</v>
      </c>
      <c r="G8" s="50">
        <v>11.933901528461345</v>
      </c>
      <c r="H8" s="50">
        <v>17571.474564885153</v>
      </c>
      <c r="I8" s="50">
        <v>12.086287155232878</v>
      </c>
      <c r="J8" s="50">
        <v>259059.62962413277</v>
      </c>
    </row>
    <row r="9" spans="2:10">
      <c r="B9" s="49" t="s">
        <v>165</v>
      </c>
      <c r="C9" s="50">
        <v>9.5015556201178519</v>
      </c>
      <c r="D9" s="50">
        <v>10950.155562011785</v>
      </c>
      <c r="E9" s="50">
        <v>20.579901791269894</v>
      </c>
      <c r="F9" s="50">
        <v>17531.730153872704</v>
      </c>
      <c r="G9" s="50">
        <v>11.829978219909387</v>
      </c>
      <c r="H9" s="50">
        <v>17490.056062883898</v>
      </c>
      <c r="I9" s="50">
        <v>12.146253735241451</v>
      </c>
      <c r="J9" s="50">
        <v>263042.14056629065</v>
      </c>
    </row>
    <row r="10" spans="2:10">
      <c r="B10" s="49" t="s">
        <v>166</v>
      </c>
      <c r="C10" s="51">
        <v>109.71</v>
      </c>
      <c r="D10" s="52"/>
      <c r="E10" s="51">
        <v>70.72</v>
      </c>
      <c r="F10" s="52"/>
      <c r="G10" s="51">
        <v>77.319999999999993</v>
      </c>
      <c r="H10" s="52"/>
      <c r="I10" s="51">
        <v>10</v>
      </c>
      <c r="J10" s="52"/>
    </row>
    <row r="12" spans="2:10" ht="15.75">
      <c r="B12" s="43" t="s">
        <v>167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156</v>
      </c>
      <c r="C13" s="46" t="s">
        <v>157</v>
      </c>
      <c r="D13" s="46"/>
      <c r="E13" s="46" t="s">
        <v>158</v>
      </c>
      <c r="F13" s="46"/>
      <c r="G13" s="46" t="s">
        <v>159</v>
      </c>
      <c r="H13" s="46"/>
      <c r="I13" s="46" t="s">
        <v>160</v>
      </c>
      <c r="J13" s="46"/>
    </row>
    <row r="14" spans="2:10" ht="63.75">
      <c r="B14" s="47"/>
      <c r="C14" s="48" t="s">
        <v>161</v>
      </c>
      <c r="D14" s="48" t="s">
        <v>162</v>
      </c>
      <c r="E14" s="48" t="s">
        <v>161</v>
      </c>
      <c r="F14" s="48" t="s">
        <v>162</v>
      </c>
      <c r="G14" s="48" t="s">
        <v>161</v>
      </c>
      <c r="H14" s="48" t="s">
        <v>162</v>
      </c>
      <c r="I14" s="48" t="s">
        <v>161</v>
      </c>
      <c r="J14" s="48" t="s">
        <v>162</v>
      </c>
    </row>
    <row r="15" spans="2:10">
      <c r="B15" s="49" t="s">
        <v>163</v>
      </c>
      <c r="C15" s="50">
        <v>2.9824590343059176</v>
      </c>
      <c r="D15" s="50">
        <v>10299.075114530211</v>
      </c>
      <c r="E15" s="50">
        <v>16.965290807605115</v>
      </c>
      <c r="F15" s="50">
        <v>16001.880204136452</v>
      </c>
      <c r="G15" s="50">
        <v>8.049166128834063</v>
      </c>
      <c r="H15" s="50">
        <v>14729.88008406478</v>
      </c>
      <c r="I15" s="50">
        <v>9.6693332149891731</v>
      </c>
      <c r="J15" s="50">
        <v>26763.252470799642</v>
      </c>
    </row>
    <row r="16" spans="2:10">
      <c r="B16" s="49" t="s">
        <v>164</v>
      </c>
      <c r="C16" s="50">
        <v>9.9459290465992787</v>
      </c>
      <c r="D16" s="50">
        <v>10994.592904659929</v>
      </c>
      <c r="E16" s="50">
        <v>21.489123703307889</v>
      </c>
      <c r="F16" s="50">
        <v>17931.317422842851</v>
      </c>
      <c r="G16" s="50">
        <v>11.933901528461345</v>
      </c>
      <c r="H16" s="50">
        <v>17571.474564885153</v>
      </c>
      <c r="I16" s="50">
        <v>13.261647011252563</v>
      </c>
      <c r="J16" s="50">
        <v>37742.840752048374</v>
      </c>
    </row>
    <row r="17" spans="2:10">
      <c r="B17" s="49" t="s">
        <v>165</v>
      </c>
      <c r="C17" s="50">
        <v>9.5015556201178519</v>
      </c>
      <c r="D17" s="50">
        <v>10950.155562011785</v>
      </c>
      <c r="E17" s="50">
        <v>20.579901791269894</v>
      </c>
      <c r="F17" s="50">
        <v>17531.730153872704</v>
      </c>
      <c r="G17" s="50">
        <v>11.829978219909387</v>
      </c>
      <c r="H17" s="50">
        <v>17490.056062883898</v>
      </c>
      <c r="I17" s="50">
        <v>12.951407617767563</v>
      </c>
      <c r="J17" s="50">
        <v>36654.666362116761</v>
      </c>
    </row>
    <row r="18" spans="2:10">
      <c r="B18" s="49" t="s">
        <v>168</v>
      </c>
      <c r="C18" s="51">
        <v>115.69</v>
      </c>
      <c r="D18" s="52"/>
      <c r="E18" s="51">
        <v>74.459999999999994</v>
      </c>
      <c r="F18" s="52"/>
      <c r="G18" s="51">
        <v>80.89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2023-09-02T11:45:08Z</dcterms:created>
  <dcterms:modified xsi:type="dcterms:W3CDTF">2023-09-08T09:49:51Z</dcterms:modified>
</cp:coreProperties>
</file>