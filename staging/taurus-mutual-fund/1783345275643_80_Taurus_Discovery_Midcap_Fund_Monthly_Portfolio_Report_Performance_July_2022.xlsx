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 - Perfromance" sheetId="2" r:id="rId2"/>
  </sheets>
  <externalReferences>
    <externalReference r:id="rId3"/>
  </externalReferences>
  <definedNames>
    <definedName name="XDO_?CLASS_3?2?">'TDF-Risk-O-Meter &amp; Portfolio'!$C$8:$C$49</definedName>
    <definedName name="XDO_?FINAL_ISIN?3?">'TDF-Risk-O-Meter &amp; Portfolio'!$D$10:$D$49</definedName>
    <definedName name="XDO_?FINAL_ISIN?4?">'TDF-Risk-O-Meter &amp; Portfolio'!$D$10:$D$91</definedName>
    <definedName name="XDO_?FINAL_MV?3?">'TDF-Risk-O-Meter &amp; Portfolio'!$H$10:$H$49</definedName>
    <definedName name="XDO_?FINAL_MV?4?">'TDF-Risk-O-Meter &amp; Portfolio'!$H$10:$H$91</definedName>
    <definedName name="XDO_?FINAL_NAME?3?">'TDF-Risk-O-Meter &amp; Portfolio'!$C$10:$C$49</definedName>
    <definedName name="XDO_?FINAL_NAME?4?">'TDF-Risk-O-Meter &amp; Portfolio'!$C$10:$C$91</definedName>
    <definedName name="XDO_?FINAL_PER_NET?3?">'TDF-Risk-O-Meter &amp; Portfolio'!$I$10:$I$49</definedName>
    <definedName name="XDO_?FINAL_PER_NET?4?">'TDF-Risk-O-Meter &amp; Portfolio'!$I$10:$I$91</definedName>
    <definedName name="XDO_?FINAL_QUANTITE?3?">'TDF-Risk-O-Meter &amp; Portfolio'!$G$10:$G$49</definedName>
    <definedName name="XDO_?FINAL_QUANTITE?4?">'TDF-Risk-O-Meter &amp; Portfolio'!$G$10:$G$91</definedName>
    <definedName name="XDO_?IND_01?3?">'TDF-Risk-O-Meter &amp; Portfolio'!$F$10:$F$49</definedName>
    <definedName name="XDO_?IND_01?4?">'TDF-Risk-O-Meter &amp; Portfolio'!$F$10:$F$91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Portfolio'!$C$2:$C$49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Portfolio'!$B$10:$B$49</definedName>
    <definedName name="XDO_?NOVAL?4?">'TDF-Risk-O-Meter &amp; Portfolio'!$B$10:$B$91</definedName>
    <definedName name="XDO_?NPTF?2?">'TDF-Risk-O-Meter &amp; Portfolio'!$D$2:$D$49</definedName>
    <definedName name="XDO_?RATING?3?">'TDF-Risk-O-Meter &amp; Portfolio'!$E$10:$E$49</definedName>
    <definedName name="XDO_?RATING?4?">'TDF-Risk-O-Meter &amp; Portfolio'!$E$10:$E$91</definedName>
    <definedName name="XDO_?REMARKS?3?">'TDF-Risk-O-Meter &amp; Portfolio'!$J$10:$J$49</definedName>
    <definedName name="XDO_?REMARKS?4?">'TDF-Risk-O-Meter &amp; Portfolio'!$J$10:$J$91</definedName>
    <definedName name="XDO_?TITL?2?">'TDF-Risk-O-Meter &amp; Portfolio'!$A$8:$A$49</definedName>
    <definedName name="XDO_GROUP_?G_2?2?">'TDF-Risk-O-Meter &amp; Portfolio'!$2:$94</definedName>
    <definedName name="XDO_GROUP_?G_3?2?">'TDF-Risk-O-Meter &amp; Portfolio'!$8:$93</definedName>
    <definedName name="XDO_GROUP_?G_4?3?">'TDF-Risk-O-Meter &amp; Portfolio'!$B$10:$IV$49</definedName>
    <definedName name="XDO_GROUP_?G_4?4?">'TDF-Risk-O-Meter &amp; Portfolio'!$B$91:$IV$91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4" i="1"/>
</calcChain>
</file>

<file path=xl/sharedStrings.xml><?xml version="1.0" encoding="utf-8"?>
<sst xmlns="http://schemas.openxmlformats.org/spreadsheetml/2006/main" count="272" uniqueCount="199">
  <si>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</si>
  <si>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</si>
  <si>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</si>
  <si>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</si>
  <si>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</si>
  <si>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</si>
  <si>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</si>
  <si>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</si>
  <si>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</si>
  <si>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</si>
  <si>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</si>
  <si>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</si>
  <si>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</si>
  <si>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</si>
  <si>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</si>
  <si>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</si>
  <si>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</si>
  <si>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</si>
  <si>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</si>
  <si>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</si>
  <si>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</si>
  <si>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</si>
  <si>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</si>
  <si>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100665</t>
  </si>
  <si>
    <t>Aditya Birla Capital Ltd.</t>
  </si>
  <si>
    <t>INE674K01013</t>
  </si>
  <si>
    <t>Insurance</t>
  </si>
  <si>
    <t>100843</t>
  </si>
  <si>
    <t>Dalmia Bharat Ltd.</t>
  </si>
  <si>
    <t>INE00R701025</t>
  </si>
  <si>
    <t>Cement &amp; Cement Products</t>
  </si>
  <si>
    <t>100325</t>
  </si>
  <si>
    <t>Bajaj Holdings &amp; Investment Ltd.</t>
  </si>
  <si>
    <t>INE118A01012</t>
  </si>
  <si>
    <t>Finance</t>
  </si>
  <si>
    <t>101412</t>
  </si>
  <si>
    <t>Punjab Chemicals &amp; Crop Protection Ltd.</t>
  </si>
  <si>
    <t>INE277B01014</t>
  </si>
  <si>
    <t>Fertilizers &amp; Agrochemicals</t>
  </si>
  <si>
    <t>100055</t>
  </si>
  <si>
    <t>The Federal Bank Ltd.</t>
  </si>
  <si>
    <t>INE171A01029</t>
  </si>
  <si>
    <t>Banks</t>
  </si>
  <si>
    <t>100476</t>
  </si>
  <si>
    <t>Caplin Point Laboratories Ltd.</t>
  </si>
  <si>
    <t>INE475E01026</t>
  </si>
  <si>
    <t>100161</t>
  </si>
  <si>
    <t>Cummins India Ltd.</t>
  </si>
  <si>
    <t>INE298A01020</t>
  </si>
  <si>
    <t>Industrial Products</t>
  </si>
  <si>
    <t>100398</t>
  </si>
  <si>
    <t>Aditya Birla Fashion and Retail Ltd.</t>
  </si>
  <si>
    <t>INE647O01011</t>
  </si>
  <si>
    <t>Retailing</t>
  </si>
  <si>
    <t>100271</t>
  </si>
  <si>
    <t>Balkrishna Industries Ltd.</t>
  </si>
  <si>
    <t>INE787D01026</t>
  </si>
  <si>
    <t>Auto Components</t>
  </si>
  <si>
    <t>101522</t>
  </si>
  <si>
    <t>Hariom Pipe Industries Ltd.</t>
  </si>
  <si>
    <t>INE00EV01017</t>
  </si>
  <si>
    <t>101152</t>
  </si>
  <si>
    <t>Sumitomo Chemical India Ltd.</t>
  </si>
  <si>
    <t>INE258G01013</t>
  </si>
  <si>
    <t>100090</t>
  </si>
  <si>
    <t>Bharat Forge Ltd.</t>
  </si>
  <si>
    <t>INE465A01025</t>
  </si>
  <si>
    <t>100435</t>
  </si>
  <si>
    <t>Crompton Greaves Consumer Electricals Ltd.</t>
  </si>
  <si>
    <t>INE299U01018</t>
  </si>
  <si>
    <t>Consumer Durables</t>
  </si>
  <si>
    <t>100371</t>
  </si>
  <si>
    <t>Sun TV Network Ltd.</t>
  </si>
  <si>
    <t>INE424H01027</t>
  </si>
  <si>
    <t>Entertainment</t>
  </si>
  <si>
    <t>101415</t>
  </si>
  <si>
    <t>HINDUSTAN OIL EXPLORATION CO.LTD.</t>
  </si>
  <si>
    <t>INE345A01011</t>
  </si>
  <si>
    <t>Oil</t>
  </si>
  <si>
    <t>100050</t>
  </si>
  <si>
    <t>Trent Ltd.</t>
  </si>
  <si>
    <t>INE849A01020</t>
  </si>
  <si>
    <t>100234</t>
  </si>
  <si>
    <t>Coforge Ltd.</t>
  </si>
  <si>
    <t>INE591G01017</t>
  </si>
  <si>
    <t>IT - Software</t>
  </si>
  <si>
    <t>100016</t>
  </si>
  <si>
    <t>Gujarat Mineral Development Corporation Ltd.</t>
  </si>
  <si>
    <t>INE131A01031</t>
  </si>
  <si>
    <t>Minerals &amp; Mining</t>
  </si>
  <si>
    <t>101493</t>
  </si>
  <si>
    <t>Meghmani Finechem Ltd.</t>
  </si>
  <si>
    <t>INE071N01016</t>
  </si>
  <si>
    <t>Chemicals &amp; Petrochemicals</t>
  </si>
  <si>
    <t>100026</t>
  </si>
  <si>
    <t>Persistent Systems Ltd.</t>
  </si>
  <si>
    <t>INE262H01013</t>
  </si>
  <si>
    <t>100088</t>
  </si>
  <si>
    <t>Bharat Heavy Electricals Ltd.</t>
  </si>
  <si>
    <t>INE257A01026</t>
  </si>
  <si>
    <t>Electrical Equipment</t>
  </si>
  <si>
    <t>100122</t>
  </si>
  <si>
    <t>Union Bank of India</t>
  </si>
  <si>
    <t>INE692A01016</t>
  </si>
  <si>
    <t>100116</t>
  </si>
  <si>
    <t>Sundaram Finance Ltd.</t>
  </si>
  <si>
    <t>INE660A01013</t>
  </si>
  <si>
    <t>100284</t>
  </si>
  <si>
    <t>Dr. Lal Path labs Ltd.</t>
  </si>
  <si>
    <t>INE600L01024</t>
  </si>
  <si>
    <t>Healthcare Services</t>
  </si>
  <si>
    <t>100461</t>
  </si>
  <si>
    <t>Astral Limited</t>
  </si>
  <si>
    <t>INE006I01046</t>
  </si>
  <si>
    <t>100260</t>
  </si>
  <si>
    <t>Solar Industries India Ltd.</t>
  </si>
  <si>
    <t>INE343H01029</t>
  </si>
  <si>
    <t>100235</t>
  </si>
  <si>
    <t>CRISIL Ltd.</t>
  </si>
  <si>
    <t>INE007A01025</t>
  </si>
  <si>
    <t>100143</t>
  </si>
  <si>
    <t>Thermax Ltd.</t>
  </si>
  <si>
    <t>INE152A01029</t>
  </si>
  <si>
    <t>100068</t>
  </si>
  <si>
    <t>Kansai Nerolac Paints Ltd.</t>
  </si>
  <si>
    <t>INE531A01024</t>
  </si>
  <si>
    <t>100114</t>
  </si>
  <si>
    <t>Shriram Transport Finance Company Ltd.</t>
  </si>
  <si>
    <t>INE721A01013</t>
  </si>
  <si>
    <t>100570</t>
  </si>
  <si>
    <t>K.P.R. Mill Ltd.</t>
  </si>
  <si>
    <t>INE930H01031</t>
  </si>
  <si>
    <t>Textiles &amp; Apparels</t>
  </si>
  <si>
    <t>100423</t>
  </si>
  <si>
    <t>Maharashtra Seamless Ltd.</t>
  </si>
  <si>
    <t>INE271B01025</t>
  </si>
  <si>
    <t>100056</t>
  </si>
  <si>
    <t>Supreme Industries Ltd.</t>
  </si>
  <si>
    <t>INE195A01028</t>
  </si>
  <si>
    <t>100144</t>
  </si>
  <si>
    <t>Voltas Ltd.</t>
  </si>
  <si>
    <t>INE226A01021</t>
  </si>
  <si>
    <t>100035</t>
  </si>
  <si>
    <t>NMDC Ltd.</t>
  </si>
  <si>
    <t>INE584A01023</t>
  </si>
  <si>
    <t>100718</t>
  </si>
  <si>
    <t>Network18 Media &amp; Investments Ltd.</t>
  </si>
  <si>
    <t>INE870H01013</t>
  </si>
  <si>
    <t>100315</t>
  </si>
  <si>
    <t>Prestige Estates Projects Ltd.</t>
  </si>
  <si>
    <t>INE811K01011</t>
  </si>
  <si>
    <t>Realty</t>
  </si>
  <si>
    <t>100222</t>
  </si>
  <si>
    <t>The Indian Hotels Company Ltd.</t>
  </si>
  <si>
    <t>INE053A01029</t>
  </si>
  <si>
    <t>Leisure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</si>
  <si>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</si>
  <si>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</si>
  <si>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</si>
  <si>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</si>
  <si>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</si>
  <si>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</si>
  <si>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</si>
  <si>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</si>
  <si>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</si>
  <si>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</si>
  <si>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</si>
  <si>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</si>
  <si>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</si>
  <si>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</si>
  <si>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</si>
  <si>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</si>
  <si>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</si>
  <si>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</si>
  <si>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</si>
  <si>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</si>
  <si>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</si>
  <si>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</si>
  <si>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</si>
  <si>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</si>
  <si>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</si>
  <si>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</si>
  <si>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</si>
  <si>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</si>
  <si>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</si>
  <si>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</si>
  <si>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</si>
  <si>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</si>
  <si>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</si>
  <si>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</si>
  <si>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</si>
  <si>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</si>
  <si>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</si>
  <si>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</si>
  <si>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</si>
  <si>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July 29, 2022 : 71.71)</t>
  </si>
  <si>
    <t>Taurus Discovery (Midcap) Fund-Direct Plan-Growth Option</t>
  </si>
  <si>
    <t>NAV [Rs.] Per Unit (as on July 29, 2022 : 74.86)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</si>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</sst>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5</xdr:col>
      <xdr:colOff>115147</xdr:colOff>
      <xdr:row>0</xdr:row>
      <xdr:rowOff>2167128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2184400</xdr:rowOff>
    </xdr:from>
    <xdr:to>
      <xdr:col>5</xdr:col>
      <xdr:colOff>89747</xdr:colOff>
      <xdr:row>0</xdr:row>
      <xdr:rowOff>4473448</xdr:rowOff>
    </xdr:to>
    <xdr:pic>
      <xdr:nvPicPr>
        <xdr:cNvPr id="3" name="Picture 2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ul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0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44773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34718</v>
      </c>
      <c r="H10" s="32">
        <v>360.51</v>
      </c>
      <c r="I10" s="32">
        <v>4.87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36741</v>
      </c>
      <c r="H11" s="32">
        <v>308.39999999999998</v>
      </c>
      <c r="I11" s="32">
        <v>4.17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270000</v>
      </c>
      <c r="H12" s="32">
        <v>287.01</v>
      </c>
      <c r="I12" s="32">
        <v>3.88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16500</v>
      </c>
      <c r="H13" s="32">
        <v>263.83999999999997</v>
      </c>
      <c r="I13" s="32">
        <v>3.57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5000</v>
      </c>
      <c r="H14" s="32">
        <v>260.67</v>
      </c>
      <c r="I14" s="32">
        <v>3.52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19500</v>
      </c>
      <c r="H15" s="32">
        <v>257.79000000000002</v>
      </c>
      <c r="I15" s="32">
        <v>3.49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240000</v>
      </c>
      <c r="H16" s="32">
        <v>255.96</v>
      </c>
      <c r="I16" s="32">
        <v>3.46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18</v>
      </c>
      <c r="G17" s="31">
        <v>32000</v>
      </c>
      <c r="H17" s="32">
        <v>248.61</v>
      </c>
      <c r="I17" s="32">
        <v>3.36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20253</v>
      </c>
      <c r="H18" s="32">
        <v>248.29</v>
      </c>
      <c r="I18" s="32">
        <v>3.36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92000</v>
      </c>
      <c r="H19" s="32">
        <v>247.2</v>
      </c>
      <c r="I19" s="32">
        <v>3.34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10500</v>
      </c>
      <c r="H20" s="32">
        <v>242.46</v>
      </c>
      <c r="I20" s="32">
        <v>3.28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49</v>
      </c>
      <c r="G21" s="31">
        <v>105730</v>
      </c>
      <c r="H21" s="32">
        <v>236.68</v>
      </c>
      <c r="I21" s="32">
        <v>3.2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38</v>
      </c>
      <c r="G22" s="31">
        <v>50292</v>
      </c>
      <c r="H22" s="32">
        <v>227.12</v>
      </c>
      <c r="I22" s="32">
        <v>3.07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49</v>
      </c>
      <c r="G23" s="31">
        <v>30000</v>
      </c>
      <c r="H23" s="32">
        <v>219.83</v>
      </c>
      <c r="I23" s="32">
        <v>2.97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55000</v>
      </c>
      <c r="H24" s="32">
        <v>217.06</v>
      </c>
      <c r="I24" s="32">
        <v>2.93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44936</v>
      </c>
      <c r="H25" s="32">
        <v>212.26</v>
      </c>
      <c r="I25" s="32">
        <v>2.87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120000</v>
      </c>
      <c r="H26" s="32">
        <v>209.52</v>
      </c>
      <c r="I26" s="32">
        <v>2.83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53</v>
      </c>
      <c r="G27" s="31">
        <v>15000</v>
      </c>
      <c r="H27" s="32">
        <v>190.26</v>
      </c>
      <c r="I27" s="32">
        <v>2.57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4750</v>
      </c>
      <c r="H28" s="32">
        <v>187.73</v>
      </c>
      <c r="I28" s="32">
        <v>2.54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115000</v>
      </c>
      <c r="H29" s="32">
        <v>185.09</v>
      </c>
      <c r="I29" s="32">
        <v>2.5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12000</v>
      </c>
      <c r="H30" s="32">
        <v>181.29</v>
      </c>
      <c r="I30" s="32">
        <v>2.4500000000000002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85</v>
      </c>
      <c r="G31" s="31">
        <v>4850</v>
      </c>
      <c r="H31" s="32">
        <v>176.05</v>
      </c>
      <c r="I31" s="32">
        <v>2.38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321096</v>
      </c>
      <c r="H32" s="32">
        <v>172.91</v>
      </c>
      <c r="I32" s="32">
        <v>2.34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42</v>
      </c>
      <c r="G33" s="31">
        <v>450000</v>
      </c>
      <c r="H33" s="32">
        <v>171.68</v>
      </c>
      <c r="I33" s="32">
        <v>2.3199999999999998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34</v>
      </c>
      <c r="G34" s="31">
        <v>7000</v>
      </c>
      <c r="H34" s="32">
        <v>143.32</v>
      </c>
      <c r="I34" s="32">
        <v>1.94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6007</v>
      </c>
      <c r="H35" s="32">
        <v>138.33000000000001</v>
      </c>
      <c r="I35" s="32">
        <v>1.87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49</v>
      </c>
      <c r="G36" s="31">
        <v>7500</v>
      </c>
      <c r="H36" s="32">
        <v>136.06</v>
      </c>
      <c r="I36" s="32">
        <v>1.84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93</v>
      </c>
      <c r="G37" s="31">
        <v>4951</v>
      </c>
      <c r="H37" s="32">
        <v>135.93</v>
      </c>
      <c r="I37" s="32">
        <v>1.84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34</v>
      </c>
      <c r="G38" s="31">
        <v>4323</v>
      </c>
      <c r="H38" s="32">
        <v>135.25</v>
      </c>
      <c r="I38" s="32">
        <v>1.83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100</v>
      </c>
      <c r="G39" s="31">
        <v>6500</v>
      </c>
      <c r="H39" s="32">
        <v>133.58000000000001</v>
      </c>
      <c r="I39" s="32">
        <v>1.81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70</v>
      </c>
      <c r="G40" s="31">
        <v>32000</v>
      </c>
      <c r="H40" s="32">
        <v>128.21</v>
      </c>
      <c r="I40" s="32">
        <v>1.73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34</v>
      </c>
      <c r="G41" s="31">
        <v>9250</v>
      </c>
      <c r="H41" s="32">
        <v>127.62</v>
      </c>
      <c r="I41" s="32">
        <v>1.73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21000</v>
      </c>
      <c r="H42" s="32">
        <v>123.44</v>
      </c>
      <c r="I42" s="32">
        <v>1.67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49</v>
      </c>
      <c r="G43" s="31">
        <v>16000</v>
      </c>
      <c r="H43" s="32">
        <v>116.42</v>
      </c>
      <c r="I43" s="32">
        <v>1.57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49</v>
      </c>
      <c r="G44" s="31">
        <v>6000</v>
      </c>
      <c r="H44" s="32">
        <v>113.83</v>
      </c>
      <c r="I44" s="32">
        <v>1.54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70</v>
      </c>
      <c r="G45" s="31">
        <v>10000</v>
      </c>
      <c r="H45" s="32">
        <v>100.46</v>
      </c>
      <c r="I45" s="32">
        <v>1.36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89</v>
      </c>
      <c r="G46" s="31">
        <v>90000</v>
      </c>
      <c r="H46" s="32">
        <v>97.02</v>
      </c>
      <c r="I46" s="32">
        <v>1.31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74</v>
      </c>
      <c r="G47" s="31">
        <v>110000</v>
      </c>
      <c r="H47" s="32">
        <v>71.34</v>
      </c>
      <c r="I47" s="32">
        <v>0.96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15000</v>
      </c>
      <c r="H48" s="32">
        <v>62.06</v>
      </c>
      <c r="I48" s="32">
        <v>0.84</v>
      </c>
      <c r="J48" s="33"/>
    </row>
    <row r="49" spans="2:10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12000</v>
      </c>
      <c r="H49" s="32">
        <v>31.52</v>
      </c>
      <c r="I49" s="32">
        <v>0.43</v>
      </c>
      <c r="J49" s="33"/>
    </row>
    <row r="50" spans="2:10">
      <c r="C50" s="28" t="s">
        <v>156</v>
      </c>
      <c r="D50" s="29"/>
      <c r="E50" s="30"/>
      <c r="F50" s="30"/>
      <c r="G50" s="31"/>
      <c r="H50" s="35">
        <v>7362.61</v>
      </c>
      <c r="I50" s="35">
        <v>99.54</v>
      </c>
      <c r="J50" s="33"/>
    </row>
    <row r="51" spans="2:10">
      <c r="C51" s="20"/>
      <c r="D51" s="29"/>
      <c r="E51" s="30"/>
      <c r="F51" s="30"/>
      <c r="G51" s="31"/>
      <c r="H51" s="32"/>
      <c r="I51" s="32"/>
      <c r="J51" s="33"/>
    </row>
    <row r="52" spans="2:10">
      <c r="C52" s="28" t="s">
        <v>157</v>
      </c>
      <c r="D52" s="29"/>
      <c r="E52" s="30"/>
      <c r="F52" s="30"/>
      <c r="G52" s="31"/>
      <c r="H52" s="32" t="s">
        <v>158</v>
      </c>
      <c r="I52" s="32" t="s">
        <v>158</v>
      </c>
      <c r="J52" s="33"/>
    </row>
    <row r="53" spans="2:10">
      <c r="C53" s="20"/>
      <c r="D53" s="29"/>
      <c r="E53" s="30"/>
      <c r="F53" s="30"/>
      <c r="G53" s="31"/>
      <c r="H53" s="32"/>
      <c r="I53" s="32"/>
      <c r="J53" s="33"/>
    </row>
    <row r="54" spans="2:10">
      <c r="C54" s="28" t="s">
        <v>159</v>
      </c>
      <c r="D54" s="29"/>
      <c r="E54" s="30"/>
      <c r="F54" s="30"/>
      <c r="G54" s="31"/>
      <c r="H54" s="32" t="s">
        <v>158</v>
      </c>
      <c r="I54" s="32" t="s">
        <v>158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160</v>
      </c>
      <c r="D56" s="29"/>
      <c r="E56" s="30"/>
      <c r="F56" s="30"/>
      <c r="G56" s="31"/>
      <c r="H56" s="32"/>
      <c r="I56" s="32"/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161</v>
      </c>
      <c r="D58" s="29"/>
      <c r="E58" s="30"/>
      <c r="F58" s="30"/>
      <c r="G58" s="31"/>
      <c r="H58" s="32" t="s">
        <v>158</v>
      </c>
      <c r="I58" s="32" t="s">
        <v>158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162</v>
      </c>
      <c r="D60" s="29"/>
      <c r="E60" s="30"/>
      <c r="F60" s="30"/>
      <c r="G60" s="31"/>
      <c r="H60" s="32" t="s">
        <v>158</v>
      </c>
      <c r="I60" s="32" t="s">
        <v>158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163</v>
      </c>
      <c r="D62" s="29"/>
      <c r="E62" s="30"/>
      <c r="F62" s="30"/>
      <c r="G62" s="31"/>
      <c r="H62" s="32" t="s">
        <v>158</v>
      </c>
      <c r="I62" s="32" t="s">
        <v>158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164</v>
      </c>
      <c r="D64" s="29"/>
      <c r="E64" s="30"/>
      <c r="F64" s="30"/>
      <c r="G64" s="31"/>
      <c r="H64" s="32" t="s">
        <v>158</v>
      </c>
      <c r="I64" s="32" t="s">
        <v>158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165</v>
      </c>
      <c r="D66" s="29"/>
      <c r="E66" s="30"/>
      <c r="F66" s="30"/>
      <c r="G66" s="31"/>
      <c r="H66" s="32" t="s">
        <v>158</v>
      </c>
      <c r="I66" s="32" t="s">
        <v>158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166</v>
      </c>
      <c r="D68" s="29"/>
      <c r="E68" s="30"/>
      <c r="F68" s="30"/>
      <c r="G68" s="31"/>
      <c r="H68" s="32"/>
      <c r="I68" s="32"/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167</v>
      </c>
      <c r="D70" s="29"/>
      <c r="E70" s="30"/>
      <c r="F70" s="30"/>
      <c r="G70" s="31"/>
      <c r="H70" s="32" t="s">
        <v>158</v>
      </c>
      <c r="I70" s="32" t="s">
        <v>158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168</v>
      </c>
      <c r="D72" s="29"/>
      <c r="E72" s="30"/>
      <c r="F72" s="30"/>
      <c r="G72" s="31"/>
      <c r="H72" s="32" t="s">
        <v>158</v>
      </c>
      <c r="I72" s="32" t="s">
        <v>158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169</v>
      </c>
      <c r="D74" s="29"/>
      <c r="E74" s="30"/>
      <c r="F74" s="30"/>
      <c r="G74" s="31"/>
      <c r="H74" s="32" t="s">
        <v>158</v>
      </c>
      <c r="I74" s="32" t="s">
        <v>158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170</v>
      </c>
      <c r="D76" s="29"/>
      <c r="E76" s="30"/>
      <c r="F76" s="30"/>
      <c r="G76" s="31"/>
      <c r="H76" s="32" t="s">
        <v>158</v>
      </c>
      <c r="I76" s="32" t="s">
        <v>158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171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172</v>
      </c>
      <c r="D80" s="29"/>
      <c r="E80" s="30"/>
      <c r="F80" s="30"/>
      <c r="G80" s="31"/>
      <c r="H80" s="32" t="s">
        <v>158</v>
      </c>
      <c r="I80" s="32" t="s">
        <v>158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173</v>
      </c>
      <c r="D82" s="29"/>
      <c r="E82" s="30"/>
      <c r="F82" s="30"/>
      <c r="G82" s="31"/>
      <c r="H82" s="32" t="s">
        <v>158</v>
      </c>
      <c r="I82" s="32" t="s">
        <v>158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174</v>
      </c>
      <c r="D84" s="29"/>
      <c r="E84" s="30"/>
      <c r="F84" s="30"/>
      <c r="G84" s="31"/>
      <c r="H84" s="32" t="s">
        <v>158</v>
      </c>
      <c r="I84" s="32" t="s">
        <v>158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175</v>
      </c>
      <c r="D86" s="29"/>
      <c r="E86" s="30"/>
      <c r="F86" s="30"/>
      <c r="G86" s="31"/>
      <c r="H86" s="32" t="s">
        <v>158</v>
      </c>
      <c r="I86" s="32" t="s">
        <v>158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176</v>
      </c>
      <c r="D88" s="29"/>
      <c r="E88" s="30"/>
      <c r="F88" s="30"/>
      <c r="G88" s="31"/>
      <c r="H88" s="32" t="s">
        <v>158</v>
      </c>
      <c r="I88" s="32" t="s">
        <v>158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A90" s="26"/>
      <c r="B90" s="27"/>
      <c r="C90" s="28" t="s">
        <v>177</v>
      </c>
      <c r="D90" s="29"/>
      <c r="E90" s="30"/>
      <c r="F90" s="30"/>
      <c r="G90" s="31"/>
      <c r="H90" s="32"/>
      <c r="I90" s="32"/>
      <c r="J90" s="33"/>
    </row>
    <row r="91" spans="1:10">
      <c r="B91" s="1"/>
      <c r="C91" s="20" t="s">
        <v>178</v>
      </c>
      <c r="D91" s="29"/>
      <c r="E91" s="30"/>
      <c r="F91" s="30"/>
      <c r="G91" s="31"/>
      <c r="H91" s="32">
        <v>34.44</v>
      </c>
      <c r="I91" s="32">
        <v>0.45999999999999996</v>
      </c>
      <c r="J91" s="33"/>
    </row>
    <row r="92" spans="1:10">
      <c r="C92" s="28" t="s">
        <v>156</v>
      </c>
      <c r="D92" s="29"/>
      <c r="E92" s="30"/>
      <c r="F92" s="30"/>
      <c r="G92" s="31"/>
      <c r="H92" s="35">
        <v>34.44</v>
      </c>
      <c r="I92" s="35">
        <v>0.45999999999999996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 ht="13.8" thickBot="1">
      <c r="C94" s="36" t="s">
        <v>179</v>
      </c>
      <c r="D94" s="37"/>
      <c r="E94" s="38"/>
      <c r="F94" s="39"/>
      <c r="G94" s="40"/>
      <c r="H94" s="41">
        <v>7397.05</v>
      </c>
      <c r="I94" s="41">
        <f>SUMIFS(I:I,C:C,"Total")</f>
        <v>100</v>
      </c>
      <c r="J94" s="42"/>
    </row>
    <row r="97" spans="3:3">
      <c r="C97" s="11" t="s">
        <v>180</v>
      </c>
    </row>
    <row r="98" spans="3:3">
      <c r="C98" s="2" t="s">
        <v>181</v>
      </c>
    </row>
    <row r="99" spans="3:3">
      <c r="C99" s="2" t="s">
        <v>182</v>
      </c>
    </row>
    <row r="100" spans="3:3">
      <c r="C100" s="2" t="s">
        <v>183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4.441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184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185</v>
      </c>
      <c r="B5" s="46" t="s">
        <v>186</v>
      </c>
      <c r="C5" s="46"/>
      <c r="D5" s="46" t="s">
        <v>187</v>
      </c>
      <c r="E5" s="46"/>
      <c r="F5" s="46" t="s">
        <v>188</v>
      </c>
      <c r="G5" s="46"/>
      <c r="H5" s="46" t="s">
        <v>189</v>
      </c>
      <c r="I5" s="46"/>
    </row>
    <row r="6" spans="1:9" ht="66">
      <c r="A6" s="47"/>
      <c r="B6" s="48" t="s">
        <v>190</v>
      </c>
      <c r="C6" s="48" t="s">
        <v>191</v>
      </c>
      <c r="D6" s="48" t="s">
        <v>190</v>
      </c>
      <c r="E6" s="48" t="s">
        <v>191</v>
      </c>
      <c r="F6" s="48" t="s">
        <v>190</v>
      </c>
      <c r="G6" s="48" t="s">
        <v>191</v>
      </c>
      <c r="H6" s="48" t="s">
        <v>190</v>
      </c>
      <c r="I6" s="48" t="s">
        <v>191</v>
      </c>
    </row>
    <row r="7" spans="1:9">
      <c r="A7" s="49" t="s">
        <v>192</v>
      </c>
      <c r="B7" s="50">
        <v>0.50455501051156482</v>
      </c>
      <c r="C7" s="50">
        <v>10050.455501051156</v>
      </c>
      <c r="D7" s="50">
        <v>22.933725299098427</v>
      </c>
      <c r="E7" s="50">
        <v>18568.099430346971</v>
      </c>
      <c r="F7" s="50">
        <v>11.566130446057743</v>
      </c>
      <c r="G7" s="50">
        <v>17279.518072289156</v>
      </c>
      <c r="H7" s="50">
        <v>7.3115279704670355</v>
      </c>
      <c r="I7" s="50">
        <v>71710</v>
      </c>
    </row>
    <row r="8" spans="1:9">
      <c r="A8" s="49" t="s">
        <v>193</v>
      </c>
      <c r="B8" s="50">
        <v>7.6870471056442069</v>
      </c>
      <c r="C8" s="50">
        <v>10768.704710564421</v>
      </c>
      <c r="D8" s="50">
        <v>25.902724767147767</v>
      </c>
      <c r="E8" s="50">
        <v>19957.465511032598</v>
      </c>
      <c r="F8" s="50">
        <v>13.537329833857825</v>
      </c>
      <c r="G8" s="50">
        <v>18866.58868747429</v>
      </c>
      <c r="H8" s="50">
        <v>0</v>
      </c>
      <c r="I8" s="50">
        <v>0</v>
      </c>
    </row>
    <row r="9" spans="1:9">
      <c r="A9" s="49" t="s">
        <v>194</v>
      </c>
      <c r="B9" s="50">
        <v>10.235050939379086</v>
      </c>
      <c r="C9" s="50">
        <v>11023.505093937909</v>
      </c>
      <c r="D9" s="50">
        <v>16.976851202855837</v>
      </c>
      <c r="E9" s="50">
        <v>16006.625364245259</v>
      </c>
      <c r="F9" s="50">
        <v>12.626505620538641</v>
      </c>
      <c r="G9" s="50">
        <v>18121.871599718976</v>
      </c>
      <c r="H9" s="50">
        <v>10.765374656958194</v>
      </c>
      <c r="I9" s="50">
        <v>173596.62691614131</v>
      </c>
    </row>
    <row r="10" spans="1:9">
      <c r="A10" s="49" t="s">
        <v>195</v>
      </c>
      <c r="B10" s="51">
        <v>71.349999999999994</v>
      </c>
      <c r="C10" s="52"/>
      <c r="D10" s="51">
        <v>38.619999999999997</v>
      </c>
      <c r="E10" s="52"/>
      <c r="F10" s="51">
        <v>41.5</v>
      </c>
      <c r="G10" s="52"/>
      <c r="H10" s="51">
        <v>10</v>
      </c>
      <c r="I10" s="52"/>
    </row>
    <row r="12" spans="1:9" ht="15.6">
      <c r="A12" s="43" t="s">
        <v>196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185</v>
      </c>
      <c r="B13" s="46" t="s">
        <v>186</v>
      </c>
      <c r="C13" s="46"/>
      <c r="D13" s="46" t="s">
        <v>187</v>
      </c>
      <c r="E13" s="46"/>
      <c r="F13" s="46" t="s">
        <v>188</v>
      </c>
      <c r="G13" s="46"/>
      <c r="H13" s="46" t="s">
        <v>189</v>
      </c>
      <c r="I13" s="46"/>
    </row>
    <row r="14" spans="1:9" ht="66">
      <c r="A14" s="47"/>
      <c r="B14" s="48" t="s">
        <v>190</v>
      </c>
      <c r="C14" s="48" t="s">
        <v>191</v>
      </c>
      <c r="D14" s="48" t="s">
        <v>190</v>
      </c>
      <c r="E14" s="48" t="s">
        <v>191</v>
      </c>
      <c r="F14" s="48" t="s">
        <v>190</v>
      </c>
      <c r="G14" s="48" t="s">
        <v>191</v>
      </c>
      <c r="H14" s="48" t="s">
        <v>190</v>
      </c>
      <c r="I14" s="48" t="s">
        <v>191</v>
      </c>
    </row>
    <row r="15" spans="1:9">
      <c r="A15" s="49" t="s">
        <v>192</v>
      </c>
      <c r="B15" s="50">
        <v>0.8623012665049945</v>
      </c>
      <c r="C15" s="50">
        <v>10086.230126650498</v>
      </c>
      <c r="D15" s="50">
        <v>23.401633202907846</v>
      </c>
      <c r="E15" s="50">
        <v>18780.732563973907</v>
      </c>
      <c r="F15" s="50">
        <v>12.026796005019524</v>
      </c>
      <c r="G15" s="50">
        <v>17639.019792648447</v>
      </c>
      <c r="H15" s="50">
        <v>16.241395565770755</v>
      </c>
      <c r="I15" s="50">
        <v>42269.904009034442</v>
      </c>
    </row>
    <row r="16" spans="1:9">
      <c r="A16" s="49" t="s">
        <v>193</v>
      </c>
      <c r="B16" s="50">
        <v>7.6870471056442069</v>
      </c>
      <c r="C16" s="50">
        <v>10768.704710564421</v>
      </c>
      <c r="D16" s="50">
        <v>25.902724767147767</v>
      </c>
      <c r="E16" s="50">
        <v>19957.465511032598</v>
      </c>
      <c r="F16" s="50">
        <v>13.537329833857825</v>
      </c>
      <c r="G16" s="50">
        <v>18866.58868747429</v>
      </c>
      <c r="H16" s="50">
        <v>17.302187546752414</v>
      </c>
      <c r="I16" s="50">
        <v>46112.602131203879</v>
      </c>
    </row>
    <row r="17" spans="1:9">
      <c r="A17" s="49" t="s">
        <v>194</v>
      </c>
      <c r="B17" s="50">
        <v>10.235050939379086</v>
      </c>
      <c r="C17" s="50">
        <v>11023.505093937909</v>
      </c>
      <c r="D17" s="50">
        <v>16.976851202855837</v>
      </c>
      <c r="E17" s="50">
        <v>16006.625364245259</v>
      </c>
      <c r="F17" s="50">
        <v>12.626505620538641</v>
      </c>
      <c r="G17" s="50">
        <v>18121.871599718976</v>
      </c>
      <c r="H17" s="50">
        <v>13.093776000526969</v>
      </c>
      <c r="I17" s="50">
        <v>32496.778123129268</v>
      </c>
    </row>
    <row r="18" spans="1:9">
      <c r="A18" s="49" t="s">
        <v>197</v>
      </c>
      <c r="B18" s="51">
        <v>74.22</v>
      </c>
      <c r="C18" s="52"/>
      <c r="D18" s="51">
        <v>39.86</v>
      </c>
      <c r="E18" s="52"/>
      <c r="F18" s="51">
        <v>42.44</v>
      </c>
      <c r="G18" s="52"/>
      <c r="H18" s="51">
        <v>17.71</v>
      </c>
      <c r="I18" s="52"/>
    </row>
    <row r="20" spans="1:9">
      <c r="A20" t="s">
        <v>198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 - Perfromance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2022-08-01T06:49:20Z</dcterms:created>
  <dcterms:modified xsi:type="dcterms:W3CDTF">2022-08-05T06:35:50Z</dcterms:modified>
</cp:coreProperties>
</file>