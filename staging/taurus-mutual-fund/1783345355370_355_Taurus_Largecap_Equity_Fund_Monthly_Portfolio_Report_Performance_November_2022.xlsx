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Portfolio'!$C$8:$C$36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Portfolio'!$D$10:$D$78</definedName>
    <definedName name="XDO_?FINAL_MV?">'TBF-Risk-o-meter &amp; Portfolio'!$H$10:$H$78</definedName>
    <definedName name="XDO_?FINAL_NAME?">'TBF-Risk-o-meter &amp; Portfolio'!$C$10:$C$78</definedName>
    <definedName name="XDO_?FINAL_PER_NET?">'TBF-Risk-o-meter &amp; Portfolio'!$I$10:$I$78</definedName>
    <definedName name="XDO_?FINAL_QUANTITE?">'TBF-Risk-o-meter &amp; Portfolio'!$G$10:$G$78</definedName>
    <definedName name="XDO_?IND_01?">'TBF-Risk-o-meter &amp; Portfolio'!$F$10:$F$78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Portfolio'!$C$2:$C$36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Portfolio'!$B$10:$B$78</definedName>
    <definedName name="XDO_?NPTF?">'TBF-Risk-o-meter &amp; Portfolio'!$D$2:$D$36</definedName>
    <definedName name="XDO_?RATING?">'TBF-Risk-o-meter &amp; Portfolio'!$E$10:$E$78</definedName>
    <definedName name="XDO_?REMARKS?">'TBF-Risk-o-meter &amp; Portfolio'!$J$10:$J$78</definedName>
    <definedName name="XDO_?TDATE?">'TBF-Risk-o-meter &amp; Portfolio'!$D$4</definedName>
    <definedName name="XDO_?TITL?">'TBF-Risk-o-meter &amp; Portfolio'!$A$8:$A$36</definedName>
    <definedName name="XDO_GROUP_?G_2?">'TBF-Risk-o-meter &amp; Portfolio'!$2:$81</definedName>
    <definedName name="XDO_GROUP_?G_3?">'TBF-Risk-o-meter &amp; Portfolio'!$8:$80</definedName>
    <definedName name="XDO_GROUP_?G_4?">'TBF-Risk-o-meter &amp; Portfolio'!$B$78:$IV$78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1"/>
</calcChain>
</file>

<file path=xl/sharedStrings.xml><?xml version="1.0" encoding="utf-8"?>
<sst xmlns="http://schemas.openxmlformats.org/spreadsheetml/2006/main" count="219" uniqueCount="154">
  <si>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</si>
  <si>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</si>
  <si>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</si>
  <si>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</si>
  <si>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</si>
  <si>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</si>
  <si>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</si>
  <si>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</si>
  <si>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</si>
  <si>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</si>
  <si>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</si>
  <si>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</si>
  <si>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</si>
  <si>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</si>
  <si>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</si>
  <si>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100418</t>
  </si>
  <si>
    <t>Adani Enterprises Ltd.</t>
  </si>
  <si>
    <t>INE423A01024</t>
  </si>
  <si>
    <t>Metals &amp; Minerals Trading</t>
  </si>
  <si>
    <t>100104</t>
  </si>
  <si>
    <t>Kotak Mahindra Bank Ltd.</t>
  </si>
  <si>
    <t>INE237A01028</t>
  </si>
  <si>
    <t>Banks</t>
  </si>
  <si>
    <t>101617</t>
  </si>
  <si>
    <t>Macrotech Developers Ltd.</t>
  </si>
  <si>
    <t>INE670K01029</t>
  </si>
  <si>
    <t>Realty</t>
  </si>
  <si>
    <t>100108</t>
  </si>
  <si>
    <t>Adani Ports and Special Economic Zone Ltd.</t>
  </si>
  <si>
    <t>INE742F01042</t>
  </si>
  <si>
    <t>Transport Infrastructure</t>
  </si>
  <si>
    <t>100183</t>
  </si>
  <si>
    <t>Vedanta Ltd.</t>
  </si>
  <si>
    <t>INE205A01025</t>
  </si>
  <si>
    <t>Diversified Metals</t>
  </si>
  <si>
    <t>100273</t>
  </si>
  <si>
    <t>Havells India Ltd.</t>
  </si>
  <si>
    <t>INE176B01034</t>
  </si>
  <si>
    <t>Consumer Durables</t>
  </si>
  <si>
    <t>100027</t>
  </si>
  <si>
    <t>Pidilite Industries Ltd.</t>
  </si>
  <si>
    <t>INE318A01026</t>
  </si>
  <si>
    <t>Chemicals &amp; Petrochemicals</t>
  </si>
  <si>
    <t>100012</t>
  </si>
  <si>
    <t>ICICI Bank Ltd.</t>
  </si>
  <si>
    <t>INE090A01021</t>
  </si>
  <si>
    <t>100302</t>
  </si>
  <si>
    <t>DLF Ltd.</t>
  </si>
  <si>
    <t>INE271C01023</t>
  </si>
  <si>
    <t>100115</t>
  </si>
  <si>
    <t>Siemens Ltd.</t>
  </si>
  <si>
    <t>INE003A01024</t>
  </si>
  <si>
    <t>Electrical Equipment</t>
  </si>
  <si>
    <t>100314</t>
  </si>
  <si>
    <t>SRF Ltd.</t>
  </si>
  <si>
    <t>INE647A01010</t>
  </si>
  <si>
    <t>100180</t>
  </si>
  <si>
    <t>Hindalco Industries Ltd.</t>
  </si>
  <si>
    <t>INE038A01020</t>
  </si>
  <si>
    <t>Non - Ferrous Metals</t>
  </si>
  <si>
    <t>100139</t>
  </si>
  <si>
    <t>UPL Ltd.</t>
  </si>
  <si>
    <t>INE628A01036</t>
  </si>
  <si>
    <t>Fertilizers &amp; Agrochemicals</t>
  </si>
  <si>
    <t>100014</t>
  </si>
  <si>
    <t>Mahindra &amp; Mahindra Ltd.</t>
  </si>
  <si>
    <t>INE101A01026</t>
  </si>
  <si>
    <t>Automobiles</t>
  </si>
  <si>
    <t>100335</t>
  </si>
  <si>
    <t>Kajaria Ceramics Ltd.</t>
  </si>
  <si>
    <t>INE217B01036</t>
  </si>
  <si>
    <t>100081</t>
  </si>
  <si>
    <t>Titan Company Ltd.</t>
  </si>
  <si>
    <t>INE280A01028</t>
  </si>
  <si>
    <t>100080</t>
  </si>
  <si>
    <t>Dr. Reddy's Laboratories Ltd.</t>
  </si>
  <si>
    <t>INE089A01023</t>
  </si>
  <si>
    <t>Pharmaceuticals &amp; Biotechnology</t>
  </si>
  <si>
    <t>100461</t>
  </si>
  <si>
    <t>Astral Limited</t>
  </si>
  <si>
    <t>INE006I01046</t>
  </si>
  <si>
    <t>Industrial Products</t>
  </si>
  <si>
    <t>100447</t>
  </si>
  <si>
    <t>Larsen &amp; Toubro Infotech Ltd.</t>
  </si>
  <si>
    <t>INE214T01019</t>
  </si>
  <si>
    <t>IT - Software</t>
  </si>
  <si>
    <t>100178</t>
  </si>
  <si>
    <t>Ambuja Cements Ltd.</t>
  </si>
  <si>
    <t>INE079A01024</t>
  </si>
  <si>
    <t>Cement &amp; Cement Products</t>
  </si>
  <si>
    <t>100315</t>
  </si>
  <si>
    <t>Prestige Estates Projects Ltd.</t>
  </si>
  <si>
    <t>INE811K01011</t>
  </si>
  <si>
    <t>100282</t>
  </si>
  <si>
    <t>Blue Star Ltd.</t>
  </si>
  <si>
    <t>INE472A01039</t>
  </si>
  <si>
    <t>100821</t>
  </si>
  <si>
    <t>TTK Prestige Ltd.</t>
  </si>
  <si>
    <t>INE690A01028</t>
  </si>
  <si>
    <t>100235</t>
  </si>
  <si>
    <t>CRISIL Ltd.</t>
  </si>
  <si>
    <t>INE007A01025</t>
  </si>
  <si>
    <t>Finance</t>
  </si>
  <si>
    <t>100172</t>
  </si>
  <si>
    <t>ACC Ltd.</t>
  </si>
  <si>
    <t>INE012A01025</t>
  </si>
  <si>
    <t>101229</t>
  </si>
  <si>
    <t>Jubilant Ingrevia Ltd.</t>
  </si>
  <si>
    <t>INE0BY001018</t>
  </si>
  <si>
    <t>101306</t>
  </si>
  <si>
    <t>Apollo Pipes Ltd.</t>
  </si>
  <si>
    <t>INE126J01016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</si>
  <si>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</si>
  <si>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</si>
  <si>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</si>
  <si>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</si>
  <si>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</si>
  <si>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</si>
  <si>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</si>
  <si>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</si>
  <si>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</si>
  <si>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</si>
  <si>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</si>
  <si>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</si>
  <si>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</si>
  <si>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</si>
  <si>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</si>
  <si>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</si>
  <si>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</si>
  <si>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</si>
  <si>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</si>
  <si>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</si>
  <si>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</si>
  <si>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</si>
  <si>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</si>
  <si>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</si>
  <si>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</si>
  <si>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</si>
  <si>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</si>
  <si>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</si>
  <si>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</si>
  <si>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</si>
  <si>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</si>
  <si>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</si>
  <si>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</si>
  <si>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</si>
  <si>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</si>
  <si>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</si>
  <si>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</si>
  <si>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</si>
  <si>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</si>
  <si>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November 30, 2022 : 110.97)</t>
  </si>
  <si>
    <t>Taurus Largecap Equity Fund - Direct Plan Growth Option</t>
  </si>
  <si>
    <t>NAV [Rs.] Per Unit (as on November 30, 2022 : 117.04)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</si>
</sst>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118534</xdr:colOff>
      <xdr:row>0</xdr:row>
      <xdr:rowOff>135467</xdr:rowOff>
    </xdr:from>
    <xdr:to>
      <xdr:col>4</xdr:col>
      <xdr:colOff>1607313</xdr:colOff>
      <xdr:row>0</xdr:row>
      <xdr:rowOff>2058755</xdr:rowOff>
    </xdr:to>
    <xdr:pic>
      <xdr:nvPicPr>
        <xdr:cNvPr id="2" name="Picture 1" descr="Large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8534" y="135467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87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79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44895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5827</v>
      </c>
      <c r="H10" s="32">
        <v>228.42</v>
      </c>
      <c r="I10" s="32">
        <v>6.5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11196</v>
      </c>
      <c r="H11" s="32">
        <v>217.83</v>
      </c>
      <c r="I11" s="32">
        <v>6.2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21462</v>
      </c>
      <c r="H12" s="32">
        <v>211.84</v>
      </c>
      <c r="I12" s="32">
        <v>6.03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22403</v>
      </c>
      <c r="H13" s="32">
        <v>197.43</v>
      </c>
      <c r="I13" s="32">
        <v>5.62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64285</v>
      </c>
      <c r="H14" s="32">
        <v>195.59</v>
      </c>
      <c r="I14" s="32">
        <v>5.56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15408</v>
      </c>
      <c r="H15" s="32">
        <v>193.28</v>
      </c>
      <c r="I15" s="32">
        <v>5.5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7019</v>
      </c>
      <c r="H16" s="32">
        <v>192.9</v>
      </c>
      <c r="I16" s="32">
        <v>5.49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22</v>
      </c>
      <c r="G17" s="31">
        <v>19245</v>
      </c>
      <c r="H17" s="32">
        <v>183.48</v>
      </c>
      <c r="I17" s="32">
        <v>5.22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26</v>
      </c>
      <c r="G18" s="31">
        <v>42817</v>
      </c>
      <c r="H18" s="32">
        <v>172.45</v>
      </c>
      <c r="I18" s="32">
        <v>4.91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6097</v>
      </c>
      <c r="H19" s="32">
        <v>169.23</v>
      </c>
      <c r="I19" s="32">
        <v>4.8099999999999996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42</v>
      </c>
      <c r="G20" s="31">
        <v>6935</v>
      </c>
      <c r="H20" s="32">
        <v>163.89</v>
      </c>
      <c r="I20" s="32">
        <v>4.66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34605</v>
      </c>
      <c r="H21" s="32">
        <v>156.03</v>
      </c>
      <c r="I21" s="32">
        <v>4.4400000000000004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19142</v>
      </c>
      <c r="H22" s="32">
        <v>151.22</v>
      </c>
      <c r="I22" s="32">
        <v>4.3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11321</v>
      </c>
      <c r="H23" s="32">
        <v>147.99</v>
      </c>
      <c r="I23" s="32">
        <v>4.21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38</v>
      </c>
      <c r="G24" s="31">
        <v>11550</v>
      </c>
      <c r="H24" s="32">
        <v>132.91999999999999</v>
      </c>
      <c r="I24" s="32">
        <v>3.78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38</v>
      </c>
      <c r="G25" s="31">
        <v>4167</v>
      </c>
      <c r="H25" s="32">
        <v>110.42</v>
      </c>
      <c r="I25" s="32">
        <v>3.14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2100</v>
      </c>
      <c r="H26" s="32">
        <v>94.2</v>
      </c>
      <c r="I26" s="32">
        <v>2.68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4572</v>
      </c>
      <c r="H27" s="32">
        <v>86.21</v>
      </c>
      <c r="I27" s="32">
        <v>2.4500000000000002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1650</v>
      </c>
      <c r="H28" s="32">
        <v>79.78</v>
      </c>
      <c r="I28" s="32">
        <v>2.27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12800</v>
      </c>
      <c r="H29" s="32">
        <v>73.13</v>
      </c>
      <c r="I29" s="32">
        <v>2.08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26</v>
      </c>
      <c r="G30" s="31">
        <v>15092</v>
      </c>
      <c r="H30" s="32">
        <v>71.61</v>
      </c>
      <c r="I30" s="32">
        <v>2.04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38</v>
      </c>
      <c r="G31" s="31">
        <v>4847</v>
      </c>
      <c r="H31" s="32">
        <v>59.39</v>
      </c>
      <c r="I31" s="32">
        <v>1.69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38</v>
      </c>
      <c r="G32" s="31">
        <v>5512</v>
      </c>
      <c r="H32" s="32">
        <v>48.76</v>
      </c>
      <c r="I32" s="32">
        <v>1.39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1598</v>
      </c>
      <c r="H33" s="32">
        <v>46.74</v>
      </c>
      <c r="I33" s="32">
        <v>1.33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89</v>
      </c>
      <c r="G34" s="31">
        <v>1350</v>
      </c>
      <c r="H34" s="32">
        <v>34.61</v>
      </c>
      <c r="I34" s="32">
        <v>0.98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42</v>
      </c>
      <c r="G35" s="31">
        <v>5700</v>
      </c>
      <c r="H35" s="32">
        <v>30.63</v>
      </c>
      <c r="I35" s="32">
        <v>0.87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81</v>
      </c>
      <c r="G36" s="31">
        <v>4200</v>
      </c>
      <c r="H36" s="32">
        <v>20.5</v>
      </c>
      <c r="I36" s="32">
        <v>0.57999999999999996</v>
      </c>
      <c r="J36" s="33"/>
    </row>
    <row r="37" spans="2:10">
      <c r="C37" s="28" t="s">
        <v>112</v>
      </c>
      <c r="D37" s="29"/>
      <c r="E37" s="30"/>
      <c r="F37" s="30"/>
      <c r="G37" s="31"/>
      <c r="H37" s="35">
        <v>3470.48</v>
      </c>
      <c r="I37" s="35">
        <v>98.73</v>
      </c>
      <c r="J37" s="33"/>
    </row>
    <row r="38" spans="2:10">
      <c r="C38" s="20"/>
      <c r="D38" s="29"/>
      <c r="E38" s="30"/>
      <c r="F38" s="30"/>
      <c r="G38" s="31"/>
      <c r="H38" s="32"/>
      <c r="I38" s="32"/>
      <c r="J38" s="33"/>
    </row>
    <row r="39" spans="2:10">
      <c r="C39" s="28" t="s">
        <v>113</v>
      </c>
      <c r="D39" s="29"/>
      <c r="E39" s="30"/>
      <c r="F39" s="30"/>
      <c r="G39" s="31"/>
      <c r="H39" s="32" t="s">
        <v>114</v>
      </c>
      <c r="I39" s="32" t="s">
        <v>114</v>
      </c>
      <c r="J39" s="33"/>
    </row>
    <row r="40" spans="2:10">
      <c r="C40" s="20"/>
      <c r="D40" s="29"/>
      <c r="E40" s="30"/>
      <c r="F40" s="30"/>
      <c r="G40" s="31"/>
      <c r="H40" s="32"/>
      <c r="I40" s="32"/>
      <c r="J40" s="33"/>
    </row>
    <row r="41" spans="2:10">
      <c r="C41" s="28" t="s">
        <v>115</v>
      </c>
      <c r="D41" s="29"/>
      <c r="E41" s="30"/>
      <c r="F41" s="30"/>
      <c r="G41" s="31"/>
      <c r="H41" s="32" t="s">
        <v>114</v>
      </c>
      <c r="I41" s="32" t="s">
        <v>114</v>
      </c>
      <c r="J41" s="33"/>
    </row>
    <row r="42" spans="2:10">
      <c r="C42" s="20"/>
      <c r="D42" s="29"/>
      <c r="E42" s="30"/>
      <c r="F42" s="30"/>
      <c r="G42" s="31"/>
      <c r="H42" s="32"/>
      <c r="I42" s="32"/>
      <c r="J42" s="33"/>
    </row>
    <row r="43" spans="2:10">
      <c r="C43" s="28" t="s">
        <v>116</v>
      </c>
      <c r="D43" s="29"/>
      <c r="E43" s="30"/>
      <c r="F43" s="30"/>
      <c r="G43" s="31"/>
      <c r="H43" s="32"/>
      <c r="I43" s="32"/>
      <c r="J43" s="33"/>
    </row>
    <row r="44" spans="2:10">
      <c r="C44" s="20"/>
      <c r="D44" s="29"/>
      <c r="E44" s="30"/>
      <c r="F44" s="30"/>
      <c r="G44" s="31"/>
      <c r="H44" s="32"/>
      <c r="I44" s="32"/>
      <c r="J44" s="33"/>
    </row>
    <row r="45" spans="2:10">
      <c r="C45" s="28" t="s">
        <v>117</v>
      </c>
      <c r="D45" s="29"/>
      <c r="E45" s="30"/>
      <c r="F45" s="30"/>
      <c r="G45" s="31"/>
      <c r="H45" s="32" t="s">
        <v>114</v>
      </c>
      <c r="I45" s="32" t="s">
        <v>114</v>
      </c>
      <c r="J45" s="33"/>
    </row>
    <row r="46" spans="2:10">
      <c r="C46" s="20"/>
      <c r="D46" s="29"/>
      <c r="E46" s="30"/>
      <c r="F46" s="30"/>
      <c r="G46" s="31"/>
      <c r="H46" s="32"/>
      <c r="I46" s="32"/>
      <c r="J46" s="33"/>
    </row>
    <row r="47" spans="2:10">
      <c r="C47" s="28" t="s">
        <v>118</v>
      </c>
      <c r="D47" s="29"/>
      <c r="E47" s="30"/>
      <c r="F47" s="30"/>
      <c r="G47" s="31"/>
      <c r="H47" s="32" t="s">
        <v>114</v>
      </c>
      <c r="I47" s="32" t="s">
        <v>114</v>
      </c>
      <c r="J47" s="33"/>
    </row>
    <row r="48" spans="2:10">
      <c r="C48" s="20"/>
      <c r="D48" s="29"/>
      <c r="E48" s="30"/>
      <c r="F48" s="30"/>
      <c r="G48" s="31"/>
      <c r="H48" s="32"/>
      <c r="I48" s="32"/>
      <c r="J48" s="33"/>
    </row>
    <row r="49" spans="3:10">
      <c r="C49" s="28" t="s">
        <v>119</v>
      </c>
      <c r="D49" s="29"/>
      <c r="E49" s="30"/>
      <c r="F49" s="30"/>
      <c r="G49" s="31"/>
      <c r="H49" s="32" t="s">
        <v>114</v>
      </c>
      <c r="I49" s="32" t="s">
        <v>114</v>
      </c>
      <c r="J49" s="33"/>
    </row>
    <row r="50" spans="3:10">
      <c r="C50" s="20"/>
      <c r="D50" s="29"/>
      <c r="E50" s="30"/>
      <c r="F50" s="30"/>
      <c r="G50" s="31"/>
      <c r="H50" s="32"/>
      <c r="I50" s="32"/>
      <c r="J50" s="33"/>
    </row>
    <row r="51" spans="3:10">
      <c r="C51" s="28" t="s">
        <v>120</v>
      </c>
      <c r="D51" s="29"/>
      <c r="E51" s="30"/>
      <c r="F51" s="30"/>
      <c r="G51" s="31"/>
      <c r="H51" s="32" t="s">
        <v>114</v>
      </c>
      <c r="I51" s="32" t="s">
        <v>114</v>
      </c>
      <c r="J51" s="33"/>
    </row>
    <row r="52" spans="3:10">
      <c r="C52" s="20"/>
      <c r="D52" s="29"/>
      <c r="E52" s="30"/>
      <c r="F52" s="30"/>
      <c r="G52" s="31"/>
      <c r="H52" s="32"/>
      <c r="I52" s="32"/>
      <c r="J52" s="33"/>
    </row>
    <row r="53" spans="3:10">
      <c r="C53" s="28" t="s">
        <v>121</v>
      </c>
      <c r="D53" s="29"/>
      <c r="E53" s="30"/>
      <c r="F53" s="30"/>
      <c r="G53" s="31"/>
      <c r="H53" s="32" t="s">
        <v>114</v>
      </c>
      <c r="I53" s="32" t="s">
        <v>114</v>
      </c>
      <c r="J53" s="33"/>
    </row>
    <row r="54" spans="3:10">
      <c r="C54" s="20"/>
      <c r="D54" s="29"/>
      <c r="E54" s="30"/>
      <c r="F54" s="30"/>
      <c r="G54" s="31"/>
      <c r="H54" s="32"/>
      <c r="I54" s="32"/>
      <c r="J54" s="33"/>
    </row>
    <row r="55" spans="3:10">
      <c r="C55" s="28" t="s">
        <v>122</v>
      </c>
      <c r="D55" s="29"/>
      <c r="E55" s="30"/>
      <c r="F55" s="30"/>
      <c r="G55" s="31"/>
      <c r="H55" s="32"/>
      <c r="I55" s="32"/>
      <c r="J55" s="33"/>
    </row>
    <row r="56" spans="3:10">
      <c r="C56" s="20"/>
      <c r="D56" s="29"/>
      <c r="E56" s="30"/>
      <c r="F56" s="30"/>
      <c r="G56" s="31"/>
      <c r="H56" s="32"/>
      <c r="I56" s="32"/>
      <c r="J56" s="33"/>
    </row>
    <row r="57" spans="3:10">
      <c r="C57" s="28" t="s">
        <v>123</v>
      </c>
      <c r="D57" s="29"/>
      <c r="E57" s="30"/>
      <c r="F57" s="30"/>
      <c r="G57" s="31"/>
      <c r="H57" s="32" t="s">
        <v>114</v>
      </c>
      <c r="I57" s="32" t="s">
        <v>114</v>
      </c>
      <c r="J57" s="33"/>
    </row>
    <row r="58" spans="3:10">
      <c r="C58" s="20"/>
      <c r="D58" s="29"/>
      <c r="E58" s="30"/>
      <c r="F58" s="30"/>
      <c r="G58" s="31"/>
      <c r="H58" s="32"/>
      <c r="I58" s="32"/>
      <c r="J58" s="33"/>
    </row>
    <row r="59" spans="3:10">
      <c r="C59" s="28" t="s">
        <v>124</v>
      </c>
      <c r="D59" s="29"/>
      <c r="E59" s="30"/>
      <c r="F59" s="30"/>
      <c r="G59" s="31"/>
      <c r="H59" s="32" t="s">
        <v>114</v>
      </c>
      <c r="I59" s="32" t="s">
        <v>114</v>
      </c>
      <c r="J59" s="33"/>
    </row>
    <row r="60" spans="3:10">
      <c r="C60" s="20"/>
      <c r="D60" s="29"/>
      <c r="E60" s="30"/>
      <c r="F60" s="30"/>
      <c r="G60" s="31"/>
      <c r="H60" s="32"/>
      <c r="I60" s="32"/>
      <c r="J60" s="33"/>
    </row>
    <row r="61" spans="3:10">
      <c r="C61" s="28" t="s">
        <v>125</v>
      </c>
      <c r="D61" s="29"/>
      <c r="E61" s="30"/>
      <c r="F61" s="30"/>
      <c r="G61" s="31"/>
      <c r="H61" s="32" t="s">
        <v>114</v>
      </c>
      <c r="I61" s="32" t="s">
        <v>114</v>
      </c>
      <c r="J61" s="33"/>
    </row>
    <row r="62" spans="3:10">
      <c r="C62" s="20"/>
      <c r="D62" s="29"/>
      <c r="E62" s="30"/>
      <c r="F62" s="30"/>
      <c r="G62" s="31"/>
      <c r="H62" s="32"/>
      <c r="I62" s="32"/>
      <c r="J62" s="33"/>
    </row>
    <row r="63" spans="3:10">
      <c r="C63" s="28" t="s">
        <v>126</v>
      </c>
      <c r="D63" s="29"/>
      <c r="E63" s="30"/>
      <c r="F63" s="30"/>
      <c r="G63" s="31"/>
      <c r="H63" s="32" t="s">
        <v>114</v>
      </c>
      <c r="I63" s="32" t="s">
        <v>114</v>
      </c>
      <c r="J63" s="33"/>
    </row>
    <row r="64" spans="3:10">
      <c r="C64" s="20"/>
      <c r="D64" s="29"/>
      <c r="E64" s="30"/>
      <c r="F64" s="30"/>
      <c r="G64" s="31"/>
      <c r="H64" s="32"/>
      <c r="I64" s="32"/>
      <c r="J64" s="33"/>
    </row>
    <row r="65" spans="1:10">
      <c r="C65" s="28" t="s">
        <v>127</v>
      </c>
      <c r="D65" s="29"/>
      <c r="E65" s="30"/>
      <c r="F65" s="30"/>
      <c r="G65" s="31"/>
      <c r="H65" s="32"/>
      <c r="I65" s="32"/>
      <c r="J65" s="33"/>
    </row>
    <row r="66" spans="1:10">
      <c r="C66" s="20"/>
      <c r="D66" s="29"/>
      <c r="E66" s="30"/>
      <c r="F66" s="30"/>
      <c r="G66" s="31"/>
      <c r="H66" s="32"/>
      <c r="I66" s="32"/>
      <c r="J66" s="33"/>
    </row>
    <row r="67" spans="1:10">
      <c r="C67" s="28" t="s">
        <v>128</v>
      </c>
      <c r="D67" s="29"/>
      <c r="E67" s="30"/>
      <c r="F67" s="30"/>
      <c r="G67" s="31"/>
      <c r="H67" s="32" t="s">
        <v>114</v>
      </c>
      <c r="I67" s="32" t="s">
        <v>114</v>
      </c>
      <c r="J67" s="33"/>
    </row>
    <row r="68" spans="1:10">
      <c r="C68" s="20"/>
      <c r="D68" s="29"/>
      <c r="E68" s="30"/>
      <c r="F68" s="30"/>
      <c r="G68" s="31"/>
      <c r="H68" s="32"/>
      <c r="I68" s="32"/>
      <c r="J68" s="33"/>
    </row>
    <row r="69" spans="1:10">
      <c r="C69" s="28" t="s">
        <v>129</v>
      </c>
      <c r="D69" s="29"/>
      <c r="E69" s="30"/>
      <c r="F69" s="30"/>
      <c r="G69" s="31"/>
      <c r="H69" s="32" t="s">
        <v>114</v>
      </c>
      <c r="I69" s="32" t="s">
        <v>114</v>
      </c>
      <c r="J69" s="33"/>
    </row>
    <row r="70" spans="1:10">
      <c r="C70" s="20"/>
      <c r="D70" s="29"/>
      <c r="E70" s="30"/>
      <c r="F70" s="30"/>
      <c r="G70" s="31"/>
      <c r="H70" s="32"/>
      <c r="I70" s="32"/>
      <c r="J70" s="33"/>
    </row>
    <row r="71" spans="1:10">
      <c r="C71" s="28" t="s">
        <v>130</v>
      </c>
      <c r="D71" s="29"/>
      <c r="E71" s="30"/>
      <c r="F71" s="30"/>
      <c r="G71" s="31"/>
      <c r="H71" s="32" t="s">
        <v>114</v>
      </c>
      <c r="I71" s="32" t="s">
        <v>114</v>
      </c>
      <c r="J71" s="33"/>
    </row>
    <row r="72" spans="1:10">
      <c r="C72" s="20"/>
      <c r="D72" s="29"/>
      <c r="E72" s="30"/>
      <c r="F72" s="30"/>
      <c r="G72" s="31"/>
      <c r="H72" s="32"/>
      <c r="I72" s="32"/>
      <c r="J72" s="33"/>
    </row>
    <row r="73" spans="1:10">
      <c r="C73" s="28" t="s">
        <v>131</v>
      </c>
      <c r="D73" s="29"/>
      <c r="E73" s="30"/>
      <c r="F73" s="30"/>
      <c r="G73" s="31"/>
      <c r="H73" s="32" t="s">
        <v>114</v>
      </c>
      <c r="I73" s="32" t="s">
        <v>114</v>
      </c>
      <c r="J73" s="33"/>
    </row>
    <row r="74" spans="1:10">
      <c r="C74" s="20"/>
      <c r="D74" s="29"/>
      <c r="E74" s="30"/>
      <c r="F74" s="30"/>
      <c r="G74" s="31"/>
      <c r="H74" s="32"/>
      <c r="I74" s="32"/>
      <c r="J74" s="33"/>
    </row>
    <row r="75" spans="1:10">
      <c r="C75" s="28" t="s">
        <v>132</v>
      </c>
      <c r="D75" s="29"/>
      <c r="E75" s="30"/>
      <c r="F75" s="30"/>
      <c r="G75" s="31"/>
      <c r="H75" s="32" t="s">
        <v>114</v>
      </c>
      <c r="I75" s="32" t="s">
        <v>114</v>
      </c>
      <c r="J75" s="33"/>
    </row>
    <row r="76" spans="1:10">
      <c r="C76" s="20"/>
      <c r="D76" s="29"/>
      <c r="E76" s="30"/>
      <c r="F76" s="30"/>
      <c r="G76" s="31"/>
      <c r="H76" s="32"/>
      <c r="I76" s="32"/>
      <c r="J76" s="33"/>
    </row>
    <row r="77" spans="1:10">
      <c r="A77" s="26"/>
      <c r="B77" s="27"/>
      <c r="C77" s="28" t="s">
        <v>133</v>
      </c>
      <c r="D77" s="29"/>
      <c r="E77" s="30"/>
      <c r="F77" s="30"/>
      <c r="G77" s="31"/>
      <c r="H77" s="32"/>
      <c r="I77" s="32"/>
      <c r="J77" s="33"/>
    </row>
    <row r="78" spans="1:10">
      <c r="B78" s="1"/>
      <c r="C78" s="20" t="s">
        <v>134</v>
      </c>
      <c r="D78" s="29"/>
      <c r="E78" s="30"/>
      <c r="F78" s="30"/>
      <c r="G78" s="31"/>
      <c r="H78" s="32">
        <v>45</v>
      </c>
      <c r="I78" s="32">
        <v>1.27</v>
      </c>
      <c r="J78" s="33"/>
    </row>
    <row r="79" spans="1:10">
      <c r="C79" s="28" t="s">
        <v>112</v>
      </c>
      <c r="D79" s="29"/>
      <c r="E79" s="30"/>
      <c r="F79" s="30"/>
      <c r="G79" s="31"/>
      <c r="H79" s="35">
        <v>45</v>
      </c>
      <c r="I79" s="35">
        <v>1.27</v>
      </c>
      <c r="J79" s="33"/>
    </row>
    <row r="80" spans="1:10">
      <c r="C80" s="20"/>
      <c r="D80" s="29"/>
      <c r="E80" s="30"/>
      <c r="F80" s="30"/>
      <c r="G80" s="31"/>
      <c r="H80" s="32"/>
      <c r="I80" s="32"/>
      <c r="J80" s="33"/>
    </row>
    <row r="81" spans="3:10" ht="13.8" thickBot="1">
      <c r="C81" s="36" t="s">
        <v>135</v>
      </c>
      <c r="D81" s="37"/>
      <c r="E81" s="38"/>
      <c r="F81" s="39"/>
      <c r="G81" s="40"/>
      <c r="H81" s="41">
        <v>3515.48</v>
      </c>
      <c r="I81" s="41">
        <f>SUMIFS(I:I,C:C,"Total")</f>
        <v>100</v>
      </c>
      <c r="J81" s="42"/>
    </row>
    <row r="84" spans="3:10">
      <c r="C84" s="11" t="s">
        <v>136</v>
      </c>
    </row>
    <row r="85" spans="3:10">
      <c r="C85" s="2" t="s">
        <v>137</v>
      </c>
    </row>
    <row r="86" spans="3:10">
      <c r="C86" s="2" t="s">
        <v>138</v>
      </c>
    </row>
    <row r="87" spans="3:10">
      <c r="C87" s="2" t="s">
        <v>139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B20" sqref="B20"/>
    </sheetView>
  </sheetViews>
  <sheetFormatPr defaultRowHeight="14.4"/>
  <cols>
    <col min="2" max="2" width="49.55468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3" t="s">
        <v>140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141</v>
      </c>
      <c r="C5" s="46" t="s">
        <v>142</v>
      </c>
      <c r="D5" s="46"/>
      <c r="E5" s="46" t="s">
        <v>143</v>
      </c>
      <c r="F5" s="46"/>
      <c r="G5" s="46" t="s">
        <v>144</v>
      </c>
      <c r="H5" s="46"/>
      <c r="I5" s="46" t="s">
        <v>145</v>
      </c>
      <c r="J5" s="46"/>
    </row>
    <row r="6" spans="2:10" ht="66">
      <c r="B6" s="47"/>
      <c r="C6" s="48" t="s">
        <v>146</v>
      </c>
      <c r="D6" s="48" t="s">
        <v>147</v>
      </c>
      <c r="E6" s="48" t="s">
        <v>146</v>
      </c>
      <c r="F6" s="48" t="s">
        <v>147</v>
      </c>
      <c r="G6" s="48" t="s">
        <v>146</v>
      </c>
      <c r="H6" s="48" t="s">
        <v>147</v>
      </c>
      <c r="I6" s="48" t="s">
        <v>146</v>
      </c>
      <c r="J6" s="48" t="s">
        <v>147</v>
      </c>
    </row>
    <row r="7" spans="2:10">
      <c r="B7" s="49" t="s">
        <v>148</v>
      </c>
      <c r="C7" s="50">
        <v>11.86491935483871</v>
      </c>
      <c r="D7" s="50">
        <v>11186.491935483869</v>
      </c>
      <c r="E7" s="50">
        <v>13.096188414675215</v>
      </c>
      <c r="F7" s="50">
        <v>14475.606574484738</v>
      </c>
      <c r="G7" s="50">
        <v>8.4922408974819508</v>
      </c>
      <c r="H7" s="50">
        <v>15034.548164205393</v>
      </c>
      <c r="I7" s="50">
        <v>10.518570114127712</v>
      </c>
      <c r="J7" s="50">
        <v>110970</v>
      </c>
    </row>
    <row r="8" spans="2:10">
      <c r="B8" s="49" t="s">
        <v>149</v>
      </c>
      <c r="C8" s="50">
        <v>11.827486087701411</v>
      </c>
      <c r="D8" s="50">
        <v>11182.748608770142</v>
      </c>
      <c r="E8" s="50">
        <v>17.798062799105651</v>
      </c>
      <c r="F8" s="50">
        <v>16346.111066456375</v>
      </c>
      <c r="G8" s="50">
        <v>13.737330638758483</v>
      </c>
      <c r="H8" s="50">
        <v>19033.346622409379</v>
      </c>
      <c r="I8" s="50">
        <v>12.243844484782063</v>
      </c>
      <c r="J8" s="50">
        <v>247254.44729622672</v>
      </c>
    </row>
    <row r="9" spans="2:10">
      <c r="B9" s="49" t="s">
        <v>150</v>
      </c>
      <c r="C9" s="50">
        <v>11.931290069610267</v>
      </c>
      <c r="D9" s="50">
        <v>11193.129006961026</v>
      </c>
      <c r="E9" s="50">
        <v>17.224616227246557</v>
      </c>
      <c r="F9" s="50">
        <v>16108.550347465627</v>
      </c>
      <c r="G9" s="50">
        <v>14.315814346076849</v>
      </c>
      <c r="H9" s="50">
        <v>19522.326520255341</v>
      </c>
      <c r="I9" s="50">
        <v>12.353127973609791</v>
      </c>
      <c r="J9" s="50">
        <v>254028.10780037357</v>
      </c>
    </row>
    <row r="10" spans="2:10">
      <c r="B10" s="49" t="s">
        <v>151</v>
      </c>
      <c r="C10" s="51">
        <v>99.2</v>
      </c>
      <c r="D10" s="52"/>
      <c r="E10" s="51">
        <v>76.66</v>
      </c>
      <c r="F10" s="52"/>
      <c r="G10" s="51">
        <v>73.81</v>
      </c>
      <c r="H10" s="52"/>
      <c r="I10" s="51">
        <v>10</v>
      </c>
      <c r="J10" s="52"/>
    </row>
    <row r="12" spans="2:10" ht="15.6">
      <c r="B12" s="43" t="s">
        <v>152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141</v>
      </c>
      <c r="C13" s="46" t="s">
        <v>142</v>
      </c>
      <c r="D13" s="46"/>
      <c r="E13" s="46" t="s">
        <v>143</v>
      </c>
      <c r="F13" s="46"/>
      <c r="G13" s="46" t="s">
        <v>144</v>
      </c>
      <c r="H13" s="46"/>
      <c r="I13" s="46" t="s">
        <v>145</v>
      </c>
      <c r="J13" s="46"/>
    </row>
    <row r="14" spans="2:10" ht="66">
      <c r="B14" s="47"/>
      <c r="C14" s="48" t="s">
        <v>146</v>
      </c>
      <c r="D14" s="48" t="s">
        <v>147</v>
      </c>
      <c r="E14" s="48" t="s">
        <v>146</v>
      </c>
      <c r="F14" s="48" t="s">
        <v>147</v>
      </c>
      <c r="G14" s="48" t="s">
        <v>146</v>
      </c>
      <c r="H14" s="48" t="s">
        <v>147</v>
      </c>
      <c r="I14" s="48" t="s">
        <v>146</v>
      </c>
      <c r="J14" s="48" t="s">
        <v>147</v>
      </c>
    </row>
    <row r="15" spans="2:10">
      <c r="B15" s="49" t="s">
        <v>148</v>
      </c>
      <c r="C15" s="50">
        <v>11.957145590204711</v>
      </c>
      <c r="D15" s="50">
        <v>11195.714559020471</v>
      </c>
      <c r="E15" s="50">
        <v>13.223654384814832</v>
      </c>
      <c r="F15" s="50">
        <v>14524.6959543311</v>
      </c>
      <c r="G15" s="50">
        <v>8.7807311645806472</v>
      </c>
      <c r="H15" s="50">
        <v>15235.615725071599</v>
      </c>
      <c r="I15" s="50">
        <v>10.239565914748393</v>
      </c>
      <c r="J15" s="50">
        <v>26289.308176100629</v>
      </c>
    </row>
    <row r="16" spans="2:10">
      <c r="B16" s="49" t="s">
        <v>149</v>
      </c>
      <c r="C16" s="50">
        <v>11.827486087701411</v>
      </c>
      <c r="D16" s="50">
        <v>11182.748608770142</v>
      </c>
      <c r="E16" s="50">
        <v>17.798062799105651</v>
      </c>
      <c r="F16" s="50">
        <v>16346.111066456375</v>
      </c>
      <c r="G16" s="50">
        <v>13.737330638758483</v>
      </c>
      <c r="H16" s="50">
        <v>19033.346622409379</v>
      </c>
      <c r="I16" s="50">
        <v>13.798051065201111</v>
      </c>
      <c r="J16" s="50">
        <v>36023.062170683697</v>
      </c>
    </row>
    <row r="17" spans="2:10">
      <c r="B17" s="49" t="s">
        <v>150</v>
      </c>
      <c r="C17" s="50">
        <v>11.931290069610267</v>
      </c>
      <c r="D17" s="50">
        <v>11193.129006961026</v>
      </c>
      <c r="E17" s="50">
        <v>17.224616227246557</v>
      </c>
      <c r="F17" s="50">
        <v>16108.550347465627</v>
      </c>
      <c r="G17" s="50">
        <v>14.315814346076849</v>
      </c>
      <c r="H17" s="50">
        <v>19522.326520255341</v>
      </c>
      <c r="I17" s="50">
        <v>13.597571834303457</v>
      </c>
      <c r="J17" s="50">
        <v>35398.748403708574</v>
      </c>
    </row>
    <row r="18" spans="2:10">
      <c r="B18" s="49" t="s">
        <v>153</v>
      </c>
      <c r="C18" s="51">
        <v>104.54</v>
      </c>
      <c r="D18" s="52"/>
      <c r="E18" s="51">
        <v>80.58</v>
      </c>
      <c r="F18" s="52"/>
      <c r="G18" s="51">
        <v>76.819999999999993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2022-12-01T10:12:24Z</dcterms:created>
  <dcterms:modified xsi:type="dcterms:W3CDTF">2022-12-09T06:17:04Z</dcterms:modified>
</cp:coreProperties>
</file>