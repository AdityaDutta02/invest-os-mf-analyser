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MAR 2024\Portfolio\OPS\TMF_Monthly_Portfolio_Report_Feb 24\"/>
    </mc:Choice>
  </mc:AlternateContent>
  <xr:revisionPtr revIDLastSave="0" documentId="13_ncr:1_{5D891659-8BFE-4F55-AB4A-A237C5253003}" xr6:coauthVersionLast="47" xr6:coauthVersionMax="47" xr10:uidLastSave="{00000000-0000-0000-0000-000000000000}"/>
  <bookViews>
    <workbookView xWindow="-120" yWindow="-120" windowWidth="20730" windowHeight="11040" xr2:uid="{03620A35-DDDF-4DE3-AFBF-4587C7573EDA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TISF!$C$8:$C$44</definedName>
    <definedName name="XDO_?FINAL_ISIN?7?">TISF!$D$10:$D$44</definedName>
    <definedName name="XDO_?FINAL_ISIN?8?">TISF!$D$10:$D$88</definedName>
    <definedName name="XDO_?FINAL_MV?7?">TISF!$H$10:$H$44</definedName>
    <definedName name="XDO_?FINAL_MV?8?">TISF!$H$10:$H$88</definedName>
    <definedName name="XDO_?FINAL_NAME?7?">TISF!$C$10:$C$44</definedName>
    <definedName name="XDO_?FINAL_NAME?8?">TISF!$C$10:$C$88</definedName>
    <definedName name="XDO_?FINAL_PER_NET?7?">TISF!$I$10:$I$44</definedName>
    <definedName name="XDO_?FINAL_PER_NET?8?">TISF!$I$10:$I$88</definedName>
    <definedName name="XDO_?FINAL_QUANTITE?7?">TISF!$G$10:$G$44</definedName>
    <definedName name="XDO_?FINAL_QUANTITE?8?">TISF!$G$10:$G$88</definedName>
    <definedName name="XDO_?IND_01?7?">TISF!$F$10:$F$44</definedName>
    <definedName name="XDO_?IND_01?8?">TISF!$F$10:$F$88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TISF!$B$10:$B$44</definedName>
    <definedName name="XDO_?NOVAL?8?">TISF!$B$10:$B$88</definedName>
    <definedName name="XDO_?NPTF?4?">TISF!$D$2:$D$44</definedName>
    <definedName name="XDO_?RATING?7?">TISF!$E$10:$E$44</definedName>
    <definedName name="XDO_?RATING?8?">TISF!$E$10:$E$88</definedName>
    <definedName name="XDO_?REMARKS?7?">TISF!$J$10:$J$44</definedName>
    <definedName name="XDO_?REMARKS?8?">TISF!$J$10:$J$88</definedName>
    <definedName name="XDO_?TITL?4?">TISF!$A$8:$A$44</definedName>
    <definedName name="XDO_GROUP_?G_2?4?">TISF!$2:$91</definedName>
    <definedName name="XDO_GROUP_?G_3?4?">TISF!$8:$90</definedName>
    <definedName name="XDO_GROUP_?G_4?7?">TISF!$B$10:$IV$44</definedName>
    <definedName name="XDO_GROUP_?G_4?8?">TISF!$B$88:$IV$88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</calcChain>
</file>

<file path=xl/sharedStrings.xml><?xml version="1.0" encoding="utf-8"?>
<sst xmlns="http://schemas.openxmlformats.org/spreadsheetml/2006/main" count="256" uniqueCount="184">
  <si>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</si>
  <si>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</si>
  <si>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</si>
  <si>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</si>
  <si>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</si>
  <si>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</si>
  <si>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</si>
  <si>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</si>
  <si>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</si>
  <si>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</si>
  <si>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</si>
  <si>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</si>
  <si>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</si>
  <si>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</si>
  <si>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</si>
  <si>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</si>
  <si>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</si>
  <si>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</si>
  <si>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</si>
  <si>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</si>
  <si>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</si>
  <si>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</si>
  <si>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</si>
  <si>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100302</t>
  </si>
  <si>
    <t>DLF Ltd.</t>
  </si>
  <si>
    <t>INE271C01023</t>
  </si>
  <si>
    <t>Realty</t>
  </si>
  <si>
    <t>100181</t>
  </si>
  <si>
    <t>NTPC Ltd.</t>
  </si>
  <si>
    <t>INE733E01010</t>
  </si>
  <si>
    <t>Power</t>
  </si>
  <si>
    <t>100281</t>
  </si>
  <si>
    <t>Century Textiles &amp; Industries Ltd.</t>
  </si>
  <si>
    <t>INE055A01016</t>
  </si>
  <si>
    <t>Paper, Forest &amp; Jute Products</t>
  </si>
  <si>
    <t>102060</t>
  </si>
  <si>
    <t>Tarc Ltd.</t>
  </si>
  <si>
    <t>INE0EK901012</t>
  </si>
  <si>
    <t>100002</t>
  </si>
  <si>
    <t>Reliance Industries Ltd.</t>
  </si>
  <si>
    <t>INE002A01018</t>
  </si>
  <si>
    <t>Petroleum Products</t>
  </si>
  <si>
    <t>100035</t>
  </si>
  <si>
    <t>NMDC Ltd.</t>
  </si>
  <si>
    <t>INE584A01023</t>
  </si>
  <si>
    <t>Minerals &amp; Mining</t>
  </si>
  <si>
    <t>100091</t>
  </si>
  <si>
    <t>Indus Towers Ltd.</t>
  </si>
  <si>
    <t>INE121J01017</t>
  </si>
  <si>
    <t>100006</t>
  </si>
  <si>
    <t>HDFC Bank Ltd.</t>
  </si>
  <si>
    <t>INE040A01034</t>
  </si>
  <si>
    <t>Banks</t>
  </si>
  <si>
    <t>100082</t>
  </si>
  <si>
    <t>Ultratech Cement Ltd.</t>
  </si>
  <si>
    <t>INE481G01011</t>
  </si>
  <si>
    <t>Cement &amp; Cement Products</t>
  </si>
  <si>
    <t>100232</t>
  </si>
  <si>
    <t>Bharat Bijlee Ltd.</t>
  </si>
  <si>
    <t>INE464A01028</t>
  </si>
  <si>
    <t>Electrical Equipment</t>
  </si>
  <si>
    <t>100752</t>
  </si>
  <si>
    <t>Praj Industries Ltd.</t>
  </si>
  <si>
    <t>INE074A01025</t>
  </si>
  <si>
    <t>Industrial Manufacturing</t>
  </si>
  <si>
    <t>101718</t>
  </si>
  <si>
    <t>Faze Three Ltd.</t>
  </si>
  <si>
    <t>INE963C01033</t>
  </si>
  <si>
    <t>Textiles &amp; Apparels</t>
  </si>
  <si>
    <t>100090</t>
  </si>
  <si>
    <t>Bharat Forge Ltd.</t>
  </si>
  <si>
    <t>INE465A01025</t>
  </si>
  <si>
    <t>Industrial Products</t>
  </si>
  <si>
    <t>100177</t>
  </si>
  <si>
    <t>Grasim Industries Ltd.</t>
  </si>
  <si>
    <t>INE047A01021</t>
  </si>
  <si>
    <t>100018</t>
  </si>
  <si>
    <t>Tata Communications Ltd.</t>
  </si>
  <si>
    <t>INE151A01013</t>
  </si>
  <si>
    <t>100174</t>
  </si>
  <si>
    <t>Vodafone Idea Ltd.</t>
  </si>
  <si>
    <t>INE669E01016</t>
  </si>
  <si>
    <t>100292</t>
  </si>
  <si>
    <t>Steel Authority of India Ltd.</t>
  </si>
  <si>
    <t>INE114A01011</t>
  </si>
  <si>
    <t>Ferrous Metals</t>
  </si>
  <si>
    <t>101800</t>
  </si>
  <si>
    <t>Hindware Home Innovation Ltd.</t>
  </si>
  <si>
    <t>INE05AN01011</t>
  </si>
  <si>
    <t>Consumer Durables</t>
  </si>
  <si>
    <t>100180</t>
  </si>
  <si>
    <t>Hindalco Industries Ltd.</t>
  </si>
  <si>
    <t>INE038A01020</t>
  </si>
  <si>
    <t>Non - Ferrous Metals</t>
  </si>
  <si>
    <t>100184</t>
  </si>
  <si>
    <t>Tata Steel Ltd.</t>
  </si>
  <si>
    <t>INE081A01020</t>
  </si>
  <si>
    <t>100843</t>
  </si>
  <si>
    <t>Dalmia Bharat Ltd.</t>
  </si>
  <si>
    <t>INE00R701025</t>
  </si>
  <si>
    <t>100643</t>
  </si>
  <si>
    <t>PSP Projects Ltd.</t>
  </si>
  <si>
    <t>INE488V01015</t>
  </si>
  <si>
    <t>100719</t>
  </si>
  <si>
    <t>Mayur Uniquoters Ltd.</t>
  </si>
  <si>
    <t>INE040D01038</t>
  </si>
  <si>
    <t>100143</t>
  </si>
  <si>
    <t>Thermax Ltd.</t>
  </si>
  <si>
    <t>INE152A01029</t>
  </si>
  <si>
    <t>100743</t>
  </si>
  <si>
    <t>HeidelbergCement India Ltd.</t>
  </si>
  <si>
    <t>INE578A01017</t>
  </si>
  <si>
    <t>100466</t>
  </si>
  <si>
    <t>Igarashi Motors India Ltd.</t>
  </si>
  <si>
    <t>INE188B01013</t>
  </si>
  <si>
    <t>Auto Components</t>
  </si>
  <si>
    <t>100219</t>
  </si>
  <si>
    <t>Indraprastha Gas Ltd.</t>
  </si>
  <si>
    <t>INE203G01027</t>
  </si>
  <si>
    <t>Gas</t>
  </si>
  <si>
    <t>100096</t>
  </si>
  <si>
    <t>Container Corporation of India Ltd.</t>
  </si>
  <si>
    <t>INE111A01025</t>
  </si>
  <si>
    <t>Transport Services</t>
  </si>
  <si>
    <t>101311</t>
  </si>
  <si>
    <t>G R Infra projects Ltd.</t>
  </si>
  <si>
    <t>INE201P01022</t>
  </si>
  <si>
    <t>102070</t>
  </si>
  <si>
    <t>Juniper Hotels Ltd.</t>
  </si>
  <si>
    <t>INE696F01016</t>
  </si>
  <si>
    <t>Leisure Services</t>
  </si>
  <si>
    <t>100571</t>
  </si>
  <si>
    <t>KNR Constructions Ltd.</t>
  </si>
  <si>
    <t>INE634I01029</t>
  </si>
  <si>
    <t>101848</t>
  </si>
  <si>
    <t>Shipping Corporation of India Land and Assets Ltd.</t>
  </si>
  <si>
    <t>INE0PB301013</t>
  </si>
  <si>
    <t>A**</t>
  </si>
  <si>
    <t>5300003</t>
  </si>
  <si>
    <t>IN9047A01011</t>
  </si>
  <si>
    <t>PP*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</si>
  <si>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</si>
  <si>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</si>
  <si>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</si>
  <si>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</si>
  <si>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</si>
  <si>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</si>
  <si>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</si>
  <si>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</si>
  <si>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</si>
  <si>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</si>
  <si>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</si>
  <si>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</si>
  <si>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</si>
  <si>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</si>
  <si>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</si>
  <si>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</si>
  <si>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</si>
  <si>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</si>
  <si>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</si>
  <si>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</si>
  <si>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</si>
  <si>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</si>
  <si>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</si>
  <si>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</si>
  <si>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</si>
  <si>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</si>
  <si>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</si>
  <si>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</si>
  <si>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</si>
  <si>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</si>
  <si>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</si>
  <si>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</si>
  <si>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</si>
  <si>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</si>
  <si>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</si>
  <si>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</si>
  <si>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</si>
  <si>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</si>
  <si>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</si>
  <si>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</si>
  <si>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February 29, 2024 : 59.28)</t>
  </si>
  <si>
    <t>Taurus Infrastructure Fund - Direct Plan Growth Option</t>
  </si>
  <si>
    <t>NAV [Rs.] Per Unit (as on February 29, 2024 : 63.18)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</si>
</sst>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7299F1BC-FC75-4031-A35E-8B3DE8B17E02}"/>
    <cellStyle name="Hyperlink" xfId="2" builtinId="8"/>
    <cellStyle name="Normal" xfId="0" builtinId="0"/>
    <cellStyle name="Normal 2" xfId="4" xr:uid="{0D849B7A-2CF6-4724-850D-4AAA23FDA8A6}"/>
    <cellStyle name="Style 1" xfId="3" xr:uid="{D0E9A035-617F-4522-B6AB-A7017A1E61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1830917</xdr:rowOff>
    </xdr:to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152D3B81-7CF3-43E2-80F1-2F2A0A71D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30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Feb%2024\Client%20Report\TMF_Monthly_Portfolio_Report_Feb%2024.xls" TargetMode="External"/><Relationship Id="rId1" Type="http://schemas.openxmlformats.org/officeDocument/2006/relationships/externalLinkPath" Target="file:///Q:\5.TMF\Reporting\Monthly%20Reports\Monthly%20Portfolio\2023-24\Feb%2024\Client%20Report\TMF_Monthly_Portfolio_Report_Feb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FB5A-2FF5-45D4-97B5-DEAEF6953E8E}">
  <dimension ref="A1:IV97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50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45351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55.02</v>
      </c>
      <c r="I10" s="32">
        <v>6.82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1300</v>
      </c>
      <c r="H11" s="32">
        <v>45.26</v>
      </c>
      <c r="I11" s="32">
        <v>5.61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4771</v>
      </c>
      <c r="H12" s="32">
        <v>43</v>
      </c>
      <c r="I12" s="32">
        <v>5.33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12085</v>
      </c>
      <c r="H13" s="32">
        <v>40.54</v>
      </c>
      <c r="I13" s="32">
        <v>5.0199999999999996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2831</v>
      </c>
      <c r="H14" s="32">
        <v>40</v>
      </c>
      <c r="I14" s="32">
        <v>4.96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26</v>
      </c>
      <c r="G15" s="31">
        <v>24790</v>
      </c>
      <c r="H15" s="32">
        <v>39.9</v>
      </c>
      <c r="I15" s="32">
        <v>4.9400000000000004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1332</v>
      </c>
      <c r="H16" s="32">
        <v>38.96</v>
      </c>
      <c r="I16" s="32">
        <v>4.83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16500</v>
      </c>
      <c r="H17" s="32">
        <v>37.28</v>
      </c>
      <c r="I17" s="32">
        <v>4.62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18</v>
      </c>
      <c r="G18" s="31">
        <v>14390</v>
      </c>
      <c r="H18" s="32">
        <v>36.33</v>
      </c>
      <c r="I18" s="32">
        <v>4.5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2225</v>
      </c>
      <c r="H19" s="32">
        <v>31.21</v>
      </c>
      <c r="I19" s="32">
        <v>3.87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280</v>
      </c>
      <c r="H20" s="32">
        <v>27.73</v>
      </c>
      <c r="I20" s="32">
        <v>3.43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447</v>
      </c>
      <c r="H21" s="32">
        <v>25.49</v>
      </c>
      <c r="I21" s="32">
        <v>3.16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5000</v>
      </c>
      <c r="H22" s="32">
        <v>25.01</v>
      </c>
      <c r="I22" s="32">
        <v>3.1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5500</v>
      </c>
      <c r="H23" s="32">
        <v>24.07</v>
      </c>
      <c r="I23" s="32">
        <v>2.98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1937</v>
      </c>
      <c r="H24" s="32">
        <v>22.3</v>
      </c>
      <c r="I24" s="32">
        <v>2.76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56</v>
      </c>
      <c r="G25" s="31">
        <v>1015</v>
      </c>
      <c r="H25" s="32">
        <v>22.24</v>
      </c>
      <c r="I25" s="32">
        <v>2.76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18</v>
      </c>
      <c r="G26" s="31">
        <v>1125</v>
      </c>
      <c r="H26" s="32">
        <v>21.63</v>
      </c>
      <c r="I26" s="32">
        <v>2.68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18</v>
      </c>
      <c r="G27" s="31">
        <v>141456</v>
      </c>
      <c r="H27" s="32">
        <v>19.34</v>
      </c>
      <c r="I27" s="32">
        <v>2.4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14742</v>
      </c>
      <c r="H28" s="32">
        <v>17.88</v>
      </c>
      <c r="I28" s="32">
        <v>2.2200000000000002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4418</v>
      </c>
      <c r="H29" s="32">
        <v>17.84</v>
      </c>
      <c r="I29" s="32">
        <v>2.21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3358</v>
      </c>
      <c r="H30" s="32">
        <v>16.89</v>
      </c>
      <c r="I30" s="32">
        <v>2.09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85</v>
      </c>
      <c r="G31" s="31">
        <v>11885</v>
      </c>
      <c r="H31" s="32">
        <v>16.75</v>
      </c>
      <c r="I31" s="32">
        <v>2.0699999999999998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56</v>
      </c>
      <c r="G32" s="31">
        <v>820</v>
      </c>
      <c r="H32" s="32">
        <v>16.59</v>
      </c>
      <c r="I32" s="32">
        <v>2.06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22</v>
      </c>
      <c r="G33" s="31">
        <v>2229</v>
      </c>
      <c r="H33" s="32">
        <v>15.41</v>
      </c>
      <c r="I33" s="32">
        <v>1.91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89</v>
      </c>
      <c r="G34" s="31">
        <v>2969</v>
      </c>
      <c r="H34" s="32">
        <v>14.93</v>
      </c>
      <c r="I34" s="32">
        <v>1.85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60</v>
      </c>
      <c r="G35" s="31">
        <v>367</v>
      </c>
      <c r="H35" s="32">
        <v>13.34</v>
      </c>
      <c r="I35" s="32">
        <v>1.65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56</v>
      </c>
      <c r="G36" s="31">
        <v>6442</v>
      </c>
      <c r="H36" s="32">
        <v>13.27</v>
      </c>
      <c r="I36" s="32">
        <v>1.64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2800</v>
      </c>
      <c r="H37" s="32">
        <v>13.2</v>
      </c>
      <c r="I37" s="32">
        <v>1.63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2695</v>
      </c>
      <c r="H38" s="32">
        <v>11.49</v>
      </c>
      <c r="I38" s="32">
        <v>1.42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825</v>
      </c>
      <c r="H39" s="32">
        <v>8.08</v>
      </c>
      <c r="I39" s="32">
        <v>1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22</v>
      </c>
      <c r="G40" s="31">
        <v>625</v>
      </c>
      <c r="H40" s="32">
        <v>7.59</v>
      </c>
      <c r="I40" s="32">
        <v>0.94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1075</v>
      </c>
      <c r="H41" s="32">
        <v>4.6900000000000004</v>
      </c>
      <c r="I41" s="32">
        <v>0.57999999999999996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22</v>
      </c>
      <c r="G42" s="31">
        <v>1500</v>
      </c>
      <c r="H42" s="32">
        <v>4.0199999999999996</v>
      </c>
      <c r="I42" s="32">
        <v>0.5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123</v>
      </c>
      <c r="G43" s="31">
        <v>4000</v>
      </c>
      <c r="H43" s="32">
        <v>1.06</v>
      </c>
      <c r="I43" s="32">
        <v>0.13</v>
      </c>
      <c r="J43" s="33" t="s">
        <v>137</v>
      </c>
    </row>
    <row r="44" spans="2:10" x14ac:dyDescent="0.25">
      <c r="B44" s="1" t="s">
        <v>138</v>
      </c>
      <c r="C44" s="20" t="s">
        <v>74</v>
      </c>
      <c r="D44" s="29" t="s">
        <v>139</v>
      </c>
      <c r="E44" s="30"/>
      <c r="F44" s="30" t="s">
        <v>56</v>
      </c>
      <c r="G44" s="31">
        <v>34</v>
      </c>
      <c r="H44" s="32">
        <v>0.33</v>
      </c>
      <c r="I44" s="32">
        <v>0.04</v>
      </c>
      <c r="J44" s="33" t="s">
        <v>140</v>
      </c>
    </row>
    <row r="45" spans="2:10" x14ac:dyDescent="0.25">
      <c r="C45" s="28" t="s">
        <v>141</v>
      </c>
      <c r="D45" s="29"/>
      <c r="E45" s="30"/>
      <c r="F45" s="30"/>
      <c r="G45" s="31"/>
      <c r="H45" s="35">
        <v>788.67</v>
      </c>
      <c r="I45" s="35">
        <v>97.71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142</v>
      </c>
      <c r="D47" s="29"/>
      <c r="E47" s="30"/>
      <c r="F47" s="30"/>
      <c r="G47" s="31"/>
      <c r="H47" s="32" t="s">
        <v>143</v>
      </c>
      <c r="I47" s="32" t="s">
        <v>143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144</v>
      </c>
      <c r="D49" s="29"/>
      <c r="E49" s="30"/>
      <c r="F49" s="30"/>
      <c r="G49" s="31"/>
      <c r="H49" s="32" t="s">
        <v>143</v>
      </c>
      <c r="I49" s="32" t="s">
        <v>143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145</v>
      </c>
      <c r="D51" s="29"/>
      <c r="E51" s="30"/>
      <c r="F51" s="30"/>
      <c r="G51" s="31"/>
      <c r="H51" s="32"/>
      <c r="I51" s="32"/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146</v>
      </c>
      <c r="D53" s="29"/>
      <c r="E53" s="30"/>
      <c r="F53" s="30"/>
      <c r="G53" s="31"/>
      <c r="H53" s="32" t="s">
        <v>143</v>
      </c>
      <c r="I53" s="32" t="s">
        <v>143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147</v>
      </c>
      <c r="D55" s="29"/>
      <c r="E55" s="30"/>
      <c r="F55" s="30"/>
      <c r="G55" s="31"/>
      <c r="H55" s="32" t="s">
        <v>143</v>
      </c>
      <c r="I55" s="32" t="s">
        <v>143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148</v>
      </c>
      <c r="D57" s="29"/>
      <c r="E57" s="30"/>
      <c r="F57" s="30"/>
      <c r="G57" s="31"/>
      <c r="H57" s="32" t="s">
        <v>143</v>
      </c>
      <c r="I57" s="32" t="s">
        <v>143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149</v>
      </c>
      <c r="D59" s="29"/>
      <c r="E59" s="30"/>
      <c r="F59" s="30"/>
      <c r="G59" s="31"/>
      <c r="H59" s="32" t="s">
        <v>143</v>
      </c>
      <c r="I59" s="32" t="s">
        <v>143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150</v>
      </c>
      <c r="D61" s="29"/>
      <c r="E61" s="30"/>
      <c r="F61" s="30"/>
      <c r="G61" s="31"/>
      <c r="H61" s="32" t="s">
        <v>143</v>
      </c>
      <c r="I61" s="32" t="s">
        <v>143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151</v>
      </c>
      <c r="D63" s="29"/>
      <c r="E63" s="30"/>
      <c r="F63" s="30"/>
      <c r="G63" s="31"/>
      <c r="H63" s="32"/>
      <c r="I63" s="32"/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152</v>
      </c>
      <c r="D65" s="29"/>
      <c r="E65" s="30"/>
      <c r="F65" s="30"/>
      <c r="G65" s="31"/>
      <c r="H65" s="32" t="s">
        <v>143</v>
      </c>
      <c r="I65" s="32" t="s">
        <v>143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153</v>
      </c>
      <c r="D67" s="29"/>
      <c r="E67" s="30"/>
      <c r="F67" s="30"/>
      <c r="G67" s="31"/>
      <c r="H67" s="32" t="s">
        <v>143</v>
      </c>
      <c r="I67" s="32" t="s">
        <v>143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154</v>
      </c>
      <c r="D69" s="29"/>
      <c r="E69" s="30"/>
      <c r="F69" s="30"/>
      <c r="G69" s="31"/>
      <c r="H69" s="32" t="s">
        <v>143</v>
      </c>
      <c r="I69" s="32" t="s">
        <v>143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155</v>
      </c>
      <c r="D71" s="29"/>
      <c r="E71" s="30"/>
      <c r="F71" s="30"/>
      <c r="G71" s="31"/>
      <c r="H71" s="32" t="s">
        <v>143</v>
      </c>
      <c r="I71" s="32" t="s">
        <v>143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156</v>
      </c>
      <c r="D73" s="29"/>
      <c r="E73" s="30"/>
      <c r="F73" s="30"/>
      <c r="G73" s="31"/>
      <c r="H73" s="32"/>
      <c r="I73" s="32"/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157</v>
      </c>
      <c r="D75" s="29"/>
      <c r="E75" s="30"/>
      <c r="F75" s="30"/>
      <c r="G75" s="31"/>
      <c r="H75" s="32" t="s">
        <v>143</v>
      </c>
      <c r="I75" s="32" t="s">
        <v>143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158</v>
      </c>
      <c r="D77" s="29"/>
      <c r="E77" s="30"/>
      <c r="F77" s="30"/>
      <c r="G77" s="31"/>
      <c r="H77" s="32" t="s">
        <v>143</v>
      </c>
      <c r="I77" s="32" t="s">
        <v>143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159</v>
      </c>
      <c r="D79" s="29"/>
      <c r="E79" s="30"/>
      <c r="F79" s="30"/>
      <c r="G79" s="31"/>
      <c r="H79" s="32" t="s">
        <v>143</v>
      </c>
      <c r="I79" s="32" t="s">
        <v>143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160</v>
      </c>
      <c r="D81" s="29"/>
      <c r="E81" s="30"/>
      <c r="F81" s="30"/>
      <c r="G81" s="31"/>
      <c r="H81" s="32" t="s">
        <v>143</v>
      </c>
      <c r="I81" s="32" t="s">
        <v>143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161</v>
      </c>
      <c r="D83" s="29"/>
      <c r="E83" s="30"/>
      <c r="F83" s="30"/>
      <c r="G83" s="31"/>
      <c r="H83" s="32" t="s">
        <v>143</v>
      </c>
      <c r="I83" s="32" t="s">
        <v>143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162</v>
      </c>
      <c r="D85" s="29"/>
      <c r="E85" s="30"/>
      <c r="F85" s="30"/>
      <c r="G85" s="31"/>
      <c r="H85" s="32" t="s">
        <v>143</v>
      </c>
      <c r="I85" s="32" t="s">
        <v>143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163</v>
      </c>
      <c r="D87" s="29"/>
      <c r="E87" s="30"/>
      <c r="F87" s="30"/>
      <c r="G87" s="31"/>
      <c r="H87" s="32"/>
      <c r="I87" s="32"/>
      <c r="J87" s="33"/>
    </row>
    <row r="88" spans="1:10" x14ac:dyDescent="0.25">
      <c r="B88" s="1"/>
      <c r="C88" s="20" t="s">
        <v>164</v>
      </c>
      <c r="D88" s="29"/>
      <c r="E88" s="30"/>
      <c r="F88" s="30"/>
      <c r="G88" s="31"/>
      <c r="H88" s="32">
        <v>18.48</v>
      </c>
      <c r="I88" s="32">
        <v>2.29</v>
      </c>
      <c r="J88" s="33"/>
    </row>
    <row r="89" spans="1:10" x14ac:dyDescent="0.25">
      <c r="C89" s="28" t="s">
        <v>141</v>
      </c>
      <c r="D89" s="29"/>
      <c r="E89" s="30"/>
      <c r="F89" s="30"/>
      <c r="G89" s="31"/>
      <c r="H89" s="35">
        <v>18.48</v>
      </c>
      <c r="I89" s="35">
        <v>2.29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ht="15.75" thickBot="1" x14ac:dyDescent="0.3">
      <c r="C91" s="36" t="s">
        <v>165</v>
      </c>
      <c r="D91" s="37"/>
      <c r="E91" s="38"/>
      <c r="F91" s="39"/>
      <c r="G91" s="40"/>
      <c r="H91" s="41">
        <v>807.15</v>
      </c>
      <c r="I91" s="41">
        <f>SUMIFS(I:I,C:C,"Total")</f>
        <v>100</v>
      </c>
      <c r="J91" s="42"/>
    </row>
    <row r="94" spans="1:10" x14ac:dyDescent="0.25">
      <c r="C94" s="11" t="s">
        <v>166</v>
      </c>
    </row>
    <row r="95" spans="1:10" x14ac:dyDescent="0.25">
      <c r="C95" s="2" t="s">
        <v>167</v>
      </c>
    </row>
    <row r="96" spans="1:10" x14ac:dyDescent="0.25">
      <c r="C96" s="2" t="s">
        <v>168</v>
      </c>
    </row>
    <row r="97" spans="3:3" x14ac:dyDescent="0.25">
      <c r="C97" s="2" t="s">
        <v>169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3D4F-7BE3-4391-8D2B-172699506FDA}">
  <dimension ref="B3:J17"/>
  <sheetViews>
    <sheetView workbookViewId="0"/>
  </sheetViews>
  <sheetFormatPr defaultRowHeight="15" x14ac:dyDescent="0.25"/>
  <cols>
    <col min="2" max="2" width="64.7109375" bestFit="1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3" spans="2:10" ht="15.75" x14ac:dyDescent="0.25">
      <c r="B3" s="43" t="s">
        <v>170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171</v>
      </c>
      <c r="C4" s="50" t="s">
        <v>172</v>
      </c>
      <c r="D4" s="50"/>
      <c r="E4" s="50" t="s">
        <v>173</v>
      </c>
      <c r="F4" s="50"/>
      <c r="G4" s="50" t="s">
        <v>174</v>
      </c>
      <c r="H4" s="50"/>
      <c r="I4" s="50" t="s">
        <v>175</v>
      </c>
      <c r="J4" s="50"/>
    </row>
    <row r="5" spans="2:10" ht="63.75" x14ac:dyDescent="0.25">
      <c r="B5" s="46"/>
      <c r="C5" s="47" t="s">
        <v>176</v>
      </c>
      <c r="D5" s="47" t="s">
        <v>177</v>
      </c>
      <c r="E5" s="47" t="s">
        <v>176</v>
      </c>
      <c r="F5" s="47" t="s">
        <v>177</v>
      </c>
      <c r="G5" s="47" t="s">
        <v>176</v>
      </c>
      <c r="H5" s="47" t="s">
        <v>177</v>
      </c>
      <c r="I5" s="47" t="s">
        <v>176</v>
      </c>
      <c r="J5" s="47" t="s">
        <v>177</v>
      </c>
    </row>
    <row r="6" spans="2:10" x14ac:dyDescent="0.25">
      <c r="B6" s="48" t="s">
        <v>178</v>
      </c>
      <c r="C6" s="49">
        <v>56.949960285941216</v>
      </c>
      <c r="D6" s="49">
        <v>15694.996028594122</v>
      </c>
      <c r="E6" s="49">
        <v>24.383108057299086</v>
      </c>
      <c r="F6" s="49">
        <v>19278.048780487803</v>
      </c>
      <c r="G6" s="49">
        <v>20.832505364480824</v>
      </c>
      <c r="H6" s="49">
        <v>25785.123966942152</v>
      </c>
      <c r="I6" s="49">
        <v>11.034479725769831</v>
      </c>
      <c r="J6" s="49">
        <v>59280</v>
      </c>
    </row>
    <row r="7" spans="2:10" x14ac:dyDescent="0.25">
      <c r="B7" s="48" t="s">
        <v>179</v>
      </c>
      <c r="C7" s="49">
        <v>62.617830380278725</v>
      </c>
      <c r="D7" s="49">
        <v>16261.783038027872</v>
      </c>
      <c r="E7" s="49">
        <v>26.693831334681462</v>
      </c>
      <c r="F7" s="49">
        <v>20336.041027460786</v>
      </c>
      <c r="G7" s="49">
        <v>24.383590348375673</v>
      </c>
      <c r="H7" s="49">
        <v>29772.509542091073</v>
      </c>
      <c r="I7" s="49">
        <v>7.690346538916315</v>
      </c>
      <c r="J7" s="49">
        <v>35237.506282040958</v>
      </c>
    </row>
    <row r="8" spans="2:10" x14ac:dyDescent="0.25">
      <c r="B8" s="48" t="s">
        <v>180</v>
      </c>
      <c r="C8" s="49">
        <v>28.492876760956243</v>
      </c>
      <c r="D8" s="49">
        <v>12849.287676095624</v>
      </c>
      <c r="E8" s="49">
        <v>16.115106388147172</v>
      </c>
      <c r="F8" s="49">
        <v>15655.47227021071</v>
      </c>
      <c r="G8" s="49">
        <v>16.635380178201984</v>
      </c>
      <c r="H8" s="49">
        <v>21584.974827531092</v>
      </c>
      <c r="I8" s="49">
        <v>12.601188020772259</v>
      </c>
      <c r="J8" s="49">
        <v>75202.198127676806</v>
      </c>
    </row>
    <row r="9" spans="2:10" x14ac:dyDescent="0.25">
      <c r="B9" s="48" t="s">
        <v>181</v>
      </c>
      <c r="C9" s="51">
        <v>37.770000000000003</v>
      </c>
      <c r="D9" s="52"/>
      <c r="E9" s="51">
        <v>30.75</v>
      </c>
      <c r="F9" s="52"/>
      <c r="G9" s="51">
        <v>22.99</v>
      </c>
      <c r="H9" s="52"/>
      <c r="I9" s="51">
        <v>10</v>
      </c>
      <c r="J9" s="52"/>
    </row>
    <row r="11" spans="2:10" ht="15.75" x14ac:dyDescent="0.25">
      <c r="B11" s="43" t="s">
        <v>182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171</v>
      </c>
      <c r="C12" s="50" t="s">
        <v>172</v>
      </c>
      <c r="D12" s="50"/>
      <c r="E12" s="50" t="s">
        <v>173</v>
      </c>
      <c r="F12" s="50"/>
      <c r="G12" s="50" t="s">
        <v>174</v>
      </c>
      <c r="H12" s="50"/>
      <c r="I12" s="50" t="s">
        <v>175</v>
      </c>
      <c r="J12" s="50"/>
    </row>
    <row r="13" spans="2:10" ht="63.75" x14ac:dyDescent="0.25">
      <c r="B13" s="46"/>
      <c r="C13" s="47" t="s">
        <v>176</v>
      </c>
      <c r="D13" s="47" t="s">
        <v>177</v>
      </c>
      <c r="E13" s="47" t="s">
        <v>176</v>
      </c>
      <c r="F13" s="47" t="s">
        <v>177</v>
      </c>
      <c r="G13" s="47" t="s">
        <v>176</v>
      </c>
      <c r="H13" s="47" t="s">
        <v>177</v>
      </c>
      <c r="I13" s="47" t="s">
        <v>176</v>
      </c>
      <c r="J13" s="47" t="s">
        <v>177</v>
      </c>
    </row>
    <row r="14" spans="2:10" x14ac:dyDescent="0.25">
      <c r="B14" s="48" t="s">
        <v>178</v>
      </c>
      <c r="C14" s="49">
        <v>57.674070376840533</v>
      </c>
      <c r="D14" s="49">
        <v>15767.407037684052</v>
      </c>
      <c r="E14" s="49">
        <v>24.908616903266534</v>
      </c>
      <c r="F14" s="49">
        <v>19524.103831891225</v>
      </c>
      <c r="G14" s="49">
        <v>21.313565796155732</v>
      </c>
      <c r="H14" s="49">
        <v>26303.08076602831</v>
      </c>
      <c r="I14" s="49">
        <v>15.353173450464386</v>
      </c>
      <c r="J14" s="49">
        <v>49282.371294851793</v>
      </c>
    </row>
    <row r="15" spans="2:10" x14ac:dyDescent="0.25">
      <c r="B15" s="48" t="s">
        <v>179</v>
      </c>
      <c r="C15" s="49">
        <v>62.617830380278725</v>
      </c>
      <c r="D15" s="49">
        <v>16261.783038027872</v>
      </c>
      <c r="E15" s="49">
        <v>26.693831334681462</v>
      </c>
      <c r="F15" s="49">
        <v>20336.041027460786</v>
      </c>
      <c r="G15" s="49">
        <v>24.383590348375673</v>
      </c>
      <c r="H15" s="49">
        <v>29772.509542091073</v>
      </c>
      <c r="I15" s="49">
        <v>12.259245067672264</v>
      </c>
      <c r="J15" s="49">
        <v>36377.81212792181</v>
      </c>
    </row>
    <row r="16" spans="2:10" x14ac:dyDescent="0.25">
      <c r="B16" s="48" t="s">
        <v>180</v>
      </c>
      <c r="C16" s="49">
        <v>28.492876760956243</v>
      </c>
      <c r="D16" s="49">
        <v>12849.287676095624</v>
      </c>
      <c r="E16" s="49">
        <v>16.115106388147172</v>
      </c>
      <c r="F16" s="49">
        <v>15655.47227021071</v>
      </c>
      <c r="G16" s="49">
        <v>16.635380178201984</v>
      </c>
      <c r="H16" s="49">
        <v>21584.974827531092</v>
      </c>
      <c r="I16" s="49">
        <v>13.784897223929903</v>
      </c>
      <c r="J16" s="49">
        <v>42296.446655391228</v>
      </c>
    </row>
    <row r="17" spans="2:10" x14ac:dyDescent="0.25">
      <c r="B17" s="48" t="s">
        <v>183</v>
      </c>
      <c r="C17" s="51">
        <v>40.07</v>
      </c>
      <c r="D17" s="52"/>
      <c r="E17" s="51">
        <v>32.36</v>
      </c>
      <c r="F17" s="52"/>
      <c r="G17" s="51">
        <v>24.02</v>
      </c>
      <c r="H17" s="52"/>
      <c r="I17" s="51">
        <v>12.82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2024-03-05T10:09:12Z</dcterms:created>
  <dcterms:modified xsi:type="dcterms:W3CDTF">2024-03-06T10:20:45Z</dcterms:modified>
</cp:coreProperties>
</file>