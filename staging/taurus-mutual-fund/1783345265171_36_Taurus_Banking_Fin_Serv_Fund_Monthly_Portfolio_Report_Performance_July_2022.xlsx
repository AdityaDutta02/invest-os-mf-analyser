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Portfolio'!$C$8:$C$33</definedName>
    <definedName name="XDO_?FINAL_ISIN?1?">'TBFS - Risk-O-Meter &amp; Portfolio'!$D$10:$D$33</definedName>
    <definedName name="XDO_?FINAL_ISIN?2?">'TBFS - Risk-O-Meter &amp; Portfolio'!$D$10:$D$75</definedName>
    <definedName name="XDO_?FINAL_MV?1?">'TBFS - Risk-O-Meter &amp; Portfolio'!$H$10:$H$33</definedName>
    <definedName name="XDO_?FINAL_MV?2?">'TBFS - Risk-O-Meter &amp; Portfolio'!$H$10:$H$75</definedName>
    <definedName name="XDO_?FINAL_NAME?1?">'TBFS - Risk-O-Meter &amp; Portfolio'!$C$10:$C$33</definedName>
    <definedName name="XDO_?FINAL_NAME?2?">'TBFS - Risk-O-Meter &amp; Portfolio'!$C$10:$C$75</definedName>
    <definedName name="XDO_?FINAL_PER_NET?1?">'TBFS - Risk-O-Meter &amp; Portfolio'!$I$10:$I$33</definedName>
    <definedName name="XDO_?FINAL_PER_NET?2?">'TBFS - Risk-O-Meter &amp; Portfolio'!$I$10:$I$75</definedName>
    <definedName name="XDO_?FINAL_QUANTITE?1?">'TBFS - Risk-O-Meter &amp; Portfolio'!$G$10:$G$33</definedName>
    <definedName name="XDO_?FINAL_QUANTITE?2?">'TBFS - Risk-O-Meter &amp; Portfolio'!$G$10:$G$75</definedName>
    <definedName name="XDO_?IND_01?1?">'TBFS - Risk-O-Meter &amp; Portfolio'!$F$10:$F$33</definedName>
    <definedName name="XDO_?IND_01?2?">'TBFS - Risk-O-Meter &amp; Portfolio'!$F$10:$F$75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Portfolio'!$C$2:$C$33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Portfolio'!$B$10:$B$33</definedName>
    <definedName name="XDO_?NOVAL?2?">'TBFS - Risk-O-Meter &amp; Portfolio'!$B$10:$B$75</definedName>
    <definedName name="XDO_?NPTF?1?">'TBFS - Risk-O-Meter &amp; Portfolio'!$D$2:$D$33</definedName>
    <definedName name="XDO_?RATING?1?">'TBFS - Risk-O-Meter &amp; Portfolio'!$E$10:$E$33</definedName>
    <definedName name="XDO_?RATING?2?">'TBFS - Risk-O-Meter &amp; Portfolio'!$E$10:$E$75</definedName>
    <definedName name="XDO_?REMARKS?1?">'TBFS - Risk-O-Meter &amp; Portfolio'!$J$10:$J$33</definedName>
    <definedName name="XDO_?REMARKS?2?">'TBFS - Risk-O-Meter &amp; Portfolio'!$J$10:$J$75</definedName>
    <definedName name="XDO_?TITL?1?">'TBFS - Risk-O-Meter &amp; Portfolio'!$A$8:$A$33</definedName>
    <definedName name="XDO_GROUP_?G_2?1?">'TBFS - Risk-O-Meter &amp; Portfolio'!$2:$78</definedName>
    <definedName name="XDO_GROUP_?G_3?1?">'TBFS - Risk-O-Meter &amp; Portfolio'!$8:$77</definedName>
    <definedName name="XDO_GROUP_?G_4?1?">'TBFS - Risk-O-Meter &amp; Portfolio'!$B$10:$IV$33</definedName>
    <definedName name="XDO_GROUP_?G_4?2?">'TBFS - Risk-O-Meter &amp; Portfolio'!$B$75:$IV$75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8" i="1"/>
</calcChain>
</file>

<file path=xl/sharedStrings.xml><?xml version="1.0" encoding="utf-8"?>
<sst xmlns="http://schemas.openxmlformats.org/spreadsheetml/2006/main" count="207" uniqueCount="133">
  <si>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</si>
  <si>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</si>
  <si>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</si>
  <si>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</si>
  <si>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</si>
  <si>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</si>
  <si>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</si>
  <si>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</si>
  <si>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</si>
  <si>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</si>
  <si>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</si>
  <si>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</si>
  <si>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</si>
  <si>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</si>
  <si>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</si>
  <si>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</si>
  <si>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</si>
  <si>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</si>
  <si>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</si>
  <si>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</si>
  <si>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</si>
  <si>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</si>
  <si>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100104</t>
  </si>
  <si>
    <t>Kotak Mahindra Bank Ltd.</t>
  </si>
  <si>
    <t>INE237A01028</t>
  </si>
  <si>
    <t>100010</t>
  </si>
  <si>
    <t>State Bank of India</t>
  </si>
  <si>
    <t>INE062A01020</t>
  </si>
  <si>
    <t>100024</t>
  </si>
  <si>
    <t>Axis Bank Ltd.</t>
  </si>
  <si>
    <t>INE238A01034</t>
  </si>
  <si>
    <t>100325</t>
  </si>
  <si>
    <t>Bajaj Holdings &amp; Investment Ltd.</t>
  </si>
  <si>
    <t>INE118A01012</t>
  </si>
  <si>
    <t>Finance</t>
  </si>
  <si>
    <t>100399</t>
  </si>
  <si>
    <t>Cholamandalam Investment &amp; Finance Co. Ltd.</t>
  </si>
  <si>
    <t>INE121A01024</t>
  </si>
  <si>
    <t>100125</t>
  </si>
  <si>
    <t>Bajaj Finance Ltd.</t>
  </si>
  <si>
    <t>INE296A01024</t>
  </si>
  <si>
    <t>100001</t>
  </si>
  <si>
    <t>Housing Development Finance Corporation Ltd.</t>
  </si>
  <si>
    <t>INE001A01036</t>
  </si>
  <si>
    <t>100092</t>
  </si>
  <si>
    <t>Bank of Baroda</t>
  </si>
  <si>
    <t>INE028A01039</t>
  </si>
  <si>
    <t>100122</t>
  </si>
  <si>
    <t>Union Bank of India</t>
  </si>
  <si>
    <t>INE692A01016</t>
  </si>
  <si>
    <t>100505</t>
  </si>
  <si>
    <t>ICICI Prudential Life Insurance Company Ltd.</t>
  </si>
  <si>
    <t>INE726G01019</t>
  </si>
  <si>
    <t>Insurance</t>
  </si>
  <si>
    <t>100013</t>
  </si>
  <si>
    <t>IndusInd Bank Ltd.</t>
  </si>
  <si>
    <t>INE095A01012</t>
  </si>
  <si>
    <t>100814</t>
  </si>
  <si>
    <t>HDFC Asset Management Company Ltd.</t>
  </si>
  <si>
    <t>INE127D01025</t>
  </si>
  <si>
    <t>Capital Markets</t>
  </si>
  <si>
    <t>100235</t>
  </si>
  <si>
    <t>CRISIL Ltd.</t>
  </si>
  <si>
    <t>INE007A01025</t>
  </si>
  <si>
    <t>100116</t>
  </si>
  <si>
    <t>Sundaram Finance Ltd.</t>
  </si>
  <si>
    <t>INE660A01013</t>
  </si>
  <si>
    <t>100665</t>
  </si>
  <si>
    <t>Aditya Birla Capital Ltd.</t>
  </si>
  <si>
    <t>INE674K01013</t>
  </si>
  <si>
    <t>100231</t>
  </si>
  <si>
    <t>Muthoot Finance Ltd.</t>
  </si>
  <si>
    <t>INE414G01012</t>
  </si>
  <si>
    <t>100380</t>
  </si>
  <si>
    <t>Bajaj Finserv Ltd.</t>
  </si>
  <si>
    <t>INE918I01018</t>
  </si>
  <si>
    <t>100294</t>
  </si>
  <si>
    <t>IIFL Finance Ltd.</t>
  </si>
  <si>
    <t>INE530B01024</t>
  </si>
  <si>
    <t>101228</t>
  </si>
  <si>
    <t>Home First Finance Company India Ltd.</t>
  </si>
  <si>
    <t>INE481N01025</t>
  </si>
  <si>
    <t>100107</t>
  </si>
  <si>
    <t>Max Financial Services Ltd.</t>
  </si>
  <si>
    <t>INE180A01020</t>
  </si>
  <si>
    <t>100148</t>
  </si>
  <si>
    <t>Motilal Oswal Financial Services Ltd.</t>
  </si>
  <si>
    <t>INE338I01027</t>
  </si>
  <si>
    <t>100036</t>
  </si>
  <si>
    <t>Mahindra &amp; Mahindra Financial Services Ltd.</t>
  </si>
  <si>
    <t>INE774D01024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</si>
  <si>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</si>
  <si>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</si>
  <si>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</si>
  <si>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</si>
  <si>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</si>
  <si>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</si>
  <si>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</si>
  <si>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</si>
  <si>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</si>
  <si>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</si>
  <si>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</si>
  <si>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</si>
  <si>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</si>
  <si>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</si>
  <si>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</si>
  <si>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</si>
  <si>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</si>
  <si>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</si>
  <si>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</si>
  <si>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</si>
  <si>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</si>
  <si>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</si>
  <si>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</si>
  <si>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</si>
  <si>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</si>
  <si>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</si>
  <si>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</si>
  <si>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</si>
  <si>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</si>
  <si>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</si>
  <si>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</si>
  <si>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</si>
  <si>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</si>
  <si>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</si>
  <si>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</si>
  <si>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</si>
  <si>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</si>
  <si>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</si>
  <si>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</si>
  <si>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July 29, 2022 : 34.00)</t>
  </si>
  <si>
    <t>Taurus Banking &amp; Financial Services Fund - Direct Plan Growth Option</t>
  </si>
  <si>
    <t>NAV [Rs.] Per Unit (as on July 29, 2022 : 37.14)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</si>
</sst>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89747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l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9.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44773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23611</v>
      </c>
      <c r="H10" s="32">
        <v>193.26</v>
      </c>
      <c r="I10" s="32">
        <v>20.37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9408</v>
      </c>
      <c r="H11" s="32">
        <v>134.94999999999999</v>
      </c>
      <c r="I11" s="32">
        <v>14.22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7329</v>
      </c>
      <c r="H12" s="32">
        <v>132.71</v>
      </c>
      <c r="I12" s="32">
        <v>13.99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18784</v>
      </c>
      <c r="H13" s="32">
        <v>99.22</v>
      </c>
      <c r="I13" s="32">
        <v>10.46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6725</v>
      </c>
      <c r="H14" s="32">
        <v>48.74</v>
      </c>
      <c r="I14" s="32">
        <v>5.14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863</v>
      </c>
      <c r="H15" s="32">
        <v>44.99</v>
      </c>
      <c r="I15" s="32">
        <v>4.74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4715</v>
      </c>
      <c r="H16" s="32">
        <v>33.03</v>
      </c>
      <c r="I16" s="32">
        <v>3.48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34</v>
      </c>
      <c r="G17" s="31">
        <v>431</v>
      </c>
      <c r="H17" s="32">
        <v>31.07</v>
      </c>
      <c r="I17" s="32">
        <v>3.27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34</v>
      </c>
      <c r="G18" s="31">
        <v>1112</v>
      </c>
      <c r="H18" s="32">
        <v>26.46</v>
      </c>
      <c r="I18" s="32">
        <v>2.79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18</v>
      </c>
      <c r="G19" s="31">
        <v>20391</v>
      </c>
      <c r="H19" s="32">
        <v>23.7</v>
      </c>
      <c r="I19" s="32">
        <v>2.5</v>
      </c>
      <c r="J19" s="33"/>
    </row>
    <row r="20" spans="2:10">
      <c r="B20" s="1" t="s">
        <v>47</v>
      </c>
      <c r="C20" s="20" t="s">
        <v>48</v>
      </c>
      <c r="D20" s="29" t="s">
        <v>49</v>
      </c>
      <c r="E20" s="30"/>
      <c r="F20" s="30" t="s">
        <v>18</v>
      </c>
      <c r="G20" s="31">
        <v>58304</v>
      </c>
      <c r="H20" s="32">
        <v>22.24</v>
      </c>
      <c r="I20" s="32">
        <v>2.34</v>
      </c>
      <c r="J20" s="33"/>
    </row>
    <row r="21" spans="2:10">
      <c r="B21" s="1" t="s">
        <v>50</v>
      </c>
      <c r="C21" s="20" t="s">
        <v>51</v>
      </c>
      <c r="D21" s="29" t="s">
        <v>52</v>
      </c>
      <c r="E21" s="30"/>
      <c r="F21" s="30" t="s">
        <v>53</v>
      </c>
      <c r="G21" s="31">
        <v>3856</v>
      </c>
      <c r="H21" s="32">
        <v>21.36</v>
      </c>
      <c r="I21" s="32">
        <v>2.25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18</v>
      </c>
      <c r="G22" s="31">
        <v>1847</v>
      </c>
      <c r="H22" s="32">
        <v>19.27</v>
      </c>
      <c r="I22" s="32">
        <v>2.0299999999999998</v>
      </c>
      <c r="J22" s="33"/>
    </row>
    <row r="23" spans="2:10">
      <c r="B23" s="1" t="s">
        <v>57</v>
      </c>
      <c r="C23" s="20" t="s">
        <v>58</v>
      </c>
      <c r="D23" s="29" t="s">
        <v>59</v>
      </c>
      <c r="E23" s="30"/>
      <c r="F23" s="30" t="s">
        <v>60</v>
      </c>
      <c r="G23" s="31">
        <v>828</v>
      </c>
      <c r="H23" s="32">
        <v>16.12</v>
      </c>
      <c r="I23" s="32">
        <v>1.7</v>
      </c>
      <c r="J23" s="33"/>
    </row>
    <row r="24" spans="2:10">
      <c r="B24" s="1" t="s">
        <v>61</v>
      </c>
      <c r="C24" s="20" t="s">
        <v>62</v>
      </c>
      <c r="D24" s="29" t="s">
        <v>63</v>
      </c>
      <c r="E24" s="30"/>
      <c r="F24" s="30" t="s">
        <v>34</v>
      </c>
      <c r="G24" s="31">
        <v>420</v>
      </c>
      <c r="H24" s="32">
        <v>13.14</v>
      </c>
      <c r="I24" s="32">
        <v>1.38</v>
      </c>
      <c r="J24" s="33"/>
    </row>
    <row r="25" spans="2:10">
      <c r="B25" s="1" t="s">
        <v>64</v>
      </c>
      <c r="C25" s="20" t="s">
        <v>65</v>
      </c>
      <c r="D25" s="29" t="s">
        <v>66</v>
      </c>
      <c r="E25" s="30"/>
      <c r="F25" s="30" t="s">
        <v>34</v>
      </c>
      <c r="G25" s="31">
        <v>518</v>
      </c>
      <c r="H25" s="32">
        <v>10.61</v>
      </c>
      <c r="I25" s="32">
        <v>1.1200000000000001</v>
      </c>
      <c r="J25" s="33"/>
    </row>
    <row r="26" spans="2:10">
      <c r="B26" s="1" t="s">
        <v>67</v>
      </c>
      <c r="C26" s="20" t="s">
        <v>68</v>
      </c>
      <c r="D26" s="29" t="s">
        <v>69</v>
      </c>
      <c r="E26" s="30"/>
      <c r="F26" s="30" t="s">
        <v>53</v>
      </c>
      <c r="G26" s="31">
        <v>9848</v>
      </c>
      <c r="H26" s="32">
        <v>10.47</v>
      </c>
      <c r="I26" s="32">
        <v>1.1000000000000001</v>
      </c>
      <c r="J26" s="33"/>
    </row>
    <row r="27" spans="2:10">
      <c r="B27" s="1" t="s">
        <v>70</v>
      </c>
      <c r="C27" s="20" t="s">
        <v>71</v>
      </c>
      <c r="D27" s="29" t="s">
        <v>72</v>
      </c>
      <c r="E27" s="30"/>
      <c r="F27" s="30" t="s">
        <v>34</v>
      </c>
      <c r="G27" s="31">
        <v>846</v>
      </c>
      <c r="H27" s="32">
        <v>9.02</v>
      </c>
      <c r="I27" s="32">
        <v>0.95</v>
      </c>
      <c r="J27" s="33"/>
    </row>
    <row r="28" spans="2:10">
      <c r="B28" s="1" t="s">
        <v>73</v>
      </c>
      <c r="C28" s="20" t="s">
        <v>74</v>
      </c>
      <c r="D28" s="29" t="s">
        <v>75</v>
      </c>
      <c r="E28" s="30"/>
      <c r="F28" s="30" t="s">
        <v>34</v>
      </c>
      <c r="G28" s="31">
        <v>58</v>
      </c>
      <c r="H28" s="32">
        <v>8.7200000000000006</v>
      </c>
      <c r="I28" s="32">
        <v>0.92</v>
      </c>
      <c r="J28" s="33"/>
    </row>
    <row r="29" spans="2:10">
      <c r="B29" s="1" t="s">
        <v>76</v>
      </c>
      <c r="C29" s="20" t="s">
        <v>77</v>
      </c>
      <c r="D29" s="29" t="s">
        <v>78</v>
      </c>
      <c r="E29" s="30"/>
      <c r="F29" s="30" t="s">
        <v>34</v>
      </c>
      <c r="G29" s="31">
        <v>2239</v>
      </c>
      <c r="H29" s="32">
        <v>7.74</v>
      </c>
      <c r="I29" s="32">
        <v>0.82</v>
      </c>
      <c r="J29" s="33"/>
    </row>
    <row r="30" spans="2:10">
      <c r="B30" s="1" t="s">
        <v>79</v>
      </c>
      <c r="C30" s="20" t="s">
        <v>80</v>
      </c>
      <c r="D30" s="29" t="s">
        <v>81</v>
      </c>
      <c r="E30" s="30"/>
      <c r="F30" s="30" t="s">
        <v>34</v>
      </c>
      <c r="G30" s="31">
        <v>884</v>
      </c>
      <c r="H30" s="32">
        <v>7.32</v>
      </c>
      <c r="I30" s="32">
        <v>0.77</v>
      </c>
      <c r="J30" s="33"/>
    </row>
    <row r="31" spans="2:10">
      <c r="B31" s="1" t="s">
        <v>82</v>
      </c>
      <c r="C31" s="20" t="s">
        <v>83</v>
      </c>
      <c r="D31" s="29" t="s">
        <v>84</v>
      </c>
      <c r="E31" s="30"/>
      <c r="F31" s="30" t="s">
        <v>53</v>
      </c>
      <c r="G31" s="31">
        <v>763</v>
      </c>
      <c r="H31" s="32">
        <v>6.56</v>
      </c>
      <c r="I31" s="32">
        <v>0.69</v>
      </c>
      <c r="J31" s="33"/>
    </row>
    <row r="32" spans="2:10">
      <c r="B32" s="1" t="s">
        <v>85</v>
      </c>
      <c r="C32" s="20" t="s">
        <v>86</v>
      </c>
      <c r="D32" s="29" t="s">
        <v>87</v>
      </c>
      <c r="E32" s="30"/>
      <c r="F32" s="30" t="s">
        <v>60</v>
      </c>
      <c r="G32" s="31">
        <v>809</v>
      </c>
      <c r="H32" s="32">
        <v>6.16</v>
      </c>
      <c r="I32" s="32">
        <v>0.65</v>
      </c>
      <c r="J32" s="33"/>
    </row>
    <row r="33" spans="2:10">
      <c r="B33" s="1" t="s">
        <v>88</v>
      </c>
      <c r="C33" s="20" t="s">
        <v>89</v>
      </c>
      <c r="D33" s="29" t="s">
        <v>90</v>
      </c>
      <c r="E33" s="30"/>
      <c r="F33" s="30" t="s">
        <v>34</v>
      </c>
      <c r="G33" s="31">
        <v>2648</v>
      </c>
      <c r="H33" s="32">
        <v>4.95</v>
      </c>
      <c r="I33" s="32">
        <v>0.52</v>
      </c>
      <c r="J33" s="33"/>
    </row>
    <row r="34" spans="2:10">
      <c r="C34" s="28" t="s">
        <v>91</v>
      </c>
      <c r="D34" s="29"/>
      <c r="E34" s="30"/>
      <c r="F34" s="30"/>
      <c r="G34" s="31"/>
      <c r="H34" s="35">
        <v>931.81</v>
      </c>
      <c r="I34" s="35">
        <v>98.2</v>
      </c>
      <c r="J34" s="33"/>
    </row>
    <row r="35" spans="2:10">
      <c r="C35" s="20"/>
      <c r="D35" s="29"/>
      <c r="E35" s="30"/>
      <c r="F35" s="30"/>
      <c r="G35" s="31"/>
      <c r="H35" s="32"/>
      <c r="I35" s="32"/>
      <c r="J35" s="33"/>
    </row>
    <row r="36" spans="2:10">
      <c r="C36" s="28" t="s">
        <v>92</v>
      </c>
      <c r="D36" s="29"/>
      <c r="E36" s="30"/>
      <c r="F36" s="30"/>
      <c r="G36" s="31"/>
      <c r="H36" s="32" t="s">
        <v>93</v>
      </c>
      <c r="I36" s="32" t="s">
        <v>93</v>
      </c>
      <c r="J36" s="33"/>
    </row>
    <row r="37" spans="2:10">
      <c r="C37" s="20"/>
      <c r="D37" s="29"/>
      <c r="E37" s="30"/>
      <c r="F37" s="30"/>
      <c r="G37" s="31"/>
      <c r="H37" s="32"/>
      <c r="I37" s="32"/>
      <c r="J37" s="33"/>
    </row>
    <row r="38" spans="2:10">
      <c r="C38" s="28" t="s">
        <v>94</v>
      </c>
      <c r="D38" s="29"/>
      <c r="E38" s="30"/>
      <c r="F38" s="30"/>
      <c r="G38" s="31"/>
      <c r="H38" s="32" t="s">
        <v>93</v>
      </c>
      <c r="I38" s="32" t="s">
        <v>93</v>
      </c>
      <c r="J38" s="33"/>
    </row>
    <row r="39" spans="2:10">
      <c r="C39" s="20"/>
      <c r="D39" s="29"/>
      <c r="E39" s="30"/>
      <c r="F39" s="30"/>
      <c r="G39" s="31"/>
      <c r="H39" s="32"/>
      <c r="I39" s="32"/>
      <c r="J39" s="33"/>
    </row>
    <row r="40" spans="2:10">
      <c r="C40" s="28" t="s">
        <v>95</v>
      </c>
      <c r="D40" s="29"/>
      <c r="E40" s="30"/>
      <c r="F40" s="30"/>
      <c r="G40" s="31"/>
      <c r="H40" s="32"/>
      <c r="I40" s="32"/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96</v>
      </c>
      <c r="D42" s="29"/>
      <c r="E42" s="30"/>
      <c r="F42" s="30"/>
      <c r="G42" s="31"/>
      <c r="H42" s="32" t="s">
        <v>93</v>
      </c>
      <c r="I42" s="32" t="s">
        <v>93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97</v>
      </c>
      <c r="D44" s="29"/>
      <c r="E44" s="30"/>
      <c r="F44" s="30"/>
      <c r="G44" s="31"/>
      <c r="H44" s="32" t="s">
        <v>93</v>
      </c>
      <c r="I44" s="32" t="s">
        <v>93</v>
      </c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98</v>
      </c>
      <c r="D46" s="29"/>
      <c r="E46" s="30"/>
      <c r="F46" s="30"/>
      <c r="G46" s="31"/>
      <c r="H46" s="32" t="s">
        <v>93</v>
      </c>
      <c r="I46" s="32" t="s">
        <v>93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99</v>
      </c>
      <c r="D48" s="29"/>
      <c r="E48" s="30"/>
      <c r="F48" s="30"/>
      <c r="G48" s="31"/>
      <c r="H48" s="32" t="s">
        <v>93</v>
      </c>
      <c r="I48" s="32" t="s">
        <v>93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100</v>
      </c>
      <c r="D50" s="29"/>
      <c r="E50" s="30"/>
      <c r="F50" s="30"/>
      <c r="G50" s="31"/>
      <c r="H50" s="32" t="s">
        <v>93</v>
      </c>
      <c r="I50" s="32" t="s">
        <v>93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101</v>
      </c>
      <c r="D52" s="29"/>
      <c r="E52" s="30"/>
      <c r="F52" s="30"/>
      <c r="G52" s="31"/>
      <c r="H52" s="32"/>
      <c r="I52" s="32"/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102</v>
      </c>
      <c r="D54" s="29"/>
      <c r="E54" s="30"/>
      <c r="F54" s="30"/>
      <c r="G54" s="31"/>
      <c r="H54" s="32" t="s">
        <v>93</v>
      </c>
      <c r="I54" s="32" t="s">
        <v>93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103</v>
      </c>
      <c r="D56" s="29"/>
      <c r="E56" s="30"/>
      <c r="F56" s="30"/>
      <c r="G56" s="31"/>
      <c r="H56" s="32" t="s">
        <v>93</v>
      </c>
      <c r="I56" s="32" t="s">
        <v>93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104</v>
      </c>
      <c r="D58" s="29"/>
      <c r="E58" s="30"/>
      <c r="F58" s="30"/>
      <c r="G58" s="31"/>
      <c r="H58" s="32" t="s">
        <v>93</v>
      </c>
      <c r="I58" s="32" t="s">
        <v>93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105</v>
      </c>
      <c r="D60" s="29"/>
      <c r="E60" s="30"/>
      <c r="F60" s="30"/>
      <c r="G60" s="31"/>
      <c r="H60" s="32" t="s">
        <v>93</v>
      </c>
      <c r="I60" s="32" t="s">
        <v>93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106</v>
      </c>
      <c r="D62" s="29"/>
      <c r="E62" s="30"/>
      <c r="F62" s="30"/>
      <c r="G62" s="31"/>
      <c r="H62" s="32"/>
      <c r="I62" s="32"/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107</v>
      </c>
      <c r="D64" s="29"/>
      <c r="E64" s="30"/>
      <c r="F64" s="30"/>
      <c r="G64" s="31"/>
      <c r="H64" s="32" t="s">
        <v>93</v>
      </c>
      <c r="I64" s="32" t="s">
        <v>93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108</v>
      </c>
      <c r="D66" s="29"/>
      <c r="E66" s="30"/>
      <c r="F66" s="30"/>
      <c r="G66" s="31"/>
      <c r="H66" s="32" t="s">
        <v>93</v>
      </c>
      <c r="I66" s="32" t="s">
        <v>93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109</v>
      </c>
      <c r="D68" s="29"/>
      <c r="E68" s="30"/>
      <c r="F68" s="30"/>
      <c r="G68" s="31"/>
      <c r="H68" s="32" t="s">
        <v>93</v>
      </c>
      <c r="I68" s="32" t="s">
        <v>93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110</v>
      </c>
      <c r="D70" s="29"/>
      <c r="E70" s="30"/>
      <c r="F70" s="30"/>
      <c r="G70" s="31"/>
      <c r="H70" s="32" t="s">
        <v>93</v>
      </c>
      <c r="I70" s="32" t="s">
        <v>93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111</v>
      </c>
      <c r="D72" s="29"/>
      <c r="E72" s="30"/>
      <c r="F72" s="30"/>
      <c r="G72" s="31"/>
      <c r="H72" s="32" t="s">
        <v>93</v>
      </c>
      <c r="I72" s="32" t="s">
        <v>93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A74" s="26"/>
      <c r="B74" s="27"/>
      <c r="C74" s="28" t="s">
        <v>112</v>
      </c>
      <c r="D74" s="29"/>
      <c r="E74" s="30"/>
      <c r="F74" s="30"/>
      <c r="G74" s="31"/>
      <c r="H74" s="32"/>
      <c r="I74" s="32"/>
      <c r="J74" s="33"/>
    </row>
    <row r="75" spans="1:10">
      <c r="B75" s="1"/>
      <c r="C75" s="20" t="s">
        <v>113</v>
      </c>
      <c r="D75" s="29"/>
      <c r="E75" s="30"/>
      <c r="F75" s="30"/>
      <c r="G75" s="31"/>
      <c r="H75" s="32">
        <v>17.010000000000002</v>
      </c>
      <c r="I75" s="32">
        <v>1.8</v>
      </c>
      <c r="J75" s="33"/>
    </row>
    <row r="76" spans="1:10">
      <c r="C76" s="28" t="s">
        <v>91</v>
      </c>
      <c r="D76" s="29"/>
      <c r="E76" s="30"/>
      <c r="F76" s="30"/>
      <c r="G76" s="31"/>
      <c r="H76" s="35">
        <v>17.010000000000002</v>
      </c>
      <c r="I76" s="35">
        <v>1.8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 ht="13.8" thickBot="1">
      <c r="C78" s="36" t="s">
        <v>114</v>
      </c>
      <c r="D78" s="37"/>
      <c r="E78" s="38"/>
      <c r="F78" s="39"/>
      <c r="G78" s="40"/>
      <c r="H78" s="41">
        <v>948.82</v>
      </c>
      <c r="I78" s="41">
        <f>SUMIFS(I:I,C:C,"Total")</f>
        <v>100</v>
      </c>
      <c r="J78" s="42"/>
    </row>
    <row r="81" spans="3:3">
      <c r="C81" s="11" t="s">
        <v>115</v>
      </c>
    </row>
    <row r="82" spans="3:3">
      <c r="C82" s="2" t="s">
        <v>116</v>
      </c>
    </row>
    <row r="83" spans="3:3">
      <c r="C83" s="2" t="s">
        <v>117</v>
      </c>
    </row>
    <row r="84" spans="3:3">
      <c r="C84" s="2" t="s">
        <v>118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:I18"/>
    </sheetView>
  </sheetViews>
  <sheetFormatPr defaultRowHeight="14.4"/>
  <cols>
    <col min="1" max="1" width="44.66406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119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120</v>
      </c>
      <c r="B5" s="46" t="s">
        <v>121</v>
      </c>
      <c r="C5" s="46"/>
      <c r="D5" s="46" t="s">
        <v>122</v>
      </c>
      <c r="E5" s="46"/>
      <c r="F5" s="46" t="s">
        <v>123</v>
      </c>
      <c r="G5" s="46"/>
      <c r="H5" s="46" t="s">
        <v>124</v>
      </c>
      <c r="I5" s="46"/>
    </row>
    <row r="6" spans="1:9" ht="66">
      <c r="A6" s="47"/>
      <c r="B6" s="48" t="s">
        <v>125</v>
      </c>
      <c r="C6" s="48" t="s">
        <v>126</v>
      </c>
      <c r="D6" s="48" t="s">
        <v>125</v>
      </c>
      <c r="E6" s="48" t="s">
        <v>126</v>
      </c>
      <c r="F6" s="48" t="s">
        <v>125</v>
      </c>
      <c r="G6" s="48" t="s">
        <v>126</v>
      </c>
      <c r="H6" s="48" t="s">
        <v>125</v>
      </c>
      <c r="I6" s="48" t="s">
        <v>126</v>
      </c>
    </row>
    <row r="7" spans="1:9">
      <c r="A7" s="49" t="s">
        <v>127</v>
      </c>
      <c r="B7" s="50">
        <v>5.4263565891472965</v>
      </c>
      <c r="C7" s="50">
        <v>10542.635658914729</v>
      </c>
      <c r="D7" s="50">
        <v>10.088295342222576</v>
      </c>
      <c r="E7" s="50">
        <v>13338.5641428011</v>
      </c>
      <c r="F7" s="50">
        <v>8.7091378738225487</v>
      </c>
      <c r="G7" s="50">
        <v>15178.571428571429</v>
      </c>
      <c r="H7" s="50">
        <v>12.754473789418475</v>
      </c>
      <c r="I7" s="50">
        <v>34000</v>
      </c>
    </row>
    <row r="8" spans="1:9">
      <c r="A8" s="49" t="s">
        <v>128</v>
      </c>
      <c r="B8" s="50">
        <v>10.692070631479478</v>
      </c>
      <c r="C8" s="50">
        <v>11069.207063147947</v>
      </c>
      <c r="D8" s="50">
        <v>10.031482532382508</v>
      </c>
      <c r="E8" s="50">
        <v>13321.431430361377</v>
      </c>
      <c r="F8" s="50">
        <v>9.0758001973732618</v>
      </c>
      <c r="G8" s="50">
        <v>15439.813091177441</v>
      </c>
      <c r="H8" s="50">
        <v>15.622095365342892</v>
      </c>
      <c r="I8" s="50">
        <v>43903.422749248719</v>
      </c>
    </row>
    <row r="9" spans="1:9">
      <c r="A9" s="49" t="s">
        <v>129</v>
      </c>
      <c r="B9" s="50">
        <v>10.235050939379086</v>
      </c>
      <c r="C9" s="50">
        <v>11023.505093937909</v>
      </c>
      <c r="D9" s="50">
        <v>16.976851202855837</v>
      </c>
      <c r="E9" s="50">
        <v>16006.625364245259</v>
      </c>
      <c r="F9" s="50">
        <v>12.626505620538641</v>
      </c>
      <c r="G9" s="50">
        <v>18121.871599718976</v>
      </c>
      <c r="H9" s="50">
        <v>14.638681456485925</v>
      </c>
      <c r="I9" s="50">
        <v>40243.005284625884</v>
      </c>
    </row>
    <row r="10" spans="1:9">
      <c r="A10" s="49" t="s">
        <v>130</v>
      </c>
      <c r="B10" s="51">
        <v>32.25</v>
      </c>
      <c r="C10" s="52"/>
      <c r="D10" s="51">
        <v>25.49</v>
      </c>
      <c r="E10" s="52"/>
      <c r="F10" s="51">
        <v>22.4</v>
      </c>
      <c r="G10" s="52"/>
      <c r="H10" s="51">
        <v>10</v>
      </c>
      <c r="I10" s="52"/>
    </row>
    <row r="12" spans="1:9" ht="15.6">
      <c r="A12" s="43" t="s">
        <v>131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120</v>
      </c>
      <c r="B13" s="46" t="s">
        <v>121</v>
      </c>
      <c r="C13" s="46"/>
      <c r="D13" s="46" t="s">
        <v>122</v>
      </c>
      <c r="E13" s="46"/>
      <c r="F13" s="46" t="s">
        <v>123</v>
      </c>
      <c r="G13" s="46"/>
      <c r="H13" s="46" t="s">
        <v>124</v>
      </c>
      <c r="I13" s="46"/>
    </row>
    <row r="14" spans="1:9" ht="66">
      <c r="A14" s="47"/>
      <c r="B14" s="48" t="s">
        <v>125</v>
      </c>
      <c r="C14" s="48" t="s">
        <v>126</v>
      </c>
      <c r="D14" s="48" t="s">
        <v>125</v>
      </c>
      <c r="E14" s="48" t="s">
        <v>126</v>
      </c>
      <c r="F14" s="48" t="s">
        <v>125</v>
      </c>
      <c r="G14" s="48" t="s">
        <v>126</v>
      </c>
      <c r="H14" s="48" t="s">
        <v>125</v>
      </c>
      <c r="I14" s="48" t="s">
        <v>126</v>
      </c>
    </row>
    <row r="15" spans="1:9">
      <c r="A15" s="49" t="s">
        <v>127</v>
      </c>
      <c r="B15" s="50">
        <v>6.2053188447240615</v>
      </c>
      <c r="C15" s="50">
        <v>10620.531884472404</v>
      </c>
      <c r="D15" s="50">
        <v>10.924048542261279</v>
      </c>
      <c r="E15" s="50">
        <v>13644.379132990449</v>
      </c>
      <c r="F15" s="50">
        <v>9.5821026043331869</v>
      </c>
      <c r="G15" s="50">
        <v>15797.532964695874</v>
      </c>
      <c r="H15" s="50">
        <v>11.016066124760492</v>
      </c>
      <c r="I15" s="50">
        <v>27208.791208791208</v>
      </c>
    </row>
    <row r="16" spans="1:9">
      <c r="A16" s="49" t="s">
        <v>128</v>
      </c>
      <c r="B16" s="50">
        <v>10.692070631479478</v>
      </c>
      <c r="C16" s="50">
        <v>11069.207063147947</v>
      </c>
      <c r="D16" s="50">
        <v>10.031482532382508</v>
      </c>
      <c r="E16" s="50">
        <v>13321.431430361377</v>
      </c>
      <c r="F16" s="50">
        <v>9.0758001973732618</v>
      </c>
      <c r="G16" s="50">
        <v>15439.813091177441</v>
      </c>
      <c r="H16" s="50">
        <v>12.702201089450348</v>
      </c>
      <c r="I16" s="50">
        <v>31434.950157130064</v>
      </c>
    </row>
    <row r="17" spans="1:9">
      <c r="A17" s="49" t="s">
        <v>129</v>
      </c>
      <c r="B17" s="50">
        <v>10.235050939379086</v>
      </c>
      <c r="C17" s="50">
        <v>11023.505093937909</v>
      </c>
      <c r="D17" s="50">
        <v>16.976851202855837</v>
      </c>
      <c r="E17" s="50">
        <v>16006.625364245259</v>
      </c>
      <c r="F17" s="50">
        <v>12.626505620538641</v>
      </c>
      <c r="G17" s="50">
        <v>18121.871599718976</v>
      </c>
      <c r="H17" s="50">
        <v>13.009933760250171</v>
      </c>
      <c r="I17" s="50">
        <v>32266.759762035792</v>
      </c>
    </row>
    <row r="18" spans="1:9">
      <c r="A18" s="49" t="s">
        <v>132</v>
      </c>
      <c r="B18" s="51">
        <v>34.97</v>
      </c>
      <c r="C18" s="52"/>
      <c r="D18" s="51">
        <v>27.22</v>
      </c>
      <c r="E18" s="52"/>
      <c r="F18" s="51">
        <v>23.51</v>
      </c>
      <c r="G18" s="52"/>
      <c r="H18" s="51">
        <v>13.65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2022-08-01T06:49:19Z</dcterms:created>
  <dcterms:modified xsi:type="dcterms:W3CDTF">2022-08-05T06:34:01Z</dcterms:modified>
</cp:coreProperties>
</file>