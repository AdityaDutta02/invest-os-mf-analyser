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Portfolio'!$C$8:$C$50</definedName>
    <definedName name="XDO_?FINAL_ISIN?11?">'TSS-Risk-O-Meter &amp; Portfolio'!$D$10:$D$50</definedName>
    <definedName name="XDO_?FINAL_ISIN?12?">'TSS-Risk-O-Meter &amp; Portfolio'!$D$10:$D$54</definedName>
    <definedName name="XDO_?FINAL_ISIN?13?">'TSS-Risk-O-Meter &amp; Portfolio'!$D$10:$D$94</definedName>
    <definedName name="XDO_?FINAL_MV?11?">'TSS-Risk-O-Meter &amp; Portfolio'!$H$10:$H$50</definedName>
    <definedName name="XDO_?FINAL_MV?12?">'TSS-Risk-O-Meter &amp; Portfolio'!$H$10:$H$54</definedName>
    <definedName name="XDO_?FINAL_MV?13?">'TSS-Risk-O-Meter &amp; Portfolio'!$H$10:$H$94</definedName>
    <definedName name="XDO_?FINAL_NAME?11?">'TSS-Risk-O-Meter &amp; Portfolio'!$C$10:$C$50</definedName>
    <definedName name="XDO_?FINAL_NAME?12?">'TSS-Risk-O-Meter &amp; Portfolio'!$C$10:$C$54</definedName>
    <definedName name="XDO_?FINAL_NAME?13?">'TSS-Risk-O-Meter &amp; Portfolio'!$C$10:$C$94</definedName>
    <definedName name="XDO_?FINAL_PER_NET?11?">'TSS-Risk-O-Meter &amp; Portfolio'!$I$10:$I$50</definedName>
    <definedName name="XDO_?FINAL_PER_NET?12?">'TSS-Risk-O-Meter &amp; Portfolio'!$I$10:$I$54</definedName>
    <definedName name="XDO_?FINAL_PER_NET?13?">'TSS-Risk-O-Meter &amp; Portfolio'!$I$10:$I$94</definedName>
    <definedName name="XDO_?FINAL_QUANTITE?11?">'TSS-Risk-O-Meter &amp; Portfolio'!$G$10:$G$50</definedName>
    <definedName name="XDO_?FINAL_QUANTITE?12?">'TSS-Risk-O-Meter &amp; Portfolio'!$G$10:$G$54</definedName>
    <definedName name="XDO_?FINAL_QUANTITE?13?">'TSS-Risk-O-Meter &amp; Portfolio'!$G$10:$G$94</definedName>
    <definedName name="XDO_?IND_01?11?">'TSS-Risk-O-Meter &amp; Portfolio'!$F$10:$F$50</definedName>
    <definedName name="XDO_?IND_01?12?">'TSS-Risk-O-Meter &amp; Portfolio'!$F$10:$F$54</definedName>
    <definedName name="XDO_?IND_01?13?">'TSS-Risk-O-Meter &amp; Portfolio'!$F$10:$F$94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Portfolio'!$B$10:$B$50</definedName>
    <definedName name="XDO_?NOVAL?12?">'TSS-Risk-O-Meter &amp; Portfolio'!$B$10:$B$54</definedName>
    <definedName name="XDO_?NOVAL?13?">'TSS-Risk-O-Meter &amp; Portfolio'!$B$10:$B$94</definedName>
    <definedName name="XDO_?NPTF?6?">'TSS-Risk-O-Meter &amp; Portfolio'!$D$2:$D$50</definedName>
    <definedName name="XDO_?RATING?11?">'TSS-Risk-O-Meter &amp; Portfolio'!$E$10:$E$50</definedName>
    <definedName name="XDO_?RATING?12?">'TSS-Risk-O-Meter &amp; Portfolio'!$E$10:$E$54</definedName>
    <definedName name="XDO_?RATING?13?">'TSS-Risk-O-Meter &amp; Portfolio'!$E$10:$E$94</definedName>
    <definedName name="XDO_?REMARKS?11?">'TSS-Risk-O-Meter &amp; Portfolio'!$J$10:$J$50</definedName>
    <definedName name="XDO_?REMARKS?12?">'TSS-Risk-O-Meter &amp; Portfolio'!$J$10:$J$54</definedName>
    <definedName name="XDO_?REMARKS?13?">'TSS-Risk-O-Meter &amp; Portfolio'!$J$10:$J$94</definedName>
    <definedName name="XDO_?TITL?6?">'TSS-Risk-O-Meter &amp; Portfolio'!$A$8:$A$50</definedName>
    <definedName name="XDO_GROUP_?G_2?6?">'TSS-Risk-O-Meter &amp; Portfolio'!$2:$97</definedName>
    <definedName name="XDO_GROUP_?G_3?6?">'TSS-Risk-O-Meter &amp; Portfolio'!$8:$96</definedName>
    <definedName name="XDO_GROUP_?G_4?11?">'TSS-Risk-O-Meter &amp; Portfolio'!$B$10:$IV$50</definedName>
    <definedName name="XDO_GROUP_?G_4?12?">'TSS-Risk-O-Meter &amp; Portfolio'!$B$54:$IV$54</definedName>
    <definedName name="XDO_GROUP_?G_4?13?">'TSS-Risk-O-Meter &amp; Portfolio'!$B$94:$IV$94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1"/>
</calcChain>
</file>

<file path=xl/sharedStrings.xml><?xml version="1.0" encoding="utf-8"?>
<sst xmlns="http://schemas.openxmlformats.org/spreadsheetml/2006/main" count="281" uniqueCount="207">
  <si>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</si>
  <si>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</si>
  <si>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</si>
  <si>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</si>
  <si>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</si>
  <si>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</si>
  <si>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</si>
  <si>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</si>
  <si>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</si>
  <si>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</si>
  <si>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</si>
  <si>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</si>
  <si>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</si>
  <si>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</si>
  <si>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</si>
  <si>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100418</t>
  </si>
  <si>
    <t>Adani Enterprises Ltd.</t>
  </si>
  <si>
    <t>INE423A01024</t>
  </si>
  <si>
    <t>Metals &amp; Minerals Trading</t>
  </si>
  <si>
    <t>100183</t>
  </si>
  <si>
    <t>Vedanta Ltd.</t>
  </si>
  <si>
    <t>INE205A01025</t>
  </si>
  <si>
    <t>Diversified Metals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</si>
  <si>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</si>
  <si>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</si>
  <si>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</si>
  <si>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</si>
  <si>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</si>
  <si>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</si>
  <si>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INE237A01028</t>
  </si>
  <si>
    <t>Banks</t>
  </si>
  <si>
    <t>100461</t>
  </si>
  <si>
    <t>Astral Limited</t>
  </si>
  <si>
    <t>INE006I01046</t>
  </si>
  <si>
    <t>Industrial Products</t>
  </si>
  <si>
    <t>100282</t>
  </si>
  <si>
    <t>Blue Star Ltd.</t>
  </si>
  <si>
    <t>INE472A01039</t>
  </si>
  <si>
    <t>Consumer Durables</t>
  </si>
  <si>
    <t>100273</t>
  </si>
  <si>
    <t>Havells India Ltd.</t>
  </si>
  <si>
    <t>INE176B01034</t>
  </si>
  <si>
    <t>100314</t>
  </si>
  <si>
    <t>SRF Ltd.</t>
  </si>
  <si>
    <t>INE647A01010</t>
  </si>
  <si>
    <t>Chemicals &amp; Petrochemicals</t>
  </si>
  <si>
    <t>101617</t>
  </si>
  <si>
    <t>Macrotech Developers Ltd.</t>
  </si>
  <si>
    <t>INE670K01029</t>
  </si>
  <si>
    <t>Realty</t>
  </si>
  <si>
    <t>100108</t>
  </si>
  <si>
    <t>Adani Ports and Special Economic Zone Ltd.</t>
  </si>
  <si>
    <t>INE742F01042</t>
  </si>
  <si>
    <t>Transport Infrastructure</t>
  </si>
  <si>
    <t>100335</t>
  </si>
  <si>
    <t>Kajaria Ceramics Ltd.</t>
  </si>
  <si>
    <t>INE217B01036</t>
  </si>
  <si>
    <t>100302</t>
  </si>
  <si>
    <t>DLF Ltd.</t>
  </si>
  <si>
    <t>INE271C01023</t>
  </si>
  <si>
    <t>100178</t>
  </si>
  <si>
    <t>Ambuja Cements Ltd.</t>
  </si>
  <si>
    <t>INE079A01024</t>
  </si>
  <si>
    <t>Cement &amp; Cement Products</t>
  </si>
  <si>
    <t>100139</t>
  </si>
  <si>
    <t>UPL Ltd.</t>
  </si>
  <si>
    <t>INE628A01036</t>
  </si>
  <si>
    <t>Fertilizers &amp; Agrochemicals</t>
  </si>
  <si>
    <t>100180</t>
  </si>
  <si>
    <t>Hindalco Industries Ltd.</t>
  </si>
  <si>
    <t>INE038A01020</t>
  </si>
  <si>
    <t>Non - Ferrous Metals</t>
  </si>
  <si>
    <t>100012</t>
  </si>
  <si>
    <t>ICICI Bank Ltd.</t>
  </si>
  <si>
    <t>INE090A01021</t>
  </si>
  <si>
    <t>100654</t>
  </si>
  <si>
    <t>Automotive Axles Ltd.</t>
  </si>
  <si>
    <t>INE449A01011</t>
  </si>
  <si>
    <t>Auto Components</t>
  </si>
  <si>
    <t>100372</t>
  </si>
  <si>
    <t>Apollo Tyres Ltd.</t>
  </si>
  <si>
    <t>INE438A01022</t>
  </si>
  <si>
    <t>100315</t>
  </si>
  <si>
    <t>Prestige Estates Projects Ltd.</t>
  </si>
  <si>
    <t>INE811K01011</t>
  </si>
  <si>
    <t>100896</t>
  </si>
  <si>
    <t>Polycab India Ltd.</t>
  </si>
  <si>
    <t>INE455K01017</t>
  </si>
  <si>
    <t>100027</t>
  </si>
  <si>
    <t>Pidilite Industries Ltd.</t>
  </si>
  <si>
    <t>INE318A01026</t>
  </si>
  <si>
    <t>100235</t>
  </si>
  <si>
    <t>CRISIL Ltd.</t>
  </si>
  <si>
    <t>INE007A01025</t>
  </si>
  <si>
    <t>Finance</t>
  </si>
  <si>
    <t>100255</t>
  </si>
  <si>
    <t>PNC Infratech Ltd.</t>
  </si>
  <si>
    <t>INE195J01029</t>
  </si>
  <si>
    <t>Construction</t>
  </si>
  <si>
    <t>101229</t>
  </si>
  <si>
    <t>Jubilant Ingrevia Ltd.</t>
  </si>
  <si>
    <t>INE0BY001018</t>
  </si>
  <si>
    <t>100447</t>
  </si>
  <si>
    <t>Larsen &amp; Toubro Infotech Ltd.</t>
  </si>
  <si>
    <t>INE214T01019</t>
  </si>
  <si>
    <t>IT - Software</t>
  </si>
  <si>
    <t>100059</t>
  </si>
  <si>
    <t>Godrej Industries Ltd.</t>
  </si>
  <si>
    <t>INE233A01035</t>
  </si>
  <si>
    <t>Food Products</t>
  </si>
  <si>
    <t>100388</t>
  </si>
  <si>
    <t>Balrampur Chini Mills Ltd.</t>
  </si>
  <si>
    <t>INE119A01028</t>
  </si>
  <si>
    <t>Agricultural Food &amp; other Products</t>
  </si>
  <si>
    <t>100172</t>
  </si>
  <si>
    <t>ACC Ltd.</t>
  </si>
  <si>
    <t>INE012A01025</t>
  </si>
  <si>
    <t>100425</t>
  </si>
  <si>
    <t>Chambal Fertilisers and Chemicals Ltd.</t>
  </si>
  <si>
    <t>INE085A01013</t>
  </si>
  <si>
    <t>101306</t>
  </si>
  <si>
    <t>Apollo Pipes Ltd.</t>
  </si>
  <si>
    <t>INE126J01016</t>
  </si>
  <si>
    <t>101412</t>
  </si>
  <si>
    <t>Punjab Chemicals &amp; Crop Protection Ltd.</t>
  </si>
  <si>
    <t>INE277B01014</t>
  </si>
  <si>
    <t>100690</t>
  </si>
  <si>
    <t>IG Petrochemicals Ltd.</t>
  </si>
  <si>
    <t>INE204A01010</t>
  </si>
  <si>
    <t>100080</t>
  </si>
  <si>
    <t>Dr. Reddy's Laboratories Ltd.</t>
  </si>
  <si>
    <t>INE089A01023</t>
  </si>
  <si>
    <t>Pharmaceuticals &amp; Biotechnology</t>
  </si>
  <si>
    <t>100115</t>
  </si>
  <si>
    <t>Siemens Ltd.</t>
  </si>
  <si>
    <t>INE003A01024</t>
  </si>
  <si>
    <t>Electrical Equipment</t>
  </si>
  <si>
    <t>100571</t>
  </si>
  <si>
    <t>KNR Constructions Ltd.</t>
  </si>
  <si>
    <t>INE634I01029</t>
  </si>
  <si>
    <t>100570</t>
  </si>
  <si>
    <t>K.P.R. Mill Ltd.</t>
  </si>
  <si>
    <t>INE930H01031</t>
  </si>
  <si>
    <t>Textiles &amp; Apparels</t>
  </si>
  <si>
    <t>100821</t>
  </si>
  <si>
    <t>TTK Prestige Ltd.</t>
  </si>
  <si>
    <t>INE690A01028</t>
  </si>
  <si>
    <t>101348</t>
  </si>
  <si>
    <t>Ami Organics Ltd.</t>
  </si>
  <si>
    <t>INE00FF01017</t>
  </si>
  <si>
    <t>100162</t>
  </si>
  <si>
    <t>Kirloskar Oil Engines Ltd.</t>
  </si>
  <si>
    <t>INE146L01010</t>
  </si>
  <si>
    <t>101623</t>
  </si>
  <si>
    <t>Piramal Pharma Ltd</t>
  </si>
  <si>
    <t>INE0DK501011</t>
  </si>
  <si>
    <t>100695</t>
  </si>
  <si>
    <t>Nilkamal Ltd.</t>
  </si>
  <si>
    <t>INE310A01015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</si>
  <si>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</si>
  <si>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</si>
  <si>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</si>
  <si>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</si>
  <si>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</si>
  <si>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</si>
  <si>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</si>
  <si>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</si>
  <si>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</si>
  <si>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</si>
  <si>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</si>
  <si>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</si>
  <si>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</si>
  <si>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</si>
  <si>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</si>
  <si>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</si>
  <si>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</si>
  <si>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</si>
  <si>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</si>
  <si>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</si>
  <si>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</si>
  <si>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</si>
  <si>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</si>
  <si>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</si>
  <si>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</si>
  <si>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</si>
  <si>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</si>
  <si>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</si>
  <si>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</si>
  <si>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</si>
  <si>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</si>
  <si>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</si>
  <si>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</si>
  <si>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</si>
  <si>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</si>
  <si>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</si>
  <si>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</si>
  <si>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</si>
  <si>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</si>
  <si>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</si>
  <si>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</si>
  <si>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</si>
  <si>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</si>
  <si>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</si>
  <si>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November 30, 2022 : 157.02)</t>
  </si>
  <si>
    <t>Taurus Flexi Cap Fund - Direct Plan Growth Option</t>
  </si>
  <si>
    <t>NAV [Rs.] Per Unit (as on November 30, 2022 : 163.11)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</si>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</sst>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110067</xdr:rowOff>
    </xdr:from>
    <xdr:to>
      <xdr:col>5</xdr:col>
      <xdr:colOff>15579</xdr:colOff>
      <xdr:row>0</xdr:row>
      <xdr:rowOff>2033355</xdr:rowOff>
    </xdr:to>
    <xdr:pic>
      <xdr:nvPicPr>
        <xdr:cNvPr id="2" name="Picture 1" descr="Felxi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10067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3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79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44895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30745</v>
      </c>
      <c r="H10" s="32">
        <v>1205.22</v>
      </c>
      <c r="I10" s="32">
        <v>4.59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372799</v>
      </c>
      <c r="H11" s="32">
        <v>1134.24</v>
      </c>
      <c r="I11" s="32">
        <v>4.32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85816</v>
      </c>
      <c r="H12" s="32">
        <v>1121.79</v>
      </c>
      <c r="I12" s="32">
        <v>4.2699999999999996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55898</v>
      </c>
      <c r="H13" s="32">
        <v>1087.55</v>
      </c>
      <c r="I13" s="32">
        <v>4.1399999999999997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57400</v>
      </c>
      <c r="H14" s="32">
        <v>1082.33</v>
      </c>
      <c r="I14" s="32">
        <v>4.12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85534</v>
      </c>
      <c r="H15" s="32">
        <v>1048.05</v>
      </c>
      <c r="I15" s="32">
        <v>3.99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38</v>
      </c>
      <c r="G16" s="31">
        <v>80696</v>
      </c>
      <c r="H16" s="32">
        <v>1012.25</v>
      </c>
      <c r="I16" s="32">
        <v>3.85</v>
      </c>
      <c r="J16" s="33"/>
    </row>
    <row r="17" spans="2:10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42378</v>
      </c>
      <c r="H17" s="32">
        <v>1001.5</v>
      </c>
      <c r="I17" s="32">
        <v>3.81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99455</v>
      </c>
      <c r="H18" s="32">
        <v>981.67</v>
      </c>
      <c r="I18" s="32">
        <v>3.74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106959</v>
      </c>
      <c r="H19" s="32">
        <v>942.58</v>
      </c>
      <c r="I19" s="32">
        <v>3.59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38</v>
      </c>
      <c r="G20" s="31">
        <v>78008</v>
      </c>
      <c r="H20" s="32">
        <v>897.72</v>
      </c>
      <c r="I20" s="32">
        <v>3.42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49</v>
      </c>
      <c r="G21" s="31">
        <v>218039</v>
      </c>
      <c r="H21" s="32">
        <v>878.15</v>
      </c>
      <c r="I21" s="32">
        <v>3.34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150000</v>
      </c>
      <c r="H22" s="32">
        <v>857.03</v>
      </c>
      <c r="I22" s="32">
        <v>3.26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108352</v>
      </c>
      <c r="H23" s="32">
        <v>855.98</v>
      </c>
      <c r="I23" s="32">
        <v>3.26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172722</v>
      </c>
      <c r="H24" s="32">
        <v>778.8</v>
      </c>
      <c r="I24" s="32">
        <v>2.97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30</v>
      </c>
      <c r="G25" s="31">
        <v>80669</v>
      </c>
      <c r="H25" s="32">
        <v>769.1</v>
      </c>
      <c r="I25" s="32">
        <v>2.93</v>
      </c>
      <c r="J25" s="33"/>
    </row>
    <row r="26" spans="2:10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38110</v>
      </c>
      <c r="H26" s="32">
        <v>764.2</v>
      </c>
      <c r="I26" s="32">
        <v>2.91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78</v>
      </c>
      <c r="G27" s="31">
        <v>229326</v>
      </c>
      <c r="H27" s="32">
        <v>725.47</v>
      </c>
      <c r="I27" s="32">
        <v>2.76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49</v>
      </c>
      <c r="G28" s="31">
        <v>149240</v>
      </c>
      <c r="H28" s="32">
        <v>708.14</v>
      </c>
      <c r="I28" s="32">
        <v>2.7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34</v>
      </c>
      <c r="G29" s="31">
        <v>25300</v>
      </c>
      <c r="H29" s="32">
        <v>648.78</v>
      </c>
      <c r="I29" s="32">
        <v>2.4700000000000002</v>
      </c>
      <c r="J29" s="33"/>
    </row>
    <row r="30" spans="2:10">
      <c r="B30" s="1" t="s">
        <v>88</v>
      </c>
      <c r="C30" s="20" t="s">
        <v>89</v>
      </c>
      <c r="D30" s="29" t="s">
        <v>90</v>
      </c>
      <c r="E30" s="30"/>
      <c r="F30" s="30" t="s">
        <v>45</v>
      </c>
      <c r="G30" s="31">
        <v>22292</v>
      </c>
      <c r="H30" s="32">
        <v>612.64</v>
      </c>
      <c r="I30" s="32">
        <v>2.33</v>
      </c>
      <c r="J30" s="33"/>
    </row>
    <row r="31" spans="2:10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19780</v>
      </c>
      <c r="H31" s="32">
        <v>578.55999999999995</v>
      </c>
      <c r="I31" s="32">
        <v>2.2000000000000002</v>
      </c>
      <c r="J31" s="33"/>
    </row>
    <row r="32" spans="2:10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197904</v>
      </c>
      <c r="H32" s="32">
        <v>545.13</v>
      </c>
      <c r="I32" s="32">
        <v>2.08</v>
      </c>
      <c r="J32" s="33"/>
    </row>
    <row r="33" spans="2:10">
      <c r="B33" s="1" t="s">
        <v>99</v>
      </c>
      <c r="C33" s="20" t="s">
        <v>100</v>
      </c>
      <c r="D33" s="29" t="s">
        <v>101</v>
      </c>
      <c r="E33" s="30"/>
      <c r="F33" s="30" t="s">
        <v>45</v>
      </c>
      <c r="G33" s="31">
        <v>92600</v>
      </c>
      <c r="H33" s="32">
        <v>497.54</v>
      </c>
      <c r="I33" s="32">
        <v>1.89</v>
      </c>
      <c r="J33" s="33"/>
    </row>
    <row r="34" spans="2:10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9800</v>
      </c>
      <c r="H34" s="32">
        <v>473.85</v>
      </c>
      <c r="I34" s="32">
        <v>1.8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100494</v>
      </c>
      <c r="H35" s="32">
        <v>465.84</v>
      </c>
      <c r="I35" s="32">
        <v>1.77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108600</v>
      </c>
      <c r="H36" s="32">
        <v>417.35</v>
      </c>
      <c r="I36" s="32">
        <v>1.59</v>
      </c>
      <c r="J36" s="33"/>
    </row>
    <row r="37" spans="2:10">
      <c r="B37" s="1" t="s">
        <v>114</v>
      </c>
      <c r="C37" s="20" t="s">
        <v>115</v>
      </c>
      <c r="D37" s="29" t="s">
        <v>116</v>
      </c>
      <c r="E37" s="30"/>
      <c r="F37" s="30" t="s">
        <v>63</v>
      </c>
      <c r="G37" s="31">
        <v>16000</v>
      </c>
      <c r="H37" s="32">
        <v>410.19</v>
      </c>
      <c r="I37" s="32">
        <v>1.56</v>
      </c>
      <c r="J37" s="33"/>
    </row>
    <row r="38" spans="2:10">
      <c r="B38" s="1" t="s">
        <v>117</v>
      </c>
      <c r="C38" s="20" t="s">
        <v>118</v>
      </c>
      <c r="D38" s="29" t="s">
        <v>119</v>
      </c>
      <c r="E38" s="30"/>
      <c r="F38" s="30" t="s">
        <v>67</v>
      </c>
      <c r="G38" s="31">
        <v>129773</v>
      </c>
      <c r="H38" s="32">
        <v>395.35</v>
      </c>
      <c r="I38" s="32">
        <v>1.51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34</v>
      </c>
      <c r="G39" s="31">
        <v>78601</v>
      </c>
      <c r="H39" s="32">
        <v>383.69</v>
      </c>
      <c r="I39" s="32">
        <v>1.46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67</v>
      </c>
      <c r="G40" s="31">
        <v>32454</v>
      </c>
      <c r="H40" s="32">
        <v>382.11</v>
      </c>
      <c r="I40" s="32">
        <v>1.46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45</v>
      </c>
      <c r="G41" s="31">
        <v>64823</v>
      </c>
      <c r="H41" s="32">
        <v>344.34</v>
      </c>
      <c r="I41" s="32">
        <v>1.31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7559</v>
      </c>
      <c r="H42" s="32">
        <v>339.09</v>
      </c>
      <c r="I42" s="32">
        <v>1.29</v>
      </c>
      <c r="J42" s="33"/>
    </row>
    <row r="43" spans="2:10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11465</v>
      </c>
      <c r="H43" s="32">
        <v>318.23</v>
      </c>
      <c r="I43" s="32">
        <v>1.21</v>
      </c>
      <c r="J43" s="33"/>
    </row>
    <row r="44" spans="2:10">
      <c r="B44" s="1" t="s">
        <v>137</v>
      </c>
      <c r="C44" s="20" t="s">
        <v>138</v>
      </c>
      <c r="D44" s="29" t="s">
        <v>139</v>
      </c>
      <c r="E44" s="30"/>
      <c r="F44" s="30" t="s">
        <v>98</v>
      </c>
      <c r="G44" s="31">
        <v>103891</v>
      </c>
      <c r="H44" s="32">
        <v>272.08999999999997</v>
      </c>
      <c r="I44" s="32">
        <v>1.04</v>
      </c>
      <c r="J44" s="33"/>
    </row>
    <row r="45" spans="2:10">
      <c r="B45" s="1" t="s">
        <v>140</v>
      </c>
      <c r="C45" s="20" t="s">
        <v>141</v>
      </c>
      <c r="D45" s="29" t="s">
        <v>142</v>
      </c>
      <c r="E45" s="30"/>
      <c r="F45" s="30" t="s">
        <v>143</v>
      </c>
      <c r="G45" s="31">
        <v>46480</v>
      </c>
      <c r="H45" s="32">
        <v>259.66000000000003</v>
      </c>
      <c r="I45" s="32">
        <v>0.99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38</v>
      </c>
      <c r="G46" s="31">
        <v>25837</v>
      </c>
      <c r="H46" s="32">
        <v>228.57</v>
      </c>
      <c r="I46" s="32">
        <v>0.87</v>
      </c>
      <c r="J46" s="33"/>
    </row>
    <row r="47" spans="2:10">
      <c r="B47" s="1" t="s">
        <v>147</v>
      </c>
      <c r="C47" s="20" t="s">
        <v>148</v>
      </c>
      <c r="D47" s="29" t="s">
        <v>149</v>
      </c>
      <c r="E47" s="30"/>
      <c r="F47" s="30" t="s">
        <v>132</v>
      </c>
      <c r="G47" s="31">
        <v>20500</v>
      </c>
      <c r="H47" s="32">
        <v>199.69</v>
      </c>
      <c r="I47" s="32">
        <v>0.76</v>
      </c>
      <c r="J47" s="33"/>
    </row>
    <row r="48" spans="2:10">
      <c r="B48" s="1" t="s">
        <v>150</v>
      </c>
      <c r="C48" s="20" t="s">
        <v>151</v>
      </c>
      <c r="D48" s="29" t="s">
        <v>152</v>
      </c>
      <c r="E48" s="30"/>
      <c r="F48" s="30" t="s">
        <v>34</v>
      </c>
      <c r="G48" s="31">
        <v>58423</v>
      </c>
      <c r="H48" s="32">
        <v>194.23</v>
      </c>
      <c r="I48" s="32">
        <v>0.74</v>
      </c>
      <c r="J48" s="33"/>
    </row>
    <row r="49" spans="2:10">
      <c r="B49" s="1" t="s">
        <v>153</v>
      </c>
      <c r="C49" s="20" t="s">
        <v>154</v>
      </c>
      <c r="D49" s="29" t="s">
        <v>155</v>
      </c>
      <c r="E49" s="30"/>
      <c r="F49" s="30" t="s">
        <v>132</v>
      </c>
      <c r="G49" s="31">
        <v>117476</v>
      </c>
      <c r="H49" s="32">
        <v>157.88999999999999</v>
      </c>
      <c r="I49" s="32">
        <v>0.6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38</v>
      </c>
      <c r="G50" s="31">
        <v>1905</v>
      </c>
      <c r="H50" s="32">
        <v>36.56</v>
      </c>
      <c r="I50" s="32">
        <v>0.14000000000000001</v>
      </c>
      <c r="J50" s="33"/>
    </row>
    <row r="51" spans="2:10">
      <c r="C51" s="28" t="s">
        <v>159</v>
      </c>
      <c r="D51" s="29"/>
      <c r="E51" s="30"/>
      <c r="F51" s="30"/>
      <c r="G51" s="31"/>
      <c r="H51" s="35">
        <v>26013.15</v>
      </c>
      <c r="I51" s="35">
        <v>99.04</v>
      </c>
      <c r="J51" s="33"/>
    </row>
    <row r="52" spans="2:10">
      <c r="C52" s="20"/>
      <c r="D52" s="29"/>
      <c r="E52" s="30"/>
      <c r="F52" s="30"/>
      <c r="G52" s="31"/>
      <c r="H52" s="32"/>
      <c r="I52" s="32"/>
      <c r="J52" s="33"/>
    </row>
    <row r="53" spans="2:10">
      <c r="C53" s="34" t="s">
        <v>160</v>
      </c>
      <c r="D53" s="29"/>
      <c r="E53" s="30"/>
      <c r="F53" s="30"/>
      <c r="G53" s="31"/>
      <c r="H53" s="32"/>
      <c r="I53" s="32"/>
      <c r="J53" s="33"/>
    </row>
    <row r="54" spans="2:10">
      <c r="B54" s="1" t="s">
        <v>161</v>
      </c>
      <c r="C54" s="20" t="s">
        <v>162</v>
      </c>
      <c r="D54" s="29" t="s">
        <v>163</v>
      </c>
      <c r="E54" s="30"/>
      <c r="F54" s="30" t="s">
        <v>164</v>
      </c>
      <c r="G54" s="31">
        <v>189983</v>
      </c>
      <c r="H54" s="36">
        <v>0</v>
      </c>
      <c r="I54" s="32" t="s">
        <v>165</v>
      </c>
      <c r="J54" s="33"/>
    </row>
    <row r="55" spans="2:10">
      <c r="C55" s="28" t="s">
        <v>159</v>
      </c>
      <c r="D55" s="29"/>
      <c r="E55" s="30"/>
      <c r="F55" s="30"/>
      <c r="G55" s="31"/>
      <c r="H55" s="37">
        <v>0</v>
      </c>
      <c r="I55" s="35" t="s">
        <v>165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166</v>
      </c>
      <c r="D57" s="29"/>
      <c r="E57" s="30"/>
      <c r="F57" s="30"/>
      <c r="G57" s="31"/>
      <c r="H57" s="32" t="s">
        <v>167</v>
      </c>
      <c r="I57" s="32" t="s">
        <v>167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168</v>
      </c>
      <c r="D59" s="29"/>
      <c r="E59" s="30"/>
      <c r="F59" s="30"/>
      <c r="G59" s="31"/>
      <c r="H59" s="32"/>
      <c r="I59" s="32"/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169</v>
      </c>
      <c r="D61" s="29"/>
      <c r="E61" s="30"/>
      <c r="F61" s="30"/>
      <c r="G61" s="31"/>
      <c r="H61" s="32" t="s">
        <v>167</v>
      </c>
      <c r="I61" s="32" t="s">
        <v>167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170</v>
      </c>
      <c r="D63" s="29"/>
      <c r="E63" s="30"/>
      <c r="F63" s="30"/>
      <c r="G63" s="31"/>
      <c r="H63" s="32" t="s">
        <v>167</v>
      </c>
      <c r="I63" s="32" t="s">
        <v>167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171</v>
      </c>
      <c r="D65" s="29"/>
      <c r="E65" s="30"/>
      <c r="F65" s="30"/>
      <c r="G65" s="31"/>
      <c r="H65" s="32" t="s">
        <v>167</v>
      </c>
      <c r="I65" s="32" t="s">
        <v>167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172</v>
      </c>
      <c r="D67" s="29"/>
      <c r="E67" s="30"/>
      <c r="F67" s="30"/>
      <c r="G67" s="31"/>
      <c r="H67" s="32" t="s">
        <v>167</v>
      </c>
      <c r="I67" s="32" t="s">
        <v>167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173</v>
      </c>
      <c r="D69" s="29"/>
      <c r="E69" s="30"/>
      <c r="F69" s="30"/>
      <c r="G69" s="31"/>
      <c r="H69" s="32" t="s">
        <v>167</v>
      </c>
      <c r="I69" s="32" t="s">
        <v>167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174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175</v>
      </c>
      <c r="D73" s="29"/>
      <c r="E73" s="30"/>
      <c r="F73" s="30"/>
      <c r="G73" s="31"/>
      <c r="H73" s="32" t="s">
        <v>167</v>
      </c>
      <c r="I73" s="32" t="s">
        <v>167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176</v>
      </c>
      <c r="D75" s="29"/>
      <c r="E75" s="30"/>
      <c r="F75" s="30"/>
      <c r="G75" s="31"/>
      <c r="H75" s="32" t="s">
        <v>167</v>
      </c>
      <c r="I75" s="32" t="s">
        <v>167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177</v>
      </c>
      <c r="D77" s="29"/>
      <c r="E77" s="30"/>
      <c r="F77" s="30"/>
      <c r="G77" s="31"/>
      <c r="H77" s="32" t="s">
        <v>167</v>
      </c>
      <c r="I77" s="32" t="s">
        <v>167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178</v>
      </c>
      <c r="D79" s="29"/>
      <c r="E79" s="30"/>
      <c r="F79" s="30"/>
      <c r="G79" s="31"/>
      <c r="H79" s="32" t="s">
        <v>167</v>
      </c>
      <c r="I79" s="32" t="s">
        <v>167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179</v>
      </c>
      <c r="D81" s="29"/>
      <c r="E81" s="30"/>
      <c r="F81" s="30"/>
      <c r="G81" s="31"/>
      <c r="H81" s="32"/>
      <c r="I81" s="32"/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180</v>
      </c>
      <c r="D83" s="29"/>
      <c r="E83" s="30"/>
      <c r="F83" s="30"/>
      <c r="G83" s="31"/>
      <c r="H83" s="32" t="s">
        <v>167</v>
      </c>
      <c r="I83" s="32" t="s">
        <v>167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181</v>
      </c>
      <c r="D85" s="29"/>
      <c r="E85" s="30"/>
      <c r="F85" s="30"/>
      <c r="G85" s="31"/>
      <c r="H85" s="32" t="s">
        <v>167</v>
      </c>
      <c r="I85" s="32" t="s">
        <v>167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182</v>
      </c>
      <c r="D87" s="29"/>
      <c r="E87" s="30"/>
      <c r="F87" s="30"/>
      <c r="G87" s="31"/>
      <c r="H87" s="32" t="s">
        <v>167</v>
      </c>
      <c r="I87" s="32" t="s">
        <v>167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183</v>
      </c>
      <c r="D89" s="29"/>
      <c r="E89" s="30"/>
      <c r="F89" s="30"/>
      <c r="G89" s="31"/>
      <c r="H89" s="32" t="s">
        <v>167</v>
      </c>
      <c r="I89" s="32" t="s">
        <v>167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184</v>
      </c>
      <c r="D91" s="29"/>
      <c r="E91" s="30"/>
      <c r="F91" s="30"/>
      <c r="G91" s="31"/>
      <c r="H91" s="32" t="s">
        <v>167</v>
      </c>
      <c r="I91" s="32" t="s">
        <v>167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A93" s="26"/>
      <c r="B93" s="27"/>
      <c r="C93" s="28" t="s">
        <v>185</v>
      </c>
      <c r="D93" s="29"/>
      <c r="E93" s="30"/>
      <c r="F93" s="30"/>
      <c r="G93" s="31"/>
      <c r="H93" s="32"/>
      <c r="I93" s="32"/>
      <c r="J93" s="33"/>
    </row>
    <row r="94" spans="1:10">
      <c r="B94" s="1"/>
      <c r="C94" s="20" t="s">
        <v>186</v>
      </c>
      <c r="D94" s="29"/>
      <c r="E94" s="30"/>
      <c r="F94" s="30"/>
      <c r="G94" s="31"/>
      <c r="H94" s="32">
        <v>247.4</v>
      </c>
      <c r="I94" s="32">
        <v>0.96</v>
      </c>
      <c r="J94" s="33"/>
    </row>
    <row r="95" spans="1:10">
      <c r="C95" s="28" t="s">
        <v>159</v>
      </c>
      <c r="D95" s="29"/>
      <c r="E95" s="30"/>
      <c r="F95" s="30"/>
      <c r="G95" s="31"/>
      <c r="H95" s="35">
        <v>247.4</v>
      </c>
      <c r="I95" s="35">
        <v>0.96</v>
      </c>
      <c r="J95" s="33"/>
    </row>
    <row r="96" spans="1:10">
      <c r="C96" s="20"/>
      <c r="D96" s="29"/>
      <c r="E96" s="30"/>
      <c r="F96" s="30"/>
      <c r="G96" s="31"/>
      <c r="H96" s="32"/>
      <c r="I96" s="32"/>
      <c r="J96" s="33"/>
    </row>
    <row r="97" spans="3:10" ht="13.8" thickBot="1">
      <c r="C97" s="38" t="s">
        <v>187</v>
      </c>
      <c r="D97" s="39"/>
      <c r="E97" s="40"/>
      <c r="F97" s="41"/>
      <c r="G97" s="42"/>
      <c r="H97" s="43">
        <v>26260.55</v>
      </c>
      <c r="I97" s="43">
        <f>SUMIFS(I:I,C:C,"Total")</f>
        <v>100</v>
      </c>
      <c r="J97" s="44"/>
    </row>
    <row r="100" spans="3:10">
      <c r="C100" s="11" t="s">
        <v>188</v>
      </c>
    </row>
    <row r="101" spans="3:10">
      <c r="C101" s="2" t="s">
        <v>189</v>
      </c>
    </row>
    <row r="102" spans="3:10">
      <c r="C102" s="2" t="s">
        <v>190</v>
      </c>
    </row>
    <row r="103" spans="3:10">
      <c r="C103" s="2" t="s">
        <v>191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4.4"/>
  <cols>
    <col min="2" max="2" width="48.4414062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5" t="s">
        <v>192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193</v>
      </c>
      <c r="C5" s="48" t="s">
        <v>194</v>
      </c>
      <c r="D5" s="48"/>
      <c r="E5" s="48" t="s">
        <v>195</v>
      </c>
      <c r="F5" s="48"/>
      <c r="G5" s="48" t="s">
        <v>196</v>
      </c>
      <c r="H5" s="48"/>
      <c r="I5" s="48" t="s">
        <v>197</v>
      </c>
      <c r="J5" s="48"/>
    </row>
    <row r="6" spans="2:10" ht="66">
      <c r="B6" s="49"/>
      <c r="C6" s="50" t="s">
        <v>198</v>
      </c>
      <c r="D6" s="50" t="s">
        <v>199</v>
      </c>
      <c r="E6" s="50" t="s">
        <v>198</v>
      </c>
      <c r="F6" s="50" t="s">
        <v>199</v>
      </c>
      <c r="G6" s="50" t="s">
        <v>198</v>
      </c>
      <c r="H6" s="50" t="s">
        <v>199</v>
      </c>
      <c r="I6" s="50" t="s">
        <v>198</v>
      </c>
      <c r="J6" s="50" t="s">
        <v>199</v>
      </c>
    </row>
    <row r="7" spans="2:10">
      <c r="B7" s="51" t="s">
        <v>200</v>
      </c>
      <c r="C7" s="52">
        <v>8.8602329450915072</v>
      </c>
      <c r="D7" s="52">
        <v>10886.023294509152</v>
      </c>
      <c r="E7" s="52">
        <v>12.074952643769832</v>
      </c>
      <c r="F7" s="52">
        <v>14086.30124697228</v>
      </c>
      <c r="G7" s="52">
        <v>6.517866101541725</v>
      </c>
      <c r="H7" s="52">
        <v>13714.73491134597</v>
      </c>
      <c r="I7" s="52">
        <v>10.012851628717101</v>
      </c>
      <c r="J7" s="52">
        <v>157020</v>
      </c>
    </row>
    <row r="8" spans="2:10">
      <c r="B8" s="51" t="s">
        <v>201</v>
      </c>
      <c r="C8" s="52">
        <v>10.726669816751366</v>
      </c>
      <c r="D8" s="52">
        <v>11072.666981675136</v>
      </c>
      <c r="E8" s="52">
        <v>19.239945886088307</v>
      </c>
      <c r="F8" s="52">
        <v>16953.731888214264</v>
      </c>
      <c r="G8" s="52">
        <v>13.300331322352799</v>
      </c>
      <c r="H8" s="52">
        <v>18670.497881609008</v>
      </c>
      <c r="I8" s="52">
        <v>0</v>
      </c>
      <c r="J8" s="52">
        <v>0</v>
      </c>
    </row>
    <row r="9" spans="2:10">
      <c r="B9" s="51" t="s">
        <v>202</v>
      </c>
      <c r="C9" s="52">
        <v>11.931290069610267</v>
      </c>
      <c r="D9" s="52">
        <v>11193.129006961026</v>
      </c>
      <c r="E9" s="52">
        <v>17.224616227246557</v>
      </c>
      <c r="F9" s="52">
        <v>16108.550347465627</v>
      </c>
      <c r="G9" s="52">
        <v>14.315814346076849</v>
      </c>
      <c r="H9" s="52">
        <v>19522.326520255341</v>
      </c>
      <c r="I9" s="52">
        <v>10.992723265580363</v>
      </c>
      <c r="J9" s="52">
        <v>202751.32327995024</v>
      </c>
    </row>
    <row r="10" spans="2:10">
      <c r="B10" s="51" t="s">
        <v>203</v>
      </c>
      <c r="C10" s="53">
        <v>144.24</v>
      </c>
      <c r="D10" s="54"/>
      <c r="E10" s="53">
        <v>111.47</v>
      </c>
      <c r="F10" s="54"/>
      <c r="G10" s="53">
        <v>114.49</v>
      </c>
      <c r="H10" s="54"/>
      <c r="I10" s="53">
        <v>10</v>
      </c>
      <c r="J10" s="54"/>
    </row>
    <row r="12" spans="2:10" ht="15.6">
      <c r="B12" s="45" t="s">
        <v>204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193</v>
      </c>
      <c r="C13" s="48" t="s">
        <v>194</v>
      </c>
      <c r="D13" s="48"/>
      <c r="E13" s="48" t="s">
        <v>195</v>
      </c>
      <c r="F13" s="48"/>
      <c r="G13" s="48" t="s">
        <v>196</v>
      </c>
      <c r="H13" s="48"/>
      <c r="I13" s="48" t="s">
        <v>197</v>
      </c>
      <c r="J13" s="48"/>
    </row>
    <row r="14" spans="2:10" ht="66">
      <c r="B14" s="49"/>
      <c r="C14" s="50" t="s">
        <v>198</v>
      </c>
      <c r="D14" s="50" t="s">
        <v>199</v>
      </c>
      <c r="E14" s="50" t="s">
        <v>198</v>
      </c>
      <c r="F14" s="50" t="s">
        <v>199</v>
      </c>
      <c r="G14" s="50" t="s">
        <v>198</v>
      </c>
      <c r="H14" s="50" t="s">
        <v>199</v>
      </c>
      <c r="I14" s="50" t="s">
        <v>198</v>
      </c>
      <c r="J14" s="50" t="s">
        <v>199</v>
      </c>
    </row>
    <row r="15" spans="2:10">
      <c r="B15" s="51" t="s">
        <v>200</v>
      </c>
      <c r="C15" s="52">
        <v>8.8997195887301483</v>
      </c>
      <c r="D15" s="52">
        <v>10889.971958873015</v>
      </c>
      <c r="E15" s="52">
        <v>12.159890661915718</v>
      </c>
      <c r="F15" s="52">
        <v>14118.410802388991</v>
      </c>
      <c r="G15" s="52">
        <v>6.6184924165080261</v>
      </c>
      <c r="H15" s="52">
        <v>13779.673903860776</v>
      </c>
      <c r="I15" s="52">
        <v>9.8887143990874051</v>
      </c>
      <c r="J15" s="52">
        <v>25477.975632614813</v>
      </c>
    </row>
    <row r="16" spans="2:10">
      <c r="B16" s="51" t="s">
        <v>201</v>
      </c>
      <c r="C16" s="52">
        <v>10.726669816751366</v>
      </c>
      <c r="D16" s="52">
        <v>11072.666981675136</v>
      </c>
      <c r="E16" s="52">
        <v>19.239945886088307</v>
      </c>
      <c r="F16" s="52">
        <v>16953.731888214264</v>
      </c>
      <c r="G16" s="52">
        <v>13.300331322352799</v>
      </c>
      <c r="H16" s="52">
        <v>18670.497881609008</v>
      </c>
      <c r="I16" s="52">
        <v>14.372544117048003</v>
      </c>
      <c r="J16" s="52">
        <v>37881.245177092991</v>
      </c>
    </row>
    <row r="17" spans="2:10">
      <c r="B17" s="51" t="s">
        <v>202</v>
      </c>
      <c r="C17" s="52">
        <v>11.931290069610267</v>
      </c>
      <c r="D17" s="52">
        <v>11193.129006961026</v>
      </c>
      <c r="E17" s="52">
        <v>17.224616227246557</v>
      </c>
      <c r="F17" s="52">
        <v>16108.550347465627</v>
      </c>
      <c r="G17" s="52">
        <v>14.315814346076849</v>
      </c>
      <c r="H17" s="52">
        <v>19522.326520255341</v>
      </c>
      <c r="I17" s="52">
        <v>13.674958569647577</v>
      </c>
      <c r="J17" s="52">
        <v>35651.093608266827</v>
      </c>
    </row>
    <row r="18" spans="2:10">
      <c r="B18" s="51" t="s">
        <v>205</v>
      </c>
      <c r="C18" s="53">
        <v>149.78</v>
      </c>
      <c r="D18" s="54"/>
      <c r="E18" s="53">
        <v>115.53</v>
      </c>
      <c r="F18" s="54"/>
      <c r="G18" s="53">
        <v>118.37</v>
      </c>
      <c r="H18" s="54"/>
      <c r="I18" s="53">
        <v>64.02</v>
      </c>
      <c r="J18" s="54"/>
    </row>
    <row r="20" spans="2:10">
      <c r="B20" t="s">
        <v>206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2022-12-01T10:12:29Z</dcterms:created>
  <dcterms:modified xsi:type="dcterms:W3CDTF">2022-12-09T06:37:47Z</dcterms:modified>
</cp:coreProperties>
</file>