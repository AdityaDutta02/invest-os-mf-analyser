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Portfolio'!$C$8:$C$52</definedName>
    <definedName name="XDO_?FINAL_ISIN?3?">'TDF-Risk-O-Meter &amp; Portfolio'!$D$10:$D$52</definedName>
    <definedName name="XDO_?FINAL_ISIN?4?">'TDF-Risk-O-Meter &amp; Portfolio'!$D$10:$D$94</definedName>
    <definedName name="XDO_?FINAL_MV?3?">'TDF-Risk-O-Meter &amp; Portfolio'!$H$10:$H$52</definedName>
    <definedName name="XDO_?FINAL_MV?4?">'TDF-Risk-O-Meter &amp; Portfolio'!$H$10:$H$94</definedName>
    <definedName name="XDO_?FINAL_NAME?3?">'TDF-Risk-O-Meter &amp; Portfolio'!$C$10:$C$52</definedName>
    <definedName name="XDO_?FINAL_NAME?4?">'TDF-Risk-O-Meter &amp; Portfolio'!$C$10:$C$94</definedName>
    <definedName name="XDO_?FINAL_PER_NET?3?">'TDF-Risk-O-Meter &amp; Portfolio'!$I$10:$I$52</definedName>
    <definedName name="XDO_?FINAL_PER_NET?4?">'TDF-Risk-O-Meter &amp; Portfolio'!$I$10:$I$94</definedName>
    <definedName name="XDO_?FINAL_QUANTITE?3?">'TDF-Risk-O-Meter &amp; Portfolio'!$G$10:$G$52</definedName>
    <definedName name="XDO_?FINAL_QUANTITE?4?">'TDF-Risk-O-Meter &amp; Portfolio'!$G$10:$G$94</definedName>
    <definedName name="XDO_?IND_01?3?">'TDF-Risk-O-Meter &amp; Portfolio'!$F$10:$F$52</definedName>
    <definedName name="XDO_?IND_01?4?">'TDF-Risk-O-Meter &amp; Portfolio'!$F$10:$F$94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Portfolio'!$C$2:$C$52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Portfolio'!$B$10:$B$52</definedName>
    <definedName name="XDO_?NOVAL?4?">'TDF-Risk-O-Meter &amp; Portfolio'!$B$10:$B$94</definedName>
    <definedName name="XDO_?NPTF?2?">'TDF-Risk-O-Meter &amp; Portfolio'!$D$2:$D$52</definedName>
    <definedName name="XDO_?RATING?3?">'TDF-Risk-O-Meter &amp; Portfolio'!$E$10:$E$52</definedName>
    <definedName name="XDO_?RATING?4?">'TDF-Risk-O-Meter &amp; Portfolio'!$E$10:$E$94</definedName>
    <definedName name="XDO_?REMARKS?3?">'TDF-Risk-O-Meter &amp; Portfolio'!$J$10:$J$52</definedName>
    <definedName name="XDO_?REMARKS?4?">'TDF-Risk-O-Meter &amp; Portfolio'!$J$10:$J$94</definedName>
    <definedName name="XDO_?TITL?2?">'TDF-Risk-O-Meter &amp; Portfolio'!$A$8:$A$52</definedName>
    <definedName name="XDO_GROUP_?G_2?2?">'TDF-Risk-O-Meter &amp; Portfolio'!$2:$97</definedName>
    <definedName name="XDO_GROUP_?G_3?2?">'TDF-Risk-O-Meter &amp; Portfolio'!$8:$96</definedName>
    <definedName name="XDO_GROUP_?G_4?3?">'TDF-Risk-O-Meter &amp; Portfolio'!$B$10:$IV$52</definedName>
    <definedName name="XDO_GROUP_?G_4?4?">'TDF-Risk-O-Meter &amp; Portfolio'!$B$94:$IV$94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1"/>
</calcChain>
</file>

<file path=xl/sharedStrings.xml><?xml version="1.0" encoding="utf-8"?>
<sst xmlns="http://schemas.openxmlformats.org/spreadsheetml/2006/main" count="284" uniqueCount="211">
  <si>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</si>
  <si>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</si>
  <si>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</si>
  <si>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</si>
  <si>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</si>
  <si>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</si>
  <si>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</si>
  <si>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</si>
  <si>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</si>
  <si>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</si>
  <si>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</si>
  <si>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</si>
  <si>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</si>
  <si>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</si>
  <si>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</si>
  <si>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</si>
  <si>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</si>
  <si>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</si>
  <si>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</si>
  <si>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101800</t>
  </si>
  <si>
    <t>Hindware Home Innovation Ltd.</t>
  </si>
  <si>
    <t>INE05AN01011</t>
  </si>
  <si>
    <t>Consumer Durables</t>
  </si>
  <si>
    <t>100281</t>
  </si>
  <si>
    <t>Century Textiles &amp; Industries Ltd.</t>
  </si>
  <si>
    <t>INE055A01016</t>
  </si>
  <si>
    <t>Paper, Forest &amp; Jute Products</t>
  </si>
  <si>
    <t>100719</t>
  </si>
  <si>
    <t>Mayur Uniquoters Ltd.</t>
  </si>
  <si>
    <t>INE040D01038</t>
  </si>
  <si>
    <t>100195</t>
  </si>
  <si>
    <t>REC Ltd.</t>
  </si>
  <si>
    <t>INE020B01018</t>
  </si>
  <si>
    <t>Finance</t>
  </si>
  <si>
    <t>100570</t>
  </si>
  <si>
    <t>K.P.R. Mill Ltd.</t>
  </si>
  <si>
    <t>INE930H01031</t>
  </si>
  <si>
    <t>Textiles &amp; Apparels</t>
  </si>
  <si>
    <t>100398</t>
  </si>
  <si>
    <t>Aditya Birla Fashion and Retail Ltd.</t>
  </si>
  <si>
    <t>INE647O01011</t>
  </si>
  <si>
    <t>Retailing</t>
  </si>
  <si>
    <t>100476</t>
  </si>
  <si>
    <t>Caplin Point Laboratories Ltd.</t>
  </si>
  <si>
    <t>INE475E01026</t>
  </si>
  <si>
    <t>101415</t>
  </si>
  <si>
    <t>Hindustan Oil Exploration Co. Ltd.</t>
  </si>
  <si>
    <t>INE345A01011</t>
  </si>
  <si>
    <t>Oil</t>
  </si>
  <si>
    <t>100055</t>
  </si>
  <si>
    <t>The Federal Bank Ltd.</t>
  </si>
  <si>
    <t>INE171A01029</t>
  </si>
  <si>
    <t>Banks</t>
  </si>
  <si>
    <t>100843</t>
  </si>
  <si>
    <t>Dalmia Bharat Ltd.</t>
  </si>
  <si>
    <t>INE00R701025</t>
  </si>
  <si>
    <t>Cement &amp; Cement Products</t>
  </si>
  <si>
    <t>100461</t>
  </si>
  <si>
    <t>Astral Ltd.</t>
  </si>
  <si>
    <t>INE006I01046</t>
  </si>
  <si>
    <t>Industrial Products</t>
  </si>
  <si>
    <t>101152</t>
  </si>
  <si>
    <t>Sumitomo Chemical India Ltd.</t>
  </si>
  <si>
    <t>INE258G01013</t>
  </si>
  <si>
    <t>Fertilizers &amp; Agrochemicals</t>
  </si>
  <si>
    <t>100234</t>
  </si>
  <si>
    <t>Coforge Ltd.</t>
  </si>
  <si>
    <t>INE591G01017</t>
  </si>
  <si>
    <t>IT - Software</t>
  </si>
  <si>
    <t>100088</t>
  </si>
  <si>
    <t>Bharat Heavy Electricals Ltd.</t>
  </si>
  <si>
    <t>INE257A01026</t>
  </si>
  <si>
    <t>Electrical Equipment</t>
  </si>
  <si>
    <t>100271</t>
  </si>
  <si>
    <t>Balkrishna Industries Ltd.</t>
  </si>
  <si>
    <t>INE787D01026</t>
  </si>
  <si>
    <t>Auto Components</t>
  </si>
  <si>
    <t>100112</t>
  </si>
  <si>
    <t>Punjab National Bank</t>
  </si>
  <si>
    <t>INE160A01022</t>
  </si>
  <si>
    <t>100471</t>
  </si>
  <si>
    <t>Endurance Technologies Ltd.</t>
  </si>
  <si>
    <t>INE913H01037</t>
  </si>
  <si>
    <t>100107</t>
  </si>
  <si>
    <t>Max Financial Services Ltd.</t>
  </si>
  <si>
    <t>INE180A01020</t>
  </si>
  <si>
    <t>Insurance</t>
  </si>
  <si>
    <t>100090</t>
  </si>
  <si>
    <t>Bharat Forge Ltd.</t>
  </si>
  <si>
    <t>INE465A01025</t>
  </si>
  <si>
    <t>100116</t>
  </si>
  <si>
    <t>Sundaram Finance Ltd.</t>
  </si>
  <si>
    <t>INE660A01013</t>
  </si>
  <si>
    <t>100042</t>
  </si>
  <si>
    <t>LIC Housing Finance Ltd.</t>
  </si>
  <si>
    <t>INE115A01026</t>
  </si>
  <si>
    <t>100814</t>
  </si>
  <si>
    <t>HDFC Asset Management Co. Ltd.</t>
  </si>
  <si>
    <t>INE127D01025</t>
  </si>
  <si>
    <t>Capital Markets</t>
  </si>
  <si>
    <t>100093</t>
  </si>
  <si>
    <t>Blue Dart Express Ltd.</t>
  </si>
  <si>
    <t>INE233B01017</t>
  </si>
  <si>
    <t>Transport Services</t>
  </si>
  <si>
    <t>100222</t>
  </si>
  <si>
    <t>The Indian Hotels Company Ltd.</t>
  </si>
  <si>
    <t>INE053A01029</t>
  </si>
  <si>
    <t>Leisure Services</t>
  </si>
  <si>
    <t>100435</t>
  </si>
  <si>
    <t>Crompton Greaves Consumer Electricals Ltd.</t>
  </si>
  <si>
    <t>INE299U01018</t>
  </si>
  <si>
    <t>100426</t>
  </si>
  <si>
    <t>Relaxo Footwears Ltd.</t>
  </si>
  <si>
    <t>INE131B01039</t>
  </si>
  <si>
    <t>100161</t>
  </si>
  <si>
    <t>Cummins India Ltd.</t>
  </si>
  <si>
    <t>INE298A01020</t>
  </si>
  <si>
    <t>101574</t>
  </si>
  <si>
    <t>Linde India Ltd.</t>
  </si>
  <si>
    <t>INE473A01011</t>
  </si>
  <si>
    <t>Chemicals &amp; Petrochemicals</t>
  </si>
  <si>
    <t>100740</t>
  </si>
  <si>
    <t>Sterlite Technologies Ltd.</t>
  </si>
  <si>
    <t>INE089C01029</t>
  </si>
  <si>
    <t>Telecom - Services</t>
  </si>
  <si>
    <t>100720</t>
  </si>
  <si>
    <t>Indian Metals &amp; Ferro Alloys Ltd.</t>
  </si>
  <si>
    <t>INE919H01018</t>
  </si>
  <si>
    <t>Ferrous Metals</t>
  </si>
  <si>
    <t>100168</t>
  </si>
  <si>
    <t>Escorts Kubota Ltd.</t>
  </si>
  <si>
    <t>INE042A01014</t>
  </si>
  <si>
    <t>Agricultural, Commercial &amp; Construction Vehicles</t>
  </si>
  <si>
    <t>100242</t>
  </si>
  <si>
    <t>Schaeffler India Ltd.</t>
  </si>
  <si>
    <t>INE513A01022</t>
  </si>
  <si>
    <t>100335</t>
  </si>
  <si>
    <t>Kajaria Ceramics Ltd.</t>
  </si>
  <si>
    <t>INE217B01036</t>
  </si>
  <si>
    <t>100227</t>
  </si>
  <si>
    <t>Jubilant Foodworks Ltd.</t>
  </si>
  <si>
    <t>INE797F01020</t>
  </si>
  <si>
    <t>100371</t>
  </si>
  <si>
    <t>Sun TV Network Ltd.</t>
  </si>
  <si>
    <t>INE424H01027</t>
  </si>
  <si>
    <t>Entertainment</t>
  </si>
  <si>
    <t>101883</t>
  </si>
  <si>
    <t>Anant Raj Ltd.</t>
  </si>
  <si>
    <t>INE242C01024</t>
  </si>
  <si>
    <t>Realty</t>
  </si>
  <si>
    <t>101718</t>
  </si>
  <si>
    <t>Faze Three Ltd.</t>
  </si>
  <si>
    <t>INE963C01033</t>
  </si>
  <si>
    <t>100143</t>
  </si>
  <si>
    <t>Thermax Ltd.</t>
  </si>
  <si>
    <t>INE152A01029</t>
  </si>
  <si>
    <t>100144</t>
  </si>
  <si>
    <t>Voltas Ltd.</t>
  </si>
  <si>
    <t>INE226A01021</t>
  </si>
  <si>
    <t>100566</t>
  </si>
  <si>
    <t>Laurus Labs Ltd.</t>
  </si>
  <si>
    <t>INE947Q01028</t>
  </si>
  <si>
    <t>100665</t>
  </si>
  <si>
    <t>Aditya Birla Capital Ltd.</t>
  </si>
  <si>
    <t>INE674K01013</t>
  </si>
  <si>
    <t>100068</t>
  </si>
  <si>
    <t>Kansai Nerolac Paints Ltd.</t>
  </si>
  <si>
    <t>INE531A01024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</si>
  <si>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</si>
  <si>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</si>
  <si>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</si>
  <si>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</si>
  <si>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</si>
  <si>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</si>
  <si>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</si>
  <si>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</si>
  <si>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</si>
  <si>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</si>
  <si>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</si>
  <si>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</si>
  <si>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</si>
  <si>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</si>
  <si>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</si>
  <si>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</si>
  <si>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</si>
  <si>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</si>
  <si>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</si>
  <si>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</si>
  <si>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</si>
  <si>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</si>
  <si>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</si>
  <si>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</si>
  <si>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</si>
  <si>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</si>
  <si>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</si>
  <si>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</si>
  <si>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</si>
  <si>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</si>
  <si>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</si>
  <si>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</si>
  <si>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</si>
  <si>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</si>
  <si>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</si>
  <si>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</si>
  <si>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</si>
  <si>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</si>
  <si>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</si>
  <si>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June 30, 2023 : 87.08)</t>
  </si>
  <si>
    <t>Taurus Discovery (Midcap) Fund-Direct Plan-Growth Option</t>
  </si>
  <si>
    <t>NAV [Rs.] Per Unit (as on June 30, 2023 : 91.19)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</si>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</sst>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Discover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3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45107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51750</v>
      </c>
      <c r="H10" s="32">
        <v>658.16</v>
      </c>
      <c r="I10" s="32">
        <v>7.44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80000</v>
      </c>
      <c r="H11" s="32">
        <v>436.2</v>
      </c>
      <c r="I11" s="32">
        <v>4.93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50000</v>
      </c>
      <c r="H12" s="32">
        <v>430.9</v>
      </c>
      <c r="I12" s="32">
        <v>4.87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75000</v>
      </c>
      <c r="H13" s="32">
        <v>389.25</v>
      </c>
      <c r="I13" s="32">
        <v>4.4000000000000004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185000</v>
      </c>
      <c r="H14" s="32">
        <v>304.51</v>
      </c>
      <c r="I14" s="32">
        <v>3.44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44500</v>
      </c>
      <c r="H15" s="32">
        <v>295.61</v>
      </c>
      <c r="I15" s="32">
        <v>3.34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135000</v>
      </c>
      <c r="H16" s="32">
        <v>287.20999999999998</v>
      </c>
      <c r="I16" s="32">
        <v>3.25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18</v>
      </c>
      <c r="G17" s="31">
        <v>35500</v>
      </c>
      <c r="H17" s="32">
        <v>286.25</v>
      </c>
      <c r="I17" s="32">
        <v>3.24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135000</v>
      </c>
      <c r="H18" s="32">
        <v>278.17</v>
      </c>
      <c r="I18" s="32">
        <v>3.15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215000</v>
      </c>
      <c r="H19" s="32">
        <v>271.12</v>
      </c>
      <c r="I19" s="32">
        <v>3.07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12400</v>
      </c>
      <c r="H20" s="32">
        <v>268.72000000000003</v>
      </c>
      <c r="I20" s="32">
        <v>3.04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13000</v>
      </c>
      <c r="H21" s="32">
        <v>257.81</v>
      </c>
      <c r="I21" s="32">
        <v>2.92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57000</v>
      </c>
      <c r="H22" s="32">
        <v>248.83</v>
      </c>
      <c r="I22" s="32">
        <v>2.81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5200</v>
      </c>
      <c r="H23" s="32">
        <v>244.97</v>
      </c>
      <c r="I23" s="32">
        <v>2.77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265000</v>
      </c>
      <c r="H24" s="32">
        <v>232.38</v>
      </c>
      <c r="I24" s="32">
        <v>2.63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9000</v>
      </c>
      <c r="H25" s="32">
        <v>213.3</v>
      </c>
      <c r="I25" s="32">
        <v>2.41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52</v>
      </c>
      <c r="G26" s="31">
        <v>400000</v>
      </c>
      <c r="H26" s="32">
        <v>206.64</v>
      </c>
      <c r="I26" s="32">
        <v>2.34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76</v>
      </c>
      <c r="G27" s="31">
        <v>12875</v>
      </c>
      <c r="H27" s="32">
        <v>202.81</v>
      </c>
      <c r="I27" s="32">
        <v>2.29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24500</v>
      </c>
      <c r="H28" s="32">
        <v>198.72</v>
      </c>
      <c r="I28" s="32">
        <v>2.25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60</v>
      </c>
      <c r="G29" s="31">
        <v>22750</v>
      </c>
      <c r="H29" s="32">
        <v>190.32</v>
      </c>
      <c r="I29" s="32">
        <v>2.15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33</v>
      </c>
      <c r="G30" s="31">
        <v>7250</v>
      </c>
      <c r="H30" s="32">
        <v>189.15</v>
      </c>
      <c r="I30" s="32">
        <v>2.14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33</v>
      </c>
      <c r="G31" s="31">
        <v>47000</v>
      </c>
      <c r="H31" s="32">
        <v>184.22</v>
      </c>
      <c r="I31" s="32">
        <v>2.08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7500</v>
      </c>
      <c r="H32" s="32">
        <v>172.23</v>
      </c>
      <c r="I32" s="32">
        <v>1.95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2350</v>
      </c>
      <c r="H33" s="32">
        <v>170.14</v>
      </c>
      <c r="I33" s="32">
        <v>1.92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41500</v>
      </c>
      <c r="H34" s="32">
        <v>162.91</v>
      </c>
      <c r="I34" s="32">
        <v>1.84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22</v>
      </c>
      <c r="G35" s="31">
        <v>55000</v>
      </c>
      <c r="H35" s="32">
        <v>159.12</v>
      </c>
      <c r="I35" s="32">
        <v>1.8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22</v>
      </c>
      <c r="G36" s="31">
        <v>17500</v>
      </c>
      <c r="H36" s="32">
        <v>159.08000000000001</v>
      </c>
      <c r="I36" s="32">
        <v>1.8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60</v>
      </c>
      <c r="G37" s="31">
        <v>8000</v>
      </c>
      <c r="H37" s="32">
        <v>155.41</v>
      </c>
      <c r="I37" s="32">
        <v>1.76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3500</v>
      </c>
      <c r="H38" s="32">
        <v>151.01</v>
      </c>
      <c r="I38" s="32">
        <v>1.71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90000</v>
      </c>
      <c r="H39" s="32">
        <v>131.63</v>
      </c>
      <c r="I39" s="32">
        <v>1.49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40000</v>
      </c>
      <c r="H40" s="32">
        <v>128.16</v>
      </c>
      <c r="I40" s="32">
        <v>1.45</v>
      </c>
      <c r="J40" s="33"/>
    </row>
    <row r="41" spans="2:10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5700</v>
      </c>
      <c r="H41" s="32">
        <v>128.13</v>
      </c>
      <c r="I41" s="32">
        <v>1.45</v>
      </c>
      <c r="J41" s="33"/>
    </row>
    <row r="42" spans="2:10">
      <c r="B42" s="1" t="s">
        <v>133</v>
      </c>
      <c r="C42" s="20" t="s">
        <v>134</v>
      </c>
      <c r="D42" s="29" t="s">
        <v>135</v>
      </c>
      <c r="E42" s="30"/>
      <c r="F42" s="30" t="s">
        <v>76</v>
      </c>
      <c r="G42" s="31">
        <v>3750</v>
      </c>
      <c r="H42" s="32">
        <v>116.24</v>
      </c>
      <c r="I42" s="32">
        <v>1.31</v>
      </c>
      <c r="J42" s="33"/>
    </row>
    <row r="43" spans="2:10">
      <c r="B43" s="1" t="s">
        <v>136</v>
      </c>
      <c r="C43" s="20" t="s">
        <v>137</v>
      </c>
      <c r="D43" s="29" t="s">
        <v>138</v>
      </c>
      <c r="E43" s="30"/>
      <c r="F43" s="30" t="s">
        <v>22</v>
      </c>
      <c r="G43" s="31">
        <v>9250</v>
      </c>
      <c r="H43" s="32">
        <v>116.24</v>
      </c>
      <c r="I43" s="32">
        <v>1.31</v>
      </c>
      <c r="J43" s="33"/>
    </row>
    <row r="44" spans="2:10">
      <c r="B44" s="1" t="s">
        <v>139</v>
      </c>
      <c r="C44" s="20" t="s">
        <v>140</v>
      </c>
      <c r="D44" s="29" t="s">
        <v>141</v>
      </c>
      <c r="E44" s="30"/>
      <c r="F44" s="30" t="s">
        <v>107</v>
      </c>
      <c r="G44" s="31">
        <v>22500</v>
      </c>
      <c r="H44" s="32">
        <v>112.74</v>
      </c>
      <c r="I44" s="32">
        <v>1.28</v>
      </c>
      <c r="J44" s="33"/>
    </row>
    <row r="45" spans="2:10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25500</v>
      </c>
      <c r="H45" s="32">
        <v>111.66</v>
      </c>
      <c r="I45" s="32">
        <v>1.26</v>
      </c>
      <c r="J45" s="33"/>
    </row>
    <row r="46" spans="2:10">
      <c r="B46" s="1" t="s">
        <v>146</v>
      </c>
      <c r="C46" s="20" t="s">
        <v>147</v>
      </c>
      <c r="D46" s="29" t="s">
        <v>148</v>
      </c>
      <c r="E46" s="30"/>
      <c r="F46" s="30" t="s">
        <v>149</v>
      </c>
      <c r="G46" s="31">
        <v>60000</v>
      </c>
      <c r="H46" s="32">
        <v>106.29</v>
      </c>
      <c r="I46" s="32">
        <v>1.2</v>
      </c>
      <c r="J46" s="33"/>
    </row>
    <row r="47" spans="2:10">
      <c r="B47" s="1" t="s">
        <v>150</v>
      </c>
      <c r="C47" s="20" t="s">
        <v>151</v>
      </c>
      <c r="D47" s="29" t="s">
        <v>152</v>
      </c>
      <c r="E47" s="30"/>
      <c r="F47" s="30" t="s">
        <v>37</v>
      </c>
      <c r="G47" s="31">
        <v>24977</v>
      </c>
      <c r="H47" s="32">
        <v>100.79</v>
      </c>
      <c r="I47" s="32">
        <v>1.1399999999999999</v>
      </c>
      <c r="J47" s="33"/>
    </row>
    <row r="48" spans="2:10">
      <c r="B48" s="1" t="s">
        <v>153</v>
      </c>
      <c r="C48" s="20" t="s">
        <v>154</v>
      </c>
      <c r="D48" s="29" t="s">
        <v>155</v>
      </c>
      <c r="E48" s="30"/>
      <c r="F48" s="30" t="s">
        <v>72</v>
      </c>
      <c r="G48" s="31">
        <v>4300</v>
      </c>
      <c r="H48" s="32">
        <v>98.12</v>
      </c>
      <c r="I48" s="32">
        <v>1.1100000000000001</v>
      </c>
      <c r="J48" s="33"/>
    </row>
    <row r="49" spans="2:10">
      <c r="B49" s="1" t="s">
        <v>156</v>
      </c>
      <c r="C49" s="20" t="s">
        <v>157</v>
      </c>
      <c r="D49" s="29" t="s">
        <v>158</v>
      </c>
      <c r="E49" s="30"/>
      <c r="F49" s="30" t="s">
        <v>22</v>
      </c>
      <c r="G49" s="31">
        <v>7250</v>
      </c>
      <c r="H49" s="32">
        <v>55.09</v>
      </c>
      <c r="I49" s="32">
        <v>0.62</v>
      </c>
      <c r="J49" s="33"/>
    </row>
    <row r="50" spans="2:10">
      <c r="B50" s="1" t="s">
        <v>159</v>
      </c>
      <c r="C50" s="20" t="s">
        <v>160</v>
      </c>
      <c r="D50" s="29" t="s">
        <v>161</v>
      </c>
      <c r="E50" s="30"/>
      <c r="F50" s="30" t="s">
        <v>18</v>
      </c>
      <c r="G50" s="31">
        <v>15000</v>
      </c>
      <c r="H50" s="32">
        <v>54.98</v>
      </c>
      <c r="I50" s="32">
        <v>0.62</v>
      </c>
      <c r="J50" s="33"/>
    </row>
    <row r="51" spans="2:10">
      <c r="B51" s="1" t="s">
        <v>162</v>
      </c>
      <c r="C51" s="20" t="s">
        <v>163</v>
      </c>
      <c r="D51" s="29" t="s">
        <v>164</v>
      </c>
      <c r="E51" s="30"/>
      <c r="F51" s="30" t="s">
        <v>33</v>
      </c>
      <c r="G51" s="31">
        <v>27026</v>
      </c>
      <c r="H51" s="32">
        <v>53.07</v>
      </c>
      <c r="I51" s="32">
        <v>0.6</v>
      </c>
      <c r="J51" s="33"/>
    </row>
    <row r="52" spans="2:10">
      <c r="B52" s="1" t="s">
        <v>165</v>
      </c>
      <c r="C52" s="20" t="s">
        <v>166</v>
      </c>
      <c r="D52" s="29" t="s">
        <v>167</v>
      </c>
      <c r="E52" s="30"/>
      <c r="F52" s="30" t="s">
        <v>22</v>
      </c>
      <c r="G52" s="31">
        <v>9000</v>
      </c>
      <c r="H52" s="32">
        <v>40.56</v>
      </c>
      <c r="I52" s="32">
        <v>0.46</v>
      </c>
      <c r="J52" s="33"/>
    </row>
    <row r="53" spans="2:10">
      <c r="C53" s="28" t="s">
        <v>168</v>
      </c>
      <c r="D53" s="29"/>
      <c r="E53" s="30"/>
      <c r="F53" s="30"/>
      <c r="G53" s="31"/>
      <c r="H53" s="35">
        <v>8758.85</v>
      </c>
      <c r="I53" s="35">
        <v>99.04</v>
      </c>
      <c r="J53" s="33"/>
    </row>
    <row r="54" spans="2:10">
      <c r="C54" s="20"/>
      <c r="D54" s="29"/>
      <c r="E54" s="30"/>
      <c r="F54" s="30"/>
      <c r="G54" s="31"/>
      <c r="H54" s="32"/>
      <c r="I54" s="32"/>
      <c r="J54" s="33"/>
    </row>
    <row r="55" spans="2:10">
      <c r="C55" s="28" t="s">
        <v>169</v>
      </c>
      <c r="D55" s="29"/>
      <c r="E55" s="30"/>
      <c r="F55" s="30"/>
      <c r="G55" s="31"/>
      <c r="H55" s="32" t="s">
        <v>170</v>
      </c>
      <c r="I55" s="32" t="s">
        <v>170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171</v>
      </c>
      <c r="D57" s="29"/>
      <c r="E57" s="30"/>
      <c r="F57" s="30"/>
      <c r="G57" s="31"/>
      <c r="H57" s="32" t="s">
        <v>170</v>
      </c>
      <c r="I57" s="32" t="s">
        <v>170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172</v>
      </c>
      <c r="D59" s="29"/>
      <c r="E59" s="30"/>
      <c r="F59" s="30"/>
      <c r="G59" s="31"/>
      <c r="H59" s="32"/>
      <c r="I59" s="32"/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173</v>
      </c>
      <c r="D61" s="29"/>
      <c r="E61" s="30"/>
      <c r="F61" s="30"/>
      <c r="G61" s="31"/>
      <c r="H61" s="32" t="s">
        <v>170</v>
      </c>
      <c r="I61" s="32" t="s">
        <v>170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174</v>
      </c>
      <c r="D63" s="29"/>
      <c r="E63" s="30"/>
      <c r="F63" s="30"/>
      <c r="G63" s="31"/>
      <c r="H63" s="32" t="s">
        <v>170</v>
      </c>
      <c r="I63" s="32" t="s">
        <v>170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175</v>
      </c>
      <c r="D65" s="29"/>
      <c r="E65" s="30"/>
      <c r="F65" s="30"/>
      <c r="G65" s="31"/>
      <c r="H65" s="32" t="s">
        <v>170</v>
      </c>
      <c r="I65" s="32" t="s">
        <v>170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176</v>
      </c>
      <c r="D67" s="29"/>
      <c r="E67" s="30"/>
      <c r="F67" s="30"/>
      <c r="G67" s="31"/>
      <c r="H67" s="32" t="s">
        <v>170</v>
      </c>
      <c r="I67" s="32" t="s">
        <v>170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177</v>
      </c>
      <c r="D69" s="29"/>
      <c r="E69" s="30"/>
      <c r="F69" s="30"/>
      <c r="G69" s="31"/>
      <c r="H69" s="32" t="s">
        <v>170</v>
      </c>
      <c r="I69" s="32" t="s">
        <v>170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178</v>
      </c>
      <c r="D71" s="29"/>
      <c r="E71" s="30"/>
      <c r="F71" s="30"/>
      <c r="G71" s="31"/>
      <c r="H71" s="32"/>
      <c r="I71" s="32"/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179</v>
      </c>
      <c r="D73" s="29"/>
      <c r="E73" s="30"/>
      <c r="F73" s="30"/>
      <c r="G73" s="31"/>
      <c r="H73" s="32" t="s">
        <v>170</v>
      </c>
      <c r="I73" s="32" t="s">
        <v>170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180</v>
      </c>
      <c r="D75" s="29"/>
      <c r="E75" s="30"/>
      <c r="F75" s="30"/>
      <c r="G75" s="31"/>
      <c r="H75" s="32" t="s">
        <v>170</v>
      </c>
      <c r="I75" s="32" t="s">
        <v>170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181</v>
      </c>
      <c r="D77" s="29"/>
      <c r="E77" s="30"/>
      <c r="F77" s="30"/>
      <c r="G77" s="31"/>
      <c r="H77" s="32" t="s">
        <v>170</v>
      </c>
      <c r="I77" s="32" t="s">
        <v>170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182</v>
      </c>
      <c r="D79" s="29"/>
      <c r="E79" s="30"/>
      <c r="F79" s="30"/>
      <c r="G79" s="31"/>
      <c r="H79" s="32" t="s">
        <v>170</v>
      </c>
      <c r="I79" s="32" t="s">
        <v>170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183</v>
      </c>
      <c r="D81" s="29"/>
      <c r="E81" s="30"/>
      <c r="F81" s="30"/>
      <c r="G81" s="31"/>
      <c r="H81" s="32"/>
      <c r="I81" s="32"/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184</v>
      </c>
      <c r="D83" s="29"/>
      <c r="E83" s="30"/>
      <c r="F83" s="30"/>
      <c r="G83" s="31"/>
      <c r="H83" s="32" t="s">
        <v>170</v>
      </c>
      <c r="I83" s="32" t="s">
        <v>170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185</v>
      </c>
      <c r="D85" s="29"/>
      <c r="E85" s="30"/>
      <c r="F85" s="30"/>
      <c r="G85" s="31"/>
      <c r="H85" s="32" t="s">
        <v>170</v>
      </c>
      <c r="I85" s="32" t="s">
        <v>170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186</v>
      </c>
      <c r="D87" s="29"/>
      <c r="E87" s="30"/>
      <c r="F87" s="30"/>
      <c r="G87" s="31"/>
      <c r="H87" s="32" t="s">
        <v>170</v>
      </c>
      <c r="I87" s="32" t="s">
        <v>170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187</v>
      </c>
      <c r="D89" s="29"/>
      <c r="E89" s="30"/>
      <c r="F89" s="30"/>
      <c r="G89" s="31"/>
      <c r="H89" s="32" t="s">
        <v>170</v>
      </c>
      <c r="I89" s="32" t="s">
        <v>170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188</v>
      </c>
      <c r="D91" s="29"/>
      <c r="E91" s="30"/>
      <c r="F91" s="30"/>
      <c r="G91" s="31"/>
      <c r="H91" s="32" t="s">
        <v>170</v>
      </c>
      <c r="I91" s="32" t="s">
        <v>170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A93" s="26"/>
      <c r="B93" s="27"/>
      <c r="C93" s="28" t="s">
        <v>189</v>
      </c>
      <c r="D93" s="29"/>
      <c r="E93" s="30"/>
      <c r="F93" s="30"/>
      <c r="G93" s="31"/>
      <c r="H93" s="32"/>
      <c r="I93" s="32"/>
      <c r="J93" s="33"/>
    </row>
    <row r="94" spans="1:10">
      <c r="B94" s="1"/>
      <c r="C94" s="20" t="s">
        <v>190</v>
      </c>
      <c r="D94" s="29"/>
      <c r="E94" s="30"/>
      <c r="F94" s="30"/>
      <c r="G94" s="31"/>
      <c r="H94" s="32">
        <v>82.03</v>
      </c>
      <c r="I94" s="32">
        <v>0.96000000000000008</v>
      </c>
      <c r="J94" s="33"/>
    </row>
    <row r="95" spans="1:10">
      <c r="C95" s="28" t="s">
        <v>168</v>
      </c>
      <c r="D95" s="29"/>
      <c r="E95" s="30"/>
      <c r="F95" s="30"/>
      <c r="G95" s="31"/>
      <c r="H95" s="35">
        <v>82.03</v>
      </c>
      <c r="I95" s="35">
        <v>0.96000000000000008</v>
      </c>
      <c r="J95" s="33"/>
    </row>
    <row r="96" spans="1:10">
      <c r="C96" s="20"/>
      <c r="D96" s="29"/>
      <c r="E96" s="30"/>
      <c r="F96" s="30"/>
      <c r="G96" s="31"/>
      <c r="H96" s="32"/>
      <c r="I96" s="32"/>
      <c r="J96" s="33"/>
    </row>
    <row r="97" spans="3:10" ht="13.5" thickBot="1">
      <c r="C97" s="36" t="s">
        <v>191</v>
      </c>
      <c r="D97" s="37"/>
      <c r="E97" s="38"/>
      <c r="F97" s="39"/>
      <c r="G97" s="40"/>
      <c r="H97" s="41">
        <v>8840.8799999999992</v>
      </c>
      <c r="I97" s="41">
        <f>SUMIFS(I:I,C:C,"Total")</f>
        <v>100</v>
      </c>
      <c r="J97" s="42"/>
    </row>
    <row r="100" spans="3:10">
      <c r="C100" s="11" t="s">
        <v>192</v>
      </c>
    </row>
    <row r="101" spans="3:10">
      <c r="C101" s="2" t="s">
        <v>193</v>
      </c>
    </row>
    <row r="102" spans="3:10">
      <c r="C102" s="2" t="s">
        <v>194</v>
      </c>
    </row>
    <row r="103" spans="3:10">
      <c r="C103" s="2" t="s">
        <v>195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196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197</v>
      </c>
      <c r="C5" s="46" t="s">
        <v>198</v>
      </c>
      <c r="D5" s="46"/>
      <c r="E5" s="46" t="s">
        <v>199</v>
      </c>
      <c r="F5" s="46"/>
      <c r="G5" s="46" t="s">
        <v>200</v>
      </c>
      <c r="H5" s="46"/>
      <c r="I5" s="46" t="s">
        <v>201</v>
      </c>
      <c r="J5" s="46"/>
    </row>
    <row r="6" spans="2:10" ht="63.75">
      <c r="B6" s="47"/>
      <c r="C6" s="48" t="s">
        <v>202</v>
      </c>
      <c r="D6" s="48" t="s">
        <v>203</v>
      </c>
      <c r="E6" s="48" t="s">
        <v>202</v>
      </c>
      <c r="F6" s="48" t="s">
        <v>203</v>
      </c>
      <c r="G6" s="48" t="s">
        <v>202</v>
      </c>
      <c r="H6" s="48" t="s">
        <v>203</v>
      </c>
      <c r="I6" s="48" t="s">
        <v>202</v>
      </c>
      <c r="J6" s="48" t="s">
        <v>203</v>
      </c>
    </row>
    <row r="7" spans="2:10">
      <c r="B7" s="49" t="s">
        <v>204</v>
      </c>
      <c r="C7" s="50">
        <v>34.798761609907139</v>
      </c>
      <c r="D7" s="50">
        <v>13479.876160990712</v>
      </c>
      <c r="E7" s="50">
        <v>27.686069531036317</v>
      </c>
      <c r="F7" s="50">
        <v>20817.595027492229</v>
      </c>
      <c r="G7" s="50">
        <v>14.543980578660932</v>
      </c>
      <c r="H7" s="50">
        <v>19732.608203036481</v>
      </c>
      <c r="I7" s="50">
        <v>7.7935187473394008</v>
      </c>
      <c r="J7" s="50">
        <v>87080</v>
      </c>
    </row>
    <row r="8" spans="2:10">
      <c r="B8" s="49" t="s">
        <v>205</v>
      </c>
      <c r="C8" s="50">
        <v>34.400393163816112</v>
      </c>
      <c r="D8" s="50">
        <v>13440.039316381612</v>
      </c>
      <c r="E8" s="50">
        <v>34.678105009707913</v>
      </c>
      <c r="F8" s="50">
        <v>24428.173226880193</v>
      </c>
      <c r="G8" s="50">
        <v>16.888039088846817</v>
      </c>
      <c r="H8" s="50">
        <v>21819.77987138119</v>
      </c>
      <c r="I8" s="50">
        <v>0</v>
      </c>
      <c r="J8" s="50">
        <v>0</v>
      </c>
    </row>
    <row r="9" spans="2:10">
      <c r="B9" s="49" t="s">
        <v>206</v>
      </c>
      <c r="C9" s="50">
        <v>22.912681409071745</v>
      </c>
      <c r="D9" s="50">
        <v>12291.268140907174</v>
      </c>
      <c r="E9" s="50">
        <v>24.537547973581297</v>
      </c>
      <c r="F9" s="50">
        <v>19315.27660564542</v>
      </c>
      <c r="G9" s="50">
        <v>13.703517956986966</v>
      </c>
      <c r="H9" s="50">
        <v>19005.071562987927</v>
      </c>
      <c r="I9" s="50">
        <v>10.868525500636128</v>
      </c>
      <c r="J9" s="50">
        <v>195917.90796246813</v>
      </c>
    </row>
    <row r="10" spans="2:10">
      <c r="B10" s="49" t="s">
        <v>207</v>
      </c>
      <c r="C10" s="51">
        <v>64.599999999999994</v>
      </c>
      <c r="D10" s="52"/>
      <c r="E10" s="51">
        <v>41.83</v>
      </c>
      <c r="F10" s="52"/>
      <c r="G10" s="51">
        <v>44.13</v>
      </c>
      <c r="H10" s="52"/>
      <c r="I10" s="51">
        <v>10</v>
      </c>
      <c r="J10" s="52"/>
    </row>
    <row r="12" spans="2:10" ht="15.75">
      <c r="B12" s="43" t="s">
        <v>208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197</v>
      </c>
      <c r="C13" s="46" t="s">
        <v>198</v>
      </c>
      <c r="D13" s="46"/>
      <c r="E13" s="46" t="s">
        <v>199</v>
      </c>
      <c r="F13" s="46"/>
      <c r="G13" s="46" t="s">
        <v>200</v>
      </c>
      <c r="H13" s="46"/>
      <c r="I13" s="46" t="s">
        <v>201</v>
      </c>
      <c r="J13" s="46"/>
    </row>
    <row r="14" spans="2:10" ht="63.75">
      <c r="B14" s="47"/>
      <c r="C14" s="48" t="s">
        <v>202</v>
      </c>
      <c r="D14" s="48" t="s">
        <v>203</v>
      </c>
      <c r="E14" s="48" t="s">
        <v>202</v>
      </c>
      <c r="F14" s="48" t="s">
        <v>203</v>
      </c>
      <c r="G14" s="48" t="s">
        <v>202</v>
      </c>
      <c r="H14" s="48" t="s">
        <v>203</v>
      </c>
      <c r="I14" s="48" t="s">
        <v>202</v>
      </c>
      <c r="J14" s="48" t="s">
        <v>203</v>
      </c>
    </row>
    <row r="15" spans="2:10">
      <c r="B15" s="49" t="s">
        <v>204</v>
      </c>
      <c r="C15" s="50">
        <v>35.256600415307027</v>
      </c>
      <c r="D15" s="50">
        <v>13525.660041530702</v>
      </c>
      <c r="E15" s="50">
        <v>28.130554211234362</v>
      </c>
      <c r="F15" s="50">
        <v>21035.755478662053</v>
      </c>
      <c r="G15" s="50">
        <v>15.011586265170408</v>
      </c>
      <c r="H15" s="50">
        <v>20139.134275618373</v>
      </c>
      <c r="I15" s="50">
        <v>16.894082303992874</v>
      </c>
      <c r="J15" s="50">
        <v>51490.683229813658</v>
      </c>
    </row>
    <row r="16" spans="2:10">
      <c r="B16" s="49" t="s">
        <v>205</v>
      </c>
      <c r="C16" s="50">
        <v>34.400393163816112</v>
      </c>
      <c r="D16" s="50">
        <v>13440.039316381612</v>
      </c>
      <c r="E16" s="50">
        <v>34.678105009707913</v>
      </c>
      <c r="F16" s="50">
        <v>24428.173226880193</v>
      </c>
      <c r="G16" s="50">
        <v>16.888039088846817</v>
      </c>
      <c r="H16" s="50">
        <v>21819.77987138119</v>
      </c>
      <c r="I16" s="50">
        <v>17.731740875704727</v>
      </c>
      <c r="J16" s="50">
        <v>55499.021655781551</v>
      </c>
    </row>
    <row r="17" spans="2:10">
      <c r="B17" s="49" t="s">
        <v>206</v>
      </c>
      <c r="C17" s="50">
        <v>22.912681409071745</v>
      </c>
      <c r="D17" s="50">
        <v>12291.268140907174</v>
      </c>
      <c r="E17" s="50">
        <v>24.537547973581297</v>
      </c>
      <c r="F17" s="50">
        <v>19315.27660564542</v>
      </c>
      <c r="G17" s="50">
        <v>13.703517956986966</v>
      </c>
      <c r="H17" s="50">
        <v>19005.071562987927</v>
      </c>
      <c r="I17" s="50">
        <v>13.176678281702504</v>
      </c>
      <c r="J17" s="50">
        <v>36675.349831782718</v>
      </c>
    </row>
    <row r="18" spans="2:10">
      <c r="B18" s="49" t="s">
        <v>209</v>
      </c>
      <c r="C18" s="51">
        <v>67.42</v>
      </c>
      <c r="D18" s="52"/>
      <c r="E18" s="51">
        <v>43.35</v>
      </c>
      <c r="F18" s="52"/>
      <c r="G18" s="51">
        <v>45.28</v>
      </c>
      <c r="H18" s="52"/>
      <c r="I18" s="51">
        <v>17.71</v>
      </c>
      <c r="J18" s="52"/>
    </row>
    <row r="20" spans="2:10">
      <c r="B20" t="s">
        <v>210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2023-07-03T10:22:02Z</dcterms:created>
  <dcterms:modified xsi:type="dcterms:W3CDTF">2023-07-07T10:44:31Z</dcterms:modified>
</cp:coreProperties>
</file>