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Portfolio'!$C$8:$C$30</definedName>
    <definedName name="XDO_?FINAL_ISIN?1?">'TBFS - Risk-O-Meter &amp; Portfolio'!$D$10:$D$30</definedName>
    <definedName name="XDO_?FINAL_ISIN?2?">'TBFS - Risk-O-Meter &amp; Portfolio'!$D$10:$D$72</definedName>
    <definedName name="XDO_?FINAL_MV?1?">'TBFS - Risk-O-Meter &amp; Portfolio'!$H$10:$H$30</definedName>
    <definedName name="XDO_?FINAL_MV?2?">'TBFS - Risk-O-Meter &amp; Portfolio'!$H$10:$H$72</definedName>
    <definedName name="XDO_?FINAL_NAME?1?">'TBFS - Risk-O-Meter &amp; Portfolio'!$C$10:$C$30</definedName>
    <definedName name="XDO_?FINAL_NAME?2?">'TBFS - Risk-O-Meter &amp; Portfolio'!$C$10:$C$72</definedName>
    <definedName name="XDO_?FINAL_PER_NET?1?">'TBFS - Risk-O-Meter &amp; Portfolio'!$I$10:$I$30</definedName>
    <definedName name="XDO_?FINAL_PER_NET?2?">'TBFS - Risk-O-Meter &amp; Portfolio'!$I$10:$I$72</definedName>
    <definedName name="XDO_?FINAL_QUANTITE?1?">'TBFS - Risk-O-Meter &amp; Portfolio'!$G$10:$G$30</definedName>
    <definedName name="XDO_?FINAL_QUANTITE?2?">'TBFS - Risk-O-Meter &amp; Portfolio'!$G$10:$G$72</definedName>
    <definedName name="XDO_?IND_01?1?">'TBFS - Risk-O-Meter &amp; Portfolio'!$F$10:$F$30</definedName>
    <definedName name="XDO_?IND_01?2?">'TBFS - Risk-O-Meter &amp; Portfolio'!$F$10:$F$72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Portfolio'!$C$2:$C$30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Portfolio'!$B$10:$B$30</definedName>
    <definedName name="XDO_?NOVAL?2?">'TBFS - Risk-O-Meter &amp; Portfolio'!$B$10:$B$72</definedName>
    <definedName name="XDO_?NPTF?1?">'TBFS - Risk-O-Meter &amp; Portfolio'!$D$2:$D$30</definedName>
    <definedName name="XDO_?RATING?1?">'TBFS - Risk-O-Meter &amp; Portfolio'!$E$10:$E$30</definedName>
    <definedName name="XDO_?RATING?2?">'TBFS - Risk-O-Meter &amp; Portfolio'!$E$10:$E$72</definedName>
    <definedName name="XDO_?REMARKS?1?">'TBFS - Risk-O-Meter &amp; Portfolio'!$J$10:$J$30</definedName>
    <definedName name="XDO_?REMARKS?2?">'TBFS - Risk-O-Meter &amp; Portfolio'!$J$10:$J$72</definedName>
    <definedName name="XDO_?TITL?1?">'TBFS - Risk-O-Meter &amp; Portfolio'!$A$8:$A$30</definedName>
    <definedName name="XDO_GROUP_?G_2?1?">'TBFS - Risk-O-Meter &amp; Portfolio'!$2:$75</definedName>
    <definedName name="XDO_GROUP_?G_3?1?">'TBFS - Risk-O-Meter &amp; Portfolio'!$8:$74</definedName>
    <definedName name="XDO_GROUP_?G_4?1?">'TBFS - Risk-O-Meter &amp; Portfolio'!$B$10:$IV$30</definedName>
    <definedName name="XDO_GROUP_?G_4?2?">'TBFS - Risk-O-Meter &amp; Portfolio'!$B$72:$IV$72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5" i="1"/>
</calcChain>
</file>

<file path=xl/sharedStrings.xml><?xml version="1.0" encoding="utf-8"?>
<sst xmlns="http://schemas.openxmlformats.org/spreadsheetml/2006/main" count="195" uniqueCount="124">
  <si>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</si>
  <si>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</si>
  <si>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</si>
  <si>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</si>
  <si>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</si>
  <si>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</si>
  <si>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</si>
  <si>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</si>
  <si>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</si>
  <si>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</si>
  <si>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</si>
  <si>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</si>
  <si>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</si>
  <si>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</si>
  <si>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</si>
  <si>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</si>
  <si>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</si>
  <si>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</si>
  <si>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</si>
  <si>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100104</t>
  </si>
  <si>
    <t>Kotak Mahindra Bank Ltd.</t>
  </si>
  <si>
    <t>INE237A01028</t>
  </si>
  <si>
    <t>100006</t>
  </si>
  <si>
    <t>HDFC Bank Ltd.</t>
  </si>
  <si>
    <t>INE040A01034</t>
  </si>
  <si>
    <t>100010</t>
  </si>
  <si>
    <t>State Bank of India</t>
  </si>
  <si>
    <t>INE062A01020</t>
  </si>
  <si>
    <t>100325</t>
  </si>
  <si>
    <t>Bajaj Holdings &amp; Investment Ltd.</t>
  </si>
  <si>
    <t>INE118A01012</t>
  </si>
  <si>
    <t>Finance</t>
  </si>
  <si>
    <t>100024</t>
  </si>
  <si>
    <t>Axis Bank Ltd.</t>
  </si>
  <si>
    <t>INE238A01034</t>
  </si>
  <si>
    <t>100399</t>
  </si>
  <si>
    <t>Cholamandalam Investment &amp; Finance Co. Ltd.</t>
  </si>
  <si>
    <t>INE121A01024</t>
  </si>
  <si>
    <t>100001</t>
  </si>
  <si>
    <t>Housing Development Finance Corporation Ltd.</t>
  </si>
  <si>
    <t>INE001A01036</t>
  </si>
  <si>
    <t>100235</t>
  </si>
  <si>
    <t>CRISIL Ltd.</t>
  </si>
  <si>
    <t>INE007A01025</t>
  </si>
  <si>
    <t>100125</t>
  </si>
  <si>
    <t>Bajaj Finance Ltd.</t>
  </si>
  <si>
    <t>INE296A01024</t>
  </si>
  <si>
    <t>100122</t>
  </si>
  <si>
    <t>Union Bank of India</t>
  </si>
  <si>
    <t>INE692A01016</t>
  </si>
  <si>
    <t>100505</t>
  </si>
  <si>
    <t>ICICI Prudential Life Insurance Company Ltd.</t>
  </si>
  <si>
    <t>INE726G01019</t>
  </si>
  <si>
    <t>Insurance</t>
  </si>
  <si>
    <t>100013</t>
  </si>
  <si>
    <t>IndusInd Bank Ltd.</t>
  </si>
  <si>
    <t>INE095A01012</t>
  </si>
  <si>
    <t>100148</t>
  </si>
  <si>
    <t>Motilal Oswal Financial Services Ltd.</t>
  </si>
  <si>
    <t>INE338I01027</t>
  </si>
  <si>
    <t>Capital Markets</t>
  </si>
  <si>
    <t>100665</t>
  </si>
  <si>
    <t>Aditya Birla Capital Ltd.</t>
  </si>
  <si>
    <t>INE674K01013</t>
  </si>
  <si>
    <t>100092</t>
  </si>
  <si>
    <t>Bank of Baroda</t>
  </si>
  <si>
    <t>INE028A01039</t>
  </si>
  <si>
    <t>100116</t>
  </si>
  <si>
    <t>Sundaram Finance Ltd.</t>
  </si>
  <si>
    <t>INE660A01013</t>
  </si>
  <si>
    <t>100231</t>
  </si>
  <si>
    <t>Muthoot Finance Ltd.</t>
  </si>
  <si>
    <t>INE414G01012</t>
  </si>
  <si>
    <t>100380</t>
  </si>
  <si>
    <t>Bajaj Finserv Ltd.</t>
  </si>
  <si>
    <t>INE918I01018</t>
  </si>
  <si>
    <t>100036</t>
  </si>
  <si>
    <t>Mahindra &amp; Mahindra Financial Services Ltd.</t>
  </si>
  <si>
    <t>INE774D01024</t>
  </si>
  <si>
    <t>100814</t>
  </si>
  <si>
    <t>HDFC Asset Management Company Ltd.</t>
  </si>
  <si>
    <t>INE127D01025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</si>
  <si>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</si>
  <si>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</si>
  <si>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</si>
  <si>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</si>
  <si>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</si>
  <si>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</si>
  <si>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</si>
  <si>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</si>
  <si>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</si>
  <si>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</si>
  <si>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</si>
  <si>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</si>
  <si>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</si>
  <si>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</si>
  <si>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</si>
  <si>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</si>
  <si>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</si>
  <si>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</si>
  <si>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</si>
  <si>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</si>
  <si>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</si>
  <si>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</si>
  <si>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</si>
  <si>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</si>
  <si>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</si>
  <si>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</si>
  <si>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</si>
  <si>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</si>
  <si>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</si>
  <si>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</si>
  <si>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</si>
  <si>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</si>
  <si>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</si>
  <si>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</si>
  <si>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</si>
  <si>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</si>
  <si>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</si>
  <si>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</si>
  <si>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</si>
  <si>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May 31, 2022 : 32.33)</t>
  </si>
  <si>
    <t>Taurus Banking &amp; Financial Services Fund - Direct Plan Growth Option</t>
  </si>
  <si>
    <t>NAV [Rs.] Per Unit (as on May 31, 2022 : 35.27)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</si>
</sst>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1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44712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23611</v>
      </c>
      <c r="H10" s="32">
        <v>177.44</v>
      </c>
      <c r="I10" s="32">
        <v>19.61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7992</v>
      </c>
      <c r="H11" s="32">
        <v>148.19</v>
      </c>
      <c r="I11" s="32">
        <v>16.38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9507</v>
      </c>
      <c r="H12" s="32">
        <v>131.9</v>
      </c>
      <c r="I12" s="32">
        <v>14.58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17925</v>
      </c>
      <c r="H13" s="32">
        <v>83.85</v>
      </c>
      <c r="I13" s="32">
        <v>9.27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31</v>
      </c>
      <c r="G14" s="31">
        <v>962</v>
      </c>
      <c r="H14" s="32">
        <v>49.13</v>
      </c>
      <c r="I14" s="32">
        <v>5.43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18</v>
      </c>
      <c r="G15" s="31">
        <v>5802</v>
      </c>
      <c r="H15" s="32">
        <v>39.770000000000003</v>
      </c>
      <c r="I15" s="32">
        <v>4.4000000000000004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31</v>
      </c>
      <c r="G16" s="31">
        <v>4757</v>
      </c>
      <c r="H16" s="32">
        <v>32.32</v>
      </c>
      <c r="I16" s="32">
        <v>3.57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31</v>
      </c>
      <c r="G17" s="31">
        <v>1263</v>
      </c>
      <c r="H17" s="32">
        <v>29.14</v>
      </c>
      <c r="I17" s="32">
        <v>3.22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31</v>
      </c>
      <c r="G18" s="31">
        <v>748</v>
      </c>
      <c r="H18" s="32">
        <v>25.52</v>
      </c>
      <c r="I18" s="32">
        <v>2.82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31</v>
      </c>
      <c r="G19" s="31">
        <v>412</v>
      </c>
      <c r="H19" s="32">
        <v>25.04</v>
      </c>
      <c r="I19" s="32">
        <v>2.77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54000</v>
      </c>
      <c r="H20" s="32">
        <v>20.41</v>
      </c>
      <c r="I20" s="32">
        <v>2.2599999999999998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53</v>
      </c>
      <c r="G21" s="31">
        <v>3856</v>
      </c>
      <c r="H21" s="32">
        <v>20.11</v>
      </c>
      <c r="I21" s="32">
        <v>2.2200000000000002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1975</v>
      </c>
      <c r="H22" s="32">
        <v>18.38</v>
      </c>
      <c r="I22" s="32">
        <v>2.0299999999999998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60</v>
      </c>
      <c r="G23" s="31">
        <v>2209</v>
      </c>
      <c r="H23" s="32">
        <v>17.52</v>
      </c>
      <c r="I23" s="32">
        <v>1.94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53</v>
      </c>
      <c r="G24" s="31">
        <v>17247</v>
      </c>
      <c r="H24" s="32">
        <v>17.440000000000001</v>
      </c>
      <c r="I24" s="32">
        <v>1.93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17264</v>
      </c>
      <c r="H25" s="32">
        <v>17.29</v>
      </c>
      <c r="I25" s="32">
        <v>1.91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31</v>
      </c>
      <c r="G26" s="31">
        <v>518</v>
      </c>
      <c r="H26" s="32">
        <v>8.5399999999999991</v>
      </c>
      <c r="I26" s="32">
        <v>0.94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31</v>
      </c>
      <c r="G27" s="31">
        <v>746</v>
      </c>
      <c r="H27" s="32">
        <v>8.5</v>
      </c>
      <c r="I27" s="32">
        <v>0.94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31</v>
      </c>
      <c r="G28" s="31">
        <v>65</v>
      </c>
      <c r="H28" s="32">
        <v>8.39</v>
      </c>
      <c r="I28" s="32">
        <v>0.93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31</v>
      </c>
      <c r="G29" s="31">
        <v>4012</v>
      </c>
      <c r="H29" s="32">
        <v>7.16</v>
      </c>
      <c r="I29" s="32">
        <v>0.79</v>
      </c>
      <c r="J29" s="33"/>
    </row>
    <row r="30" spans="2:10">
      <c r="B30" s="1" t="s">
        <v>79</v>
      </c>
      <c r="C30" s="20" t="s">
        <v>80</v>
      </c>
      <c r="D30" s="29" t="s">
        <v>81</v>
      </c>
      <c r="E30" s="30"/>
      <c r="F30" s="30" t="s">
        <v>60</v>
      </c>
      <c r="G30" s="31">
        <v>191</v>
      </c>
      <c r="H30" s="32">
        <v>3.64</v>
      </c>
      <c r="I30" s="32">
        <v>0.4</v>
      </c>
      <c r="J30" s="33"/>
    </row>
    <row r="31" spans="2:10">
      <c r="C31" s="28" t="s">
        <v>82</v>
      </c>
      <c r="D31" s="29"/>
      <c r="E31" s="30"/>
      <c r="F31" s="30"/>
      <c r="G31" s="31"/>
      <c r="H31" s="35">
        <v>889.68</v>
      </c>
      <c r="I31" s="35">
        <v>98.34</v>
      </c>
      <c r="J31" s="33"/>
    </row>
    <row r="32" spans="2:10">
      <c r="C32" s="20"/>
      <c r="D32" s="29"/>
      <c r="E32" s="30"/>
      <c r="F32" s="30"/>
      <c r="G32" s="31"/>
      <c r="H32" s="32"/>
      <c r="I32" s="32"/>
      <c r="J32" s="33"/>
    </row>
    <row r="33" spans="3:10">
      <c r="C33" s="28" t="s">
        <v>83</v>
      </c>
      <c r="D33" s="29"/>
      <c r="E33" s="30"/>
      <c r="F33" s="30"/>
      <c r="G33" s="31"/>
      <c r="H33" s="32" t="s">
        <v>84</v>
      </c>
      <c r="I33" s="32" t="s">
        <v>84</v>
      </c>
      <c r="J33" s="33"/>
    </row>
    <row r="34" spans="3:10">
      <c r="C34" s="20"/>
      <c r="D34" s="29"/>
      <c r="E34" s="30"/>
      <c r="F34" s="30"/>
      <c r="G34" s="31"/>
      <c r="H34" s="32"/>
      <c r="I34" s="32"/>
      <c r="J34" s="33"/>
    </row>
    <row r="35" spans="3:10">
      <c r="C35" s="28" t="s">
        <v>85</v>
      </c>
      <c r="D35" s="29"/>
      <c r="E35" s="30"/>
      <c r="F35" s="30"/>
      <c r="G35" s="31"/>
      <c r="H35" s="32" t="s">
        <v>84</v>
      </c>
      <c r="I35" s="32" t="s">
        <v>84</v>
      </c>
      <c r="J35" s="33"/>
    </row>
    <row r="36" spans="3:10">
      <c r="C36" s="20"/>
      <c r="D36" s="29"/>
      <c r="E36" s="30"/>
      <c r="F36" s="30"/>
      <c r="G36" s="31"/>
      <c r="H36" s="32"/>
      <c r="I36" s="32"/>
      <c r="J36" s="33"/>
    </row>
    <row r="37" spans="3:10">
      <c r="C37" s="28" t="s">
        <v>86</v>
      </c>
      <c r="D37" s="29"/>
      <c r="E37" s="30"/>
      <c r="F37" s="30"/>
      <c r="G37" s="31"/>
      <c r="H37" s="32"/>
      <c r="I37" s="32"/>
      <c r="J37" s="33"/>
    </row>
    <row r="38" spans="3:10">
      <c r="C38" s="20"/>
      <c r="D38" s="29"/>
      <c r="E38" s="30"/>
      <c r="F38" s="30"/>
      <c r="G38" s="31"/>
      <c r="H38" s="32"/>
      <c r="I38" s="32"/>
      <c r="J38" s="33"/>
    </row>
    <row r="39" spans="3:10">
      <c r="C39" s="28" t="s">
        <v>87</v>
      </c>
      <c r="D39" s="29"/>
      <c r="E39" s="30"/>
      <c r="F39" s="30"/>
      <c r="G39" s="31"/>
      <c r="H39" s="32" t="s">
        <v>84</v>
      </c>
      <c r="I39" s="32" t="s">
        <v>84</v>
      </c>
      <c r="J39" s="33"/>
    </row>
    <row r="40" spans="3:10">
      <c r="C40" s="20"/>
      <c r="D40" s="29"/>
      <c r="E40" s="30"/>
      <c r="F40" s="30"/>
      <c r="G40" s="31"/>
      <c r="H40" s="32"/>
      <c r="I40" s="32"/>
      <c r="J40" s="33"/>
    </row>
    <row r="41" spans="3:10">
      <c r="C41" s="28" t="s">
        <v>88</v>
      </c>
      <c r="D41" s="29"/>
      <c r="E41" s="30"/>
      <c r="F41" s="30"/>
      <c r="G41" s="31"/>
      <c r="H41" s="32" t="s">
        <v>84</v>
      </c>
      <c r="I41" s="32" t="s">
        <v>84</v>
      </c>
      <c r="J41" s="33"/>
    </row>
    <row r="42" spans="3:10">
      <c r="C42" s="20"/>
      <c r="D42" s="29"/>
      <c r="E42" s="30"/>
      <c r="F42" s="30"/>
      <c r="G42" s="31"/>
      <c r="H42" s="32"/>
      <c r="I42" s="32"/>
      <c r="J42" s="33"/>
    </row>
    <row r="43" spans="3:10">
      <c r="C43" s="28" t="s">
        <v>89</v>
      </c>
      <c r="D43" s="29"/>
      <c r="E43" s="30"/>
      <c r="F43" s="30"/>
      <c r="G43" s="31"/>
      <c r="H43" s="32" t="s">
        <v>84</v>
      </c>
      <c r="I43" s="32" t="s">
        <v>84</v>
      </c>
      <c r="J43" s="33"/>
    </row>
    <row r="44" spans="3:10">
      <c r="C44" s="20"/>
      <c r="D44" s="29"/>
      <c r="E44" s="30"/>
      <c r="F44" s="30"/>
      <c r="G44" s="31"/>
      <c r="H44" s="32"/>
      <c r="I44" s="32"/>
      <c r="J44" s="33"/>
    </row>
    <row r="45" spans="3:10">
      <c r="C45" s="28" t="s">
        <v>90</v>
      </c>
      <c r="D45" s="29"/>
      <c r="E45" s="30"/>
      <c r="F45" s="30"/>
      <c r="G45" s="31"/>
      <c r="H45" s="32" t="s">
        <v>84</v>
      </c>
      <c r="I45" s="32" t="s">
        <v>84</v>
      </c>
      <c r="J45" s="33"/>
    </row>
    <row r="46" spans="3:10">
      <c r="C46" s="20"/>
      <c r="D46" s="29"/>
      <c r="E46" s="30"/>
      <c r="F46" s="30"/>
      <c r="G46" s="31"/>
      <c r="H46" s="32"/>
      <c r="I46" s="32"/>
      <c r="J46" s="33"/>
    </row>
    <row r="47" spans="3:10">
      <c r="C47" s="28" t="s">
        <v>91</v>
      </c>
      <c r="D47" s="29"/>
      <c r="E47" s="30"/>
      <c r="F47" s="30"/>
      <c r="G47" s="31"/>
      <c r="H47" s="32" t="s">
        <v>84</v>
      </c>
      <c r="I47" s="32" t="s">
        <v>84</v>
      </c>
      <c r="J47" s="33"/>
    </row>
    <row r="48" spans="3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92</v>
      </c>
      <c r="D49" s="29"/>
      <c r="E49" s="30"/>
      <c r="F49" s="30"/>
      <c r="G49" s="31"/>
      <c r="H49" s="32"/>
      <c r="I49" s="32"/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93</v>
      </c>
      <c r="D51" s="29"/>
      <c r="E51" s="30"/>
      <c r="F51" s="30"/>
      <c r="G51" s="31"/>
      <c r="H51" s="32" t="s">
        <v>84</v>
      </c>
      <c r="I51" s="32" t="s">
        <v>84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94</v>
      </c>
      <c r="D53" s="29"/>
      <c r="E53" s="30"/>
      <c r="F53" s="30"/>
      <c r="G53" s="31"/>
      <c r="H53" s="32" t="s">
        <v>84</v>
      </c>
      <c r="I53" s="32" t="s">
        <v>84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95</v>
      </c>
      <c r="D55" s="29"/>
      <c r="E55" s="30"/>
      <c r="F55" s="30"/>
      <c r="G55" s="31"/>
      <c r="H55" s="32" t="s">
        <v>84</v>
      </c>
      <c r="I55" s="32" t="s">
        <v>84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96</v>
      </c>
      <c r="D57" s="29"/>
      <c r="E57" s="30"/>
      <c r="F57" s="30"/>
      <c r="G57" s="31"/>
      <c r="H57" s="32" t="s">
        <v>84</v>
      </c>
      <c r="I57" s="32" t="s">
        <v>84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97</v>
      </c>
      <c r="D59" s="29"/>
      <c r="E59" s="30"/>
      <c r="F59" s="30"/>
      <c r="G59" s="31"/>
      <c r="H59" s="32"/>
      <c r="I59" s="32"/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98</v>
      </c>
      <c r="D61" s="29"/>
      <c r="E61" s="30"/>
      <c r="F61" s="30"/>
      <c r="G61" s="31"/>
      <c r="H61" s="32" t="s">
        <v>84</v>
      </c>
      <c r="I61" s="32" t="s">
        <v>84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99</v>
      </c>
      <c r="D63" s="29"/>
      <c r="E63" s="30"/>
      <c r="F63" s="30"/>
      <c r="G63" s="31"/>
      <c r="H63" s="32" t="s">
        <v>84</v>
      </c>
      <c r="I63" s="32" t="s">
        <v>84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100</v>
      </c>
      <c r="D65" s="29"/>
      <c r="E65" s="30"/>
      <c r="F65" s="30"/>
      <c r="G65" s="31"/>
      <c r="H65" s="32" t="s">
        <v>84</v>
      </c>
      <c r="I65" s="32" t="s">
        <v>84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101</v>
      </c>
      <c r="D67" s="29"/>
      <c r="E67" s="30"/>
      <c r="F67" s="30"/>
      <c r="G67" s="31"/>
      <c r="H67" s="32" t="s">
        <v>84</v>
      </c>
      <c r="I67" s="32" t="s">
        <v>84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102</v>
      </c>
      <c r="D69" s="29"/>
      <c r="E69" s="30"/>
      <c r="F69" s="30"/>
      <c r="G69" s="31"/>
      <c r="H69" s="32" t="s">
        <v>84</v>
      </c>
      <c r="I69" s="32" t="s">
        <v>84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A71" s="26"/>
      <c r="B71" s="27"/>
      <c r="C71" s="28" t="s">
        <v>103</v>
      </c>
      <c r="D71" s="29"/>
      <c r="E71" s="30"/>
      <c r="F71" s="30"/>
      <c r="G71" s="31"/>
      <c r="H71" s="32"/>
      <c r="I71" s="32"/>
      <c r="J71" s="33"/>
    </row>
    <row r="72" spans="1:10">
      <c r="B72" s="1"/>
      <c r="C72" s="20" t="s">
        <v>104</v>
      </c>
      <c r="D72" s="29"/>
      <c r="E72" s="30"/>
      <c r="F72" s="30"/>
      <c r="G72" s="31"/>
      <c r="H72" s="32">
        <v>15.08</v>
      </c>
      <c r="I72" s="32">
        <v>1.66</v>
      </c>
      <c r="J72" s="33"/>
    </row>
    <row r="73" spans="1:10">
      <c r="C73" s="28" t="s">
        <v>82</v>
      </c>
      <c r="D73" s="29"/>
      <c r="E73" s="30"/>
      <c r="F73" s="30"/>
      <c r="G73" s="31"/>
      <c r="H73" s="35">
        <v>15.08</v>
      </c>
      <c r="I73" s="35">
        <v>1.66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 ht="13.8" thickBot="1">
      <c r="C75" s="36" t="s">
        <v>105</v>
      </c>
      <c r="D75" s="37"/>
      <c r="E75" s="38"/>
      <c r="F75" s="39"/>
      <c r="G75" s="40"/>
      <c r="H75" s="41">
        <v>904.76</v>
      </c>
      <c r="I75" s="41">
        <f>SUMIFS(I:I,C:C,"Total")</f>
        <v>100</v>
      </c>
      <c r="J75" s="42"/>
    </row>
    <row r="78" spans="1:10">
      <c r="C78" s="11" t="s">
        <v>106</v>
      </c>
    </row>
    <row r="79" spans="1:10">
      <c r="C79" s="2" t="s">
        <v>107</v>
      </c>
    </row>
    <row r="80" spans="1:10">
      <c r="C80" s="2" t="s">
        <v>108</v>
      </c>
    </row>
    <row r="81" spans="3:3">
      <c r="C81" s="2" t="s">
        <v>109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66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110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111</v>
      </c>
      <c r="B5" s="46" t="s">
        <v>112</v>
      </c>
      <c r="C5" s="46"/>
      <c r="D5" s="46" t="s">
        <v>113</v>
      </c>
      <c r="E5" s="46"/>
      <c r="F5" s="46" t="s">
        <v>114</v>
      </c>
      <c r="G5" s="46"/>
      <c r="H5" s="46" t="s">
        <v>115</v>
      </c>
      <c r="I5" s="46"/>
    </row>
    <row r="6" spans="1:9" ht="66">
      <c r="A6" s="47"/>
      <c r="B6" s="48" t="s">
        <v>116</v>
      </c>
      <c r="C6" s="48" t="s">
        <v>117</v>
      </c>
      <c r="D6" s="48" t="s">
        <v>116</v>
      </c>
      <c r="E6" s="48" t="s">
        <v>117</v>
      </c>
      <c r="F6" s="48" t="s">
        <v>116</v>
      </c>
      <c r="G6" s="48" t="s">
        <v>117</v>
      </c>
      <c r="H6" s="48" t="s">
        <v>116</v>
      </c>
      <c r="I6" s="48" t="s">
        <v>117</v>
      </c>
    </row>
    <row r="7" spans="1:9">
      <c r="A7" s="49" t="s">
        <v>118</v>
      </c>
      <c r="B7" s="50">
        <v>-1.6727493917275016</v>
      </c>
      <c r="C7" s="50">
        <v>9832.7250608272498</v>
      </c>
      <c r="D7" s="50">
        <v>6.1441923311440494</v>
      </c>
      <c r="E7" s="50">
        <v>11960.784313725489</v>
      </c>
      <c r="F7" s="50">
        <v>8.8732057493521523</v>
      </c>
      <c r="G7" s="50">
        <v>15300.520586843351</v>
      </c>
      <c r="H7" s="50">
        <v>12.407057116880772</v>
      </c>
      <c r="I7" s="50">
        <v>32330</v>
      </c>
    </row>
    <row r="8" spans="1:9">
      <c r="A8" s="49" t="s">
        <v>119</v>
      </c>
      <c r="B8" s="50">
        <v>2.1965442291512982</v>
      </c>
      <c r="C8" s="50">
        <v>10219.65442291513</v>
      </c>
      <c r="D8" s="50">
        <v>5.4643703516953135</v>
      </c>
      <c r="E8" s="50">
        <v>11730.520760634761</v>
      </c>
      <c r="F8" s="50">
        <v>9.4612103934053735</v>
      </c>
      <c r="G8" s="50">
        <v>15714.524005822772</v>
      </c>
      <c r="H8" s="50">
        <v>15.272621616073835</v>
      </c>
      <c r="I8" s="50">
        <v>41602.74089175991</v>
      </c>
    </row>
    <row r="9" spans="1:9">
      <c r="A9" s="49" t="s">
        <v>120</v>
      </c>
      <c r="B9" s="50">
        <v>7.9019203651301329</v>
      </c>
      <c r="C9" s="50">
        <v>10790.192036513014</v>
      </c>
      <c r="D9" s="50">
        <v>13.034360395190792</v>
      </c>
      <c r="E9" s="50">
        <v>14442.136439350015</v>
      </c>
      <c r="F9" s="50">
        <v>12.966066007428623</v>
      </c>
      <c r="G9" s="50">
        <v>18396.704163514089</v>
      </c>
      <c r="H9" s="50">
        <v>14.467651965176763</v>
      </c>
      <c r="I9" s="50">
        <v>38778.969649665378</v>
      </c>
    </row>
    <row r="10" spans="1:9">
      <c r="A10" s="49" t="s">
        <v>121</v>
      </c>
      <c r="B10" s="51">
        <v>32.880000000000003</v>
      </c>
      <c r="C10" s="52"/>
      <c r="D10" s="51">
        <v>27.03</v>
      </c>
      <c r="E10" s="52"/>
      <c r="F10" s="51">
        <v>21.13</v>
      </c>
      <c r="G10" s="52"/>
      <c r="H10" s="51">
        <v>10</v>
      </c>
      <c r="I10" s="52"/>
    </row>
    <row r="12" spans="1:9" ht="15.6">
      <c r="A12" s="43" t="s">
        <v>122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111</v>
      </c>
      <c r="B13" s="46" t="s">
        <v>112</v>
      </c>
      <c r="C13" s="46"/>
      <c r="D13" s="46" t="s">
        <v>113</v>
      </c>
      <c r="E13" s="46"/>
      <c r="F13" s="46" t="s">
        <v>114</v>
      </c>
      <c r="G13" s="46"/>
      <c r="H13" s="46" t="s">
        <v>115</v>
      </c>
      <c r="I13" s="46"/>
    </row>
    <row r="14" spans="1:9" ht="66">
      <c r="A14" s="47"/>
      <c r="B14" s="48" t="s">
        <v>116</v>
      </c>
      <c r="C14" s="48" t="s">
        <v>117</v>
      </c>
      <c r="D14" s="48" t="s">
        <v>116</v>
      </c>
      <c r="E14" s="48" t="s">
        <v>117</v>
      </c>
      <c r="F14" s="48" t="s">
        <v>116</v>
      </c>
      <c r="G14" s="48" t="s">
        <v>117</v>
      </c>
      <c r="H14" s="48" t="s">
        <v>116</v>
      </c>
      <c r="I14" s="48" t="s">
        <v>117</v>
      </c>
    </row>
    <row r="15" spans="1:9">
      <c r="A15" s="49" t="s">
        <v>118</v>
      </c>
      <c r="B15" s="50">
        <v>-0.92696629213482318</v>
      </c>
      <c r="C15" s="50">
        <v>9907.3033707865179</v>
      </c>
      <c r="D15" s="50">
        <v>6.9573132095758439</v>
      </c>
      <c r="E15" s="50">
        <v>12238.029146426094</v>
      </c>
      <c r="F15" s="50">
        <v>9.7448672444647499</v>
      </c>
      <c r="G15" s="50">
        <v>15923.250564334088</v>
      </c>
      <c r="H15" s="50">
        <v>10.606906176793229</v>
      </c>
      <c r="I15" s="50">
        <v>25838.827838827841</v>
      </c>
    </row>
    <row r="16" spans="1:9">
      <c r="A16" s="49" t="s">
        <v>119</v>
      </c>
      <c r="B16" s="50">
        <v>2.1965442291512982</v>
      </c>
      <c r="C16" s="50">
        <v>10219.65442291513</v>
      </c>
      <c r="D16" s="50">
        <v>5.4643703516953135</v>
      </c>
      <c r="E16" s="50">
        <v>11730.520760634761</v>
      </c>
      <c r="F16" s="50">
        <v>9.4612103934053735</v>
      </c>
      <c r="G16" s="50">
        <v>15714.524005822772</v>
      </c>
      <c r="H16" s="50">
        <v>12.289973772212459</v>
      </c>
      <c r="I16" s="50">
        <v>29787.409691679564</v>
      </c>
    </row>
    <row r="17" spans="1:9">
      <c r="A17" s="49" t="s">
        <v>120</v>
      </c>
      <c r="B17" s="50">
        <v>7.9019203651301329</v>
      </c>
      <c r="C17" s="50">
        <v>10790.192036513014</v>
      </c>
      <c r="D17" s="50">
        <v>13.034360395190792</v>
      </c>
      <c r="E17" s="50">
        <v>14442.136439350015</v>
      </c>
      <c r="F17" s="50">
        <v>12.966066007428623</v>
      </c>
      <c r="G17" s="50">
        <v>18396.704163514089</v>
      </c>
      <c r="H17" s="50">
        <v>12.802593554452613</v>
      </c>
      <c r="I17" s="50">
        <v>31092.771784835495</v>
      </c>
    </row>
    <row r="18" spans="1:9">
      <c r="A18" s="49" t="s">
        <v>123</v>
      </c>
      <c r="B18" s="51">
        <v>35.6</v>
      </c>
      <c r="C18" s="52"/>
      <c r="D18" s="51">
        <v>28.82</v>
      </c>
      <c r="E18" s="52"/>
      <c r="F18" s="51">
        <v>22.15</v>
      </c>
      <c r="G18" s="52"/>
      <c r="H18" s="51">
        <v>13.65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2022-06-02T11:51:31Z</dcterms:created>
  <dcterms:modified xsi:type="dcterms:W3CDTF">2022-06-07T05:56:43Z</dcterms:modified>
</cp:coreProperties>
</file>