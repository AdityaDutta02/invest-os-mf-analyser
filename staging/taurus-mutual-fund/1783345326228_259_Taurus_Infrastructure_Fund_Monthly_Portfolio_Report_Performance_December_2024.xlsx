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0. Jan 2025\Monthly Portfolio Dec 2024\Ops\"/>
    </mc:Choice>
  </mc:AlternateContent>
  <xr:revisionPtr revIDLastSave="0" documentId="13_ncr:1_{D06BE565-A55C-4FB9-BADF-486B645C6ACA}" xr6:coauthVersionLast="47" xr6:coauthVersionMax="47" xr10:uidLastSave="{00000000-0000-0000-0000-000000000000}"/>
  <bookViews>
    <workbookView xWindow="-120" yWindow="-120" windowWidth="20730" windowHeight="11040" xr2:uid="{7A8BAE86-1A8F-4276-A135-40F901C2A96C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TISF!$C$8:$C$43</definedName>
    <definedName name="XDO_?FINAL_ISIN?7?">TISF!$D$10:$D$43</definedName>
    <definedName name="XDO_?FINAL_ISIN?8?">TISF!$D$10:$D$87</definedName>
    <definedName name="XDO_?FINAL_MV?7?">TISF!$H$10:$H$43</definedName>
    <definedName name="XDO_?FINAL_MV?8?">TISF!$H$10:$H$87</definedName>
    <definedName name="XDO_?FINAL_NAME?7?">TISF!$C$10:$C$43</definedName>
    <definedName name="XDO_?FINAL_NAME?8?">TISF!$C$10:$C$87</definedName>
    <definedName name="XDO_?FINAL_PER_NET?7?">TISF!$I$10:$I$43</definedName>
    <definedName name="XDO_?FINAL_PER_NET?8?">TISF!$I$10:$I$87</definedName>
    <definedName name="XDO_?FINAL_QUANTITE?7?">TISF!$G$10:$G$43</definedName>
    <definedName name="XDO_?FINAL_QUANTITE?8?">TISF!$G$10:$G$87</definedName>
    <definedName name="XDO_?IND_01?7?">TISF!$F$10:$F$43</definedName>
    <definedName name="XDO_?IND_01?8?">TISF!$F$10:$F$87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TISF!$B$10:$B$43</definedName>
    <definedName name="XDO_?NOVAL?8?">TISF!$B$10:$B$87</definedName>
    <definedName name="XDO_?NPTF?4?">TISF!$D$2:$D$43</definedName>
    <definedName name="XDO_?RATING?7?">TISF!$E$10:$E$43</definedName>
    <definedName name="XDO_?RATING?8?">TISF!$E$10:$E$87</definedName>
    <definedName name="XDO_?REMARKS?7?">TISF!$J$10:$J$43</definedName>
    <definedName name="XDO_?REMARKS?8?">TISF!$J$10:$J$87</definedName>
    <definedName name="XDO_?TITL?4?">TISF!$A$8:$A$43</definedName>
    <definedName name="XDO_GROUP_?G_2?4?">TISF!$2:$90</definedName>
    <definedName name="XDO_GROUP_?G_3?4?">TISF!$8:$89</definedName>
    <definedName name="XDO_GROUP_?G_4?7?">TISF!$B$10:$IV$43</definedName>
    <definedName name="XDO_GROUP_?G_4?8?">TISF!$B$87:$IV$87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</calcChain>
</file>

<file path=xl/sharedStrings.xml><?xml version="1.0" encoding="utf-8"?>
<sst xmlns="http://schemas.openxmlformats.org/spreadsheetml/2006/main" count="272" uniqueCount="197">
  <si>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</si>
  <si>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</si>
  <si>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</si>
  <si>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</si>
  <si>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</si>
  <si>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</si>
  <si>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</si>
  <si>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</si>
  <si>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</si>
  <si>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</si>
  <si>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</si>
  <si>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</si>
  <si>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</si>
  <si>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</si>
  <si>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</si>
  <si>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</si>
  <si>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</si>
  <si>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</si>
  <si>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</si>
  <si>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</si>
  <si>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</si>
  <si>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</si>
  <si>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</si>
  <si>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</si>
  <si>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</si>
  <si>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</si>
  <si>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</si>
  <si>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102447</t>
  </si>
  <si>
    <t>Afcons Infrastructure Ltd.</t>
  </si>
  <si>
    <t>INE101I01011</t>
  </si>
  <si>
    <t>102206</t>
  </si>
  <si>
    <t>Chemtech Industrial Valves Ltd.</t>
  </si>
  <si>
    <t>INE212P01011</t>
  </si>
  <si>
    <t>Industrial Manufacturing</t>
  </si>
  <si>
    <t>102220</t>
  </si>
  <si>
    <t>Interarch Building Products Ltd.</t>
  </si>
  <si>
    <t>INE00M901018</t>
  </si>
  <si>
    <t>102520</t>
  </si>
  <si>
    <t>Transrail Lighting Ltd.</t>
  </si>
  <si>
    <t>INE454P01035</t>
  </si>
  <si>
    <t>Electrical Equipment</t>
  </si>
  <si>
    <t>100302</t>
  </si>
  <si>
    <t>DLF Ltd.</t>
  </si>
  <si>
    <t>INE271C01023</t>
  </si>
  <si>
    <t>Realty</t>
  </si>
  <si>
    <t>100752</t>
  </si>
  <si>
    <t>Praj Industries Ltd.</t>
  </si>
  <si>
    <t>INE074A01025</t>
  </si>
  <si>
    <t>100181</t>
  </si>
  <si>
    <t>NTPC Ltd.</t>
  </si>
  <si>
    <t>INE733E01010</t>
  </si>
  <si>
    <t>Power</t>
  </si>
  <si>
    <t>100082</t>
  </si>
  <si>
    <t>Ultratech Cement Ltd.</t>
  </si>
  <si>
    <t>INE481G01011</t>
  </si>
  <si>
    <t>Cement &amp; Cement Products</t>
  </si>
  <si>
    <t>102060</t>
  </si>
  <si>
    <t>Tarc Ltd.</t>
  </si>
  <si>
    <t>INE0EK901012</t>
  </si>
  <si>
    <t>100281</t>
  </si>
  <si>
    <t>Aditya Birla Real Estate Ltd.</t>
  </si>
  <si>
    <t>INE055A01016</t>
  </si>
  <si>
    <t>Paper, Forest &amp; Jute Products</t>
  </si>
  <si>
    <t>100182</t>
  </si>
  <si>
    <t>Power Grid Corporation of India Ltd.</t>
  </si>
  <si>
    <t>INE752E01010</t>
  </si>
  <si>
    <t>100365</t>
  </si>
  <si>
    <t>Ashok Leyland Ltd.</t>
  </si>
  <si>
    <t>INE208A01029</t>
  </si>
  <si>
    <t>Agricultural, Commercial &amp; Construction Vehicles</t>
  </si>
  <si>
    <t>100177</t>
  </si>
  <si>
    <t>Grasim Industries Ltd.</t>
  </si>
  <si>
    <t>INE047A01021</t>
  </si>
  <si>
    <t>101800</t>
  </si>
  <si>
    <t>Hindware Home Innovation Ltd.</t>
  </si>
  <si>
    <t>INE05AN01011</t>
  </si>
  <si>
    <t>Consumer Durables</t>
  </si>
  <si>
    <t>100643</t>
  </si>
  <si>
    <t>PSP Projects Ltd.</t>
  </si>
  <si>
    <t>INE488V01015</t>
  </si>
  <si>
    <t>100292</t>
  </si>
  <si>
    <t>Steel Authority of India Ltd.</t>
  </si>
  <si>
    <t>INE114A01011</t>
  </si>
  <si>
    <t>Ferrous Metals</t>
  </si>
  <si>
    <t>100169</t>
  </si>
  <si>
    <t>Indian Oil Corporation Ltd.</t>
  </si>
  <si>
    <t>INE242A01010</t>
  </si>
  <si>
    <t>100843</t>
  </si>
  <si>
    <t>Dalmia Bharat Ltd.</t>
  </si>
  <si>
    <t>INE00R701025</t>
  </si>
  <si>
    <t>100174</t>
  </si>
  <si>
    <t>Vodafone Idea Ltd.</t>
  </si>
  <si>
    <t>INE669E01016</t>
  </si>
  <si>
    <t>100035</t>
  </si>
  <si>
    <t>NMDC Ltd.</t>
  </si>
  <si>
    <t>INE584A01023</t>
  </si>
  <si>
    <t>Minerals &amp; Mining</t>
  </si>
  <si>
    <t>100362</t>
  </si>
  <si>
    <t>JSW Energy Ltd.</t>
  </si>
  <si>
    <t>INE121E01018</t>
  </si>
  <si>
    <t>100809</t>
  </si>
  <si>
    <t>Rites Ltd.</t>
  </si>
  <si>
    <t>INE320J01015</t>
  </si>
  <si>
    <t>100111</t>
  </si>
  <si>
    <t>Oil &amp; Natural Gas Corporation Ltd.</t>
  </si>
  <si>
    <t>INE213A01029</t>
  </si>
  <si>
    <t>Oil</t>
  </si>
  <si>
    <t>100094</t>
  </si>
  <si>
    <t>Bharat Petroleum Corporation Ltd.</t>
  </si>
  <si>
    <t>INE029A01011</t>
  </si>
  <si>
    <t>100006</t>
  </si>
  <si>
    <t>HDFC Bank Ltd.</t>
  </si>
  <si>
    <t>INE040A01034</t>
  </si>
  <si>
    <t>Banks</t>
  </si>
  <si>
    <t>100263</t>
  </si>
  <si>
    <t>BEML Ltd.</t>
  </si>
  <si>
    <t>INE258A01016</t>
  </si>
  <si>
    <t>101489</t>
  </si>
  <si>
    <t>Data Patterns (India) Ltd.</t>
  </si>
  <si>
    <t>INE0IX101010</t>
  </si>
  <si>
    <t>Aerospace &amp; Defense</t>
  </si>
  <si>
    <t>100078</t>
  </si>
  <si>
    <t>Sanghi Industries Ltd.</t>
  </si>
  <si>
    <t>INE999B01013</t>
  </si>
  <si>
    <t>100913</t>
  </si>
  <si>
    <t>Rail Vikas Nigam Ltd.</t>
  </si>
  <si>
    <t>INE415G01027</t>
  </si>
  <si>
    <t>100440</t>
  </si>
  <si>
    <t>Birla Corporation Ltd.</t>
  </si>
  <si>
    <t>INE340A01012</t>
  </si>
  <si>
    <t>100659</t>
  </si>
  <si>
    <t>Visaka Industries Ltd.</t>
  </si>
  <si>
    <t>INE392A01021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</si>
  <si>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</si>
  <si>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</si>
  <si>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</si>
  <si>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</si>
  <si>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</si>
  <si>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</si>
  <si>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</si>
  <si>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</si>
  <si>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</si>
  <si>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</si>
  <si>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</si>
  <si>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</si>
  <si>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</si>
  <si>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</si>
  <si>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</si>
  <si>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</si>
  <si>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</si>
  <si>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</si>
  <si>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</si>
  <si>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</si>
  <si>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</si>
  <si>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</si>
  <si>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</si>
  <si>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</si>
  <si>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</si>
  <si>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</si>
  <si>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</si>
  <si>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</si>
  <si>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</si>
  <si>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</si>
  <si>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</si>
  <si>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</si>
  <si>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</si>
  <si>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</si>
  <si>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</si>
  <si>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November 30, 2024</t>
  </si>
  <si>
    <t>December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</si>
  <si>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</si>
  <si>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</si>
  <si>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</si>
  <si>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</si>
  <si>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December 31, 2024.</t>
  </si>
  <si>
    <t>(7) The Scheme did not declare any bonus during the month ended As on  December 31, 2024.</t>
  </si>
  <si>
    <t>(8) Total outstanding exposure in derivative instruments as on As on  December 31, 2024 is Nil</t>
  </si>
  <si>
    <t>(9) Total investments in Foreign Securities /ADRs/GDRs /Overseas ETFs as at As on  December 31, 2024 and its percentage to NAV is Nil.</t>
  </si>
  <si>
    <t>(10) During the period, the portfolio turnover ratio is 1.06 times.</t>
  </si>
  <si>
    <t>      Portfolio Turnover Ratio = Lower of sales or purchase of securities divided by average AUM for 12 months ended As on  December 31, 2024</t>
  </si>
  <si>
    <t>(11) The Scheme did not invest in repo transactions of corporate debt securities during the month ended As on  December 31, 2024.</t>
  </si>
  <si>
    <t>(12) The Scheme did not invest in credit default swaps during the month ended As on  December 31, 2024.</t>
  </si>
  <si>
    <t>(13) There are Nil instances of deviation from the valuation principles/guidelines during the month ended as on December 31st, 2024.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</si>
  <si>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</si>
  <si>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</si>
  <si>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</si>
  <si>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</si>
  <si>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</si>
  <si>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</si>
  <si>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</si>
  <si>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</si>
  <si>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</si>
  <si>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</si>
  <si>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</si>
  <si>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December 31,2024 :67.08)</t>
  </si>
  <si>
    <t>Taurus Infrastructure Fund - Direct Plan Growth Option</t>
  </si>
  <si>
    <t>NAV [Rs.] Per Unit (as on December 31,2024 :71.77)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</si>
</sst>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FA22386-DB39-4E52-974E-9CA6E1B8EC71}"/>
    <cellStyle name="Hyperlink" xfId="2" builtinId="8"/>
    <cellStyle name="Normal" xfId="0" builtinId="0"/>
    <cellStyle name="Normal 2" xfId="4" xr:uid="{5EBB246C-3EB7-4123-95C3-44F931A231EA}"/>
    <cellStyle name="Style 1" xfId="3" xr:uid="{B05AEDC5-6AD6-4CB5-AA16-556FAE4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5B8F9BFB-8C0C-4116-A24C-B06597E8E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Dec_2024\TMF_Monthly_Portfolio_Report_December%2024.xls" TargetMode="External"/><Relationship Id="rId1" Type="http://schemas.openxmlformats.org/officeDocument/2006/relationships/externalLinkPath" Target="file:///Q:\5.TMF\Reporting\Monthly%20Reports\Monthly%20Portfolio\2024-25\Dec_2024\Final%20Report\TMF_Monthly_Portfolio_Report_Dec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B7D5-6067-4804-AD7B-A3F3F74EBA1F}">
  <dimension ref="A1:BB116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45657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77.819999999999993</v>
      </c>
      <c r="I10" s="32">
        <v>8.15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5416</v>
      </c>
      <c r="H11" s="32">
        <v>65.83</v>
      </c>
      <c r="I11" s="32">
        <v>6.89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62.02</v>
      </c>
      <c r="I12" s="32">
        <v>6.49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10800</v>
      </c>
      <c r="H13" s="32">
        <v>58.95</v>
      </c>
      <c r="I13" s="32">
        <v>6.17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25000</v>
      </c>
      <c r="H14" s="32">
        <v>53.99</v>
      </c>
      <c r="I14" s="32">
        <v>5.65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26</v>
      </c>
      <c r="G15" s="31">
        <v>2231</v>
      </c>
      <c r="H15" s="32">
        <v>39.25</v>
      </c>
      <c r="I15" s="32">
        <v>4.1100000000000003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6936</v>
      </c>
      <c r="H16" s="32">
        <v>37.46</v>
      </c>
      <c r="I16" s="32">
        <v>3.92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4454</v>
      </c>
      <c r="H17" s="32">
        <v>36.729999999999997</v>
      </c>
      <c r="I17" s="32">
        <v>3.84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33</v>
      </c>
      <c r="G18" s="31">
        <v>4394</v>
      </c>
      <c r="H18" s="32">
        <v>36.1</v>
      </c>
      <c r="I18" s="32">
        <v>3.78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9787</v>
      </c>
      <c r="H19" s="32">
        <v>32.630000000000003</v>
      </c>
      <c r="I19" s="32">
        <v>3.42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280</v>
      </c>
      <c r="H20" s="32">
        <v>31.98</v>
      </c>
      <c r="I20" s="32">
        <v>3.35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44</v>
      </c>
      <c r="G21" s="31">
        <v>18003</v>
      </c>
      <c r="H21" s="32">
        <v>31.87</v>
      </c>
      <c r="I21" s="32">
        <v>3.34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1236</v>
      </c>
      <c r="H22" s="32">
        <v>31.03</v>
      </c>
      <c r="I22" s="32">
        <v>3.25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51</v>
      </c>
      <c r="G23" s="31">
        <v>8677</v>
      </c>
      <c r="H23" s="32">
        <v>26.78</v>
      </c>
      <c r="I23" s="32">
        <v>2.8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11848</v>
      </c>
      <c r="H24" s="32">
        <v>26.13</v>
      </c>
      <c r="I24" s="32">
        <v>2.73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55</v>
      </c>
      <c r="G25" s="31">
        <v>1015</v>
      </c>
      <c r="H25" s="32">
        <v>24.82</v>
      </c>
      <c r="I25" s="32">
        <v>2.6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8872</v>
      </c>
      <c r="H26" s="32">
        <v>24.08</v>
      </c>
      <c r="I26" s="32">
        <v>2.52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26</v>
      </c>
      <c r="G27" s="31">
        <v>3685</v>
      </c>
      <c r="H27" s="32">
        <v>23.95</v>
      </c>
      <c r="I27" s="32">
        <v>2.5099999999999998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20533</v>
      </c>
      <c r="H28" s="32">
        <v>23.22</v>
      </c>
      <c r="I28" s="32">
        <v>2.4300000000000002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22</v>
      </c>
      <c r="G29" s="31">
        <v>16067</v>
      </c>
      <c r="H29" s="32">
        <v>21.92</v>
      </c>
      <c r="I29" s="32">
        <v>2.29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55</v>
      </c>
      <c r="G30" s="31">
        <v>1208</v>
      </c>
      <c r="H30" s="32">
        <v>21.34</v>
      </c>
      <c r="I30" s="32">
        <v>2.23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18</v>
      </c>
      <c r="G31" s="31">
        <v>255518</v>
      </c>
      <c r="H31" s="32">
        <v>20.29</v>
      </c>
      <c r="I31" s="32">
        <v>2.12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30000</v>
      </c>
      <c r="H32" s="32">
        <v>19.79</v>
      </c>
      <c r="I32" s="32">
        <v>2.0699999999999998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51</v>
      </c>
      <c r="G33" s="31">
        <v>3031</v>
      </c>
      <c r="H33" s="32">
        <v>19.48</v>
      </c>
      <c r="I33" s="32">
        <v>2.04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26</v>
      </c>
      <c r="G34" s="31">
        <v>5803</v>
      </c>
      <c r="H34" s="32">
        <v>16.93</v>
      </c>
      <c r="I34" s="32">
        <v>1.77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6894</v>
      </c>
      <c r="H35" s="32">
        <v>16.48</v>
      </c>
      <c r="I35" s="32">
        <v>1.72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22</v>
      </c>
      <c r="G36" s="31">
        <v>5104</v>
      </c>
      <c r="H36" s="32">
        <v>14.92</v>
      </c>
      <c r="I36" s="32">
        <v>1.56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702</v>
      </c>
      <c r="H37" s="32">
        <v>12.44</v>
      </c>
      <c r="I37" s="32">
        <v>1.3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69</v>
      </c>
      <c r="G38" s="31">
        <v>280</v>
      </c>
      <c r="H38" s="32">
        <v>11.39</v>
      </c>
      <c r="I38" s="32">
        <v>1.19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120</v>
      </c>
      <c r="G39" s="31">
        <v>274</v>
      </c>
      <c r="H39" s="32">
        <v>6.77</v>
      </c>
      <c r="I39" s="32">
        <v>0.71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55</v>
      </c>
      <c r="G40" s="31">
        <v>10000</v>
      </c>
      <c r="H40" s="32">
        <v>6.08</v>
      </c>
      <c r="I40" s="32">
        <v>0.64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26</v>
      </c>
      <c r="G41" s="31">
        <v>1190</v>
      </c>
      <c r="H41" s="32">
        <v>5.03</v>
      </c>
      <c r="I41" s="32">
        <v>0.53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55</v>
      </c>
      <c r="G42" s="31">
        <v>385</v>
      </c>
      <c r="H42" s="32">
        <v>4.76</v>
      </c>
      <c r="I42" s="32">
        <v>0.5</v>
      </c>
      <c r="J42" s="33"/>
    </row>
    <row r="43" spans="2:10" x14ac:dyDescent="0.25">
      <c r="B43" s="1" t="s">
        <v>130</v>
      </c>
      <c r="C43" s="20" t="s">
        <v>131</v>
      </c>
      <c r="D43" s="29" t="s">
        <v>132</v>
      </c>
      <c r="E43" s="30"/>
      <c r="F43" s="30" t="s">
        <v>55</v>
      </c>
      <c r="G43" s="31">
        <v>3100</v>
      </c>
      <c r="H43" s="32">
        <v>2.75</v>
      </c>
      <c r="I43" s="32">
        <v>0.28999999999999998</v>
      </c>
      <c r="J43" s="33"/>
    </row>
    <row r="44" spans="2:10" x14ac:dyDescent="0.25">
      <c r="C44" s="28" t="s">
        <v>133</v>
      </c>
      <c r="D44" s="29"/>
      <c r="E44" s="30"/>
      <c r="F44" s="30"/>
      <c r="G44" s="31"/>
      <c r="H44" s="35">
        <v>945.01</v>
      </c>
      <c r="I44" s="35">
        <v>98.91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134</v>
      </c>
      <c r="D46" s="29"/>
      <c r="E46" s="30"/>
      <c r="F46" s="30"/>
      <c r="G46" s="31"/>
      <c r="H46" s="32" t="s">
        <v>135</v>
      </c>
      <c r="I46" s="32" t="s">
        <v>135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136</v>
      </c>
      <c r="D48" s="29"/>
      <c r="E48" s="30"/>
      <c r="F48" s="30"/>
      <c r="G48" s="31"/>
      <c r="H48" s="32" t="s">
        <v>135</v>
      </c>
      <c r="I48" s="32" t="s">
        <v>135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137</v>
      </c>
      <c r="D50" s="29"/>
      <c r="E50" s="30"/>
      <c r="F50" s="30"/>
      <c r="G50" s="31"/>
      <c r="H50" s="32"/>
      <c r="I50" s="32"/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138</v>
      </c>
      <c r="D52" s="29"/>
      <c r="E52" s="30"/>
      <c r="F52" s="30"/>
      <c r="G52" s="31"/>
      <c r="H52" s="32" t="s">
        <v>135</v>
      </c>
      <c r="I52" s="32" t="s">
        <v>135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139</v>
      </c>
      <c r="D54" s="29"/>
      <c r="E54" s="30"/>
      <c r="F54" s="30"/>
      <c r="G54" s="31"/>
      <c r="H54" s="32" t="s">
        <v>135</v>
      </c>
      <c r="I54" s="32" t="s">
        <v>135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140</v>
      </c>
      <c r="D56" s="29"/>
      <c r="E56" s="30"/>
      <c r="F56" s="30"/>
      <c r="G56" s="31"/>
      <c r="H56" s="32" t="s">
        <v>135</v>
      </c>
      <c r="I56" s="32" t="s">
        <v>135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141</v>
      </c>
      <c r="D58" s="29"/>
      <c r="E58" s="30"/>
      <c r="F58" s="30"/>
      <c r="G58" s="31"/>
      <c r="H58" s="32" t="s">
        <v>135</v>
      </c>
      <c r="I58" s="32" t="s">
        <v>135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142</v>
      </c>
      <c r="D60" s="29"/>
      <c r="E60" s="30"/>
      <c r="F60" s="30"/>
      <c r="G60" s="31"/>
      <c r="H60" s="32" t="s">
        <v>135</v>
      </c>
      <c r="I60" s="32" t="s">
        <v>135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143</v>
      </c>
      <c r="D62" s="29"/>
      <c r="E62" s="30"/>
      <c r="F62" s="30"/>
      <c r="G62" s="31"/>
      <c r="H62" s="32"/>
      <c r="I62" s="32"/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144</v>
      </c>
      <c r="D64" s="29"/>
      <c r="E64" s="30"/>
      <c r="F64" s="30"/>
      <c r="G64" s="31"/>
      <c r="H64" s="32" t="s">
        <v>135</v>
      </c>
      <c r="I64" s="32" t="s">
        <v>135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145</v>
      </c>
      <c r="D66" s="29"/>
      <c r="E66" s="30"/>
      <c r="F66" s="30"/>
      <c r="G66" s="31"/>
      <c r="H66" s="32" t="s">
        <v>135</v>
      </c>
      <c r="I66" s="32" t="s">
        <v>135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146</v>
      </c>
      <c r="D68" s="29"/>
      <c r="E68" s="30"/>
      <c r="F68" s="30"/>
      <c r="G68" s="31"/>
      <c r="H68" s="32" t="s">
        <v>135</v>
      </c>
      <c r="I68" s="32" t="s">
        <v>135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147</v>
      </c>
      <c r="D70" s="29"/>
      <c r="E70" s="30"/>
      <c r="F70" s="30"/>
      <c r="G70" s="31"/>
      <c r="H70" s="32" t="s">
        <v>135</v>
      </c>
      <c r="I70" s="32" t="s">
        <v>135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148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149</v>
      </c>
      <c r="D74" s="29"/>
      <c r="E74" s="30"/>
      <c r="F74" s="30"/>
      <c r="G74" s="31"/>
      <c r="H74" s="32" t="s">
        <v>135</v>
      </c>
      <c r="I74" s="32" t="s">
        <v>135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150</v>
      </c>
      <c r="D76" s="29"/>
      <c r="E76" s="30"/>
      <c r="F76" s="30"/>
      <c r="G76" s="31"/>
      <c r="H76" s="32" t="s">
        <v>135</v>
      </c>
      <c r="I76" s="32" t="s">
        <v>135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151</v>
      </c>
      <c r="D78" s="29"/>
      <c r="E78" s="30"/>
      <c r="F78" s="30"/>
      <c r="G78" s="31"/>
      <c r="H78" s="32" t="s">
        <v>135</v>
      </c>
      <c r="I78" s="32" t="s">
        <v>135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152</v>
      </c>
      <c r="D80" s="29"/>
      <c r="E80" s="30"/>
      <c r="F80" s="30"/>
      <c r="G80" s="31"/>
      <c r="H80" s="32" t="s">
        <v>135</v>
      </c>
      <c r="I80" s="32" t="s">
        <v>135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153</v>
      </c>
      <c r="D82" s="29"/>
      <c r="E82" s="30"/>
      <c r="F82" s="30"/>
      <c r="G82" s="31"/>
      <c r="H82" s="32" t="s">
        <v>135</v>
      </c>
      <c r="I82" s="32" t="s">
        <v>135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154</v>
      </c>
      <c r="D84" s="29"/>
      <c r="E84" s="30"/>
      <c r="F84" s="30"/>
      <c r="G84" s="31"/>
      <c r="H84" s="32" t="s">
        <v>135</v>
      </c>
      <c r="I84" s="32" t="s">
        <v>135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A86" s="26"/>
      <c r="B86" s="27"/>
      <c r="C86" s="28" t="s">
        <v>155</v>
      </c>
      <c r="D86" s="29"/>
      <c r="E86" s="30"/>
      <c r="F86" s="30"/>
      <c r="G86" s="31"/>
      <c r="H86" s="32"/>
      <c r="I86" s="32"/>
      <c r="J86" s="33"/>
    </row>
    <row r="87" spans="1:10" x14ac:dyDescent="0.25">
      <c r="B87" s="1"/>
      <c r="C87" s="20" t="s">
        <v>156</v>
      </c>
      <c r="D87" s="29"/>
      <c r="E87" s="30"/>
      <c r="F87" s="30"/>
      <c r="G87" s="31"/>
      <c r="H87" s="32">
        <v>10.41</v>
      </c>
      <c r="I87" s="32">
        <v>1.0900000000000001</v>
      </c>
      <c r="J87" s="33"/>
    </row>
    <row r="88" spans="1:10" x14ac:dyDescent="0.25">
      <c r="C88" s="28" t="s">
        <v>133</v>
      </c>
      <c r="D88" s="29"/>
      <c r="E88" s="30"/>
      <c r="F88" s="30"/>
      <c r="G88" s="31"/>
      <c r="H88" s="35">
        <v>10.41</v>
      </c>
      <c r="I88" s="35">
        <v>1.0900000000000001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ht="14.25" thickBot="1" x14ac:dyDescent="0.3">
      <c r="C90" s="36" t="s">
        <v>157</v>
      </c>
      <c r="D90" s="37"/>
      <c r="E90" s="38"/>
      <c r="F90" s="39"/>
      <c r="G90" s="40"/>
      <c r="H90" s="41">
        <v>955.42</v>
      </c>
      <c r="I90" s="41">
        <f>SUMIFS(I:I,C:C,"Total")</f>
        <v>100</v>
      </c>
      <c r="J90" s="42"/>
    </row>
    <row r="93" spans="1:10" x14ac:dyDescent="0.25">
      <c r="C93" s="11" t="s">
        <v>158</v>
      </c>
    </row>
    <row r="94" spans="1:10" x14ac:dyDescent="0.25">
      <c r="C94" s="2" t="s">
        <v>159</v>
      </c>
    </row>
    <row r="95" spans="1:10" x14ac:dyDescent="0.25">
      <c r="C95" s="2" t="s">
        <v>160</v>
      </c>
    </row>
    <row r="96" spans="1:10" x14ac:dyDescent="0.25">
      <c r="C96" s="2" t="s">
        <v>161</v>
      </c>
    </row>
    <row r="97" spans="3:5" x14ac:dyDescent="0.25">
      <c r="C97" s="2" t="s">
        <v>162</v>
      </c>
    </row>
    <row r="98" spans="3:5" x14ac:dyDescent="0.25">
      <c r="C98" s="2" t="s">
        <v>163</v>
      </c>
    </row>
    <row r="99" spans="3:5" x14ac:dyDescent="0.25">
      <c r="C99" s="2" t="s">
        <v>164</v>
      </c>
    </row>
    <row r="100" spans="3:5" x14ac:dyDescent="0.25">
      <c r="D100" s="2" t="s">
        <v>165</v>
      </c>
    </row>
    <row r="101" spans="3:5" x14ac:dyDescent="0.25">
      <c r="C101" s="2" t="s">
        <v>166</v>
      </c>
      <c r="D101" s="2" t="s">
        <v>167</v>
      </c>
      <c r="E101" s="2" t="s">
        <v>167</v>
      </c>
    </row>
    <row r="102" spans="3:5" x14ac:dyDescent="0.25">
      <c r="D102" s="2" t="s">
        <v>168</v>
      </c>
      <c r="E102" s="2" t="s">
        <v>169</v>
      </c>
    </row>
    <row r="103" spans="3:5" x14ac:dyDescent="0.25">
      <c r="C103" s="2" t="s">
        <v>170</v>
      </c>
      <c r="D103" s="2">
        <v>65.06</v>
      </c>
      <c r="E103" s="2">
        <v>63</v>
      </c>
    </row>
    <row r="104" spans="3:5" x14ac:dyDescent="0.25">
      <c r="C104" s="2" t="s">
        <v>171</v>
      </c>
      <c r="D104" s="2">
        <v>69.27</v>
      </c>
      <c r="E104" s="2">
        <v>67.08</v>
      </c>
    </row>
    <row r="105" spans="3:5" x14ac:dyDescent="0.25">
      <c r="C105" s="2" t="s">
        <v>172</v>
      </c>
      <c r="D105" s="2">
        <v>68.989999999999995</v>
      </c>
      <c r="E105" s="2">
        <v>66.84</v>
      </c>
    </row>
    <row r="106" spans="3:5" x14ac:dyDescent="0.25">
      <c r="C106" s="2" t="s">
        <v>173</v>
      </c>
      <c r="D106" s="2">
        <v>74.08</v>
      </c>
      <c r="E106" s="2">
        <v>71.77</v>
      </c>
    </row>
    <row r="108" spans="3:5" x14ac:dyDescent="0.25">
      <c r="C108" s="2" t="s">
        <v>174</v>
      </c>
    </row>
    <row r="109" spans="3:5" x14ac:dyDescent="0.25">
      <c r="C109" s="2" t="s">
        <v>175</v>
      </c>
    </row>
    <row r="110" spans="3:5" x14ac:dyDescent="0.25">
      <c r="C110" s="2" t="s">
        <v>176</v>
      </c>
    </row>
    <row r="111" spans="3:5" x14ac:dyDescent="0.25">
      <c r="C111" s="2" t="s">
        <v>177</v>
      </c>
    </row>
    <row r="112" spans="3:5" x14ac:dyDescent="0.25">
      <c r="C112" s="2" t="s">
        <v>178</v>
      </c>
    </row>
    <row r="113" spans="3:3" x14ac:dyDescent="0.25">
      <c r="C113" s="2" t="s">
        <v>179</v>
      </c>
    </row>
    <row r="114" spans="3:3" x14ac:dyDescent="0.25">
      <c r="C114" s="2" t="s">
        <v>180</v>
      </c>
    </row>
    <row r="115" spans="3:3" x14ac:dyDescent="0.25">
      <c r="C115" s="2" t="s">
        <v>181</v>
      </c>
    </row>
    <row r="116" spans="3:3" x14ac:dyDescent="0.25">
      <c r="C116" s="2" t="s">
        <v>182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A83A-81BC-4924-A7DB-C935561B48DB}">
  <dimension ref="C3:K17"/>
  <sheetViews>
    <sheetView workbookViewId="0"/>
  </sheetViews>
  <sheetFormatPr defaultRowHeight="15" x14ac:dyDescent="0.25"/>
  <cols>
    <col min="3" max="3" width="46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183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184</v>
      </c>
      <c r="D4" s="46" t="s">
        <v>185</v>
      </c>
      <c r="E4" s="46"/>
      <c r="F4" s="46" t="s">
        <v>186</v>
      </c>
      <c r="G4" s="46"/>
      <c r="H4" s="46" t="s">
        <v>187</v>
      </c>
      <c r="I4" s="46"/>
      <c r="J4" s="47" t="s">
        <v>188</v>
      </c>
      <c r="K4" s="47"/>
    </row>
    <row r="5" spans="3:11" ht="63.75" x14ac:dyDescent="0.25">
      <c r="C5" s="48"/>
      <c r="D5" s="49" t="s">
        <v>189</v>
      </c>
      <c r="E5" s="49" t="s">
        <v>190</v>
      </c>
      <c r="F5" s="49" t="s">
        <v>189</v>
      </c>
      <c r="G5" s="49" t="s">
        <v>190</v>
      </c>
      <c r="H5" s="49" t="s">
        <v>189</v>
      </c>
      <c r="I5" s="49" t="s">
        <v>190</v>
      </c>
      <c r="J5" s="50" t="s">
        <v>189</v>
      </c>
      <c r="K5" s="50" t="s">
        <v>190</v>
      </c>
    </row>
    <row r="6" spans="3:11" x14ac:dyDescent="0.25">
      <c r="C6" s="51" t="s">
        <v>191</v>
      </c>
      <c r="D6" s="52">
        <v>17.815100000000001</v>
      </c>
      <c r="E6" s="52">
        <v>11797.397115722828</v>
      </c>
      <c r="F6" s="52">
        <v>20.540500000000002</v>
      </c>
      <c r="G6" s="52">
        <v>17523.510971786833</v>
      </c>
      <c r="H6" s="52">
        <v>22.349499999999999</v>
      </c>
      <c r="I6" s="52">
        <v>27446.808510638297</v>
      </c>
      <c r="J6" s="52">
        <v>11.2597</v>
      </c>
      <c r="K6" s="52">
        <v>67080</v>
      </c>
    </row>
    <row r="7" spans="3:11" x14ac:dyDescent="0.25">
      <c r="C7" s="51" t="s">
        <v>192</v>
      </c>
      <c r="D7" s="52">
        <v>16.645700000000001</v>
      </c>
      <c r="E7" s="52">
        <v>11664.570000000002</v>
      </c>
      <c r="F7" s="52">
        <v>20.6815</v>
      </c>
      <c r="G7" s="52">
        <v>17576.083157273933</v>
      </c>
      <c r="H7" s="52">
        <v>22.5762</v>
      </c>
      <c r="I7" s="52">
        <v>27671.376791745541</v>
      </c>
      <c r="J7" s="52">
        <v>7.6279000000000003</v>
      </c>
      <c r="K7" s="52">
        <v>37109.674067897497</v>
      </c>
    </row>
    <row r="8" spans="3:11" x14ac:dyDescent="0.25">
      <c r="C8" s="51" t="s">
        <v>193</v>
      </c>
      <c r="D8" s="52">
        <v>10.0029</v>
      </c>
      <c r="E8" s="52">
        <v>11000.289999999999</v>
      </c>
      <c r="F8" s="52">
        <v>12.159599999999999</v>
      </c>
      <c r="G8" s="52">
        <v>14109.42629911117</v>
      </c>
      <c r="H8" s="52">
        <v>15.5176</v>
      </c>
      <c r="I8" s="52">
        <v>20570.307645490186</v>
      </c>
      <c r="J8" s="52">
        <v>12.4983</v>
      </c>
      <c r="K8" s="52">
        <v>81725.925224252554</v>
      </c>
    </row>
    <row r="9" spans="3:11" x14ac:dyDescent="0.25">
      <c r="C9" s="51" t="s">
        <v>194</v>
      </c>
      <c r="D9" s="53">
        <v>56.86</v>
      </c>
      <c r="E9" s="54"/>
      <c r="F9" s="53">
        <v>38.28</v>
      </c>
      <c r="G9" s="54"/>
      <c r="H9" s="53">
        <v>24.44</v>
      </c>
      <c r="I9" s="54"/>
      <c r="J9" s="53">
        <v>10</v>
      </c>
      <c r="K9" s="54"/>
    </row>
    <row r="11" spans="3:11" ht="15.75" x14ac:dyDescent="0.25">
      <c r="C11" s="43" t="s">
        <v>195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184</v>
      </c>
      <c r="D12" s="46" t="s">
        <v>185</v>
      </c>
      <c r="E12" s="46"/>
      <c r="F12" s="46" t="s">
        <v>186</v>
      </c>
      <c r="G12" s="46"/>
      <c r="H12" s="46" t="s">
        <v>187</v>
      </c>
      <c r="I12" s="46"/>
      <c r="J12" s="47" t="s">
        <v>188</v>
      </c>
      <c r="K12" s="47"/>
    </row>
    <row r="13" spans="3:11" ht="63.75" x14ac:dyDescent="0.25">
      <c r="C13" s="48"/>
      <c r="D13" s="49" t="s">
        <v>189</v>
      </c>
      <c r="E13" s="49" t="s">
        <v>190</v>
      </c>
      <c r="F13" s="49" t="s">
        <v>189</v>
      </c>
      <c r="G13" s="49" t="s">
        <v>190</v>
      </c>
      <c r="H13" s="49" t="s">
        <v>189</v>
      </c>
      <c r="I13" s="49" t="s">
        <v>190</v>
      </c>
      <c r="J13" s="50" t="s">
        <v>189</v>
      </c>
      <c r="K13" s="50" t="s">
        <v>190</v>
      </c>
    </row>
    <row r="14" spans="3:11" x14ac:dyDescent="0.25">
      <c r="C14" s="51" t="s">
        <v>191</v>
      </c>
      <c r="D14" s="52">
        <v>18.327200000000001</v>
      </c>
      <c r="E14" s="52">
        <v>11849.100214627704</v>
      </c>
      <c r="F14" s="52">
        <v>21.050899999999999</v>
      </c>
      <c r="G14" s="52">
        <v>17747.279920870427</v>
      </c>
      <c r="H14" s="52">
        <v>22.859500000000001</v>
      </c>
      <c r="I14" s="52">
        <v>28024.209293244825</v>
      </c>
      <c r="J14" s="52">
        <v>15.364100000000001</v>
      </c>
      <c r="K14" s="52">
        <v>55982.839313572542</v>
      </c>
    </row>
    <row r="15" spans="3:11" x14ac:dyDescent="0.25">
      <c r="C15" s="51" t="s">
        <v>192</v>
      </c>
      <c r="D15" s="52">
        <v>16.645700000000001</v>
      </c>
      <c r="E15" s="52">
        <v>11664.570000000002</v>
      </c>
      <c r="F15" s="52">
        <v>20.6815</v>
      </c>
      <c r="G15" s="52">
        <v>17576.083157273933</v>
      </c>
      <c r="H15" s="52">
        <v>22.5762</v>
      </c>
      <c r="I15" s="52">
        <v>27671.376791745541</v>
      </c>
      <c r="J15" s="52">
        <v>11.7529</v>
      </c>
      <c r="K15" s="52">
        <v>37952.277179336423</v>
      </c>
    </row>
    <row r="16" spans="3:11" x14ac:dyDescent="0.25">
      <c r="C16" s="51" t="s">
        <v>193</v>
      </c>
      <c r="D16" s="52">
        <v>10.0029</v>
      </c>
      <c r="E16" s="52">
        <v>11000.289999999999</v>
      </c>
      <c r="F16" s="52">
        <v>12.159599999999999</v>
      </c>
      <c r="G16" s="52">
        <v>14109.42629911117</v>
      </c>
      <c r="H16" s="52">
        <v>15.5176</v>
      </c>
      <c r="I16" s="52">
        <v>20570.307645490186</v>
      </c>
      <c r="J16" s="52">
        <v>13.480499999999999</v>
      </c>
      <c r="K16" s="52">
        <v>45625.260482352176</v>
      </c>
    </row>
    <row r="17" spans="3:11" x14ac:dyDescent="0.25">
      <c r="C17" s="51" t="s">
        <v>196</v>
      </c>
      <c r="D17" s="53">
        <v>60.57</v>
      </c>
      <c r="E17" s="54"/>
      <c r="F17" s="53">
        <v>40.44</v>
      </c>
      <c r="G17" s="54"/>
      <c r="H17" s="53">
        <v>25.61</v>
      </c>
      <c r="I17" s="54"/>
      <c r="J17" s="53">
        <v>12.82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2025-01-06T13:57:46Z</dcterms:created>
  <dcterms:modified xsi:type="dcterms:W3CDTF">2025-01-07T11:40:28Z</dcterms:modified>
</cp:coreProperties>
</file>