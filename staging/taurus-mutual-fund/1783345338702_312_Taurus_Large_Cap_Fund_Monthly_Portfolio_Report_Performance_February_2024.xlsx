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3C6966EA-5133-41C5-8363-0A8102139B44}" xr6:coauthVersionLast="47" xr6:coauthVersionMax="47" xr10:uidLastSave="{00000000-0000-0000-0000-000000000000}"/>
  <bookViews>
    <workbookView xWindow="-120" yWindow="-120" windowWidth="20730" windowHeight="11040" xr2:uid="{82DC7CF4-53D6-48E9-A07C-246AEB7392F4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TBF!$D$10:$D$88</definedName>
    <definedName name="XDO_?FINAL_MV?">TBF!$H$10:$H$88</definedName>
    <definedName name="XDO_?FINAL_NAME?">TBF!$C$10:$C$88</definedName>
    <definedName name="XDO_?FINAL_PER_NET?">TBF!$I$10:$I$88</definedName>
    <definedName name="XDO_?FINAL_QUANTITE?">TBF!$G$10:$G$88</definedName>
    <definedName name="XDO_?IND_01?">TBF!$F$10:$F$88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TBF!$B$10:$B$88</definedName>
    <definedName name="XDO_?NPTF?">TBF!$D$2:$D$43</definedName>
    <definedName name="XDO_?RATING?">TBF!$E$10:$E$88</definedName>
    <definedName name="XDO_?REMARKS?">TBF!$J$10:$J$88</definedName>
    <definedName name="XDO_?TDATE?">TBF!$D$4</definedName>
    <definedName name="XDO_?TITL?">TBF!$A$8:$A$43</definedName>
    <definedName name="XDO_GROUP_?G_2?">TBF!$2:$91</definedName>
    <definedName name="XDO_GROUP_?G_3?">TBF!$8:$90</definedName>
    <definedName name="XDO_GROUP_?G_4?">TBF!$B$88:$IV$88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<sst xmlns="http://schemas.openxmlformats.org/spreadsheetml/2006/main" count="251" uniqueCount="183">
  <si>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</si>
  <si>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</si>
  <si>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</si>
  <si>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</si>
  <si>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</si>
  <si>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</si>
  <si>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</si>
  <si>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</si>
  <si>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</si>
  <si>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</si>
  <si>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</si>
  <si>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</si>
  <si>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</si>
  <si>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</si>
  <si>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</si>
  <si>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</si>
  <si>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</si>
  <si>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</si>
  <si>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</si>
  <si>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</si>
  <si>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</si>
  <si>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</si>
  <si>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</si>
  <si>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</si>
  <si>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</si>
  <si>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</si>
  <si>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</si>
  <si>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</si>
  <si>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</si>
  <si>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</si>
  <si>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</si>
  <si>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</si>
  <si>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</si>
  <si>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100012</t>
  </si>
  <si>
    <t>ICICI Bank Ltd.</t>
  </si>
  <si>
    <t>INE090A01021</t>
  </si>
  <si>
    <t>100106</t>
  </si>
  <si>
    <t>Maruti Suzuki India Ltd.</t>
  </si>
  <si>
    <t>INE585B01010</t>
  </si>
  <si>
    <t>Automobiles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</si>
  <si>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</si>
  <si>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</si>
  <si>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</si>
  <si>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</si>
  <si>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</si>
  <si>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</si>
  <si>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</si>
  <si>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100014</t>
  </si>
  <si>
    <t>Mahindra &amp; Mahindra Ltd.</t>
  </si>
  <si>
    <t>INE101A01026</t>
  </si>
  <si>
    <t>100181</t>
  </si>
  <si>
    <t>NTPC Ltd.</t>
  </si>
  <si>
    <t>INE733E01010</t>
  </si>
  <si>
    <t>Power</t>
  </si>
  <si>
    <t>101178</t>
  </si>
  <si>
    <t>Computer Age Management Services Ltd.</t>
  </si>
  <si>
    <t>INE596I01012</t>
  </si>
  <si>
    <t>Capital Markets</t>
  </si>
  <si>
    <t>100091</t>
  </si>
  <si>
    <t>Indus Towers Ltd.</t>
  </si>
  <si>
    <t>INE121J01017</t>
  </si>
  <si>
    <t>Telecom - Services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</si>
  <si>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</si>
  <si>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</si>
  <si>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</si>
  <si>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</si>
  <si>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</si>
  <si>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</si>
  <si>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</si>
  <si>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100132</t>
  </si>
  <si>
    <t>Info Edge (India) Ltd.</t>
  </si>
  <si>
    <t>INE663F01024</t>
  </si>
  <si>
    <t>Retailing</t>
  </si>
  <si>
    <t>100830</t>
  </si>
  <si>
    <t>Varun Beverages Ltd.</t>
  </si>
  <si>
    <t>INE200M01021</t>
  </si>
  <si>
    <t>Beverages</t>
  </si>
  <si>
    <t>100080</t>
  </si>
  <si>
    <t>Dr. Reddy's Laboratories Ltd.</t>
  </si>
  <si>
    <t>INE089A01023</t>
  </si>
  <si>
    <t>100219</t>
  </si>
  <si>
    <t>Indraprastha Gas Ltd.</t>
  </si>
  <si>
    <t>INE203G01027</t>
  </si>
  <si>
    <t>Gas</t>
  </si>
  <si>
    <t>100182</t>
  </si>
  <si>
    <t>Power Grid Corporation of India Ltd.</t>
  </si>
  <si>
    <t>INE752E01010</t>
  </si>
  <si>
    <t>100302</t>
  </si>
  <si>
    <t>DLF Ltd.</t>
  </si>
  <si>
    <t>INE271C01023</t>
  </si>
  <si>
    <t>Realty</t>
  </si>
  <si>
    <t>100150</t>
  </si>
  <si>
    <t>Apollo Hospitals Enterprise Ltd.</t>
  </si>
  <si>
    <t>INE437A01024</t>
  </si>
  <si>
    <t>Healthcare Services</t>
  </si>
  <si>
    <t>101550</t>
  </si>
  <si>
    <t>Life Insurance Corporation of India</t>
  </si>
  <si>
    <t>INE0J1Y01017</t>
  </si>
  <si>
    <t>Insurance</t>
  </si>
  <si>
    <t>100119</t>
  </si>
  <si>
    <t>Tata Motors Ltd.</t>
  </si>
  <si>
    <t>INE155A01022</t>
  </si>
  <si>
    <t>100147</t>
  </si>
  <si>
    <t>Tech Mahindra Ltd.</t>
  </si>
  <si>
    <t>INE669C01036</t>
  </si>
  <si>
    <t>100002</t>
  </si>
  <si>
    <t>Reliance Industries Ltd.</t>
  </si>
  <si>
    <t>INE002A01018</t>
  </si>
  <si>
    <t>Petroleum Products</t>
  </si>
  <si>
    <t>100292</t>
  </si>
  <si>
    <t>Steel Authority of India Ltd.</t>
  </si>
  <si>
    <t>INE114A01011</t>
  </si>
  <si>
    <t>Ferrous Metals</t>
  </si>
  <si>
    <t>100118</t>
  </si>
  <si>
    <t>Tata Chemicals Ltd.</t>
  </si>
  <si>
    <t>INE092A01019</t>
  </si>
  <si>
    <t>Chemicals &amp; Petrochemicals</t>
  </si>
  <si>
    <t>100682</t>
  </si>
  <si>
    <t>ICICI Lombard General Insurance Company Ltd.</t>
  </si>
  <si>
    <t>INE765G01017</t>
  </si>
  <si>
    <t>100128</t>
  </si>
  <si>
    <t>Eicher Motors Ltd.</t>
  </si>
  <si>
    <t>INE066A01021</t>
  </si>
  <si>
    <t>100081</t>
  </si>
  <si>
    <t>Titan Company Ltd.</t>
  </si>
  <si>
    <t>INE280A01028</t>
  </si>
  <si>
    <t>Consumer Durables</t>
  </si>
  <si>
    <t>102070</t>
  </si>
  <si>
    <t>Juniper Hotels Ltd.</t>
  </si>
  <si>
    <t>INE696F01016</t>
  </si>
  <si>
    <t>Leisure Services</t>
  </si>
  <si>
    <t>101434</t>
  </si>
  <si>
    <t>CMS Info Systems Ltd.</t>
  </si>
  <si>
    <t>INE925R01014</t>
  </si>
  <si>
    <t>Commercial Services &amp; Supplies</t>
  </si>
  <si>
    <t>100104</t>
  </si>
  <si>
    <t>Kotak Mahindra Bank Ltd.</t>
  </si>
  <si>
    <t>INE237A01028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</si>
  <si>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</si>
  <si>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</si>
  <si>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</si>
  <si>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</si>
  <si>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</si>
  <si>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</si>
  <si>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</si>
  <si>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</si>
  <si>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</si>
  <si>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</si>
  <si>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</si>
  <si>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</si>
  <si>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</si>
  <si>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</si>
  <si>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</si>
  <si>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</si>
  <si>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</si>
  <si>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</si>
  <si>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</si>
  <si>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</si>
  <si>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</si>
  <si>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</si>
  <si>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</si>
  <si>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</si>
  <si>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</si>
  <si>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</si>
  <si>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</si>
  <si>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</si>
  <si>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</si>
  <si>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</si>
  <si>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</si>
  <si>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</si>
  <si>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</si>
  <si>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</si>
  <si>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</si>
  <si>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</si>
  <si>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</si>
  <si>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</si>
  <si>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</si>
  <si>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</si>
  <si>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</si>
  <si>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</si>
  <si>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February 29, 2024 : 140.23)</t>
  </si>
  <si>
    <t>Taurus Large Cap Fund - Direct Plan Growth Option</t>
  </si>
  <si>
    <t>NAV [Rs.] Per Unit (as on February 29, 2024 : 148.06)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</si>
</sst>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EBAFAAC-7C83-414D-B320-C27769249FEC}"/>
    <cellStyle name="Hyperlink" xfId="2" builtinId="8"/>
    <cellStyle name="Normal" xfId="0" builtinId="0"/>
    <cellStyle name="Normal 2" xfId="4" xr:uid="{7C7CE85F-259E-4E3D-A118-2112BD979C96}"/>
    <cellStyle name="Style 1" xfId="3" xr:uid="{C127526F-4A3A-47AF-89C0-8012672DC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1375834</xdr:colOff>
      <xdr:row>0</xdr:row>
      <xdr:rowOff>2042583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2DC0E-D908-4729-AC38-29B76E30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551084" cy="204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014D-CAB5-440E-B314-D54956E8E0A9}">
  <sheetPr codeName="Sheet1"/>
  <dimension ref="A1:IV97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6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336.65</v>
      </c>
      <c r="I10" s="32">
        <v>7.68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333.23</v>
      </c>
      <c r="I11" s="32">
        <v>7.6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257.79000000000002</v>
      </c>
      <c r="I12" s="32">
        <v>5.88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57649</v>
      </c>
      <c r="H13" s="32">
        <v>252.33</v>
      </c>
      <c r="I13" s="32">
        <v>5.76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19761</v>
      </c>
      <c r="H14" s="32">
        <v>212.57</v>
      </c>
      <c r="I14" s="32">
        <v>4.8499999999999996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19245</v>
      </c>
      <c r="H15" s="32">
        <v>202.74</v>
      </c>
      <c r="I15" s="32">
        <v>4.63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1733</v>
      </c>
      <c r="H16" s="32">
        <v>195.3</v>
      </c>
      <c r="I16" s="32">
        <v>4.46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46617</v>
      </c>
      <c r="H17" s="32">
        <v>189.5</v>
      </c>
      <c r="I17" s="32">
        <v>4.32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9762</v>
      </c>
      <c r="H18" s="32">
        <v>163.52000000000001</v>
      </c>
      <c r="I18" s="32">
        <v>3.73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39</v>
      </c>
      <c r="G19" s="31">
        <v>8410</v>
      </c>
      <c r="H19" s="32">
        <v>162.63</v>
      </c>
      <c r="I19" s="32">
        <v>3.71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38578</v>
      </c>
      <c r="H20" s="32">
        <v>129.41</v>
      </c>
      <c r="I20" s="32">
        <v>2.95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4111</v>
      </c>
      <c r="H21" s="32">
        <v>126.1</v>
      </c>
      <c r="I21" s="32">
        <v>2.88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45593</v>
      </c>
      <c r="H22" s="32">
        <v>115.1</v>
      </c>
      <c r="I22" s="32">
        <v>2.63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7725</v>
      </c>
      <c r="H23" s="32">
        <v>114.38</v>
      </c>
      <c r="I23" s="32">
        <v>2.61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65</v>
      </c>
      <c r="G24" s="31">
        <v>6749</v>
      </c>
      <c r="H24" s="32">
        <v>106.38</v>
      </c>
      <c r="I24" s="32">
        <v>2.4300000000000002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1972</v>
      </c>
      <c r="H25" s="32">
        <v>103.88</v>
      </c>
      <c r="I25" s="32">
        <v>2.37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7139</v>
      </c>
      <c r="H26" s="32">
        <v>100.56</v>
      </c>
      <c r="I26" s="32">
        <v>2.29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65</v>
      </c>
      <c r="G27" s="31">
        <v>1505</v>
      </c>
      <c r="H27" s="32">
        <v>96.63</v>
      </c>
      <c r="I27" s="32">
        <v>2.21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22275</v>
      </c>
      <c r="H28" s="32">
        <v>95</v>
      </c>
      <c r="I28" s="32">
        <v>2.17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53</v>
      </c>
      <c r="G29" s="31">
        <v>33010</v>
      </c>
      <c r="H29" s="32">
        <v>93.27</v>
      </c>
      <c r="I29" s="32">
        <v>2.13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10345</v>
      </c>
      <c r="H30" s="32">
        <v>93.24</v>
      </c>
      <c r="I30" s="32">
        <v>2.13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1517</v>
      </c>
      <c r="H31" s="32">
        <v>92.61</v>
      </c>
      <c r="I31" s="32">
        <v>2.11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8776</v>
      </c>
      <c r="H32" s="32">
        <v>89.8</v>
      </c>
      <c r="I32" s="32">
        <v>2.0499999999999998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39</v>
      </c>
      <c r="G33" s="31">
        <v>8674</v>
      </c>
      <c r="H33" s="32">
        <v>82.47</v>
      </c>
      <c r="I33" s="32">
        <v>1.88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22</v>
      </c>
      <c r="G34" s="31">
        <v>6430</v>
      </c>
      <c r="H34" s="32">
        <v>82.06</v>
      </c>
      <c r="I34" s="32">
        <v>1.87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2478</v>
      </c>
      <c r="H35" s="32">
        <v>72.48</v>
      </c>
      <c r="I35" s="32">
        <v>1.65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57072</v>
      </c>
      <c r="H36" s="32">
        <v>69.23</v>
      </c>
      <c r="I36" s="32">
        <v>1.58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7238</v>
      </c>
      <c r="H37" s="32">
        <v>68</v>
      </c>
      <c r="I37" s="32">
        <v>1.55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98</v>
      </c>
      <c r="G38" s="31">
        <v>3624</v>
      </c>
      <c r="H38" s="32">
        <v>62.07</v>
      </c>
      <c r="I38" s="32">
        <v>1.42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39</v>
      </c>
      <c r="G39" s="31">
        <v>1412</v>
      </c>
      <c r="H39" s="32">
        <v>53.56</v>
      </c>
      <c r="I39" s="32">
        <v>1.22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1393</v>
      </c>
      <c r="H40" s="32">
        <v>50.56</v>
      </c>
      <c r="I40" s="32">
        <v>1.1499999999999999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10505</v>
      </c>
      <c r="H41" s="32">
        <v>45.8</v>
      </c>
      <c r="I41" s="32">
        <v>1.05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10500</v>
      </c>
      <c r="H42" s="32">
        <v>40.270000000000003</v>
      </c>
      <c r="I42" s="32">
        <v>0.92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18</v>
      </c>
      <c r="G43" s="31">
        <v>2370</v>
      </c>
      <c r="H43" s="32">
        <v>40.07</v>
      </c>
      <c r="I43" s="32">
        <v>0.91</v>
      </c>
      <c r="J43" s="33"/>
    </row>
    <row r="44" spans="2:10" x14ac:dyDescent="0.25">
      <c r="C44" s="28" t="s">
        <v>138</v>
      </c>
      <c r="D44" s="29"/>
      <c r="E44" s="30"/>
      <c r="F44" s="30"/>
      <c r="G44" s="31"/>
      <c r="H44" s="35">
        <v>4329.1899999999996</v>
      </c>
      <c r="I44" s="35">
        <v>98.78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139</v>
      </c>
      <c r="D46" s="29"/>
      <c r="E46" s="30"/>
      <c r="F46" s="30"/>
      <c r="G46" s="31"/>
      <c r="H46" s="32" t="s">
        <v>140</v>
      </c>
      <c r="I46" s="32" t="s">
        <v>140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141</v>
      </c>
      <c r="D48" s="29"/>
      <c r="E48" s="30"/>
      <c r="F48" s="30"/>
      <c r="G48" s="31"/>
      <c r="H48" s="32" t="s">
        <v>140</v>
      </c>
      <c r="I48" s="32" t="s">
        <v>140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142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143</v>
      </c>
      <c r="D52" s="29"/>
      <c r="E52" s="30"/>
      <c r="F52" s="30"/>
      <c r="G52" s="31"/>
      <c r="H52" s="32" t="s">
        <v>140</v>
      </c>
      <c r="I52" s="32" t="s">
        <v>140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144</v>
      </c>
      <c r="D54" s="29"/>
      <c r="E54" s="30"/>
      <c r="F54" s="30"/>
      <c r="G54" s="31"/>
      <c r="H54" s="32" t="s">
        <v>140</v>
      </c>
      <c r="I54" s="32" t="s">
        <v>140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145</v>
      </c>
      <c r="D56" s="29"/>
      <c r="E56" s="30"/>
      <c r="F56" s="30"/>
      <c r="G56" s="31"/>
      <c r="H56" s="32" t="s">
        <v>140</v>
      </c>
      <c r="I56" s="32" t="s">
        <v>140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146</v>
      </c>
      <c r="D58" s="29"/>
      <c r="E58" s="30"/>
      <c r="F58" s="30"/>
      <c r="G58" s="31"/>
      <c r="H58" s="32" t="s">
        <v>140</v>
      </c>
      <c r="I58" s="32" t="s">
        <v>140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147</v>
      </c>
      <c r="D60" s="29"/>
      <c r="E60" s="30"/>
      <c r="F60" s="30"/>
      <c r="G60" s="31"/>
      <c r="H60" s="32" t="s">
        <v>140</v>
      </c>
      <c r="I60" s="32" t="s">
        <v>140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148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149</v>
      </c>
      <c r="D64" s="29"/>
      <c r="E64" s="30"/>
      <c r="F64" s="30"/>
      <c r="G64" s="31"/>
      <c r="H64" s="32" t="s">
        <v>140</v>
      </c>
      <c r="I64" s="32" t="s">
        <v>140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150</v>
      </c>
      <c r="D66" s="29"/>
      <c r="E66" s="30"/>
      <c r="F66" s="30"/>
      <c r="G66" s="31"/>
      <c r="H66" s="32" t="s">
        <v>140</v>
      </c>
      <c r="I66" s="32" t="s">
        <v>140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151</v>
      </c>
      <c r="D68" s="29"/>
      <c r="E68" s="30"/>
      <c r="F68" s="30"/>
      <c r="G68" s="31"/>
      <c r="H68" s="32" t="s">
        <v>140</v>
      </c>
      <c r="I68" s="32" t="s">
        <v>140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152</v>
      </c>
      <c r="D70" s="29"/>
      <c r="E70" s="30"/>
      <c r="F70" s="30"/>
      <c r="G70" s="31"/>
      <c r="H70" s="32" t="s">
        <v>140</v>
      </c>
      <c r="I70" s="32" t="s">
        <v>140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153</v>
      </c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154</v>
      </c>
      <c r="D73" s="29"/>
      <c r="E73" s="30"/>
      <c r="F73" s="30"/>
      <c r="G73" s="31"/>
      <c r="H73" s="32" t="s">
        <v>140</v>
      </c>
      <c r="I73" s="32" t="s">
        <v>140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155</v>
      </c>
      <c r="D75" s="29"/>
      <c r="E75" s="30"/>
      <c r="F75" s="30"/>
      <c r="G75" s="31"/>
      <c r="H75" s="32" t="s">
        <v>140</v>
      </c>
      <c r="I75" s="32" t="s">
        <v>140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156</v>
      </c>
      <c r="D77" s="29"/>
      <c r="E77" s="30"/>
      <c r="F77" s="30"/>
      <c r="G77" s="31"/>
      <c r="H77" s="32" t="s">
        <v>140</v>
      </c>
      <c r="I77" s="32" t="s">
        <v>140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157</v>
      </c>
      <c r="D79" s="29"/>
      <c r="E79" s="30"/>
      <c r="F79" s="30"/>
      <c r="G79" s="31"/>
      <c r="H79" s="32" t="s">
        <v>140</v>
      </c>
      <c r="I79" s="32" t="s">
        <v>140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A81" s="27"/>
      <c r="B81" s="27"/>
      <c r="C81" s="28" t="s">
        <v>158</v>
      </c>
      <c r="D81" s="29"/>
      <c r="E81" s="30"/>
      <c r="F81" s="30"/>
      <c r="G81" s="31"/>
      <c r="H81" s="32" t="s">
        <v>140</v>
      </c>
      <c r="I81" s="32" t="s">
        <v>140</v>
      </c>
      <c r="J81" s="33"/>
    </row>
    <row r="82" spans="1:10" x14ac:dyDescent="0.25">
      <c r="A82" s="27"/>
      <c r="B82" s="27"/>
      <c r="C82" s="28"/>
      <c r="D82" s="29"/>
      <c r="E82" s="30"/>
      <c r="F82" s="30"/>
      <c r="G82" s="31"/>
      <c r="H82" s="32"/>
      <c r="I82" s="32"/>
      <c r="J82" s="33"/>
    </row>
    <row r="83" spans="1:10" x14ac:dyDescent="0.25">
      <c r="C83" s="34" t="s">
        <v>159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 t="s">
        <v>160</v>
      </c>
      <c r="C84" s="20" t="s">
        <v>161</v>
      </c>
      <c r="D84" s="29"/>
      <c r="E84" s="30"/>
      <c r="F84" s="30"/>
      <c r="G84" s="31"/>
      <c r="H84" s="32">
        <v>10</v>
      </c>
      <c r="I84" s="32">
        <v>0.23</v>
      </c>
      <c r="J84" s="33"/>
    </row>
    <row r="85" spans="1:10" x14ac:dyDescent="0.25">
      <c r="C85" s="28" t="s">
        <v>138</v>
      </c>
      <c r="D85" s="29"/>
      <c r="E85" s="30"/>
      <c r="F85" s="30"/>
      <c r="G85" s="31"/>
      <c r="H85" s="35">
        <v>10</v>
      </c>
      <c r="I85" s="35">
        <v>0.23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162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163</v>
      </c>
      <c r="D88" s="29"/>
      <c r="E88" s="30"/>
      <c r="F88" s="30"/>
      <c r="G88" s="31"/>
      <c r="H88" s="32">
        <v>42.53</v>
      </c>
      <c r="I88" s="32">
        <v>0.99</v>
      </c>
      <c r="J88" s="33"/>
    </row>
    <row r="89" spans="1:10" x14ac:dyDescent="0.25">
      <c r="C89" s="28" t="s">
        <v>138</v>
      </c>
      <c r="D89" s="29"/>
      <c r="E89" s="30"/>
      <c r="F89" s="30"/>
      <c r="G89" s="31"/>
      <c r="H89" s="35">
        <v>42.53</v>
      </c>
      <c r="I89" s="35">
        <v>0.99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5.75" thickBot="1" x14ac:dyDescent="0.3">
      <c r="C91" s="36" t="s">
        <v>164</v>
      </c>
      <c r="D91" s="37"/>
      <c r="E91" s="38"/>
      <c r="F91" s="39"/>
      <c r="G91" s="40"/>
      <c r="H91" s="41">
        <v>4381.72</v>
      </c>
      <c r="I91" s="41">
        <f>SUMIFS(I:I,C:C,"Total")</f>
        <v>100</v>
      </c>
      <c r="J91" s="42"/>
    </row>
    <row r="94" spans="1:10" x14ac:dyDescent="0.25">
      <c r="C94" s="11" t="s">
        <v>165</v>
      </c>
    </row>
    <row r="95" spans="1:10" x14ac:dyDescent="0.25">
      <c r="C95" s="2" t="s">
        <v>166</v>
      </c>
    </row>
    <row r="96" spans="1:10" x14ac:dyDescent="0.25">
      <c r="C96" s="2" t="s">
        <v>167</v>
      </c>
    </row>
    <row r="97" spans="3:3" x14ac:dyDescent="0.25">
      <c r="C97" s="2" t="s">
        <v>168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0BC4-EF91-4A4A-9291-6EF278ACD641}">
  <dimension ref="B3:J17"/>
  <sheetViews>
    <sheetView workbookViewId="0">
      <selection activeCell="B3" sqref="B3"/>
    </sheetView>
  </sheetViews>
  <sheetFormatPr defaultRowHeight="15" x14ac:dyDescent="0.25"/>
  <cols>
    <col min="2" max="2" width="61.1406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169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170</v>
      </c>
      <c r="C4" s="46" t="s">
        <v>171</v>
      </c>
      <c r="D4" s="46"/>
      <c r="E4" s="46" t="s">
        <v>172</v>
      </c>
      <c r="F4" s="46"/>
      <c r="G4" s="46" t="s">
        <v>173</v>
      </c>
      <c r="H4" s="46"/>
      <c r="I4" s="46" t="s">
        <v>174</v>
      </c>
      <c r="J4" s="46"/>
    </row>
    <row r="5" spans="2:10" ht="63.75" x14ac:dyDescent="0.25">
      <c r="B5" s="47"/>
      <c r="C5" s="48" t="s">
        <v>175</v>
      </c>
      <c r="D5" s="48" t="s">
        <v>176</v>
      </c>
      <c r="E5" s="48" t="s">
        <v>175</v>
      </c>
      <c r="F5" s="48" t="s">
        <v>176</v>
      </c>
      <c r="G5" s="48" t="s">
        <v>175</v>
      </c>
      <c r="H5" s="48" t="s">
        <v>176</v>
      </c>
      <c r="I5" s="48" t="s">
        <v>175</v>
      </c>
      <c r="J5" s="48" t="s">
        <v>176</v>
      </c>
    </row>
    <row r="6" spans="2:10" x14ac:dyDescent="0.25">
      <c r="B6" s="49" t="s">
        <v>177</v>
      </c>
      <c r="C6" s="50">
        <v>46.118578722517434</v>
      </c>
      <c r="D6" s="50">
        <v>14611.857872251745</v>
      </c>
      <c r="E6" s="50">
        <v>17.201995119837822</v>
      </c>
      <c r="F6" s="50">
        <v>16120.243706173123</v>
      </c>
      <c r="G6" s="50">
        <v>14.932750045125687</v>
      </c>
      <c r="H6" s="50">
        <v>20070.13024187777</v>
      </c>
      <c r="I6" s="50">
        <v>10.934684701378306</v>
      </c>
      <c r="J6" s="50">
        <v>140230</v>
      </c>
    </row>
    <row r="7" spans="2:10" x14ac:dyDescent="0.25">
      <c r="B7" s="49" t="s">
        <v>178</v>
      </c>
      <c r="C7" s="50">
        <v>32.519732786654117</v>
      </c>
      <c r="D7" s="50">
        <v>13251.973278665411</v>
      </c>
      <c r="E7" s="50">
        <v>17.418172637943897</v>
      </c>
      <c r="F7" s="50">
        <v>16188.475476402524</v>
      </c>
      <c r="G7" s="50">
        <v>17.366260204697181</v>
      </c>
      <c r="H7" s="50">
        <v>22269.80075822839</v>
      </c>
      <c r="I7" s="50">
        <v>12.456266244181391</v>
      </c>
      <c r="J7" s="50">
        <v>301747.43776854745</v>
      </c>
    </row>
    <row r="8" spans="2:10" x14ac:dyDescent="0.25">
      <c r="B8" s="49" t="s">
        <v>179</v>
      </c>
      <c r="C8" s="50">
        <v>28.492876760956243</v>
      </c>
      <c r="D8" s="50">
        <v>12849.287676095624</v>
      </c>
      <c r="E8" s="50">
        <v>16.115106388147172</v>
      </c>
      <c r="F8" s="50">
        <v>15655.47227021071</v>
      </c>
      <c r="G8" s="50">
        <v>16.635380178201984</v>
      </c>
      <c r="H8" s="50">
        <v>21584.974827531092</v>
      </c>
      <c r="I8" s="50">
        <v>12.451521216677186</v>
      </c>
      <c r="J8" s="50">
        <v>301378.14734423312</v>
      </c>
    </row>
    <row r="9" spans="2:10" x14ac:dyDescent="0.25">
      <c r="B9" s="49" t="s">
        <v>180</v>
      </c>
      <c r="C9" s="51">
        <v>95.97</v>
      </c>
      <c r="D9" s="52"/>
      <c r="E9" s="51">
        <v>86.99</v>
      </c>
      <c r="F9" s="52"/>
      <c r="G9" s="51">
        <v>69.87</v>
      </c>
      <c r="H9" s="52"/>
      <c r="I9" s="51">
        <v>10</v>
      </c>
      <c r="J9" s="52"/>
    </row>
    <row r="11" spans="2:10" ht="15.75" x14ac:dyDescent="0.25">
      <c r="B11" s="43" t="s">
        <v>181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170</v>
      </c>
      <c r="C12" s="46" t="s">
        <v>171</v>
      </c>
      <c r="D12" s="46"/>
      <c r="E12" s="46" t="s">
        <v>172</v>
      </c>
      <c r="F12" s="46"/>
      <c r="G12" s="46" t="s">
        <v>173</v>
      </c>
      <c r="H12" s="46"/>
      <c r="I12" s="46" t="s">
        <v>174</v>
      </c>
      <c r="J12" s="46"/>
    </row>
    <row r="13" spans="2:10" ht="63.75" x14ac:dyDescent="0.25">
      <c r="B13" s="47"/>
      <c r="C13" s="48" t="s">
        <v>175</v>
      </c>
      <c r="D13" s="48" t="s">
        <v>176</v>
      </c>
      <c r="E13" s="48" t="s">
        <v>175</v>
      </c>
      <c r="F13" s="48" t="s">
        <v>176</v>
      </c>
      <c r="G13" s="48" t="s">
        <v>175</v>
      </c>
      <c r="H13" s="48" t="s">
        <v>176</v>
      </c>
      <c r="I13" s="48" t="s">
        <v>175</v>
      </c>
      <c r="J13" s="48" t="s">
        <v>176</v>
      </c>
    </row>
    <row r="14" spans="2:10" x14ac:dyDescent="0.25">
      <c r="B14" s="49" t="s">
        <v>177</v>
      </c>
      <c r="C14" s="50">
        <v>46.232098765432106</v>
      </c>
      <c r="D14" s="50">
        <v>14623.209876543209</v>
      </c>
      <c r="E14" s="50">
        <v>17.30280607406025</v>
      </c>
      <c r="F14" s="50">
        <v>16161.991049012116</v>
      </c>
      <c r="G14" s="50">
        <v>15.073741641798977</v>
      </c>
      <c r="H14" s="50">
        <v>20193.6715766503</v>
      </c>
      <c r="I14" s="50">
        <v>11.364125659304957</v>
      </c>
      <c r="J14" s="50">
        <v>33256.963162623542</v>
      </c>
    </row>
    <row r="15" spans="2:10" x14ac:dyDescent="0.25">
      <c r="B15" s="49" t="s">
        <v>178</v>
      </c>
      <c r="C15" s="50">
        <v>32.519732786654117</v>
      </c>
      <c r="D15" s="50">
        <v>13251.973278665411</v>
      </c>
      <c r="E15" s="50">
        <v>17.418172637943897</v>
      </c>
      <c r="F15" s="50">
        <v>16188.475476402524</v>
      </c>
      <c r="G15" s="50">
        <v>17.366260204697181</v>
      </c>
      <c r="H15" s="50">
        <v>22269.80075822839</v>
      </c>
      <c r="I15" s="50">
        <v>14.182945428856385</v>
      </c>
      <c r="J15" s="50">
        <v>43962.497483535153</v>
      </c>
    </row>
    <row r="16" spans="2:10" x14ac:dyDescent="0.25">
      <c r="B16" s="49" t="s">
        <v>179</v>
      </c>
      <c r="C16" s="50">
        <v>28.492876760956243</v>
      </c>
      <c r="D16" s="50">
        <v>12849.287676095624</v>
      </c>
      <c r="E16" s="50">
        <v>16.115106388147172</v>
      </c>
      <c r="F16" s="50">
        <v>15655.47227021071</v>
      </c>
      <c r="G16" s="50">
        <v>16.635380178201984</v>
      </c>
      <c r="H16" s="50">
        <v>21584.974827531092</v>
      </c>
      <c r="I16" s="50">
        <v>13.716128093167468</v>
      </c>
      <c r="J16" s="50">
        <v>41997.064381158038</v>
      </c>
    </row>
    <row r="17" spans="2:10" x14ac:dyDescent="0.25">
      <c r="B17" s="49" t="s">
        <v>182</v>
      </c>
      <c r="C17" s="51">
        <v>101.25</v>
      </c>
      <c r="D17" s="52"/>
      <c r="E17" s="51">
        <v>91.61</v>
      </c>
      <c r="F17" s="52"/>
      <c r="G17" s="51">
        <v>73.319999999999993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2024-03-05T10:07:28Z</dcterms:created>
  <dcterms:modified xsi:type="dcterms:W3CDTF">2024-03-06T09:51:03Z</dcterms:modified>
</cp:coreProperties>
</file>