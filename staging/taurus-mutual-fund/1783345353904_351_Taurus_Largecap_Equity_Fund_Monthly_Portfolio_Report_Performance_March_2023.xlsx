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BF-Risk-o-meter &amp; Portfolio" sheetId="2" r:id="rId1"/>
    <sheet name="TBF Performance" sheetId="11" r:id="rId2"/>
  </sheets>
  <definedNames>
    <definedName name="XDO_?AUM?">'TBF-Risk-o-meter &amp; Portfolio'!$H$13</definedName>
    <definedName name="XDO_?CLASS_3?">'TBF-Risk-o-meter &amp; Portfolio'!$C$8:$C$40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Portfolio'!$D$10:$D$82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'TBF-Risk-o-meter &amp; Portfolio'!$H$10:$H$82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'TBF-Risk-o-meter &amp; Portfolio'!$C$10:$C$82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'TBF-Risk-o-meter &amp; Portfolio'!$I$10:$I$82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'TBF-Risk-o-meter &amp; Portfolio'!$G$10:$G$82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'TBF-Risk-o-meter &amp; Portfolio'!$F$10:$F$82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'TBF-Risk-o-meter &amp; Portfolio'!$D$3</definedName>
    <definedName name="XDO_?NAMC?">'TBF-Risk-o-meter &amp; Portfolio'!#REF!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'TBF-Risk-o-meter &amp; Portfolio'!$C$2:$C$40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'TBF-Risk-o-meter &amp; Portfolio'!#REF!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'TBF-Risk-o-meter &amp; Portfolio'!#REF!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'TBF-Risk-o-meter &amp; Portfolio'!$B$10:$B$82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'TBF-Risk-o-meter &amp; Portfolio'!$D$2:$D$40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'TBF-Risk-o-meter &amp; Portfolio'!$E$10:$E$82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'TBF-Risk-o-meter &amp; Portfolio'!$J$10:$J$82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'TBF-Risk-o-meter &amp; Portfolio'!$D$4</definedName>
    <definedName name="XDO_?TITL?">'TBF-Risk-o-meter &amp; Portfolio'!$A$8:$A$40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'TBF-Risk-o-meter &amp; Portfolio'!$2:$85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'TBF-Risk-o-meter &amp; Portfolio'!$8:$84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'TBF-Risk-o-meter &amp; Portfolio'!$B$82:$IV$82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85" i="2"/>
</calcChain>
</file>

<file path=xl/sharedStrings.xml><?xml version="1.0" encoding="utf-8"?>
<sst xmlns="http://schemas.openxmlformats.org/spreadsheetml/2006/main" count="235" uniqueCount="168">
  <si>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</si>
  <si>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</si>
  <si>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</si>
  <si>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</si>
  <si>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</si>
  <si>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</si>
  <si>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</si>
  <si>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</si>
  <si>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</si>
  <si>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</si>
  <si>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</si>
  <si>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</si>
  <si>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</si>
  <si>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</si>
  <si>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</si>
  <si>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</si>
  <si>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</si>
  <si>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</si>
  <si>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</si>
  <si>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</si>
  <si>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</si>
  <si>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</si>
  <si>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</si>
  <si>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</si>
  <si>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</si>
  <si>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</si>
  <si>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</si>
  <si>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</si>
  <si>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</si>
  <si>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</si>
  <si>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</si>
  <si>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</si>
  <si>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</si>
  <si>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</si>
  <si>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</si>
  <si>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</si>
  <si>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</si>
  <si>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</si>
  <si>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</si>
  <si>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</si>
  <si>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</si>
  <si>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</si>
  <si>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</si>
  <si>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</si>
  <si>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100012</t>
  </si>
  <si>
    <t>ICICI Bank Ltd.</t>
  </si>
  <si>
    <t>INE090A01021</t>
  </si>
  <si>
    <t>Banks</t>
  </si>
  <si>
    <t>100314</t>
  </si>
  <si>
    <t>SRF Ltd.</t>
  </si>
  <si>
    <t>INE647A01010</t>
  </si>
  <si>
    <t>Chemicals &amp; Petrochemicals</t>
  </si>
  <si>
    <t>100027</t>
  </si>
  <si>
    <t>Pidilite Industries Ltd.</t>
  </si>
  <si>
    <t>INE318A01026</t>
  </si>
  <si>
    <t>100108</t>
  </si>
  <si>
    <t>Adani Ports and Special Economic Zone Ltd.</t>
  </si>
  <si>
    <t>INE742F01042</t>
  </si>
  <si>
    <t>Transport Infrastructure</t>
  </si>
  <si>
    <t>100183</t>
  </si>
  <si>
    <t>Vedanta Ltd.</t>
  </si>
  <si>
    <t>INE205A01025</t>
  </si>
  <si>
    <t>Diversified Metals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</si>
  <si>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</si>
  <si>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</si>
  <si>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</si>
  <si>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</si>
  <si>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</si>
  <si>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</si>
  <si>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</si>
  <si>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100139</t>
  </si>
  <si>
    <t>UPL Ltd.</t>
  </si>
  <si>
    <t>INE628A01036</t>
  </si>
  <si>
    <t>Fertilizers &amp; Agrochemicals</t>
  </si>
  <si>
    <t>100014</t>
  </si>
  <si>
    <t>Mahindra &amp; Mahindra Ltd.</t>
  </si>
  <si>
    <t>INE101A01026</t>
  </si>
  <si>
    <t>Automobiles</t>
  </si>
  <si>
    <t>101617</t>
  </si>
  <si>
    <t>Macrotech Developers Ltd.</t>
  </si>
  <si>
    <t>INE670K01029</t>
  </si>
  <si>
    <t>100128</t>
  </si>
  <si>
    <t>Eicher Motors Ltd.</t>
  </si>
  <si>
    <t>INE066A01021</t>
  </si>
  <si>
    <t>100081</t>
  </si>
  <si>
    <t>Titan Company Ltd.</t>
  </si>
  <si>
    <t>INE280A01028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</si>
  <si>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</si>
  <si>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</si>
  <si>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</si>
  <si>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</si>
  <si>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</si>
  <si>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</si>
  <si>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</si>
  <si>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Pharmaceuticals &amp; Biotechnology</t>
  </si>
  <si>
    <t>100013</t>
  </si>
  <si>
    <t>IndusInd Bank Ltd.</t>
  </si>
  <si>
    <t>INE095A01012</t>
  </si>
  <si>
    <t>100282</t>
  </si>
  <si>
    <t>Blue Star Ltd.</t>
  </si>
  <si>
    <t>INE472A01039</t>
  </si>
  <si>
    <t>100024</t>
  </si>
  <si>
    <t>Axis Bank Ltd.</t>
  </si>
  <si>
    <t>INE238A01034</t>
  </si>
  <si>
    <t>100315</t>
  </si>
  <si>
    <t>Prestige Estates Projects Ltd.</t>
  </si>
  <si>
    <t>INE811K01011</t>
  </si>
  <si>
    <t>100002</t>
  </si>
  <si>
    <t>Reliance Industries Ltd.</t>
  </si>
  <si>
    <t>INE002A01018</t>
  </si>
  <si>
    <t>Petroleum Products</t>
  </si>
  <si>
    <t>100431</t>
  </si>
  <si>
    <t>Atul Auto Ltd.</t>
  </si>
  <si>
    <t>INE951D01028</t>
  </si>
  <si>
    <t>Agricultural, Commercial &amp; Construction Vehicles</t>
  </si>
  <si>
    <t>100099</t>
  </si>
  <si>
    <t>Hindustan Unilever Ltd.</t>
  </si>
  <si>
    <t>INE030A01027</t>
  </si>
  <si>
    <t>Diversified FMCG</t>
  </si>
  <si>
    <t>100335</t>
  </si>
  <si>
    <t>Kajaria Ceramics Ltd.</t>
  </si>
  <si>
    <t>INE217B01036</t>
  </si>
  <si>
    <t>100461</t>
  </si>
  <si>
    <t>Astral Ltd.</t>
  </si>
  <si>
    <t>INE006I01046</t>
  </si>
  <si>
    <t>Industrial Products</t>
  </si>
  <si>
    <t>100178</t>
  </si>
  <si>
    <t>Ambuja Cements Ltd.</t>
  </si>
  <si>
    <t>INE079A01024</t>
  </si>
  <si>
    <t>Cement &amp; Cement Products</t>
  </si>
  <si>
    <t>100418</t>
  </si>
  <si>
    <t>Adani Enterprises Ltd.</t>
  </si>
  <si>
    <t>INE423A01024</t>
  </si>
  <si>
    <t>Metals &amp; Minerals Trading</t>
  </si>
  <si>
    <t>100172</t>
  </si>
  <si>
    <t>ACC Ltd.</t>
  </si>
  <si>
    <t>INE012A01025</t>
  </si>
  <si>
    <t>100003</t>
  </si>
  <si>
    <t>Infosys Ltd.</t>
  </si>
  <si>
    <t>INE009A01021</t>
  </si>
  <si>
    <t>IT - Software</t>
  </si>
  <si>
    <t>101229</t>
  </si>
  <si>
    <t>Jubilant Ingrevia Ltd.</t>
  </si>
  <si>
    <t>INE0BY001018</t>
  </si>
  <si>
    <t>100179</t>
  </si>
  <si>
    <t>Hero MotoCorp Ltd.</t>
  </si>
  <si>
    <t>INE158A01026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</si>
  <si>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</si>
  <si>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</si>
  <si>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</si>
  <si>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</si>
  <si>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</si>
  <si>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</si>
  <si>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</si>
  <si>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</si>
  <si>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</si>
  <si>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</si>
  <si>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</si>
  <si>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</si>
  <si>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</si>
  <si>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</si>
  <si>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</si>
  <si>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</si>
  <si>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</si>
  <si>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</si>
  <si>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March 31, 2023 : 98.08)</t>
  </si>
  <si>
    <t>Taurus Largecap Equity Fund - Direct Plan Growth Option</t>
  </si>
  <si>
    <t>NAV [Rs.] Per Unit (as on March 31, 2023 : 103.48)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</si>
</sst>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1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8.7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24</v>
      </c>
      <c r="J2" s="33"/>
    </row>
    <row r="3" spans="1:54" ht="15">
      <c r="C3" s="1" t="s">
        <v>25</v>
      </c>
      <c r="D3" s="26" t="s">
        <v>26</v>
      </c>
    </row>
    <row r="4" spans="1:54" ht="14.25">
      <c r="C4" s="1" t="s">
        <v>27</v>
      </c>
      <c r="D4" s="27">
        <v>45016</v>
      </c>
    </row>
    <row r="5" spans="1:54">
      <c r="C5" s="1"/>
    </row>
    <row r="6" spans="1:54" ht="25.5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5597</v>
      </c>
      <c r="H10" s="29">
        <v>186.18</v>
      </c>
      <c r="I10" s="29">
        <v>6.01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14388</v>
      </c>
      <c r="H11" s="29">
        <v>170.99</v>
      </c>
      <c r="I11" s="29">
        <v>5.52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47</v>
      </c>
      <c r="G12" s="24">
        <v>19245</v>
      </c>
      <c r="H12" s="29">
        <v>168.82</v>
      </c>
      <c r="I12" s="29">
        <v>5.45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51</v>
      </c>
      <c r="G13" s="24">
        <v>6935</v>
      </c>
      <c r="H13" s="29">
        <v>166.87</v>
      </c>
      <c r="I13" s="29">
        <v>5.39</v>
      </c>
      <c r="J13" s="12"/>
    </row>
    <row r="14" spans="1:54">
      <c r="B14" s="11" t="s">
        <v>52</v>
      </c>
      <c r="C14" s="39" t="s">
        <v>53</v>
      </c>
      <c r="D14" s="36" t="s">
        <v>54</v>
      </c>
      <c r="E14" s="9"/>
      <c r="F14" s="9" t="s">
        <v>51</v>
      </c>
      <c r="G14" s="24">
        <v>7019</v>
      </c>
      <c r="H14" s="29">
        <v>165.21</v>
      </c>
      <c r="I14" s="29">
        <v>5.33</v>
      </c>
      <c r="J14" s="12"/>
    </row>
    <row r="15" spans="1:54">
      <c r="B15" s="11" t="s">
        <v>55</v>
      </c>
      <c r="C15" s="39" t="s">
        <v>56</v>
      </c>
      <c r="D15" s="36" t="s">
        <v>57</v>
      </c>
      <c r="E15" s="9"/>
      <c r="F15" s="9" t="s">
        <v>58</v>
      </c>
      <c r="G15" s="24">
        <v>25403</v>
      </c>
      <c r="H15" s="29">
        <v>160.5</v>
      </c>
      <c r="I15" s="29">
        <v>5.18</v>
      </c>
      <c r="J15" s="12"/>
    </row>
    <row r="16" spans="1:54">
      <c r="B16" s="11" t="s">
        <v>59</v>
      </c>
      <c r="C16" s="39" t="s">
        <v>60</v>
      </c>
      <c r="D16" s="36" t="s">
        <v>61</v>
      </c>
      <c r="E16" s="9"/>
      <c r="F16" s="9" t="s">
        <v>62</v>
      </c>
      <c r="G16" s="24">
        <v>57285</v>
      </c>
      <c r="H16" s="29">
        <v>157.36000000000001</v>
      </c>
      <c r="I16" s="29">
        <v>5.08</v>
      </c>
      <c r="J16" s="12"/>
    </row>
    <row r="17" spans="2:10">
      <c r="B17" s="11" t="s">
        <v>63</v>
      </c>
      <c r="C17" s="39" t="s">
        <v>64</v>
      </c>
      <c r="D17" s="36" t="s">
        <v>65</v>
      </c>
      <c r="E17" s="9"/>
      <c r="F17" s="9" t="s">
        <v>66</v>
      </c>
      <c r="G17" s="24">
        <v>42817</v>
      </c>
      <c r="H17" s="29">
        <v>152.86000000000001</v>
      </c>
      <c r="I17" s="29">
        <v>4.93</v>
      </c>
      <c r="J17" s="12"/>
    </row>
    <row r="18" spans="2:10">
      <c r="B18" s="11" t="s">
        <v>67</v>
      </c>
      <c r="C18" s="39" t="s">
        <v>68</v>
      </c>
      <c r="D18" s="36" t="s">
        <v>69</v>
      </c>
      <c r="E18" s="9"/>
      <c r="F18" s="9" t="s">
        <v>47</v>
      </c>
      <c r="G18" s="24">
        <v>8526</v>
      </c>
      <c r="H18" s="29">
        <v>147.80000000000001</v>
      </c>
      <c r="I18" s="29">
        <v>4.7699999999999996</v>
      </c>
      <c r="J18" s="12"/>
    </row>
    <row r="19" spans="2:10">
      <c r="B19" s="11" t="s">
        <v>70</v>
      </c>
      <c r="C19" s="39" t="s">
        <v>71</v>
      </c>
      <c r="D19" s="36" t="s">
        <v>72</v>
      </c>
      <c r="E19" s="9"/>
      <c r="F19" s="9" t="s">
        <v>73</v>
      </c>
      <c r="G19" s="24">
        <v>19142</v>
      </c>
      <c r="H19" s="29">
        <v>137.33000000000001</v>
      </c>
      <c r="I19" s="29">
        <v>4.43</v>
      </c>
      <c r="J19" s="12"/>
    </row>
    <row r="20" spans="2:10">
      <c r="B20" s="11" t="s">
        <v>74</v>
      </c>
      <c r="C20" s="39" t="s">
        <v>75</v>
      </c>
      <c r="D20" s="36" t="s">
        <v>76</v>
      </c>
      <c r="E20" s="9"/>
      <c r="F20" s="9" t="s">
        <v>77</v>
      </c>
      <c r="G20" s="24">
        <v>11321</v>
      </c>
      <c r="H20" s="29">
        <v>131.16</v>
      </c>
      <c r="I20" s="29">
        <v>4.2300000000000004</v>
      </c>
      <c r="J20" s="12"/>
    </row>
    <row r="21" spans="2:10">
      <c r="B21" s="11" t="s">
        <v>78</v>
      </c>
      <c r="C21" s="39" t="s">
        <v>79</v>
      </c>
      <c r="D21" s="36" t="s">
        <v>80</v>
      </c>
      <c r="E21" s="9"/>
      <c r="F21" s="9" t="s">
        <v>66</v>
      </c>
      <c r="G21" s="24">
        <v>12962</v>
      </c>
      <c r="H21" s="29">
        <v>120.62</v>
      </c>
      <c r="I21" s="29">
        <v>3.89</v>
      </c>
      <c r="J21" s="12"/>
    </row>
    <row r="22" spans="2:10">
      <c r="B22" s="11" t="s">
        <v>81</v>
      </c>
      <c r="C22" s="39" t="s">
        <v>82</v>
      </c>
      <c r="D22" s="36" t="s">
        <v>83</v>
      </c>
      <c r="E22" s="9"/>
      <c r="F22" s="9" t="s">
        <v>77</v>
      </c>
      <c r="G22" s="24">
        <v>3450</v>
      </c>
      <c r="H22" s="29">
        <v>101.78</v>
      </c>
      <c r="I22" s="29">
        <v>3.28</v>
      </c>
      <c r="J22" s="12"/>
    </row>
    <row r="23" spans="2:10">
      <c r="B23" s="11" t="s">
        <v>84</v>
      </c>
      <c r="C23" s="39" t="s">
        <v>85</v>
      </c>
      <c r="D23" s="36" t="s">
        <v>86</v>
      </c>
      <c r="E23" s="9"/>
      <c r="F23" s="9" t="s">
        <v>43</v>
      </c>
      <c r="G23" s="24">
        <v>3667</v>
      </c>
      <c r="H23" s="29">
        <v>92.23</v>
      </c>
      <c r="I23" s="29">
        <v>2.98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22605</v>
      </c>
      <c r="H24" s="29">
        <v>91.61</v>
      </c>
      <c r="I24" s="29">
        <v>2.96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1930</v>
      </c>
      <c r="H25" s="29">
        <v>89.19</v>
      </c>
      <c r="I25" s="29">
        <v>2.88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47</v>
      </c>
      <c r="G26" s="24">
        <v>6800</v>
      </c>
      <c r="H26" s="29">
        <v>72.63</v>
      </c>
      <c r="I26" s="29">
        <v>2.34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43</v>
      </c>
      <c r="G27" s="24">
        <v>4847</v>
      </c>
      <c r="H27" s="29">
        <v>66.78</v>
      </c>
      <c r="I27" s="29">
        <v>2.16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47</v>
      </c>
      <c r="G28" s="24">
        <v>7100</v>
      </c>
      <c r="H28" s="29">
        <v>60.95</v>
      </c>
      <c r="I28" s="29">
        <v>1.97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66</v>
      </c>
      <c r="G29" s="24">
        <v>15092</v>
      </c>
      <c r="H29" s="29">
        <v>60.8</v>
      </c>
      <c r="I29" s="29">
        <v>1.96</v>
      </c>
      <c r="J29" s="12"/>
    </row>
    <row r="30" spans="2:10">
      <c r="B30" s="11" t="s">
        <v>107</v>
      </c>
      <c r="C30" s="39" t="s">
        <v>108</v>
      </c>
      <c r="D30" s="36" t="s">
        <v>109</v>
      </c>
      <c r="E30" s="9"/>
      <c r="F30" s="9" t="s">
        <v>110</v>
      </c>
      <c r="G30" s="24">
        <v>2500</v>
      </c>
      <c r="H30" s="29">
        <v>58.28</v>
      </c>
      <c r="I30" s="29">
        <v>1.88</v>
      </c>
      <c r="J30" s="12"/>
    </row>
    <row r="31" spans="2:10">
      <c r="B31" s="11" t="s">
        <v>111</v>
      </c>
      <c r="C31" s="39" t="s">
        <v>112</v>
      </c>
      <c r="D31" s="36" t="s">
        <v>113</v>
      </c>
      <c r="E31" s="9"/>
      <c r="F31" s="9" t="s">
        <v>114</v>
      </c>
      <c r="G31" s="24">
        <v>16413</v>
      </c>
      <c r="H31" s="29">
        <v>51.3</v>
      </c>
      <c r="I31" s="29">
        <v>1.66</v>
      </c>
      <c r="J31" s="12"/>
    </row>
    <row r="32" spans="2:10">
      <c r="B32" s="11" t="s">
        <v>115</v>
      </c>
      <c r="C32" s="39" t="s">
        <v>116</v>
      </c>
      <c r="D32" s="36" t="s">
        <v>117</v>
      </c>
      <c r="E32" s="9"/>
      <c r="F32" s="9" t="s">
        <v>118</v>
      </c>
      <c r="G32" s="24">
        <v>2000</v>
      </c>
      <c r="H32" s="29">
        <v>51.18</v>
      </c>
      <c r="I32" s="29">
        <v>1.65</v>
      </c>
      <c r="J32" s="12"/>
    </row>
    <row r="33" spans="2:10">
      <c r="B33" s="11" t="s">
        <v>119</v>
      </c>
      <c r="C33" s="39" t="s">
        <v>120</v>
      </c>
      <c r="D33" s="36" t="s">
        <v>121</v>
      </c>
      <c r="E33" s="9"/>
      <c r="F33" s="9" t="s">
        <v>43</v>
      </c>
      <c r="G33" s="24">
        <v>4793</v>
      </c>
      <c r="H33" s="29">
        <v>50.52</v>
      </c>
      <c r="I33" s="29">
        <v>1.63</v>
      </c>
      <c r="J33" s="12"/>
    </row>
    <row r="34" spans="2:10">
      <c r="B34" s="11" t="s">
        <v>122</v>
      </c>
      <c r="C34" s="39" t="s">
        <v>123</v>
      </c>
      <c r="D34" s="36" t="s">
        <v>124</v>
      </c>
      <c r="E34" s="9"/>
      <c r="F34" s="9" t="s">
        <v>125</v>
      </c>
      <c r="G34" s="24">
        <v>3662</v>
      </c>
      <c r="H34" s="29">
        <v>48.96</v>
      </c>
      <c r="I34" s="29">
        <v>1.58</v>
      </c>
      <c r="J34" s="12"/>
    </row>
    <row r="35" spans="2:10">
      <c r="B35" s="11" t="s">
        <v>126</v>
      </c>
      <c r="C35" s="39" t="s">
        <v>127</v>
      </c>
      <c r="D35" s="36" t="s">
        <v>128</v>
      </c>
      <c r="E35" s="9"/>
      <c r="F35" s="9" t="s">
        <v>129</v>
      </c>
      <c r="G35" s="24">
        <v>12800</v>
      </c>
      <c r="H35" s="29">
        <v>46.78</v>
      </c>
      <c r="I35" s="29">
        <v>1.51</v>
      </c>
      <c r="J35" s="12"/>
    </row>
    <row r="36" spans="2:10">
      <c r="B36" s="11" t="s">
        <v>130</v>
      </c>
      <c r="C36" s="39" t="s">
        <v>131</v>
      </c>
      <c r="D36" s="36" t="s">
        <v>132</v>
      </c>
      <c r="E36" s="9"/>
      <c r="F36" s="9" t="s">
        <v>133</v>
      </c>
      <c r="G36" s="24">
        <v>2377</v>
      </c>
      <c r="H36" s="29">
        <v>41.6</v>
      </c>
      <c r="I36" s="29">
        <v>1.34</v>
      </c>
      <c r="J36" s="12"/>
    </row>
    <row r="37" spans="2:10">
      <c r="B37" s="11" t="s">
        <v>134</v>
      </c>
      <c r="C37" s="39" t="s">
        <v>135</v>
      </c>
      <c r="D37" s="36" t="s">
        <v>136</v>
      </c>
      <c r="E37" s="9"/>
      <c r="F37" s="9" t="s">
        <v>129</v>
      </c>
      <c r="G37" s="24">
        <v>2350</v>
      </c>
      <c r="H37" s="29">
        <v>39.17</v>
      </c>
      <c r="I37" s="29">
        <v>1.26</v>
      </c>
      <c r="J37" s="12"/>
    </row>
    <row r="38" spans="2:10">
      <c r="B38" s="11" t="s">
        <v>137</v>
      </c>
      <c r="C38" s="39" t="s">
        <v>138</v>
      </c>
      <c r="D38" s="36" t="s">
        <v>139</v>
      </c>
      <c r="E38" s="9"/>
      <c r="F38" s="9" t="s">
        <v>140</v>
      </c>
      <c r="G38" s="24">
        <v>2000</v>
      </c>
      <c r="H38" s="29">
        <v>28.55</v>
      </c>
      <c r="I38" s="29">
        <v>0.92</v>
      </c>
      <c r="J38" s="12"/>
    </row>
    <row r="39" spans="2:10">
      <c r="B39" s="11" t="s">
        <v>141</v>
      </c>
      <c r="C39" s="39" t="s">
        <v>142</v>
      </c>
      <c r="D39" s="36" t="s">
        <v>143</v>
      </c>
      <c r="E39" s="9"/>
      <c r="F39" s="9" t="s">
        <v>51</v>
      </c>
      <c r="G39" s="24">
        <v>5700</v>
      </c>
      <c r="H39" s="29">
        <v>20.51</v>
      </c>
      <c r="I39" s="29">
        <v>0.66</v>
      </c>
      <c r="J39" s="12"/>
    </row>
    <row r="40" spans="2:10">
      <c r="B40" s="11" t="s">
        <v>144</v>
      </c>
      <c r="C40" s="39" t="s">
        <v>145</v>
      </c>
      <c r="D40" s="36" t="s">
        <v>146</v>
      </c>
      <c r="E40" s="9"/>
      <c r="F40" s="9" t="s">
        <v>77</v>
      </c>
      <c r="G40" s="24">
        <v>500</v>
      </c>
      <c r="H40" s="29">
        <v>11.74</v>
      </c>
      <c r="I40" s="29">
        <v>0.38</v>
      </c>
      <c r="J40" s="12"/>
    </row>
    <row r="41" spans="2:10">
      <c r="C41" s="42" t="s">
        <v>147</v>
      </c>
      <c r="D41" s="36"/>
      <c r="E41" s="9"/>
      <c r="F41" s="9"/>
      <c r="G41" s="24"/>
      <c r="H41" s="30">
        <v>2950.26</v>
      </c>
      <c r="I41" s="30">
        <v>95.21</v>
      </c>
      <c r="J41" s="12"/>
    </row>
    <row r="42" spans="2:10">
      <c r="C42" s="39"/>
      <c r="D42" s="36"/>
      <c r="E42" s="9"/>
      <c r="F42" s="9"/>
      <c r="G42" s="24"/>
      <c r="H42" s="29"/>
      <c r="I42" s="29"/>
      <c r="J42" s="12"/>
    </row>
    <row r="43" spans="2:10">
      <c r="C43" s="42" t="s">
        <v>3</v>
      </c>
      <c r="D43" s="36"/>
      <c r="E43" s="9"/>
      <c r="F43" s="9"/>
      <c r="G43" s="24"/>
      <c r="H43" s="29" t="s">
        <v>2</v>
      </c>
      <c r="I43" s="29" t="s">
        <v>2</v>
      </c>
      <c r="J43" s="12"/>
    </row>
    <row r="44" spans="2:10">
      <c r="C44" s="39"/>
      <c r="D44" s="36"/>
      <c r="E44" s="9"/>
      <c r="F44" s="9"/>
      <c r="G44" s="24"/>
      <c r="H44" s="29"/>
      <c r="I44" s="29"/>
      <c r="J44" s="12"/>
    </row>
    <row r="45" spans="2:10">
      <c r="C45" s="42" t="s">
        <v>4</v>
      </c>
      <c r="D45" s="36"/>
      <c r="E45" s="9"/>
      <c r="F45" s="9"/>
      <c r="G45" s="24"/>
      <c r="H45" s="29" t="s">
        <v>2</v>
      </c>
      <c r="I45" s="29" t="s">
        <v>2</v>
      </c>
      <c r="J45" s="12"/>
    </row>
    <row r="46" spans="2:10">
      <c r="C46" s="39"/>
      <c r="D46" s="36"/>
      <c r="E46" s="9"/>
      <c r="F46" s="9"/>
      <c r="G46" s="24"/>
      <c r="H46" s="29"/>
      <c r="I46" s="29"/>
      <c r="J46" s="12"/>
    </row>
    <row r="47" spans="2:10">
      <c r="C47" s="42" t="s">
        <v>5</v>
      </c>
      <c r="D47" s="36"/>
      <c r="E47" s="9"/>
      <c r="F47" s="9"/>
      <c r="G47" s="24"/>
      <c r="H47" s="29"/>
      <c r="I47" s="29"/>
      <c r="J47" s="12"/>
    </row>
    <row r="48" spans="2:10">
      <c r="C48" s="39"/>
      <c r="D48" s="36"/>
      <c r="E48" s="9"/>
      <c r="F48" s="9"/>
      <c r="G48" s="24"/>
      <c r="H48" s="29"/>
      <c r="I48" s="29"/>
      <c r="J48" s="12"/>
    </row>
    <row r="49" spans="3:10">
      <c r="C49" s="42" t="s">
        <v>6</v>
      </c>
      <c r="D49" s="36"/>
      <c r="E49" s="9"/>
      <c r="F49" s="9"/>
      <c r="G49" s="24"/>
      <c r="H49" s="29" t="s">
        <v>2</v>
      </c>
      <c r="I49" s="29" t="s">
        <v>2</v>
      </c>
      <c r="J49" s="12"/>
    </row>
    <row r="50" spans="3:10">
      <c r="C50" s="39"/>
      <c r="D50" s="36"/>
      <c r="E50" s="9"/>
      <c r="F50" s="9"/>
      <c r="G50" s="24"/>
      <c r="H50" s="29"/>
      <c r="I50" s="29"/>
      <c r="J50" s="12"/>
    </row>
    <row r="51" spans="3:10">
      <c r="C51" s="42" t="s">
        <v>7</v>
      </c>
      <c r="D51" s="36"/>
      <c r="E51" s="9"/>
      <c r="F51" s="9"/>
      <c r="G51" s="24"/>
      <c r="H51" s="29" t="s">
        <v>2</v>
      </c>
      <c r="I51" s="29" t="s">
        <v>2</v>
      </c>
      <c r="J51" s="12"/>
    </row>
    <row r="52" spans="3:10">
      <c r="C52" s="39"/>
      <c r="D52" s="36"/>
      <c r="E52" s="9"/>
      <c r="F52" s="9"/>
      <c r="G52" s="24"/>
      <c r="H52" s="29"/>
      <c r="I52" s="29"/>
      <c r="J52" s="12"/>
    </row>
    <row r="53" spans="3:10">
      <c r="C53" s="42" t="s">
        <v>8</v>
      </c>
      <c r="D53" s="36"/>
      <c r="E53" s="9"/>
      <c r="F53" s="9"/>
      <c r="G53" s="24"/>
      <c r="H53" s="29" t="s">
        <v>2</v>
      </c>
      <c r="I53" s="29" t="s">
        <v>2</v>
      </c>
      <c r="J53" s="12"/>
    </row>
    <row r="54" spans="3:10">
      <c r="C54" s="39"/>
      <c r="D54" s="36"/>
      <c r="E54" s="9"/>
      <c r="F54" s="9"/>
      <c r="G54" s="24"/>
      <c r="H54" s="29"/>
      <c r="I54" s="29"/>
      <c r="J54" s="12"/>
    </row>
    <row r="55" spans="3:10">
      <c r="C55" s="42" t="s">
        <v>9</v>
      </c>
      <c r="D55" s="36"/>
      <c r="E55" s="9"/>
      <c r="F55" s="9"/>
      <c r="G55" s="24"/>
      <c r="H55" s="29" t="s">
        <v>2</v>
      </c>
      <c r="I55" s="29" t="s">
        <v>2</v>
      </c>
      <c r="J55" s="12"/>
    </row>
    <row r="56" spans="3:10">
      <c r="C56" s="39"/>
      <c r="D56" s="36"/>
      <c r="E56" s="9"/>
      <c r="F56" s="9"/>
      <c r="G56" s="24"/>
      <c r="H56" s="29"/>
      <c r="I56" s="29"/>
      <c r="J56" s="12"/>
    </row>
    <row r="57" spans="3:10">
      <c r="C57" s="42" t="s">
        <v>10</v>
      </c>
      <c r="D57" s="36"/>
      <c r="E57" s="9"/>
      <c r="F57" s="9"/>
      <c r="G57" s="24"/>
      <c r="H57" s="29" t="s">
        <v>2</v>
      </c>
      <c r="I57" s="29" t="s">
        <v>2</v>
      </c>
      <c r="J57" s="12"/>
    </row>
    <row r="58" spans="3:10">
      <c r="C58" s="39"/>
      <c r="D58" s="36"/>
      <c r="E58" s="9"/>
      <c r="F58" s="9"/>
      <c r="G58" s="24"/>
      <c r="H58" s="29"/>
      <c r="I58" s="29"/>
      <c r="J58" s="12"/>
    </row>
    <row r="59" spans="3:10">
      <c r="C59" s="42" t="s">
        <v>11</v>
      </c>
      <c r="D59" s="36"/>
      <c r="E59" s="9"/>
      <c r="F59" s="9"/>
      <c r="G59" s="24"/>
      <c r="H59" s="29"/>
      <c r="I59" s="29"/>
      <c r="J59" s="12"/>
    </row>
    <row r="60" spans="3:10">
      <c r="C60" s="39"/>
      <c r="D60" s="36"/>
      <c r="E60" s="9"/>
      <c r="F60" s="9"/>
      <c r="G60" s="24"/>
      <c r="H60" s="29"/>
      <c r="I60" s="29"/>
      <c r="J60" s="12"/>
    </row>
    <row r="61" spans="3:10">
      <c r="C61" s="42" t="s">
        <v>12</v>
      </c>
      <c r="D61" s="36"/>
      <c r="E61" s="9"/>
      <c r="F61" s="9"/>
      <c r="G61" s="24"/>
      <c r="H61" s="29" t="s">
        <v>2</v>
      </c>
      <c r="I61" s="29" t="s">
        <v>2</v>
      </c>
      <c r="J61" s="12"/>
    </row>
    <row r="62" spans="3:10">
      <c r="C62" s="39"/>
      <c r="D62" s="36"/>
      <c r="E62" s="9"/>
      <c r="F62" s="9"/>
      <c r="G62" s="24"/>
      <c r="H62" s="29"/>
      <c r="I62" s="29"/>
      <c r="J62" s="12"/>
    </row>
    <row r="63" spans="3:10">
      <c r="C63" s="42" t="s">
        <v>13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3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14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15</v>
      </c>
      <c r="D67" s="36"/>
      <c r="E67" s="9"/>
      <c r="F67" s="9"/>
      <c r="G67" s="24"/>
      <c r="H67" s="29" t="s">
        <v>2</v>
      </c>
      <c r="I67" s="29" t="s">
        <v>2</v>
      </c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16</v>
      </c>
      <c r="D69" s="36"/>
      <c r="E69" s="9"/>
      <c r="F69" s="9"/>
      <c r="G69" s="24"/>
      <c r="H69" s="29"/>
      <c r="I69" s="29"/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17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18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19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20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21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1:10">
      <c r="A81" s="15"/>
      <c r="B81" s="32"/>
      <c r="C81" s="40" t="s">
        <v>22</v>
      </c>
      <c r="D81" s="36"/>
      <c r="E81" s="9"/>
      <c r="F81" s="9"/>
      <c r="G81" s="24"/>
      <c r="H81" s="29"/>
      <c r="I81" s="29"/>
      <c r="J81" s="12"/>
    </row>
    <row r="82" spans="1:10">
      <c r="B82" s="11"/>
      <c r="C82" s="39" t="s">
        <v>148</v>
      </c>
      <c r="D82" s="36"/>
      <c r="E82" s="9"/>
      <c r="F82" s="9"/>
      <c r="G82" s="24"/>
      <c r="H82" s="29">
        <v>148.52000000000001</v>
      </c>
      <c r="I82" s="29">
        <v>4.79</v>
      </c>
      <c r="J82" s="12"/>
    </row>
    <row r="83" spans="1:10">
      <c r="C83" s="42" t="s">
        <v>147</v>
      </c>
      <c r="D83" s="36"/>
      <c r="E83" s="9"/>
      <c r="F83" s="9"/>
      <c r="G83" s="24"/>
      <c r="H83" s="30">
        <v>148.52000000000001</v>
      </c>
      <c r="I83" s="30">
        <v>4.79</v>
      </c>
      <c r="J83" s="12"/>
    </row>
    <row r="84" spans="1:10">
      <c r="C84" s="39"/>
      <c r="D84" s="36"/>
      <c r="E84" s="9"/>
      <c r="F84" s="9"/>
      <c r="G84" s="24"/>
      <c r="H84" s="29"/>
      <c r="I84" s="29"/>
      <c r="J84" s="12"/>
    </row>
    <row r="85" spans="1:10">
      <c r="C85" s="43" t="s">
        <v>149</v>
      </c>
      <c r="D85" s="37"/>
      <c r="E85" s="6"/>
      <c r="F85" s="7"/>
      <c r="G85" s="25"/>
      <c r="H85" s="31">
        <v>3098.78</v>
      </c>
      <c r="I85" s="31">
        <f>SUMIFS(I:I,C:C,"Total")</f>
        <v>100</v>
      </c>
      <c r="J85" s="8"/>
    </row>
    <row r="88" spans="1:10">
      <c r="C88" s="1" t="s">
        <v>150</v>
      </c>
    </row>
    <row r="89" spans="1:10">
      <c r="C89" s="2" t="s">
        <v>151</v>
      </c>
    </row>
    <row r="90" spans="1:10">
      <c r="C90" s="2" t="s">
        <v>152</v>
      </c>
    </row>
    <row r="91" spans="1:10">
      <c r="C91" s="2" t="s">
        <v>153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4" t="s">
        <v>154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155</v>
      </c>
      <c r="C5" s="47" t="s">
        <v>156</v>
      </c>
      <c r="D5" s="47"/>
      <c r="E5" s="47" t="s">
        <v>157</v>
      </c>
      <c r="F5" s="47"/>
      <c r="G5" s="47" t="s">
        <v>158</v>
      </c>
      <c r="H5" s="47"/>
      <c r="I5" s="47" t="s">
        <v>159</v>
      </c>
      <c r="J5" s="47"/>
    </row>
    <row r="6" spans="2:10" ht="63.75">
      <c r="B6" s="48"/>
      <c r="C6" s="49" t="s">
        <v>160</v>
      </c>
      <c r="D6" s="49" t="s">
        <v>161</v>
      </c>
      <c r="E6" s="49" t="s">
        <v>160</v>
      </c>
      <c r="F6" s="49" t="s">
        <v>161</v>
      </c>
      <c r="G6" s="49" t="s">
        <v>160</v>
      </c>
      <c r="H6" s="49" t="s">
        <v>161</v>
      </c>
      <c r="I6" s="49" t="s">
        <v>160</v>
      </c>
      <c r="J6" s="49" t="s">
        <v>161</v>
      </c>
    </row>
    <row r="7" spans="2:10">
      <c r="B7" s="50" t="s">
        <v>162</v>
      </c>
      <c r="C7" s="51">
        <v>-4.6656298600311068</v>
      </c>
      <c r="D7" s="51">
        <v>9533.4370139968905</v>
      </c>
      <c r="E7" s="51">
        <v>20.119519907439674</v>
      </c>
      <c r="F7" s="51">
        <v>17331.684043117159</v>
      </c>
      <c r="G7" s="51">
        <v>7.1373830893266543</v>
      </c>
      <c r="H7" s="51">
        <v>14126.45830332709</v>
      </c>
      <c r="I7" s="51">
        <v>9.9043942070476287</v>
      </c>
      <c r="J7" s="51">
        <v>98080</v>
      </c>
    </row>
    <row r="8" spans="2:10">
      <c r="B8" s="50" t="s">
        <v>163</v>
      </c>
      <c r="C8" s="51">
        <v>0.73033808183577964</v>
      </c>
      <c r="D8" s="51">
        <v>10073.033808183578</v>
      </c>
      <c r="E8" s="51">
        <v>28.227862251064174</v>
      </c>
      <c r="F8" s="51">
        <v>21083.718349380859</v>
      </c>
      <c r="G8" s="51">
        <v>12.290644828347098</v>
      </c>
      <c r="H8" s="51">
        <v>17853.274352678298</v>
      </c>
      <c r="I8" s="51">
        <v>11.778093233097021</v>
      </c>
      <c r="J8" s="51">
        <v>228571.41132376427</v>
      </c>
    </row>
    <row r="9" spans="2:10">
      <c r="B9" s="50" t="s">
        <v>164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11.893740496297788</v>
      </c>
      <c r="J9" s="51">
        <v>235311.59651880537</v>
      </c>
    </row>
    <row r="10" spans="2:10">
      <c r="B10" s="50" t="s">
        <v>165</v>
      </c>
      <c r="C10" s="52">
        <v>102.88</v>
      </c>
      <c r="D10" s="53"/>
      <c r="E10" s="52">
        <v>56.59</v>
      </c>
      <c r="F10" s="53"/>
      <c r="G10" s="52">
        <v>69.430000000000007</v>
      </c>
      <c r="H10" s="53"/>
      <c r="I10" s="52">
        <v>10</v>
      </c>
      <c r="J10" s="53"/>
    </row>
    <row r="12" spans="2:10" ht="15.75">
      <c r="B12" s="44" t="s">
        <v>166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155</v>
      </c>
      <c r="C13" s="47" t="s">
        <v>156</v>
      </c>
      <c r="D13" s="47"/>
      <c r="E13" s="47" t="s">
        <v>157</v>
      </c>
      <c r="F13" s="47"/>
      <c r="G13" s="47" t="s">
        <v>158</v>
      </c>
      <c r="H13" s="47"/>
      <c r="I13" s="47" t="s">
        <v>159</v>
      </c>
      <c r="J13" s="47"/>
    </row>
    <row r="14" spans="2:10" ht="63.75">
      <c r="B14" s="48"/>
      <c r="C14" s="49" t="s">
        <v>160</v>
      </c>
      <c r="D14" s="49" t="s">
        <v>161</v>
      </c>
      <c r="E14" s="49" t="s">
        <v>160</v>
      </c>
      <c r="F14" s="49" t="s">
        <v>161</v>
      </c>
      <c r="G14" s="49" t="s">
        <v>160</v>
      </c>
      <c r="H14" s="49" t="s">
        <v>161</v>
      </c>
      <c r="I14" s="49" t="s">
        <v>160</v>
      </c>
      <c r="J14" s="49" t="s">
        <v>161</v>
      </c>
    </row>
    <row r="15" spans="2:10">
      <c r="B15" s="50" t="s">
        <v>162</v>
      </c>
      <c r="C15" s="51">
        <v>-4.5827570308898053</v>
      </c>
      <c r="D15" s="51">
        <v>9541.7242969110193</v>
      </c>
      <c r="E15" s="51">
        <v>20.224104647267804</v>
      </c>
      <c r="F15" s="51">
        <v>17376.994122586064</v>
      </c>
      <c r="G15" s="51">
        <v>7.3820731241971194</v>
      </c>
      <c r="H15" s="51">
        <v>14288.870477768573</v>
      </c>
      <c r="I15" s="51">
        <v>8.5797038549183746</v>
      </c>
      <c r="J15" s="51">
        <v>23243.486073674754</v>
      </c>
    </row>
    <row r="16" spans="2:10">
      <c r="B16" s="50" t="s">
        <v>163</v>
      </c>
      <c r="C16" s="51">
        <v>0.73033808183577964</v>
      </c>
      <c r="D16" s="51">
        <v>10073.033808183578</v>
      </c>
      <c r="E16" s="51">
        <v>28.227862251064174</v>
      </c>
      <c r="F16" s="51">
        <v>21083.718349380859</v>
      </c>
      <c r="G16" s="51">
        <v>12.290644828347098</v>
      </c>
      <c r="H16" s="51">
        <v>17853.274352678298</v>
      </c>
      <c r="I16" s="51">
        <v>12.45741770202704</v>
      </c>
      <c r="J16" s="51">
        <v>33300.708848420298</v>
      </c>
    </row>
    <row r="17" spans="2:10">
      <c r="B17" s="50" t="s">
        <v>164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12.288004076211401</v>
      </c>
      <c r="J17" s="51">
        <v>32790.239521579759</v>
      </c>
    </row>
    <row r="18" spans="2:10">
      <c r="B18" s="50" t="s">
        <v>167</v>
      </c>
      <c r="C18" s="52">
        <v>108.45</v>
      </c>
      <c r="D18" s="53"/>
      <c r="E18" s="52">
        <v>59.55</v>
      </c>
      <c r="F18" s="53"/>
      <c r="G18" s="52">
        <v>72.42</v>
      </c>
      <c r="H18" s="53"/>
      <c r="I18" s="52">
        <v>44.52</v>
      </c>
      <c r="J18" s="53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2023-04-07T10:06:35Z</dcterms:modified>
</cp:coreProperties>
</file>