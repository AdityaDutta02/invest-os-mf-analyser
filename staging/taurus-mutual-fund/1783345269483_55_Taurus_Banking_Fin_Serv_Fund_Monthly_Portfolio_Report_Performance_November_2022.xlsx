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BFS - Risk-O-Meter &amp; Portfolio" sheetId="1" r:id="rId1"/>
    <sheet name="TBFS-Performance" sheetId="2" r:id="rId2"/>
  </sheets>
  <externalReferences>
    <externalReference r:id="rId3"/>
  </externalReferences>
  <definedNames>
    <definedName name="XDO_?CLASS_3?1?">'TBFS - Risk-O-Meter &amp; Portfolio'!$C$8:$C$27</definedName>
    <definedName name="XDO_?FINAL_ISIN?1?">'TBFS - Risk-O-Meter &amp; Portfolio'!$D$10:$D$27</definedName>
    <definedName name="XDO_?FINAL_ISIN?2?">'TBFS - Risk-O-Meter &amp; Portfolio'!$D$10:$D$69</definedName>
    <definedName name="XDO_?FINAL_MV?1?">'TBFS - Risk-O-Meter &amp; Portfolio'!$H$10:$H$27</definedName>
    <definedName name="XDO_?FINAL_MV?2?">'TBFS - Risk-O-Meter &amp; Portfolio'!$H$10:$H$69</definedName>
    <definedName name="XDO_?FINAL_NAME?1?">'TBFS - Risk-O-Meter &amp; Portfolio'!$C$10:$C$27</definedName>
    <definedName name="XDO_?FINAL_NAME?2?">'TBFS - Risk-O-Meter &amp; Portfolio'!$C$10:$C$69</definedName>
    <definedName name="XDO_?FINAL_PER_NET?1?">'TBFS - Risk-O-Meter &amp; Portfolio'!$I$10:$I$27</definedName>
    <definedName name="XDO_?FINAL_PER_NET?2?">'TBFS - Risk-O-Meter &amp; Portfolio'!$I$10:$I$69</definedName>
    <definedName name="XDO_?FINAL_QUANTITE?1?">'TBFS - Risk-O-Meter &amp; Portfolio'!$G$10:$G$27</definedName>
    <definedName name="XDO_?FINAL_QUANTITE?2?">'TBFS - Risk-O-Meter &amp; Portfolio'!$G$10:$G$69</definedName>
    <definedName name="XDO_?IND_01?1?">'TBFS - Risk-O-Meter &amp; Portfolio'!$F$10:$F$27</definedName>
    <definedName name="XDO_?IND_01?2?">'TBFS - Risk-O-Meter &amp; Portfolio'!$F$10:$F$69</definedName>
    <definedName name="XDO_?NAMC?">[1]TBF!#REF!</definedName>
    <definedName name="XDO_?NAMC?1?">'TBFS - Risk-O-Meter &amp; Portfolio'!#REF!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'TBFS - Risk-O-Meter &amp; Portfolio'!$C$2:$C$27</definedName>
    <definedName name="XDO_?NDATE?">[1]TBF!#REF!</definedName>
    <definedName name="XDO_?NDATE?1?">'TBFS - Risk-O-Meter &amp; Portfolio'!#REF!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'TBFS - Risk-O-Meter &amp; Portfolio'!#REF!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'TBFS - Risk-O-Meter &amp; Portfolio'!$B$10:$B$27</definedName>
    <definedName name="XDO_?NOVAL?2?">'TBFS - Risk-O-Meter &amp; Portfolio'!$B$10:$B$69</definedName>
    <definedName name="XDO_?NPTF?1?">'TBFS - Risk-O-Meter &amp; Portfolio'!$D$2:$D$27</definedName>
    <definedName name="XDO_?RATING?1?">'TBFS - Risk-O-Meter &amp; Portfolio'!$E$10:$E$27</definedName>
    <definedName name="XDO_?RATING?2?">'TBFS - Risk-O-Meter &amp; Portfolio'!$E$10:$E$69</definedName>
    <definedName name="XDO_?REMARKS?1?">'TBFS - Risk-O-Meter &amp; Portfolio'!$J$10:$J$27</definedName>
    <definedName name="XDO_?REMARKS?2?">'TBFS - Risk-O-Meter &amp; Portfolio'!$J$10:$J$69</definedName>
    <definedName name="XDO_?TITL?1?">'TBFS - Risk-O-Meter &amp; Portfolio'!$A$8:$A$27</definedName>
    <definedName name="XDO_GROUP_?G_2?1?">'TBFS - Risk-O-Meter &amp; Portfolio'!$2:$72</definedName>
    <definedName name="XDO_GROUP_?G_3?1?">'TBFS - Risk-O-Meter &amp; Portfolio'!$8:$71</definedName>
    <definedName name="XDO_GROUP_?G_4?1?">'TBFS - Risk-O-Meter &amp; Portfolio'!$B$10:$IV$27</definedName>
    <definedName name="XDO_GROUP_?G_4?2?">'TBFS - Risk-O-Meter &amp; Portfolio'!$B$69:$IV$69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2" i="1"/>
</calcChain>
</file>

<file path=xl/sharedStrings.xml><?xml version="1.0" encoding="utf-8"?>
<sst xmlns="http://schemas.openxmlformats.org/spreadsheetml/2006/main" count="183" uniqueCount="113">
  <si>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</si>
  <si>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</si>
  <si>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</si>
  <si>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</si>
  <si>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</si>
  <si>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</si>
  <si>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</si>
  <si>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</si>
  <si>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</si>
  <si>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</si>
  <si>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</si>
  <si>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</si>
  <si>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</si>
  <si>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</si>
  <si>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</si>
  <si>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</si>
  <si>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</si>
  <si>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</si>
  <si>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</si>
  <si>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100104</t>
  </si>
  <si>
    <t>Kotak Mahindra Bank Ltd.</t>
  </si>
  <si>
    <t>INE237A01028</t>
  </si>
  <si>
    <t>100012</t>
  </si>
  <si>
    <t>ICICI Bank Ltd.</t>
  </si>
  <si>
    <t>INE090A01021</t>
  </si>
  <si>
    <t>100010</t>
  </si>
  <si>
    <t>State Bank of India</t>
  </si>
  <si>
    <t>INE062A01020</t>
  </si>
  <si>
    <t>100112</t>
  </si>
  <si>
    <t>Punjab National Bank</t>
  </si>
  <si>
    <t>INE160A01022</t>
  </si>
  <si>
    <t>100024</t>
  </si>
  <si>
    <t>Axis Bank Ltd.</t>
  </si>
  <si>
    <t>INE238A01034</t>
  </si>
  <si>
    <t>100122</t>
  </si>
  <si>
    <t>Union Bank of India</t>
  </si>
  <si>
    <t>INE692A01016</t>
  </si>
  <si>
    <t>100092</t>
  </si>
  <si>
    <t>Bank of Baroda</t>
  </si>
  <si>
    <t>INE028A01039</t>
  </si>
  <si>
    <t>100191</t>
  </si>
  <si>
    <t>Canara Bank</t>
  </si>
  <si>
    <t>INE476A01014</t>
  </si>
  <si>
    <t>100125</t>
  </si>
  <si>
    <t>Bajaj Finance Ltd.</t>
  </si>
  <si>
    <t>INE296A01024</t>
  </si>
  <si>
    <t>Finance</t>
  </si>
  <si>
    <t>100294</t>
  </si>
  <si>
    <t>IIFL Finance Ltd.</t>
  </si>
  <si>
    <t>INE530B01024</t>
  </si>
  <si>
    <t>100399</t>
  </si>
  <si>
    <t>Cholamandalam Investment &amp; Finance Co. Ltd.</t>
  </si>
  <si>
    <t>INE121A01024</t>
  </si>
  <si>
    <t>100055</t>
  </si>
  <si>
    <t>The Federal Bank Ltd.</t>
  </si>
  <si>
    <t>INE171A01029</t>
  </si>
  <si>
    <t>100067</t>
  </si>
  <si>
    <t>DCB Bank Ltd.</t>
  </si>
  <si>
    <t>INE503A01015</t>
  </si>
  <si>
    <t>100325</t>
  </si>
  <si>
    <t>Bajaj Holdings &amp; Investment Ltd.</t>
  </si>
  <si>
    <t>INE118A01012</t>
  </si>
  <si>
    <t>100013</t>
  </si>
  <si>
    <t>IndusInd Bank Ltd.</t>
  </si>
  <si>
    <t>INE095A01012</t>
  </si>
  <si>
    <t>100231</t>
  </si>
  <si>
    <t>Muthoot Finance Ltd.</t>
  </si>
  <si>
    <t>INE414G01012</t>
  </si>
  <si>
    <t>100941</t>
  </si>
  <si>
    <t>CSB Bank Ltd.</t>
  </si>
  <si>
    <t>INE679A01013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</si>
  <si>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</si>
  <si>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</si>
  <si>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</si>
  <si>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</si>
  <si>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</si>
  <si>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</si>
  <si>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</si>
  <si>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</si>
  <si>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</si>
  <si>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</si>
  <si>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</si>
  <si>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</si>
  <si>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</si>
  <si>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</si>
  <si>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</si>
  <si>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</si>
  <si>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</si>
  <si>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</si>
  <si>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</si>
  <si>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</si>
  <si>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</si>
  <si>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</si>
  <si>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</si>
  <si>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</si>
  <si>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</si>
  <si>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</si>
  <si>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</si>
  <si>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</si>
  <si>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</si>
  <si>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</si>
  <si>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</si>
  <si>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</si>
  <si>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</si>
  <si>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</si>
  <si>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</si>
  <si>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</si>
  <si>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</si>
  <si>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</si>
  <si>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</si>
  <si>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November 30, 2022 : 39.52)</t>
  </si>
  <si>
    <t>Taurus Banking &amp; Financial Services Fund - Direct Plan Growth Option</t>
  </si>
  <si>
    <t>NAV [Rs.] Per Unit (as on November 30, 2022 : 43.29)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</si>
</sst>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160867</xdr:colOff>
      <xdr:row>0</xdr:row>
      <xdr:rowOff>304800</xdr:rowOff>
    </xdr:from>
    <xdr:to>
      <xdr:col>5</xdr:col>
      <xdr:colOff>24046</xdr:colOff>
      <xdr:row>0</xdr:row>
      <xdr:rowOff>2228088</xdr:rowOff>
    </xdr:to>
    <xdr:pic>
      <xdr:nvPicPr>
        <xdr:cNvPr id="2" name="Picture 1" descr="banking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0867" y="304800"/>
          <a:ext cx="6992112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November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78"/>
  <sheetViews>
    <sheetView showGridLines="0" tabSelected="1" zoomScale="90" zoomScaleNormal="90" workbookViewId="0">
      <selection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98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44895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11200</v>
      </c>
      <c r="H10" s="32">
        <v>180.18</v>
      </c>
      <c r="I10" s="32">
        <v>18.71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8221</v>
      </c>
      <c r="H11" s="32">
        <v>159.94999999999999</v>
      </c>
      <c r="I11" s="32">
        <v>16.61</v>
      </c>
      <c r="J11" s="33"/>
    </row>
    <row r="12" spans="1:54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15000</v>
      </c>
      <c r="H12" s="32">
        <v>143.01</v>
      </c>
      <c r="I12" s="32">
        <v>14.85</v>
      </c>
      <c r="J12" s="33"/>
    </row>
    <row r="13" spans="1:54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14000</v>
      </c>
      <c r="H13" s="32">
        <v>84.35</v>
      </c>
      <c r="I13" s="32">
        <v>8.76</v>
      </c>
      <c r="J13" s="33"/>
    </row>
    <row r="14" spans="1:54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126000</v>
      </c>
      <c r="H14" s="32">
        <v>64.64</v>
      </c>
      <c r="I14" s="32">
        <v>6.71</v>
      </c>
      <c r="J14" s="33"/>
    </row>
    <row r="15" spans="1:54">
      <c r="B15" s="1" t="s">
        <v>31</v>
      </c>
      <c r="C15" s="20" t="s">
        <v>32</v>
      </c>
      <c r="D15" s="29" t="s">
        <v>33</v>
      </c>
      <c r="E15" s="30"/>
      <c r="F15" s="30" t="s">
        <v>18</v>
      </c>
      <c r="G15" s="31">
        <v>6750</v>
      </c>
      <c r="H15" s="32">
        <v>60.85</v>
      </c>
      <c r="I15" s="32">
        <v>6.32</v>
      </c>
      <c r="J15" s="33"/>
    </row>
    <row r="16" spans="1:54">
      <c r="B16" s="1" t="s">
        <v>34</v>
      </c>
      <c r="C16" s="20" t="s">
        <v>35</v>
      </c>
      <c r="D16" s="29" t="s">
        <v>36</v>
      </c>
      <c r="E16" s="30"/>
      <c r="F16" s="30" t="s">
        <v>18</v>
      </c>
      <c r="G16" s="31">
        <v>65000</v>
      </c>
      <c r="H16" s="32">
        <v>53.07</v>
      </c>
      <c r="I16" s="32">
        <v>5.51</v>
      </c>
      <c r="J16" s="33"/>
    </row>
    <row r="17" spans="2:10">
      <c r="B17" s="1" t="s">
        <v>37</v>
      </c>
      <c r="C17" s="20" t="s">
        <v>38</v>
      </c>
      <c r="D17" s="29" t="s">
        <v>39</v>
      </c>
      <c r="E17" s="30"/>
      <c r="F17" s="30" t="s">
        <v>18</v>
      </c>
      <c r="G17" s="31">
        <v>20000</v>
      </c>
      <c r="H17" s="32">
        <v>33.24</v>
      </c>
      <c r="I17" s="32">
        <v>3.45</v>
      </c>
      <c r="J17" s="33"/>
    </row>
    <row r="18" spans="2:10">
      <c r="B18" s="1" t="s">
        <v>40</v>
      </c>
      <c r="C18" s="20" t="s">
        <v>41</v>
      </c>
      <c r="D18" s="29" t="s">
        <v>42</v>
      </c>
      <c r="E18" s="30"/>
      <c r="F18" s="30" t="s">
        <v>18</v>
      </c>
      <c r="G18" s="31">
        <v>8546</v>
      </c>
      <c r="H18" s="32">
        <v>26.9</v>
      </c>
      <c r="I18" s="32">
        <v>2.79</v>
      </c>
      <c r="J18" s="33"/>
    </row>
    <row r="19" spans="2:10">
      <c r="B19" s="1" t="s">
        <v>43</v>
      </c>
      <c r="C19" s="20" t="s">
        <v>44</v>
      </c>
      <c r="D19" s="29" t="s">
        <v>45</v>
      </c>
      <c r="E19" s="30"/>
      <c r="F19" s="30" t="s">
        <v>46</v>
      </c>
      <c r="G19" s="31">
        <v>361</v>
      </c>
      <c r="H19" s="32">
        <v>24.27</v>
      </c>
      <c r="I19" s="32">
        <v>2.52</v>
      </c>
      <c r="J19" s="33"/>
    </row>
    <row r="20" spans="2:10">
      <c r="B20" s="1" t="s">
        <v>47</v>
      </c>
      <c r="C20" s="20" t="s">
        <v>48</v>
      </c>
      <c r="D20" s="29" t="s">
        <v>49</v>
      </c>
      <c r="E20" s="30"/>
      <c r="F20" s="30" t="s">
        <v>46</v>
      </c>
      <c r="G20" s="31">
        <v>4726</v>
      </c>
      <c r="H20" s="32">
        <v>22.07</v>
      </c>
      <c r="I20" s="32">
        <v>2.29</v>
      </c>
      <c r="J20" s="33"/>
    </row>
    <row r="21" spans="2:10">
      <c r="B21" s="1" t="s">
        <v>50</v>
      </c>
      <c r="C21" s="20" t="s">
        <v>51</v>
      </c>
      <c r="D21" s="29" t="s">
        <v>52</v>
      </c>
      <c r="E21" s="30"/>
      <c r="F21" s="30" t="s">
        <v>46</v>
      </c>
      <c r="G21" s="31">
        <v>3000</v>
      </c>
      <c r="H21" s="32">
        <v>21.5</v>
      </c>
      <c r="I21" s="32">
        <v>2.23</v>
      </c>
      <c r="J21" s="33"/>
    </row>
    <row r="22" spans="2:10">
      <c r="B22" s="1" t="s">
        <v>53</v>
      </c>
      <c r="C22" s="20" t="s">
        <v>54</v>
      </c>
      <c r="D22" s="29" t="s">
        <v>55</v>
      </c>
      <c r="E22" s="30"/>
      <c r="F22" s="30" t="s">
        <v>18</v>
      </c>
      <c r="G22" s="31">
        <v>14103</v>
      </c>
      <c r="H22" s="32">
        <v>18.53</v>
      </c>
      <c r="I22" s="32">
        <v>1.92</v>
      </c>
      <c r="J22" s="33"/>
    </row>
    <row r="23" spans="2:10">
      <c r="B23" s="1" t="s">
        <v>56</v>
      </c>
      <c r="C23" s="20" t="s">
        <v>57</v>
      </c>
      <c r="D23" s="29" t="s">
        <v>58</v>
      </c>
      <c r="E23" s="30"/>
      <c r="F23" s="30" t="s">
        <v>18</v>
      </c>
      <c r="G23" s="31">
        <v>12193</v>
      </c>
      <c r="H23" s="32">
        <v>15.97</v>
      </c>
      <c r="I23" s="32">
        <v>1.66</v>
      </c>
      <c r="J23" s="33"/>
    </row>
    <row r="24" spans="2:10">
      <c r="B24" s="1" t="s">
        <v>59</v>
      </c>
      <c r="C24" s="20" t="s">
        <v>60</v>
      </c>
      <c r="D24" s="29" t="s">
        <v>61</v>
      </c>
      <c r="E24" s="30"/>
      <c r="F24" s="30" t="s">
        <v>46</v>
      </c>
      <c r="G24" s="31">
        <v>229</v>
      </c>
      <c r="H24" s="32">
        <v>14.37</v>
      </c>
      <c r="I24" s="32">
        <v>1.49</v>
      </c>
      <c r="J24" s="33"/>
    </row>
    <row r="25" spans="2:10">
      <c r="B25" s="1" t="s">
        <v>62</v>
      </c>
      <c r="C25" s="20" t="s">
        <v>63</v>
      </c>
      <c r="D25" s="29" t="s">
        <v>64</v>
      </c>
      <c r="E25" s="30"/>
      <c r="F25" s="30" t="s">
        <v>18</v>
      </c>
      <c r="G25" s="31">
        <v>1000</v>
      </c>
      <c r="H25" s="32">
        <v>11.67</v>
      </c>
      <c r="I25" s="32">
        <v>1.21</v>
      </c>
      <c r="J25" s="33"/>
    </row>
    <row r="26" spans="2:10">
      <c r="B26" s="1" t="s">
        <v>65</v>
      </c>
      <c r="C26" s="20" t="s">
        <v>66</v>
      </c>
      <c r="D26" s="29" t="s">
        <v>67</v>
      </c>
      <c r="E26" s="30"/>
      <c r="F26" s="30" t="s">
        <v>46</v>
      </c>
      <c r="G26" s="31">
        <v>1000</v>
      </c>
      <c r="H26" s="32">
        <v>10.81</v>
      </c>
      <c r="I26" s="32">
        <v>1.1200000000000001</v>
      </c>
      <c r="J26" s="33"/>
    </row>
    <row r="27" spans="2:10">
      <c r="B27" s="1" t="s">
        <v>68</v>
      </c>
      <c r="C27" s="20" t="s">
        <v>69</v>
      </c>
      <c r="D27" s="29" t="s">
        <v>70</v>
      </c>
      <c r="E27" s="30"/>
      <c r="F27" s="30" t="s">
        <v>18</v>
      </c>
      <c r="G27" s="31">
        <v>3000</v>
      </c>
      <c r="H27" s="32">
        <v>6.54</v>
      </c>
      <c r="I27" s="32">
        <v>0.68</v>
      </c>
      <c r="J27" s="33"/>
    </row>
    <row r="28" spans="2:10">
      <c r="C28" s="28" t="s">
        <v>71</v>
      </c>
      <c r="D28" s="29"/>
      <c r="E28" s="30"/>
      <c r="F28" s="30"/>
      <c r="G28" s="31"/>
      <c r="H28" s="35">
        <v>951.92</v>
      </c>
      <c r="I28" s="35">
        <v>98.83</v>
      </c>
      <c r="J28" s="33"/>
    </row>
    <row r="29" spans="2:10">
      <c r="C29" s="20"/>
      <c r="D29" s="29"/>
      <c r="E29" s="30"/>
      <c r="F29" s="30"/>
      <c r="G29" s="31"/>
      <c r="H29" s="32"/>
      <c r="I29" s="32"/>
      <c r="J29" s="33"/>
    </row>
    <row r="30" spans="2:10">
      <c r="C30" s="28" t="s">
        <v>72</v>
      </c>
      <c r="D30" s="29"/>
      <c r="E30" s="30"/>
      <c r="F30" s="30"/>
      <c r="G30" s="31"/>
      <c r="H30" s="32" t="s">
        <v>73</v>
      </c>
      <c r="I30" s="32" t="s">
        <v>73</v>
      </c>
      <c r="J30" s="33"/>
    </row>
    <row r="31" spans="2:10">
      <c r="C31" s="20"/>
      <c r="D31" s="29"/>
      <c r="E31" s="30"/>
      <c r="F31" s="30"/>
      <c r="G31" s="31"/>
      <c r="H31" s="32"/>
      <c r="I31" s="32"/>
      <c r="J31" s="33"/>
    </row>
    <row r="32" spans="2:10">
      <c r="C32" s="28" t="s">
        <v>74</v>
      </c>
      <c r="D32" s="29"/>
      <c r="E32" s="30"/>
      <c r="F32" s="30"/>
      <c r="G32" s="31"/>
      <c r="H32" s="32" t="s">
        <v>73</v>
      </c>
      <c r="I32" s="32" t="s">
        <v>73</v>
      </c>
      <c r="J32" s="33"/>
    </row>
    <row r="33" spans="3:10">
      <c r="C33" s="20"/>
      <c r="D33" s="29"/>
      <c r="E33" s="30"/>
      <c r="F33" s="30"/>
      <c r="G33" s="31"/>
      <c r="H33" s="32"/>
      <c r="I33" s="32"/>
      <c r="J33" s="33"/>
    </row>
    <row r="34" spans="3:10">
      <c r="C34" s="28" t="s">
        <v>75</v>
      </c>
      <c r="D34" s="29"/>
      <c r="E34" s="30"/>
      <c r="F34" s="30"/>
      <c r="G34" s="31"/>
      <c r="H34" s="32"/>
      <c r="I34" s="32"/>
      <c r="J34" s="33"/>
    </row>
    <row r="35" spans="3:10">
      <c r="C35" s="20"/>
      <c r="D35" s="29"/>
      <c r="E35" s="30"/>
      <c r="F35" s="30"/>
      <c r="G35" s="31"/>
      <c r="H35" s="32"/>
      <c r="I35" s="32"/>
      <c r="J35" s="33"/>
    </row>
    <row r="36" spans="3:10">
      <c r="C36" s="28" t="s">
        <v>76</v>
      </c>
      <c r="D36" s="29"/>
      <c r="E36" s="30"/>
      <c r="F36" s="30"/>
      <c r="G36" s="31"/>
      <c r="H36" s="32" t="s">
        <v>73</v>
      </c>
      <c r="I36" s="32" t="s">
        <v>73</v>
      </c>
      <c r="J36" s="33"/>
    </row>
    <row r="37" spans="3:10">
      <c r="C37" s="20"/>
      <c r="D37" s="29"/>
      <c r="E37" s="30"/>
      <c r="F37" s="30"/>
      <c r="G37" s="31"/>
      <c r="H37" s="32"/>
      <c r="I37" s="32"/>
      <c r="J37" s="33"/>
    </row>
    <row r="38" spans="3:10">
      <c r="C38" s="28" t="s">
        <v>77</v>
      </c>
      <c r="D38" s="29"/>
      <c r="E38" s="30"/>
      <c r="F38" s="30"/>
      <c r="G38" s="31"/>
      <c r="H38" s="32" t="s">
        <v>73</v>
      </c>
      <c r="I38" s="32" t="s">
        <v>73</v>
      </c>
      <c r="J38" s="33"/>
    </row>
    <row r="39" spans="3:10">
      <c r="C39" s="20"/>
      <c r="D39" s="29"/>
      <c r="E39" s="30"/>
      <c r="F39" s="30"/>
      <c r="G39" s="31"/>
      <c r="H39" s="32"/>
      <c r="I39" s="32"/>
      <c r="J39" s="33"/>
    </row>
    <row r="40" spans="3:10">
      <c r="C40" s="28" t="s">
        <v>78</v>
      </c>
      <c r="D40" s="29"/>
      <c r="E40" s="30"/>
      <c r="F40" s="30"/>
      <c r="G40" s="31"/>
      <c r="H40" s="32" t="s">
        <v>73</v>
      </c>
      <c r="I40" s="32" t="s">
        <v>73</v>
      </c>
      <c r="J40" s="33"/>
    </row>
    <row r="41" spans="3:10">
      <c r="C41" s="20"/>
      <c r="D41" s="29"/>
      <c r="E41" s="30"/>
      <c r="F41" s="30"/>
      <c r="G41" s="31"/>
      <c r="H41" s="32"/>
      <c r="I41" s="32"/>
      <c r="J41" s="33"/>
    </row>
    <row r="42" spans="3:10">
      <c r="C42" s="28" t="s">
        <v>79</v>
      </c>
      <c r="D42" s="29"/>
      <c r="E42" s="30"/>
      <c r="F42" s="30"/>
      <c r="G42" s="31"/>
      <c r="H42" s="32" t="s">
        <v>73</v>
      </c>
      <c r="I42" s="32" t="s">
        <v>73</v>
      </c>
      <c r="J42" s="33"/>
    </row>
    <row r="43" spans="3:10">
      <c r="C43" s="20"/>
      <c r="D43" s="29"/>
      <c r="E43" s="30"/>
      <c r="F43" s="30"/>
      <c r="G43" s="31"/>
      <c r="H43" s="32"/>
      <c r="I43" s="32"/>
      <c r="J43" s="33"/>
    </row>
    <row r="44" spans="3:10">
      <c r="C44" s="28" t="s">
        <v>80</v>
      </c>
      <c r="D44" s="29"/>
      <c r="E44" s="30"/>
      <c r="F44" s="30"/>
      <c r="G44" s="31"/>
      <c r="H44" s="32" t="s">
        <v>73</v>
      </c>
      <c r="I44" s="32" t="s">
        <v>73</v>
      </c>
      <c r="J44" s="33"/>
    </row>
    <row r="45" spans="3:10">
      <c r="C45" s="20"/>
      <c r="D45" s="29"/>
      <c r="E45" s="30"/>
      <c r="F45" s="30"/>
      <c r="G45" s="31"/>
      <c r="H45" s="32"/>
      <c r="I45" s="32"/>
      <c r="J45" s="33"/>
    </row>
    <row r="46" spans="3:10">
      <c r="C46" s="28" t="s">
        <v>81</v>
      </c>
      <c r="D46" s="29"/>
      <c r="E46" s="30"/>
      <c r="F46" s="30"/>
      <c r="G46" s="31"/>
      <c r="H46" s="32"/>
      <c r="I46" s="32"/>
      <c r="J46" s="33"/>
    </row>
    <row r="47" spans="3:10">
      <c r="C47" s="20"/>
      <c r="D47" s="29"/>
      <c r="E47" s="30"/>
      <c r="F47" s="30"/>
      <c r="G47" s="31"/>
      <c r="H47" s="32"/>
      <c r="I47" s="32"/>
      <c r="J47" s="33"/>
    </row>
    <row r="48" spans="3:10">
      <c r="C48" s="28" t="s">
        <v>82</v>
      </c>
      <c r="D48" s="29"/>
      <c r="E48" s="30"/>
      <c r="F48" s="30"/>
      <c r="G48" s="31"/>
      <c r="H48" s="32" t="s">
        <v>73</v>
      </c>
      <c r="I48" s="32" t="s">
        <v>73</v>
      </c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83</v>
      </c>
      <c r="D50" s="29"/>
      <c r="E50" s="30"/>
      <c r="F50" s="30"/>
      <c r="G50" s="31"/>
      <c r="H50" s="32" t="s">
        <v>73</v>
      </c>
      <c r="I50" s="32" t="s">
        <v>73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84</v>
      </c>
      <c r="D52" s="29"/>
      <c r="E52" s="30"/>
      <c r="F52" s="30"/>
      <c r="G52" s="31"/>
      <c r="H52" s="32" t="s">
        <v>73</v>
      </c>
      <c r="I52" s="32" t="s">
        <v>73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85</v>
      </c>
      <c r="D54" s="29"/>
      <c r="E54" s="30"/>
      <c r="F54" s="30"/>
      <c r="G54" s="31"/>
      <c r="H54" s="32" t="s">
        <v>73</v>
      </c>
      <c r="I54" s="32" t="s">
        <v>73</v>
      </c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86</v>
      </c>
      <c r="D56" s="29"/>
      <c r="E56" s="30"/>
      <c r="F56" s="30"/>
      <c r="G56" s="31"/>
      <c r="H56" s="32"/>
      <c r="I56" s="32"/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87</v>
      </c>
      <c r="D58" s="29"/>
      <c r="E58" s="30"/>
      <c r="F58" s="30"/>
      <c r="G58" s="31"/>
      <c r="H58" s="32" t="s">
        <v>73</v>
      </c>
      <c r="I58" s="32" t="s">
        <v>73</v>
      </c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88</v>
      </c>
      <c r="D60" s="29"/>
      <c r="E60" s="30"/>
      <c r="F60" s="30"/>
      <c r="G60" s="31"/>
      <c r="H60" s="32" t="s">
        <v>73</v>
      </c>
      <c r="I60" s="32" t="s">
        <v>73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89</v>
      </c>
      <c r="D62" s="29"/>
      <c r="E62" s="30"/>
      <c r="F62" s="30"/>
      <c r="G62" s="31"/>
      <c r="H62" s="32" t="s">
        <v>73</v>
      </c>
      <c r="I62" s="32" t="s">
        <v>73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90</v>
      </c>
      <c r="D64" s="29"/>
      <c r="E64" s="30"/>
      <c r="F64" s="30"/>
      <c r="G64" s="31"/>
      <c r="H64" s="32" t="s">
        <v>73</v>
      </c>
      <c r="I64" s="32" t="s">
        <v>73</v>
      </c>
      <c r="J64" s="33"/>
    </row>
    <row r="65" spans="1:10">
      <c r="C65" s="20"/>
      <c r="D65" s="29"/>
      <c r="E65" s="30"/>
      <c r="F65" s="30"/>
      <c r="G65" s="31"/>
      <c r="H65" s="32"/>
      <c r="I65" s="32"/>
      <c r="J65" s="33"/>
    </row>
    <row r="66" spans="1:10">
      <c r="C66" s="28" t="s">
        <v>91</v>
      </c>
      <c r="D66" s="29"/>
      <c r="E66" s="30"/>
      <c r="F66" s="30"/>
      <c r="G66" s="31"/>
      <c r="H66" s="32" t="s">
        <v>73</v>
      </c>
      <c r="I66" s="32" t="s">
        <v>73</v>
      </c>
      <c r="J66" s="33"/>
    </row>
    <row r="67" spans="1:10">
      <c r="C67" s="20"/>
      <c r="D67" s="29"/>
      <c r="E67" s="30"/>
      <c r="F67" s="30"/>
      <c r="G67" s="31"/>
      <c r="H67" s="32"/>
      <c r="I67" s="32"/>
      <c r="J67" s="33"/>
    </row>
    <row r="68" spans="1:10">
      <c r="A68" s="26"/>
      <c r="B68" s="27"/>
      <c r="C68" s="28" t="s">
        <v>92</v>
      </c>
      <c r="D68" s="29"/>
      <c r="E68" s="30"/>
      <c r="F68" s="30"/>
      <c r="G68" s="31"/>
      <c r="H68" s="32"/>
      <c r="I68" s="32"/>
      <c r="J68" s="33"/>
    </row>
    <row r="69" spans="1:10">
      <c r="B69" s="1"/>
      <c r="C69" s="20" t="s">
        <v>93</v>
      </c>
      <c r="D69" s="29"/>
      <c r="E69" s="30"/>
      <c r="F69" s="30"/>
      <c r="G69" s="31"/>
      <c r="H69" s="32">
        <v>11.03</v>
      </c>
      <c r="I69" s="32">
        <v>1.17</v>
      </c>
      <c r="J69" s="33"/>
    </row>
    <row r="70" spans="1:10">
      <c r="C70" s="28" t="s">
        <v>71</v>
      </c>
      <c r="D70" s="29"/>
      <c r="E70" s="30"/>
      <c r="F70" s="30"/>
      <c r="G70" s="31"/>
      <c r="H70" s="35">
        <v>11.03</v>
      </c>
      <c r="I70" s="35">
        <v>1.17</v>
      </c>
      <c r="J70" s="33"/>
    </row>
    <row r="71" spans="1:10">
      <c r="C71" s="20"/>
      <c r="D71" s="29"/>
      <c r="E71" s="30"/>
      <c r="F71" s="30"/>
      <c r="G71" s="31"/>
      <c r="H71" s="32"/>
      <c r="I71" s="32"/>
      <c r="J71" s="33"/>
    </row>
    <row r="72" spans="1:10" ht="13.8" thickBot="1">
      <c r="C72" s="36" t="s">
        <v>94</v>
      </c>
      <c r="D72" s="37"/>
      <c r="E72" s="38"/>
      <c r="F72" s="39"/>
      <c r="G72" s="40"/>
      <c r="H72" s="41">
        <v>962.95</v>
      </c>
      <c r="I72" s="41">
        <f>SUMIFS(I:I,C:C,"Total")</f>
        <v>100</v>
      </c>
      <c r="J72" s="42"/>
    </row>
    <row r="75" spans="1:10">
      <c r="C75" s="11" t="s">
        <v>95</v>
      </c>
    </row>
    <row r="76" spans="1:10">
      <c r="C76" s="2" t="s">
        <v>96</v>
      </c>
    </row>
    <row r="77" spans="1:10">
      <c r="C77" s="2" t="s">
        <v>97</v>
      </c>
    </row>
    <row r="78" spans="1:10">
      <c r="C78" s="2" t="s">
        <v>98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B4" sqref="B4:J18"/>
    </sheetView>
  </sheetViews>
  <sheetFormatPr defaultRowHeight="14.4"/>
  <cols>
    <col min="2" max="2" width="47.33203125" customWidth="1"/>
    <col min="4" max="4" width="11" bestFit="1" customWidth="1"/>
    <col min="6" max="6" width="11" bestFit="1" customWidth="1"/>
    <col min="8" max="8" width="11" bestFit="1" customWidth="1"/>
    <col min="10" max="10" width="11" bestFit="1" customWidth="1"/>
  </cols>
  <sheetData>
    <row r="4" spans="2:10" ht="15.6">
      <c r="B4" s="43" t="s">
        <v>99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100</v>
      </c>
      <c r="C5" s="46" t="s">
        <v>101</v>
      </c>
      <c r="D5" s="46"/>
      <c r="E5" s="46" t="s">
        <v>102</v>
      </c>
      <c r="F5" s="46"/>
      <c r="G5" s="46" t="s">
        <v>103</v>
      </c>
      <c r="H5" s="46"/>
      <c r="I5" s="46" t="s">
        <v>104</v>
      </c>
      <c r="J5" s="46"/>
    </row>
    <row r="6" spans="2:10" ht="66">
      <c r="B6" s="47"/>
      <c r="C6" s="48" t="s">
        <v>105</v>
      </c>
      <c r="D6" s="48" t="s">
        <v>106</v>
      </c>
      <c r="E6" s="48" t="s">
        <v>105</v>
      </c>
      <c r="F6" s="48" t="s">
        <v>106</v>
      </c>
      <c r="G6" s="48" t="s">
        <v>105</v>
      </c>
      <c r="H6" s="48" t="s">
        <v>106</v>
      </c>
      <c r="I6" s="48" t="s">
        <v>105</v>
      </c>
      <c r="J6" s="48" t="s">
        <v>106</v>
      </c>
    </row>
    <row r="7" spans="2:10">
      <c r="B7" s="49" t="s">
        <v>107</v>
      </c>
      <c r="C7" s="50">
        <v>16.337945245805141</v>
      </c>
      <c r="D7" s="50">
        <v>11633.794524580515</v>
      </c>
      <c r="E7" s="50">
        <v>11.038601153582972</v>
      </c>
      <c r="F7" s="50">
        <v>13698.440207972271</v>
      </c>
      <c r="G7" s="50">
        <v>12.05775975816168</v>
      </c>
      <c r="H7" s="50">
        <v>17674.418604651164</v>
      </c>
      <c r="I7" s="50">
        <v>13.934414192169676</v>
      </c>
      <c r="J7" s="50">
        <v>39520</v>
      </c>
    </row>
    <row r="8" spans="2:10">
      <c r="B8" s="49" t="s">
        <v>108</v>
      </c>
      <c r="C8" s="50">
        <v>21.89827821165742</v>
      </c>
      <c r="D8" s="50">
        <v>12189.827821165742</v>
      </c>
      <c r="E8" s="50">
        <v>11.266153893309049</v>
      </c>
      <c r="F8" s="50">
        <v>13774.924542311735</v>
      </c>
      <c r="G8" s="50">
        <v>11.889907269663302</v>
      </c>
      <c r="H8" s="50">
        <v>17536.970426432574</v>
      </c>
      <c r="I8" s="50">
        <v>16.582981683982069</v>
      </c>
      <c r="J8" s="50">
        <v>50323.243837542068</v>
      </c>
    </row>
    <row r="9" spans="2:10">
      <c r="B9" s="49" t="s">
        <v>109</v>
      </c>
      <c r="C9" s="50">
        <v>11.931290069610267</v>
      </c>
      <c r="D9" s="50">
        <v>11193.129006961026</v>
      </c>
      <c r="E9" s="50">
        <v>17.224616227246557</v>
      </c>
      <c r="F9" s="50">
        <v>16108.550347465627</v>
      </c>
      <c r="G9" s="50">
        <v>14.315814346076849</v>
      </c>
      <c r="H9" s="50">
        <v>19522.326520255341</v>
      </c>
      <c r="I9" s="50">
        <v>15.142852909133953</v>
      </c>
      <c r="J9" s="50">
        <v>44148.681267299085</v>
      </c>
    </row>
    <row r="10" spans="2:10">
      <c r="B10" s="49" t="s">
        <v>110</v>
      </c>
      <c r="C10" s="51">
        <v>33.97</v>
      </c>
      <c r="D10" s="52"/>
      <c r="E10" s="51">
        <v>28.85</v>
      </c>
      <c r="F10" s="52"/>
      <c r="G10" s="51">
        <v>22.36</v>
      </c>
      <c r="H10" s="52"/>
      <c r="I10" s="51">
        <v>10</v>
      </c>
      <c r="J10" s="52"/>
    </row>
    <row r="12" spans="2:10" ht="15.6">
      <c r="B12" s="43" t="s">
        <v>111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100</v>
      </c>
      <c r="C13" s="46" t="s">
        <v>101</v>
      </c>
      <c r="D13" s="46"/>
      <c r="E13" s="46" t="s">
        <v>102</v>
      </c>
      <c r="F13" s="46"/>
      <c r="G13" s="46" t="s">
        <v>103</v>
      </c>
      <c r="H13" s="46"/>
      <c r="I13" s="46" t="s">
        <v>104</v>
      </c>
      <c r="J13" s="46"/>
    </row>
    <row r="14" spans="2:10" ht="66">
      <c r="B14" s="47"/>
      <c r="C14" s="48" t="s">
        <v>105</v>
      </c>
      <c r="D14" s="48" t="s">
        <v>106</v>
      </c>
      <c r="E14" s="48" t="s">
        <v>105</v>
      </c>
      <c r="F14" s="48" t="s">
        <v>106</v>
      </c>
      <c r="G14" s="48" t="s">
        <v>105</v>
      </c>
      <c r="H14" s="48" t="s">
        <v>106</v>
      </c>
      <c r="I14" s="48" t="s">
        <v>105</v>
      </c>
      <c r="J14" s="48" t="s">
        <v>106</v>
      </c>
    </row>
    <row r="15" spans="2:10">
      <c r="B15" s="49" t="s">
        <v>107</v>
      </c>
      <c r="C15" s="50">
        <v>17.253521126760553</v>
      </c>
      <c r="D15" s="50">
        <v>11725.352112676055</v>
      </c>
      <c r="E15" s="50">
        <v>11.871822836930178</v>
      </c>
      <c r="F15" s="50">
        <v>14009.708737864077</v>
      </c>
      <c r="G15" s="50">
        <v>12.950262910000943</v>
      </c>
      <c r="H15" s="50">
        <v>18389.974511469838</v>
      </c>
      <c r="I15" s="50">
        <v>12.341675833424649</v>
      </c>
      <c r="J15" s="50">
        <v>31714.285714285714</v>
      </c>
    </row>
    <row r="16" spans="2:10">
      <c r="B16" s="49" t="s">
        <v>108</v>
      </c>
      <c r="C16" s="50">
        <v>21.89827821165742</v>
      </c>
      <c r="D16" s="50">
        <v>12189.827821165742</v>
      </c>
      <c r="E16" s="50">
        <v>11.266153893309049</v>
      </c>
      <c r="F16" s="50">
        <v>13774.924542311735</v>
      </c>
      <c r="G16" s="50">
        <v>11.889907269663302</v>
      </c>
      <c r="H16" s="50">
        <v>17536.970426432574</v>
      </c>
      <c r="I16" s="50">
        <v>13.796953322595783</v>
      </c>
      <c r="J16" s="50">
        <v>36032.373612163836</v>
      </c>
    </row>
    <row r="17" spans="2:10">
      <c r="B17" s="49" t="s">
        <v>109</v>
      </c>
      <c r="C17" s="50">
        <v>11.931290069610267</v>
      </c>
      <c r="D17" s="50">
        <v>11193.129006961026</v>
      </c>
      <c r="E17" s="50">
        <v>17.224616227246557</v>
      </c>
      <c r="F17" s="50">
        <v>16108.550347465627</v>
      </c>
      <c r="G17" s="50">
        <v>14.315814346076849</v>
      </c>
      <c r="H17" s="50">
        <v>19522.326520255341</v>
      </c>
      <c r="I17" s="50">
        <v>13.593571138062298</v>
      </c>
      <c r="J17" s="50">
        <v>35398.748403708574</v>
      </c>
    </row>
    <row r="18" spans="2:10">
      <c r="B18" s="49" t="s">
        <v>112</v>
      </c>
      <c r="C18" s="51">
        <v>36.92</v>
      </c>
      <c r="D18" s="52"/>
      <c r="E18" s="51">
        <v>30.9</v>
      </c>
      <c r="F18" s="52"/>
      <c r="G18" s="51">
        <v>23.54</v>
      </c>
      <c r="H18" s="52"/>
      <c r="I18" s="51">
        <v>13.65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 - Risk-O-Meter &amp; Portfolio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2022-12-01T10:12:25Z</dcterms:created>
  <dcterms:modified xsi:type="dcterms:W3CDTF">2022-12-09T06:19:33Z</dcterms:modified>
</cp:coreProperties>
</file>