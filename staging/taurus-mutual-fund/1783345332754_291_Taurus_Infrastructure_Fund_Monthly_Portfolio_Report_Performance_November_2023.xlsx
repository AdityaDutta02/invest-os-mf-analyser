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DEC 2023\Portfolio\OPS\TMF_Monthly_Portfolio_Report_Nov 23\"/>
    </mc:Choice>
  </mc:AlternateContent>
  <xr:revisionPtr revIDLastSave="0" documentId="13_ncr:1_{B2019373-B9CC-4266-933E-DE1742559933}" xr6:coauthVersionLast="47" xr6:coauthVersionMax="47" xr10:uidLastSave="{00000000-0000-0000-0000-000000000000}"/>
  <bookViews>
    <workbookView xWindow="-120" yWindow="-120" windowWidth="20730" windowHeight="11160" xr2:uid="{47275FD1-9205-44AD-965A-73329087CC5B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TISF!$C$8:$C$36</definedName>
    <definedName name="XDO_?FINAL_ISIN?7?">TISF!$D$10:$D$36</definedName>
    <definedName name="XDO_?FINAL_ISIN?8?">TISF!$D$10:$D$78</definedName>
    <definedName name="XDO_?FINAL_MV?7?">TISF!$H$10:$H$36</definedName>
    <definedName name="XDO_?FINAL_MV?8?">TISF!$H$10:$H$78</definedName>
    <definedName name="XDO_?FINAL_NAME?7?">TISF!$C$10:$C$36</definedName>
    <definedName name="XDO_?FINAL_NAME?8?">TISF!$C$10:$C$78</definedName>
    <definedName name="XDO_?FINAL_PER_NET?7?">TISF!$I$10:$I$36</definedName>
    <definedName name="XDO_?FINAL_PER_NET?8?">TISF!$I$10:$I$78</definedName>
    <definedName name="XDO_?FINAL_QUANTITE?7?">TISF!$G$10:$G$36</definedName>
    <definedName name="XDO_?FINAL_QUANTITE?8?">TISF!$G$10:$G$78</definedName>
    <definedName name="XDO_?IND_01?7?">TISF!$F$10:$F$36</definedName>
    <definedName name="XDO_?IND_01?8?">TISF!$F$10:$F$78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TISF!$C$2:$C$36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TISF!$B$10:$B$36</definedName>
    <definedName name="XDO_?NOVAL?8?">TISF!$B$10:$B$78</definedName>
    <definedName name="XDO_?NPTF?4?">TISF!$D$2:$D$36</definedName>
    <definedName name="XDO_?RATING?7?">TISF!$E$10:$E$36</definedName>
    <definedName name="XDO_?RATING?8?">TISF!$E$10:$E$78</definedName>
    <definedName name="XDO_?REMARKS?7?">TISF!$J$10:$J$36</definedName>
    <definedName name="XDO_?REMARKS?8?">TISF!$J$10:$J$78</definedName>
    <definedName name="XDO_?TITL?4?">TISF!$A$8:$A$36</definedName>
    <definedName name="XDO_GROUP_?G_2?4?">TISF!$2:$81</definedName>
    <definedName name="XDO_GROUP_?G_3?4?">TISF!$8:$80</definedName>
    <definedName name="XDO_GROUP_?G_4?7?">TISF!$B$10:$IV$36</definedName>
    <definedName name="XDO_GROUP_?G_4?8?">TISF!$B$78:$IV$78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 l="1"/>
</calcChain>
</file>

<file path=xl/sharedStrings.xml><?xml version="1.0" encoding="utf-8"?>
<sst xmlns="http://schemas.openxmlformats.org/spreadsheetml/2006/main" count="220" uniqueCount="159">
  <si>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</si>
  <si>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</si>
  <si>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</si>
  <si>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</si>
  <si>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</si>
  <si>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</si>
  <si>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</si>
  <si>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</si>
  <si>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</si>
  <si>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</si>
  <si>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</si>
  <si>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</si>
  <si>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</si>
  <si>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</si>
  <si>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</si>
  <si>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</si>
  <si>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</si>
  <si>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</si>
  <si>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</si>
  <si>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100281</t>
  </si>
  <si>
    <t>Century Textiles &amp; Industries Ltd.</t>
  </si>
  <si>
    <t>INE055A01016</t>
  </si>
  <si>
    <t>Paper, Forest &amp; Jute Products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</si>
  <si>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</si>
  <si>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</si>
  <si>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</si>
  <si>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</si>
  <si>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</si>
  <si>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</si>
  <si>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</si>
  <si>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</si>
  <si>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100181</t>
  </si>
  <si>
    <t>NTPC Ltd.</t>
  </si>
  <si>
    <t>INE733E01010</t>
  </si>
  <si>
    <t>Power</t>
  </si>
  <si>
    <t>100006</t>
  </si>
  <si>
    <t>HDFC Bank Ltd.</t>
  </si>
  <si>
    <t>INE040A01034</t>
  </si>
  <si>
    <t>Banks</t>
  </si>
  <si>
    <t>101883</t>
  </si>
  <si>
    <t>Anant Raj Ltd.</t>
  </si>
  <si>
    <t>INE242C01024</t>
  </si>
  <si>
    <t>Realty</t>
  </si>
  <si>
    <t>100752</t>
  </si>
  <si>
    <t>Praj Industries Ltd.</t>
  </si>
  <si>
    <t>INE074A01025</t>
  </si>
  <si>
    <t>Industrial Manufacturing</t>
  </si>
  <si>
    <t>100035</t>
  </si>
  <si>
    <t>NMDC Ltd.</t>
  </si>
  <si>
    <t>INE584A01023</t>
  </si>
  <si>
    <t>Minerals &amp; Mining</t>
  </si>
  <si>
    <t>100302</t>
  </si>
  <si>
    <t>DLF Ltd.</t>
  </si>
  <si>
    <t>INE271C01023</t>
  </si>
  <si>
    <t>101718</t>
  </si>
  <si>
    <t>Faze Three Ltd.</t>
  </si>
  <si>
    <t>INE963C01033</t>
  </si>
  <si>
    <t>Textiles &amp; Apparels</t>
  </si>
  <si>
    <t>100082</t>
  </si>
  <si>
    <t>Ultratech Cement Ltd.</t>
  </si>
  <si>
    <t>INE481G01011</t>
  </si>
  <si>
    <t>Cement &amp; Cement Products</t>
  </si>
  <si>
    <t>101348</t>
  </si>
  <si>
    <t>Ami Organics Ltd.</t>
  </si>
  <si>
    <t>INE00FF01017</t>
  </si>
  <si>
    <t>Pharmaceuticals &amp; Biotechnology</t>
  </si>
  <si>
    <t>100719</t>
  </si>
  <si>
    <t>Mayur Uniquoters Ltd.</t>
  </si>
  <si>
    <t>INE040D01038</t>
  </si>
  <si>
    <t>Consumer Durables</t>
  </si>
  <si>
    <t>101800</t>
  </si>
  <si>
    <t>Hindware Home Innovation Ltd.</t>
  </si>
  <si>
    <t>INE05AN01011</t>
  </si>
  <si>
    <t>100184</t>
  </si>
  <si>
    <t>Tata Steel Ltd.</t>
  </si>
  <si>
    <t>INE081A01020</t>
  </si>
  <si>
    <t>Ferrous Metals</t>
  </si>
  <si>
    <t>100090</t>
  </si>
  <si>
    <t>Bharat Forge Ltd.</t>
  </si>
  <si>
    <t>INE465A01025</t>
  </si>
  <si>
    <t>Industrial Products</t>
  </si>
  <si>
    <t>100258</t>
  </si>
  <si>
    <t>Arvind Ltd.</t>
  </si>
  <si>
    <t>INE034A01011</t>
  </si>
  <si>
    <t>100177</t>
  </si>
  <si>
    <t>Grasim Industries Ltd.</t>
  </si>
  <si>
    <t>INE047A01021</t>
  </si>
  <si>
    <t>100018</t>
  </si>
  <si>
    <t>Tata Communications Ltd.</t>
  </si>
  <si>
    <t>INE151A01013</t>
  </si>
  <si>
    <t>100843</t>
  </si>
  <si>
    <t>Dalmia Bharat Ltd.</t>
  </si>
  <si>
    <t>INE00R701025</t>
  </si>
  <si>
    <t>100180</t>
  </si>
  <si>
    <t>Hindalco Industries Ltd.</t>
  </si>
  <si>
    <t>INE038A01020</t>
  </si>
  <si>
    <t>Non - Ferrous Metals</t>
  </si>
  <si>
    <t>100263</t>
  </si>
  <si>
    <t>BEML Ltd.</t>
  </si>
  <si>
    <t>INE258A01016</t>
  </si>
  <si>
    <t>Agricultural, Commercial &amp; Construction Vehicles</t>
  </si>
  <si>
    <t>100466</t>
  </si>
  <si>
    <t>Igarashi Motors India Ltd.</t>
  </si>
  <si>
    <t>INE188B01013</t>
  </si>
  <si>
    <t>Auto Components</t>
  </si>
  <si>
    <t>100324</t>
  </si>
  <si>
    <t>NBCC (India) Ltd.</t>
  </si>
  <si>
    <t>INE095N01031</t>
  </si>
  <si>
    <t>100232</t>
  </si>
  <si>
    <t>Bharat Bijlee Ltd.</t>
  </si>
  <si>
    <t>INE464A01028</t>
  </si>
  <si>
    <t>Electrical Equipment</t>
  </si>
  <si>
    <t>101848</t>
  </si>
  <si>
    <t>Shipping Corporation of India Land and Assets Ltd.</t>
  </si>
  <si>
    <t>INE0PB301013</t>
  </si>
  <si>
    <t>Transport Services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</si>
  <si>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</si>
  <si>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</si>
  <si>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</si>
  <si>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</si>
  <si>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</si>
  <si>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</si>
  <si>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</si>
  <si>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</si>
  <si>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</si>
  <si>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</si>
  <si>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</si>
  <si>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</si>
  <si>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</si>
  <si>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</si>
  <si>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</si>
  <si>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</si>
  <si>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</si>
  <si>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</si>
  <si>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</si>
  <si>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</si>
  <si>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</si>
  <si>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</si>
  <si>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</si>
  <si>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</si>
  <si>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</si>
  <si>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</si>
  <si>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</si>
  <si>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</si>
  <si>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</si>
  <si>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</si>
  <si>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</si>
  <si>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</si>
  <si>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</si>
  <si>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</si>
  <si>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</si>
  <si>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</si>
  <si>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</si>
  <si>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</si>
  <si>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</si>
  <si>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</si>
  <si>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November 30, 2023 : 52.92)</t>
  </si>
  <si>
    <t>Taurus Infrastructure Fund - Direct Plan Growth Option</t>
  </si>
  <si>
    <t>NAV [Rs.] Per Unit (as on November 30, 2023 : 56.35)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</si>
</sst>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508BE8D9-EFEE-4D0D-8360-18CB24A328E7}"/>
    <cellStyle name="Hyperlink" xfId="2" builtinId="8"/>
    <cellStyle name="Normal" xfId="0" builtinId="0"/>
    <cellStyle name="Normal 2" xfId="4" xr:uid="{627472C5-AF4E-4233-BC91-97EDDE54FA51}"/>
    <cellStyle name="Style 1" xfId="3" xr:uid="{DC49DE8B-11F5-488E-92FD-3148CC6878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1830917</xdr:rowOff>
    </xdr:to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9B1EB6EF-6803-44E8-A876-8578D3DBD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30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Nov%2023\Client%20Report\TMF_Monthly_Portfolio_Report_Nov%2023.xls" TargetMode="External"/><Relationship Id="rId1" Type="http://schemas.openxmlformats.org/officeDocument/2006/relationships/externalLinkPath" Target="TMF_Monthly_Portfolio_Report_Nov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EFC6-3E3F-4BF5-8ED9-72AF363C5D86}">
  <dimension ref="A1:BB8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3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45260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49.71</v>
      </c>
      <c r="I10" s="32">
        <v>6.98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3350</v>
      </c>
      <c r="H11" s="32">
        <v>42.29</v>
      </c>
      <c r="I11" s="32">
        <v>5.94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1300</v>
      </c>
      <c r="H12" s="32">
        <v>40.450000000000003</v>
      </c>
      <c r="I12" s="32">
        <v>5.68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1598</v>
      </c>
      <c r="H13" s="32">
        <v>37.97</v>
      </c>
      <c r="I13" s="32">
        <v>5.33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13800</v>
      </c>
      <c r="H14" s="32">
        <v>36.06</v>
      </c>
      <c r="I14" s="32">
        <v>5.0599999999999996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2225</v>
      </c>
      <c r="H15" s="32">
        <v>34.69</v>
      </c>
      <c r="I15" s="32">
        <v>4.87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12000</v>
      </c>
      <c r="H16" s="32">
        <v>32.19</v>
      </c>
      <c r="I16" s="32">
        <v>4.5199999999999996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5000</v>
      </c>
      <c r="H17" s="32">
        <v>32.17</v>
      </c>
      <c r="I17" s="32">
        <v>4.5199999999999996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16500</v>
      </c>
      <c r="H18" s="32">
        <v>29.93</v>
      </c>
      <c r="I18" s="32">
        <v>4.2</v>
      </c>
      <c r="J18" s="33"/>
    </row>
    <row r="19" spans="2:10" x14ac:dyDescent="0.25">
      <c r="B19" s="1" t="s">
        <v>51</v>
      </c>
      <c r="C19" s="20" t="s">
        <v>52</v>
      </c>
      <c r="D19" s="29" t="s">
        <v>53</v>
      </c>
      <c r="E19" s="30"/>
      <c r="F19" s="30" t="s">
        <v>42</v>
      </c>
      <c r="G19" s="31">
        <v>4771</v>
      </c>
      <c r="H19" s="32">
        <v>29.85</v>
      </c>
      <c r="I19" s="32">
        <v>4.1900000000000004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5500</v>
      </c>
      <c r="H20" s="32">
        <v>26</v>
      </c>
      <c r="I20" s="32">
        <v>3.65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280</v>
      </c>
      <c r="H21" s="32">
        <v>25.2</v>
      </c>
      <c r="I21" s="32">
        <v>3.54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2100</v>
      </c>
      <c r="H22" s="32">
        <v>23.28</v>
      </c>
      <c r="I22" s="32">
        <v>3.27</v>
      </c>
      <c r="J22" s="33"/>
    </row>
    <row r="23" spans="2:10" x14ac:dyDescent="0.25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4288</v>
      </c>
      <c r="H23" s="32">
        <v>23.22</v>
      </c>
      <c r="I23" s="32">
        <v>3.26</v>
      </c>
      <c r="J23" s="33"/>
    </row>
    <row r="24" spans="2:10" x14ac:dyDescent="0.25">
      <c r="B24" s="1" t="s">
        <v>70</v>
      </c>
      <c r="C24" s="20" t="s">
        <v>71</v>
      </c>
      <c r="D24" s="29" t="s">
        <v>72</v>
      </c>
      <c r="E24" s="30"/>
      <c r="F24" s="30" t="s">
        <v>69</v>
      </c>
      <c r="G24" s="31">
        <v>4418</v>
      </c>
      <c r="H24" s="32">
        <v>22.93</v>
      </c>
      <c r="I24" s="32">
        <v>3.22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17300</v>
      </c>
      <c r="H25" s="32">
        <v>22.14</v>
      </c>
      <c r="I25" s="32">
        <v>3.11</v>
      </c>
      <c r="J25" s="33"/>
    </row>
    <row r="26" spans="2:10" x14ac:dyDescent="0.25">
      <c r="B26" s="1" t="s">
        <v>77</v>
      </c>
      <c r="C26" s="20" t="s">
        <v>78</v>
      </c>
      <c r="D26" s="29" t="s">
        <v>79</v>
      </c>
      <c r="E26" s="30"/>
      <c r="F26" s="30" t="s">
        <v>80</v>
      </c>
      <c r="G26" s="31">
        <v>1937</v>
      </c>
      <c r="H26" s="32">
        <v>21.7</v>
      </c>
      <c r="I26" s="32">
        <v>3.05</v>
      </c>
      <c r="J26" s="33"/>
    </row>
    <row r="27" spans="2:10" x14ac:dyDescent="0.25">
      <c r="B27" s="1" t="s">
        <v>81</v>
      </c>
      <c r="C27" s="20" t="s">
        <v>82</v>
      </c>
      <c r="D27" s="29" t="s">
        <v>83</v>
      </c>
      <c r="E27" s="30"/>
      <c r="F27" s="30" t="s">
        <v>57</v>
      </c>
      <c r="G27" s="31">
        <v>9560</v>
      </c>
      <c r="H27" s="32">
        <v>21.61</v>
      </c>
      <c r="I27" s="32">
        <v>3.03</v>
      </c>
      <c r="J27" s="33"/>
    </row>
    <row r="28" spans="2:10" x14ac:dyDescent="0.25">
      <c r="B28" s="1" t="s">
        <v>84</v>
      </c>
      <c r="C28" s="20" t="s">
        <v>85</v>
      </c>
      <c r="D28" s="29" t="s">
        <v>86</v>
      </c>
      <c r="E28" s="30"/>
      <c r="F28" s="30" t="s">
        <v>61</v>
      </c>
      <c r="G28" s="31">
        <v>1015</v>
      </c>
      <c r="H28" s="32">
        <v>20.350000000000001</v>
      </c>
      <c r="I28" s="32">
        <v>2.86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18</v>
      </c>
      <c r="G29" s="31">
        <v>1125</v>
      </c>
      <c r="H29" s="32">
        <v>19.2</v>
      </c>
      <c r="I29" s="32">
        <v>2.69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61</v>
      </c>
      <c r="G30" s="31">
        <v>820</v>
      </c>
      <c r="H30" s="32">
        <v>18.21</v>
      </c>
      <c r="I30" s="32">
        <v>2.56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3358</v>
      </c>
      <c r="H31" s="32">
        <v>17.309999999999999</v>
      </c>
      <c r="I31" s="32">
        <v>2.4300000000000002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674</v>
      </c>
      <c r="H32" s="32">
        <v>16.63</v>
      </c>
      <c r="I32" s="32">
        <v>2.33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2800</v>
      </c>
      <c r="H33" s="32">
        <v>15.18</v>
      </c>
      <c r="I33" s="32">
        <v>2.13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26</v>
      </c>
      <c r="G34" s="31">
        <v>8944</v>
      </c>
      <c r="H34" s="32">
        <v>6.8</v>
      </c>
      <c r="I34" s="32">
        <v>0.96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177</v>
      </c>
      <c r="H35" s="32">
        <v>6.71</v>
      </c>
      <c r="I35" s="32">
        <v>0.94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4000</v>
      </c>
      <c r="H36" s="32">
        <v>1.06</v>
      </c>
      <c r="I36" s="32">
        <v>0.15</v>
      </c>
      <c r="J36" s="33" t="s">
        <v>116</v>
      </c>
    </row>
    <row r="37" spans="2:10" x14ac:dyDescent="0.25">
      <c r="C37" s="28" t="s">
        <v>117</v>
      </c>
      <c r="D37" s="29"/>
      <c r="E37" s="30"/>
      <c r="F37" s="30"/>
      <c r="G37" s="31"/>
      <c r="H37" s="35">
        <v>672.84</v>
      </c>
      <c r="I37" s="35">
        <v>94.47</v>
      </c>
      <c r="J37" s="33"/>
    </row>
    <row r="38" spans="2:10" x14ac:dyDescent="0.25">
      <c r="C38" s="20"/>
      <c r="D38" s="29"/>
      <c r="E38" s="30"/>
      <c r="F38" s="30"/>
      <c r="G38" s="31"/>
      <c r="H38" s="32"/>
      <c r="I38" s="32"/>
      <c r="J38" s="33"/>
    </row>
    <row r="39" spans="2:10" x14ac:dyDescent="0.25">
      <c r="C39" s="28" t="s">
        <v>118</v>
      </c>
      <c r="D39" s="29"/>
      <c r="E39" s="30"/>
      <c r="F39" s="30"/>
      <c r="G39" s="31"/>
      <c r="H39" s="32" t="s">
        <v>119</v>
      </c>
      <c r="I39" s="32" t="s">
        <v>119</v>
      </c>
      <c r="J39" s="33"/>
    </row>
    <row r="40" spans="2:10" x14ac:dyDescent="0.25">
      <c r="C40" s="20"/>
      <c r="D40" s="29"/>
      <c r="E40" s="30"/>
      <c r="F40" s="30"/>
      <c r="G40" s="31"/>
      <c r="H40" s="32"/>
      <c r="I40" s="32"/>
      <c r="J40" s="33"/>
    </row>
    <row r="41" spans="2:10" x14ac:dyDescent="0.25">
      <c r="C41" s="28" t="s">
        <v>120</v>
      </c>
      <c r="D41" s="29"/>
      <c r="E41" s="30"/>
      <c r="F41" s="30"/>
      <c r="G41" s="31"/>
      <c r="H41" s="32" t="s">
        <v>119</v>
      </c>
      <c r="I41" s="32" t="s">
        <v>119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121</v>
      </c>
      <c r="D43" s="29"/>
      <c r="E43" s="30"/>
      <c r="F43" s="30"/>
      <c r="G43" s="31"/>
      <c r="H43" s="32"/>
      <c r="I43" s="32"/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122</v>
      </c>
      <c r="D45" s="29"/>
      <c r="E45" s="30"/>
      <c r="F45" s="30"/>
      <c r="G45" s="31"/>
      <c r="H45" s="32" t="s">
        <v>119</v>
      </c>
      <c r="I45" s="32" t="s">
        <v>119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123</v>
      </c>
      <c r="D47" s="29"/>
      <c r="E47" s="30"/>
      <c r="F47" s="30"/>
      <c r="G47" s="31"/>
      <c r="H47" s="32" t="s">
        <v>119</v>
      </c>
      <c r="I47" s="32" t="s">
        <v>119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124</v>
      </c>
      <c r="D49" s="29"/>
      <c r="E49" s="30"/>
      <c r="F49" s="30"/>
      <c r="G49" s="31"/>
      <c r="H49" s="32" t="s">
        <v>119</v>
      </c>
      <c r="I49" s="32" t="s">
        <v>119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125</v>
      </c>
      <c r="D51" s="29"/>
      <c r="E51" s="30"/>
      <c r="F51" s="30"/>
      <c r="G51" s="31"/>
      <c r="H51" s="32" t="s">
        <v>119</v>
      </c>
      <c r="I51" s="32" t="s">
        <v>119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126</v>
      </c>
      <c r="D53" s="29"/>
      <c r="E53" s="30"/>
      <c r="F53" s="30"/>
      <c r="G53" s="31"/>
      <c r="H53" s="32" t="s">
        <v>119</v>
      </c>
      <c r="I53" s="32" t="s">
        <v>119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127</v>
      </c>
      <c r="D55" s="29"/>
      <c r="E55" s="30"/>
      <c r="F55" s="30"/>
      <c r="G55" s="31"/>
      <c r="H55" s="32"/>
      <c r="I55" s="32"/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128</v>
      </c>
      <c r="D57" s="29"/>
      <c r="E57" s="30"/>
      <c r="F57" s="30"/>
      <c r="G57" s="31"/>
      <c r="H57" s="32" t="s">
        <v>119</v>
      </c>
      <c r="I57" s="32" t="s">
        <v>119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129</v>
      </c>
      <c r="D59" s="29"/>
      <c r="E59" s="30"/>
      <c r="F59" s="30"/>
      <c r="G59" s="31"/>
      <c r="H59" s="32" t="s">
        <v>119</v>
      </c>
      <c r="I59" s="32" t="s">
        <v>119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130</v>
      </c>
      <c r="D61" s="29"/>
      <c r="E61" s="30"/>
      <c r="F61" s="30"/>
      <c r="G61" s="31"/>
      <c r="H61" s="32" t="s">
        <v>119</v>
      </c>
      <c r="I61" s="32" t="s">
        <v>119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131</v>
      </c>
      <c r="D63" s="29"/>
      <c r="E63" s="30"/>
      <c r="F63" s="30"/>
      <c r="G63" s="31"/>
      <c r="H63" s="32" t="s">
        <v>119</v>
      </c>
      <c r="I63" s="32" t="s">
        <v>119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132</v>
      </c>
      <c r="D65" s="29"/>
      <c r="E65" s="30"/>
      <c r="F65" s="30"/>
      <c r="G65" s="31"/>
      <c r="H65" s="32"/>
      <c r="I65" s="32"/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133</v>
      </c>
      <c r="D67" s="29"/>
      <c r="E67" s="30"/>
      <c r="F67" s="30"/>
      <c r="G67" s="31"/>
      <c r="H67" s="32" t="s">
        <v>119</v>
      </c>
      <c r="I67" s="32" t="s">
        <v>119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134</v>
      </c>
      <c r="D69" s="29"/>
      <c r="E69" s="30"/>
      <c r="F69" s="30"/>
      <c r="G69" s="31"/>
      <c r="H69" s="32" t="s">
        <v>119</v>
      </c>
      <c r="I69" s="32" t="s">
        <v>119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C71" s="28" t="s">
        <v>135</v>
      </c>
      <c r="D71" s="29"/>
      <c r="E71" s="30"/>
      <c r="F71" s="30"/>
      <c r="G71" s="31"/>
      <c r="H71" s="32" t="s">
        <v>119</v>
      </c>
      <c r="I71" s="32" t="s">
        <v>119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x14ac:dyDescent="0.25">
      <c r="C73" s="28" t="s">
        <v>136</v>
      </c>
      <c r="D73" s="29"/>
      <c r="E73" s="30"/>
      <c r="F73" s="30"/>
      <c r="G73" s="31"/>
      <c r="H73" s="32" t="s">
        <v>119</v>
      </c>
      <c r="I73" s="32" t="s">
        <v>119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x14ac:dyDescent="0.25">
      <c r="C75" s="28" t="s">
        <v>137</v>
      </c>
      <c r="D75" s="29"/>
      <c r="E75" s="30"/>
      <c r="F75" s="30"/>
      <c r="G75" s="31"/>
      <c r="H75" s="32" t="s">
        <v>119</v>
      </c>
      <c r="I75" s="32" t="s">
        <v>119</v>
      </c>
      <c r="J75" s="33"/>
    </row>
    <row r="76" spans="1:10" x14ac:dyDescent="0.25">
      <c r="C76" s="20"/>
      <c r="D76" s="29"/>
      <c r="E76" s="30"/>
      <c r="F76" s="30"/>
      <c r="G76" s="31"/>
      <c r="H76" s="32"/>
      <c r="I76" s="32"/>
      <c r="J76" s="33"/>
    </row>
    <row r="77" spans="1:10" x14ac:dyDescent="0.25">
      <c r="A77" s="26"/>
      <c r="B77" s="27"/>
      <c r="C77" s="28" t="s">
        <v>138</v>
      </c>
      <c r="D77" s="29"/>
      <c r="E77" s="30"/>
      <c r="F77" s="30"/>
      <c r="G77" s="31"/>
      <c r="H77" s="32"/>
      <c r="I77" s="32"/>
      <c r="J77" s="33"/>
    </row>
    <row r="78" spans="1:10" x14ac:dyDescent="0.25">
      <c r="B78" s="1"/>
      <c r="C78" s="20" t="s">
        <v>139</v>
      </c>
      <c r="D78" s="29"/>
      <c r="E78" s="30"/>
      <c r="F78" s="30"/>
      <c r="G78" s="31"/>
      <c r="H78" s="32">
        <v>39.5</v>
      </c>
      <c r="I78" s="32">
        <v>5.53</v>
      </c>
      <c r="J78" s="33"/>
    </row>
    <row r="79" spans="1:10" x14ac:dyDescent="0.25">
      <c r="C79" s="28" t="s">
        <v>117</v>
      </c>
      <c r="D79" s="29"/>
      <c r="E79" s="30"/>
      <c r="F79" s="30"/>
      <c r="G79" s="31"/>
      <c r="H79" s="35">
        <v>39.5</v>
      </c>
      <c r="I79" s="35">
        <v>5.53</v>
      </c>
      <c r="J79" s="33"/>
    </row>
    <row r="80" spans="1:10" x14ac:dyDescent="0.25">
      <c r="C80" s="20"/>
      <c r="D80" s="29"/>
      <c r="E80" s="30"/>
      <c r="F80" s="30"/>
      <c r="G80" s="31"/>
      <c r="H80" s="32"/>
      <c r="I80" s="32"/>
      <c r="J80" s="33"/>
    </row>
    <row r="81" spans="3:10" ht="14.25" thickBot="1" x14ac:dyDescent="0.3">
      <c r="C81" s="36" t="s">
        <v>140</v>
      </c>
      <c r="D81" s="37"/>
      <c r="E81" s="38"/>
      <c r="F81" s="39"/>
      <c r="G81" s="40"/>
      <c r="H81" s="41">
        <v>712.34</v>
      </c>
      <c r="I81" s="41">
        <f>SUMIFS(I:I,C:C,"Total")</f>
        <v>100</v>
      </c>
      <c r="J81" s="42"/>
    </row>
    <row r="84" spans="3:10" x14ac:dyDescent="0.25">
      <c r="C84" s="11" t="s">
        <v>141</v>
      </c>
    </row>
    <row r="85" spans="3:10" x14ac:dyDescent="0.25">
      <c r="C85" s="2" t="s">
        <v>142</v>
      </c>
    </row>
    <row r="86" spans="3:10" x14ac:dyDescent="0.25">
      <c r="C86" s="2" t="s">
        <v>143</v>
      </c>
    </row>
    <row r="87" spans="3:10" x14ac:dyDescent="0.25">
      <c r="C87" s="2" t="s">
        <v>144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ED07-9F55-432C-9C3D-3B39AD8B2423}">
  <dimension ref="B4:J18"/>
  <sheetViews>
    <sheetView workbookViewId="0"/>
  </sheetViews>
  <sheetFormatPr defaultRowHeight="15" x14ac:dyDescent="0.25"/>
  <cols>
    <col min="2" max="2" width="49.285156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4" spans="2:10" ht="15.75" x14ac:dyDescent="0.25">
      <c r="B4" s="43" t="s">
        <v>145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146</v>
      </c>
      <c r="C5" s="50" t="s">
        <v>147</v>
      </c>
      <c r="D5" s="50"/>
      <c r="E5" s="50" t="s">
        <v>148</v>
      </c>
      <c r="F5" s="50"/>
      <c r="G5" s="50" t="s">
        <v>149</v>
      </c>
      <c r="H5" s="50"/>
      <c r="I5" s="50" t="s">
        <v>150</v>
      </c>
      <c r="J5" s="50"/>
    </row>
    <row r="6" spans="2:10" ht="63.75" x14ac:dyDescent="0.25">
      <c r="B6" s="46"/>
      <c r="C6" s="47" t="s">
        <v>151</v>
      </c>
      <c r="D6" s="47" t="s">
        <v>152</v>
      </c>
      <c r="E6" s="47" t="s">
        <v>151</v>
      </c>
      <c r="F6" s="47" t="s">
        <v>152</v>
      </c>
      <c r="G6" s="47" t="s">
        <v>151</v>
      </c>
      <c r="H6" s="47" t="s">
        <v>152</v>
      </c>
      <c r="I6" s="47" t="s">
        <v>151</v>
      </c>
      <c r="J6" s="47" t="s">
        <v>152</v>
      </c>
    </row>
    <row r="7" spans="2:10" x14ac:dyDescent="0.25">
      <c r="B7" s="48" t="s">
        <v>153</v>
      </c>
      <c r="C7" s="49">
        <v>27.24212551094012</v>
      </c>
      <c r="D7" s="49">
        <v>12724.212551094013</v>
      </c>
      <c r="E7" s="49">
        <v>26.63260697006713</v>
      </c>
      <c r="F7" s="49">
        <v>20346.020761245672</v>
      </c>
      <c r="G7" s="49">
        <v>17.006807648263166</v>
      </c>
      <c r="H7" s="49">
        <v>21940.298507462689</v>
      </c>
      <c r="I7" s="49">
        <v>10.456773530334317</v>
      </c>
      <c r="J7" s="49">
        <v>52920</v>
      </c>
    </row>
    <row r="8" spans="2:10" x14ac:dyDescent="0.25">
      <c r="B8" s="48" t="s">
        <v>154</v>
      </c>
      <c r="C8" s="49">
        <v>21.779978007263058</v>
      </c>
      <c r="D8" s="49">
        <v>12177.997800726305</v>
      </c>
      <c r="E8" s="49">
        <v>25.833604611207186</v>
      </c>
      <c r="F8" s="49">
        <v>19924.613816623212</v>
      </c>
      <c r="G8" s="49">
        <v>18.101222264305594</v>
      </c>
      <c r="H8" s="49">
        <v>22975.869794080994</v>
      </c>
      <c r="I8" s="49">
        <v>6.4844450251543506</v>
      </c>
      <c r="J8" s="49">
        <v>28645.873287165294</v>
      </c>
    </row>
    <row r="9" spans="2:10" x14ac:dyDescent="0.25">
      <c r="B9" s="48" t="s">
        <v>155</v>
      </c>
      <c r="C9" s="49">
        <v>8.4665975705390917</v>
      </c>
      <c r="D9" s="49">
        <v>10846.659757053909</v>
      </c>
      <c r="E9" s="49">
        <v>17.118015846042802</v>
      </c>
      <c r="F9" s="49">
        <v>16064.644470298446</v>
      </c>
      <c r="G9" s="49">
        <v>14.451605518387399</v>
      </c>
      <c r="H9" s="49">
        <v>19638.551254443326</v>
      </c>
      <c r="I9" s="49">
        <v>12.19822935828072</v>
      </c>
      <c r="J9" s="49">
        <v>68754.288284783514</v>
      </c>
    </row>
    <row r="10" spans="2:10" x14ac:dyDescent="0.25">
      <c r="B10" s="48" t="s">
        <v>156</v>
      </c>
      <c r="C10" s="51">
        <v>41.59</v>
      </c>
      <c r="D10" s="52"/>
      <c r="E10" s="51">
        <v>26.01</v>
      </c>
      <c r="F10" s="52"/>
      <c r="G10" s="51">
        <v>24.12</v>
      </c>
      <c r="H10" s="52"/>
      <c r="I10" s="51">
        <v>10</v>
      </c>
      <c r="J10" s="52"/>
    </row>
    <row r="12" spans="2:10" ht="15.75" x14ac:dyDescent="0.25">
      <c r="B12" s="43" t="s">
        <v>157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146</v>
      </c>
      <c r="C13" s="50" t="s">
        <v>147</v>
      </c>
      <c r="D13" s="50"/>
      <c r="E13" s="50" t="s">
        <v>148</v>
      </c>
      <c r="F13" s="50"/>
      <c r="G13" s="50" t="s">
        <v>149</v>
      </c>
      <c r="H13" s="50"/>
      <c r="I13" s="50" t="s">
        <v>150</v>
      </c>
      <c r="J13" s="50"/>
    </row>
    <row r="14" spans="2:10" ht="63.75" x14ac:dyDescent="0.25">
      <c r="B14" s="46"/>
      <c r="C14" s="47" t="s">
        <v>151</v>
      </c>
      <c r="D14" s="47" t="s">
        <v>152</v>
      </c>
      <c r="E14" s="47" t="s">
        <v>151</v>
      </c>
      <c r="F14" s="47" t="s">
        <v>152</v>
      </c>
      <c r="G14" s="47" t="s">
        <v>151</v>
      </c>
      <c r="H14" s="47" t="s">
        <v>152</v>
      </c>
      <c r="I14" s="47" t="s">
        <v>151</v>
      </c>
      <c r="J14" s="47" t="s">
        <v>152</v>
      </c>
    </row>
    <row r="15" spans="2:10" x14ac:dyDescent="0.25">
      <c r="B15" s="48" t="s">
        <v>153</v>
      </c>
      <c r="C15" s="49">
        <v>27.86476060812344</v>
      </c>
      <c r="D15" s="49">
        <v>12786.476060812343</v>
      </c>
      <c r="E15" s="49">
        <v>27.17812230862242</v>
      </c>
      <c r="F15" s="49">
        <v>20610.826627651793</v>
      </c>
      <c r="G15" s="49">
        <v>17.479963964236902</v>
      </c>
      <c r="H15" s="49">
        <v>22387.763210170837</v>
      </c>
      <c r="I15" s="49">
        <v>14.5236404267729</v>
      </c>
      <c r="J15" s="49">
        <v>43954.758190327615</v>
      </c>
    </row>
    <row r="16" spans="2:10" x14ac:dyDescent="0.25">
      <c r="B16" s="48" t="s">
        <v>154</v>
      </c>
      <c r="C16" s="49">
        <v>21.779978007263058</v>
      </c>
      <c r="D16" s="49">
        <v>12177.997800726305</v>
      </c>
      <c r="E16" s="49">
        <v>25.833604611207186</v>
      </c>
      <c r="F16" s="49">
        <v>19924.613816623212</v>
      </c>
      <c r="G16" s="49">
        <v>18.101222264305594</v>
      </c>
      <c r="H16" s="49">
        <v>22975.869794080994</v>
      </c>
      <c r="I16" s="49">
        <v>10.440799729732753</v>
      </c>
      <c r="J16" s="49">
        <v>29571.957749322868</v>
      </c>
    </row>
    <row r="17" spans="2:10" x14ac:dyDescent="0.25">
      <c r="B17" s="48" t="s">
        <v>155</v>
      </c>
      <c r="C17" s="49">
        <v>8.4665975705390917</v>
      </c>
      <c r="D17" s="49">
        <v>10846.659757053909</v>
      </c>
      <c r="E17" s="49">
        <v>17.118015846042802</v>
      </c>
      <c r="F17" s="49">
        <v>16064.644470298446</v>
      </c>
      <c r="G17" s="49">
        <v>14.451605518387399</v>
      </c>
      <c r="H17" s="49">
        <v>19638.551254443326</v>
      </c>
      <c r="I17" s="49">
        <v>13.187679545772401</v>
      </c>
      <c r="J17" s="49">
        <v>38669.52823357498</v>
      </c>
    </row>
    <row r="18" spans="2:10" x14ac:dyDescent="0.25">
      <c r="B18" s="48" t="s">
        <v>158</v>
      </c>
      <c r="C18" s="51">
        <v>44.07</v>
      </c>
      <c r="D18" s="52"/>
      <c r="E18" s="51">
        <v>27.34</v>
      </c>
      <c r="F18" s="52"/>
      <c r="G18" s="51">
        <v>25.17</v>
      </c>
      <c r="H18" s="52"/>
      <c r="I18" s="51">
        <v>12.82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sbisgfa.edelweissmf@sbisgcsl.co.in</dc:creator>
  <cp:lastModifiedBy>Madhura Shinde</cp:lastModifiedBy>
  <dcterms:created xsi:type="dcterms:W3CDTF">2023-12-01T11:46:46Z</dcterms:created>
  <dcterms:modified xsi:type="dcterms:W3CDTF">2023-12-07T04:11:53Z</dcterms:modified>
</cp:coreProperties>
</file>