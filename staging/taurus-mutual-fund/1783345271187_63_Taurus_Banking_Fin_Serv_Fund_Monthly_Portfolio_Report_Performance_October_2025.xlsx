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40CBA319-A4E7-41DE-9061-CEB8729E3300}" xr6:coauthVersionLast="47" xr6:coauthVersionMax="47" xr10:uidLastSave="{00000000-0000-0000-0000-000000000000}"/>
  <bookViews>
    <workbookView xWindow="-120" yWindow="-120" windowWidth="20730" windowHeight="11040" xr2:uid="{F084F6E0-C8FF-431A-9F50-66D36397CBD8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TBFS!$C$8:$C$24</definedName>
    <definedName name="XDO_?FINAL_ISIN?1?">TBFS!$D$10:$D$24</definedName>
    <definedName name="XDO_?FINAL_ISIN?2?">TBFS!$D$10:$D$68</definedName>
    <definedName name="XDO_?FINAL_MV?1?">TBFS!$H$10:$H$24</definedName>
    <definedName name="XDO_?FINAL_MV?2?">TBFS!$H$10:$H$68</definedName>
    <definedName name="XDO_?FINAL_NAME?1?">TBFS!$C$10:$C$24</definedName>
    <definedName name="XDO_?FINAL_NAME?2?">TBFS!$C$10:$C$68</definedName>
    <definedName name="XDO_?FINAL_PER_NET?1?">TBFS!$I$10:$I$24</definedName>
    <definedName name="XDO_?FINAL_PER_NET?2?">TBFS!$I$10:$I$68</definedName>
    <definedName name="XDO_?FINAL_QUANTITE?1?">TBFS!$G$10:$G$24</definedName>
    <definedName name="XDO_?FINAL_QUANTITE?2?">TBFS!$G$10:$G$68</definedName>
    <definedName name="XDO_?IND_01?1?">TBFS!$F$10:$F$24</definedName>
    <definedName name="XDO_?IND_01?2?">TBFS!$F$10:$F$68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TBFS!$C$2:$C$24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TBFS!$B$10:$B$24</definedName>
    <definedName name="XDO_?NOVAL?2?">TBFS!$B$10:$B$68</definedName>
    <definedName name="XDO_?NPTF?1?">TBFS!$D$2:$D$24</definedName>
    <definedName name="XDO_?RATING?1?">TBFS!$E$10:$E$24</definedName>
    <definedName name="XDO_?RATING?2?">TBFS!$E$10:$E$68</definedName>
    <definedName name="XDO_?REMARKS?1?">TBFS!$J$10:$J$24</definedName>
    <definedName name="XDO_?REMARKS?2?">TBFS!$J$10:$J$68</definedName>
    <definedName name="XDO_?TITL?1?">TBFS!$A$8:$A$24</definedName>
    <definedName name="XDO_GROUP_?G_2?1?">TBFS!$2:$71</definedName>
    <definedName name="XDO_GROUP_?G_3?1?">TBFS!$8:$70</definedName>
    <definedName name="XDO_GROUP_?G_4?1?">TBFS!$B$10:$IV$24</definedName>
    <definedName name="XDO_GROUP_?G_4?2?">TBFS!$B$68:$IV$68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" l="1"/>
</calcChain>
</file>

<file path=xl/sharedStrings.xml><?xml version="1.0" encoding="utf-8"?>
<sst xmlns="http://schemas.openxmlformats.org/spreadsheetml/2006/main" count="202" uniqueCount="129">
  <si>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</si>
  <si>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</si>
  <si>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</si>
  <si>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</si>
  <si>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</si>
  <si>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</si>
  <si>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</si>
  <si>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</si>
  <si>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</si>
  <si>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</si>
  <si>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</si>
  <si>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</si>
  <si>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</si>
  <si>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</si>
  <si>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</si>
  <si>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</si>
  <si>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</si>
  <si>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</si>
  <si>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</si>
  <si>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</si>
  <si>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</si>
  <si>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</si>
  <si>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</si>
  <si>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</si>
  <si>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</si>
  <si>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</si>
  <si>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</si>
  <si>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</si>
  <si>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</si>
  <si>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</si>
  <si>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</si>
  <si>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102528</t>
  </si>
  <si>
    <t>DAM Capital Advisors Ltd.</t>
  </si>
  <si>
    <t>INE284H01025</t>
  </si>
  <si>
    <t>Capital Markets</t>
  </si>
  <si>
    <t>100194</t>
  </si>
  <si>
    <t>Power Finance Corporation Ltd.</t>
  </si>
  <si>
    <t>INE134E01011</t>
  </si>
  <si>
    <t>Finance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</si>
  <si>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</si>
  <si>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</si>
  <si>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</si>
  <si>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</si>
  <si>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</si>
  <si>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</si>
  <si>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100125</t>
  </si>
  <si>
    <t>Bajaj Finance Ltd.</t>
  </si>
  <si>
    <t>INE296A01032</t>
  </si>
  <si>
    <t>100733</t>
  </si>
  <si>
    <t>General Insurance Corporation of India</t>
  </si>
  <si>
    <t>INE481Y01014</t>
  </si>
  <si>
    <t>Insurance</t>
  </si>
  <si>
    <t>100092</t>
  </si>
  <si>
    <t>Bank of Baroda</t>
  </si>
  <si>
    <t>INE028A01039</t>
  </si>
  <si>
    <t>101550</t>
  </si>
  <si>
    <t>Life Insurance Corporation of India</t>
  </si>
  <si>
    <t>INE0J1Y01017</t>
  </si>
  <si>
    <t>100191</t>
  </si>
  <si>
    <t>Canara Bank</t>
  </si>
  <si>
    <t>INE476A01022</t>
  </si>
  <si>
    <t>100663</t>
  </si>
  <si>
    <t>AU Small Finance Bank Ltd.</t>
  </si>
  <si>
    <t>INE949L01017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</si>
  <si>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</si>
  <si>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</si>
  <si>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</si>
  <si>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</si>
  <si>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</si>
  <si>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</si>
  <si>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</si>
  <si>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</si>
  <si>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</si>
  <si>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</si>
  <si>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</si>
  <si>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</si>
  <si>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</si>
  <si>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</si>
  <si>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</si>
  <si>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</si>
  <si>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</si>
  <si>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</si>
  <si>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</si>
  <si>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</si>
  <si>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</si>
  <si>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</si>
  <si>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</si>
  <si>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</si>
  <si>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</si>
  <si>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</si>
  <si>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</si>
  <si>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</si>
  <si>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</si>
  <si>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</si>
  <si>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</si>
  <si>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</si>
  <si>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</si>
  <si>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</si>
  <si>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</si>
  <si>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</si>
  <si>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</si>
  <si>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</si>
  <si>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</si>
  <si>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</si>
  <si>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</si>
  <si>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October 31, 2025.</t>
  </si>
  <si>
    <t>7. The Scheme did not declare any bonus during the month ended As on  October 31, 2025.</t>
  </si>
  <si>
    <t>8. Total outstanding exposure in derivative instruments as on As on  October 31, 2025 is Nil</t>
  </si>
  <si>
    <t>9. Total investments in Foreign Securities /ADRs/GDRs /Overseas ETFs as at As on  October 31, 2025 and its percentage to NAV is Nil.</t>
  </si>
  <si>
    <t>10. During the period, the portfolio turnover ratio is 0.49 times.</t>
  </si>
  <si>
    <t>      Portfolio Turnover Ratio = Lower of sales or purchase of securities divided by average AUM for 12 months ended As on  October 31, 2025</t>
  </si>
  <si>
    <t>11. The Scheme did not invest in repo transactions of corporate debt securities during the month ended As on  October 31, 2025.</t>
  </si>
  <si>
    <t>12. The Scheme did not invest in credit default swaps during the month ended As on  October 31, 2025.</t>
  </si>
  <si>
    <t>13. There are Nil instances of deviation from the valuation principles/guidelines during the month ended as on October 31st, 2025.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</si>
  <si>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</si>
  <si>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</si>
  <si>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</si>
  <si>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</si>
  <si>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</si>
  <si>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</si>
  <si>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</si>
  <si>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</si>
  <si>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</si>
  <si>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</si>
  <si>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</si>
  <si>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</si>
  <si>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October 31,2025 :55.02)</t>
  </si>
  <si>
    <t>Taurus Banking &amp; Financial Services Fund - Direct Plan Growth Option</t>
  </si>
  <si>
    <t>NAV [Rs.] Per Unit (as on October 31,2025 :61.65)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</si>
</sst>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5FCDF867-031A-4939-9735-BF263E6FC2CD}"/>
    <cellStyle name="Hyperlink" xfId="2" builtinId="8"/>
    <cellStyle name="Normal" xfId="0" builtinId="0"/>
    <cellStyle name="Normal 2" xfId="4" xr:uid="{E1858A28-67C0-432D-BE9F-D442C29BC561}"/>
    <cellStyle name="Style 1" xfId="3" xr:uid="{EA6A87E4-8F8A-4E51-8108-B6555FD15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E0976EF0-FED5-4DB3-AC2E-24B89AA64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AFB5-B677-4F49-A06C-3160CF2AFC31}">
  <dimension ref="A1:BB9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23577</v>
      </c>
      <c r="H10" s="32">
        <v>232.86</v>
      </c>
      <c r="I10" s="32">
        <v>19.38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16936</v>
      </c>
      <c r="H11" s="32">
        <v>227.8</v>
      </c>
      <c r="I11" s="32">
        <v>18.96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16534</v>
      </c>
      <c r="H12" s="32">
        <v>154.91999999999999</v>
      </c>
      <c r="I12" s="32">
        <v>12.89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11341</v>
      </c>
      <c r="H13" s="32">
        <v>139.83000000000001</v>
      </c>
      <c r="I13" s="32">
        <v>11.64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111.17</v>
      </c>
      <c r="I14" s="32">
        <v>9.25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39166</v>
      </c>
      <c r="H15" s="32">
        <v>95.74</v>
      </c>
      <c r="I15" s="32">
        <v>7.97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14288</v>
      </c>
      <c r="H16" s="32">
        <v>57.62</v>
      </c>
      <c r="I16" s="32">
        <v>4.79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38</v>
      </c>
      <c r="G17" s="31">
        <v>300</v>
      </c>
      <c r="H17" s="32">
        <v>36.92</v>
      </c>
      <c r="I17" s="32">
        <v>3.07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38</v>
      </c>
      <c r="G18" s="31">
        <v>5043</v>
      </c>
      <c r="H18" s="32">
        <v>28.81</v>
      </c>
      <c r="I18" s="32">
        <v>2.4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38</v>
      </c>
      <c r="G19" s="31">
        <v>2237</v>
      </c>
      <c r="H19" s="32">
        <v>23.32</v>
      </c>
      <c r="I19" s="32">
        <v>1.94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5704</v>
      </c>
      <c r="H20" s="32">
        <v>21.36</v>
      </c>
      <c r="I20" s="32">
        <v>1.78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18</v>
      </c>
      <c r="G21" s="31">
        <v>5858</v>
      </c>
      <c r="H21" s="32">
        <v>16.3</v>
      </c>
      <c r="I21" s="32">
        <v>1.36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51</v>
      </c>
      <c r="G22" s="31">
        <v>1393</v>
      </c>
      <c r="H22" s="32">
        <v>12.46</v>
      </c>
      <c r="I22" s="32">
        <v>1.04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8375</v>
      </c>
      <c r="H23" s="32">
        <v>11.47</v>
      </c>
      <c r="I23" s="32">
        <v>0.95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1067</v>
      </c>
      <c r="H24" s="32">
        <v>9.3699999999999992</v>
      </c>
      <c r="I24" s="32">
        <v>0.78</v>
      </c>
      <c r="J24" s="33"/>
    </row>
    <row r="25" spans="2:10" x14ac:dyDescent="0.25">
      <c r="C25" s="28" t="s">
        <v>64</v>
      </c>
      <c r="D25" s="29"/>
      <c r="E25" s="30"/>
      <c r="F25" s="30"/>
      <c r="G25" s="31"/>
      <c r="H25" s="35">
        <v>1179.95</v>
      </c>
      <c r="I25" s="35">
        <v>98.2</v>
      </c>
      <c r="J25" s="33"/>
    </row>
    <row r="26" spans="2:10" x14ac:dyDescent="0.25">
      <c r="C26" s="20"/>
      <c r="D26" s="29"/>
      <c r="E26" s="30"/>
      <c r="F26" s="30"/>
      <c r="G26" s="31"/>
      <c r="H26" s="32"/>
      <c r="I26" s="32"/>
      <c r="J26" s="33"/>
    </row>
    <row r="27" spans="2:10" x14ac:dyDescent="0.25">
      <c r="C27" s="28" t="s">
        <v>65</v>
      </c>
      <c r="D27" s="29"/>
      <c r="E27" s="30"/>
      <c r="F27" s="30"/>
      <c r="G27" s="31"/>
      <c r="H27" s="32" t="s">
        <v>66</v>
      </c>
      <c r="I27" s="32" t="s">
        <v>66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67</v>
      </c>
      <c r="D29" s="29"/>
      <c r="E29" s="30"/>
      <c r="F29" s="30"/>
      <c r="G29" s="31"/>
      <c r="H29" s="32" t="s">
        <v>66</v>
      </c>
      <c r="I29" s="32" t="s">
        <v>66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68</v>
      </c>
      <c r="D31" s="29"/>
      <c r="E31" s="30"/>
      <c r="F31" s="30"/>
      <c r="G31" s="31"/>
      <c r="H31" s="32"/>
      <c r="I31" s="32"/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69</v>
      </c>
      <c r="D33" s="29"/>
      <c r="E33" s="30"/>
      <c r="F33" s="30"/>
      <c r="G33" s="31"/>
      <c r="H33" s="32" t="s">
        <v>66</v>
      </c>
      <c r="I33" s="32" t="s">
        <v>66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70</v>
      </c>
      <c r="D35" s="29"/>
      <c r="E35" s="30"/>
      <c r="F35" s="30"/>
      <c r="G35" s="31"/>
      <c r="H35" s="32" t="s">
        <v>66</v>
      </c>
      <c r="I35" s="32" t="s">
        <v>66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71</v>
      </c>
      <c r="D37" s="29"/>
      <c r="E37" s="30"/>
      <c r="F37" s="30"/>
      <c r="G37" s="31"/>
      <c r="H37" s="32" t="s">
        <v>66</v>
      </c>
      <c r="I37" s="32" t="s">
        <v>66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72</v>
      </c>
      <c r="D39" s="29"/>
      <c r="E39" s="30"/>
      <c r="F39" s="30"/>
      <c r="G39" s="31"/>
      <c r="H39" s="32" t="s">
        <v>66</v>
      </c>
      <c r="I39" s="32" t="s">
        <v>66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73</v>
      </c>
      <c r="D41" s="29"/>
      <c r="E41" s="30"/>
      <c r="F41" s="30"/>
      <c r="G41" s="31"/>
      <c r="H41" s="32" t="s">
        <v>66</v>
      </c>
      <c r="I41" s="32" t="s">
        <v>66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74</v>
      </c>
      <c r="D43" s="29"/>
      <c r="E43" s="30"/>
      <c r="F43" s="30"/>
      <c r="G43" s="31"/>
      <c r="H43" s="32"/>
      <c r="I43" s="32"/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75</v>
      </c>
      <c r="D45" s="29"/>
      <c r="E45" s="30"/>
      <c r="F45" s="30"/>
      <c r="G45" s="31"/>
      <c r="H45" s="32" t="s">
        <v>66</v>
      </c>
      <c r="I45" s="32" t="s">
        <v>66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76</v>
      </c>
      <c r="D47" s="29"/>
      <c r="E47" s="30"/>
      <c r="F47" s="30"/>
      <c r="G47" s="31"/>
      <c r="H47" s="32" t="s">
        <v>66</v>
      </c>
      <c r="I47" s="32" t="s">
        <v>66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77</v>
      </c>
      <c r="D49" s="29"/>
      <c r="E49" s="30"/>
      <c r="F49" s="30"/>
      <c r="G49" s="31"/>
      <c r="H49" s="32" t="s">
        <v>66</v>
      </c>
      <c r="I49" s="32" t="s">
        <v>66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78</v>
      </c>
      <c r="D51" s="29"/>
      <c r="E51" s="30"/>
      <c r="F51" s="30"/>
      <c r="G51" s="31"/>
      <c r="H51" s="32" t="s">
        <v>66</v>
      </c>
      <c r="I51" s="32" t="s">
        <v>66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79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80</v>
      </c>
      <c r="D55" s="29"/>
      <c r="E55" s="30"/>
      <c r="F55" s="30"/>
      <c r="G55" s="31"/>
      <c r="H55" s="32" t="s">
        <v>66</v>
      </c>
      <c r="I55" s="32" t="s">
        <v>66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81</v>
      </c>
      <c r="D57" s="29"/>
      <c r="E57" s="30"/>
      <c r="F57" s="30"/>
      <c r="G57" s="31"/>
      <c r="H57" s="32" t="s">
        <v>66</v>
      </c>
      <c r="I57" s="32" t="s">
        <v>66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82</v>
      </c>
      <c r="D59" s="29"/>
      <c r="E59" s="30"/>
      <c r="F59" s="30"/>
      <c r="G59" s="31"/>
      <c r="H59" s="32" t="s">
        <v>66</v>
      </c>
      <c r="I59" s="32" t="s">
        <v>66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83</v>
      </c>
      <c r="D61" s="29"/>
      <c r="E61" s="30"/>
      <c r="F61" s="30"/>
      <c r="G61" s="31"/>
      <c r="H61" s="32" t="s">
        <v>66</v>
      </c>
      <c r="I61" s="32" t="s">
        <v>66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84</v>
      </c>
      <c r="D63" s="29"/>
      <c r="E63" s="30"/>
      <c r="F63" s="30"/>
      <c r="G63" s="31"/>
      <c r="H63" s="32" t="s">
        <v>66</v>
      </c>
      <c r="I63" s="32" t="s">
        <v>66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85</v>
      </c>
      <c r="D65" s="29"/>
      <c r="E65" s="30"/>
      <c r="F65" s="30"/>
      <c r="G65" s="31"/>
      <c r="H65" s="32" t="s">
        <v>66</v>
      </c>
      <c r="I65" s="32" t="s">
        <v>66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A67" s="26"/>
      <c r="B67" s="27"/>
      <c r="C67" s="28" t="s">
        <v>86</v>
      </c>
      <c r="D67" s="29"/>
      <c r="E67" s="30"/>
      <c r="F67" s="30"/>
      <c r="G67" s="31"/>
      <c r="H67" s="32"/>
      <c r="I67" s="32"/>
      <c r="J67" s="33"/>
    </row>
    <row r="68" spans="1:10" x14ac:dyDescent="0.25">
      <c r="B68" s="1"/>
      <c r="C68" s="20" t="s">
        <v>87</v>
      </c>
      <c r="D68" s="29"/>
      <c r="E68" s="30"/>
      <c r="F68" s="30"/>
      <c r="G68" s="31"/>
      <c r="H68" s="32">
        <v>21.64</v>
      </c>
      <c r="I68" s="32">
        <v>1.8</v>
      </c>
      <c r="J68" s="33"/>
    </row>
    <row r="69" spans="1:10" x14ac:dyDescent="0.25">
      <c r="C69" s="28" t="s">
        <v>64</v>
      </c>
      <c r="D69" s="29"/>
      <c r="E69" s="30"/>
      <c r="F69" s="30"/>
      <c r="G69" s="31"/>
      <c r="H69" s="35">
        <v>21.64</v>
      </c>
      <c r="I69" s="35">
        <v>1.8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ht="14.25" thickBot="1" x14ac:dyDescent="0.3">
      <c r="C71" s="36" t="s">
        <v>88</v>
      </c>
      <c r="D71" s="37"/>
      <c r="E71" s="38"/>
      <c r="F71" s="39"/>
      <c r="G71" s="40"/>
      <c r="H71" s="41">
        <v>1201.5899999999999</v>
      </c>
      <c r="I71" s="41">
        <f>SUMIFS(I:I,C:C,"Total")</f>
        <v>100</v>
      </c>
      <c r="J71" s="42"/>
    </row>
    <row r="74" spans="1:10" x14ac:dyDescent="0.25">
      <c r="C74" s="11" t="s">
        <v>89</v>
      </c>
    </row>
    <row r="75" spans="1:10" x14ac:dyDescent="0.25">
      <c r="C75" s="2" t="s">
        <v>90</v>
      </c>
    </row>
    <row r="76" spans="1:10" x14ac:dyDescent="0.25">
      <c r="C76" s="2" t="s">
        <v>91</v>
      </c>
    </row>
    <row r="77" spans="1:10" x14ac:dyDescent="0.25">
      <c r="C77" s="2" t="s">
        <v>92</v>
      </c>
    </row>
    <row r="78" spans="1:10" x14ac:dyDescent="0.25">
      <c r="C78" s="2" t="s">
        <v>93</v>
      </c>
    </row>
    <row r="79" spans="1:10" x14ac:dyDescent="0.25">
      <c r="C79" s="2" t="s">
        <v>94</v>
      </c>
    </row>
    <row r="80" spans="1:10" ht="14.25" thickBot="1" x14ac:dyDescent="0.3">
      <c r="C80" s="2" t="s">
        <v>95</v>
      </c>
    </row>
    <row r="81" spans="3:5" ht="14.25" thickBot="1" x14ac:dyDescent="0.3">
      <c r="C81" s="43"/>
      <c r="D81" s="60" t="s">
        <v>96</v>
      </c>
      <c r="E81" s="61"/>
    </row>
    <row r="82" spans="3:5" x14ac:dyDescent="0.25">
      <c r="C82" s="44" t="s">
        <v>97</v>
      </c>
      <c r="D82" s="45" t="s">
        <v>98</v>
      </c>
      <c r="E82" s="46" t="s">
        <v>98</v>
      </c>
    </row>
    <row r="83" spans="3:5" ht="14.25" thickBot="1" x14ac:dyDescent="0.3">
      <c r="C83" s="47"/>
      <c r="D83" s="48" t="s">
        <v>99</v>
      </c>
      <c r="E83" s="49" t="s">
        <v>100</v>
      </c>
    </row>
    <row r="84" spans="3:5" ht="14.25" thickBot="1" x14ac:dyDescent="0.3">
      <c r="C84" s="50" t="s">
        <v>101</v>
      </c>
      <c r="D84" s="51">
        <v>47.44</v>
      </c>
      <c r="E84" s="51">
        <v>49.26</v>
      </c>
    </row>
    <row r="85" spans="3:5" ht="14.25" thickBot="1" x14ac:dyDescent="0.3">
      <c r="C85" s="50" t="s">
        <v>102</v>
      </c>
      <c r="D85" s="51">
        <v>53</v>
      </c>
      <c r="E85" s="51">
        <v>55.02</v>
      </c>
    </row>
    <row r="86" spans="3:5" ht="14.25" thickBot="1" x14ac:dyDescent="0.3">
      <c r="C86" s="50" t="s">
        <v>103</v>
      </c>
      <c r="D86" s="51">
        <v>58.65</v>
      </c>
      <c r="E86" s="51">
        <v>60.93</v>
      </c>
    </row>
    <row r="87" spans="3:5" ht="14.25" thickBot="1" x14ac:dyDescent="0.3">
      <c r="C87" s="50" t="s">
        <v>104</v>
      </c>
      <c r="D87" s="51">
        <v>59.33</v>
      </c>
      <c r="E87" s="51">
        <v>61.65</v>
      </c>
    </row>
    <row r="89" spans="3:5" x14ac:dyDescent="0.25">
      <c r="C89" s="2" t="s">
        <v>105</v>
      </c>
    </row>
    <row r="90" spans="3:5" x14ac:dyDescent="0.25">
      <c r="C90" s="2" t="s">
        <v>106</v>
      </c>
    </row>
    <row r="91" spans="3:5" x14ac:dyDescent="0.25">
      <c r="C91" s="2" t="s">
        <v>107</v>
      </c>
    </row>
    <row r="92" spans="3:5" x14ac:dyDescent="0.25">
      <c r="C92" s="2" t="s">
        <v>108</v>
      </c>
    </row>
    <row r="93" spans="3:5" x14ac:dyDescent="0.25">
      <c r="C93" s="2" t="s">
        <v>109</v>
      </c>
    </row>
    <row r="94" spans="3:5" x14ac:dyDescent="0.25">
      <c r="C94" s="2" t="s">
        <v>110</v>
      </c>
    </row>
    <row r="95" spans="3:5" x14ac:dyDescent="0.25">
      <c r="C95" s="2" t="s">
        <v>111</v>
      </c>
    </row>
    <row r="96" spans="3:5" x14ac:dyDescent="0.25">
      <c r="C96" s="2" t="s">
        <v>112</v>
      </c>
    </row>
    <row r="97" spans="3:3" x14ac:dyDescent="0.25">
      <c r="C97" s="2" t="s">
        <v>113</v>
      </c>
    </row>
  </sheetData>
  <mergeCells count="1">
    <mergeCell ref="D81:E8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D601-1F11-4A56-998E-0F5B99194246}">
  <dimension ref="C3:M17"/>
  <sheetViews>
    <sheetView workbookViewId="0"/>
  </sheetViews>
  <sheetFormatPr defaultRowHeight="15" x14ac:dyDescent="0.25"/>
  <cols>
    <col min="3" max="3" width="44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114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115</v>
      </c>
      <c r="D4" s="62" t="s">
        <v>116</v>
      </c>
      <c r="E4" s="62"/>
      <c r="F4" s="62" t="s">
        <v>117</v>
      </c>
      <c r="G4" s="62"/>
      <c r="H4" s="62" t="s">
        <v>118</v>
      </c>
      <c r="I4" s="62"/>
      <c r="J4" s="63" t="s">
        <v>119</v>
      </c>
      <c r="K4" s="64"/>
      <c r="L4" s="65" t="s">
        <v>120</v>
      </c>
      <c r="M4" s="65"/>
    </row>
    <row r="5" spans="3:13" ht="63.75" x14ac:dyDescent="0.25">
      <c r="C5" s="55"/>
      <c r="D5" s="56" t="s">
        <v>121</v>
      </c>
      <c r="E5" s="56" t="s">
        <v>122</v>
      </c>
      <c r="F5" s="56" t="s">
        <v>121</v>
      </c>
      <c r="G5" s="56" t="s">
        <v>122</v>
      </c>
      <c r="H5" s="56" t="s">
        <v>121</v>
      </c>
      <c r="I5" s="56" t="s">
        <v>122</v>
      </c>
      <c r="J5" s="56" t="s">
        <v>121</v>
      </c>
      <c r="K5" s="56" t="s">
        <v>122</v>
      </c>
      <c r="L5" s="57" t="s">
        <v>121</v>
      </c>
      <c r="M5" s="57" t="s">
        <v>122</v>
      </c>
    </row>
    <row r="6" spans="3:13" x14ac:dyDescent="0.25">
      <c r="C6" s="58" t="s">
        <v>123</v>
      </c>
      <c r="D6" s="59">
        <v>8.9504999999999999</v>
      </c>
      <c r="E6" s="59">
        <v>10895.049504950495</v>
      </c>
      <c r="F6" s="59">
        <v>13.9526</v>
      </c>
      <c r="G6" s="59">
        <v>14794.299542887875</v>
      </c>
      <c r="H6" s="59">
        <v>18.636099999999999</v>
      </c>
      <c r="I6" s="59">
        <v>23522.873022659256</v>
      </c>
      <c r="J6" s="59">
        <v>13.0784</v>
      </c>
      <c r="K6" s="59">
        <v>34216.417910447766</v>
      </c>
      <c r="L6" s="59">
        <v>13.5139</v>
      </c>
      <c r="M6" s="59">
        <v>55020</v>
      </c>
    </row>
    <row r="7" spans="3:13" x14ac:dyDescent="0.25">
      <c r="C7" s="58" t="s">
        <v>124</v>
      </c>
      <c r="D7" s="59">
        <v>11.688281999999999</v>
      </c>
      <c r="E7" s="59">
        <v>11234.69</v>
      </c>
      <c r="F7" s="59">
        <v>12.033522</v>
      </c>
      <c r="G7" s="59">
        <v>14144.704192182771</v>
      </c>
      <c r="H7" s="59">
        <v>19.704832</v>
      </c>
      <c r="I7" s="59">
        <v>24727.861989849913</v>
      </c>
      <c r="J7" s="59">
        <v>13.289759999999999</v>
      </c>
      <c r="K7" s="59">
        <v>18716.905876295317</v>
      </c>
      <c r="L7" s="59">
        <v>15.317641999999999</v>
      </c>
      <c r="M7" s="59">
        <v>69087.186518432631</v>
      </c>
    </row>
    <row r="8" spans="3:13" x14ac:dyDescent="0.25">
      <c r="C8" s="58" t="s">
        <v>125</v>
      </c>
      <c r="D8" s="59">
        <v>7.5879000000000003</v>
      </c>
      <c r="E8" s="59">
        <v>10758.79</v>
      </c>
      <c r="F8" s="59">
        <v>13.8985</v>
      </c>
      <c r="G8" s="59">
        <v>14775.902403238213</v>
      </c>
      <c r="H8" s="59">
        <v>18.561499999999999</v>
      </c>
      <c r="I8" s="59">
        <v>23427.094320875454</v>
      </c>
      <c r="J8" s="59">
        <v>13.668900000000001</v>
      </c>
      <c r="K8" s="59">
        <v>18976.157934478382</v>
      </c>
      <c r="L8" s="59">
        <v>14.617000000000001</v>
      </c>
      <c r="M8" s="59">
        <v>62664.458638472141</v>
      </c>
    </row>
    <row r="9" spans="3:13" x14ac:dyDescent="0.25">
      <c r="C9" s="58" t="s">
        <v>126</v>
      </c>
      <c r="D9" s="66">
        <v>50.5</v>
      </c>
      <c r="E9" s="67"/>
      <c r="F9" s="66">
        <v>37.19</v>
      </c>
      <c r="G9" s="67"/>
      <c r="H9" s="66">
        <v>23.39</v>
      </c>
      <c r="I9" s="67"/>
      <c r="J9" s="66">
        <v>16.079999999999998</v>
      </c>
      <c r="K9" s="67"/>
      <c r="L9" s="66">
        <v>10</v>
      </c>
      <c r="M9" s="67"/>
    </row>
    <row r="11" spans="3:13" ht="15.75" x14ac:dyDescent="0.25">
      <c r="C11" s="52" t="s">
        <v>127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115</v>
      </c>
      <c r="D12" s="62" t="s">
        <v>116</v>
      </c>
      <c r="E12" s="62"/>
      <c r="F12" s="62" t="s">
        <v>117</v>
      </c>
      <c r="G12" s="62"/>
      <c r="H12" s="62" t="s">
        <v>118</v>
      </c>
      <c r="I12" s="62"/>
      <c r="J12" s="63" t="s">
        <v>119</v>
      </c>
      <c r="K12" s="64"/>
      <c r="L12" s="65" t="s">
        <v>120</v>
      </c>
      <c r="M12" s="65"/>
    </row>
    <row r="13" spans="3:13" ht="63.75" x14ac:dyDescent="0.25">
      <c r="C13" s="55"/>
      <c r="D13" s="56" t="s">
        <v>121</v>
      </c>
      <c r="E13" s="56" t="s">
        <v>122</v>
      </c>
      <c r="F13" s="56" t="s">
        <v>121</v>
      </c>
      <c r="G13" s="56" t="s">
        <v>122</v>
      </c>
      <c r="H13" s="56" t="s">
        <v>121</v>
      </c>
      <c r="I13" s="56" t="s">
        <v>122</v>
      </c>
      <c r="J13" s="56" t="s">
        <v>121</v>
      </c>
      <c r="K13" s="56" t="s">
        <v>122</v>
      </c>
      <c r="L13" s="57" t="s">
        <v>121</v>
      </c>
      <c r="M13" s="57" t="s">
        <v>122</v>
      </c>
    </row>
    <row r="14" spans="3:13" x14ac:dyDescent="0.25">
      <c r="C14" s="58" t="s">
        <v>123</v>
      </c>
      <c r="D14" s="59">
        <v>9.8538999999999994</v>
      </c>
      <c r="E14" s="59">
        <v>10985.388453314326</v>
      </c>
      <c r="F14" s="59">
        <v>14.849500000000001</v>
      </c>
      <c r="G14" s="59">
        <v>15143.699336772292</v>
      </c>
      <c r="H14" s="59">
        <v>19.569800000000001</v>
      </c>
      <c r="I14" s="59">
        <v>24464.285714285714</v>
      </c>
      <c r="J14" s="59">
        <v>14.0977</v>
      </c>
      <c r="K14" s="59">
        <v>37431.693989071042</v>
      </c>
      <c r="L14" s="59">
        <v>12.327</v>
      </c>
      <c r="M14" s="59">
        <v>45164.835164835167</v>
      </c>
    </row>
    <row r="15" spans="3:13" x14ac:dyDescent="0.25">
      <c r="C15" s="58" t="s">
        <v>124</v>
      </c>
      <c r="D15" s="59">
        <v>11.688281999999999</v>
      </c>
      <c r="E15" s="59">
        <v>11234.69</v>
      </c>
      <c r="F15" s="59">
        <v>12.033522</v>
      </c>
      <c r="G15" s="59">
        <v>14144.704192182771</v>
      </c>
      <c r="H15" s="59">
        <v>19.704832</v>
      </c>
      <c r="I15" s="59">
        <v>24727.861989849913</v>
      </c>
      <c r="J15" s="59">
        <v>13.289759999999999</v>
      </c>
      <c r="K15" s="59">
        <v>18716.905876295317</v>
      </c>
      <c r="L15" s="59">
        <v>15.317641999999999</v>
      </c>
      <c r="M15" s="59">
        <v>49143.641498229743</v>
      </c>
    </row>
    <row r="16" spans="3:13" x14ac:dyDescent="0.25">
      <c r="C16" s="58" t="s">
        <v>125</v>
      </c>
      <c r="D16" s="59">
        <v>7.5879000000000003</v>
      </c>
      <c r="E16" s="59">
        <v>10758.79</v>
      </c>
      <c r="F16" s="59">
        <v>13.8985</v>
      </c>
      <c r="G16" s="59">
        <v>14775.902403238213</v>
      </c>
      <c r="H16" s="59">
        <v>18.561499999999999</v>
      </c>
      <c r="I16" s="59">
        <v>23427.094320875454</v>
      </c>
      <c r="J16" s="59">
        <v>13.668900000000001</v>
      </c>
      <c r="K16" s="59">
        <v>18976.157934478382</v>
      </c>
      <c r="L16" s="59">
        <v>13.377800000000001</v>
      </c>
      <c r="M16" s="59">
        <v>50090.04595805375</v>
      </c>
    </row>
    <row r="17" spans="3:13" x14ac:dyDescent="0.25">
      <c r="C17" s="58" t="s">
        <v>128</v>
      </c>
      <c r="D17" s="66">
        <v>56.12</v>
      </c>
      <c r="E17" s="67"/>
      <c r="F17" s="66">
        <v>40.71</v>
      </c>
      <c r="G17" s="67"/>
      <c r="H17" s="66">
        <v>25.2</v>
      </c>
      <c r="I17" s="67"/>
      <c r="J17" s="66">
        <v>16.47</v>
      </c>
      <c r="K17" s="67"/>
      <c r="L17" s="66">
        <v>13.65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2025-11-07T02:40:01Z</dcterms:created>
  <dcterms:modified xsi:type="dcterms:W3CDTF">2025-11-10T09:01:01Z</dcterms:modified>
</cp:coreProperties>
</file>