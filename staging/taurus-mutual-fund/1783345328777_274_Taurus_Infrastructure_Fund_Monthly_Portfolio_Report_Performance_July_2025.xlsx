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5. Aug 2025\Monthly Portfolio Jul 2025\Ops\"/>
    </mc:Choice>
  </mc:AlternateContent>
  <xr:revisionPtr revIDLastSave="0" documentId="13_ncr:1_{5D63EB65-840C-474A-96FB-1D452C595D5D}" xr6:coauthVersionLast="47" xr6:coauthVersionMax="47" xr10:uidLastSave="{00000000-0000-0000-0000-000000000000}"/>
  <bookViews>
    <workbookView xWindow="-120" yWindow="-120" windowWidth="20730" windowHeight="11040" xr2:uid="{7414BAC5-5764-43B8-8981-F5838A26F3CE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TISF!$C$8:$C$41</definedName>
    <definedName name="XDO_?FINAL_ISIN?7?">TISF!$D$10:$D$41</definedName>
    <definedName name="XDO_?FINAL_ISIN?8?">TISF!$D$10:$D$85</definedName>
    <definedName name="XDO_?FINAL_MV?7?">TISF!$H$10:$H$41</definedName>
    <definedName name="XDO_?FINAL_MV?8?">TISF!$H$10:$H$85</definedName>
    <definedName name="XDO_?FINAL_NAME?7?">TISF!$C$10:$C$41</definedName>
    <definedName name="XDO_?FINAL_NAME?8?">TISF!$C$10:$C$85</definedName>
    <definedName name="XDO_?FINAL_PER_NET?7?">TISF!$I$10:$I$41</definedName>
    <definedName name="XDO_?FINAL_PER_NET?8?">TISF!$I$10:$I$85</definedName>
    <definedName name="XDO_?FINAL_QUANTITE?7?">TISF!$G$10:$G$41</definedName>
    <definedName name="XDO_?FINAL_QUANTITE?8?">TISF!$G$10:$G$85</definedName>
    <definedName name="XDO_?IND_01?7?">TISF!$F$10:$F$41</definedName>
    <definedName name="XDO_?IND_01?8?">TISF!$F$10:$F$85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TISF!$B$10:$B$41</definedName>
    <definedName name="XDO_?NOVAL?8?">TISF!$B$10:$B$85</definedName>
    <definedName name="XDO_?NPTF?4?">TISF!$D$2:$D$41</definedName>
    <definedName name="XDO_?RATING?7?">TISF!$E$10:$E$41</definedName>
    <definedName name="XDO_?RATING?8?">TISF!$E$10:$E$85</definedName>
    <definedName name="XDO_?REMARKS?7?">TISF!$J$10:$J$41</definedName>
    <definedName name="XDO_?REMARKS?8?">TISF!$J$10:$J$85</definedName>
    <definedName name="XDO_?TITL?4?">TISF!$A$8:$A$41</definedName>
    <definedName name="XDO_GROUP_?G_2?4?">TISF!$2:$88</definedName>
    <definedName name="XDO_GROUP_?G_3?4?">TISF!$8:$87</definedName>
    <definedName name="XDO_GROUP_?G_4?7?">TISF!$B$10:$IV$41</definedName>
    <definedName name="XDO_GROUP_?G_4?8?">TISF!$B$85:$IV$85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<sst xmlns="http://schemas.openxmlformats.org/spreadsheetml/2006/main" count="264" uniqueCount="192">
  <si>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</si>
  <si>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</si>
  <si>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</si>
  <si>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</si>
  <si>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</si>
  <si>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</si>
  <si>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</si>
  <si>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</si>
  <si>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</si>
  <si>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</si>
  <si>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</si>
  <si>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</si>
  <si>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</si>
  <si>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</si>
  <si>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</si>
  <si>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</si>
  <si>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</si>
  <si>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</si>
  <si>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</si>
  <si>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</si>
  <si>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</si>
  <si>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</si>
  <si>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</si>
  <si>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</si>
  <si>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</si>
  <si>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</si>
  <si>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</si>
  <si>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102447</t>
  </si>
  <si>
    <t>Afcons Infrastructure Ltd.</t>
  </si>
  <si>
    <t>INE101I01011</t>
  </si>
  <si>
    <t>100182</t>
  </si>
  <si>
    <t>Power Grid Corporation of India Ltd.</t>
  </si>
  <si>
    <t>INE752E01010</t>
  </si>
  <si>
    <t>Power</t>
  </si>
  <si>
    <t>102611</t>
  </si>
  <si>
    <t>Kalpataru Ltd.</t>
  </si>
  <si>
    <t>INE227J01012</t>
  </si>
  <si>
    <t>Realty</t>
  </si>
  <si>
    <t>100302</t>
  </si>
  <si>
    <t>DLF Ltd.</t>
  </si>
  <si>
    <t>INE271C01023</t>
  </si>
  <si>
    <t>100082</t>
  </si>
  <si>
    <t>Ultratech Cement Ltd.</t>
  </si>
  <si>
    <t>INE481G01011</t>
  </si>
  <si>
    <t>Cement &amp; Cement Products</t>
  </si>
  <si>
    <t>100094</t>
  </si>
  <si>
    <t>Bharat Petroleum Corporation Ltd.</t>
  </si>
  <si>
    <t>INE029A01011</t>
  </si>
  <si>
    <t>100181</t>
  </si>
  <si>
    <t>NTPC Ltd.</t>
  </si>
  <si>
    <t>INE733E01010</t>
  </si>
  <si>
    <t>100169</t>
  </si>
  <si>
    <t>Indian Oil Corporation Ltd.</t>
  </si>
  <si>
    <t>INE242A01010</t>
  </si>
  <si>
    <t>100362</t>
  </si>
  <si>
    <t>JSW Energy Ltd.</t>
  </si>
  <si>
    <t>INE121E01018</t>
  </si>
  <si>
    <t>100177</t>
  </si>
  <si>
    <t>Grasim Industries Ltd.</t>
  </si>
  <si>
    <t>INE047A01021</t>
  </si>
  <si>
    <t>102206</t>
  </si>
  <si>
    <t>Chemtech Industrial Valves Ltd.</t>
  </si>
  <si>
    <t>INE212P01011</t>
  </si>
  <si>
    <t>Industrial Manufacturing</t>
  </si>
  <si>
    <t>100465</t>
  </si>
  <si>
    <t>Interglobe Aviation Ltd.</t>
  </si>
  <si>
    <t>INE646L01027</t>
  </si>
  <si>
    <t>Transport Services</t>
  </si>
  <si>
    <t>100843</t>
  </si>
  <si>
    <t>Dalmia Bharat Ltd.</t>
  </si>
  <si>
    <t>INE00R701025</t>
  </si>
  <si>
    <t>100292</t>
  </si>
  <si>
    <t>Steel Authority of India Ltd.</t>
  </si>
  <si>
    <t>INE114A01011</t>
  </si>
  <si>
    <t>Ferrous Metals</t>
  </si>
  <si>
    <t>100263</t>
  </si>
  <si>
    <t>BEML Ltd.</t>
  </si>
  <si>
    <t>INE258A01016</t>
  </si>
  <si>
    <t>Agricultural, Commercial &amp; Construction Vehicles</t>
  </si>
  <si>
    <t>100430</t>
  </si>
  <si>
    <t>Salzer Electronics Ltd.</t>
  </si>
  <si>
    <t>INE457F01013</t>
  </si>
  <si>
    <t>Electrical Equipment</t>
  </si>
  <si>
    <t>100111</t>
  </si>
  <si>
    <t>Oil &amp; Natural Gas Corporation Ltd.</t>
  </si>
  <si>
    <t>INE213A01029</t>
  </si>
  <si>
    <t>Oil</t>
  </si>
  <si>
    <t>100365</t>
  </si>
  <si>
    <t>Ashok Leyland Ltd.</t>
  </si>
  <si>
    <t>INE208A01029</t>
  </si>
  <si>
    <t>100498</t>
  </si>
  <si>
    <t>Ahluwalia Contracts (India) Ltd.</t>
  </si>
  <si>
    <t>INE758C01029</t>
  </si>
  <si>
    <t>100100</t>
  </si>
  <si>
    <t>Hindustan Petroleum Corporation Ltd.</t>
  </si>
  <si>
    <t>INE094A01015</t>
  </si>
  <si>
    <t>100174</t>
  </si>
  <si>
    <t>Vodafone Idea Ltd.</t>
  </si>
  <si>
    <t>INE669E01016</t>
  </si>
  <si>
    <t>100156</t>
  </si>
  <si>
    <t>Finolex Cables Ltd.</t>
  </si>
  <si>
    <t>INE235A01022</t>
  </si>
  <si>
    <t>Industrial Products</t>
  </si>
  <si>
    <t>100014</t>
  </si>
  <si>
    <t>Mahindra &amp; Mahindra Ltd.</t>
  </si>
  <si>
    <t>INE101A01026</t>
  </si>
  <si>
    <t>Automobiles</t>
  </si>
  <si>
    <t>100083</t>
  </si>
  <si>
    <t>Samvardhana Motherson International Ltd.</t>
  </si>
  <si>
    <t>INE775A01035</t>
  </si>
  <si>
    <t>Auto Components</t>
  </si>
  <si>
    <t>100809</t>
  </si>
  <si>
    <t>Rites Ltd.</t>
  </si>
  <si>
    <t>INE320J01015</t>
  </si>
  <si>
    <t>102135</t>
  </si>
  <si>
    <t>Le Travenues Technology Pvt. Ltd.</t>
  </si>
  <si>
    <t>INE0HV901016</t>
  </si>
  <si>
    <t>Leisure Services</t>
  </si>
  <si>
    <t>102505</t>
  </si>
  <si>
    <t>Apeejay Surrendra Park Hotels Ltd.</t>
  </si>
  <si>
    <t>INE988S01028</t>
  </si>
  <si>
    <t>101949</t>
  </si>
  <si>
    <t>Samhi Hotels Ltd.</t>
  </si>
  <si>
    <t>INE08U801020</t>
  </si>
  <si>
    <t>101800</t>
  </si>
  <si>
    <t>Hindware Home Innovation Ltd.</t>
  </si>
  <si>
    <t>INE05AN01011</t>
  </si>
  <si>
    <t>Consumer Durables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</si>
  <si>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</si>
  <si>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</si>
  <si>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</si>
  <si>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</si>
  <si>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</si>
  <si>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</si>
  <si>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</si>
  <si>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</si>
  <si>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</si>
  <si>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</si>
  <si>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</si>
  <si>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</si>
  <si>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</si>
  <si>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</si>
  <si>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</si>
  <si>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</si>
  <si>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</si>
  <si>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</si>
  <si>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</si>
  <si>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</si>
  <si>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</si>
  <si>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</si>
  <si>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</si>
  <si>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</si>
  <si>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</si>
  <si>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</si>
  <si>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</si>
  <si>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</si>
  <si>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</si>
  <si>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</si>
  <si>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</si>
  <si>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</si>
  <si>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</si>
  <si>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</si>
  <si>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</si>
  <si>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June 30, 2025</t>
  </si>
  <si>
    <t>July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</si>
  <si>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</si>
  <si>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</si>
  <si>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</si>
  <si>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</si>
  <si>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July 31, 2025.</t>
  </si>
  <si>
    <t>7. The Scheme did not declare any bonus during the month ended As on July 31, 2025.</t>
  </si>
  <si>
    <t>8. Total outstanding exposure in derivative instruments as on As on July 31, 2025 is Nil</t>
  </si>
  <si>
    <t>9. Total investments in Foreign Securities /ADRs/GDRs /Overseas ETFs as at As on July 31, 2025 and its percentage to NAV is Nil.</t>
  </si>
  <si>
    <t>10. During the period, the portfolio turnover ratio is 0.88 times.</t>
  </si>
  <si>
    <t>      Portfolio Turnover Ratio = Lower of sales or purchase of securities divided by average AUM for 12 months ended As on July 31, 2025</t>
  </si>
  <si>
    <t>11. The Scheme did not invest in repo transactions of corporate debt securities during the month ended As on July 31, 2025.</t>
  </si>
  <si>
    <t>12. The Scheme did not invest in credit default swaps during the month ended As on July 31, 2025.</t>
  </si>
  <si>
    <t>13. There are Nil instances of deviation from the valuation principles/guidelines during the month ended as on July 31st, 2025.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</si>
  <si>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</si>
  <si>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</si>
  <si>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</si>
  <si>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</si>
  <si>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</si>
  <si>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</si>
  <si>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</si>
  <si>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</si>
  <si>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</si>
  <si>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</si>
  <si>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</si>
  <si>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July 31,2025 :66.76)</t>
  </si>
  <si>
    <t>Taurus Infrastructure Fund - Direct Plan Growth Option</t>
  </si>
  <si>
    <t>NAV [Rs.] Per Unit (as on July 31,2025 :71.65)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</si>
</sst>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8934B48-5BA7-470C-9E40-89761C0537B6}"/>
    <cellStyle name="Hyperlink" xfId="2" builtinId="8"/>
    <cellStyle name="Normal" xfId="0" builtinId="0"/>
    <cellStyle name="Normal 2" xfId="4" xr:uid="{95C55C60-5B74-4085-89BD-6B78A0FD1ED3}"/>
    <cellStyle name="Style 1" xfId="3" xr:uid="{C51F78C7-6626-4D20-AE56-CDA1B81C3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9987528C-C032-4EBF-B9EA-7A94E02B2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l_2025\Final\TMF_Monthly_Portfolio_Report_Jul_25.xls" TargetMode="External"/><Relationship Id="rId1" Type="http://schemas.openxmlformats.org/officeDocument/2006/relationships/externalLinkPath" Target="file:///Q:\5.TMF\Reporting\Monthly%20Reports\Monthly%20Portfolio\2025-26\Jul_2025\Final\TMF_Monthly_Portfolio_Report_Jul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9AEA-D50C-42C5-83A4-CE483AE72CCE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93.75</v>
      </c>
      <c r="I10" s="32">
        <v>9.9600000000000009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66.760000000000005</v>
      </c>
      <c r="I11" s="32">
        <v>7.09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62.5</v>
      </c>
      <c r="I12" s="32">
        <v>6.64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26</v>
      </c>
      <c r="G13" s="31">
        <v>10800</v>
      </c>
      <c r="H13" s="32">
        <v>43.13</v>
      </c>
      <c r="I13" s="32">
        <v>4.58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13677</v>
      </c>
      <c r="H14" s="32">
        <v>39.79</v>
      </c>
      <c r="I14" s="32">
        <v>4.2300000000000004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9684</v>
      </c>
      <c r="H15" s="32">
        <v>38.409999999999997</v>
      </c>
      <c r="I15" s="32">
        <v>4.08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37</v>
      </c>
      <c r="G16" s="31">
        <v>4454</v>
      </c>
      <c r="H16" s="32">
        <v>34.93</v>
      </c>
      <c r="I16" s="32">
        <v>3.71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280</v>
      </c>
      <c r="H17" s="32">
        <v>34.270000000000003</v>
      </c>
      <c r="I17" s="32">
        <v>3.64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9374</v>
      </c>
      <c r="H18" s="32">
        <v>30.85</v>
      </c>
      <c r="I18" s="32">
        <v>3.28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33</v>
      </c>
      <c r="G19" s="31">
        <v>8787</v>
      </c>
      <c r="H19" s="32">
        <v>29.37</v>
      </c>
      <c r="I19" s="32">
        <v>3.12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22</v>
      </c>
      <c r="G20" s="31">
        <v>19975</v>
      </c>
      <c r="H20" s="32">
        <v>29.09</v>
      </c>
      <c r="I20" s="32">
        <v>3.09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33</v>
      </c>
      <c r="G21" s="31">
        <v>5491</v>
      </c>
      <c r="H21" s="32">
        <v>28.28</v>
      </c>
      <c r="I21" s="32">
        <v>3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44</v>
      </c>
      <c r="G22" s="31">
        <v>1015</v>
      </c>
      <c r="H22" s="32">
        <v>27.89</v>
      </c>
      <c r="I22" s="32">
        <v>2.96</v>
      </c>
      <c r="J22" s="33"/>
    </row>
    <row r="23" spans="2:10" x14ac:dyDescent="0.25">
      <c r="B23" s="1" t="s">
        <v>60</v>
      </c>
      <c r="C23" s="20" t="s">
        <v>61</v>
      </c>
      <c r="D23" s="29" t="s">
        <v>62</v>
      </c>
      <c r="E23" s="30"/>
      <c r="F23" s="30" t="s">
        <v>63</v>
      </c>
      <c r="G23" s="31">
        <v>25000</v>
      </c>
      <c r="H23" s="32">
        <v>27.85</v>
      </c>
      <c r="I23" s="32">
        <v>2.96</v>
      </c>
      <c r="J23" s="33"/>
    </row>
    <row r="24" spans="2:10" x14ac:dyDescent="0.25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469</v>
      </c>
      <c r="H24" s="32">
        <v>27.71</v>
      </c>
      <c r="I24" s="32">
        <v>2.94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44</v>
      </c>
      <c r="G25" s="31">
        <v>1208</v>
      </c>
      <c r="H25" s="32">
        <v>26.98</v>
      </c>
      <c r="I25" s="32">
        <v>2.87</v>
      </c>
      <c r="J25" s="33"/>
    </row>
    <row r="26" spans="2:10" x14ac:dyDescent="0.25">
      <c r="B26" s="1" t="s">
        <v>71</v>
      </c>
      <c r="C26" s="20" t="s">
        <v>72</v>
      </c>
      <c r="D26" s="29" t="s">
        <v>73</v>
      </c>
      <c r="E26" s="30"/>
      <c r="F26" s="30" t="s">
        <v>74</v>
      </c>
      <c r="G26" s="31">
        <v>20533</v>
      </c>
      <c r="H26" s="32">
        <v>25.47</v>
      </c>
      <c r="I26" s="32">
        <v>2.71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595</v>
      </c>
      <c r="H27" s="32">
        <v>23.56</v>
      </c>
      <c r="I27" s="32">
        <v>2.5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2686</v>
      </c>
      <c r="H28" s="32">
        <v>22.1</v>
      </c>
      <c r="I28" s="32">
        <v>2.35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8818</v>
      </c>
      <c r="H29" s="32">
        <v>21.25</v>
      </c>
      <c r="I29" s="32">
        <v>2.2599999999999998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78</v>
      </c>
      <c r="G30" s="31">
        <v>17092</v>
      </c>
      <c r="H30" s="32">
        <v>20.69</v>
      </c>
      <c r="I30" s="32">
        <v>2.2000000000000002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26</v>
      </c>
      <c r="G31" s="31">
        <v>2005</v>
      </c>
      <c r="H31" s="32">
        <v>20.55</v>
      </c>
      <c r="I31" s="32">
        <v>2.1800000000000002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22</v>
      </c>
      <c r="G32" s="31">
        <v>4702</v>
      </c>
      <c r="H32" s="32">
        <v>19.68</v>
      </c>
      <c r="I32" s="32">
        <v>2.09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18</v>
      </c>
      <c r="G33" s="31">
        <v>255518</v>
      </c>
      <c r="H33" s="32">
        <v>17.66</v>
      </c>
      <c r="I33" s="32">
        <v>1.88</v>
      </c>
      <c r="J33" s="33"/>
    </row>
    <row r="34" spans="2:10" x14ac:dyDescent="0.25">
      <c r="B34" s="1" t="s">
        <v>99</v>
      </c>
      <c r="C34" s="20" t="s">
        <v>100</v>
      </c>
      <c r="D34" s="29" t="s">
        <v>101</v>
      </c>
      <c r="E34" s="30"/>
      <c r="F34" s="30" t="s">
        <v>102</v>
      </c>
      <c r="G34" s="31">
        <v>1903</v>
      </c>
      <c r="H34" s="32">
        <v>16.82</v>
      </c>
      <c r="I34" s="32">
        <v>1.79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523</v>
      </c>
      <c r="H35" s="32">
        <v>16.75</v>
      </c>
      <c r="I35" s="32">
        <v>1.78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16500</v>
      </c>
      <c r="H36" s="32">
        <v>16.010000000000002</v>
      </c>
      <c r="I36" s="32">
        <v>1.7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26</v>
      </c>
      <c r="G37" s="31">
        <v>5803</v>
      </c>
      <c r="H37" s="32">
        <v>14.9</v>
      </c>
      <c r="I37" s="32">
        <v>1.58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4050</v>
      </c>
      <c r="H38" s="32">
        <v>9.4700000000000006</v>
      </c>
      <c r="I38" s="32">
        <v>1.01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117</v>
      </c>
      <c r="G39" s="31">
        <v>5773</v>
      </c>
      <c r="H39" s="32">
        <v>8.9499999999999993</v>
      </c>
      <c r="I39" s="32">
        <v>0.95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117</v>
      </c>
      <c r="G40" s="31">
        <v>3827</v>
      </c>
      <c r="H40" s="32">
        <v>8.6300000000000008</v>
      </c>
      <c r="I40" s="32">
        <v>0.92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272</v>
      </c>
      <c r="H41" s="32">
        <v>0.72</v>
      </c>
      <c r="I41" s="32">
        <v>0.08</v>
      </c>
      <c r="J41" s="33"/>
    </row>
    <row r="42" spans="2:10" x14ac:dyDescent="0.25">
      <c r="C42" s="28" t="s">
        <v>128</v>
      </c>
      <c r="D42" s="29"/>
      <c r="E42" s="30"/>
      <c r="F42" s="30"/>
      <c r="G42" s="31"/>
      <c r="H42" s="35">
        <v>904.77</v>
      </c>
      <c r="I42" s="35">
        <v>96.13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129</v>
      </c>
      <c r="D44" s="29"/>
      <c r="E44" s="30"/>
      <c r="F44" s="30"/>
      <c r="G44" s="31"/>
      <c r="H44" s="32" t="s">
        <v>130</v>
      </c>
      <c r="I44" s="32" t="s">
        <v>130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131</v>
      </c>
      <c r="D46" s="29"/>
      <c r="E46" s="30"/>
      <c r="F46" s="30"/>
      <c r="G46" s="31"/>
      <c r="H46" s="32" t="s">
        <v>130</v>
      </c>
      <c r="I46" s="32" t="s">
        <v>130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132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133</v>
      </c>
      <c r="D50" s="29"/>
      <c r="E50" s="30"/>
      <c r="F50" s="30"/>
      <c r="G50" s="31"/>
      <c r="H50" s="32" t="s">
        <v>130</v>
      </c>
      <c r="I50" s="32" t="s">
        <v>130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134</v>
      </c>
      <c r="D52" s="29"/>
      <c r="E52" s="30"/>
      <c r="F52" s="30"/>
      <c r="G52" s="31"/>
      <c r="H52" s="32" t="s">
        <v>130</v>
      </c>
      <c r="I52" s="32" t="s">
        <v>130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135</v>
      </c>
      <c r="D54" s="29"/>
      <c r="E54" s="30"/>
      <c r="F54" s="30"/>
      <c r="G54" s="31"/>
      <c r="H54" s="32" t="s">
        <v>130</v>
      </c>
      <c r="I54" s="32" t="s">
        <v>130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136</v>
      </c>
      <c r="D56" s="29"/>
      <c r="E56" s="30"/>
      <c r="F56" s="30"/>
      <c r="G56" s="31"/>
      <c r="H56" s="32" t="s">
        <v>130</v>
      </c>
      <c r="I56" s="32" t="s">
        <v>130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137</v>
      </c>
      <c r="D58" s="29"/>
      <c r="E58" s="30"/>
      <c r="F58" s="30"/>
      <c r="G58" s="31"/>
      <c r="H58" s="32" t="s">
        <v>130</v>
      </c>
      <c r="I58" s="32" t="s">
        <v>130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138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139</v>
      </c>
      <c r="D62" s="29"/>
      <c r="E62" s="30"/>
      <c r="F62" s="30"/>
      <c r="G62" s="31"/>
      <c r="H62" s="32" t="s">
        <v>130</v>
      </c>
      <c r="I62" s="32" t="s">
        <v>130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140</v>
      </c>
      <c r="D64" s="29"/>
      <c r="E64" s="30"/>
      <c r="F64" s="30"/>
      <c r="G64" s="31"/>
      <c r="H64" s="32" t="s">
        <v>130</v>
      </c>
      <c r="I64" s="32" t="s">
        <v>130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141</v>
      </c>
      <c r="D66" s="29"/>
      <c r="E66" s="30"/>
      <c r="F66" s="30"/>
      <c r="G66" s="31"/>
      <c r="H66" s="32" t="s">
        <v>130</v>
      </c>
      <c r="I66" s="32" t="s">
        <v>130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142</v>
      </c>
      <c r="D68" s="29"/>
      <c r="E68" s="30"/>
      <c r="F68" s="30"/>
      <c r="G68" s="31"/>
      <c r="H68" s="32" t="s">
        <v>130</v>
      </c>
      <c r="I68" s="32" t="s">
        <v>130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143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144</v>
      </c>
      <c r="D72" s="29"/>
      <c r="E72" s="30"/>
      <c r="F72" s="30"/>
      <c r="G72" s="31"/>
      <c r="H72" s="32" t="s">
        <v>130</v>
      </c>
      <c r="I72" s="32" t="s">
        <v>130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145</v>
      </c>
      <c r="D74" s="29"/>
      <c r="E74" s="30"/>
      <c r="F74" s="30"/>
      <c r="G74" s="31"/>
      <c r="H74" s="32" t="s">
        <v>130</v>
      </c>
      <c r="I74" s="32" t="s">
        <v>130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146</v>
      </c>
      <c r="D76" s="29"/>
      <c r="E76" s="30"/>
      <c r="F76" s="30"/>
      <c r="G76" s="31"/>
      <c r="H76" s="32" t="s">
        <v>130</v>
      </c>
      <c r="I76" s="32" t="s">
        <v>130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147</v>
      </c>
      <c r="D78" s="29"/>
      <c r="E78" s="30"/>
      <c r="F78" s="30"/>
      <c r="G78" s="31"/>
      <c r="H78" s="32" t="s">
        <v>130</v>
      </c>
      <c r="I78" s="32" t="s">
        <v>130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148</v>
      </c>
      <c r="D80" s="29"/>
      <c r="E80" s="30"/>
      <c r="F80" s="30"/>
      <c r="G80" s="31"/>
      <c r="H80" s="32" t="s">
        <v>130</v>
      </c>
      <c r="I80" s="32" t="s">
        <v>130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149</v>
      </c>
      <c r="D82" s="29"/>
      <c r="E82" s="30"/>
      <c r="F82" s="30"/>
      <c r="G82" s="31"/>
      <c r="H82" s="32" t="s">
        <v>130</v>
      </c>
      <c r="I82" s="32" t="s">
        <v>130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150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151</v>
      </c>
      <c r="D85" s="29"/>
      <c r="E85" s="30"/>
      <c r="F85" s="30"/>
      <c r="G85" s="31"/>
      <c r="H85" s="32">
        <v>36.68</v>
      </c>
      <c r="I85" s="32">
        <v>3.87</v>
      </c>
      <c r="J85" s="33"/>
    </row>
    <row r="86" spans="1:10" x14ac:dyDescent="0.25">
      <c r="C86" s="28" t="s">
        <v>128</v>
      </c>
      <c r="D86" s="29"/>
      <c r="E86" s="30"/>
      <c r="F86" s="30"/>
      <c r="G86" s="31"/>
      <c r="H86" s="35">
        <v>36.68</v>
      </c>
      <c r="I86" s="35">
        <v>3.87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152</v>
      </c>
      <c r="D88" s="37"/>
      <c r="E88" s="38"/>
      <c r="F88" s="39"/>
      <c r="G88" s="40"/>
      <c r="H88" s="41">
        <v>941.45</v>
      </c>
      <c r="I88" s="41">
        <f>SUMIFS(I:I,C:C,"Total")</f>
        <v>100</v>
      </c>
      <c r="J88" s="42"/>
    </row>
    <row r="91" spans="1:10" x14ac:dyDescent="0.25">
      <c r="C91" s="11" t="s">
        <v>153</v>
      </c>
    </row>
    <row r="92" spans="1:10" x14ac:dyDescent="0.25">
      <c r="C92" s="2" t="s">
        <v>154</v>
      </c>
    </row>
    <row r="93" spans="1:10" x14ac:dyDescent="0.25">
      <c r="C93" s="2" t="s">
        <v>155</v>
      </c>
    </row>
    <row r="94" spans="1:10" x14ac:dyDescent="0.25">
      <c r="C94" s="2" t="s">
        <v>156</v>
      </c>
    </row>
    <row r="95" spans="1:10" x14ac:dyDescent="0.25">
      <c r="C95" s="2" t="s">
        <v>157</v>
      </c>
    </row>
    <row r="96" spans="1:10" x14ac:dyDescent="0.25">
      <c r="C96" s="2" t="s">
        <v>158</v>
      </c>
    </row>
    <row r="97" spans="3:5" x14ac:dyDescent="0.25">
      <c r="C97" s="2" t="s">
        <v>159</v>
      </c>
    </row>
    <row r="98" spans="3:5" x14ac:dyDescent="0.25">
      <c r="D98" s="2" t="s">
        <v>160</v>
      </c>
    </row>
    <row r="99" spans="3:5" x14ac:dyDescent="0.25">
      <c r="C99" s="2" t="s">
        <v>161</v>
      </c>
      <c r="D99" s="2" t="s">
        <v>162</v>
      </c>
      <c r="E99" s="2" t="s">
        <v>162</v>
      </c>
    </row>
    <row r="100" spans="3:5" x14ac:dyDescent="0.25">
      <c r="D100" s="2" t="s">
        <v>163</v>
      </c>
      <c r="E100" s="2" t="s">
        <v>164</v>
      </c>
    </row>
    <row r="101" spans="3:5" x14ac:dyDescent="0.25">
      <c r="C101" s="2" t="s">
        <v>165</v>
      </c>
      <c r="D101" s="2">
        <v>65.28</v>
      </c>
      <c r="E101" s="2">
        <v>62.71</v>
      </c>
    </row>
    <row r="102" spans="3:5" x14ac:dyDescent="0.25">
      <c r="C102" s="2" t="s">
        <v>166</v>
      </c>
      <c r="D102" s="2">
        <v>69.5</v>
      </c>
      <c r="E102" s="2">
        <v>66.760000000000005</v>
      </c>
    </row>
    <row r="103" spans="3:5" x14ac:dyDescent="0.25">
      <c r="C103" s="2" t="s">
        <v>167</v>
      </c>
      <c r="D103" s="2">
        <v>69.430000000000007</v>
      </c>
      <c r="E103" s="2">
        <v>66.73</v>
      </c>
    </row>
    <row r="104" spans="3:5" x14ac:dyDescent="0.25">
      <c r="C104" s="2" t="s">
        <v>168</v>
      </c>
      <c r="D104" s="2">
        <v>74.55</v>
      </c>
      <c r="E104" s="2">
        <v>71.650000000000006</v>
      </c>
    </row>
    <row r="106" spans="3:5" x14ac:dyDescent="0.25">
      <c r="C106" s="2" t="s">
        <v>169</v>
      </c>
    </row>
    <row r="107" spans="3:5" x14ac:dyDescent="0.25">
      <c r="C107" s="2" t="s">
        <v>170</v>
      </c>
    </row>
    <row r="108" spans="3:5" x14ac:dyDescent="0.25">
      <c r="C108" s="2" t="s">
        <v>171</v>
      </c>
    </row>
    <row r="109" spans="3:5" x14ac:dyDescent="0.25">
      <c r="C109" s="2" t="s">
        <v>172</v>
      </c>
    </row>
    <row r="110" spans="3:5" x14ac:dyDescent="0.25">
      <c r="C110" s="2" t="s">
        <v>173</v>
      </c>
    </row>
    <row r="111" spans="3:5" x14ac:dyDescent="0.25">
      <c r="C111" s="2" t="s">
        <v>174</v>
      </c>
    </row>
    <row r="112" spans="3:5" x14ac:dyDescent="0.25">
      <c r="C112" s="2" t="s">
        <v>175</v>
      </c>
    </row>
    <row r="113" spans="3:3" x14ac:dyDescent="0.25">
      <c r="C113" s="2" t="s">
        <v>176</v>
      </c>
    </row>
    <row r="114" spans="3:3" x14ac:dyDescent="0.25">
      <c r="C114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2423-9D30-445B-B03E-C884EA0AADA9}">
  <dimension ref="C3:K17"/>
  <sheetViews>
    <sheetView workbookViewId="0"/>
  </sheetViews>
  <sheetFormatPr defaultRowHeight="15" x14ac:dyDescent="0.25"/>
  <cols>
    <col min="3" max="3" width="42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178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179</v>
      </c>
      <c r="D4" s="46" t="s">
        <v>180</v>
      </c>
      <c r="E4" s="46"/>
      <c r="F4" s="46" t="s">
        <v>181</v>
      </c>
      <c r="G4" s="46"/>
      <c r="H4" s="46" t="s">
        <v>182</v>
      </c>
      <c r="I4" s="46"/>
      <c r="J4" s="47" t="s">
        <v>183</v>
      </c>
      <c r="K4" s="47"/>
    </row>
    <row r="5" spans="3:11" ht="63.75" x14ac:dyDescent="0.25">
      <c r="C5" s="48"/>
      <c r="D5" s="49" t="s">
        <v>184</v>
      </c>
      <c r="E5" s="49" t="s">
        <v>185</v>
      </c>
      <c r="F5" s="49" t="s">
        <v>184</v>
      </c>
      <c r="G5" s="49" t="s">
        <v>185</v>
      </c>
      <c r="H5" s="49" t="s">
        <v>184</v>
      </c>
      <c r="I5" s="49" t="s">
        <v>185</v>
      </c>
      <c r="J5" s="50" t="s">
        <v>184</v>
      </c>
      <c r="K5" s="50" t="s">
        <v>185</v>
      </c>
    </row>
    <row r="6" spans="3:11" x14ac:dyDescent="0.25">
      <c r="C6" s="51" t="s">
        <v>186</v>
      </c>
      <c r="D6" s="52">
        <v>-8.8226999999999993</v>
      </c>
      <c r="E6" s="52">
        <v>9117.7273968860973</v>
      </c>
      <c r="F6" s="52">
        <v>20.276800000000001</v>
      </c>
      <c r="G6" s="52">
        <v>17426.259462281389</v>
      </c>
      <c r="H6" s="52">
        <v>23.7499</v>
      </c>
      <c r="I6" s="52">
        <v>29038.712483688563</v>
      </c>
      <c r="J6" s="52">
        <v>10.857200000000001</v>
      </c>
      <c r="K6" s="52">
        <v>66760</v>
      </c>
    </row>
    <row r="7" spans="3:11" x14ac:dyDescent="0.25">
      <c r="C7" s="51" t="s">
        <v>187</v>
      </c>
      <c r="D7" s="52">
        <v>-3.6160999999999999</v>
      </c>
      <c r="E7" s="52">
        <v>9638.39</v>
      </c>
      <c r="F7" s="52">
        <v>23.855399999999999</v>
      </c>
      <c r="G7" s="52">
        <v>18999.616663840552</v>
      </c>
      <c r="H7" s="52">
        <v>24.954799999999999</v>
      </c>
      <c r="I7" s="52">
        <v>30462.442232448622</v>
      </c>
      <c r="J7" s="52">
        <v>7.8152999999999997</v>
      </c>
      <c r="K7" s="52">
        <v>39989.504942515807</v>
      </c>
    </row>
    <row r="8" spans="3:11" x14ac:dyDescent="0.25">
      <c r="C8" s="51" t="s">
        <v>188</v>
      </c>
      <c r="D8" s="52">
        <v>0.53949999999999998</v>
      </c>
      <c r="E8" s="52">
        <v>10053.950000000001</v>
      </c>
      <c r="F8" s="52">
        <v>14.2911</v>
      </c>
      <c r="G8" s="52">
        <v>14929.224122774041</v>
      </c>
      <c r="H8" s="52">
        <v>18.876100000000001</v>
      </c>
      <c r="I8" s="52">
        <v>23739.564258033275</v>
      </c>
      <c r="J8" s="52">
        <v>12.419</v>
      </c>
      <c r="K8" s="52">
        <v>86382.509333513808</v>
      </c>
    </row>
    <row r="9" spans="3:11" x14ac:dyDescent="0.25">
      <c r="C9" s="51" t="s">
        <v>189</v>
      </c>
      <c r="D9" s="53">
        <v>73.22</v>
      </c>
      <c r="E9" s="54"/>
      <c r="F9" s="53">
        <v>38.31</v>
      </c>
      <c r="G9" s="54"/>
      <c r="H9" s="53">
        <v>22.99</v>
      </c>
      <c r="I9" s="54"/>
      <c r="J9" s="53">
        <v>10</v>
      </c>
      <c r="K9" s="54"/>
    </row>
    <row r="11" spans="3:11" ht="15.75" x14ac:dyDescent="0.25">
      <c r="C11" s="43" t="s">
        <v>190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179</v>
      </c>
      <c r="D12" s="46" t="s">
        <v>180</v>
      </c>
      <c r="E12" s="46"/>
      <c r="F12" s="46" t="s">
        <v>181</v>
      </c>
      <c r="G12" s="46"/>
      <c r="H12" s="46" t="s">
        <v>182</v>
      </c>
      <c r="I12" s="46"/>
      <c r="J12" s="47" t="s">
        <v>183</v>
      </c>
      <c r="K12" s="47"/>
    </row>
    <row r="13" spans="3:11" ht="63.75" x14ac:dyDescent="0.25">
      <c r="C13" s="48"/>
      <c r="D13" s="49" t="s">
        <v>184</v>
      </c>
      <c r="E13" s="49" t="s">
        <v>185</v>
      </c>
      <c r="F13" s="49" t="s">
        <v>184</v>
      </c>
      <c r="G13" s="49" t="s">
        <v>185</v>
      </c>
      <c r="H13" s="49" t="s">
        <v>184</v>
      </c>
      <c r="I13" s="49" t="s">
        <v>185</v>
      </c>
      <c r="J13" s="50" t="s">
        <v>184</v>
      </c>
      <c r="K13" s="50" t="s">
        <v>185</v>
      </c>
    </row>
    <row r="14" spans="3:11" x14ac:dyDescent="0.25">
      <c r="C14" s="51" t="s">
        <v>186</v>
      </c>
      <c r="D14" s="52">
        <v>-8.3877000000000006</v>
      </c>
      <c r="E14" s="52">
        <v>9161.2325789540992</v>
      </c>
      <c r="F14" s="52">
        <v>20.8324</v>
      </c>
      <c r="G14" s="52">
        <v>17669.543773119607</v>
      </c>
      <c r="H14" s="52">
        <v>24.302499999999998</v>
      </c>
      <c r="I14" s="52">
        <v>29693.32780770825</v>
      </c>
      <c r="J14" s="52">
        <v>14.590299999999999</v>
      </c>
      <c r="K14" s="52">
        <v>55889.235569422781</v>
      </c>
    </row>
    <row r="15" spans="3:11" x14ac:dyDescent="0.25">
      <c r="C15" s="51" t="s">
        <v>187</v>
      </c>
      <c r="D15" s="52">
        <v>-3.6160999999999999</v>
      </c>
      <c r="E15" s="52">
        <v>9638.39</v>
      </c>
      <c r="F15" s="52">
        <v>23.855399999999999</v>
      </c>
      <c r="G15" s="52">
        <v>18999.616663840552</v>
      </c>
      <c r="H15" s="52">
        <v>24.954799999999999</v>
      </c>
      <c r="I15" s="52">
        <v>30462.442232448622</v>
      </c>
      <c r="J15" s="52">
        <v>11.843500000000001</v>
      </c>
      <c r="K15" s="52">
        <v>40897.462274023157</v>
      </c>
    </row>
    <row r="16" spans="3:11" x14ac:dyDescent="0.25">
      <c r="C16" s="51" t="s">
        <v>188</v>
      </c>
      <c r="D16" s="52">
        <v>0.53949999999999998</v>
      </c>
      <c r="E16" s="52">
        <v>10053.950000000001</v>
      </c>
      <c r="F16" s="52">
        <v>14.2911</v>
      </c>
      <c r="G16" s="52">
        <v>14929.224122774041</v>
      </c>
      <c r="H16" s="52">
        <v>18.876100000000001</v>
      </c>
      <c r="I16" s="52">
        <v>23739.564258033275</v>
      </c>
      <c r="J16" s="52">
        <v>13.3179</v>
      </c>
      <c r="K16" s="52">
        <v>48224.612147296997</v>
      </c>
    </row>
    <row r="17" spans="3:11" x14ac:dyDescent="0.25">
      <c r="C17" s="51" t="s">
        <v>191</v>
      </c>
      <c r="D17" s="53">
        <v>78.209999999999994</v>
      </c>
      <c r="E17" s="54"/>
      <c r="F17" s="53">
        <v>40.549999999999997</v>
      </c>
      <c r="G17" s="54"/>
      <c r="H17" s="53">
        <v>24.13</v>
      </c>
      <c r="I17" s="54"/>
      <c r="J17" s="53">
        <v>12.82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2025-08-06T10:37:46Z</dcterms:created>
  <dcterms:modified xsi:type="dcterms:W3CDTF">2025-08-07T07:50:39Z</dcterms:modified>
</cp:coreProperties>
</file>