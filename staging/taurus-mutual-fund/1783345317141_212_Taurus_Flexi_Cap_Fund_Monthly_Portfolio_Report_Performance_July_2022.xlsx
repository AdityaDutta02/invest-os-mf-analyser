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Portfolio'!$C$8:$C$52</definedName>
    <definedName name="XDO_?FINAL_ISIN?11?">'TSS-Risk-O-Meter &amp; Portfolio'!$D$10:$D$52</definedName>
    <definedName name="XDO_?FINAL_ISIN?12?">'TSS-Risk-O-Meter &amp; Portfolio'!$D$10:$D$56</definedName>
    <definedName name="XDO_?FINAL_ISIN?13?">'TSS-Risk-O-Meter &amp; Portfolio'!$D$10:$D$96</definedName>
    <definedName name="XDO_?FINAL_MV?11?">'TSS-Risk-O-Meter &amp; Portfolio'!$H$10:$H$52</definedName>
    <definedName name="XDO_?FINAL_MV?12?">'TSS-Risk-O-Meter &amp; Portfolio'!$H$10:$H$56</definedName>
    <definedName name="XDO_?FINAL_MV?13?">'TSS-Risk-O-Meter &amp; Portfolio'!$H$10:$H$96</definedName>
    <definedName name="XDO_?FINAL_NAME?11?">'TSS-Risk-O-Meter &amp; Portfolio'!$C$10:$C$52</definedName>
    <definedName name="XDO_?FINAL_NAME?12?">'TSS-Risk-O-Meter &amp; Portfolio'!$C$10:$C$56</definedName>
    <definedName name="XDO_?FINAL_NAME?13?">'TSS-Risk-O-Meter &amp; Portfolio'!$C$10:$C$96</definedName>
    <definedName name="XDO_?FINAL_PER_NET?11?">'TSS-Risk-O-Meter &amp; Portfolio'!$I$10:$I$52</definedName>
    <definedName name="XDO_?FINAL_PER_NET?12?">'TSS-Risk-O-Meter &amp; Portfolio'!$I$10:$I$56</definedName>
    <definedName name="XDO_?FINAL_PER_NET?13?">'TSS-Risk-O-Meter &amp; Portfolio'!$I$10:$I$96</definedName>
    <definedName name="XDO_?FINAL_QUANTITE?11?">'TSS-Risk-O-Meter &amp; Portfolio'!$G$10:$G$52</definedName>
    <definedName name="XDO_?FINAL_QUANTITE?12?">'TSS-Risk-O-Meter &amp; Portfolio'!$G$10:$G$56</definedName>
    <definedName name="XDO_?FINAL_QUANTITE?13?">'TSS-Risk-O-Meter &amp; Portfolio'!$G$10:$G$96</definedName>
    <definedName name="XDO_?IND_01?11?">'TSS-Risk-O-Meter &amp; Portfolio'!$F$10:$F$52</definedName>
    <definedName name="XDO_?IND_01?12?">'TSS-Risk-O-Meter &amp; Portfolio'!$F$10:$F$56</definedName>
    <definedName name="XDO_?IND_01?13?">'TSS-Risk-O-Meter &amp; Portfolio'!$F$10:$F$96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Portfolio'!$B$10:$B$52</definedName>
    <definedName name="XDO_?NOVAL?12?">'TSS-Risk-O-Meter &amp; Portfolio'!$B$10:$B$56</definedName>
    <definedName name="XDO_?NOVAL?13?">'TSS-Risk-O-Meter &amp; Portfolio'!$B$10:$B$96</definedName>
    <definedName name="XDO_?NPTF?6?">'TSS-Risk-O-Meter &amp; Portfolio'!$D$2:$D$52</definedName>
    <definedName name="XDO_?RATING?11?">'TSS-Risk-O-Meter &amp; Portfolio'!$E$10:$E$52</definedName>
    <definedName name="XDO_?RATING?12?">'TSS-Risk-O-Meter &amp; Portfolio'!$E$10:$E$56</definedName>
    <definedName name="XDO_?RATING?13?">'TSS-Risk-O-Meter &amp; Portfolio'!$E$10:$E$96</definedName>
    <definedName name="XDO_?REMARKS?11?">'TSS-Risk-O-Meter &amp; Portfolio'!$J$10:$J$52</definedName>
    <definedName name="XDO_?REMARKS?12?">'TSS-Risk-O-Meter &amp; Portfolio'!$J$10:$J$56</definedName>
    <definedName name="XDO_?REMARKS?13?">'TSS-Risk-O-Meter &amp; Portfolio'!$J$10:$J$96</definedName>
    <definedName name="XDO_?TITL?6?">'TSS-Risk-O-Meter &amp; Portfolio'!$A$8:$A$52</definedName>
    <definedName name="XDO_GROUP_?G_2?6?">'TSS-Risk-O-Meter &amp; Portfolio'!$2:$99</definedName>
    <definedName name="XDO_GROUP_?G_3?6?">'TSS-Risk-O-Meter &amp; Portfolio'!$8:$98</definedName>
    <definedName name="XDO_GROUP_?G_4?11?">'TSS-Risk-O-Meter &amp; Portfolio'!$B$10:$IV$52</definedName>
    <definedName name="XDO_GROUP_?G_4?12?">'TSS-Risk-O-Meter &amp; Portfolio'!$B$56:$IV$56</definedName>
    <definedName name="XDO_GROUP_?G_4?13?">'TSS-Risk-O-Meter &amp; Portfolio'!$B$96:$IV$96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<sst xmlns="http://schemas.openxmlformats.org/spreadsheetml/2006/main" count="289" uniqueCount="216">
  <si>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</si>
  <si>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</si>
  <si>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</si>
  <si>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</si>
  <si>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</si>
  <si>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</si>
  <si>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</si>
  <si>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</si>
  <si>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</si>
  <si>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</si>
  <si>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</si>
  <si>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</si>
  <si>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</si>
  <si>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</si>
  <si>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</si>
  <si>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</si>
  <si>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</si>
  <si>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</si>
  <si>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</si>
  <si>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100014</t>
  </si>
  <si>
    <t>Mahindra &amp; Mahindra Ltd.</t>
  </si>
  <si>
    <t>INE101A01026</t>
  </si>
  <si>
    <t>Automobiles</t>
  </si>
  <si>
    <t>100115</t>
  </si>
  <si>
    <t>Siemens Ltd.</t>
  </si>
  <si>
    <t>INE003A01024</t>
  </si>
  <si>
    <t>Electrical Equipment</t>
  </si>
  <si>
    <t>100273</t>
  </si>
  <si>
    <t>Havells India Ltd.</t>
  </si>
  <si>
    <t>INE176B01034</t>
  </si>
  <si>
    <t>Consumer Durables</t>
  </si>
  <si>
    <t>100418</t>
  </si>
  <si>
    <t>Adani Enterprises Ltd.</t>
  </si>
  <si>
    <t>INE423A01024</t>
  </si>
  <si>
    <t>Metals &amp; Minerals Trading</t>
  </si>
  <si>
    <t>100302</t>
  </si>
  <si>
    <t>DLF Ltd.</t>
  </si>
  <si>
    <t>INE271C01023</t>
  </si>
  <si>
    <t>Realty</t>
  </si>
  <si>
    <t>100108</t>
  </si>
  <si>
    <t>Adani Ports and Special Economic Zone Ltd.</t>
  </si>
  <si>
    <t>INE742F01042</t>
  </si>
  <si>
    <t>Transport Infrastructure</t>
  </si>
  <si>
    <t>100314</t>
  </si>
  <si>
    <t>SRF Ltd.</t>
  </si>
  <si>
    <t>INE647A01010</t>
  </si>
  <si>
    <t>Chemicals &amp; Petrochemicals</t>
  </si>
  <si>
    <t>100008</t>
  </si>
  <si>
    <t>Sun Pharmaceutical Industries Ltd.</t>
  </si>
  <si>
    <t>INE044A01036</t>
  </si>
  <si>
    <t>Pharmaceuticals &amp; Biotechnology</t>
  </si>
  <si>
    <t>100654</t>
  </si>
  <si>
    <t>Automotive Axles Ltd.</t>
  </si>
  <si>
    <t>INE449A01011</t>
  </si>
  <si>
    <t>Auto Components</t>
  </si>
  <si>
    <t>100139</t>
  </si>
  <si>
    <t>UPL Ltd.</t>
  </si>
  <si>
    <t>INE628A01036</t>
  </si>
  <si>
    <t>Fertilizers &amp; Agrochemicals</t>
  </si>
  <si>
    <t>101412</t>
  </si>
  <si>
    <t>Punjab Chemicals &amp; Crop Protection Ltd.</t>
  </si>
  <si>
    <t>INE277B01014</t>
  </si>
  <si>
    <t>100104</t>
  </si>
  <si>
    <t>Kotak Mahindra Bank Ltd.</t>
  </si>
  <si>
    <t>INE237A01028</t>
  </si>
  <si>
    <t>100180</t>
  </si>
  <si>
    <t>Hindalco Industries Ltd.</t>
  </si>
  <si>
    <t>INE038A01020</t>
  </si>
  <si>
    <t>Non - Ferrous Metals</t>
  </si>
  <si>
    <t>100374</t>
  </si>
  <si>
    <t>CESC Ltd.</t>
  </si>
  <si>
    <t>INE486A01021</t>
  </si>
  <si>
    <t>Power</t>
  </si>
  <si>
    <t>100235</t>
  </si>
  <si>
    <t>CRISIL Ltd.</t>
  </si>
  <si>
    <t>INE007A01025</t>
  </si>
  <si>
    <t>Finance</t>
  </si>
  <si>
    <t>101348</t>
  </si>
  <si>
    <t>Ami Organics Ltd.</t>
  </si>
  <si>
    <t>INE00FF01017</t>
  </si>
  <si>
    <t>100315</t>
  </si>
  <si>
    <t>Prestige Estates Projects Ltd.</t>
  </si>
  <si>
    <t>INE811K01011</t>
  </si>
  <si>
    <t>100335</t>
  </si>
  <si>
    <t>Kajaria Ceramics Ltd.</t>
  </si>
  <si>
    <t>INE217B01036</t>
  </si>
  <si>
    <t>100183</t>
  </si>
  <si>
    <t>Vedanta Ltd.</t>
  </si>
  <si>
    <t>INE205A01025</t>
  </si>
  <si>
    <t>Diversified Metals</t>
  </si>
  <si>
    <t>100271</t>
  </si>
  <si>
    <t>Balkrishna Industries Ltd.</t>
  </si>
  <si>
    <t>INE787D01026</t>
  </si>
  <si>
    <t>100461</t>
  </si>
  <si>
    <t>Astral Limited</t>
  </si>
  <si>
    <t>INE006I01046</t>
  </si>
  <si>
    <t>Industrial Products</t>
  </si>
  <si>
    <t>100896</t>
  </si>
  <si>
    <t>Polycab India Ltd.</t>
  </si>
  <si>
    <t>INE455K01017</t>
  </si>
  <si>
    <t>100027</t>
  </si>
  <si>
    <t>Pidilite Industries Ltd.</t>
  </si>
  <si>
    <t>INE318A01026</t>
  </si>
  <si>
    <t>100109</t>
  </si>
  <si>
    <t>Piramal Enterprises Ltd.</t>
  </si>
  <si>
    <t>INE140A01024</t>
  </si>
  <si>
    <t>100372</t>
  </si>
  <si>
    <t>Apollo Tyres Ltd.</t>
  </si>
  <si>
    <t>INE438A01022</t>
  </si>
  <si>
    <t>100505</t>
  </si>
  <si>
    <t>ICICI Prudential Life Insurance Company Ltd.</t>
  </si>
  <si>
    <t>INE726G01019</t>
  </si>
  <si>
    <t>Insurance</t>
  </si>
  <si>
    <t>100388</t>
  </si>
  <si>
    <t>Balrampur Chini Mills Ltd.</t>
  </si>
  <si>
    <t>INE119A01028</t>
  </si>
  <si>
    <t>Agricultural Food &amp; other Products</t>
  </si>
  <si>
    <t>100425</t>
  </si>
  <si>
    <t>Chambal Fertilisers and Chemicals Ltd.</t>
  </si>
  <si>
    <t>INE085A01013</t>
  </si>
  <si>
    <t>100571</t>
  </si>
  <si>
    <t>KNR Constructions Ltd.</t>
  </si>
  <si>
    <t>INE634I01029</t>
  </si>
  <si>
    <t>Construction</t>
  </si>
  <si>
    <t>100059</t>
  </si>
  <si>
    <t>Godrej Industries Ltd.</t>
  </si>
  <si>
    <t>INE233A01035</t>
  </si>
  <si>
    <t>Food Products</t>
  </si>
  <si>
    <t>100255</t>
  </si>
  <si>
    <t>PNC Infratech Ltd.</t>
  </si>
  <si>
    <t>INE195J01029</t>
  </si>
  <si>
    <t>100690</t>
  </si>
  <si>
    <t>IG Petrochemicals Ltd.</t>
  </si>
  <si>
    <t>INE204A01010</t>
  </si>
  <si>
    <t>101081</t>
  </si>
  <si>
    <t>Suven Pharmaceuticals Ltd.</t>
  </si>
  <si>
    <t>INE03QK01018</t>
  </si>
  <si>
    <t>100282</t>
  </si>
  <si>
    <t>Blue Star Ltd.</t>
  </si>
  <si>
    <t>INE472A01039</t>
  </si>
  <si>
    <t>100325</t>
  </si>
  <si>
    <t>Bajaj Holdings &amp; Investment Ltd.</t>
  </si>
  <si>
    <t>INE118A01012</t>
  </si>
  <si>
    <t>100570</t>
  </si>
  <si>
    <t>K.P.R. Mill Ltd.</t>
  </si>
  <si>
    <t>INE930H01031</t>
  </si>
  <si>
    <t>Textiles &amp; Apparels</t>
  </si>
  <si>
    <t>100095</t>
  </si>
  <si>
    <t>Bharti Airtel Ltd.</t>
  </si>
  <si>
    <t>INE397D01024</t>
  </si>
  <si>
    <t>Telecom - Services</t>
  </si>
  <si>
    <t>100821</t>
  </si>
  <si>
    <t>TTK Prestige Ltd.</t>
  </si>
  <si>
    <t>INE690A01028</t>
  </si>
  <si>
    <t>101415</t>
  </si>
  <si>
    <t>HINDUSTAN OIL EXPLORATION CO.LTD.</t>
  </si>
  <si>
    <t>INE345A01011</t>
  </si>
  <si>
    <t>Oil</t>
  </si>
  <si>
    <t>100107</t>
  </si>
  <si>
    <t>Max Financial Services Ltd.</t>
  </si>
  <si>
    <t>INE180A01020</t>
  </si>
  <si>
    <t>100553</t>
  </si>
  <si>
    <t>Kennametal India Ltd.</t>
  </si>
  <si>
    <t>INE717A01029</t>
  </si>
  <si>
    <t>Industrial Manufacturing</t>
  </si>
  <si>
    <t>101521</t>
  </si>
  <si>
    <t>Lux Industries Ltd.</t>
  </si>
  <si>
    <t>INE150G01020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</si>
  <si>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</si>
  <si>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</si>
  <si>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</si>
  <si>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</si>
  <si>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</si>
  <si>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</si>
  <si>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</si>
  <si>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</si>
  <si>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</si>
  <si>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</si>
  <si>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</si>
  <si>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</si>
  <si>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</si>
  <si>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</si>
  <si>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</si>
  <si>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</si>
  <si>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</si>
  <si>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</si>
  <si>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</si>
  <si>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</si>
  <si>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</si>
  <si>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</si>
  <si>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</si>
  <si>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</si>
  <si>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</si>
  <si>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</si>
  <si>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</si>
  <si>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</si>
  <si>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</si>
  <si>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</si>
  <si>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</si>
  <si>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</si>
  <si>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</si>
  <si>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</si>
  <si>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</si>
  <si>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</si>
  <si>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</si>
  <si>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</si>
  <si>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</si>
  <si>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</si>
  <si>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</si>
  <si>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</si>
  <si>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</si>
  <si>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</si>
  <si>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July 29, 2022 : 146.60)</t>
  </si>
  <si>
    <t>Taurus Flexi Cap Fund - Direct Plan Growth Option</t>
  </si>
  <si>
    <t>NAV [Rs.] Per Unit (as on July 29, 2022 : 152.27)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</si>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</sst>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l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9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44773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124669</v>
      </c>
      <c r="H10" s="32">
        <v>1020.42</v>
      </c>
      <c r="I10" s="32">
        <v>4.1399999999999997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85816</v>
      </c>
      <c r="H11" s="32">
        <v>999.54</v>
      </c>
      <c r="I11" s="32">
        <v>4.05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36787</v>
      </c>
      <c r="H12" s="32">
        <v>990.05</v>
      </c>
      <c r="I12" s="32">
        <v>4.01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74196</v>
      </c>
      <c r="H13" s="32">
        <v>926.97</v>
      </c>
      <c r="I13" s="32">
        <v>3.76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34155</v>
      </c>
      <c r="H14" s="32">
        <v>877.58</v>
      </c>
      <c r="I14" s="32">
        <v>3.56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218039</v>
      </c>
      <c r="H15" s="32">
        <v>841.63</v>
      </c>
      <c r="I15" s="32">
        <v>3.41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106959</v>
      </c>
      <c r="H16" s="32">
        <v>816.95</v>
      </c>
      <c r="I16" s="32">
        <v>3.31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33378</v>
      </c>
      <c r="H17" s="32">
        <v>810.42</v>
      </c>
      <c r="I17" s="32">
        <v>3.28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84734</v>
      </c>
      <c r="H18" s="32">
        <v>799.51</v>
      </c>
      <c r="I18" s="32">
        <v>3.24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40087</v>
      </c>
      <c r="H19" s="32">
        <v>783.82</v>
      </c>
      <c r="I19" s="32">
        <v>3.18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98352</v>
      </c>
      <c r="H20" s="32">
        <v>728.05</v>
      </c>
      <c r="I20" s="32">
        <v>2.95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58</v>
      </c>
      <c r="G21" s="31">
        <v>54685</v>
      </c>
      <c r="H21" s="32">
        <v>722.94</v>
      </c>
      <c r="I21" s="32">
        <v>2.93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18</v>
      </c>
      <c r="G22" s="31">
        <v>39898</v>
      </c>
      <c r="H22" s="32">
        <v>722.47</v>
      </c>
      <c r="I22" s="32">
        <v>2.93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172722</v>
      </c>
      <c r="H23" s="32">
        <v>717.14</v>
      </c>
      <c r="I23" s="32">
        <v>2.91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913655</v>
      </c>
      <c r="H24" s="32">
        <v>703.97</v>
      </c>
      <c r="I24" s="32">
        <v>2.85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20519</v>
      </c>
      <c r="H25" s="32">
        <v>641.98</v>
      </c>
      <c r="I25" s="32">
        <v>2.6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50</v>
      </c>
      <c r="G26" s="31">
        <v>60827</v>
      </c>
      <c r="H26" s="32">
        <v>631.63</v>
      </c>
      <c r="I26" s="32">
        <v>2.56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38</v>
      </c>
      <c r="G27" s="31">
        <v>149240</v>
      </c>
      <c r="H27" s="32">
        <v>617.41</v>
      </c>
      <c r="I27" s="32">
        <v>2.5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30</v>
      </c>
      <c r="G28" s="31">
        <v>52383</v>
      </c>
      <c r="H28" s="32">
        <v>616.86</v>
      </c>
      <c r="I28" s="32">
        <v>2.5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232799</v>
      </c>
      <c r="H29" s="32">
        <v>591.30999999999995</v>
      </c>
      <c r="I29" s="32">
        <v>2.4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54</v>
      </c>
      <c r="G30" s="31">
        <v>25547</v>
      </c>
      <c r="H30" s="32">
        <v>589.91999999999996</v>
      </c>
      <c r="I30" s="32">
        <v>2.39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32400</v>
      </c>
      <c r="H31" s="32">
        <v>587.78</v>
      </c>
      <c r="I31" s="32">
        <v>2.38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96</v>
      </c>
      <c r="G32" s="31">
        <v>24300</v>
      </c>
      <c r="H32" s="32">
        <v>562.76</v>
      </c>
      <c r="I32" s="32">
        <v>2.2799999999999998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46</v>
      </c>
      <c r="G33" s="31">
        <v>22292</v>
      </c>
      <c r="H33" s="32">
        <v>546.22</v>
      </c>
      <c r="I33" s="32">
        <v>2.21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76</v>
      </c>
      <c r="G34" s="31">
        <v>29369</v>
      </c>
      <c r="H34" s="32">
        <v>520.61</v>
      </c>
      <c r="I34" s="32">
        <v>2.11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54</v>
      </c>
      <c r="G35" s="31">
        <v>229326</v>
      </c>
      <c r="H35" s="32">
        <v>504.29</v>
      </c>
      <c r="I35" s="32">
        <v>2.04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80378</v>
      </c>
      <c r="H36" s="32">
        <v>445.17</v>
      </c>
      <c r="I36" s="32">
        <v>1.8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108600</v>
      </c>
      <c r="H37" s="32">
        <v>429.02</v>
      </c>
      <c r="I37" s="32">
        <v>1.74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58</v>
      </c>
      <c r="G38" s="31">
        <v>129773</v>
      </c>
      <c r="H38" s="32">
        <v>417.29</v>
      </c>
      <c r="I38" s="32">
        <v>1.69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154787</v>
      </c>
      <c r="H39" s="32">
        <v>407.86</v>
      </c>
      <c r="I39" s="32">
        <v>1.65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90494</v>
      </c>
      <c r="H40" s="32">
        <v>402.43</v>
      </c>
      <c r="I40" s="32">
        <v>1.63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123</v>
      </c>
      <c r="G41" s="31">
        <v>153904</v>
      </c>
      <c r="H41" s="32">
        <v>394.38</v>
      </c>
      <c r="I41" s="32">
        <v>1.6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46</v>
      </c>
      <c r="G42" s="31">
        <v>49823</v>
      </c>
      <c r="H42" s="32">
        <v>313.79000000000002</v>
      </c>
      <c r="I42" s="32">
        <v>1.27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50</v>
      </c>
      <c r="G43" s="31">
        <v>57385</v>
      </c>
      <c r="H43" s="32">
        <v>276.11</v>
      </c>
      <c r="I43" s="32">
        <v>1.1200000000000001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30</v>
      </c>
      <c r="G44" s="31">
        <v>27853</v>
      </c>
      <c r="H44" s="32">
        <v>274.17</v>
      </c>
      <c r="I44" s="32">
        <v>1.1100000000000001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76</v>
      </c>
      <c r="G45" s="31">
        <v>5258</v>
      </c>
      <c r="H45" s="32">
        <v>274.12</v>
      </c>
      <c r="I45" s="32">
        <v>1.1100000000000001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46480</v>
      </c>
      <c r="H46" s="32">
        <v>273.20999999999998</v>
      </c>
      <c r="I46" s="32">
        <v>1.1100000000000001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32881</v>
      </c>
      <c r="H47" s="32">
        <v>222.9</v>
      </c>
      <c r="I47" s="32">
        <v>0.9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30</v>
      </c>
      <c r="G48" s="31">
        <v>24233</v>
      </c>
      <c r="H48" s="32">
        <v>214.96</v>
      </c>
      <c r="I48" s="32">
        <v>0.87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121423</v>
      </c>
      <c r="H49" s="32">
        <v>212</v>
      </c>
      <c r="I49" s="32">
        <v>0.86</v>
      </c>
      <c r="J49" s="33"/>
    </row>
    <row r="50" spans="2:10">
      <c r="B50" s="1" t="s">
        <v>158</v>
      </c>
      <c r="C50" s="20" t="s">
        <v>159</v>
      </c>
      <c r="D50" s="29" t="s">
        <v>160</v>
      </c>
      <c r="E50" s="30"/>
      <c r="F50" s="30" t="s">
        <v>112</v>
      </c>
      <c r="G50" s="31">
        <v>20000</v>
      </c>
      <c r="H50" s="32">
        <v>172.03</v>
      </c>
      <c r="I50" s="32">
        <v>0.7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3989</v>
      </c>
      <c r="H51" s="32">
        <v>91.15</v>
      </c>
      <c r="I51" s="32">
        <v>0.37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146</v>
      </c>
      <c r="G52" s="31">
        <v>4042</v>
      </c>
      <c r="H52" s="32">
        <v>74.91</v>
      </c>
      <c r="I52" s="32">
        <v>0.3</v>
      </c>
      <c r="J52" s="33"/>
    </row>
    <row r="53" spans="2:10">
      <c r="C53" s="28" t="s">
        <v>168</v>
      </c>
      <c r="D53" s="29"/>
      <c r="E53" s="30"/>
      <c r="F53" s="30"/>
      <c r="G53" s="31"/>
      <c r="H53" s="35">
        <v>23767.73</v>
      </c>
      <c r="I53" s="35">
        <v>96.31</v>
      </c>
      <c r="J53" s="33"/>
    </row>
    <row r="54" spans="2:10">
      <c r="C54" s="20"/>
      <c r="D54" s="29"/>
      <c r="E54" s="30"/>
      <c r="F54" s="30"/>
      <c r="G54" s="31"/>
      <c r="H54" s="32"/>
      <c r="I54" s="32"/>
      <c r="J54" s="33"/>
    </row>
    <row r="55" spans="2:10">
      <c r="C55" s="34" t="s">
        <v>169</v>
      </c>
      <c r="D55" s="29"/>
      <c r="E55" s="30"/>
      <c r="F55" s="30"/>
      <c r="G55" s="31"/>
      <c r="H55" s="32"/>
      <c r="I55" s="32"/>
      <c r="J55" s="33"/>
    </row>
    <row r="56" spans="2:10">
      <c r="B56" s="1" t="s">
        <v>170</v>
      </c>
      <c r="C56" s="20" t="s">
        <v>171</v>
      </c>
      <c r="D56" s="29" t="s">
        <v>172</v>
      </c>
      <c r="E56" s="30"/>
      <c r="F56" s="30" t="s">
        <v>173</v>
      </c>
      <c r="G56" s="31">
        <v>189983</v>
      </c>
      <c r="H56" s="36">
        <v>0</v>
      </c>
      <c r="I56" s="32" t="s">
        <v>174</v>
      </c>
      <c r="J56" s="33"/>
    </row>
    <row r="57" spans="2:10">
      <c r="C57" s="28" t="s">
        <v>168</v>
      </c>
      <c r="D57" s="29"/>
      <c r="E57" s="30"/>
      <c r="F57" s="30"/>
      <c r="G57" s="31"/>
      <c r="H57" s="37">
        <v>0</v>
      </c>
      <c r="I57" s="35" t="s">
        <v>174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175</v>
      </c>
      <c r="D59" s="29"/>
      <c r="E59" s="30"/>
      <c r="F59" s="30"/>
      <c r="G59" s="31"/>
      <c r="H59" s="32" t="s">
        <v>176</v>
      </c>
      <c r="I59" s="32" t="s">
        <v>176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177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178</v>
      </c>
      <c r="D63" s="29"/>
      <c r="E63" s="30"/>
      <c r="F63" s="30"/>
      <c r="G63" s="31"/>
      <c r="H63" s="32" t="s">
        <v>176</v>
      </c>
      <c r="I63" s="32" t="s">
        <v>176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179</v>
      </c>
      <c r="D65" s="29"/>
      <c r="E65" s="30"/>
      <c r="F65" s="30"/>
      <c r="G65" s="31"/>
      <c r="H65" s="32" t="s">
        <v>176</v>
      </c>
      <c r="I65" s="32" t="s">
        <v>176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180</v>
      </c>
      <c r="D67" s="29"/>
      <c r="E67" s="30"/>
      <c r="F67" s="30"/>
      <c r="G67" s="31"/>
      <c r="H67" s="32" t="s">
        <v>176</v>
      </c>
      <c r="I67" s="32" t="s">
        <v>176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181</v>
      </c>
      <c r="D69" s="29"/>
      <c r="E69" s="30"/>
      <c r="F69" s="30"/>
      <c r="G69" s="31"/>
      <c r="H69" s="32" t="s">
        <v>176</v>
      </c>
      <c r="I69" s="32" t="s">
        <v>176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182</v>
      </c>
      <c r="D71" s="29"/>
      <c r="E71" s="30"/>
      <c r="F71" s="30"/>
      <c r="G71" s="31"/>
      <c r="H71" s="32" t="s">
        <v>176</v>
      </c>
      <c r="I71" s="32" t="s">
        <v>176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183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184</v>
      </c>
      <c r="D75" s="29"/>
      <c r="E75" s="30"/>
      <c r="F75" s="30"/>
      <c r="G75" s="31"/>
      <c r="H75" s="32" t="s">
        <v>176</v>
      </c>
      <c r="I75" s="32" t="s">
        <v>176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185</v>
      </c>
      <c r="D77" s="29"/>
      <c r="E77" s="30"/>
      <c r="F77" s="30"/>
      <c r="G77" s="31"/>
      <c r="H77" s="32" t="s">
        <v>176</v>
      </c>
      <c r="I77" s="32" t="s">
        <v>176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186</v>
      </c>
      <c r="D79" s="29"/>
      <c r="E79" s="30"/>
      <c r="F79" s="30"/>
      <c r="G79" s="31"/>
      <c r="H79" s="32" t="s">
        <v>176</v>
      </c>
      <c r="I79" s="32" t="s">
        <v>176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187</v>
      </c>
      <c r="D81" s="29"/>
      <c r="E81" s="30"/>
      <c r="F81" s="30"/>
      <c r="G81" s="31"/>
      <c r="H81" s="32" t="s">
        <v>176</v>
      </c>
      <c r="I81" s="32" t="s">
        <v>176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188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189</v>
      </c>
      <c r="D85" s="29"/>
      <c r="E85" s="30"/>
      <c r="F85" s="30"/>
      <c r="G85" s="31"/>
      <c r="H85" s="32" t="s">
        <v>176</v>
      </c>
      <c r="I85" s="32" t="s">
        <v>176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190</v>
      </c>
      <c r="D87" s="29"/>
      <c r="E87" s="30"/>
      <c r="F87" s="30"/>
      <c r="G87" s="31"/>
      <c r="H87" s="32" t="s">
        <v>176</v>
      </c>
      <c r="I87" s="32" t="s">
        <v>176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191</v>
      </c>
      <c r="D89" s="29"/>
      <c r="E89" s="30"/>
      <c r="F89" s="30"/>
      <c r="G89" s="31"/>
      <c r="H89" s="32" t="s">
        <v>176</v>
      </c>
      <c r="I89" s="32" t="s">
        <v>176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192</v>
      </c>
      <c r="D91" s="29"/>
      <c r="E91" s="30"/>
      <c r="F91" s="30"/>
      <c r="G91" s="31"/>
      <c r="H91" s="32" t="s">
        <v>176</v>
      </c>
      <c r="I91" s="32" t="s">
        <v>176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193</v>
      </c>
      <c r="D93" s="29"/>
      <c r="E93" s="30"/>
      <c r="F93" s="30"/>
      <c r="G93" s="31"/>
      <c r="H93" s="32" t="s">
        <v>176</v>
      </c>
      <c r="I93" s="32" t="s">
        <v>176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194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195</v>
      </c>
      <c r="D96" s="29"/>
      <c r="E96" s="30"/>
      <c r="F96" s="30"/>
      <c r="G96" s="31"/>
      <c r="H96" s="32">
        <v>903.51</v>
      </c>
      <c r="I96" s="32">
        <v>3.69</v>
      </c>
      <c r="J96" s="33"/>
    </row>
    <row r="97" spans="3:10">
      <c r="C97" s="28" t="s">
        <v>168</v>
      </c>
      <c r="D97" s="29"/>
      <c r="E97" s="30"/>
      <c r="F97" s="30"/>
      <c r="G97" s="31"/>
      <c r="H97" s="35">
        <v>903.51</v>
      </c>
      <c r="I97" s="35">
        <v>3.69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8" thickBot="1">
      <c r="C99" s="38" t="s">
        <v>196</v>
      </c>
      <c r="D99" s="39"/>
      <c r="E99" s="40"/>
      <c r="F99" s="41"/>
      <c r="G99" s="42"/>
      <c r="H99" s="43">
        <v>24671.24</v>
      </c>
      <c r="I99" s="43">
        <f>SUMIFS(I:I,C:C,"Total")</f>
        <v>100</v>
      </c>
      <c r="J99" s="44"/>
    </row>
    <row r="102" spans="3:10">
      <c r="C102" s="11" t="s">
        <v>197</v>
      </c>
    </row>
    <row r="103" spans="3:10">
      <c r="C103" s="2" t="s">
        <v>198</v>
      </c>
    </row>
    <row r="104" spans="3:10">
      <c r="C104" s="2" t="s">
        <v>199</v>
      </c>
    </row>
    <row r="105" spans="3:10">
      <c r="C105" s="2" t="s">
        <v>200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20" sqref="A20"/>
    </sheetView>
  </sheetViews>
  <sheetFormatPr defaultRowHeight="14.4"/>
  <cols>
    <col min="1" max="1" width="44.5546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5" t="s">
        <v>201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202</v>
      </c>
      <c r="B5" s="48" t="s">
        <v>203</v>
      </c>
      <c r="C5" s="48"/>
      <c r="D5" s="48" t="s">
        <v>204</v>
      </c>
      <c r="E5" s="48"/>
      <c r="F5" s="48" t="s">
        <v>205</v>
      </c>
      <c r="G5" s="48"/>
      <c r="H5" s="48" t="s">
        <v>206</v>
      </c>
      <c r="I5" s="48"/>
    </row>
    <row r="6" spans="1:9" ht="66">
      <c r="A6" s="49"/>
      <c r="B6" s="50" t="s">
        <v>207</v>
      </c>
      <c r="C6" s="50" t="s">
        <v>208</v>
      </c>
      <c r="D6" s="50" t="s">
        <v>207</v>
      </c>
      <c r="E6" s="50" t="s">
        <v>208</v>
      </c>
      <c r="F6" s="50" t="s">
        <v>207</v>
      </c>
      <c r="G6" s="50" t="s">
        <v>208</v>
      </c>
      <c r="H6" s="50" t="s">
        <v>207</v>
      </c>
      <c r="I6" s="50" t="s">
        <v>208</v>
      </c>
    </row>
    <row r="7" spans="1:9">
      <c r="A7" s="51" t="s">
        <v>209</v>
      </c>
      <c r="B7" s="52">
        <v>5.1951779563719658</v>
      </c>
      <c r="C7" s="52">
        <v>10519.517795637197</v>
      </c>
      <c r="D7" s="52">
        <v>12.05711852400848</v>
      </c>
      <c r="E7" s="52">
        <v>14066.398004221837</v>
      </c>
      <c r="F7" s="52">
        <v>5.4483534617645768</v>
      </c>
      <c r="G7" s="52">
        <v>13035.746043037525</v>
      </c>
      <c r="H7" s="52">
        <v>9.8731132516276752</v>
      </c>
      <c r="I7" s="52">
        <v>146600</v>
      </c>
    </row>
    <row r="8" spans="1:9">
      <c r="A8" s="51" t="s">
        <v>210</v>
      </c>
      <c r="B8" s="52">
        <v>8.824903942870721</v>
      </c>
      <c r="C8" s="52">
        <v>10882.490394287071</v>
      </c>
      <c r="D8" s="52">
        <v>19.222610907066027</v>
      </c>
      <c r="E8" s="52">
        <v>16946.338815513991</v>
      </c>
      <c r="F8" s="52">
        <v>12.337239900336128</v>
      </c>
      <c r="G8" s="52">
        <v>17890.346241670519</v>
      </c>
      <c r="H8" s="52">
        <v>0</v>
      </c>
      <c r="I8" s="52">
        <v>0</v>
      </c>
    </row>
    <row r="9" spans="1:9">
      <c r="A9" s="51" t="s">
        <v>211</v>
      </c>
      <c r="B9" s="52">
        <v>10.235050939379086</v>
      </c>
      <c r="C9" s="52">
        <v>11023.505093937909</v>
      </c>
      <c r="D9" s="52">
        <v>16.976851202855837</v>
      </c>
      <c r="E9" s="52">
        <v>16006.625364245259</v>
      </c>
      <c r="F9" s="52">
        <v>12.626505620538641</v>
      </c>
      <c r="G9" s="52">
        <v>18121.871599718976</v>
      </c>
      <c r="H9" s="52">
        <v>10.770292671024716</v>
      </c>
      <c r="I9" s="52">
        <v>184813.43239594356</v>
      </c>
    </row>
    <row r="10" spans="1:9">
      <c r="A10" s="51" t="s">
        <v>212</v>
      </c>
      <c r="B10" s="53">
        <v>139.36000000000001</v>
      </c>
      <c r="C10" s="54"/>
      <c r="D10" s="53">
        <v>104.22</v>
      </c>
      <c r="E10" s="54"/>
      <c r="F10" s="53">
        <v>112.46</v>
      </c>
      <c r="G10" s="54"/>
      <c r="H10" s="53">
        <v>10</v>
      </c>
      <c r="I10" s="54"/>
    </row>
    <row r="12" spans="1:9" ht="15.6">
      <c r="A12" s="45" t="s">
        <v>213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202</v>
      </c>
      <c r="B13" s="48" t="s">
        <v>203</v>
      </c>
      <c r="C13" s="48"/>
      <c r="D13" s="48" t="s">
        <v>204</v>
      </c>
      <c r="E13" s="48"/>
      <c r="F13" s="48" t="s">
        <v>205</v>
      </c>
      <c r="G13" s="48"/>
      <c r="H13" s="48" t="s">
        <v>206</v>
      </c>
      <c r="I13" s="48"/>
    </row>
    <row r="14" spans="1:9" ht="66">
      <c r="A14" s="49"/>
      <c r="B14" s="50" t="s">
        <v>207</v>
      </c>
      <c r="C14" s="50" t="s">
        <v>208</v>
      </c>
      <c r="D14" s="50" t="s">
        <v>207</v>
      </c>
      <c r="E14" s="50" t="s">
        <v>208</v>
      </c>
      <c r="F14" s="50" t="s">
        <v>207</v>
      </c>
      <c r="G14" s="50" t="s">
        <v>208</v>
      </c>
      <c r="H14" s="50" t="s">
        <v>207</v>
      </c>
      <c r="I14" s="50" t="s">
        <v>208</v>
      </c>
    </row>
    <row r="15" spans="1:9">
      <c r="A15" s="51" t="s">
        <v>209</v>
      </c>
      <c r="B15" s="52">
        <v>5.2387863708618587</v>
      </c>
      <c r="C15" s="52">
        <v>10523.878637086185</v>
      </c>
      <c r="D15" s="52">
        <v>12.143899809183401</v>
      </c>
      <c r="E15" s="52">
        <v>14099.074074074075</v>
      </c>
      <c r="F15" s="52">
        <v>5.5551824710349695</v>
      </c>
      <c r="G15" s="52">
        <v>13101.875752882466</v>
      </c>
      <c r="H15" s="52">
        <v>9.4680738198597467</v>
      </c>
      <c r="I15" s="52">
        <v>23784.754764136211</v>
      </c>
    </row>
    <row r="16" spans="1:9">
      <c r="A16" s="51" t="s">
        <v>210</v>
      </c>
      <c r="B16" s="52">
        <v>8.824903942870721</v>
      </c>
      <c r="C16" s="52">
        <v>10882.490394287071</v>
      </c>
      <c r="D16" s="52">
        <v>19.222610907066027</v>
      </c>
      <c r="E16" s="52">
        <v>16946.338815513991</v>
      </c>
      <c r="F16" s="52">
        <v>12.337239900336128</v>
      </c>
      <c r="G16" s="52">
        <v>17890.346241670519</v>
      </c>
      <c r="H16" s="52">
        <v>13.864289187698176</v>
      </c>
      <c r="I16" s="52">
        <v>34680.431028378778</v>
      </c>
    </row>
    <row r="17" spans="1:9">
      <c r="A17" s="51" t="s">
        <v>211</v>
      </c>
      <c r="B17" s="52">
        <v>10.235050939379086</v>
      </c>
      <c r="C17" s="52">
        <v>11023.505093937909</v>
      </c>
      <c r="D17" s="52">
        <v>16.976851202855837</v>
      </c>
      <c r="E17" s="52">
        <v>16006.625364245259</v>
      </c>
      <c r="F17" s="52">
        <v>12.626505620538641</v>
      </c>
      <c r="G17" s="52">
        <v>18121.871599718976</v>
      </c>
      <c r="H17" s="52">
        <v>13.093776000526969</v>
      </c>
      <c r="I17" s="52">
        <v>32496.778123129268</v>
      </c>
    </row>
    <row r="18" spans="1:9">
      <c r="A18" s="51" t="s">
        <v>214</v>
      </c>
      <c r="B18" s="53">
        <v>144.69</v>
      </c>
      <c r="C18" s="54"/>
      <c r="D18" s="53">
        <v>108</v>
      </c>
      <c r="E18" s="54"/>
      <c r="F18" s="53">
        <v>116.22</v>
      </c>
      <c r="G18" s="54"/>
      <c r="H18" s="53">
        <v>64.02</v>
      </c>
      <c r="I18" s="54"/>
    </row>
    <row r="20" spans="1:9">
      <c r="A20" t="s">
        <v>215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2022-08-01T06:49:24Z</dcterms:created>
  <dcterms:modified xsi:type="dcterms:W3CDTF">2022-08-05T06:45:11Z</dcterms:modified>
</cp:coreProperties>
</file>