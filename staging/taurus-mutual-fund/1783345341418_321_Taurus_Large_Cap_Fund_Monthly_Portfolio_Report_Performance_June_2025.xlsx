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B21E6678-9329-479D-AAB1-1E7947666B22}" xr6:coauthVersionLast="47" xr6:coauthVersionMax="47" xr10:uidLastSave="{00000000-0000-0000-0000-000000000000}"/>
  <bookViews>
    <workbookView xWindow="-120" yWindow="-120" windowWidth="20730" windowHeight="11040" xr2:uid="{469C916C-703E-4506-BB15-58FB1354BACE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TBF!$C$8:$C$41</definedName>
    <definedName name="XDO_?CLASS_4?">TBF!$C$9</definedName>
    <definedName name="XDO_?CS_1?">TBF!$H$11</definedName>
    <definedName name="XDO_?CS_2?">TBF!$I$11</definedName>
    <definedName name="XDO_?FINAL_ISIN?">TBF!$D$10:$D$85</definedName>
    <definedName name="XDO_?FINAL_MV?">TBF!$H$10:$H$85</definedName>
    <definedName name="XDO_?FINAL_NAME?">TBF!$C$10:$C$85</definedName>
    <definedName name="XDO_?FINAL_PER_NET?">TBF!$I$10:$I$85</definedName>
    <definedName name="XDO_?FINAL_QUANTITE?">TBF!$G$10:$G$85</definedName>
    <definedName name="XDO_?IND_01?">TBF!$F$10:$F$85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TBF!$C$2:$C$41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TBF!$B$10:$B$85</definedName>
    <definedName name="XDO_?NPTF?">TBF!$D$2:$D$41</definedName>
    <definedName name="XDO_?RATING?">TBF!$E$10:$E$85</definedName>
    <definedName name="XDO_?REMARKS?">TBF!$J$10:$J$85</definedName>
    <definedName name="XDO_?TDATE?">TBF!$D$4</definedName>
    <definedName name="XDO_?TITL?">TBF!$A$8:$A$41</definedName>
    <definedName name="XDO_GROUP_?G_2?">TBF!$2:$88</definedName>
    <definedName name="XDO_GROUP_?G_3?">TBF!$8:$87</definedName>
    <definedName name="XDO_GROUP_?G_4?">TBF!$B$85:$IV$85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<sst xmlns="http://schemas.openxmlformats.org/spreadsheetml/2006/main" count="266" uniqueCount="196">
  <si>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</si>
  <si>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</si>
  <si>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</si>
  <si>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</si>
  <si>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</si>
  <si>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</si>
  <si>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</si>
  <si>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</si>
  <si>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</si>
  <si>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</si>
  <si>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</si>
  <si>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</si>
  <si>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</si>
  <si>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</si>
  <si>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</si>
  <si>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</si>
  <si>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</si>
  <si>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</si>
  <si>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</si>
  <si>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</si>
  <si>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</si>
  <si>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</si>
  <si>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</si>
  <si>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</si>
  <si>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</si>
  <si>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</si>
  <si>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</si>
  <si>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</si>
  <si>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</si>
  <si>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</si>
  <si>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100169</t>
  </si>
  <si>
    <t>Indian Oil Corporation Ltd.</t>
  </si>
  <si>
    <t>INE242A01010</t>
  </si>
  <si>
    <t>Petroleum Products</t>
  </si>
  <si>
    <t>100010</t>
  </si>
  <si>
    <t>State Bank of India</t>
  </si>
  <si>
    <t>INE062A01020</t>
  </si>
  <si>
    <t>100002</t>
  </si>
  <si>
    <t>Reliance Industries Ltd.</t>
  </si>
  <si>
    <t>INE002A01018</t>
  </si>
  <si>
    <t>100566</t>
  </si>
  <si>
    <t>Laurus Labs Ltd.</t>
  </si>
  <si>
    <t>INE947Q01028</t>
  </si>
  <si>
    <t>Pharmaceuticals &amp; Biotechnology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</si>
  <si>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</si>
  <si>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</si>
  <si>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</si>
  <si>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</si>
  <si>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</si>
  <si>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</si>
  <si>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</si>
  <si>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100380</t>
  </si>
  <si>
    <t>Bajaj Finserv Ltd.</t>
  </si>
  <si>
    <t>INE918I01026</t>
  </si>
  <si>
    <t>Finance</t>
  </si>
  <si>
    <t>100095</t>
  </si>
  <si>
    <t>Bharti Airtel Ltd.</t>
  </si>
  <si>
    <t>INE397D01024</t>
  </si>
  <si>
    <t>Telecom - Services</t>
  </si>
  <si>
    <t>100302</t>
  </si>
  <si>
    <t>DLF Ltd.</t>
  </si>
  <si>
    <t>INE271C01023</t>
  </si>
  <si>
    <t>Realty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</si>
  <si>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</si>
  <si>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</si>
  <si>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</si>
  <si>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</si>
  <si>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</si>
  <si>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</si>
  <si>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</si>
  <si>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100830</t>
  </si>
  <si>
    <t>Varun Beverages Ltd.</t>
  </si>
  <si>
    <t>INE200M01039</t>
  </si>
  <si>
    <t>Beverages</t>
  </si>
  <si>
    <t>100111</t>
  </si>
  <si>
    <t>Oil &amp; Natural Gas Corporation Ltd.</t>
  </si>
  <si>
    <t>INE213A01029</t>
  </si>
  <si>
    <t>Oil</t>
  </si>
  <si>
    <t>100011</t>
  </si>
  <si>
    <t>Wipro Ltd.</t>
  </si>
  <si>
    <t>INE075A01022</t>
  </si>
  <si>
    <t>IT - Software</t>
  </si>
  <si>
    <t>100083</t>
  </si>
  <si>
    <t>Samvardhana Motherson International Ltd.</t>
  </si>
  <si>
    <t>INE775A01035</t>
  </si>
  <si>
    <t>Auto Components</t>
  </si>
  <si>
    <t>100008</t>
  </si>
  <si>
    <t>Sun Pharmaceutical Industries Ltd.</t>
  </si>
  <si>
    <t>INE044A01036</t>
  </si>
  <si>
    <t>100399</t>
  </si>
  <si>
    <t>Cholamandalam Investment &amp; Finance Co. Ltd.</t>
  </si>
  <si>
    <t>INE121A01024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</si>
  <si>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</si>
  <si>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</si>
  <si>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</si>
  <si>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</si>
  <si>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</si>
  <si>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</si>
  <si>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</si>
  <si>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102005</t>
  </si>
  <si>
    <t>Tata Technologies Ltd.</t>
  </si>
  <si>
    <t>INE142M01025</t>
  </si>
  <si>
    <t>IT - Services</t>
  </si>
  <si>
    <t>100037</t>
  </si>
  <si>
    <t>HCL Technologies Ltd.</t>
  </si>
  <si>
    <t>INE860A01027</t>
  </si>
  <si>
    <t>100106</t>
  </si>
  <si>
    <t>Maruti Suzuki India Ltd.</t>
  </si>
  <si>
    <t>INE585B01010</t>
  </si>
  <si>
    <t>100155</t>
  </si>
  <si>
    <t>Divi's Laboratories Ltd.</t>
  </si>
  <si>
    <t>INE361B01024</t>
  </si>
  <si>
    <t>100081</t>
  </si>
  <si>
    <t>Titan Company Ltd.</t>
  </si>
  <si>
    <t>INE280A01028</t>
  </si>
  <si>
    <t>Consumer Durables</t>
  </si>
  <si>
    <t>100177</t>
  </si>
  <si>
    <t>Grasim Industries Ltd.</t>
  </si>
  <si>
    <t>INE047A01021</t>
  </si>
  <si>
    <t>Cement &amp; Cement Products</t>
  </si>
  <si>
    <t>100092</t>
  </si>
  <si>
    <t>Bank of Baroda</t>
  </si>
  <si>
    <t>INE028A01039</t>
  </si>
  <si>
    <t>100733</t>
  </si>
  <si>
    <t>General Insurance Corporation of India</t>
  </si>
  <si>
    <t>INE481Y01014</t>
  </si>
  <si>
    <t>Insurance</t>
  </si>
  <si>
    <t>100156</t>
  </si>
  <si>
    <t>Finolex Cables Ltd.</t>
  </si>
  <si>
    <t>INE235A01022</t>
  </si>
  <si>
    <t>Industrial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</si>
  <si>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</si>
  <si>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</si>
  <si>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</si>
  <si>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</si>
  <si>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</si>
  <si>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</si>
  <si>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</si>
  <si>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</si>
  <si>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</si>
  <si>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</si>
  <si>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</si>
  <si>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</si>
  <si>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</si>
  <si>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</si>
  <si>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</si>
  <si>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</si>
  <si>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</si>
  <si>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</si>
  <si>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</si>
  <si>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</si>
  <si>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</si>
  <si>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</si>
  <si>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</si>
  <si>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</si>
  <si>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</si>
  <si>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</si>
  <si>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</si>
  <si>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</si>
  <si>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</si>
  <si>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</si>
  <si>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</si>
  <si>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</si>
  <si>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</si>
  <si>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</si>
  <si>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</si>
  <si>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</si>
  <si>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</si>
  <si>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</si>
  <si>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</si>
  <si>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</si>
  <si>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</si>
  <si>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June 30, 2025.</t>
  </si>
  <si>
    <t>7. The Scheme did not declare any bonus during the month ended As on  June 30, 2025.</t>
  </si>
  <si>
    <t>8. Total outstanding exposure in derivative instruments as on As on  June 30, 2025 is Nil</t>
  </si>
  <si>
    <t>9. Total investments in Foreign Securities /ADRs/GDRs /Overseas ETFs as at As on  June 30, 2025 and its percentage to NAV is Nil.</t>
  </si>
  <si>
    <t>10. During the period, the portfolio turnover ratio is 0.87 times.</t>
  </si>
  <si>
    <t>      Portfolio Turnover Ratio = Lower of sales or purchase of securities divided by average AUM for 12 months ended As on  June 30, 2025</t>
  </si>
  <si>
    <t>11. The Scheme did not invest in repo transactions of corporate debt securities during the month ended As on June 30, 2025.</t>
  </si>
  <si>
    <t>12. The Scheme did not invest in credit default swaps during the month ended As on  June 30, 2025.</t>
  </si>
  <si>
    <t>13. There are Nil instances of deviation from the valuation principles/guidelines during the month ended as on June 30th, 2025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</si>
  <si>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</si>
  <si>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</si>
  <si>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</si>
  <si>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</si>
  <si>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</si>
  <si>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</si>
  <si>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</si>
  <si>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</si>
  <si>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</si>
  <si>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</si>
  <si>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</si>
  <si>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</si>
  <si>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June 30,2025 :158.73)</t>
  </si>
  <si>
    <t>Taurus Largecap Fund - Direct Plan Growth Option</t>
  </si>
  <si>
    <t>NAV [Rs.] Per Unit (as on June 30,2025 :167.91)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</si>
</sst>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9030985B-636D-4302-9F08-92FE387AD82C}"/>
    <cellStyle name="Hyperlink" xfId="2" builtinId="8"/>
    <cellStyle name="Normal" xfId="0" builtinId="0"/>
    <cellStyle name="Normal 2" xfId="4" xr:uid="{E3BD3E2E-2311-4D71-BB04-7DBE928467CC}"/>
    <cellStyle name="Style 1" xfId="3" xr:uid="{99A296E6-EDAB-4D1F-8701-E6B1B6D1C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12BA1-A155-4CBB-A7ED-9A236250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80F4-DE08-42A0-B01D-00B7DBD9B549}">
  <sheetPr codeName="Sheet1"/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21562</v>
      </c>
      <c r="H10" s="32">
        <v>431.39</v>
      </c>
      <c r="I10" s="32">
        <v>8.49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103545</v>
      </c>
      <c r="H11" s="32">
        <v>431.26</v>
      </c>
      <c r="I11" s="32">
        <v>8.49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22452</v>
      </c>
      <c r="H12" s="32">
        <v>324.61</v>
      </c>
      <c r="I12" s="32">
        <v>6.39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9520</v>
      </c>
      <c r="H13" s="32">
        <v>303.13</v>
      </c>
      <c r="I13" s="32">
        <v>5.97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196230</v>
      </c>
      <c r="H14" s="32">
        <v>288.36</v>
      </c>
      <c r="I14" s="32">
        <v>5.68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32804</v>
      </c>
      <c r="H15" s="32">
        <v>269.11</v>
      </c>
      <c r="I15" s="32">
        <v>5.3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33</v>
      </c>
      <c r="G16" s="31">
        <v>16131</v>
      </c>
      <c r="H16" s="32">
        <v>242.07</v>
      </c>
      <c r="I16" s="32">
        <v>4.7699999999999996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27125</v>
      </c>
      <c r="H17" s="32">
        <v>196.63</v>
      </c>
      <c r="I17" s="32">
        <v>3.87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14966</v>
      </c>
      <c r="H18" s="32">
        <v>179.44</v>
      </c>
      <c r="I18" s="32">
        <v>3.53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58197</v>
      </c>
      <c r="H19" s="32">
        <v>174.47</v>
      </c>
      <c r="I19" s="32">
        <v>3.43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8025</v>
      </c>
      <c r="H20" s="32">
        <v>164.86</v>
      </c>
      <c r="I20" s="32">
        <v>3.25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8126</v>
      </c>
      <c r="H21" s="32">
        <v>163.28</v>
      </c>
      <c r="I21" s="32">
        <v>3.21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18195</v>
      </c>
      <c r="H22" s="32">
        <v>152.4</v>
      </c>
      <c r="I22" s="32">
        <v>3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43</v>
      </c>
      <c r="G23" s="31">
        <v>9475</v>
      </c>
      <c r="H23" s="32">
        <v>142.63</v>
      </c>
      <c r="I23" s="32">
        <v>2.81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32167</v>
      </c>
      <c r="H24" s="32">
        <v>126.08</v>
      </c>
      <c r="I24" s="32">
        <v>2.48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24495</v>
      </c>
      <c r="H25" s="32">
        <v>112.08</v>
      </c>
      <c r="I25" s="32">
        <v>2.21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42238</v>
      </c>
      <c r="H26" s="32">
        <v>103.12</v>
      </c>
      <c r="I26" s="32">
        <v>2.0299999999999998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37260</v>
      </c>
      <c r="H27" s="32">
        <v>99.11</v>
      </c>
      <c r="I27" s="32">
        <v>1.95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57492</v>
      </c>
      <c r="H28" s="32">
        <v>89</v>
      </c>
      <c r="I28" s="32">
        <v>1.75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43</v>
      </c>
      <c r="G29" s="31">
        <v>5074</v>
      </c>
      <c r="H29" s="32">
        <v>85.08</v>
      </c>
      <c r="I29" s="32">
        <v>1.67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54</v>
      </c>
      <c r="G30" s="31">
        <v>5188</v>
      </c>
      <c r="H30" s="32">
        <v>84.42</v>
      </c>
      <c r="I30" s="32">
        <v>1.66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81</v>
      </c>
      <c r="G31" s="31">
        <v>4339</v>
      </c>
      <c r="H31" s="32">
        <v>69.48</v>
      </c>
      <c r="I31" s="32">
        <v>1.37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1868</v>
      </c>
      <c r="H32" s="32">
        <v>68.53</v>
      </c>
      <c r="I32" s="32">
        <v>1.35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8814</v>
      </c>
      <c r="H33" s="32">
        <v>62.67</v>
      </c>
      <c r="I33" s="32">
        <v>1.23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81</v>
      </c>
      <c r="G34" s="31">
        <v>3491</v>
      </c>
      <c r="H34" s="32">
        <v>60.31</v>
      </c>
      <c r="I34" s="32">
        <v>1.19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29</v>
      </c>
      <c r="G35" s="31">
        <v>443</v>
      </c>
      <c r="H35" s="32">
        <v>54.93</v>
      </c>
      <c r="I35" s="32">
        <v>1.08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43</v>
      </c>
      <c r="G36" s="31">
        <v>798</v>
      </c>
      <c r="H36" s="32">
        <v>54.36</v>
      </c>
      <c r="I36" s="32">
        <v>1.07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1393</v>
      </c>
      <c r="H37" s="32">
        <v>51.39</v>
      </c>
      <c r="I37" s="32">
        <v>1.01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1707</v>
      </c>
      <c r="H38" s="32">
        <v>48.6</v>
      </c>
      <c r="I38" s="32">
        <v>0.96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19400</v>
      </c>
      <c r="H39" s="32">
        <v>48.25</v>
      </c>
      <c r="I39" s="32">
        <v>0.95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11705</v>
      </c>
      <c r="H40" s="32">
        <v>45.06</v>
      </c>
      <c r="I40" s="32">
        <v>0.89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3770</v>
      </c>
      <c r="H41" s="32">
        <v>37.01</v>
      </c>
      <c r="I41" s="32">
        <v>0.73</v>
      </c>
      <c r="J41" s="33"/>
    </row>
    <row r="42" spans="2:10" x14ac:dyDescent="0.25">
      <c r="C42" s="28" t="s">
        <v>131</v>
      </c>
      <c r="D42" s="29"/>
      <c r="E42" s="30"/>
      <c r="F42" s="30"/>
      <c r="G42" s="31"/>
      <c r="H42" s="35">
        <v>4763.12</v>
      </c>
      <c r="I42" s="35">
        <v>93.77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132</v>
      </c>
      <c r="D44" s="29"/>
      <c r="E44" s="30"/>
      <c r="F44" s="30"/>
      <c r="G44" s="31"/>
      <c r="H44" s="32" t="s">
        <v>133</v>
      </c>
      <c r="I44" s="32" t="s">
        <v>133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134</v>
      </c>
      <c r="D46" s="29"/>
      <c r="E46" s="30"/>
      <c r="F46" s="30"/>
      <c r="G46" s="31"/>
      <c r="H46" s="32" t="s">
        <v>133</v>
      </c>
      <c r="I46" s="32" t="s">
        <v>133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135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136</v>
      </c>
      <c r="D50" s="29"/>
      <c r="E50" s="30"/>
      <c r="F50" s="30"/>
      <c r="G50" s="31"/>
      <c r="H50" s="32" t="s">
        <v>133</v>
      </c>
      <c r="I50" s="32" t="s">
        <v>133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137</v>
      </c>
      <c r="D52" s="29"/>
      <c r="E52" s="30"/>
      <c r="F52" s="30"/>
      <c r="G52" s="31"/>
      <c r="H52" s="32" t="s">
        <v>133</v>
      </c>
      <c r="I52" s="32" t="s">
        <v>133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138</v>
      </c>
      <c r="D54" s="29"/>
      <c r="E54" s="30"/>
      <c r="F54" s="30"/>
      <c r="G54" s="31"/>
      <c r="H54" s="32" t="s">
        <v>133</v>
      </c>
      <c r="I54" s="32" t="s">
        <v>133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139</v>
      </c>
      <c r="D56" s="29"/>
      <c r="E56" s="30"/>
      <c r="F56" s="30"/>
      <c r="G56" s="31"/>
      <c r="H56" s="32" t="s">
        <v>133</v>
      </c>
      <c r="I56" s="32" t="s">
        <v>133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140</v>
      </c>
      <c r="D58" s="29"/>
      <c r="E58" s="30"/>
      <c r="F58" s="30"/>
      <c r="G58" s="31"/>
      <c r="H58" s="32" t="s">
        <v>133</v>
      </c>
      <c r="I58" s="32" t="s">
        <v>133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141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142</v>
      </c>
      <c r="D62" s="29"/>
      <c r="E62" s="30"/>
      <c r="F62" s="30"/>
      <c r="G62" s="31"/>
      <c r="H62" s="32" t="s">
        <v>133</v>
      </c>
      <c r="I62" s="32" t="s">
        <v>133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143</v>
      </c>
      <c r="D64" s="29"/>
      <c r="E64" s="30"/>
      <c r="F64" s="30"/>
      <c r="G64" s="31"/>
      <c r="H64" s="32" t="s">
        <v>133</v>
      </c>
      <c r="I64" s="32" t="s">
        <v>133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144</v>
      </c>
      <c r="D66" s="29"/>
      <c r="E66" s="30"/>
      <c r="F66" s="30"/>
      <c r="G66" s="31"/>
      <c r="H66" s="32" t="s">
        <v>133</v>
      </c>
      <c r="I66" s="32" t="s">
        <v>133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145</v>
      </c>
      <c r="D68" s="29"/>
      <c r="E68" s="30"/>
      <c r="F68" s="30"/>
      <c r="G68" s="31"/>
      <c r="H68" s="32" t="s">
        <v>133</v>
      </c>
      <c r="I68" s="32" t="s">
        <v>133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146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147</v>
      </c>
      <c r="D72" s="29"/>
      <c r="E72" s="30"/>
      <c r="F72" s="30"/>
      <c r="G72" s="31"/>
      <c r="H72" s="32" t="s">
        <v>133</v>
      </c>
      <c r="I72" s="32" t="s">
        <v>133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148</v>
      </c>
      <c r="D74" s="29"/>
      <c r="E74" s="30"/>
      <c r="F74" s="30"/>
      <c r="G74" s="31"/>
      <c r="H74" s="32" t="s">
        <v>133</v>
      </c>
      <c r="I74" s="32" t="s">
        <v>133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149</v>
      </c>
      <c r="D76" s="29"/>
      <c r="E76" s="30"/>
      <c r="F76" s="30"/>
      <c r="G76" s="31"/>
      <c r="H76" s="32" t="s">
        <v>133</v>
      </c>
      <c r="I76" s="32" t="s">
        <v>133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150</v>
      </c>
      <c r="D78" s="29"/>
      <c r="E78" s="30"/>
      <c r="F78" s="30"/>
      <c r="G78" s="31"/>
      <c r="H78" s="32" t="s">
        <v>133</v>
      </c>
      <c r="I78" s="32" t="s">
        <v>133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151</v>
      </c>
      <c r="D80" s="29"/>
      <c r="E80" s="30"/>
      <c r="F80" s="30"/>
      <c r="G80" s="31"/>
      <c r="H80" s="32" t="s">
        <v>133</v>
      </c>
      <c r="I80" s="32" t="s">
        <v>133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152</v>
      </c>
      <c r="D82" s="29"/>
      <c r="E82" s="30"/>
      <c r="F82" s="30"/>
      <c r="G82" s="31"/>
      <c r="H82" s="32" t="s">
        <v>133</v>
      </c>
      <c r="I82" s="32" t="s">
        <v>133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153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154</v>
      </c>
      <c r="D85" s="29"/>
      <c r="E85" s="30"/>
      <c r="F85" s="30"/>
      <c r="G85" s="31"/>
      <c r="H85" s="32">
        <v>316.86</v>
      </c>
      <c r="I85" s="32">
        <v>6.23</v>
      </c>
      <c r="J85" s="33"/>
    </row>
    <row r="86" spans="1:10" x14ac:dyDescent="0.25">
      <c r="C86" s="28" t="s">
        <v>131</v>
      </c>
      <c r="D86" s="29"/>
      <c r="E86" s="30"/>
      <c r="F86" s="30"/>
      <c r="G86" s="31"/>
      <c r="H86" s="35">
        <v>316.86</v>
      </c>
      <c r="I86" s="35">
        <v>6.23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155</v>
      </c>
      <c r="D88" s="37"/>
      <c r="E88" s="38"/>
      <c r="F88" s="39"/>
      <c r="G88" s="40"/>
      <c r="H88" s="41">
        <v>5079.9799999999996</v>
      </c>
      <c r="I88" s="41">
        <f>SUMIFS(I:I,C:C,"Total")</f>
        <v>100</v>
      </c>
      <c r="J88" s="42"/>
    </row>
    <row r="91" spans="1:10" x14ac:dyDescent="0.25">
      <c r="C91" s="11" t="s">
        <v>156</v>
      </c>
    </row>
    <row r="92" spans="1:10" x14ac:dyDescent="0.25">
      <c r="C92" s="2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x14ac:dyDescent="0.25">
      <c r="D98" s="2" t="s">
        <v>163</v>
      </c>
    </row>
    <row r="99" spans="3:5" x14ac:dyDescent="0.25">
      <c r="C99" s="2" t="s">
        <v>164</v>
      </c>
      <c r="D99" s="2" t="s">
        <v>165</v>
      </c>
      <c r="E99" s="2" t="s">
        <v>165</v>
      </c>
    </row>
    <row r="100" spans="3:5" x14ac:dyDescent="0.25">
      <c r="D100" s="2" t="s">
        <v>166</v>
      </c>
      <c r="E100" s="2" t="s">
        <v>167</v>
      </c>
    </row>
    <row r="101" spans="3:5" x14ac:dyDescent="0.25">
      <c r="C101" s="2" t="s">
        <v>168</v>
      </c>
      <c r="D101" s="2">
        <v>67.47</v>
      </c>
      <c r="E101" s="2">
        <v>69.53</v>
      </c>
    </row>
    <row r="102" spans="3:5" x14ac:dyDescent="0.25">
      <c r="C102" s="2" t="s">
        <v>169</v>
      </c>
      <c r="D102" s="2">
        <v>154.02000000000001</v>
      </c>
      <c r="E102" s="2">
        <v>158.72999999999999</v>
      </c>
    </row>
    <row r="103" spans="3:5" x14ac:dyDescent="0.25">
      <c r="C103" s="2" t="s">
        <v>170</v>
      </c>
      <c r="D103" s="2">
        <v>71.760000000000005</v>
      </c>
      <c r="E103" s="2">
        <v>73.97</v>
      </c>
    </row>
    <row r="104" spans="3:5" x14ac:dyDescent="0.25">
      <c r="C104" s="2" t="s">
        <v>171</v>
      </c>
      <c r="D104" s="2">
        <v>162.9</v>
      </c>
      <c r="E104" s="2">
        <v>167.91</v>
      </c>
    </row>
    <row r="106" spans="3:5" x14ac:dyDescent="0.25">
      <c r="C106" s="2" t="s">
        <v>172</v>
      </c>
    </row>
    <row r="107" spans="3:5" x14ac:dyDescent="0.25">
      <c r="C107" s="2" t="s">
        <v>173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AF2B-0548-4376-89FE-02E8D49DCCCE}">
  <dimension ref="C3:K17"/>
  <sheetViews>
    <sheetView workbookViewId="0"/>
  </sheetViews>
  <sheetFormatPr defaultRowHeight="15" x14ac:dyDescent="0.25"/>
  <cols>
    <col min="3" max="3" width="45.710937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182</v>
      </c>
      <c r="D4" s="46" t="s">
        <v>183</v>
      </c>
      <c r="E4" s="46"/>
      <c r="F4" s="46" t="s">
        <v>184</v>
      </c>
      <c r="G4" s="46"/>
      <c r="H4" s="46" t="s">
        <v>185</v>
      </c>
      <c r="I4" s="46"/>
      <c r="J4" s="47" t="s">
        <v>186</v>
      </c>
      <c r="K4" s="47"/>
    </row>
    <row r="5" spans="3:11" ht="63.75" x14ac:dyDescent="0.25">
      <c r="C5" s="48"/>
      <c r="D5" s="49" t="s">
        <v>187</v>
      </c>
      <c r="E5" s="49" t="s">
        <v>188</v>
      </c>
      <c r="F5" s="49" t="s">
        <v>187</v>
      </c>
      <c r="G5" s="49" t="s">
        <v>188</v>
      </c>
      <c r="H5" s="49" t="s">
        <v>187</v>
      </c>
      <c r="I5" s="49" t="s">
        <v>188</v>
      </c>
      <c r="J5" s="50" t="s">
        <v>187</v>
      </c>
      <c r="K5" s="50" t="s">
        <v>188</v>
      </c>
    </row>
    <row r="6" spans="3:11" x14ac:dyDescent="0.25">
      <c r="C6" s="51" t="s">
        <v>189</v>
      </c>
      <c r="D6" s="52">
        <v>3.4620000000000002</v>
      </c>
      <c r="E6" s="52">
        <v>10348.132212008606</v>
      </c>
      <c r="F6" s="52">
        <v>20.736599999999999</v>
      </c>
      <c r="G6" s="52">
        <v>17609.27446194808</v>
      </c>
      <c r="H6" s="52">
        <v>19.442799999999998</v>
      </c>
      <c r="I6" s="52">
        <v>24322.709163346612</v>
      </c>
      <c r="J6" s="52">
        <v>14.764491</v>
      </c>
      <c r="K6" s="52">
        <v>158730</v>
      </c>
    </row>
    <row r="7" spans="3:11" x14ac:dyDescent="0.25">
      <c r="C7" s="51" t="s">
        <v>190</v>
      </c>
      <c r="D7" s="52">
        <v>6.6511535999999998</v>
      </c>
      <c r="E7" s="52">
        <v>10665.11536</v>
      </c>
      <c r="F7" s="52">
        <v>20.223483999999999</v>
      </c>
      <c r="G7" s="52">
        <v>17376.725001973027</v>
      </c>
      <c r="H7" s="52">
        <v>22.405588000000002</v>
      </c>
      <c r="I7" s="52">
        <v>27479.335235347487</v>
      </c>
      <c r="J7" s="52" t="s">
        <v>191</v>
      </c>
      <c r="K7" s="52" t="s">
        <v>191</v>
      </c>
    </row>
    <row r="8" spans="3:11" x14ac:dyDescent="0.25">
      <c r="C8" s="51" t="s">
        <v>192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12.6975</v>
      </c>
      <c r="K8" s="52">
        <v>376633.09630206833</v>
      </c>
    </row>
    <row r="9" spans="3:11" x14ac:dyDescent="0.25">
      <c r="C9" s="51" t="s">
        <v>193</v>
      </c>
      <c r="D9" s="53">
        <v>153.38999999999999</v>
      </c>
      <c r="E9" s="54"/>
      <c r="F9" s="53">
        <v>90.14</v>
      </c>
      <c r="G9" s="54"/>
      <c r="H9" s="53">
        <v>65.260000000000005</v>
      </c>
      <c r="I9" s="54"/>
      <c r="J9" s="53">
        <v>10</v>
      </c>
      <c r="K9" s="54"/>
    </row>
    <row r="11" spans="3:11" ht="15.75" x14ac:dyDescent="0.25">
      <c r="C11" s="43" t="s">
        <v>194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182</v>
      </c>
      <c r="D12" s="46" t="s">
        <v>183</v>
      </c>
      <c r="E12" s="46"/>
      <c r="F12" s="46" t="s">
        <v>184</v>
      </c>
      <c r="G12" s="46"/>
      <c r="H12" s="46" t="s">
        <v>185</v>
      </c>
      <c r="I12" s="46"/>
      <c r="J12" s="47" t="s">
        <v>186</v>
      </c>
      <c r="K12" s="47"/>
    </row>
    <row r="13" spans="3:11" ht="63.75" x14ac:dyDescent="0.25">
      <c r="C13" s="48"/>
      <c r="D13" s="49" t="s">
        <v>187</v>
      </c>
      <c r="E13" s="49" t="s">
        <v>188</v>
      </c>
      <c r="F13" s="49" t="s">
        <v>187</v>
      </c>
      <c r="G13" s="49" t="s">
        <v>188</v>
      </c>
      <c r="H13" s="49" t="s">
        <v>187</v>
      </c>
      <c r="I13" s="49" t="s">
        <v>188</v>
      </c>
      <c r="J13" s="50" t="s">
        <v>187</v>
      </c>
      <c r="K13" s="50" t="s">
        <v>188</v>
      </c>
    </row>
    <row r="14" spans="3:11" x14ac:dyDescent="0.25">
      <c r="C14" s="51" t="s">
        <v>189</v>
      </c>
      <c r="D14" s="52">
        <v>3.6215000000000002</v>
      </c>
      <c r="E14" s="52">
        <v>10364.175050922782</v>
      </c>
      <c r="F14" s="52">
        <v>20.869</v>
      </c>
      <c r="G14" s="52">
        <v>17667.297979797979</v>
      </c>
      <c r="H14" s="52">
        <v>19.558800000000002</v>
      </c>
      <c r="I14" s="52">
        <v>24441.048034934494</v>
      </c>
      <c r="J14" s="52">
        <v>11.164400000000001</v>
      </c>
      <c r="K14" s="52">
        <v>37715.633423180589</v>
      </c>
    </row>
    <row r="15" spans="3:11" x14ac:dyDescent="0.25">
      <c r="C15" s="51" t="s">
        <v>190</v>
      </c>
      <c r="D15" s="52">
        <v>6.6511535999999998</v>
      </c>
      <c r="E15" s="52">
        <v>10665.11536</v>
      </c>
      <c r="F15" s="52">
        <v>20.223483999999999</v>
      </c>
      <c r="G15" s="52">
        <v>17376.725001973027</v>
      </c>
      <c r="H15" s="52">
        <v>22.405588000000002</v>
      </c>
      <c r="I15" s="52">
        <v>27479.335235347487</v>
      </c>
      <c r="J15" s="52">
        <v>14.119246499999999</v>
      </c>
      <c r="K15" s="52">
        <v>52089.5339480806</v>
      </c>
    </row>
    <row r="16" spans="3:11" x14ac:dyDescent="0.25">
      <c r="C16" s="51" t="s">
        <v>192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13.648</v>
      </c>
      <c r="K16" s="52">
        <v>49464.55774223218</v>
      </c>
    </row>
    <row r="17" spans="3:11" x14ac:dyDescent="0.25">
      <c r="C17" s="55" t="s">
        <v>195</v>
      </c>
      <c r="D17" s="53">
        <v>162.01</v>
      </c>
      <c r="E17" s="54"/>
      <c r="F17" s="53">
        <v>95.04</v>
      </c>
      <c r="G17" s="54"/>
      <c r="H17" s="53">
        <v>68.7</v>
      </c>
      <c r="I17" s="54"/>
      <c r="J17" s="53">
        <v>44.52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2025-07-07T10:23:44Z</dcterms:created>
  <dcterms:modified xsi:type="dcterms:W3CDTF">2025-07-08T07:41:30Z</dcterms:modified>
</cp:coreProperties>
</file>