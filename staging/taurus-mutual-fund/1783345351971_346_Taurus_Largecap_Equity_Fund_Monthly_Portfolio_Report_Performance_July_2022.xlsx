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Portfolio'!$C$8:$C$37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Portfolio'!$D$10:$D$79</definedName>
    <definedName name="XDO_?FINAL_MV?">'TBF-Risk-o-meter &amp; Portfolio'!$H$10:$H$79</definedName>
    <definedName name="XDO_?FINAL_NAME?">'TBF-Risk-o-meter &amp; Portfolio'!$C$10:$C$79</definedName>
    <definedName name="XDO_?FINAL_PER_NET?">'TBF-Risk-o-meter &amp; Portfolio'!$I$10:$I$79</definedName>
    <definedName name="XDO_?FINAL_QUANTITE?">'TBF-Risk-o-meter &amp; Portfolio'!$G$10:$G$79</definedName>
    <definedName name="XDO_?IND_01?">'TBF-Risk-o-meter &amp; Portfolio'!$F$10:$F$79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Portfolio'!$C$2:$C$37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Portfolio'!$B$10:$B$79</definedName>
    <definedName name="XDO_?NPTF?">'TBF-Risk-o-meter &amp; Portfolio'!$D$2:$D$37</definedName>
    <definedName name="XDO_?RATING?">'TBF-Risk-o-meter &amp; Portfolio'!$E$10:$E$79</definedName>
    <definedName name="XDO_?REMARKS?">'TBF-Risk-o-meter &amp; Portfolio'!$J$10:$J$79</definedName>
    <definedName name="XDO_?TDATE?">'TBF-Risk-o-meter &amp; Portfolio'!$D$4</definedName>
    <definedName name="XDO_?TITL?">'TBF-Risk-o-meter &amp; Portfolio'!$A$8:$A$37</definedName>
    <definedName name="XDO_GROUP_?G_2?">'TBF-Risk-o-meter &amp; Portfolio'!$2:$82</definedName>
    <definedName name="XDO_GROUP_?G_3?">'TBF-Risk-o-meter &amp; Portfolio'!$8:$81</definedName>
    <definedName name="XDO_GROUP_?G_4?">'TBF-Risk-o-meter &amp; Portfolio'!$B$79:$IV$79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2" i="1"/>
</calcChain>
</file>

<file path=xl/sharedStrings.xml><?xml version="1.0" encoding="utf-8"?>
<sst xmlns="http://schemas.openxmlformats.org/spreadsheetml/2006/main" count="224" uniqueCount="158">
  <si>
    <t>TAURUS MUTUAL FUND</t>
  </si>
  <si>
    <t>TBF</t>
  </si>
  <si>
    <t>Back to Index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</si>
  <si>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</si>
  <si>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</si>
  <si>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</si>
  <si>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</si>
  <si>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</si>
  <si>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</si>
  <si>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</si>
  <si>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</si>
  <si>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</si>
  <si>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</si>
  <si>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</si>
  <si>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</si>
  <si>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</si>
  <si>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</si>
  <si>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</si>
  <si>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</si>
  <si>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</si>
  <si>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100115</t>
  </si>
  <si>
    <t>Siemens Ltd.</t>
  </si>
  <si>
    <t>INE003A01024</t>
  </si>
  <si>
    <t>Electrical Equipment</t>
  </si>
  <si>
    <t>100273</t>
  </si>
  <si>
    <t>Havells India Ltd.</t>
  </si>
  <si>
    <t>INE176B01034</t>
  </si>
  <si>
    <t>Consumer Durables</t>
  </si>
  <si>
    <t>100027</t>
  </si>
  <si>
    <t>Pidilite Industries Ltd.</t>
  </si>
  <si>
    <t>INE318A01026</t>
  </si>
  <si>
    <t>Chemicals &amp; Petrochemicals</t>
  </si>
  <si>
    <t>100108</t>
  </si>
  <si>
    <t>Adani Ports and Special Economic Zone Ltd.</t>
  </si>
  <si>
    <t>INE742F01042</t>
  </si>
  <si>
    <t>Transport Infrastructure</t>
  </si>
  <si>
    <t>100001</t>
  </si>
  <si>
    <t>Housing Development Finance Corporation Ltd.</t>
  </si>
  <si>
    <t>INE001A01036</t>
  </si>
  <si>
    <t>Finance</t>
  </si>
  <si>
    <t>100302</t>
  </si>
  <si>
    <t>DLF Ltd.</t>
  </si>
  <si>
    <t>INE271C01023</t>
  </si>
  <si>
    <t>Realty</t>
  </si>
  <si>
    <t>100418</t>
  </si>
  <si>
    <t>Adani Enterprises Ltd.</t>
  </si>
  <si>
    <t>INE423A01024</t>
  </si>
  <si>
    <t>Metals &amp; Minerals Trading</t>
  </si>
  <si>
    <t>100008</t>
  </si>
  <si>
    <t>Sun Pharmaceutical Industries Ltd.</t>
  </si>
  <si>
    <t>INE044A01036</t>
  </si>
  <si>
    <t>Pharmaceuticals &amp; Biotechnology</t>
  </si>
  <si>
    <t>100012</t>
  </si>
  <si>
    <t>ICICI Bank Ltd.</t>
  </si>
  <si>
    <t>INE090A01021</t>
  </si>
  <si>
    <t>Banks</t>
  </si>
  <si>
    <t>100180</t>
  </si>
  <si>
    <t>Hindalco Industries Ltd.</t>
  </si>
  <si>
    <t>INE038A01020</t>
  </si>
  <si>
    <t>Non - Ferrous Metals</t>
  </si>
  <si>
    <t>100139</t>
  </si>
  <si>
    <t>UPL Ltd.</t>
  </si>
  <si>
    <t>INE628A01036</t>
  </si>
  <si>
    <t>Fertilizers &amp; Agrochemicals</t>
  </si>
  <si>
    <t>100183</t>
  </si>
  <si>
    <t>Vedanta Ltd.</t>
  </si>
  <si>
    <t>INE205A01025</t>
  </si>
  <si>
    <t>Diversified Metals</t>
  </si>
  <si>
    <t>100335</t>
  </si>
  <si>
    <t>Kajaria Ceramics Ltd.</t>
  </si>
  <si>
    <t>INE217B01036</t>
  </si>
  <si>
    <t>100314</t>
  </si>
  <si>
    <t>SRF Ltd.</t>
  </si>
  <si>
    <t>INE647A01010</t>
  </si>
  <si>
    <t>100104</t>
  </si>
  <si>
    <t>Kotak Mahindra Bank Ltd.</t>
  </si>
  <si>
    <t>INE237A01028</t>
  </si>
  <si>
    <t>100081</t>
  </si>
  <si>
    <t>Titan Company Ltd.</t>
  </si>
  <si>
    <t>INE280A01028</t>
  </si>
  <si>
    <t>100109</t>
  </si>
  <si>
    <t>Piramal Enterprises Ltd.</t>
  </si>
  <si>
    <t>INE140A01024</t>
  </si>
  <si>
    <t>100505</t>
  </si>
  <si>
    <t>ICICI Prudential Life Insurance Company Ltd.</t>
  </si>
  <si>
    <t>INE726G01019</t>
  </si>
  <si>
    <t>Insurance</t>
  </si>
  <si>
    <t>100461</t>
  </si>
  <si>
    <t>Astral Limited</t>
  </si>
  <si>
    <t>INE006I01046</t>
  </si>
  <si>
    <t>Industrial Products</t>
  </si>
  <si>
    <t>100235</t>
  </si>
  <si>
    <t>CRISIL Ltd.</t>
  </si>
  <si>
    <t>INE007A01025</t>
  </si>
  <si>
    <t>100315</t>
  </si>
  <si>
    <t>Prestige Estates Projects Ltd.</t>
  </si>
  <si>
    <t>INE811K01011</t>
  </si>
  <si>
    <t>100553</t>
  </si>
  <si>
    <t>Kennametal India Ltd.</t>
  </si>
  <si>
    <t>INE717A01029</t>
  </si>
  <si>
    <t>Industrial Manufacturing</t>
  </si>
  <si>
    <t>100821</t>
  </si>
  <si>
    <t>TTK Prestige Ltd.</t>
  </si>
  <si>
    <t>INE690A01028</t>
  </si>
  <si>
    <t>101348</t>
  </si>
  <si>
    <t>Ami Organics Ltd.</t>
  </si>
  <si>
    <t>INE00FF01017</t>
  </si>
  <si>
    <t>100282</t>
  </si>
  <si>
    <t>Blue Star Ltd.</t>
  </si>
  <si>
    <t>INE472A01039</t>
  </si>
  <si>
    <t>101412</t>
  </si>
  <si>
    <t>Punjab Chemicals &amp; Crop Protection Ltd.</t>
  </si>
  <si>
    <t>INE277B01014</t>
  </si>
  <si>
    <t>100425</t>
  </si>
  <si>
    <t>Chambal Fertilisers and Chemicals Ltd.</t>
  </si>
  <si>
    <t>INE085A01013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</si>
  <si>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</si>
  <si>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</si>
  <si>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</si>
  <si>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</si>
  <si>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</si>
  <si>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</si>
  <si>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</si>
  <si>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</si>
  <si>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</si>
  <si>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</si>
  <si>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</si>
  <si>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</si>
  <si>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</si>
  <si>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</si>
  <si>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</si>
  <si>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</si>
  <si>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</si>
  <si>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</si>
  <si>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</si>
  <si>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</si>
  <si>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</si>
  <si>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</si>
  <si>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</si>
  <si>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</si>
  <si>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</si>
  <si>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</si>
  <si>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</si>
  <si>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</si>
  <si>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</si>
  <si>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</si>
  <si>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</si>
  <si>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</si>
  <si>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</si>
  <si>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</si>
  <si>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</si>
  <si>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</si>
  <si>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</si>
  <si>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</si>
  <si>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</si>
  <si>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July 29, 2022 : 102.21)</t>
  </si>
  <si>
    <t>Taurus Largecap Equity Fund - Direct Plan Growth Option</t>
  </si>
  <si>
    <t>NAV [Rs.] Per Unit (as on July 29, 2022 : 107.77)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</si>
</sst>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l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8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7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 t="s">
        <v>2</v>
      </c>
    </row>
    <row r="3" spans="1:54" ht="15">
      <c r="C3" s="11" t="s">
        <v>3</v>
      </c>
      <c r="D3" s="12" t="s">
        <v>4</v>
      </c>
    </row>
    <row r="4" spans="1:54" ht="13.8">
      <c r="C4" s="11" t="s">
        <v>5</v>
      </c>
      <c r="D4" s="13">
        <v>44773</v>
      </c>
    </row>
    <row r="5" spans="1:54" ht="13.8" thickBot="1">
      <c r="C5" s="11"/>
    </row>
    <row r="6" spans="1:54" ht="26.4">
      <c r="C6" s="14" t="s">
        <v>6</v>
      </c>
      <c r="D6" s="15" t="s">
        <v>7</v>
      </c>
      <c r="E6" s="16" t="s">
        <v>8</v>
      </c>
      <c r="F6" s="16" t="s">
        <v>9</v>
      </c>
      <c r="G6" s="17" t="s">
        <v>10</v>
      </c>
      <c r="H6" s="18" t="s">
        <v>11</v>
      </c>
      <c r="I6" s="18" t="s">
        <v>12</v>
      </c>
      <c r="J6" s="19" t="s">
        <v>13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14</v>
      </c>
      <c r="D8" s="29"/>
      <c r="E8" s="30"/>
      <c r="F8" s="30"/>
      <c r="G8" s="31"/>
      <c r="H8" s="32"/>
      <c r="I8" s="32"/>
      <c r="J8" s="33"/>
    </row>
    <row r="9" spans="1:54">
      <c r="C9" s="34" t="s">
        <v>15</v>
      </c>
      <c r="D9" s="29"/>
      <c r="E9" s="30"/>
      <c r="F9" s="30"/>
      <c r="G9" s="31"/>
      <c r="H9" s="32"/>
      <c r="I9" s="32"/>
      <c r="J9" s="33"/>
    </row>
    <row r="10" spans="1:54">
      <c r="B10" s="1" t="s">
        <v>16</v>
      </c>
      <c r="C10" s="20" t="s">
        <v>17</v>
      </c>
      <c r="D10" s="29" t="s">
        <v>18</v>
      </c>
      <c r="E10" s="30"/>
      <c r="F10" s="30" t="s">
        <v>19</v>
      </c>
      <c r="G10" s="31">
        <v>19121</v>
      </c>
      <c r="H10" s="32">
        <v>222.71</v>
      </c>
      <c r="I10" s="32">
        <v>6.69</v>
      </c>
      <c r="J10" s="33"/>
    </row>
    <row r="11" spans="1:54">
      <c r="B11" s="1" t="s">
        <v>20</v>
      </c>
      <c r="C11" s="20" t="s">
        <v>21</v>
      </c>
      <c r="D11" s="29" t="s">
        <v>22</v>
      </c>
      <c r="E11" s="30"/>
      <c r="F11" s="30" t="s">
        <v>23</v>
      </c>
      <c r="G11" s="31">
        <v>7097</v>
      </c>
      <c r="H11" s="32">
        <v>191</v>
      </c>
      <c r="I11" s="32">
        <v>5.74</v>
      </c>
      <c r="J11" s="33"/>
    </row>
    <row r="12" spans="1:54">
      <c r="B12" s="1" t="s">
        <v>24</v>
      </c>
      <c r="C12" s="20" t="s">
        <v>25</v>
      </c>
      <c r="D12" s="29" t="s">
        <v>26</v>
      </c>
      <c r="E12" s="30"/>
      <c r="F12" s="30" t="s">
        <v>27</v>
      </c>
      <c r="G12" s="31">
        <v>14008</v>
      </c>
      <c r="H12" s="32">
        <v>175.01</v>
      </c>
      <c r="I12" s="32">
        <v>5.26</v>
      </c>
      <c r="J12" s="33"/>
    </row>
    <row r="13" spans="1:54">
      <c r="B13" s="1" t="s">
        <v>28</v>
      </c>
      <c r="C13" s="20" t="s">
        <v>29</v>
      </c>
      <c r="D13" s="29" t="s">
        <v>30</v>
      </c>
      <c r="E13" s="30"/>
      <c r="F13" s="30" t="s">
        <v>31</v>
      </c>
      <c r="G13" s="31">
        <v>7019</v>
      </c>
      <c r="H13" s="32">
        <v>171.99</v>
      </c>
      <c r="I13" s="32">
        <v>5.17</v>
      </c>
      <c r="J13" s="33"/>
    </row>
    <row r="14" spans="1:54">
      <c r="B14" s="1" t="s">
        <v>32</v>
      </c>
      <c r="C14" s="20" t="s">
        <v>33</v>
      </c>
      <c r="D14" s="29" t="s">
        <v>34</v>
      </c>
      <c r="E14" s="30"/>
      <c r="F14" s="30" t="s">
        <v>35</v>
      </c>
      <c r="G14" s="31">
        <v>22403</v>
      </c>
      <c r="H14" s="32">
        <v>171.11</v>
      </c>
      <c r="I14" s="32">
        <v>5.14</v>
      </c>
      <c r="J14" s="33"/>
    </row>
    <row r="15" spans="1:54">
      <c r="B15" s="1" t="s">
        <v>36</v>
      </c>
      <c r="C15" s="20" t="s">
        <v>37</v>
      </c>
      <c r="D15" s="29" t="s">
        <v>38</v>
      </c>
      <c r="E15" s="30"/>
      <c r="F15" s="30" t="s">
        <v>39</v>
      </c>
      <c r="G15" s="31">
        <v>7137</v>
      </c>
      <c r="H15" s="32">
        <v>169.8</v>
      </c>
      <c r="I15" s="32">
        <v>5.0999999999999996</v>
      </c>
      <c r="J15" s="33"/>
    </row>
    <row r="16" spans="1:54">
      <c r="B16" s="1" t="s">
        <v>40</v>
      </c>
      <c r="C16" s="20" t="s">
        <v>41</v>
      </c>
      <c r="D16" s="29" t="s">
        <v>42</v>
      </c>
      <c r="E16" s="30"/>
      <c r="F16" s="30" t="s">
        <v>43</v>
      </c>
      <c r="G16" s="31">
        <v>42817</v>
      </c>
      <c r="H16" s="32">
        <v>165.27</v>
      </c>
      <c r="I16" s="32">
        <v>4.97</v>
      </c>
      <c r="J16" s="33"/>
    </row>
    <row r="17" spans="2:10">
      <c r="B17" s="1" t="s">
        <v>44</v>
      </c>
      <c r="C17" s="20" t="s">
        <v>45</v>
      </c>
      <c r="D17" s="29" t="s">
        <v>46</v>
      </c>
      <c r="E17" s="30"/>
      <c r="F17" s="30" t="s">
        <v>47</v>
      </c>
      <c r="G17" s="31">
        <v>6277</v>
      </c>
      <c r="H17" s="32">
        <v>161.28</v>
      </c>
      <c r="I17" s="32">
        <v>4.8499999999999996</v>
      </c>
      <c r="J17" s="33"/>
    </row>
    <row r="18" spans="2:10">
      <c r="B18" s="1" t="s">
        <v>48</v>
      </c>
      <c r="C18" s="20" t="s">
        <v>49</v>
      </c>
      <c r="D18" s="29" t="s">
        <v>50</v>
      </c>
      <c r="E18" s="30"/>
      <c r="F18" s="30" t="s">
        <v>51</v>
      </c>
      <c r="G18" s="31">
        <v>16841</v>
      </c>
      <c r="H18" s="32">
        <v>158.9</v>
      </c>
      <c r="I18" s="32">
        <v>4.7699999999999996</v>
      </c>
      <c r="J18" s="33"/>
    </row>
    <row r="19" spans="2:10">
      <c r="B19" s="1" t="s">
        <v>52</v>
      </c>
      <c r="C19" s="20" t="s">
        <v>53</v>
      </c>
      <c r="D19" s="29" t="s">
        <v>54</v>
      </c>
      <c r="E19" s="30"/>
      <c r="F19" s="30" t="s">
        <v>55</v>
      </c>
      <c r="G19" s="31">
        <v>19245</v>
      </c>
      <c r="H19" s="32">
        <v>157.52000000000001</v>
      </c>
      <c r="I19" s="32">
        <v>4.7300000000000004</v>
      </c>
      <c r="J19" s="33"/>
    </row>
    <row r="20" spans="2:10">
      <c r="B20" s="1" t="s">
        <v>56</v>
      </c>
      <c r="C20" s="20" t="s">
        <v>57</v>
      </c>
      <c r="D20" s="29" t="s">
        <v>58</v>
      </c>
      <c r="E20" s="30"/>
      <c r="F20" s="30" t="s">
        <v>59</v>
      </c>
      <c r="G20" s="31">
        <v>34605</v>
      </c>
      <c r="H20" s="32">
        <v>143.68</v>
      </c>
      <c r="I20" s="32">
        <v>4.32</v>
      </c>
      <c r="J20" s="33"/>
    </row>
    <row r="21" spans="2:10">
      <c r="B21" s="1" t="s">
        <v>60</v>
      </c>
      <c r="C21" s="20" t="s">
        <v>61</v>
      </c>
      <c r="D21" s="29" t="s">
        <v>62</v>
      </c>
      <c r="E21" s="30"/>
      <c r="F21" s="30" t="s">
        <v>63</v>
      </c>
      <c r="G21" s="31">
        <v>19142</v>
      </c>
      <c r="H21" s="32">
        <v>141.69999999999999</v>
      </c>
      <c r="I21" s="32">
        <v>4.26</v>
      </c>
      <c r="J21" s="33"/>
    </row>
    <row r="22" spans="2:10">
      <c r="B22" s="1" t="s">
        <v>64</v>
      </c>
      <c r="C22" s="20" t="s">
        <v>65</v>
      </c>
      <c r="D22" s="29" t="s">
        <v>66</v>
      </c>
      <c r="E22" s="30"/>
      <c r="F22" s="30" t="s">
        <v>67</v>
      </c>
      <c r="G22" s="31">
        <v>54285</v>
      </c>
      <c r="H22" s="32">
        <v>137.88</v>
      </c>
      <c r="I22" s="32">
        <v>4.1399999999999997</v>
      </c>
      <c r="J22" s="33"/>
    </row>
    <row r="23" spans="2:10">
      <c r="B23" s="1" t="s">
        <v>68</v>
      </c>
      <c r="C23" s="20" t="s">
        <v>69</v>
      </c>
      <c r="D23" s="29" t="s">
        <v>70</v>
      </c>
      <c r="E23" s="30"/>
      <c r="F23" s="30" t="s">
        <v>27</v>
      </c>
      <c r="G23" s="31">
        <v>11550</v>
      </c>
      <c r="H23" s="32">
        <v>136.01</v>
      </c>
      <c r="I23" s="32">
        <v>4.09</v>
      </c>
      <c r="J23" s="33"/>
    </row>
    <row r="24" spans="2:10">
      <c r="B24" s="1" t="s">
        <v>71</v>
      </c>
      <c r="C24" s="20" t="s">
        <v>72</v>
      </c>
      <c r="D24" s="29" t="s">
        <v>73</v>
      </c>
      <c r="E24" s="30"/>
      <c r="F24" s="30" t="s">
        <v>31</v>
      </c>
      <c r="G24" s="31">
        <v>5035</v>
      </c>
      <c r="H24" s="32">
        <v>122.25</v>
      </c>
      <c r="I24" s="32">
        <v>3.67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55</v>
      </c>
      <c r="G25" s="31">
        <v>6396</v>
      </c>
      <c r="H25" s="32">
        <v>115.82</v>
      </c>
      <c r="I25" s="32">
        <v>3.48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27</v>
      </c>
      <c r="G26" s="31">
        <v>4167</v>
      </c>
      <c r="H26" s="32">
        <v>98.05</v>
      </c>
      <c r="I26" s="32">
        <v>2.95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39</v>
      </c>
      <c r="G27" s="31">
        <v>5210</v>
      </c>
      <c r="H27" s="32">
        <v>92.36</v>
      </c>
      <c r="I27" s="32">
        <v>2.78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15260</v>
      </c>
      <c r="H28" s="32">
        <v>84.52</v>
      </c>
      <c r="I28" s="32">
        <v>2.54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4572</v>
      </c>
      <c r="H29" s="32">
        <v>82.94</v>
      </c>
      <c r="I29" s="32">
        <v>2.4900000000000002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39</v>
      </c>
      <c r="G30" s="31">
        <v>2598</v>
      </c>
      <c r="H30" s="32">
        <v>81.28</v>
      </c>
      <c r="I30" s="32">
        <v>2.44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43</v>
      </c>
      <c r="G31" s="31">
        <v>15092</v>
      </c>
      <c r="H31" s="32">
        <v>62.44</v>
      </c>
      <c r="I31" s="32">
        <v>1.88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2454</v>
      </c>
      <c r="H32" s="32">
        <v>56.08</v>
      </c>
      <c r="I32" s="32">
        <v>1.68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27</v>
      </c>
      <c r="G33" s="31">
        <v>5512</v>
      </c>
      <c r="H33" s="32">
        <v>48.89</v>
      </c>
      <c r="I33" s="32">
        <v>1.47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51</v>
      </c>
      <c r="G34" s="31">
        <v>4225</v>
      </c>
      <c r="H34" s="32">
        <v>43.87</v>
      </c>
      <c r="I34" s="32">
        <v>1.32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27</v>
      </c>
      <c r="G35" s="31">
        <v>4097</v>
      </c>
      <c r="H35" s="32">
        <v>40.33</v>
      </c>
      <c r="I35" s="32">
        <v>1.21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63</v>
      </c>
      <c r="G36" s="31">
        <v>1582</v>
      </c>
      <c r="H36" s="32">
        <v>20.91</v>
      </c>
      <c r="I36" s="32">
        <v>0.63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63</v>
      </c>
      <c r="G37" s="31">
        <v>4400</v>
      </c>
      <c r="H37" s="32">
        <v>14.15</v>
      </c>
      <c r="I37" s="32">
        <v>0.43</v>
      </c>
      <c r="J37" s="33"/>
    </row>
    <row r="38" spans="2:10">
      <c r="C38" s="28" t="s">
        <v>116</v>
      </c>
      <c r="D38" s="29"/>
      <c r="E38" s="30"/>
      <c r="F38" s="30"/>
      <c r="G38" s="31"/>
      <c r="H38" s="35">
        <v>3267.75</v>
      </c>
      <c r="I38" s="35">
        <v>98.2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117</v>
      </c>
      <c r="D40" s="29"/>
      <c r="E40" s="30"/>
      <c r="F40" s="30"/>
      <c r="G40" s="31"/>
      <c r="H40" s="32" t="s">
        <v>118</v>
      </c>
      <c r="I40" s="32" t="s">
        <v>118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119</v>
      </c>
      <c r="D42" s="29"/>
      <c r="E42" s="30"/>
      <c r="F42" s="30"/>
      <c r="G42" s="31"/>
      <c r="H42" s="32" t="s">
        <v>118</v>
      </c>
      <c r="I42" s="32" t="s">
        <v>118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120</v>
      </c>
      <c r="D44" s="29"/>
      <c r="E44" s="30"/>
      <c r="F44" s="30"/>
      <c r="G44" s="31"/>
      <c r="H44" s="32"/>
      <c r="I44" s="32"/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121</v>
      </c>
      <c r="D46" s="29"/>
      <c r="E46" s="30"/>
      <c r="F46" s="30"/>
      <c r="G46" s="31"/>
      <c r="H46" s="32" t="s">
        <v>118</v>
      </c>
      <c r="I46" s="32" t="s">
        <v>118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122</v>
      </c>
      <c r="D48" s="29"/>
      <c r="E48" s="30"/>
      <c r="F48" s="30"/>
      <c r="G48" s="31"/>
      <c r="H48" s="32" t="s">
        <v>118</v>
      </c>
      <c r="I48" s="32" t="s">
        <v>118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123</v>
      </c>
      <c r="D50" s="29"/>
      <c r="E50" s="30"/>
      <c r="F50" s="30"/>
      <c r="G50" s="31"/>
      <c r="H50" s="32" t="s">
        <v>118</v>
      </c>
      <c r="I50" s="32" t="s">
        <v>118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124</v>
      </c>
      <c r="D52" s="29"/>
      <c r="E52" s="30"/>
      <c r="F52" s="30"/>
      <c r="G52" s="31"/>
      <c r="H52" s="32" t="s">
        <v>118</v>
      </c>
      <c r="I52" s="32" t="s">
        <v>118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125</v>
      </c>
      <c r="D54" s="29"/>
      <c r="E54" s="30"/>
      <c r="F54" s="30"/>
      <c r="G54" s="31"/>
      <c r="H54" s="32" t="s">
        <v>118</v>
      </c>
      <c r="I54" s="32" t="s">
        <v>118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126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127</v>
      </c>
      <c r="D58" s="29"/>
      <c r="E58" s="30"/>
      <c r="F58" s="30"/>
      <c r="G58" s="31"/>
      <c r="H58" s="32" t="s">
        <v>118</v>
      </c>
      <c r="I58" s="32" t="s">
        <v>118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128</v>
      </c>
      <c r="D60" s="29"/>
      <c r="E60" s="30"/>
      <c r="F60" s="30"/>
      <c r="G60" s="31"/>
      <c r="H60" s="32" t="s">
        <v>118</v>
      </c>
      <c r="I60" s="32" t="s">
        <v>118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129</v>
      </c>
      <c r="D62" s="29"/>
      <c r="E62" s="30"/>
      <c r="F62" s="30"/>
      <c r="G62" s="31"/>
      <c r="H62" s="32" t="s">
        <v>118</v>
      </c>
      <c r="I62" s="32" t="s">
        <v>118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130</v>
      </c>
      <c r="D64" s="29"/>
      <c r="E64" s="30"/>
      <c r="F64" s="30"/>
      <c r="G64" s="31"/>
      <c r="H64" s="32" t="s">
        <v>118</v>
      </c>
      <c r="I64" s="32" t="s">
        <v>118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131</v>
      </c>
      <c r="D66" s="29"/>
      <c r="E66" s="30"/>
      <c r="F66" s="30"/>
      <c r="G66" s="31"/>
      <c r="H66" s="32"/>
      <c r="I66" s="32"/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132</v>
      </c>
      <c r="D68" s="29"/>
      <c r="E68" s="30"/>
      <c r="F68" s="30"/>
      <c r="G68" s="31"/>
      <c r="H68" s="32" t="s">
        <v>118</v>
      </c>
      <c r="I68" s="32" t="s">
        <v>118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133</v>
      </c>
      <c r="D70" s="29"/>
      <c r="E70" s="30"/>
      <c r="F70" s="30"/>
      <c r="G70" s="31"/>
      <c r="H70" s="32" t="s">
        <v>118</v>
      </c>
      <c r="I70" s="32" t="s">
        <v>118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134</v>
      </c>
      <c r="D72" s="29"/>
      <c r="E72" s="30"/>
      <c r="F72" s="30"/>
      <c r="G72" s="31"/>
      <c r="H72" s="32" t="s">
        <v>118</v>
      </c>
      <c r="I72" s="32" t="s">
        <v>118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135</v>
      </c>
      <c r="D74" s="29"/>
      <c r="E74" s="30"/>
      <c r="F74" s="30"/>
      <c r="G74" s="31"/>
      <c r="H74" s="32" t="s">
        <v>118</v>
      </c>
      <c r="I74" s="32" t="s">
        <v>118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136</v>
      </c>
      <c r="D76" s="29"/>
      <c r="E76" s="30"/>
      <c r="F76" s="30"/>
      <c r="G76" s="31"/>
      <c r="H76" s="32" t="s">
        <v>118</v>
      </c>
      <c r="I76" s="32" t="s">
        <v>118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A78" s="26"/>
      <c r="B78" s="27"/>
      <c r="C78" s="28" t="s">
        <v>137</v>
      </c>
      <c r="D78" s="29"/>
      <c r="E78" s="30"/>
      <c r="F78" s="30"/>
      <c r="G78" s="31"/>
      <c r="H78" s="32"/>
      <c r="I78" s="32"/>
      <c r="J78" s="33"/>
    </row>
    <row r="79" spans="1:10">
      <c r="B79" s="1"/>
      <c r="C79" s="20" t="s">
        <v>138</v>
      </c>
      <c r="D79" s="29"/>
      <c r="E79" s="30"/>
      <c r="F79" s="30"/>
      <c r="G79" s="31"/>
      <c r="H79" s="32">
        <v>60.32</v>
      </c>
      <c r="I79" s="32">
        <v>1.8</v>
      </c>
      <c r="J79" s="33"/>
    </row>
    <row r="80" spans="1:10">
      <c r="C80" s="28" t="s">
        <v>116</v>
      </c>
      <c r="D80" s="29"/>
      <c r="E80" s="30"/>
      <c r="F80" s="30"/>
      <c r="G80" s="31"/>
      <c r="H80" s="35">
        <v>60.32</v>
      </c>
      <c r="I80" s="35">
        <v>1.8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 ht="13.8" thickBot="1">
      <c r="C82" s="36" t="s">
        <v>139</v>
      </c>
      <c r="D82" s="37"/>
      <c r="E82" s="38"/>
      <c r="F82" s="39"/>
      <c r="G82" s="40"/>
      <c r="H82" s="41">
        <v>3328.07</v>
      </c>
      <c r="I82" s="41">
        <f>SUMIFS(I:I,C:C,"Total")</f>
        <v>100</v>
      </c>
      <c r="J82" s="42"/>
    </row>
    <row r="85" spans="3:10">
      <c r="C85" s="11" t="s">
        <v>140</v>
      </c>
    </row>
    <row r="86" spans="3:10">
      <c r="C86" s="2" t="s">
        <v>141</v>
      </c>
    </row>
    <row r="87" spans="3:10">
      <c r="C87" s="2" t="s">
        <v>142</v>
      </c>
    </row>
    <row r="88" spans="3:10">
      <c r="C88" s="2" t="s">
        <v>143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144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145</v>
      </c>
      <c r="B5" s="46" t="s">
        <v>146</v>
      </c>
      <c r="C5" s="46"/>
      <c r="D5" s="46" t="s">
        <v>147</v>
      </c>
      <c r="E5" s="46"/>
      <c r="F5" s="46" t="s">
        <v>148</v>
      </c>
      <c r="G5" s="46"/>
      <c r="H5" s="46" t="s">
        <v>149</v>
      </c>
      <c r="I5" s="46"/>
    </row>
    <row r="6" spans="1:9" ht="66">
      <c r="A6" s="47"/>
      <c r="B6" s="48" t="s">
        <v>150</v>
      </c>
      <c r="C6" s="48" t="s">
        <v>151</v>
      </c>
      <c r="D6" s="48" t="s">
        <v>150</v>
      </c>
      <c r="E6" s="48" t="s">
        <v>151</v>
      </c>
      <c r="F6" s="48" t="s">
        <v>150</v>
      </c>
      <c r="G6" s="48" t="s">
        <v>151</v>
      </c>
      <c r="H6" s="48" t="s">
        <v>150</v>
      </c>
      <c r="I6" s="48" t="s">
        <v>151</v>
      </c>
    </row>
    <row r="7" spans="1:9">
      <c r="A7" s="49" t="s">
        <v>152</v>
      </c>
      <c r="B7" s="50">
        <v>5.9829946080464547</v>
      </c>
      <c r="C7" s="50">
        <v>10598.299460804645</v>
      </c>
      <c r="D7" s="50">
        <v>12.714345898520785</v>
      </c>
      <c r="E7" s="50">
        <v>14315.126050420165</v>
      </c>
      <c r="F7" s="50">
        <v>6.9846801190553087</v>
      </c>
      <c r="G7" s="50">
        <v>14012.887304633943</v>
      </c>
      <c r="H7" s="50">
        <v>10.324363042000705</v>
      </c>
      <c r="I7" s="50">
        <v>102210</v>
      </c>
    </row>
    <row r="8" spans="1:9">
      <c r="A8" s="49" t="s">
        <v>153</v>
      </c>
      <c r="B8" s="50">
        <v>10.337934278392336</v>
      </c>
      <c r="C8" s="50">
        <v>11033.793427839233</v>
      </c>
      <c r="D8" s="50">
        <v>17.601597536127844</v>
      </c>
      <c r="E8" s="50">
        <v>16264.460575241108</v>
      </c>
      <c r="F8" s="50">
        <v>12.386287259392859</v>
      </c>
      <c r="G8" s="50">
        <v>17929.435718856959</v>
      </c>
      <c r="H8" s="50">
        <v>12.039856894369061</v>
      </c>
      <c r="I8" s="50">
        <v>226167.89293156224</v>
      </c>
    </row>
    <row r="9" spans="1:9">
      <c r="A9" s="49" t="s">
        <v>154</v>
      </c>
      <c r="B9" s="50">
        <v>10.235050939379086</v>
      </c>
      <c r="C9" s="50">
        <v>11023.505093937909</v>
      </c>
      <c r="D9" s="50">
        <v>16.976851202855837</v>
      </c>
      <c r="E9" s="50">
        <v>16006.625364245259</v>
      </c>
      <c r="F9" s="50">
        <v>12.626505620538641</v>
      </c>
      <c r="G9" s="50">
        <v>18121.871599718976</v>
      </c>
      <c r="H9" s="50">
        <v>12.136013330630814</v>
      </c>
      <c r="I9" s="50">
        <v>231553.59256404004</v>
      </c>
    </row>
    <row r="10" spans="1:9">
      <c r="A10" s="49" t="s">
        <v>155</v>
      </c>
      <c r="B10" s="51">
        <v>96.44</v>
      </c>
      <c r="C10" s="52"/>
      <c r="D10" s="51">
        <v>71.400000000000006</v>
      </c>
      <c r="E10" s="52"/>
      <c r="F10" s="51">
        <v>72.94</v>
      </c>
      <c r="G10" s="52"/>
      <c r="H10" s="51">
        <v>10</v>
      </c>
      <c r="I10" s="52"/>
    </row>
    <row r="12" spans="1:9" ht="15.6">
      <c r="A12" s="43" t="s">
        <v>156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145</v>
      </c>
      <c r="B13" s="46" t="s">
        <v>146</v>
      </c>
      <c r="C13" s="46"/>
      <c r="D13" s="46" t="s">
        <v>147</v>
      </c>
      <c r="E13" s="46"/>
      <c r="F13" s="46" t="s">
        <v>148</v>
      </c>
      <c r="G13" s="46"/>
      <c r="H13" s="46" t="s">
        <v>149</v>
      </c>
      <c r="I13" s="46"/>
    </row>
    <row r="14" spans="1:9" ht="66">
      <c r="A14" s="47"/>
      <c r="B14" s="48" t="s">
        <v>150</v>
      </c>
      <c r="C14" s="48" t="s">
        <v>151</v>
      </c>
      <c r="D14" s="48" t="s">
        <v>150</v>
      </c>
      <c r="E14" s="48" t="s">
        <v>151</v>
      </c>
      <c r="F14" s="48" t="s">
        <v>150</v>
      </c>
      <c r="G14" s="48" t="s">
        <v>151</v>
      </c>
      <c r="H14" s="48" t="s">
        <v>150</v>
      </c>
      <c r="I14" s="48" t="s">
        <v>151</v>
      </c>
    </row>
    <row r="15" spans="1:9">
      <c r="A15" s="49" t="s">
        <v>152</v>
      </c>
      <c r="B15" s="50">
        <v>6.0728346456693005</v>
      </c>
      <c r="C15" s="50">
        <v>10607.283464566928</v>
      </c>
      <c r="D15" s="50">
        <v>12.871634292023359</v>
      </c>
      <c r="E15" s="50">
        <v>14375.083366680004</v>
      </c>
      <c r="F15" s="50">
        <v>7.3155823782597551</v>
      </c>
      <c r="G15" s="50">
        <v>14230.820018486729</v>
      </c>
      <c r="H15" s="50">
        <v>9.6723180837776646</v>
      </c>
      <c r="I15" s="50">
        <v>24207.097933513025</v>
      </c>
    </row>
    <row r="16" spans="1:9">
      <c r="A16" s="49" t="s">
        <v>153</v>
      </c>
      <c r="B16" s="50">
        <v>10.337934278392336</v>
      </c>
      <c r="C16" s="50">
        <v>11033.793427839233</v>
      </c>
      <c r="D16" s="50">
        <v>17.601597536127844</v>
      </c>
      <c r="E16" s="50">
        <v>16264.460575241108</v>
      </c>
      <c r="F16" s="50">
        <v>12.386287259392859</v>
      </c>
      <c r="G16" s="50">
        <v>17929.435718856959</v>
      </c>
      <c r="H16" s="50">
        <v>13.261736231331556</v>
      </c>
      <c r="I16" s="50">
        <v>32950.749944372867</v>
      </c>
    </row>
    <row r="17" spans="1:9">
      <c r="A17" s="49" t="s">
        <v>154</v>
      </c>
      <c r="B17" s="50">
        <v>10.235050939379086</v>
      </c>
      <c r="C17" s="50">
        <v>11023.505093937909</v>
      </c>
      <c r="D17" s="50">
        <v>16.976851202855837</v>
      </c>
      <c r="E17" s="50">
        <v>16006.625364245259</v>
      </c>
      <c r="F17" s="50">
        <v>12.626505620538641</v>
      </c>
      <c r="G17" s="50">
        <v>18121.871599718976</v>
      </c>
      <c r="H17" s="50">
        <v>13.013888547838203</v>
      </c>
      <c r="I17" s="50">
        <v>32266.759762035781</v>
      </c>
    </row>
    <row r="18" spans="1:9">
      <c r="A18" s="49" t="s">
        <v>157</v>
      </c>
      <c r="B18" s="51">
        <v>101.6</v>
      </c>
      <c r="C18" s="52"/>
      <c r="D18" s="51">
        <v>74.97</v>
      </c>
      <c r="E18" s="52"/>
      <c r="F18" s="51">
        <v>75.73</v>
      </c>
      <c r="G18" s="52"/>
      <c r="H18" s="51">
        <v>44.52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2022-08-01T06:49:18Z</dcterms:created>
  <dcterms:modified xsi:type="dcterms:W3CDTF">2022-08-05T06:32:09Z</dcterms:modified>
</cp:coreProperties>
</file>