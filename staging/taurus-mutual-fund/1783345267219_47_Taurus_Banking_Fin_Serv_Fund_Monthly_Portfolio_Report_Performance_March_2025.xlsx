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79520BE5-612F-4AE0-942B-969EAF40D057}" xr6:coauthVersionLast="47" xr6:coauthVersionMax="47" xr10:uidLastSave="{00000000-0000-0000-0000-000000000000}"/>
  <bookViews>
    <workbookView xWindow="-120" yWindow="-120" windowWidth="20730" windowHeight="11040" xr2:uid="{83118ED5-78A2-444C-A835-92F4DFD75262}"/>
  </bookViews>
  <sheets>
    <sheet name="TBFS" sheetId="1" r:id="rId1"/>
    <sheet name="TBFS-Performance" sheetId="3" r:id="rId2"/>
  </sheets>
  <externalReferences>
    <externalReference r:id="rId3"/>
    <externalReference r:id="rId4"/>
    <externalReference r:id="rId5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 localSheetId="1">[1]TBF!#REF!</definedName>
    <definedName name="XDO_?NAMC?">[2]TBF!#REF!</definedName>
    <definedName name="XDO_?NAMC?1?" localSheetId="1">'[3]TBFS - Risk-O-Meter &amp; Portfolio'!#REF!</definedName>
    <definedName name="XDO_?NAMC?1?">TBFS!#REF!</definedName>
    <definedName name="XDO_?NAMC?2?" localSheetId="1">[1]TDF!#REF!</definedName>
    <definedName name="XDO_?NAMC?2?">[2]TDF!#REF!</definedName>
    <definedName name="XDO_?NAMC?3?" localSheetId="1">[1]TEF!#REF!</definedName>
    <definedName name="XDO_?NAMC?3?">[2]TEF!#REF!</definedName>
    <definedName name="XDO_?NAMC?4?" localSheetId="1">[1]TISF!#REF!</definedName>
    <definedName name="XDO_?NAMC?4?">[2]TISF!#REF!</definedName>
    <definedName name="XDO_?NAMC?5?" localSheetId="1">[1]TNI!#REF!</definedName>
    <definedName name="XDO_?NAMC?5?">[2]TNI!#REF!</definedName>
    <definedName name="XDO_?NAMC?6?" localSheetId="1">[1]TSS!#REF!</definedName>
    <definedName name="XDO_?NAMC?6?">[2]TSS!#REF!</definedName>
    <definedName name="XDO_?NAMC?7?" localSheetId="1">[1]TTS!#REF!</definedName>
    <definedName name="XDO_?NAMC?7?">[2]TTS!#REF!</definedName>
    <definedName name="XDO_?NAMCNAME?1?">TBFS!$C$2:$C$27</definedName>
    <definedName name="XDO_?NDATE?" localSheetId="1">[1]TBF!#REF!</definedName>
    <definedName name="XDO_?NDATE?">[2]TBF!#REF!</definedName>
    <definedName name="XDO_?NDATE?1?" localSheetId="1">'[3]TBFS - Risk-O-Meter &amp; Portfolio'!#REF!</definedName>
    <definedName name="XDO_?NDATE?1?">TBFS!#REF!</definedName>
    <definedName name="XDO_?NDATE?2?" localSheetId="1">[1]TDF!#REF!</definedName>
    <definedName name="XDO_?NDATE?2?">[2]TDF!#REF!</definedName>
    <definedName name="XDO_?NDATE?3?" localSheetId="1">[1]TEF!#REF!</definedName>
    <definedName name="XDO_?NDATE?3?">[2]TEF!#REF!</definedName>
    <definedName name="XDO_?NDATE?4?" localSheetId="1">[1]TISF!#REF!</definedName>
    <definedName name="XDO_?NDATE?4?">[2]TISF!#REF!</definedName>
    <definedName name="XDO_?NDATE?5?" localSheetId="1">[1]TNI!#REF!</definedName>
    <definedName name="XDO_?NDATE?5?">[2]TNI!#REF!</definedName>
    <definedName name="XDO_?NDATE?6?" localSheetId="1">[1]TSS!#REF!</definedName>
    <definedName name="XDO_?NDATE?6?">[2]TSS!#REF!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'[3]TBFS - Risk-O-Meter &amp; Portfolio'!#REF!</definedName>
    <definedName name="XDO_?NNPTF?1?">TBFS!#REF!</definedName>
    <definedName name="XDO_?NNPTF?2?" localSheetId="1">[1]TDF!#REF!</definedName>
    <definedName name="XDO_?NNPTF?2?">[2]TDF!#REF!</definedName>
    <definedName name="XDO_?NNPTF?3?" localSheetId="1">[1]TEF!#REF!</definedName>
    <definedName name="XDO_?NNPTF?3?">[2]TEF!#REF!</definedName>
    <definedName name="XDO_?NNPTF?4?" localSheetId="1">[1]TISF!#REF!</definedName>
    <definedName name="XDO_?NNPTF?4?">[2]TISF!#REF!</definedName>
    <definedName name="XDO_?NNPTF?5?" localSheetId="1">[1]TNI!#REF!</definedName>
    <definedName name="XDO_?NNPTF?5?">[2]TNI!#REF!</definedName>
    <definedName name="XDO_?NNPTF?6?" localSheetId="1">[1]TSS!#REF!</definedName>
    <definedName name="XDO_?NNPTF?6?">[2]TSS!#REF!</definedName>
    <definedName name="XDO_?NNPTF?7?" localSheetId="1">[1]TTS!#REF!</definedName>
    <definedName name="XDO_?NNPTF?7?">[2]TTS!#REF!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<sst xmlns="http://schemas.openxmlformats.org/spreadsheetml/2006/main" count="209" uniqueCount="138">
  <si>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</si>
  <si>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</si>
  <si>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</si>
  <si>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</si>
  <si>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</si>
  <si>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</si>
  <si>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</si>
  <si>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</si>
  <si>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</si>
  <si>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</si>
  <si>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</si>
  <si>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</si>
  <si>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</si>
  <si>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</si>
  <si>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</si>
  <si>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</si>
  <si>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</si>
  <si>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</si>
  <si>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</si>
  <si>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</si>
  <si>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</si>
  <si>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</si>
  <si>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</si>
  <si>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</si>
  <si>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</si>
  <si>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</si>
  <si>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</si>
  <si>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</si>
  <si>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</si>
  <si>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</si>
  <si>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</si>
  <si>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</si>
  <si>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</si>
  <si>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</si>
  <si>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</si>
  <si>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</si>
  <si>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</si>
  <si>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</si>
  <si>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100122</t>
  </si>
  <si>
    <t>Union Bank of India</t>
  </si>
  <si>
    <t>INE692A01016</t>
  </si>
  <si>
    <t>100759</t>
  </si>
  <si>
    <t>The New India Assurance Co. Ltd.</t>
  </si>
  <si>
    <t>INE470Y01017</t>
  </si>
  <si>
    <t>Insurance</t>
  </si>
  <si>
    <t>101889</t>
  </si>
  <si>
    <t>Jio Financial Services Ltd.</t>
  </si>
  <si>
    <t>INE758E01017</t>
  </si>
  <si>
    <t>100112</t>
  </si>
  <si>
    <t>Punjab National Bank</t>
  </si>
  <si>
    <t>INE160A01022</t>
  </si>
  <si>
    <t>100665</t>
  </si>
  <si>
    <t>Aditya Birla Capital Ltd.</t>
  </si>
  <si>
    <t>INE674K01013</t>
  </si>
  <si>
    <t>100055</t>
  </si>
  <si>
    <t>The Federal Bank Ltd.</t>
  </si>
  <si>
    <t>INE171A01029</t>
  </si>
  <si>
    <t>100013</t>
  </si>
  <si>
    <t>IndusInd Bank Ltd.</t>
  </si>
  <si>
    <t>INE095A01012</t>
  </si>
  <si>
    <t>100706</t>
  </si>
  <si>
    <t>HDFC Life Insurance Company Ltd.</t>
  </si>
  <si>
    <t>INE795G01014</t>
  </si>
  <si>
    <t>100191</t>
  </si>
  <si>
    <t>Canara Bank</t>
  </si>
  <si>
    <t>INE476A01022</t>
  </si>
  <si>
    <t>101178</t>
  </si>
  <si>
    <t>Computer Age Management Services Ltd.</t>
  </si>
  <si>
    <t>INE596I01012</t>
  </si>
  <si>
    <t>Capital Markets</t>
  </si>
  <si>
    <t>100240</t>
  </si>
  <si>
    <t>Can Fin Homes Ltd.</t>
  </si>
  <si>
    <t>INE477A01020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</si>
  <si>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</si>
  <si>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</si>
  <si>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</si>
  <si>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</si>
  <si>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</si>
  <si>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</si>
  <si>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</si>
  <si>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</si>
  <si>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</si>
  <si>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</si>
  <si>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</si>
  <si>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</si>
  <si>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</si>
  <si>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</si>
  <si>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</si>
  <si>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</si>
  <si>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</si>
  <si>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</si>
  <si>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</si>
  <si>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</si>
  <si>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</si>
  <si>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</si>
  <si>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</si>
  <si>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</si>
  <si>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</si>
  <si>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</si>
  <si>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</si>
  <si>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</si>
  <si>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</si>
  <si>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</si>
  <si>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</si>
  <si>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</si>
  <si>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</si>
  <si>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</si>
  <si>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</si>
  <si>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</si>
  <si>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</si>
  <si>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</si>
  <si>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</si>
  <si>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</si>
  <si>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</si>
  <si>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</si>
  <si>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</si>
  <si>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</si>
  <si>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</si>
  <si>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0.31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</si>
  <si>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</si>
  <si>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</si>
  <si>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</si>
  <si>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</si>
  <si>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</si>
  <si>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</si>
  <si>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</si>
  <si>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</si>
  <si>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</si>
  <si>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</si>
  <si>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</si>
  <si>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</si>
  <si>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</si>
  <si>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</si>
  <si>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NAV [Rs.] Per Unit (as on March 28,2025 :50.1)</t>
  </si>
  <si>
    <t>Taurus Banking &amp; Financial Services Fund - Direct Plan Growth Option</t>
  </si>
  <si>
    <t>NAV [Rs.] Per Unit (as on March 28,2025 :55.85)</t>
  </si>
  <si>
    <t>Scheme Returns calculated According to trading day 28.03.2025</t>
  </si>
  <si>
    <t>BSE Bankex Index TRI (Benchmark)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</si>
</sst>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* #,##0.00_);_(* \(#,##0.00\);_(* \-??_);_(@_)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7" fontId="9" fillId="0" borderId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8" fontId="9" fillId="0" borderId="13" xfId="6" applyNumberFormat="1" applyBorder="1" applyAlignment="1">
      <alignment horizontal="center"/>
    </xf>
    <xf numFmtId="0" fontId="13" fillId="0" borderId="0" xfId="0" applyFont="1"/>
    <xf numFmtId="168" fontId="9" fillId="0" borderId="19" xfId="6" applyNumberFormat="1" applyBorder="1" applyAlignment="1">
      <alignment horizontal="center"/>
    </xf>
    <xf numFmtId="168" fontId="9" fillId="0" borderId="20" xfId="6" applyNumberForma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</cellXfs>
  <cellStyles count="7">
    <cellStyle name="Comma" xfId="1" builtinId="3"/>
    <cellStyle name="Comma 2" xfId="5" xr:uid="{C0160AB1-8C48-4C0D-B266-D39C71FD5E45}"/>
    <cellStyle name="Comma 3" xfId="6" xr:uid="{F05ABE98-8985-4953-9245-0B558B7782B2}"/>
    <cellStyle name="Hyperlink" xfId="2" builtinId="8"/>
    <cellStyle name="Normal" xfId="0" builtinId="0"/>
    <cellStyle name="Normal 2" xfId="4" xr:uid="{0FE3BF83-E665-49E0-9AB9-358A76B25777}"/>
    <cellStyle name="Style 1" xfId="3" xr:uid="{4426958D-C2EE-41DC-8D2C-DEC2EE3D5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475323B4-A028-424F-9F01-A2E984B4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BFS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BFS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FS - Risk-O-Meter &amp; Portfolio"/>
      <sheetName val="TBFS-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8CF1-EC79-42A9-A7AE-248D6756FB12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17739</v>
      </c>
      <c r="H10" s="32">
        <v>239.19</v>
      </c>
      <c r="I10" s="32">
        <v>21.52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12948</v>
      </c>
      <c r="H11" s="32">
        <v>236.75</v>
      </c>
      <c r="I11" s="32">
        <v>21.3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11341</v>
      </c>
      <c r="H12" s="32">
        <v>124.97</v>
      </c>
      <c r="I12" s="32">
        <v>11.24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15279</v>
      </c>
      <c r="H13" s="32">
        <v>117.89</v>
      </c>
      <c r="I13" s="32">
        <v>10.61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4719</v>
      </c>
      <c r="H14" s="32">
        <v>102.46</v>
      </c>
      <c r="I14" s="32">
        <v>9.2200000000000006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300</v>
      </c>
      <c r="H15" s="32">
        <v>37.409999999999997</v>
      </c>
      <c r="I15" s="32">
        <v>3.37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31.97</v>
      </c>
      <c r="I16" s="32">
        <v>2.88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23397</v>
      </c>
      <c r="H17" s="32">
        <v>29.53</v>
      </c>
      <c r="I17" s="32">
        <v>2.66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13837</v>
      </c>
      <c r="H18" s="32">
        <v>21.39</v>
      </c>
      <c r="I18" s="32">
        <v>1.92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34</v>
      </c>
      <c r="G19" s="31">
        <v>8798</v>
      </c>
      <c r="H19" s="32">
        <v>20.010000000000002</v>
      </c>
      <c r="I19" s="32">
        <v>1.8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18</v>
      </c>
      <c r="G20" s="31">
        <v>20672</v>
      </c>
      <c r="H20" s="32">
        <v>19.87</v>
      </c>
      <c r="I20" s="32">
        <v>1.79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34</v>
      </c>
      <c r="G21" s="31">
        <v>10162</v>
      </c>
      <c r="H21" s="32">
        <v>18.79</v>
      </c>
      <c r="I21" s="32">
        <v>1.69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9133</v>
      </c>
      <c r="H22" s="32">
        <v>17.600000000000001</v>
      </c>
      <c r="I22" s="32">
        <v>1.58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2636</v>
      </c>
      <c r="H23" s="32">
        <v>17.12</v>
      </c>
      <c r="I23" s="32">
        <v>1.54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44</v>
      </c>
      <c r="G24" s="31">
        <v>2453</v>
      </c>
      <c r="H24" s="32">
        <v>16.82</v>
      </c>
      <c r="I24" s="32">
        <v>1.51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18</v>
      </c>
      <c r="G25" s="31">
        <v>18875</v>
      </c>
      <c r="H25" s="32">
        <v>16.8</v>
      </c>
      <c r="I25" s="32">
        <v>1.51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436</v>
      </c>
      <c r="H26" s="32">
        <v>16.2</v>
      </c>
      <c r="I26" s="32">
        <v>1.46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1595</v>
      </c>
      <c r="H27" s="32">
        <v>10.67</v>
      </c>
      <c r="I27" s="32">
        <v>0.96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1095.44</v>
      </c>
      <c r="I28" s="35">
        <v>98.56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15.9</v>
      </c>
      <c r="I71" s="32">
        <v>1.44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15.9</v>
      </c>
      <c r="I72" s="35">
        <v>1.44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4.25" thickBot="1" x14ac:dyDescent="0.3">
      <c r="C74" s="36" t="s">
        <v>97</v>
      </c>
      <c r="D74" s="37"/>
      <c r="E74" s="38"/>
      <c r="F74" s="39"/>
      <c r="G74" s="40"/>
      <c r="H74" s="41">
        <v>1111.3399999999999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  <row r="81" spans="3:5" x14ac:dyDescent="0.25">
      <c r="C81" s="2" t="s">
        <v>102</v>
      </c>
    </row>
    <row r="82" spans="3:5" x14ac:dyDescent="0.25">
      <c r="C82" s="2" t="s">
        <v>103</v>
      </c>
    </row>
    <row r="83" spans="3:5" x14ac:dyDescent="0.25">
      <c r="C83" s="2" t="s">
        <v>104</v>
      </c>
    </row>
    <row r="84" spans="3:5" x14ac:dyDescent="0.25">
      <c r="D84" s="2" t="s">
        <v>105</v>
      </c>
    </row>
    <row r="85" spans="3:5" x14ac:dyDescent="0.25">
      <c r="C85" s="2" t="s">
        <v>106</v>
      </c>
      <c r="D85" s="2" t="s">
        <v>107</v>
      </c>
      <c r="E85" s="2" t="s">
        <v>107</v>
      </c>
    </row>
    <row r="86" spans="3:5" x14ac:dyDescent="0.25">
      <c r="D86" s="2" t="s">
        <v>108</v>
      </c>
      <c r="E86" s="2" t="s">
        <v>109</v>
      </c>
    </row>
    <row r="87" spans="3:5" x14ac:dyDescent="0.25">
      <c r="C87" s="2" t="s">
        <v>110</v>
      </c>
      <c r="D87" s="2">
        <v>41.38</v>
      </c>
      <c r="E87" s="2">
        <v>44.84</v>
      </c>
    </row>
    <row r="88" spans="3:5" x14ac:dyDescent="0.25">
      <c r="C88" s="2" t="s">
        <v>111</v>
      </c>
      <c r="D88" s="2">
        <v>46.23</v>
      </c>
      <c r="E88" s="2">
        <v>50.09</v>
      </c>
    </row>
    <row r="89" spans="3:5" x14ac:dyDescent="0.25">
      <c r="C89" s="2" t="s">
        <v>112</v>
      </c>
      <c r="D89" s="2">
        <v>50.91</v>
      </c>
      <c r="E89" s="2">
        <v>55.2</v>
      </c>
    </row>
    <row r="90" spans="3:5" x14ac:dyDescent="0.25">
      <c r="C90" s="2" t="s">
        <v>113</v>
      </c>
      <c r="D90" s="2">
        <v>51.5</v>
      </c>
      <c r="E90" s="2">
        <v>55.84</v>
      </c>
    </row>
    <row r="92" spans="3:5" x14ac:dyDescent="0.25">
      <c r="C92" s="2" t="s">
        <v>114</v>
      </c>
    </row>
    <row r="93" spans="3:5" x14ac:dyDescent="0.25">
      <c r="C93" s="2" t="s">
        <v>115</v>
      </c>
    </row>
    <row r="94" spans="3:5" x14ac:dyDescent="0.25">
      <c r="C94" s="2" t="s">
        <v>116</v>
      </c>
    </row>
    <row r="95" spans="3:5" x14ac:dyDescent="0.25">
      <c r="C95" s="2" t="s">
        <v>117</v>
      </c>
    </row>
    <row r="96" spans="3:5" x14ac:dyDescent="0.25">
      <c r="C96" s="2" t="s">
        <v>118</v>
      </c>
    </row>
    <row r="97" spans="3:3" x14ac:dyDescent="0.25">
      <c r="C97" s="2" t="s">
        <v>119</v>
      </c>
    </row>
    <row r="98" spans="3:3" x14ac:dyDescent="0.25">
      <c r="C98" s="2" t="s">
        <v>120</v>
      </c>
    </row>
    <row r="99" spans="3:3" x14ac:dyDescent="0.25">
      <c r="C99" s="2" t="s">
        <v>121</v>
      </c>
    </row>
    <row r="100" spans="3:3" x14ac:dyDescent="0.25">
      <c r="C100" s="2" t="s">
        <v>122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7C72-7B83-4800-936A-FC4E95F9B79E}">
  <dimension ref="B3:J19"/>
  <sheetViews>
    <sheetView workbookViewId="0"/>
  </sheetViews>
  <sheetFormatPr defaultRowHeight="15" x14ac:dyDescent="0.25"/>
  <cols>
    <col min="2" max="2" width="44.42578125" customWidth="1"/>
    <col min="3" max="3" width="7.28515625" bestFit="1" customWidth="1"/>
    <col min="4" max="4" width="10.85546875" bestFit="1" customWidth="1"/>
    <col min="5" max="5" width="7.28515625" bestFit="1" customWidth="1"/>
    <col min="6" max="6" width="10.85546875" bestFit="1" customWidth="1"/>
    <col min="7" max="7" width="7.28515625" bestFit="1" customWidth="1"/>
    <col min="8" max="8" width="10.85546875" bestFit="1" customWidth="1"/>
    <col min="9" max="9" width="7.28515625" bestFit="1" customWidth="1"/>
    <col min="10" max="10" width="10.85546875" bestFit="1" customWidth="1"/>
  </cols>
  <sheetData>
    <row r="3" spans="2:10" ht="15.75" x14ac:dyDescent="0.25">
      <c r="B3" s="47" t="s">
        <v>123</v>
      </c>
      <c r="C3" s="48"/>
      <c r="D3" s="48"/>
      <c r="E3" s="48"/>
      <c r="F3" s="48"/>
      <c r="G3" s="48"/>
      <c r="H3" s="48"/>
      <c r="I3" s="48"/>
      <c r="J3" s="48"/>
    </row>
    <row r="4" spans="2:10" x14ac:dyDescent="0.25">
      <c r="B4" s="49" t="s">
        <v>124</v>
      </c>
      <c r="C4" s="50" t="s">
        <v>125</v>
      </c>
      <c r="D4" s="50"/>
      <c r="E4" s="50" t="s">
        <v>126</v>
      </c>
      <c r="F4" s="50"/>
      <c r="G4" s="50" t="s">
        <v>127</v>
      </c>
      <c r="H4" s="50"/>
      <c r="I4" s="51" t="s">
        <v>128</v>
      </c>
      <c r="J4" s="51"/>
    </row>
    <row r="5" spans="2:10" ht="63.75" x14ac:dyDescent="0.25">
      <c r="B5" s="52"/>
      <c r="C5" s="53" t="s">
        <v>129</v>
      </c>
      <c r="D5" s="53" t="s">
        <v>130</v>
      </c>
      <c r="E5" s="53" t="s">
        <v>129</v>
      </c>
      <c r="F5" s="53" t="s">
        <v>130</v>
      </c>
      <c r="G5" s="53" t="s">
        <v>129</v>
      </c>
      <c r="H5" s="53" t="s">
        <v>130</v>
      </c>
      <c r="I5" s="54" t="s">
        <v>129</v>
      </c>
      <c r="J5" s="54" t="s">
        <v>130</v>
      </c>
    </row>
    <row r="6" spans="2:10" x14ac:dyDescent="0.25">
      <c r="B6" s="55" t="s">
        <v>131</v>
      </c>
      <c r="C6" s="43">
        <v>8.0440000000000005</v>
      </c>
      <c r="D6" s="43">
        <v>10804.399396161312</v>
      </c>
      <c r="E6" s="43">
        <v>15.080299999999999</v>
      </c>
      <c r="F6" s="43">
        <v>15246.500304321364</v>
      </c>
      <c r="G6" s="43">
        <v>20.148299999999999</v>
      </c>
      <c r="H6" s="43">
        <v>25062.531265632821</v>
      </c>
      <c r="I6" s="43">
        <v>13.3523</v>
      </c>
      <c r="J6" s="43">
        <v>50100</v>
      </c>
    </row>
    <row r="7" spans="2:10" x14ac:dyDescent="0.25">
      <c r="B7" s="55" t="s">
        <v>137</v>
      </c>
      <c r="C7" s="43">
        <v>12.275399999999999</v>
      </c>
      <c r="D7" s="43">
        <v>11227.54</v>
      </c>
      <c r="E7" s="43">
        <v>14.2019</v>
      </c>
      <c r="F7" s="43">
        <v>14894.296265847925</v>
      </c>
      <c r="G7" s="43">
        <v>21.644600000000001</v>
      </c>
      <c r="H7" s="43">
        <v>26635.703591301346</v>
      </c>
      <c r="I7" s="43">
        <v>15.2196</v>
      </c>
      <c r="J7" s="43">
        <v>61812.644143037513</v>
      </c>
    </row>
    <row r="8" spans="2:10" x14ac:dyDescent="0.25">
      <c r="B8" s="55" t="s">
        <v>132</v>
      </c>
      <c r="C8" s="43">
        <v>6.6536</v>
      </c>
      <c r="D8" s="43">
        <v>10665.359999999999</v>
      </c>
      <c r="E8" s="43">
        <v>12.262</v>
      </c>
      <c r="F8" s="43">
        <v>14148.106663687278</v>
      </c>
      <c r="G8" s="43">
        <v>23.486899999999999</v>
      </c>
      <c r="H8" s="43">
        <v>28714.710455893492</v>
      </c>
      <c r="I8" s="43">
        <v>14.458</v>
      </c>
      <c r="J8" s="43">
        <v>56760.331035099705</v>
      </c>
    </row>
    <row r="9" spans="2:10" x14ac:dyDescent="0.25">
      <c r="B9" s="55" t="s">
        <v>133</v>
      </c>
      <c r="C9" s="45">
        <v>46.37</v>
      </c>
      <c r="D9" s="46"/>
      <c r="E9" s="45">
        <v>32.86</v>
      </c>
      <c r="F9" s="46"/>
      <c r="G9" s="45">
        <v>19.989999999999998</v>
      </c>
      <c r="H9" s="46"/>
      <c r="I9" s="45">
        <v>10</v>
      </c>
      <c r="J9" s="46"/>
    </row>
    <row r="11" spans="2:10" ht="15.75" x14ac:dyDescent="0.25">
      <c r="B11" s="47" t="s">
        <v>134</v>
      </c>
      <c r="C11" s="48"/>
      <c r="D11" s="48"/>
      <c r="E11" s="48"/>
      <c r="F11" s="48"/>
      <c r="G11" s="48"/>
      <c r="H11" s="48"/>
      <c r="I11" s="48"/>
      <c r="J11" s="48"/>
    </row>
    <row r="12" spans="2:10" x14ac:dyDescent="0.25">
      <c r="B12" s="49" t="s">
        <v>124</v>
      </c>
      <c r="C12" s="50" t="s">
        <v>125</v>
      </c>
      <c r="D12" s="50"/>
      <c r="E12" s="50" t="s">
        <v>126</v>
      </c>
      <c r="F12" s="50"/>
      <c r="G12" s="50" t="s">
        <v>127</v>
      </c>
      <c r="H12" s="50"/>
      <c r="I12" s="51" t="s">
        <v>128</v>
      </c>
      <c r="J12" s="51"/>
    </row>
    <row r="13" spans="2:10" ht="63.75" x14ac:dyDescent="0.25">
      <c r="B13" s="52"/>
      <c r="C13" s="53" t="s">
        <v>129</v>
      </c>
      <c r="D13" s="53" t="s">
        <v>130</v>
      </c>
      <c r="E13" s="53" t="s">
        <v>129</v>
      </c>
      <c r="F13" s="53" t="s">
        <v>130</v>
      </c>
      <c r="G13" s="53" t="s">
        <v>129</v>
      </c>
      <c r="H13" s="53" t="s">
        <v>130</v>
      </c>
      <c r="I13" s="54" t="s">
        <v>129</v>
      </c>
      <c r="J13" s="54" t="s">
        <v>130</v>
      </c>
    </row>
    <row r="14" spans="2:10" x14ac:dyDescent="0.25">
      <c r="B14" s="55" t="s">
        <v>131</v>
      </c>
      <c r="C14" s="43">
        <v>8.8482000000000003</v>
      </c>
      <c r="D14" s="43">
        <v>10884.817774313</v>
      </c>
      <c r="E14" s="43">
        <v>15.9635</v>
      </c>
      <c r="F14" s="43">
        <v>15600.558659217879</v>
      </c>
      <c r="G14" s="43">
        <v>21.067699999999999</v>
      </c>
      <c r="H14" s="43">
        <v>26037.296037296041</v>
      </c>
      <c r="I14" s="43">
        <v>12.0548</v>
      </c>
      <c r="J14" s="43">
        <v>40915.750915750919</v>
      </c>
    </row>
    <row r="15" spans="2:10" x14ac:dyDescent="0.25">
      <c r="B15" s="55" t="s">
        <v>137</v>
      </c>
      <c r="C15" s="43">
        <v>12.275399999999999</v>
      </c>
      <c r="D15" s="43">
        <v>11227.54</v>
      </c>
      <c r="E15" s="43">
        <v>14.2019</v>
      </c>
      <c r="F15" s="43">
        <v>14894.296265847925</v>
      </c>
      <c r="G15" s="43">
        <v>21.644600000000001</v>
      </c>
      <c r="H15" s="43">
        <v>26635.703591301346</v>
      </c>
      <c r="I15" s="43">
        <v>12.927899999999999</v>
      </c>
      <c r="J15" s="43">
        <v>44279.277829827464</v>
      </c>
    </row>
    <row r="16" spans="2:10" x14ac:dyDescent="0.25">
      <c r="B16" s="55" t="s">
        <v>132</v>
      </c>
      <c r="C16" s="43">
        <v>6.6536</v>
      </c>
      <c r="D16" s="43">
        <v>10665.359999999999</v>
      </c>
      <c r="E16" s="43">
        <v>12.262</v>
      </c>
      <c r="F16" s="43">
        <v>14148.106663687278</v>
      </c>
      <c r="G16" s="43">
        <v>23.486899999999999</v>
      </c>
      <c r="H16" s="43">
        <v>28714.710455893492</v>
      </c>
      <c r="I16" s="43">
        <v>13.152699999999999</v>
      </c>
      <c r="J16" s="43">
        <v>45370.171521828001</v>
      </c>
    </row>
    <row r="17" spans="2:10" x14ac:dyDescent="0.25">
      <c r="B17" s="55" t="s">
        <v>135</v>
      </c>
      <c r="C17" s="45">
        <v>51.31</v>
      </c>
      <c r="D17" s="46"/>
      <c r="E17" s="45">
        <v>35.799999999999997</v>
      </c>
      <c r="F17" s="46"/>
      <c r="G17" s="45">
        <v>21.45</v>
      </c>
      <c r="H17" s="46"/>
      <c r="I17" s="45">
        <v>13.65</v>
      </c>
      <c r="J17" s="46"/>
    </row>
    <row r="19" spans="2:10" x14ac:dyDescent="0.25">
      <c r="B19" s="44" t="s">
        <v>136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2025-04-05T11:09:21Z</dcterms:created>
  <dcterms:modified xsi:type="dcterms:W3CDTF">2025-04-08T11:00:41Z</dcterms:modified>
</cp:coreProperties>
</file>