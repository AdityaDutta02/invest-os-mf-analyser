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DAA708BF-5BE4-4484-9A97-24B0BD21218B}" xr6:coauthVersionLast="47" xr6:coauthVersionMax="47" xr10:uidLastSave="{00000000-0000-0000-0000-000000000000}"/>
  <bookViews>
    <workbookView xWindow="-120" yWindow="-120" windowWidth="20730" windowHeight="11040" xr2:uid="{7BD10C03-A16A-42AC-81F1-593C016F322A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5?">TTS!$D$10:$D$41</definedName>
    <definedName name="XDO_?FINAL_ISIN?16?">TTS!$D$10:$D$82</definedName>
    <definedName name="XDO_?FINAL_ISIN?17?">TTS!$D$10:$D$86</definedName>
    <definedName name="XDO_?FINAL_MV?15?">TTS!$H$10:$H$41</definedName>
    <definedName name="XDO_?FINAL_MV?16?">TTS!$H$10:$H$82</definedName>
    <definedName name="XDO_?FINAL_MV?17?">TTS!$H$10:$H$86</definedName>
    <definedName name="XDO_?FINAL_NAME?15?">TTS!$C$10:$C$41</definedName>
    <definedName name="XDO_?FINAL_NAME?16?">TTS!$C$10:$C$82</definedName>
    <definedName name="XDO_?FINAL_NAME?17?">TTS!$C$10:$C$86</definedName>
    <definedName name="XDO_?FINAL_PER_NET?15?">TTS!$I$10:$I$41</definedName>
    <definedName name="XDO_?FINAL_PER_NET?16?">TTS!$I$10:$I$82</definedName>
    <definedName name="XDO_?FINAL_PER_NET?17?">TTS!$I$10:$I$86</definedName>
    <definedName name="XDO_?FINAL_QUANTITE?15?">TTS!$G$10:$G$41</definedName>
    <definedName name="XDO_?FINAL_QUANTITE?16?">TTS!$G$10:$G$82</definedName>
    <definedName name="XDO_?FINAL_QUANTITE?17?">TTS!$G$10:$G$86</definedName>
    <definedName name="XDO_?IND_01?15?">TTS!$F$10:$F$41</definedName>
    <definedName name="XDO_?IND_01?16?">TTS!$F$10:$F$82</definedName>
    <definedName name="XDO_?IND_01?17?">TTS!$F$10:$F$86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TTS!$B$10:$B$41</definedName>
    <definedName name="XDO_?NOVAL?16?">TTS!$B$10:$B$82</definedName>
    <definedName name="XDO_?NOVAL?17?">TTS!$B$10:$B$86</definedName>
    <definedName name="XDO_?NPTF?7?">TTS!$D$2:$D$41</definedName>
    <definedName name="XDO_?RATING?15?">TTS!$E$10:$E$41</definedName>
    <definedName name="XDO_?RATING?16?">TTS!$E$10:$E$82</definedName>
    <definedName name="XDO_?RATING?17?">TTS!$E$10:$E$86</definedName>
    <definedName name="XDO_?REMARKS?15?">TTS!$J$10:$J$41</definedName>
    <definedName name="XDO_?REMARKS?16?">TTS!$J$10:$J$82</definedName>
    <definedName name="XDO_?REMARKS?17?">TTS!$J$10:$J$86</definedName>
    <definedName name="XDO_?TITL?7?">TTS!$A$8:$A$41</definedName>
    <definedName name="XDO_GROUP_?G_2?7?">TTS!$2:$89</definedName>
    <definedName name="XDO_GROUP_?G_3?7?">TTS!$8:$88</definedName>
    <definedName name="XDO_GROUP_?G_4?15?">TTS!$B$10:$IV$41</definedName>
    <definedName name="XDO_GROUP_?G_4?16?">TTS!$B$82:$IV$82</definedName>
    <definedName name="XDO_GROUP_?G_4?17?">TTS!$B$86:$IV$86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<sst xmlns="http://schemas.openxmlformats.org/spreadsheetml/2006/main" count="267" uniqueCount="199">
  <si>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</si>
  <si>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</si>
  <si>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</si>
  <si>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</si>
  <si>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</si>
  <si>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</si>
  <si>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</si>
  <si>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</si>
  <si>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</si>
  <si>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</si>
  <si>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</si>
  <si>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</si>
  <si>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</si>
  <si>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</si>
  <si>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</si>
  <si>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</si>
  <si>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</si>
  <si>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</si>
  <si>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</si>
  <si>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</si>
  <si>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</si>
  <si>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</si>
  <si>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</si>
  <si>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</si>
  <si>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</si>
  <si>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</si>
  <si>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</si>
  <si>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</si>
  <si>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</si>
  <si>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</si>
  <si>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100003</t>
  </si>
  <si>
    <t>Infosys Ltd.</t>
  </si>
  <si>
    <t>INE009A01021</t>
  </si>
  <si>
    <t>100147</t>
  </si>
  <si>
    <t>Tech Mahindra Ltd.</t>
  </si>
  <si>
    <t>INE669C01036</t>
  </si>
  <si>
    <t>100019</t>
  </si>
  <si>
    <t>ITC Ltd.</t>
  </si>
  <si>
    <t>INE154A01025</t>
  </si>
  <si>
    <t>Diversified FMCG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</si>
  <si>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</si>
  <si>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</si>
  <si>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</si>
  <si>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</si>
  <si>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</si>
  <si>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</si>
  <si>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</si>
  <si>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100474</t>
  </si>
  <si>
    <t>Narayana Hrudayalaya Ltd.</t>
  </si>
  <si>
    <t>INE410P01011</t>
  </si>
  <si>
    <t>Healthcare Services</t>
  </si>
  <si>
    <t>102094</t>
  </si>
  <si>
    <t>HBL Power Systems Ltd.</t>
  </si>
  <si>
    <t>INE292B01021</t>
  </si>
  <si>
    <t>Auto Components</t>
  </si>
  <si>
    <t>100153</t>
  </si>
  <si>
    <t>Cipla Ltd.</t>
  </si>
  <si>
    <t>INE059A01026</t>
  </si>
  <si>
    <t>Pharmaceuticals &amp; Biotechnology</t>
  </si>
  <si>
    <t>100219</t>
  </si>
  <si>
    <t>Indraprastha Gas Ltd.</t>
  </si>
  <si>
    <t>INE203G01027</t>
  </si>
  <si>
    <t>Gas</t>
  </si>
  <si>
    <t>101178</t>
  </si>
  <si>
    <t>Computer Age Management Services Ltd.</t>
  </si>
  <si>
    <t>INE596I01012</t>
  </si>
  <si>
    <t>Capital Markets</t>
  </si>
  <si>
    <t>100035</t>
  </si>
  <si>
    <t>NMDC Ltd.</t>
  </si>
  <si>
    <t>INE584A01023</t>
  </si>
  <si>
    <t>Minerals &amp; Mining</t>
  </si>
  <si>
    <t>100292</t>
  </si>
  <si>
    <t>Steel Authority of India Ltd.</t>
  </si>
  <si>
    <t>INE114A01011</t>
  </si>
  <si>
    <t>Ferrous Metals</t>
  </si>
  <si>
    <t>100155</t>
  </si>
  <si>
    <t>Divi's Laboratories Ltd.</t>
  </si>
  <si>
    <t>INE361B01024</t>
  </si>
  <si>
    <t>100399</t>
  </si>
  <si>
    <t>Cholamandalam Investment &amp; Finance Co. Ltd.</t>
  </si>
  <si>
    <t>INE121A01024</t>
  </si>
  <si>
    <t>101181</t>
  </si>
  <si>
    <t>UTI Asset Management Co. Ltd.</t>
  </si>
  <si>
    <t>INE094J01016</t>
  </si>
  <si>
    <t>100083</t>
  </si>
  <si>
    <t>Samvardhana Motherson International Ltd.</t>
  </si>
  <si>
    <t>INE775A01035</t>
  </si>
  <si>
    <t>100172</t>
  </si>
  <si>
    <t>ACC Ltd.</t>
  </si>
  <si>
    <t>INE012A01025</t>
  </si>
  <si>
    <t>Cement &amp; Cement Products</t>
  </si>
  <si>
    <t>100342</t>
  </si>
  <si>
    <t>Vardhman Textiles Ltd.</t>
  </si>
  <si>
    <t>INE825A01020</t>
  </si>
  <si>
    <t>Textiles &amp; Apparels</t>
  </si>
  <si>
    <t>101698</t>
  </si>
  <si>
    <t>Swan Energy Ltd.</t>
  </si>
  <si>
    <t>INE665A01038</t>
  </si>
  <si>
    <t>Diversified</t>
  </si>
  <si>
    <t>100080</t>
  </si>
  <si>
    <t>Dr. Reddy's Laboratories Ltd.</t>
  </si>
  <si>
    <t>INE089A01031</t>
  </si>
  <si>
    <t>100045</t>
  </si>
  <si>
    <t>Gujarat Pipavav Port Ltd.</t>
  </si>
  <si>
    <t>INE517F01014</t>
  </si>
  <si>
    <t>Transport Infrastructure</t>
  </si>
  <si>
    <t>102206</t>
  </si>
  <si>
    <t>Chemtech Industrial Valves Ltd.</t>
  </si>
  <si>
    <t>INE212P01011</t>
  </si>
  <si>
    <t>Industrial Manufacturing</t>
  </si>
  <si>
    <t>100056</t>
  </si>
  <si>
    <t>Supreme Industries Ltd.</t>
  </si>
  <si>
    <t>INE195A01028</t>
  </si>
  <si>
    <t>Industrial Products</t>
  </si>
  <si>
    <t>100112</t>
  </si>
  <si>
    <t>Punjab National Bank</t>
  </si>
  <si>
    <t>INE160A01022</t>
  </si>
  <si>
    <t>100089</t>
  </si>
  <si>
    <t>Bharat Electronics Ltd.</t>
  </si>
  <si>
    <t>INE263A01024</t>
  </si>
  <si>
    <t>Aerospace &amp; Defense</t>
  </si>
  <si>
    <t>100078</t>
  </si>
  <si>
    <t>Sanghi Industries Ltd.</t>
  </si>
  <si>
    <t>INE999B01013</t>
  </si>
  <si>
    <t>102182</t>
  </si>
  <si>
    <t>Advani Hotels &amp; Resorts (India) Ltd.</t>
  </si>
  <si>
    <t>INE199C01026</t>
  </si>
  <si>
    <t>Leisure Services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</si>
  <si>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</si>
  <si>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</si>
  <si>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</si>
  <si>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</si>
  <si>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</si>
  <si>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</si>
  <si>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</si>
  <si>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</si>
  <si>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</si>
  <si>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</si>
  <si>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</si>
  <si>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</si>
  <si>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</si>
  <si>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</si>
  <si>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</si>
  <si>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</si>
  <si>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</si>
  <si>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</si>
  <si>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</si>
  <si>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</si>
  <si>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</si>
  <si>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</si>
  <si>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</si>
  <si>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</si>
  <si>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</si>
  <si>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</si>
  <si>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212240100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</si>
  <si>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</si>
  <si>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</si>
  <si>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</si>
  <si>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</si>
  <si>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</si>
  <si>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</si>
  <si>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</si>
  <si>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</si>
  <si>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</si>
  <si>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</si>
  <si>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</si>
  <si>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</si>
  <si>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</si>
  <si>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</si>
  <si>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</si>
  <si>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</si>
  <si>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</si>
  <si>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</si>
  <si>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</si>
  <si>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</si>
  <si>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</si>
  <si>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</si>
  <si>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</si>
  <si>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</si>
  <si>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0.61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</si>
  <si>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</si>
  <si>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</si>
  <si>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</si>
  <si>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</si>
  <si>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</si>
  <si>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</si>
  <si>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</si>
  <si>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</si>
  <si>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</si>
  <si>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</si>
  <si>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</si>
  <si>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</si>
  <si>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</si>
  <si>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</si>
  <si>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</si>
  <si>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</si>
  <si>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November 29,2024 :184.26)</t>
  </si>
  <si>
    <t>Taurus Elss Tax Saver Fund - Direct Plan Growth Option</t>
  </si>
  <si>
    <t>NAV [Rs.] Per Unit (as on November 29,2024 :200.04)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</si>
</sst>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2DD2FDA-C63D-4FD1-9C81-CD1E3DDDA9B7}"/>
    <cellStyle name="Hyperlink" xfId="2" builtinId="8"/>
    <cellStyle name="Normal" xfId="0" builtinId="0"/>
    <cellStyle name="Normal 2" xfId="4" xr:uid="{9F921A49-FF8D-4C93-9724-BE91E5A2A7BC}"/>
    <cellStyle name="Style 1" xfId="3" xr:uid="{1689DD0B-B8EF-48D7-86D9-2256E6918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3" name="Picture 2" descr="Product Label - 9th Dec 2024 - ELSS.jpg">
          <a:extLst>
            <a:ext uri="{FF2B5EF4-FFF2-40B4-BE49-F238E27FC236}">
              <a16:creationId xmlns:a16="http://schemas.microsoft.com/office/drawing/2014/main" id="{13184CAB-7B0E-4089-A6B3-E3A28EFD6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702B-D116-4F32-899C-031E67EE0264}">
  <dimension ref="A1:BB115"/>
  <sheetViews>
    <sheetView showGridLines="0" tabSelected="1" zoomScale="90" zoomScaleNormal="90" workbookViewId="0">
      <selection activeCell="F1" sqref="F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44725</v>
      </c>
      <c r="H10" s="32">
        <v>804</v>
      </c>
      <c r="I10" s="32">
        <v>9.98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40809</v>
      </c>
      <c r="H11" s="32">
        <v>754.52</v>
      </c>
      <c r="I11" s="32">
        <v>9.36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543.92999999999995</v>
      </c>
      <c r="I12" s="32">
        <v>6.75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543.74</v>
      </c>
      <c r="I13" s="32">
        <v>6.75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21339</v>
      </c>
      <c r="H14" s="32">
        <v>396.57</v>
      </c>
      <c r="I14" s="32">
        <v>4.92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22</v>
      </c>
      <c r="G15" s="31">
        <v>22792</v>
      </c>
      <c r="H15" s="32">
        <v>390.1</v>
      </c>
      <c r="I15" s="32">
        <v>4.84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80000</v>
      </c>
      <c r="H16" s="32">
        <v>381.64</v>
      </c>
      <c r="I16" s="32">
        <v>4.74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80000</v>
      </c>
      <c r="H17" s="32">
        <v>333.24</v>
      </c>
      <c r="I17" s="32">
        <v>4.1399999999999997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28650</v>
      </c>
      <c r="H18" s="32">
        <v>325.66000000000003</v>
      </c>
      <c r="I18" s="32">
        <v>4.04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17513</v>
      </c>
      <c r="H19" s="32">
        <v>222.17</v>
      </c>
      <c r="I19" s="32">
        <v>2.76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34504</v>
      </c>
      <c r="H20" s="32">
        <v>215.08</v>
      </c>
      <c r="I20" s="32">
        <v>2.67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13798</v>
      </c>
      <c r="H21" s="32">
        <v>211.72</v>
      </c>
      <c r="I21" s="32">
        <v>2.63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61007</v>
      </c>
      <c r="H22" s="32">
        <v>199.95</v>
      </c>
      <c r="I22" s="32">
        <v>2.48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4035</v>
      </c>
      <c r="H23" s="32">
        <v>198.74</v>
      </c>
      <c r="I23" s="32">
        <v>2.4700000000000002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85000</v>
      </c>
      <c r="H24" s="32">
        <v>195.46</v>
      </c>
      <c r="I24" s="32">
        <v>2.4300000000000002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150110</v>
      </c>
      <c r="H25" s="32">
        <v>175.78</v>
      </c>
      <c r="I25" s="32">
        <v>2.1800000000000002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58</v>
      </c>
      <c r="G26" s="31">
        <v>2780</v>
      </c>
      <c r="H26" s="32">
        <v>171.56</v>
      </c>
      <c r="I26" s="32">
        <v>2.13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26</v>
      </c>
      <c r="G27" s="31">
        <v>13735</v>
      </c>
      <c r="H27" s="32">
        <v>169.58</v>
      </c>
      <c r="I27" s="32">
        <v>2.1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66</v>
      </c>
      <c r="G28" s="31">
        <v>12380</v>
      </c>
      <c r="H28" s="32">
        <v>160.75</v>
      </c>
      <c r="I28" s="32">
        <v>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54</v>
      </c>
      <c r="G29" s="31">
        <v>98565</v>
      </c>
      <c r="H29" s="32">
        <v>160.12</v>
      </c>
      <c r="I29" s="32">
        <v>1.99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6939</v>
      </c>
      <c r="H30" s="32">
        <v>154.29</v>
      </c>
      <c r="I30" s="32">
        <v>1.91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30000</v>
      </c>
      <c r="H31" s="32">
        <v>142.88</v>
      </c>
      <c r="I31" s="32">
        <v>1.77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20653</v>
      </c>
      <c r="H32" s="32">
        <v>126.17</v>
      </c>
      <c r="I32" s="32">
        <v>1.57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58</v>
      </c>
      <c r="G33" s="31">
        <v>10435</v>
      </c>
      <c r="H33" s="32">
        <v>125.47</v>
      </c>
      <c r="I33" s="32">
        <v>1.56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65655</v>
      </c>
      <c r="H34" s="32">
        <v>123.17</v>
      </c>
      <c r="I34" s="32">
        <v>1.53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50000</v>
      </c>
      <c r="H35" s="32">
        <v>113.08</v>
      </c>
      <c r="I35" s="32">
        <v>1.4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2008</v>
      </c>
      <c r="H36" s="32">
        <v>93.46</v>
      </c>
      <c r="I36" s="32">
        <v>1.1599999999999999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18</v>
      </c>
      <c r="G37" s="31">
        <v>71800</v>
      </c>
      <c r="H37" s="32">
        <v>75.33</v>
      </c>
      <c r="I37" s="32">
        <v>0.93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20527</v>
      </c>
      <c r="H38" s="32">
        <v>63.19</v>
      </c>
      <c r="I38" s="32">
        <v>0.78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90</v>
      </c>
      <c r="G39" s="31">
        <v>72548</v>
      </c>
      <c r="H39" s="32">
        <v>58.89</v>
      </c>
      <c r="I39" s="32">
        <v>0.73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44981</v>
      </c>
      <c r="H40" s="32">
        <v>32</v>
      </c>
      <c r="I40" s="32">
        <v>0.4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4330</v>
      </c>
      <c r="H41" s="32">
        <v>27.33</v>
      </c>
      <c r="I41" s="32">
        <v>0.34</v>
      </c>
      <c r="J41" s="33"/>
    </row>
    <row r="42" spans="2:10" x14ac:dyDescent="0.25">
      <c r="C42" s="28" t="s">
        <v>132</v>
      </c>
      <c r="D42" s="29"/>
      <c r="E42" s="30"/>
      <c r="F42" s="30"/>
      <c r="G42" s="31"/>
      <c r="H42" s="35">
        <v>7689.57</v>
      </c>
      <c r="I42" s="35">
        <v>95.44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133</v>
      </c>
      <c r="D44" s="29"/>
      <c r="E44" s="30"/>
      <c r="F44" s="30"/>
      <c r="G44" s="31"/>
      <c r="H44" s="32" t="s">
        <v>134</v>
      </c>
      <c r="I44" s="32" t="s">
        <v>134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135</v>
      </c>
      <c r="D46" s="29"/>
      <c r="E46" s="30"/>
      <c r="F46" s="30"/>
      <c r="G46" s="31"/>
      <c r="H46" s="32" t="s">
        <v>134</v>
      </c>
      <c r="I46" s="32" t="s">
        <v>134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136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137</v>
      </c>
      <c r="D50" s="29"/>
      <c r="E50" s="30"/>
      <c r="F50" s="30"/>
      <c r="G50" s="31"/>
      <c r="H50" s="32" t="s">
        <v>134</v>
      </c>
      <c r="I50" s="32" t="s">
        <v>134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138</v>
      </c>
      <c r="D52" s="29"/>
      <c r="E52" s="30"/>
      <c r="F52" s="30"/>
      <c r="G52" s="31"/>
      <c r="H52" s="32" t="s">
        <v>134</v>
      </c>
      <c r="I52" s="32" t="s">
        <v>134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139</v>
      </c>
      <c r="D54" s="29"/>
      <c r="E54" s="30"/>
      <c r="F54" s="30"/>
      <c r="G54" s="31"/>
      <c r="H54" s="32" t="s">
        <v>134</v>
      </c>
      <c r="I54" s="32" t="s">
        <v>134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140</v>
      </c>
      <c r="D56" s="29"/>
      <c r="E56" s="30"/>
      <c r="F56" s="30"/>
      <c r="G56" s="31"/>
      <c r="H56" s="32" t="s">
        <v>134</v>
      </c>
      <c r="I56" s="32" t="s">
        <v>134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141</v>
      </c>
      <c r="D58" s="29"/>
      <c r="E58" s="30"/>
      <c r="F58" s="30"/>
      <c r="G58" s="31"/>
      <c r="H58" s="32" t="s">
        <v>134</v>
      </c>
      <c r="I58" s="32" t="s">
        <v>134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142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143</v>
      </c>
      <c r="D62" s="29"/>
      <c r="E62" s="30"/>
      <c r="F62" s="30"/>
      <c r="G62" s="31"/>
      <c r="H62" s="32" t="s">
        <v>134</v>
      </c>
      <c r="I62" s="32" t="s">
        <v>134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144</v>
      </c>
      <c r="D64" s="29"/>
      <c r="E64" s="30"/>
      <c r="F64" s="30"/>
      <c r="G64" s="31"/>
      <c r="H64" s="32" t="s">
        <v>134</v>
      </c>
      <c r="I64" s="32" t="s">
        <v>134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145</v>
      </c>
      <c r="D66" s="29"/>
      <c r="E66" s="30"/>
      <c r="F66" s="30"/>
      <c r="G66" s="31"/>
      <c r="H66" s="32" t="s">
        <v>134</v>
      </c>
      <c r="I66" s="32" t="s">
        <v>134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146</v>
      </c>
      <c r="D68" s="29"/>
      <c r="E68" s="30"/>
      <c r="F68" s="30"/>
      <c r="G68" s="31"/>
      <c r="H68" s="32" t="s">
        <v>134</v>
      </c>
      <c r="I68" s="32" t="s">
        <v>134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147</v>
      </c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148</v>
      </c>
      <c r="D71" s="29"/>
      <c r="E71" s="30"/>
      <c r="F71" s="30"/>
      <c r="G71" s="31"/>
      <c r="H71" s="32" t="s">
        <v>134</v>
      </c>
      <c r="I71" s="32" t="s">
        <v>134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149</v>
      </c>
      <c r="D73" s="29"/>
      <c r="E73" s="30"/>
      <c r="F73" s="30"/>
      <c r="G73" s="31"/>
      <c r="H73" s="32" t="s">
        <v>134</v>
      </c>
      <c r="I73" s="32" t="s">
        <v>134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150</v>
      </c>
      <c r="D75" s="29"/>
      <c r="E75" s="30"/>
      <c r="F75" s="30"/>
      <c r="G75" s="31"/>
      <c r="H75" s="32" t="s">
        <v>134</v>
      </c>
      <c r="I75" s="32" t="s">
        <v>134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151</v>
      </c>
      <c r="D77" s="29"/>
      <c r="E77" s="30"/>
      <c r="F77" s="30"/>
      <c r="G77" s="31"/>
      <c r="H77" s="32" t="s">
        <v>134</v>
      </c>
      <c r="I77" s="32" t="s">
        <v>134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152</v>
      </c>
      <c r="D79" s="29"/>
      <c r="E79" s="30"/>
      <c r="F79" s="30"/>
      <c r="G79" s="31"/>
      <c r="H79" s="32" t="s">
        <v>134</v>
      </c>
      <c r="I79" s="32" t="s">
        <v>134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C81" s="34" t="s">
        <v>153</v>
      </c>
      <c r="D81" s="29"/>
      <c r="E81" s="30"/>
      <c r="F81" s="30"/>
      <c r="G81" s="31"/>
      <c r="H81" s="32"/>
      <c r="I81" s="32"/>
      <c r="J81" s="33"/>
    </row>
    <row r="82" spans="1:10" x14ac:dyDescent="0.25">
      <c r="B82" s="1" t="s">
        <v>154</v>
      </c>
      <c r="C82" s="20" t="s">
        <v>155</v>
      </c>
      <c r="D82" s="29"/>
      <c r="E82" s="30"/>
      <c r="F82" s="30"/>
      <c r="G82" s="31"/>
      <c r="H82" s="32">
        <v>299.94</v>
      </c>
      <c r="I82" s="32">
        <v>3.72</v>
      </c>
      <c r="J82" s="33"/>
    </row>
    <row r="83" spans="1:10" x14ac:dyDescent="0.25">
      <c r="C83" s="28" t="s">
        <v>132</v>
      </c>
      <c r="D83" s="29"/>
      <c r="E83" s="30"/>
      <c r="F83" s="30"/>
      <c r="G83" s="31"/>
      <c r="H83" s="35">
        <v>299.94</v>
      </c>
      <c r="I83" s="35">
        <v>3.72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156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157</v>
      </c>
      <c r="D86" s="29"/>
      <c r="E86" s="30"/>
      <c r="F86" s="30"/>
      <c r="G86" s="31"/>
      <c r="H86" s="32">
        <v>67.84</v>
      </c>
      <c r="I86" s="32">
        <v>0.84</v>
      </c>
      <c r="J86" s="33"/>
    </row>
    <row r="87" spans="1:10" x14ac:dyDescent="0.25">
      <c r="C87" s="28" t="s">
        <v>132</v>
      </c>
      <c r="D87" s="29"/>
      <c r="E87" s="30"/>
      <c r="F87" s="30"/>
      <c r="G87" s="31"/>
      <c r="H87" s="35">
        <v>67.84</v>
      </c>
      <c r="I87" s="35">
        <v>0.84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158</v>
      </c>
      <c r="D89" s="37"/>
      <c r="E89" s="38"/>
      <c r="F89" s="39"/>
      <c r="G89" s="40"/>
      <c r="H89" s="41">
        <v>8057.35</v>
      </c>
      <c r="I89" s="41">
        <f>SUMIFS(I:I,C:C,"Total")</f>
        <v>100</v>
      </c>
      <c r="J89" s="42"/>
    </row>
    <row r="92" spans="1:10" x14ac:dyDescent="0.25">
      <c r="C92" s="11" t="s">
        <v>159</v>
      </c>
    </row>
    <row r="93" spans="1:10" x14ac:dyDescent="0.25">
      <c r="C93" s="2" t="s">
        <v>160</v>
      </c>
    </row>
    <row r="94" spans="1:10" x14ac:dyDescent="0.25">
      <c r="C94" s="2" t="s">
        <v>161</v>
      </c>
    </row>
    <row r="95" spans="1:10" x14ac:dyDescent="0.25">
      <c r="C95" s="2" t="s">
        <v>162</v>
      </c>
    </row>
    <row r="96" spans="1:10" x14ac:dyDescent="0.25">
      <c r="C96" s="2" t="s">
        <v>163</v>
      </c>
    </row>
    <row r="97" spans="3:5" x14ac:dyDescent="0.25">
      <c r="C97" s="2" t="s">
        <v>164</v>
      </c>
    </row>
    <row r="98" spans="3:5" x14ac:dyDescent="0.25">
      <c r="C98" s="2" t="s">
        <v>165</v>
      </c>
    </row>
    <row r="99" spans="3:5" x14ac:dyDescent="0.25">
      <c r="D99" s="2" t="s">
        <v>166</v>
      </c>
    </row>
    <row r="100" spans="3:5" x14ac:dyDescent="0.25">
      <c r="C100" s="2" t="s">
        <v>167</v>
      </c>
      <c r="D100" s="2" t="s">
        <v>168</v>
      </c>
      <c r="E100" s="2" t="s">
        <v>168</v>
      </c>
    </row>
    <row r="101" spans="3:5" x14ac:dyDescent="0.25">
      <c r="D101" s="2" t="s">
        <v>169</v>
      </c>
      <c r="E101" s="2" t="s">
        <v>170</v>
      </c>
    </row>
    <row r="102" spans="3:5" x14ac:dyDescent="0.25">
      <c r="C102" s="2" t="s">
        <v>171</v>
      </c>
      <c r="D102" s="2">
        <v>85.1</v>
      </c>
      <c r="E102" s="2">
        <v>86.31</v>
      </c>
    </row>
    <row r="103" spans="3:5" x14ac:dyDescent="0.25">
      <c r="C103" s="2" t="s">
        <v>172</v>
      </c>
      <c r="D103" s="2">
        <v>181.66</v>
      </c>
      <c r="E103" s="2">
        <v>184.25</v>
      </c>
    </row>
    <row r="104" spans="3:5" x14ac:dyDescent="0.25">
      <c r="C104" s="2" t="s">
        <v>173</v>
      </c>
      <c r="D104" s="2">
        <v>90.86</v>
      </c>
      <c r="E104" s="2">
        <v>92.19</v>
      </c>
    </row>
    <row r="105" spans="3:5" x14ac:dyDescent="0.25">
      <c r="C105" s="2" t="s">
        <v>174</v>
      </c>
      <c r="D105" s="2">
        <v>197.15</v>
      </c>
      <c r="E105" s="2">
        <v>200.03</v>
      </c>
    </row>
    <row r="107" spans="3:5" x14ac:dyDescent="0.25">
      <c r="C107" s="2" t="s">
        <v>175</v>
      </c>
    </row>
    <row r="108" spans="3:5" x14ac:dyDescent="0.25">
      <c r="C108" s="2" t="s">
        <v>176</v>
      </c>
    </row>
    <row r="109" spans="3:5" x14ac:dyDescent="0.25">
      <c r="C109" s="2" t="s">
        <v>177</v>
      </c>
    </row>
    <row r="110" spans="3:5" x14ac:dyDescent="0.25">
      <c r="C110" s="2" t="s">
        <v>178</v>
      </c>
    </row>
    <row r="111" spans="3:5" x14ac:dyDescent="0.25">
      <c r="C111" s="2" t="s">
        <v>179</v>
      </c>
    </row>
    <row r="112" spans="3:5" x14ac:dyDescent="0.25">
      <c r="C112" s="2" t="s">
        <v>180</v>
      </c>
    </row>
    <row r="113" spans="3:3" x14ac:dyDescent="0.25">
      <c r="C113" s="2" t="s">
        <v>181</v>
      </c>
    </row>
    <row r="114" spans="3:3" x14ac:dyDescent="0.25">
      <c r="C114" s="2" t="s">
        <v>182</v>
      </c>
    </row>
    <row r="115" spans="3:3" x14ac:dyDescent="0.25">
      <c r="C115" s="2" t="s">
        <v>183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7CF4-2395-40DE-8C90-0063D4C3143B}">
  <dimension ref="C3:K17"/>
  <sheetViews>
    <sheetView workbookViewId="0"/>
  </sheetViews>
  <sheetFormatPr defaultRowHeight="15" x14ac:dyDescent="0.25"/>
  <cols>
    <col min="3" max="3" width="49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184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185</v>
      </c>
      <c r="D4" s="51" t="s">
        <v>186</v>
      </c>
      <c r="E4" s="51"/>
      <c r="F4" s="51" t="s">
        <v>187</v>
      </c>
      <c r="G4" s="51"/>
      <c r="H4" s="51" t="s">
        <v>188</v>
      </c>
      <c r="I4" s="51"/>
      <c r="J4" s="52" t="s">
        <v>189</v>
      </c>
      <c r="K4" s="52"/>
    </row>
    <row r="5" spans="3:11" ht="63.75" x14ac:dyDescent="0.25">
      <c r="C5" s="46"/>
      <c r="D5" s="47" t="s">
        <v>190</v>
      </c>
      <c r="E5" s="47" t="s">
        <v>191</v>
      </c>
      <c r="F5" s="47" t="s">
        <v>190</v>
      </c>
      <c r="G5" s="47" t="s">
        <v>191</v>
      </c>
      <c r="H5" s="47" t="s">
        <v>190</v>
      </c>
      <c r="I5" s="47" t="s">
        <v>191</v>
      </c>
      <c r="J5" s="48" t="s">
        <v>190</v>
      </c>
      <c r="K5" s="48" t="s">
        <v>191</v>
      </c>
    </row>
    <row r="6" spans="3:11" x14ac:dyDescent="0.25">
      <c r="C6" s="49" t="s">
        <v>192</v>
      </c>
      <c r="D6" s="50">
        <v>28.520600000000002</v>
      </c>
      <c r="E6" s="50">
        <v>12886.21581928806</v>
      </c>
      <c r="F6" s="50">
        <v>19.186599999999999</v>
      </c>
      <c r="G6" s="50">
        <v>16941.890400882676</v>
      </c>
      <c r="H6" s="50">
        <v>17.906099999999999</v>
      </c>
      <c r="I6" s="50">
        <v>22807.278128481244</v>
      </c>
      <c r="J6" s="50">
        <v>12.3156</v>
      </c>
      <c r="K6" s="50">
        <v>184260</v>
      </c>
    </row>
    <row r="7" spans="3:11" x14ac:dyDescent="0.25">
      <c r="C7" s="49" t="s">
        <v>193</v>
      </c>
      <c r="D7" s="50">
        <v>27.0137</v>
      </c>
      <c r="E7" s="50">
        <v>12701.37</v>
      </c>
      <c r="F7" s="50">
        <v>16.849599999999999</v>
      </c>
      <c r="G7" s="50">
        <v>15954.44459474088</v>
      </c>
      <c r="H7" s="50">
        <v>19.557700000000001</v>
      </c>
      <c r="I7" s="50">
        <v>24427.99139721254</v>
      </c>
      <c r="J7" s="50" t="s">
        <v>194</v>
      </c>
      <c r="K7" s="50" t="s">
        <v>194</v>
      </c>
    </row>
    <row r="8" spans="3:11" x14ac:dyDescent="0.25">
      <c r="C8" s="49" t="s">
        <v>195</v>
      </c>
      <c r="D8" s="50">
        <v>21.272200000000002</v>
      </c>
      <c r="E8" s="50">
        <v>12127.220000000001</v>
      </c>
      <c r="F8" s="50">
        <v>13.763500000000001</v>
      </c>
      <c r="G8" s="50">
        <v>14723.424536015229</v>
      </c>
      <c r="H8" s="50">
        <v>16.2056</v>
      </c>
      <c r="I8" s="50">
        <v>21190.211284671968</v>
      </c>
      <c r="J8" s="50">
        <v>13.3504</v>
      </c>
      <c r="K8" s="50">
        <v>364016.9978068528</v>
      </c>
    </row>
    <row r="9" spans="3:11" x14ac:dyDescent="0.25">
      <c r="C9" s="49" t="s">
        <v>196</v>
      </c>
      <c r="D9" s="53">
        <v>142.99</v>
      </c>
      <c r="E9" s="54"/>
      <c r="F9" s="53">
        <v>108.76</v>
      </c>
      <c r="G9" s="54"/>
      <c r="H9" s="53">
        <v>80.790000000000006</v>
      </c>
      <c r="I9" s="54"/>
      <c r="J9" s="53">
        <v>10</v>
      </c>
      <c r="K9" s="54"/>
    </row>
    <row r="11" spans="3:11" ht="15.75" x14ac:dyDescent="0.25">
      <c r="C11" s="43" t="s">
        <v>197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185</v>
      </c>
      <c r="D12" s="51" t="s">
        <v>186</v>
      </c>
      <c r="E12" s="51"/>
      <c r="F12" s="51" t="s">
        <v>187</v>
      </c>
      <c r="G12" s="51"/>
      <c r="H12" s="51" t="s">
        <v>188</v>
      </c>
      <c r="I12" s="51"/>
      <c r="J12" s="52" t="s">
        <v>189</v>
      </c>
      <c r="K12" s="52"/>
    </row>
    <row r="13" spans="3:11" ht="63.75" x14ac:dyDescent="0.25">
      <c r="C13" s="46"/>
      <c r="D13" s="47" t="s">
        <v>190</v>
      </c>
      <c r="E13" s="47" t="s">
        <v>191</v>
      </c>
      <c r="F13" s="47" t="s">
        <v>190</v>
      </c>
      <c r="G13" s="47" t="s">
        <v>191</v>
      </c>
      <c r="H13" s="47" t="s">
        <v>190</v>
      </c>
      <c r="I13" s="47" t="s">
        <v>191</v>
      </c>
      <c r="J13" s="48" t="s">
        <v>190</v>
      </c>
      <c r="K13" s="48" t="s">
        <v>191</v>
      </c>
    </row>
    <row r="14" spans="3:11" x14ac:dyDescent="0.25">
      <c r="C14" s="49" t="s">
        <v>192</v>
      </c>
      <c r="D14" s="50">
        <v>29.291599999999999</v>
      </c>
      <c r="E14" s="50">
        <v>12965.195411238577</v>
      </c>
      <c r="F14" s="50">
        <v>19.959900000000001</v>
      </c>
      <c r="G14" s="50">
        <v>17274.611398963731</v>
      </c>
      <c r="H14" s="50">
        <v>18.722799999999999</v>
      </c>
      <c r="I14" s="50">
        <v>23609.111294700815</v>
      </c>
      <c r="J14" s="50">
        <v>14.697900000000001</v>
      </c>
      <c r="K14" s="50">
        <v>51703.282501938484</v>
      </c>
    </row>
    <row r="15" spans="3:11" x14ac:dyDescent="0.25">
      <c r="C15" s="49" t="s">
        <v>193</v>
      </c>
      <c r="D15" s="50">
        <v>27.0137</v>
      </c>
      <c r="E15" s="50">
        <v>12701.37</v>
      </c>
      <c r="F15" s="50">
        <v>16.849599999999999</v>
      </c>
      <c r="G15" s="50">
        <v>15954.44459474088</v>
      </c>
      <c r="H15" s="50">
        <v>19.557700000000001</v>
      </c>
      <c r="I15" s="50">
        <v>24427.99139721254</v>
      </c>
      <c r="J15" s="50">
        <v>15.238</v>
      </c>
      <c r="K15" s="50">
        <v>54189.747979322994</v>
      </c>
    </row>
    <row r="16" spans="3:11" x14ac:dyDescent="0.25">
      <c r="C16" s="49" t="s">
        <v>195</v>
      </c>
      <c r="D16" s="50">
        <v>21.272200000000002</v>
      </c>
      <c r="E16" s="50">
        <v>12127.220000000001</v>
      </c>
      <c r="F16" s="50">
        <v>13.763500000000001</v>
      </c>
      <c r="G16" s="50">
        <v>14723.424536015229</v>
      </c>
      <c r="H16" s="50">
        <v>16.2056</v>
      </c>
      <c r="I16" s="50">
        <v>21190.211284671968</v>
      </c>
      <c r="J16" s="50">
        <v>13.776999999999999</v>
      </c>
      <c r="K16" s="50">
        <v>46547.134373880639</v>
      </c>
    </row>
    <row r="17" spans="3:11" x14ac:dyDescent="0.25">
      <c r="C17" s="49" t="s">
        <v>198</v>
      </c>
      <c r="D17" s="53">
        <v>154.29</v>
      </c>
      <c r="E17" s="54"/>
      <c r="F17" s="53">
        <v>115.8</v>
      </c>
      <c r="G17" s="54"/>
      <c r="H17" s="53">
        <v>84.73</v>
      </c>
      <c r="I17" s="54"/>
      <c r="J17" s="53">
        <v>38.69</v>
      </c>
      <c r="K17" s="54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2024-12-05T10:08:40Z</dcterms:created>
  <dcterms:modified xsi:type="dcterms:W3CDTF">2024-12-09T07:55:40Z</dcterms:modified>
</cp:coreProperties>
</file>