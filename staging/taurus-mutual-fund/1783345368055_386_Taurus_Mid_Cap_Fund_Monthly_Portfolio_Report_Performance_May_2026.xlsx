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urusasset.sharepoint.com/sites/GURGAON-FILESERVER/Shared Documents/Fund Ops/Audit/All Audit/Operations/MIS Reports/FY2026-27/3. JUNE 2026/MONTHLY PORTFOLIO FINAL/Ops/"/>
    </mc:Choice>
  </mc:AlternateContent>
  <xr:revisionPtr revIDLastSave="12" documentId="8_{373D03ED-2A8D-42B3-813B-423372869DB4}" xr6:coauthVersionLast="47" xr6:coauthVersionMax="47" xr10:uidLastSave="{9C54BF04-9653-4C57-89A8-127000ECB1D3}"/>
  <bookViews>
    <workbookView xWindow="-120" yWindow="-120" windowWidth="20730" windowHeight="11040" xr2:uid="{384C52D6-2FE1-4D07-B4B4-A65C2CF21B12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TDF!$C$8:$C$46</definedName>
    <definedName name="XDO_?FINAL_ISIN?3?">TDF!$D$10:$D$46</definedName>
    <definedName name="XDO_?FINAL_ISIN?4?">TDF!$D$10:$D$77</definedName>
    <definedName name="XDO_?FINAL_ISIN?5?">TDF!$D$10:$D$93</definedName>
    <definedName name="XDO_?FINAL_MV?3?">TDF!$H$10:$H$46</definedName>
    <definedName name="XDO_?FINAL_MV?4?">TDF!$H$10:$H$77</definedName>
    <definedName name="XDO_?FINAL_MV?5?">TDF!$H$10:$H$93</definedName>
    <definedName name="XDO_?FINAL_NAME?3?">TDF!$C$10:$C$46</definedName>
    <definedName name="XDO_?FINAL_NAME?4?">TDF!$C$10:$C$77</definedName>
    <definedName name="XDO_?FINAL_NAME?5?">TDF!$C$10:$C$93</definedName>
    <definedName name="XDO_?FINAL_PER_NET?3?">TDF!$I$10:$I$46</definedName>
    <definedName name="XDO_?FINAL_PER_NET?4?">TDF!$I$10:$I$77</definedName>
    <definedName name="XDO_?FINAL_PER_NET?5?">TDF!$I$10:$I$93</definedName>
    <definedName name="XDO_?FINAL_QUANTITE?3?">TDF!$G$10:$G$46</definedName>
    <definedName name="XDO_?FINAL_QUANTITE?4?">TDF!$G$10:$G$77</definedName>
    <definedName name="XDO_?FINAL_QUANTITE?5?">TDF!$G$10:$G$93</definedName>
    <definedName name="XDO_?IND_01?3?">TDF!$F$10:$F$46</definedName>
    <definedName name="XDO_?IND_01?4?">TDF!$F$10:$F$77</definedName>
    <definedName name="XDO_?IND_01?5?">TDF!$F$10:$F$93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TDF!$C$2:$C$46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TDF!$B$10:$B$46</definedName>
    <definedName name="XDO_?NOVAL?4?">TDF!$B$10:$B$77</definedName>
    <definedName name="XDO_?NOVAL?5?">TDF!$B$10:$B$93</definedName>
    <definedName name="XDO_?NPTF?2?">TDF!$D$2:$D$46</definedName>
    <definedName name="XDO_?RATING?3?">TDF!$E$10:$E$46</definedName>
    <definedName name="XDO_?RATING?4?">TDF!$E$10:$E$77</definedName>
    <definedName name="XDO_?RATING?5?">TDF!$E$10:$E$93</definedName>
    <definedName name="XDO_?REMARKS?3?">TDF!$J$10:$J$46</definedName>
    <definedName name="XDO_?REMARKS?4?">TDF!$J$10:$J$77</definedName>
    <definedName name="XDO_?REMARKS?5?">TDF!$J$10:$J$93</definedName>
    <definedName name="XDO_?TITL?2?">TDF!$A$8:$A$46</definedName>
    <definedName name="XDO_GROUP_?G_2?2?">TDF!$2:$96</definedName>
    <definedName name="XDO_GROUP_?G_3?2?">TDF!$8:$95</definedName>
    <definedName name="XDO_GROUP_?G_4?3?">TDF!$B$10:$IV$46</definedName>
    <definedName name="XDO_GROUP_?G_4?4?">TDF!$B$77:$IV$77</definedName>
    <definedName name="XDO_GROUP_?G_4?5?">TDF!$B$93:$IV$93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6" i="1" l="1"/>
</calcChain>
</file>

<file path=xl/sharedStrings.xml><?xml version="1.0" encoding="utf-8"?>
<sst xmlns="http://schemas.openxmlformats.org/spreadsheetml/2006/main" count="294" uniqueCount="216">
  <si>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</si>
  <si>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</si>
  <si>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</si>
  <si>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</si>
  <si>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</si>
  <si>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</si>
  <si>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</si>
  <si>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</si>
  <si>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</si>
  <si>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</si>
  <si>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</si>
  <si>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</si>
  <si>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</si>
  <si>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</si>
  <si>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</si>
  <si>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101574</t>
  </si>
  <si>
    <t>Linde India Ltd.</t>
  </si>
  <si>
    <t>INE473A01011</t>
  </si>
  <si>
    <t>Chemicals &amp; Petrochemicals</t>
  </si>
  <si>
    <t>100026</t>
  </si>
  <si>
    <t>Persistent Systems Ltd.</t>
  </si>
  <si>
    <t>INE262H01021</t>
  </si>
  <si>
    <t>IT - Software</t>
  </si>
  <si>
    <t>100201</t>
  </si>
  <si>
    <t>Aurobindo Pharma Ltd.</t>
  </si>
  <si>
    <t>INE406A01037</t>
  </si>
  <si>
    <t>Pharmaceuticals &amp; Biotechnology</t>
  </si>
  <si>
    <t>102663</t>
  </si>
  <si>
    <t>Pace Digitek Ltd.</t>
  </si>
  <si>
    <t>INE0S3G01027</t>
  </si>
  <si>
    <t>Telecom - Services</t>
  </si>
  <si>
    <t>100055</t>
  </si>
  <si>
    <t>The Federal Bank Ltd.</t>
  </si>
  <si>
    <t>INE171A01029</t>
  </si>
  <si>
    <t>Banks</t>
  </si>
  <si>
    <t>100234</t>
  </si>
  <si>
    <t>Coforge Ltd.</t>
  </si>
  <si>
    <t>INE591G01025</t>
  </si>
  <si>
    <t>100174</t>
  </si>
  <si>
    <t>Vodafone Idea Ltd.</t>
  </si>
  <si>
    <t>INE669E01016</t>
  </si>
  <si>
    <t>100416</t>
  </si>
  <si>
    <t>GMR Airports Ltd.</t>
  </si>
  <si>
    <t>INE776C01039</t>
  </si>
  <si>
    <t>Transport Infrastructure</t>
  </si>
  <si>
    <t>100195</t>
  </si>
  <si>
    <t>REC Ltd.</t>
  </si>
  <si>
    <t>INE020B01018</t>
  </si>
  <si>
    <t>Finance</t>
  </si>
  <si>
    <t>100088</t>
  </si>
  <si>
    <t>Bharat Heavy Electricals Ltd.</t>
  </si>
  <si>
    <t>INE257A01026</t>
  </si>
  <si>
    <t>Electrical Equipment</t>
  </si>
  <si>
    <t>102823</t>
  </si>
  <si>
    <t>Insolation Energy Ltd.</t>
  </si>
  <si>
    <t>INE0LGX01024</t>
  </si>
  <si>
    <t>100164</t>
  </si>
  <si>
    <t>Petronet LNG Ltd.</t>
  </si>
  <si>
    <t>INE347G01014</t>
  </si>
  <si>
    <t>Gas</t>
  </si>
  <si>
    <t>100270</t>
  </si>
  <si>
    <t>PI Industries Ltd.</t>
  </si>
  <si>
    <t>INE603J01030</t>
  </si>
  <si>
    <t>Fertilizers &amp; Agrochemicals</t>
  </si>
  <si>
    <t>100096</t>
  </si>
  <si>
    <t>Container Corporation of India Ltd.</t>
  </si>
  <si>
    <t>INE111A01025</t>
  </si>
  <si>
    <t>Transport Services</t>
  </si>
  <si>
    <t>100306</t>
  </si>
  <si>
    <t>Abbott India Ltd.</t>
  </si>
  <si>
    <t>INE358A01014</t>
  </si>
  <si>
    <t>102642</t>
  </si>
  <si>
    <t>Regaal Resources Ltd.</t>
  </si>
  <si>
    <t>INE0MHO01029</t>
  </si>
  <si>
    <t>Agricultural Food &amp; other Products</t>
  </si>
  <si>
    <t>100029</t>
  </si>
  <si>
    <t>Mphasis Ltd.</t>
  </si>
  <si>
    <t>INE356A01018</t>
  </si>
  <si>
    <t>100060</t>
  </si>
  <si>
    <t>Deepak Nitrite Ltd.</t>
  </si>
  <si>
    <t>INE288B01029</t>
  </si>
  <si>
    <t>100361</t>
  </si>
  <si>
    <t>Bank of India</t>
  </si>
  <si>
    <t>INE084A01016</t>
  </si>
  <si>
    <t>100677</t>
  </si>
  <si>
    <t>Dixon Technologies (India) Ltd.</t>
  </si>
  <si>
    <t>INE935N01020</t>
  </si>
  <si>
    <t>Consumer Durables</t>
  </si>
  <si>
    <t>100134</t>
  </si>
  <si>
    <t>Inox Wind Ltd.</t>
  </si>
  <si>
    <t>INE066P01011</t>
  </si>
  <si>
    <t>100217</t>
  </si>
  <si>
    <t>Torrent Power Ltd.</t>
  </si>
  <si>
    <t>INE813H01021</t>
  </si>
  <si>
    <t>Power</t>
  </si>
  <si>
    <t>102139</t>
  </si>
  <si>
    <t>Ratnaveer Precision Engineering Ltd.</t>
  </si>
  <si>
    <t>INE05CZ01011</t>
  </si>
  <si>
    <t>Industrial Products</t>
  </si>
  <si>
    <t>100367</t>
  </si>
  <si>
    <t>Exide Industries Ltd.</t>
  </si>
  <si>
    <t>INE302A01020</t>
  </si>
  <si>
    <t>Auto Components</t>
  </si>
  <si>
    <t>102449</t>
  </si>
  <si>
    <t>Swiggy Ltd.</t>
  </si>
  <si>
    <t>INE00H001014</t>
  </si>
  <si>
    <t>Retailing</t>
  </si>
  <si>
    <t>100694</t>
  </si>
  <si>
    <t>Indian Energy Exchange Ltd.</t>
  </si>
  <si>
    <t>INE022Q01020</t>
  </si>
  <si>
    <t>Capital Markets</t>
  </si>
  <si>
    <t>101949</t>
  </si>
  <si>
    <t>Samhi Hotels Ltd.</t>
  </si>
  <si>
    <t>INE08U801020</t>
  </si>
  <si>
    <t>Leisure Services</t>
  </si>
  <si>
    <t>100461</t>
  </si>
  <si>
    <t>Astral Ltd.</t>
  </si>
  <si>
    <t>INE006I01046</t>
  </si>
  <si>
    <t>100144</t>
  </si>
  <si>
    <t>Voltas Ltd.</t>
  </si>
  <si>
    <t>INE226A01021</t>
  </si>
  <si>
    <t>100271</t>
  </si>
  <si>
    <t>Balkrishna Industries Ltd.</t>
  </si>
  <si>
    <t>INE787D01026</t>
  </si>
  <si>
    <t>101674</t>
  </si>
  <si>
    <t>Bharat Dynamics Ltd.</t>
  </si>
  <si>
    <t>INE171Z01026</t>
  </si>
  <si>
    <t>Aerospace &amp; Defense</t>
  </si>
  <si>
    <t>100170</t>
  </si>
  <si>
    <t>Titagarh Rail Systems Ltd.</t>
  </si>
  <si>
    <t>INE615H01020</t>
  </si>
  <si>
    <t>Industrial Manufacturing</t>
  </si>
  <si>
    <t>100168</t>
  </si>
  <si>
    <t>Escorts Kubota Ltd.</t>
  </si>
  <si>
    <t>INE042A01014</t>
  </si>
  <si>
    <t>Agricultural, Commercial &amp; Construction Vehicles</t>
  </si>
  <si>
    <t>101152</t>
  </si>
  <si>
    <t>Sumitomo Chemical India Ltd.</t>
  </si>
  <si>
    <t>INE258G01013</t>
  </si>
  <si>
    <t>100565</t>
  </si>
  <si>
    <t>Glaxosmithkline Pharmaceuticals Ltd.</t>
  </si>
  <si>
    <t>INE159A01016</t>
  </si>
  <si>
    <t>100737</t>
  </si>
  <si>
    <t>Hindustan Copper Ltd.</t>
  </si>
  <si>
    <t>INE531E01026</t>
  </si>
  <si>
    <t>Non - Ferrous Metals</t>
  </si>
  <si>
    <t>102206</t>
  </si>
  <si>
    <t>Chemtech Industrial Valves Ltd.</t>
  </si>
  <si>
    <t>INE212P01011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</si>
  <si>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</si>
  <si>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</si>
  <si>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</si>
  <si>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</si>
  <si>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</si>
  <si>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</si>
  <si>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</si>
  <si>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</si>
  <si>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</si>
  <si>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</si>
  <si>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</si>
  <si>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</si>
  <si>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</si>
  <si>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</si>
  <si>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</si>
  <si>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</si>
  <si>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e) TREPS / Reverse Repo Investments</t>
  </si>
  <si>
    <t>106260100</t>
  </si>
  <si>
    <t>TREPS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</si>
  <si>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</si>
  <si>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</si>
  <si>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</si>
  <si>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</si>
  <si>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</si>
  <si>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</si>
  <si>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</si>
  <si>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</si>
  <si>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</si>
  <si>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</si>
  <si>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</si>
  <si>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</si>
  <si>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</si>
  <si>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</si>
  <si>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</si>
  <si>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</si>
  <si>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</si>
  <si>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</si>
  <si>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</si>
  <si>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</si>
  <si>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</si>
  <si>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</si>
  <si>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</si>
  <si>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May 31, 2026.</t>
  </si>
  <si>
    <t>7. The Scheme did not declare any bonus during the month ended as on May 31, 2026.</t>
  </si>
  <si>
    <t>8. Total outstanding exposure in derivative instruments as on May 31, 2026 is Nil</t>
  </si>
  <si>
    <t>9. Total investments in Foreign Securities /ADRs/GDRs /Overseas ETFs as on May 31, 2026 and its percentage to NAV is Nil.</t>
  </si>
  <si>
    <t>10. During the period, the portfolio turnover ratio is 0.78 times.</t>
  </si>
  <si>
    <t>      Portfolio Turnover Ratio = Lower of sales or purchase of securities divided by average AUM for 12 months ended as on May 31, 2026</t>
  </si>
  <si>
    <t>11. The Scheme did not invest in repo transactions of corporate debt securities during the month ended as on May 31, 2026.</t>
  </si>
  <si>
    <t>12. The Scheme did not invest in credit default swaps during the month ended as on May 31, 2026.</t>
  </si>
  <si>
    <t>13. There are Nil instances of deviation from the valuation principles/guidelines during the month ended as on May 31st, 2026.</t>
  </si>
  <si>
    <t>Taurus Midcap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</si>
  <si>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</si>
  <si>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</si>
  <si>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</si>
  <si>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</si>
  <si>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</si>
  <si>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</si>
  <si>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</si>
  <si>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</si>
  <si>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</si>
  <si>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</si>
  <si>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</si>
  <si>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</si>
  <si>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May 29,2026 :116.81)</t>
  </si>
  <si>
    <t>Taurus Midcap Fund - Direct Plan Growth Option</t>
  </si>
  <si>
    <t>NAV [Rs.] Per Unit (as on May 29,2026 :123.8)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</si>
</sst>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[$-409]mmmm\ d\,\ yyyy;@"/>
    <numFmt numFmtId="168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67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EE757D86-76A0-4049-A243-FEEEE8A36411}"/>
    <cellStyle name="Hyperlink" xfId="2" builtinId="8"/>
    <cellStyle name="Normal" xfId="0" builtinId="0"/>
    <cellStyle name="Normal 2" xfId="4" xr:uid="{E92E463A-9DBE-4D04-B03E-D1F2C01A336E}"/>
    <cellStyle name="Style 1" xfId="3" xr:uid="{E7C9DE01-D2B3-4542-B4F3-0701148D1D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158750</xdr:colOff>
      <xdr:row>0</xdr:row>
      <xdr:rowOff>1886592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D648B6-654F-41E2-8F2D-5815C170B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6910917" cy="1886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May_2026\TMF_Monthly_Portfolio_Report_May%202026.xls" TargetMode="External"/><Relationship Id="rId1" Type="http://schemas.openxmlformats.org/officeDocument/2006/relationships/externalLinkPath" Target="TMF_Monthly_Portfolio_Report_May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691D-F186-4605-B5B8-8EF0FACA2407}">
  <dimension ref="A1:BB122"/>
  <sheetViews>
    <sheetView showGridLines="0" tabSelected="1" zoomScale="90" zoomScaleNormal="90" workbookViewId="0">
      <selection activeCell="E9" sqref="E9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4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46173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10130</v>
      </c>
      <c r="H10" s="32">
        <v>729.76</v>
      </c>
      <c r="I10" s="32">
        <v>5.85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14000</v>
      </c>
      <c r="H11" s="32">
        <v>727.34</v>
      </c>
      <c r="I11" s="32">
        <v>5.83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41000</v>
      </c>
      <c r="H12" s="32">
        <v>586.66999999999996</v>
      </c>
      <c r="I12" s="32">
        <v>4.7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299040</v>
      </c>
      <c r="H13" s="32">
        <v>568.03</v>
      </c>
      <c r="I13" s="32">
        <v>4.55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183012</v>
      </c>
      <c r="H14" s="32">
        <v>528.80999999999995</v>
      </c>
      <c r="I14" s="32">
        <v>4.24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22</v>
      </c>
      <c r="G15" s="31">
        <v>36550</v>
      </c>
      <c r="H15" s="32">
        <v>519.74</v>
      </c>
      <c r="I15" s="32">
        <v>4.17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30</v>
      </c>
      <c r="G16" s="31">
        <v>3621441</v>
      </c>
      <c r="H16" s="32">
        <v>506.64</v>
      </c>
      <c r="I16" s="32">
        <v>4.0599999999999996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450000</v>
      </c>
      <c r="H17" s="32">
        <v>452.07</v>
      </c>
      <c r="I17" s="32">
        <v>3.62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126000</v>
      </c>
      <c r="H18" s="32">
        <v>426.38</v>
      </c>
      <c r="I18" s="32">
        <v>3.42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100622</v>
      </c>
      <c r="H19" s="32">
        <v>419.14</v>
      </c>
      <c r="I19" s="32">
        <v>3.36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52</v>
      </c>
      <c r="G20" s="31">
        <v>305000</v>
      </c>
      <c r="H20" s="32">
        <v>384.61</v>
      </c>
      <c r="I20" s="32">
        <v>3.08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140000</v>
      </c>
      <c r="H21" s="32">
        <v>378.7</v>
      </c>
      <c r="I21" s="32">
        <v>3.03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13500</v>
      </c>
      <c r="H22" s="32">
        <v>376.06</v>
      </c>
      <c r="I22" s="32">
        <v>3.01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77500</v>
      </c>
      <c r="H23" s="32">
        <v>359.95</v>
      </c>
      <c r="I23" s="32">
        <v>2.88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26</v>
      </c>
      <c r="G24" s="31">
        <v>1285</v>
      </c>
      <c r="H24" s="32">
        <v>345.37</v>
      </c>
      <c r="I24" s="32">
        <v>2.77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394280</v>
      </c>
      <c r="H25" s="32">
        <v>340.74</v>
      </c>
      <c r="I25" s="32">
        <v>2.73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22</v>
      </c>
      <c r="G26" s="31">
        <v>15000</v>
      </c>
      <c r="H26" s="32">
        <v>340.35</v>
      </c>
      <c r="I26" s="32">
        <v>2.73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18</v>
      </c>
      <c r="G27" s="31">
        <v>19500</v>
      </c>
      <c r="H27" s="32">
        <v>328.09</v>
      </c>
      <c r="I27" s="32">
        <v>2.63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34</v>
      </c>
      <c r="G28" s="31">
        <v>230000</v>
      </c>
      <c r="H28" s="32">
        <v>321.89</v>
      </c>
      <c r="I28" s="32">
        <v>2.58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2700</v>
      </c>
      <c r="H29" s="32">
        <v>310.97000000000003</v>
      </c>
      <c r="I29" s="32">
        <v>2.4900000000000002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52</v>
      </c>
      <c r="G30" s="31">
        <v>311398</v>
      </c>
      <c r="H30" s="32">
        <v>289.44</v>
      </c>
      <c r="I30" s="32">
        <v>2.3199999999999998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19500</v>
      </c>
      <c r="H31" s="32">
        <v>277.5</v>
      </c>
      <c r="I31" s="32">
        <v>2.2200000000000002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163764</v>
      </c>
      <c r="H32" s="32">
        <v>268.98</v>
      </c>
      <c r="I32" s="32">
        <v>2.16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68104</v>
      </c>
      <c r="H33" s="32">
        <v>263.43</v>
      </c>
      <c r="I33" s="32">
        <v>2.11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100000</v>
      </c>
      <c r="H34" s="32">
        <v>257.89999999999998</v>
      </c>
      <c r="I34" s="32">
        <v>2.0699999999999998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200000</v>
      </c>
      <c r="H35" s="32">
        <v>256.3</v>
      </c>
      <c r="I35" s="32">
        <v>2.0499999999999998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135000</v>
      </c>
      <c r="H36" s="32">
        <v>223.83</v>
      </c>
      <c r="I36" s="32">
        <v>1.79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98</v>
      </c>
      <c r="G37" s="31">
        <v>12958</v>
      </c>
      <c r="H37" s="32">
        <v>205.47</v>
      </c>
      <c r="I37" s="32">
        <v>1.65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87</v>
      </c>
      <c r="G38" s="31">
        <v>16000</v>
      </c>
      <c r="H38" s="32">
        <v>199.9</v>
      </c>
      <c r="I38" s="32">
        <v>1.6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102</v>
      </c>
      <c r="G39" s="31">
        <v>7579</v>
      </c>
      <c r="H39" s="32">
        <v>168.93</v>
      </c>
      <c r="I39" s="32">
        <v>1.35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12000</v>
      </c>
      <c r="H40" s="32">
        <v>144.61000000000001</v>
      </c>
      <c r="I40" s="32">
        <v>1.1599999999999999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16400</v>
      </c>
      <c r="H41" s="32">
        <v>135.26</v>
      </c>
      <c r="I41" s="32">
        <v>1.08</v>
      </c>
      <c r="J41" s="33"/>
    </row>
    <row r="42" spans="2:10" x14ac:dyDescent="0.25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3500</v>
      </c>
      <c r="H42" s="32">
        <v>98.8</v>
      </c>
      <c r="I42" s="32">
        <v>0.79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63</v>
      </c>
      <c r="G43" s="31">
        <v>17590</v>
      </c>
      <c r="H43" s="32">
        <v>88.28</v>
      </c>
      <c r="I43" s="32">
        <v>0.71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26</v>
      </c>
      <c r="G44" s="31">
        <v>3000</v>
      </c>
      <c r="H44" s="32">
        <v>66.260000000000005</v>
      </c>
      <c r="I44" s="32">
        <v>0.53</v>
      </c>
      <c r="J44" s="33"/>
    </row>
    <row r="45" spans="2:10" x14ac:dyDescent="0.25">
      <c r="B45" s="1" t="s">
        <v>142</v>
      </c>
      <c r="C45" s="20" t="s">
        <v>143</v>
      </c>
      <c r="D45" s="29" t="s">
        <v>144</v>
      </c>
      <c r="E45" s="30"/>
      <c r="F45" s="30" t="s">
        <v>145</v>
      </c>
      <c r="G45" s="31">
        <v>10000</v>
      </c>
      <c r="H45" s="32">
        <v>53.88</v>
      </c>
      <c r="I45" s="32">
        <v>0.43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131</v>
      </c>
      <c r="G46" s="31">
        <v>36981</v>
      </c>
      <c r="H46" s="32">
        <v>31.05</v>
      </c>
      <c r="I46" s="32">
        <v>0.25</v>
      </c>
      <c r="J46" s="33"/>
    </row>
    <row r="47" spans="2:10" x14ac:dyDescent="0.25">
      <c r="C47" s="28" t="s">
        <v>149</v>
      </c>
      <c r="D47" s="29"/>
      <c r="E47" s="30"/>
      <c r="F47" s="30"/>
      <c r="G47" s="31"/>
      <c r="H47" s="35">
        <v>11981.13</v>
      </c>
      <c r="I47" s="35">
        <v>96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150</v>
      </c>
      <c r="D49" s="29"/>
      <c r="E49" s="30"/>
      <c r="F49" s="30"/>
      <c r="G49" s="31"/>
      <c r="H49" s="32" t="s">
        <v>151</v>
      </c>
      <c r="I49" s="32" t="s">
        <v>151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152</v>
      </c>
      <c r="D51" s="29"/>
      <c r="E51" s="30"/>
      <c r="F51" s="30"/>
      <c r="G51" s="31"/>
      <c r="H51" s="32" t="s">
        <v>151</v>
      </c>
      <c r="I51" s="32" t="s">
        <v>151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153</v>
      </c>
      <c r="D53" s="29"/>
      <c r="E53" s="30"/>
      <c r="F53" s="30"/>
      <c r="G53" s="31"/>
      <c r="H53" s="32"/>
      <c r="I53" s="32"/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154</v>
      </c>
      <c r="D55" s="29"/>
      <c r="E55" s="30"/>
      <c r="F55" s="30"/>
      <c r="G55" s="31"/>
      <c r="H55" s="32" t="s">
        <v>151</v>
      </c>
      <c r="I55" s="32" t="s">
        <v>151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155</v>
      </c>
      <c r="D57" s="29"/>
      <c r="E57" s="30"/>
      <c r="F57" s="30"/>
      <c r="G57" s="31"/>
      <c r="H57" s="32" t="s">
        <v>151</v>
      </c>
      <c r="I57" s="32" t="s">
        <v>151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156</v>
      </c>
      <c r="D59" s="29"/>
      <c r="E59" s="30"/>
      <c r="F59" s="30"/>
      <c r="G59" s="31"/>
      <c r="H59" s="32" t="s">
        <v>151</v>
      </c>
      <c r="I59" s="32" t="s">
        <v>151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157</v>
      </c>
      <c r="D61" s="29"/>
      <c r="E61" s="30"/>
      <c r="F61" s="30"/>
      <c r="G61" s="31"/>
      <c r="H61" s="32" t="s">
        <v>151</v>
      </c>
      <c r="I61" s="32" t="s">
        <v>151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158</v>
      </c>
      <c r="D63" s="29"/>
      <c r="E63" s="30"/>
      <c r="F63" s="30"/>
      <c r="G63" s="31"/>
      <c r="H63" s="32" t="s">
        <v>151</v>
      </c>
      <c r="I63" s="32" t="s">
        <v>151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159</v>
      </c>
      <c r="D65" s="29"/>
      <c r="E65" s="30"/>
      <c r="F65" s="30"/>
      <c r="G65" s="31"/>
      <c r="H65" s="32"/>
      <c r="I65" s="32"/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160</v>
      </c>
      <c r="D67" s="29"/>
      <c r="E67" s="30"/>
      <c r="F67" s="30"/>
      <c r="G67" s="31"/>
      <c r="H67" s="32" t="s">
        <v>151</v>
      </c>
      <c r="I67" s="32" t="s">
        <v>151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161</v>
      </c>
      <c r="D69" s="29"/>
      <c r="E69" s="30"/>
      <c r="F69" s="30"/>
      <c r="G69" s="31"/>
      <c r="H69" s="32" t="s">
        <v>151</v>
      </c>
      <c r="I69" s="32" t="s">
        <v>151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C71" s="28" t="s">
        <v>162</v>
      </c>
      <c r="D71" s="29"/>
      <c r="E71" s="30"/>
      <c r="F71" s="30"/>
      <c r="G71" s="31"/>
      <c r="H71" s="32" t="s">
        <v>151</v>
      </c>
      <c r="I71" s="32" t="s">
        <v>151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x14ac:dyDescent="0.25">
      <c r="C73" s="28" t="s">
        <v>163</v>
      </c>
      <c r="D73" s="29"/>
      <c r="E73" s="30"/>
      <c r="F73" s="30"/>
      <c r="G73" s="31"/>
      <c r="H73" s="32" t="s">
        <v>151</v>
      </c>
      <c r="I73" s="32" t="s">
        <v>151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x14ac:dyDescent="0.25">
      <c r="A75" s="26"/>
      <c r="B75" s="27"/>
      <c r="C75" s="28" t="s">
        <v>164</v>
      </c>
      <c r="D75" s="29"/>
      <c r="E75" s="30"/>
      <c r="F75" s="30"/>
      <c r="G75" s="31"/>
      <c r="H75" s="32"/>
      <c r="I75" s="32"/>
      <c r="J75" s="33"/>
    </row>
    <row r="76" spans="1:10" x14ac:dyDescent="0.25">
      <c r="C76" s="34" t="s">
        <v>165</v>
      </c>
      <c r="D76" s="29"/>
      <c r="E76" s="30"/>
      <c r="F76" s="30"/>
      <c r="G76" s="31"/>
      <c r="H76" s="32"/>
      <c r="I76" s="32"/>
      <c r="J76" s="33"/>
    </row>
    <row r="77" spans="1:10" x14ac:dyDescent="0.25">
      <c r="B77" s="1" t="s">
        <v>166</v>
      </c>
      <c r="C77" s="20" t="s">
        <v>167</v>
      </c>
      <c r="D77" s="29"/>
      <c r="E77" s="30"/>
      <c r="F77" s="30"/>
      <c r="G77" s="31"/>
      <c r="H77" s="32">
        <v>450</v>
      </c>
      <c r="I77" s="32">
        <v>3.61</v>
      </c>
      <c r="J77" s="33"/>
    </row>
    <row r="78" spans="1:10" x14ac:dyDescent="0.25">
      <c r="C78" s="28" t="s">
        <v>149</v>
      </c>
      <c r="D78" s="29"/>
      <c r="E78" s="30"/>
      <c r="F78" s="30"/>
      <c r="G78" s="31"/>
      <c r="H78" s="35">
        <v>450</v>
      </c>
      <c r="I78" s="35">
        <v>3.61</v>
      </c>
      <c r="J78" s="33"/>
    </row>
    <row r="79" spans="1:10" x14ac:dyDescent="0.25">
      <c r="C79" s="20"/>
      <c r="D79" s="29"/>
      <c r="E79" s="30"/>
      <c r="F79" s="30"/>
      <c r="G79" s="31"/>
      <c r="H79" s="32"/>
      <c r="I79" s="32"/>
      <c r="J79" s="33"/>
    </row>
    <row r="80" spans="1:10" x14ac:dyDescent="0.25">
      <c r="C80" s="28" t="s">
        <v>168</v>
      </c>
      <c r="D80" s="29"/>
      <c r="E80" s="30"/>
      <c r="F80" s="30"/>
      <c r="G80" s="31"/>
      <c r="H80" s="32" t="s">
        <v>151</v>
      </c>
      <c r="I80" s="32" t="s">
        <v>151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169</v>
      </c>
      <c r="D82" s="29"/>
      <c r="E82" s="30"/>
      <c r="F82" s="30"/>
      <c r="G82" s="31"/>
      <c r="H82" s="32" t="s">
        <v>151</v>
      </c>
      <c r="I82" s="32" t="s">
        <v>151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170</v>
      </c>
      <c r="D84" s="29"/>
      <c r="E84" s="30"/>
      <c r="F84" s="30"/>
      <c r="G84" s="31"/>
      <c r="H84" s="32" t="s">
        <v>151</v>
      </c>
      <c r="I84" s="32" t="s">
        <v>151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171</v>
      </c>
      <c r="D86" s="29"/>
      <c r="E86" s="30"/>
      <c r="F86" s="30"/>
      <c r="G86" s="31"/>
      <c r="H86" s="32" t="s">
        <v>151</v>
      </c>
      <c r="I86" s="32" t="s">
        <v>151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172</v>
      </c>
      <c r="D88" s="29"/>
      <c r="E88" s="30"/>
      <c r="F88" s="30"/>
      <c r="G88" s="31"/>
      <c r="H88" s="32" t="s">
        <v>151</v>
      </c>
      <c r="I88" s="32" t="s">
        <v>151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C90" s="28" t="s">
        <v>173</v>
      </c>
      <c r="D90" s="29"/>
      <c r="E90" s="30"/>
      <c r="F90" s="30"/>
      <c r="G90" s="31"/>
      <c r="H90" s="32" t="s">
        <v>151</v>
      </c>
      <c r="I90" s="32" t="s">
        <v>151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x14ac:dyDescent="0.25">
      <c r="A92" s="26"/>
      <c r="B92" s="27"/>
      <c r="C92" s="28" t="s">
        <v>174</v>
      </c>
      <c r="D92" s="29"/>
      <c r="E92" s="30"/>
      <c r="F92" s="30"/>
      <c r="G92" s="31"/>
      <c r="H92" s="32"/>
      <c r="I92" s="32"/>
      <c r="J92" s="33"/>
    </row>
    <row r="93" spans="1:10" x14ac:dyDescent="0.25">
      <c r="B93" s="1"/>
      <c r="C93" s="20" t="s">
        <v>175</v>
      </c>
      <c r="D93" s="29"/>
      <c r="E93" s="30"/>
      <c r="F93" s="30"/>
      <c r="G93" s="31"/>
      <c r="H93" s="32">
        <v>47.34</v>
      </c>
      <c r="I93" s="32">
        <v>0.39</v>
      </c>
      <c r="J93" s="33"/>
    </row>
    <row r="94" spans="1:10" x14ac:dyDescent="0.25">
      <c r="C94" s="28" t="s">
        <v>149</v>
      </c>
      <c r="D94" s="29"/>
      <c r="E94" s="30"/>
      <c r="F94" s="30"/>
      <c r="G94" s="31"/>
      <c r="H94" s="35">
        <v>47.34</v>
      </c>
      <c r="I94" s="35">
        <v>0.39</v>
      </c>
      <c r="J94" s="33"/>
    </row>
    <row r="95" spans="1:10" x14ac:dyDescent="0.25">
      <c r="C95" s="20"/>
      <c r="D95" s="29"/>
      <c r="E95" s="30"/>
      <c r="F95" s="30"/>
      <c r="G95" s="31"/>
      <c r="H95" s="32"/>
      <c r="I95" s="32"/>
      <c r="J95" s="33"/>
    </row>
    <row r="96" spans="1:10" ht="14.25" thickBot="1" x14ac:dyDescent="0.3">
      <c r="C96" s="36" t="s">
        <v>176</v>
      </c>
      <c r="D96" s="37"/>
      <c r="E96" s="38"/>
      <c r="F96" s="39"/>
      <c r="G96" s="40"/>
      <c r="H96" s="41">
        <v>12478.47</v>
      </c>
      <c r="I96" s="41">
        <f>SUMIFS(I:I,C:C,"Total")</f>
        <v>100</v>
      </c>
      <c r="J96" s="42"/>
    </row>
    <row r="99" spans="3:5" x14ac:dyDescent="0.25">
      <c r="C99" s="11" t="s">
        <v>177</v>
      </c>
    </row>
    <row r="100" spans="3:5" x14ac:dyDescent="0.25">
      <c r="C100" s="2" t="s">
        <v>178</v>
      </c>
    </row>
    <row r="101" spans="3:5" x14ac:dyDescent="0.25">
      <c r="C101" s="2" t="s">
        <v>179</v>
      </c>
    </row>
    <row r="102" spans="3:5" x14ac:dyDescent="0.25">
      <c r="C102" s="2" t="s">
        <v>180</v>
      </c>
    </row>
    <row r="103" spans="3:5" x14ac:dyDescent="0.25">
      <c r="C103" s="43" t="s">
        <v>181</v>
      </c>
    </row>
    <row r="104" spans="3:5" x14ac:dyDescent="0.25">
      <c r="C104" s="43" t="s">
        <v>182</v>
      </c>
    </row>
    <row r="105" spans="3:5" ht="14.25" thickBot="1" x14ac:dyDescent="0.3">
      <c r="C105" s="43" t="s">
        <v>183</v>
      </c>
    </row>
    <row r="106" spans="3:5" ht="14.25" thickBot="1" x14ac:dyDescent="0.3">
      <c r="C106" s="44"/>
      <c r="D106" s="61" t="s">
        <v>184</v>
      </c>
      <c r="E106" s="62"/>
    </row>
    <row r="107" spans="3:5" x14ac:dyDescent="0.25">
      <c r="C107" s="45" t="s">
        <v>185</v>
      </c>
      <c r="D107" s="46" t="s">
        <v>186</v>
      </c>
      <c r="E107" s="46" t="s">
        <v>186</v>
      </c>
    </row>
    <row r="108" spans="3:5" ht="14.25" thickBot="1" x14ac:dyDescent="0.3">
      <c r="C108" s="47"/>
      <c r="D108" s="48">
        <v>46142</v>
      </c>
      <c r="E108" s="48">
        <v>46173</v>
      </c>
    </row>
    <row r="109" spans="3:5" ht="14.25" thickBot="1" x14ac:dyDescent="0.3">
      <c r="C109" s="49" t="s">
        <v>187</v>
      </c>
      <c r="D109" s="50">
        <v>102.66</v>
      </c>
      <c r="E109" s="50">
        <v>104.11</v>
      </c>
    </row>
    <row r="110" spans="3:5" ht="14.25" thickBot="1" x14ac:dyDescent="0.3">
      <c r="C110" s="49" t="s">
        <v>188</v>
      </c>
      <c r="D110" s="50">
        <v>115.17</v>
      </c>
      <c r="E110" s="50">
        <v>116.79</v>
      </c>
    </row>
    <row r="111" spans="3:5" ht="14.25" thickBot="1" x14ac:dyDescent="0.3">
      <c r="C111" s="49" t="s">
        <v>189</v>
      </c>
      <c r="D111" s="50">
        <v>108.4</v>
      </c>
      <c r="E111" s="50">
        <v>109.97</v>
      </c>
    </row>
    <row r="112" spans="3:5" ht="14.25" thickBot="1" x14ac:dyDescent="0.3">
      <c r="C112" s="49" t="s">
        <v>190</v>
      </c>
      <c r="D112" s="50">
        <v>122.02</v>
      </c>
      <c r="E112" s="50">
        <v>123.79</v>
      </c>
    </row>
    <row r="113" spans="3:5" x14ac:dyDescent="0.25">
      <c r="C113" s="51"/>
      <c r="D113" s="51"/>
      <c r="E113" s="51"/>
    </row>
    <row r="114" spans="3:5" x14ac:dyDescent="0.25">
      <c r="C114" s="43" t="s">
        <v>191</v>
      </c>
      <c r="D114" s="43"/>
      <c r="E114" s="52"/>
    </row>
    <row r="115" spans="3:5" x14ac:dyDescent="0.25">
      <c r="C115" s="43" t="s">
        <v>192</v>
      </c>
      <c r="D115" s="43"/>
      <c r="E115" s="52"/>
    </row>
    <row r="116" spans="3:5" x14ac:dyDescent="0.25">
      <c r="C116" s="43" t="s">
        <v>193</v>
      </c>
      <c r="D116" s="43"/>
      <c r="E116" s="52"/>
    </row>
    <row r="117" spans="3:5" x14ac:dyDescent="0.25">
      <c r="C117" s="43" t="s">
        <v>194</v>
      </c>
      <c r="D117" s="43"/>
      <c r="E117" s="43"/>
    </row>
    <row r="118" spans="3:5" x14ac:dyDescent="0.25">
      <c r="C118" s="43" t="s">
        <v>195</v>
      </c>
      <c r="D118" s="51"/>
      <c r="E118" s="51"/>
    </row>
    <row r="119" spans="3:5" x14ac:dyDescent="0.25">
      <c r="C119" s="43" t="s">
        <v>196</v>
      </c>
      <c r="D119" s="43"/>
      <c r="E119" s="43"/>
    </row>
    <row r="120" spans="3:5" x14ac:dyDescent="0.25">
      <c r="C120" s="43" t="s">
        <v>197</v>
      </c>
      <c r="D120" s="43"/>
      <c r="E120" s="43"/>
    </row>
    <row r="121" spans="3:5" x14ac:dyDescent="0.25">
      <c r="C121" s="43" t="s">
        <v>198</v>
      </c>
      <c r="D121" s="43"/>
      <c r="E121" s="43"/>
    </row>
    <row r="122" spans="3:5" ht="15" x14ac:dyDescent="0.25">
      <c r="C122" s="43" t="s">
        <v>199</v>
      </c>
      <c r="D122"/>
      <c r="E122"/>
    </row>
  </sheetData>
  <mergeCells count="1">
    <mergeCell ref="D106:E106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6766-B192-4029-8692-90A272D07D6B}">
  <dimension ref="C3:M17"/>
  <sheetViews>
    <sheetView topLeftCell="A3" workbookViewId="0">
      <selection activeCell="D7" sqref="D7"/>
    </sheetView>
  </sheetViews>
  <sheetFormatPr defaultRowHeight="15" x14ac:dyDescent="0.25"/>
  <cols>
    <col min="3" max="3" width="57.5703125" bestFit="1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3" t="s">
        <v>200</v>
      </c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3:13" x14ac:dyDescent="0.25">
      <c r="C4" s="55" t="s">
        <v>201</v>
      </c>
      <c r="D4" s="63" t="s">
        <v>202</v>
      </c>
      <c r="E4" s="63"/>
      <c r="F4" s="63" t="s">
        <v>203</v>
      </c>
      <c r="G4" s="63"/>
      <c r="H4" s="63" t="s">
        <v>204</v>
      </c>
      <c r="I4" s="63"/>
      <c r="J4" s="64" t="s">
        <v>205</v>
      </c>
      <c r="K4" s="65"/>
      <c r="L4" s="66" t="s">
        <v>206</v>
      </c>
      <c r="M4" s="66"/>
    </row>
    <row r="5" spans="3:13" ht="63.75" x14ac:dyDescent="0.25">
      <c r="C5" s="56"/>
      <c r="D5" s="57" t="s">
        <v>207</v>
      </c>
      <c r="E5" s="57" t="s">
        <v>208</v>
      </c>
      <c r="F5" s="57" t="s">
        <v>207</v>
      </c>
      <c r="G5" s="57" t="s">
        <v>208</v>
      </c>
      <c r="H5" s="57" t="s">
        <v>207</v>
      </c>
      <c r="I5" s="57" t="s">
        <v>208</v>
      </c>
      <c r="J5" s="57" t="s">
        <v>207</v>
      </c>
      <c r="K5" s="57" t="s">
        <v>208</v>
      </c>
      <c r="L5" s="58" t="s">
        <v>207</v>
      </c>
      <c r="M5" s="58" t="s">
        <v>208</v>
      </c>
    </row>
    <row r="6" spans="3:13" x14ac:dyDescent="0.25">
      <c r="C6" s="59" t="s">
        <v>209</v>
      </c>
      <c r="D6" s="60">
        <v>-2.8769</v>
      </c>
      <c r="E6" s="60">
        <v>9712.3139602560914</v>
      </c>
      <c r="F6" s="60">
        <v>12.8322</v>
      </c>
      <c r="G6" s="60">
        <v>14369.541148972812</v>
      </c>
      <c r="H6" s="60">
        <v>12.1867</v>
      </c>
      <c r="I6" s="60">
        <v>17782.006393667227</v>
      </c>
      <c r="J6" s="60">
        <v>14.7517</v>
      </c>
      <c r="K6" s="60">
        <v>39650.373387644264</v>
      </c>
      <c r="L6" s="60">
        <v>8.0489999999999995</v>
      </c>
      <c r="M6" s="60">
        <v>116810</v>
      </c>
    </row>
    <row r="7" spans="3:13" x14ac:dyDescent="0.25">
      <c r="C7" s="59" t="s">
        <v>210</v>
      </c>
      <c r="D7" s="60">
        <v>7.3023999999999996</v>
      </c>
      <c r="E7" s="60">
        <v>10730.24</v>
      </c>
      <c r="F7" s="60">
        <v>22.393000000000001</v>
      </c>
      <c r="G7" s="60">
        <v>18334.528250324569</v>
      </c>
      <c r="H7" s="60">
        <v>19.270900000000001</v>
      </c>
      <c r="I7" s="60">
        <v>24136.399297909677</v>
      </c>
      <c r="J7" s="60">
        <v>18.671500000000002</v>
      </c>
      <c r="K7" s="60">
        <v>23535.973113717908</v>
      </c>
      <c r="L7" s="60" t="s">
        <v>211</v>
      </c>
      <c r="M7" s="60" t="s">
        <v>211</v>
      </c>
    </row>
    <row r="8" spans="3:13" x14ac:dyDescent="0.25">
      <c r="C8" s="59" t="s">
        <v>212</v>
      </c>
      <c r="D8" s="60">
        <v>-4.0838000000000001</v>
      </c>
      <c r="E8" s="60">
        <v>9591.619999999999</v>
      </c>
      <c r="F8" s="60">
        <v>9.4129000000000005</v>
      </c>
      <c r="G8" s="60">
        <v>13098.018141499084</v>
      </c>
      <c r="H8" s="60">
        <v>10.1014</v>
      </c>
      <c r="I8" s="60">
        <v>16179.466849099232</v>
      </c>
      <c r="J8" s="60">
        <v>12.550800000000001</v>
      </c>
      <c r="K8" s="60">
        <v>18061.047356176892</v>
      </c>
      <c r="L8" s="60">
        <v>10.8421</v>
      </c>
      <c r="M8" s="60">
        <v>262667.46465470112</v>
      </c>
    </row>
    <row r="9" spans="3:13" x14ac:dyDescent="0.25">
      <c r="C9" s="59" t="s">
        <v>213</v>
      </c>
      <c r="D9" s="67">
        <v>120.27</v>
      </c>
      <c r="E9" s="68"/>
      <c r="F9" s="67">
        <v>81.290000000000006</v>
      </c>
      <c r="G9" s="68"/>
      <c r="H9" s="67">
        <v>65.69</v>
      </c>
      <c r="I9" s="68"/>
      <c r="J9" s="67">
        <v>29.46</v>
      </c>
      <c r="K9" s="68"/>
      <c r="L9" s="67">
        <v>10</v>
      </c>
      <c r="M9" s="68"/>
    </row>
    <row r="11" spans="3:13" ht="15.75" x14ac:dyDescent="0.25">
      <c r="C11" s="53" t="s">
        <v>214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spans="3:13" x14ac:dyDescent="0.25">
      <c r="C12" s="55" t="s">
        <v>201</v>
      </c>
      <c r="D12" s="63" t="s">
        <v>202</v>
      </c>
      <c r="E12" s="63"/>
      <c r="F12" s="63" t="s">
        <v>203</v>
      </c>
      <c r="G12" s="63"/>
      <c r="H12" s="63" t="s">
        <v>204</v>
      </c>
      <c r="I12" s="63"/>
      <c r="J12" s="64" t="s">
        <v>205</v>
      </c>
      <c r="K12" s="65"/>
      <c r="L12" s="66" t="s">
        <v>206</v>
      </c>
      <c r="M12" s="66"/>
    </row>
    <row r="13" spans="3:13" ht="63.75" x14ac:dyDescent="0.25">
      <c r="C13" s="56"/>
      <c r="D13" s="57" t="s">
        <v>207</v>
      </c>
      <c r="E13" s="57" t="s">
        <v>208</v>
      </c>
      <c r="F13" s="57" t="s">
        <v>207</v>
      </c>
      <c r="G13" s="57" t="s">
        <v>208</v>
      </c>
      <c r="H13" s="57" t="s">
        <v>207</v>
      </c>
      <c r="I13" s="57" t="s">
        <v>208</v>
      </c>
      <c r="J13" s="57" t="s">
        <v>207</v>
      </c>
      <c r="K13" s="57" t="s">
        <v>208</v>
      </c>
      <c r="L13" s="58" t="s">
        <v>207</v>
      </c>
      <c r="M13" s="58" t="s">
        <v>208</v>
      </c>
    </row>
    <row r="14" spans="3:13" x14ac:dyDescent="0.25">
      <c r="C14" s="59" t="s">
        <v>209</v>
      </c>
      <c r="D14" s="60">
        <v>-2.4275000000000002</v>
      </c>
      <c r="E14" s="60">
        <v>9757.2509457755368</v>
      </c>
      <c r="F14" s="60">
        <v>13.2959</v>
      </c>
      <c r="G14" s="60">
        <v>14547.591069330201</v>
      </c>
      <c r="H14" s="60">
        <v>12.620200000000001</v>
      </c>
      <c r="I14" s="60">
        <v>18128.569336652508</v>
      </c>
      <c r="J14" s="60">
        <v>15.218299999999999</v>
      </c>
      <c r="K14" s="60">
        <v>41294.196130753829</v>
      </c>
      <c r="L14" s="60">
        <v>15.55499</v>
      </c>
      <c r="M14" s="60">
        <v>69904.009034443807</v>
      </c>
    </row>
    <row r="15" spans="3:13" x14ac:dyDescent="0.25">
      <c r="C15" s="59" t="s">
        <v>210</v>
      </c>
      <c r="D15" s="60">
        <v>7.3023999999999996</v>
      </c>
      <c r="E15" s="60">
        <v>10730.24</v>
      </c>
      <c r="F15" s="60">
        <v>22.393000000000001</v>
      </c>
      <c r="G15" s="60">
        <v>18334.528250324569</v>
      </c>
      <c r="H15" s="60">
        <v>19.270900000000001</v>
      </c>
      <c r="I15" s="60">
        <v>24136.399297909677</v>
      </c>
      <c r="J15" s="60">
        <v>18.671500000000002</v>
      </c>
      <c r="K15" s="60">
        <v>23535.973113717908</v>
      </c>
      <c r="L15" s="60">
        <v>18.243321999999999</v>
      </c>
      <c r="M15" s="60">
        <v>94624.415668058064</v>
      </c>
    </row>
    <row r="16" spans="3:13" x14ac:dyDescent="0.25">
      <c r="C16" s="59" t="s">
        <v>212</v>
      </c>
      <c r="D16" s="60">
        <v>-4.0838000000000001</v>
      </c>
      <c r="E16" s="60">
        <v>9591.619999999999</v>
      </c>
      <c r="F16" s="60">
        <v>9.4129000000000005</v>
      </c>
      <c r="G16" s="60">
        <v>13098.018141499084</v>
      </c>
      <c r="H16" s="60">
        <v>10.1014</v>
      </c>
      <c r="I16" s="60">
        <v>16179.466849099232</v>
      </c>
      <c r="J16" s="60">
        <v>12.550800000000001</v>
      </c>
      <c r="K16" s="60">
        <v>18061.047356176892</v>
      </c>
      <c r="L16" s="60">
        <v>12.077299999999999</v>
      </c>
      <c r="M16" s="60">
        <v>46140.182038940497</v>
      </c>
    </row>
    <row r="17" spans="3:13" x14ac:dyDescent="0.25">
      <c r="C17" s="59" t="s">
        <v>215</v>
      </c>
      <c r="D17" s="67">
        <v>126.88</v>
      </c>
      <c r="E17" s="68"/>
      <c r="F17" s="67">
        <v>85.1</v>
      </c>
      <c r="G17" s="68"/>
      <c r="H17" s="67">
        <v>68.290000000000006</v>
      </c>
      <c r="I17" s="68"/>
      <c r="J17" s="67">
        <v>29.98</v>
      </c>
      <c r="K17" s="68"/>
      <c r="L17" s="67">
        <v>17.71</v>
      </c>
      <c r="M17" s="68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7855dc-0886-4a92-9949-74df73d65196">
      <Terms xmlns="http://schemas.microsoft.com/office/infopath/2007/PartnerControls"/>
    </lcf76f155ced4ddcb4097134ff3c332f>
    <TaxCatchAll xmlns="86036dfc-31ca-4c9e-b665-11b09e6bf0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A884CA212A64490D7B69778880BBA" ma:contentTypeVersion="13" ma:contentTypeDescription="Create a new document." ma:contentTypeScope="" ma:versionID="a9292d198eabd6cf014f953085819cb2">
  <xsd:schema xmlns:xsd="http://www.w3.org/2001/XMLSchema" xmlns:xs="http://www.w3.org/2001/XMLSchema" xmlns:p="http://schemas.microsoft.com/office/2006/metadata/properties" xmlns:ns2="a57855dc-0886-4a92-9949-74df73d65196" xmlns:ns3="86036dfc-31ca-4c9e-b665-11b09e6bf0a7" targetNamespace="http://schemas.microsoft.com/office/2006/metadata/properties" ma:root="true" ma:fieldsID="bd96b6d6441c2376d68f2c511fdc40b5" ns2:_="" ns3:_="">
    <xsd:import namespace="a57855dc-0886-4a92-9949-74df73d65196"/>
    <xsd:import namespace="86036dfc-31ca-4c9e-b665-11b09e6bf0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855dc-0886-4a92-9949-74df73d651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1115db-0362-452c-9a03-dfde8108c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36dfc-31ca-4c9e-b665-11b09e6bf0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456a8ca-2f2e-4a54-9448-67eaf7c875cc}" ma:internalName="TaxCatchAll" ma:showField="CatchAllData" ma:web="86036dfc-31ca-4c9e-b665-11b09e6bf0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124278-E1D8-40DF-AED6-FA00ACA61F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F0BB95-C8FD-4499-A036-D98DB2F1C45B}">
  <ds:schemaRefs>
    <ds:schemaRef ds:uri="http://schemas.microsoft.com/office/2006/metadata/properties"/>
    <ds:schemaRef ds:uri="http://schemas.microsoft.com/office/infopath/2007/PartnerControls"/>
    <ds:schemaRef ds:uri="a57855dc-0886-4a92-9949-74df73d65196"/>
    <ds:schemaRef ds:uri="86036dfc-31ca-4c9e-b665-11b09e6bf0a7"/>
  </ds:schemaRefs>
</ds:datastoreItem>
</file>

<file path=customXml/itemProps3.xml><?xml version="1.0" encoding="utf-8"?>
<ds:datastoreItem xmlns:ds="http://schemas.openxmlformats.org/officeDocument/2006/customXml" ds:itemID="{5F041CB5-D012-4633-87A5-3441707B4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7855dc-0886-4a92-9949-74df73d65196"/>
    <ds:schemaRef ds:uri="86036dfc-31ca-4c9e-b665-11b09e6bf0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TDF</vt:lpstr>
      <vt:lpstr>TDF Performance</vt:lpstr>
      <vt:lpstr>XDO_?CLASS_3?2?</vt:lpstr>
      <vt:lpstr>XDO_?FINAL_ISIN?3?</vt:lpstr>
      <vt:lpstr>XDO_?FINAL_ISIN?4?</vt:lpstr>
      <vt:lpstr>XDO_?FINAL_ISIN?5?</vt:lpstr>
      <vt:lpstr>XDO_?FINAL_MV?3?</vt:lpstr>
      <vt:lpstr>XDO_?FINAL_MV?4?</vt:lpstr>
      <vt:lpstr>XDO_?FINAL_MV?5?</vt:lpstr>
      <vt:lpstr>XDO_?FINAL_NAME?3?</vt:lpstr>
      <vt:lpstr>XDO_?FINAL_NAME?4?</vt:lpstr>
      <vt:lpstr>XDO_?FINAL_NAME?5?</vt:lpstr>
      <vt:lpstr>XDO_?FINAL_PER_NET?3?</vt:lpstr>
      <vt:lpstr>XDO_?FINAL_PER_NET?4?</vt:lpstr>
      <vt:lpstr>XDO_?FINAL_PER_NET?5?</vt:lpstr>
      <vt:lpstr>XDO_?FINAL_QUANTITE?3?</vt:lpstr>
      <vt:lpstr>XDO_?FINAL_QUANTITE?4?</vt:lpstr>
      <vt:lpstr>XDO_?FINAL_QUANTITE?5?</vt:lpstr>
      <vt:lpstr>XDO_?IND_01?3?</vt:lpstr>
      <vt:lpstr>XDO_?IND_01?4?</vt:lpstr>
      <vt:lpstr>XDO_?IND_01?5?</vt:lpstr>
      <vt:lpstr>XDO_?NAMCNAME?2?</vt:lpstr>
      <vt:lpstr>XDO_?NOVAL?3?</vt:lpstr>
      <vt:lpstr>XDO_?NOVAL?4?</vt:lpstr>
      <vt:lpstr>XDO_?NOVAL?5?</vt:lpstr>
      <vt:lpstr>XDO_?NPTF?2?</vt:lpstr>
      <vt:lpstr>XDO_?RATING?3?</vt:lpstr>
      <vt:lpstr>XDO_?RATING?4?</vt:lpstr>
      <vt:lpstr>XDO_?RATING?5?</vt:lpstr>
      <vt:lpstr>XDO_?REMARKS?3?</vt:lpstr>
      <vt:lpstr>XDO_?REMARKS?4?</vt:lpstr>
      <vt:lpstr>XDO_?REMARKS?5?</vt:lpstr>
      <vt:lpstr>XDO_?TITL?2?</vt:lpstr>
      <vt:lpstr>XDO_GROUP_?G_2?2?</vt:lpstr>
      <vt:lpstr>XDO_GROUP_?G_3?2?</vt:lpstr>
      <vt:lpstr>XDO_GROUP_?G_4?3?</vt:lpstr>
      <vt:lpstr>XDO_GROUP_?G_4?4?</vt:lpstr>
      <vt:lpstr>XDO_GROUP_?G_4?5?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Gangaram Bharat Chavan</cp:lastModifiedBy>
  <dcterms:created xsi:type="dcterms:W3CDTF">2026-06-04T14:36:50Z</dcterms:created>
  <dcterms:modified xsi:type="dcterms:W3CDTF">2026-06-05T11:09:49Z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0x010100940A884CA212A64490D7B69778880BBA</vt:lpwstr>
  </property>
  <property fmtid="{D5CDD505-2E9C-101B-9397-08002B2CF9AE}" pid="3" name="MediaServiceImageTags">
    <vt:lpwstr/>
  </property>
</Properties>
</file>