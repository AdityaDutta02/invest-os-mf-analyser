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udit\All Audit\Operations\MIS Reports\FY2023-24\DEC 2023\Portfolio\OPS\TMF_Monthly_Portfolio_Report_Nov 23\"/>
    </mc:Choice>
  </mc:AlternateContent>
  <xr:revisionPtr revIDLastSave="0" documentId="13_ncr:1_{71A156A1-5915-4613-ADD2-9C4A4F2DD400}" xr6:coauthVersionLast="47" xr6:coauthVersionMax="47" xr10:uidLastSave="{00000000-0000-0000-0000-000000000000}"/>
  <bookViews>
    <workbookView xWindow="-120" yWindow="-120" windowWidth="20730" windowHeight="11160" xr2:uid="{F92A8289-969C-44C5-9E52-D7692044757D}"/>
  </bookViews>
  <sheets>
    <sheet name="TBF" sheetId="1" r:id="rId1"/>
    <sheet name="TBF-Performance" sheetId="2" r:id="rId2"/>
  </sheets>
  <externalReferences>
    <externalReference r:id="rId3"/>
  </externalReferences>
  <definedNames>
    <definedName name="XDO_?AUM?">TBF!$H$14</definedName>
    <definedName name="XDO_?CLASS_3?">TBF!$C$9:$C$41</definedName>
    <definedName name="XDO_?CLASS_4?">TBF!$C$10</definedName>
    <definedName name="XDO_?CS_1?">TBF!$H$12</definedName>
    <definedName name="XDO_?CS_2?">TBF!$I$12</definedName>
    <definedName name="XDO_?FINAL_ISIN?">TBF!$D$11:$D$83</definedName>
    <definedName name="XDO_?FINAL_MV?">TBF!$H$11:$H$83</definedName>
    <definedName name="XDO_?FINAL_NAME?">TBF!$C$11:$C$83</definedName>
    <definedName name="XDO_?FINAL_PER_NET?">TBF!$I$11:$I$83</definedName>
    <definedName name="XDO_?FINAL_QUANTITE?">TBF!$G$11:$G$83</definedName>
    <definedName name="XDO_?IND_01?">TBF!$F$11:$F$83</definedName>
    <definedName name="XDO_?LONG_DESC?">TBF!$D$4</definedName>
    <definedName name="XDO_?NAMC?">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">TBF!$C$3:$C$41</definedName>
    <definedName name="XDO_?NDATE?">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">TBF!$B$11:$B$83</definedName>
    <definedName name="XDO_?NPTF?">TBF!$D$3:$D$41</definedName>
    <definedName name="XDO_?RATING?">TBF!$E$11:$E$83</definedName>
    <definedName name="XDO_?REMARKS?">TBF!$J$11:$J$83</definedName>
    <definedName name="XDO_?TDATE?">TBF!$D$5</definedName>
    <definedName name="XDO_?TITL?">TBF!$A$9:$A$41</definedName>
    <definedName name="XDO_GROUP_?G_2?">TBF!$3:$86</definedName>
    <definedName name="XDO_GROUP_?G_3?">TBF!$9:$85</definedName>
    <definedName name="XDO_GROUP_?G_4?">TBF!$B$83:$IV$83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6" i="1" l="1"/>
</calcChain>
</file>

<file path=xl/sharedStrings.xml><?xml version="1.0" encoding="utf-8"?>
<sst xmlns="http://schemas.openxmlformats.org/spreadsheetml/2006/main" count="235" uniqueCount="169">
  <si>
    <t>TAURUS MUTUAL FUND</t>
  </si>
  <si>
    <t>TBF</t>
  </si>
  <si>
    <t>SCHEME NAME :</t>
  </si>
  <si>
    <t>Taurus Largecap Equity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</si>
  <si>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</si>
  <si>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</si>
  <si>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</si>
  <si>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</si>
  <si>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</si>
  <si>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</si>
  <si>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</si>
  <si>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</si>
  <si>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</si>
  <si>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</si>
  <si>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</si>
  <si>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</si>
  <si>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</si>
  <si>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</si>
  <si>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</si>
  <si>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100037</t>
  </si>
  <si>
    <t>HCL Technologies Ltd.</t>
  </si>
  <si>
    <t>INE860A01027</t>
  </si>
  <si>
    <t>IT - Software</t>
  </si>
  <si>
    <t>100024</t>
  </si>
  <si>
    <t>Axis Bank Ltd.</t>
  </si>
  <si>
    <t>INE238A01034</t>
  </si>
  <si>
    <t>100097</t>
  </si>
  <si>
    <t>Coal India Ltd.</t>
  </si>
  <si>
    <t>INE522F01014</t>
  </si>
  <si>
    <t>Consumable Fuels</t>
  </si>
  <si>
    <t>100010</t>
  </si>
  <si>
    <t>State Bank of India</t>
  </si>
  <si>
    <t>INE062A01020</t>
  </si>
  <si>
    <t>100012</t>
  </si>
  <si>
    <t>ICICI Bank Ltd.</t>
  </si>
  <si>
    <t>INE090A01021</t>
  </si>
  <si>
    <t>100263</t>
  </si>
  <si>
    <t>BEML Ltd.</t>
  </si>
  <si>
    <t>INE258A01016</t>
  </si>
  <si>
    <t>Agricultural, Commercial &amp; Construction Vehicles</t>
  </si>
  <si>
    <t>100019</t>
  </si>
  <si>
    <t>ITC Ltd.</t>
  </si>
  <si>
    <t>INE154A01025</t>
  </si>
  <si>
    <t>Diversified FMCG</t>
  </si>
  <si>
    <t>100014</t>
  </si>
  <si>
    <t>Mahindra &amp; Mahindra Ltd.</t>
  </si>
  <si>
    <t>INE101A01026</t>
  </si>
  <si>
    <t>Automobiles</t>
  </si>
  <si>
    <t>101178</t>
  </si>
  <si>
    <t>Computer Age Management Services Ltd.</t>
  </si>
  <si>
    <t>INE596I01012</t>
  </si>
  <si>
    <t>Capital Markets</t>
  </si>
  <si>
    <t>100150</t>
  </si>
  <si>
    <t>Apollo Hospitals Enterprise Ltd.</t>
  </si>
  <si>
    <t>INE437A01024</t>
  </si>
  <si>
    <t>Healthcare Services</t>
  </si>
  <si>
    <t>100147</t>
  </si>
  <si>
    <t>Tech Mahindra Ltd.</t>
  </si>
  <si>
    <t>INE669C01036</t>
  </si>
  <si>
    <t>100003</t>
  </si>
  <si>
    <t>Infosys Ltd.</t>
  </si>
  <si>
    <t>INE009A01021</t>
  </si>
  <si>
    <t>100830</t>
  </si>
  <si>
    <t>Varun Beverages Ltd.</t>
  </si>
  <si>
    <t>INE200M01021</t>
  </si>
  <si>
    <t>Beverages</t>
  </si>
  <si>
    <t>100181</t>
  </si>
  <si>
    <t>NTPC Ltd.</t>
  </si>
  <si>
    <t>INE733E01010</t>
  </si>
  <si>
    <t>Power</t>
  </si>
  <si>
    <t>100128</t>
  </si>
  <si>
    <t>Eicher Motors Ltd.</t>
  </si>
  <si>
    <t>INE066A01021</t>
  </si>
  <si>
    <t>100302</t>
  </si>
  <si>
    <t>DLF Ltd.</t>
  </si>
  <si>
    <t>INE271C01023</t>
  </si>
  <si>
    <t>Realty</t>
  </si>
  <si>
    <t>100153</t>
  </si>
  <si>
    <t>Cipla Ltd.</t>
  </si>
  <si>
    <t>INE059A01026</t>
  </si>
  <si>
    <t>Pharmaceuticals &amp; Biotechnology</t>
  </si>
  <si>
    <t>100682</t>
  </si>
  <si>
    <t>ICICI Lombard General Insurance Company Ltd.</t>
  </si>
  <si>
    <t>INE765G01017</t>
  </si>
  <si>
    <t>Insurance</t>
  </si>
  <si>
    <t>100132</t>
  </si>
  <si>
    <t>Info Edge (India) Ltd.</t>
  </si>
  <si>
    <t>INE663F01024</t>
  </si>
  <si>
    <t>Retailing</t>
  </si>
  <si>
    <t>100080</t>
  </si>
  <si>
    <t>Dr. Reddy's Laboratories Ltd.</t>
  </si>
  <si>
    <t>INE089A01023</t>
  </si>
  <si>
    <t>100008</t>
  </si>
  <si>
    <t>Sun Pharmaceutical Industries Ltd.</t>
  </si>
  <si>
    <t>INE044A01036</t>
  </si>
  <si>
    <t>100106</t>
  </si>
  <si>
    <t>Maruti Suzuki India Ltd.</t>
  </si>
  <si>
    <t>INE585B01010</t>
  </si>
  <si>
    <t>100193</t>
  </si>
  <si>
    <t>JSW Steel Ltd.</t>
  </si>
  <si>
    <t>INE019A01038</t>
  </si>
  <si>
    <t>Ferrous Metals</t>
  </si>
  <si>
    <t>100184</t>
  </si>
  <si>
    <t>Tata Steel Ltd.</t>
  </si>
  <si>
    <t>INE081A01020</t>
  </si>
  <si>
    <t>101946</t>
  </si>
  <si>
    <t>National Fertilizers Ltd.</t>
  </si>
  <si>
    <t>INE870D01012</t>
  </si>
  <si>
    <t>Fertilizers &amp; Agrochemicals</t>
  </si>
  <si>
    <t>100182</t>
  </si>
  <si>
    <t>Power Grid Corporation of India Ltd.</t>
  </si>
  <si>
    <t>INE752E01010</t>
  </si>
  <si>
    <t>100119</t>
  </si>
  <si>
    <t>Tata Motors Ltd.</t>
  </si>
  <si>
    <t>INE155A01022</t>
  </si>
  <si>
    <t>100002</t>
  </si>
  <si>
    <t>Reliance Industries Ltd.</t>
  </si>
  <si>
    <t>INE002A01018</t>
  </si>
  <si>
    <t>Petroleum Products</t>
  </si>
  <si>
    <t>100081</t>
  </si>
  <si>
    <t>Titan Company Ltd.</t>
  </si>
  <si>
    <t>INE280A01028</t>
  </si>
  <si>
    <t>Consumer Durables</t>
  </si>
  <si>
    <t>100324</t>
  </si>
  <si>
    <t>NBCC (India) Ltd.</t>
  </si>
  <si>
    <t>INE095N01031</t>
  </si>
  <si>
    <t>Construction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</si>
  <si>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</si>
  <si>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</si>
  <si>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</si>
  <si>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</si>
  <si>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</si>
  <si>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</si>
  <si>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</si>
  <si>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</si>
  <si>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</si>
  <si>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</si>
  <si>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</si>
  <si>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</si>
  <si>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</si>
  <si>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</si>
  <si>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</si>
  <si>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</si>
  <si>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</si>
  <si>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</si>
  <si>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</si>
  <si>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</si>
  <si>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</si>
  <si>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</si>
  <si>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</si>
  <si>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</si>
  <si>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</si>
  <si>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</si>
  <si>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</si>
  <si>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</si>
  <si>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Largecap Equity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</si>
  <si>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</si>
  <si>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</si>
  <si>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</si>
  <si>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</si>
  <si>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</si>
  <si>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</si>
  <si>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</si>
  <si>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</si>
  <si>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100 TRI (Benchmark)</t>
  </si>
  <si>
    <t>Nifty 50 TRI (Additional Benchmark)</t>
  </si>
  <si>
    <t>NAV [Rs.] Per Unit (as on November 30, 2023 : 121.66)</t>
  </si>
  <si>
    <t>Taurus Largecap Equity Fund - Direct Plan Growth Option</t>
  </si>
  <si>
    <t>NAV [Rs.] Per Unit (as on November 30, 2023 : 128.42)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</si>
</sst>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_(\ #,##0.00_);_(\ \(#,##0.00\);_(\ \-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908672A1-1A67-4C6C-B46C-1EA6DF787660}"/>
    <cellStyle name="Hyperlink" xfId="2" builtinId="8"/>
    <cellStyle name="Normal" xfId="0" builtinId="0"/>
    <cellStyle name="Normal 2" xfId="4" xr:uid="{5E725635-FB54-4838-9559-4EB593FCC45A}"/>
    <cellStyle name="Style 1" xfId="3" xr:uid="{48C980C2-610E-4A41-A173-6CCD7397F8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48683</xdr:colOff>
      <xdr:row>0</xdr:row>
      <xdr:rowOff>2169583</xdr:rowOff>
    </xdr:to>
    <xdr:pic>
      <xdr:nvPicPr>
        <xdr:cNvPr id="4" name="Picture 3" descr="Large Prodcut label - 9th Dec 2022.jpg">
          <a:extLst>
            <a:ext uri="{FF2B5EF4-FFF2-40B4-BE49-F238E27FC236}">
              <a16:creationId xmlns:a16="http://schemas.microsoft.com/office/drawing/2014/main" id="{735564B6-FFDE-4252-BD65-32B6F16C4C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333" y="0"/>
          <a:ext cx="6800850" cy="21695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3-24\Nov%2023\Client%20Report\TMF_Monthly_Portfolio_Report_Nov%2023.xls" TargetMode="External"/><Relationship Id="rId1" Type="http://schemas.openxmlformats.org/officeDocument/2006/relationships/externalLinkPath" Target="TMF_Monthly_Portfolio_Report_Nov%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D5B04-C149-4A22-9F9F-00EC4746E131}">
  <sheetPr codeName="Sheet1"/>
  <dimension ref="A1:BB92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71.75" customHeight="1" x14ac:dyDescent="0.25"/>
    <row r="2" spans="1:54" x14ac:dyDescent="0.25">
      <c r="A2" s="1"/>
      <c r="C2" s="1"/>
      <c r="D2" s="1"/>
      <c r="E2" s="1"/>
      <c r="F2" s="1"/>
      <c r="G2" s="3"/>
      <c r="H2" s="4"/>
      <c r="I2" s="4"/>
      <c r="J2" s="5"/>
      <c r="K2" s="5"/>
      <c r="L2" s="5"/>
      <c r="AI2" s="5"/>
      <c r="AV2" s="5"/>
      <c r="AX2" s="5"/>
      <c r="BB2" s="5"/>
    </row>
    <row r="3" spans="1:54" ht="19.5" x14ac:dyDescent="0.35">
      <c r="C3" s="6" t="s">
        <v>0</v>
      </c>
      <c r="D3" s="1" t="s">
        <v>1</v>
      </c>
      <c r="J3" s="9"/>
    </row>
    <row r="4" spans="1:54" ht="16.5" x14ac:dyDescent="0.3">
      <c r="C4" s="11" t="s">
        <v>2</v>
      </c>
      <c r="D4" s="12" t="s">
        <v>3</v>
      </c>
    </row>
    <row r="5" spans="1:54" ht="15.75" x14ac:dyDescent="0.3">
      <c r="C5" s="11" t="s">
        <v>4</v>
      </c>
      <c r="D5" s="13">
        <v>45260</v>
      </c>
    </row>
    <row r="6" spans="1:54" ht="14.25" thickBot="1" x14ac:dyDescent="0.3">
      <c r="C6" s="11"/>
    </row>
    <row r="7" spans="1:54" ht="27" x14ac:dyDescent="0.25">
      <c r="C7" s="14" t="s">
        <v>5</v>
      </c>
      <c r="D7" s="15" t="s">
        <v>6</v>
      </c>
      <c r="E7" s="16" t="s">
        <v>7</v>
      </c>
      <c r="F7" s="16" t="s">
        <v>8</v>
      </c>
      <c r="G7" s="17" t="s">
        <v>9</v>
      </c>
      <c r="H7" s="18" t="s">
        <v>10</v>
      </c>
      <c r="I7" s="18" t="s">
        <v>11</v>
      </c>
      <c r="J7" s="19" t="s">
        <v>12</v>
      </c>
    </row>
    <row r="8" spans="1:54" x14ac:dyDescent="0.25">
      <c r="C8" s="20"/>
      <c r="D8" s="21"/>
      <c r="E8" s="22"/>
      <c r="F8" s="22"/>
      <c r="G8" s="23"/>
      <c r="H8" s="24"/>
      <c r="I8" s="24"/>
      <c r="J8" s="25"/>
    </row>
    <row r="9" spans="1:54" x14ac:dyDescent="0.25">
      <c r="A9" s="26"/>
      <c r="B9" s="27"/>
      <c r="C9" s="28" t="s">
        <v>13</v>
      </c>
      <c r="D9" s="29"/>
      <c r="E9" s="30"/>
      <c r="F9" s="30"/>
      <c r="G9" s="31"/>
      <c r="H9" s="32"/>
      <c r="I9" s="32"/>
      <c r="J9" s="33"/>
    </row>
    <row r="10" spans="1:54" x14ac:dyDescent="0.25">
      <c r="C10" s="34" t="s">
        <v>14</v>
      </c>
      <c r="D10" s="29"/>
      <c r="E10" s="30"/>
      <c r="F10" s="30"/>
      <c r="G10" s="31"/>
      <c r="H10" s="32"/>
      <c r="I10" s="32"/>
      <c r="J10" s="33"/>
    </row>
    <row r="11" spans="1:54" x14ac:dyDescent="0.25">
      <c r="B11" s="1" t="s">
        <v>15</v>
      </c>
      <c r="C11" s="20" t="s">
        <v>16</v>
      </c>
      <c r="D11" s="29" t="s">
        <v>17</v>
      </c>
      <c r="E11" s="30"/>
      <c r="F11" s="30" t="s">
        <v>18</v>
      </c>
      <c r="G11" s="31">
        <v>21331</v>
      </c>
      <c r="H11" s="32">
        <v>332.55</v>
      </c>
      <c r="I11" s="32">
        <v>8.75</v>
      </c>
      <c r="J11" s="33"/>
    </row>
    <row r="12" spans="1:54" x14ac:dyDescent="0.25">
      <c r="B12" s="1" t="s">
        <v>19</v>
      </c>
      <c r="C12" s="20" t="s">
        <v>20</v>
      </c>
      <c r="D12" s="29" t="s">
        <v>21</v>
      </c>
      <c r="E12" s="30"/>
      <c r="F12" s="30" t="s">
        <v>22</v>
      </c>
      <c r="G12" s="31">
        <v>19988</v>
      </c>
      <c r="H12" s="32">
        <v>267.89999999999998</v>
      </c>
      <c r="I12" s="32">
        <v>7.05</v>
      </c>
      <c r="J12" s="33"/>
    </row>
    <row r="13" spans="1:54" x14ac:dyDescent="0.25">
      <c r="B13" s="1" t="s">
        <v>23</v>
      </c>
      <c r="C13" s="20" t="s">
        <v>24</v>
      </c>
      <c r="D13" s="29" t="s">
        <v>25</v>
      </c>
      <c r="E13" s="30"/>
      <c r="F13" s="30" t="s">
        <v>18</v>
      </c>
      <c r="G13" s="31">
        <v>19761</v>
      </c>
      <c r="H13" s="32">
        <v>212.36</v>
      </c>
      <c r="I13" s="32">
        <v>5.59</v>
      </c>
      <c r="J13" s="33"/>
    </row>
    <row r="14" spans="1:54" x14ac:dyDescent="0.25">
      <c r="B14" s="1" t="s">
        <v>26</v>
      </c>
      <c r="C14" s="20" t="s">
        <v>27</v>
      </c>
      <c r="D14" s="29" t="s">
        <v>28</v>
      </c>
      <c r="E14" s="30"/>
      <c r="F14" s="30" t="s">
        <v>29</v>
      </c>
      <c r="G14" s="31">
        <v>57649</v>
      </c>
      <c r="H14" s="32">
        <v>197.3</v>
      </c>
      <c r="I14" s="32">
        <v>5.19</v>
      </c>
      <c r="J14" s="33"/>
    </row>
    <row r="15" spans="1:54" x14ac:dyDescent="0.25">
      <c r="B15" s="1" t="s">
        <v>30</v>
      </c>
      <c r="C15" s="20" t="s">
        <v>31</v>
      </c>
      <c r="D15" s="29" t="s">
        <v>32</v>
      </c>
      <c r="E15" s="30"/>
      <c r="F15" s="30" t="s">
        <v>18</v>
      </c>
      <c r="G15" s="31">
        <v>34404</v>
      </c>
      <c r="H15" s="32">
        <v>194.28</v>
      </c>
      <c r="I15" s="32">
        <v>5.1100000000000003</v>
      </c>
      <c r="J15" s="33"/>
    </row>
    <row r="16" spans="1:54" x14ac:dyDescent="0.25">
      <c r="B16" s="1" t="s">
        <v>33</v>
      </c>
      <c r="C16" s="20" t="s">
        <v>34</v>
      </c>
      <c r="D16" s="29" t="s">
        <v>35</v>
      </c>
      <c r="E16" s="30"/>
      <c r="F16" s="30" t="s">
        <v>18</v>
      </c>
      <c r="G16" s="31">
        <v>19245</v>
      </c>
      <c r="H16" s="32">
        <v>179.98</v>
      </c>
      <c r="I16" s="32">
        <v>4.74</v>
      </c>
      <c r="J16" s="33"/>
    </row>
    <row r="17" spans="2:10" x14ac:dyDescent="0.25">
      <c r="B17" s="1" t="s">
        <v>36</v>
      </c>
      <c r="C17" s="20" t="s">
        <v>37</v>
      </c>
      <c r="D17" s="29" t="s">
        <v>38</v>
      </c>
      <c r="E17" s="30"/>
      <c r="F17" s="30" t="s">
        <v>39</v>
      </c>
      <c r="G17" s="31">
        <v>6417</v>
      </c>
      <c r="H17" s="32">
        <v>158.29</v>
      </c>
      <c r="I17" s="32">
        <v>4.17</v>
      </c>
      <c r="J17" s="33"/>
    </row>
    <row r="18" spans="2:10" x14ac:dyDescent="0.25">
      <c r="B18" s="1" t="s">
        <v>40</v>
      </c>
      <c r="C18" s="20" t="s">
        <v>41</v>
      </c>
      <c r="D18" s="29" t="s">
        <v>42</v>
      </c>
      <c r="E18" s="30"/>
      <c r="F18" s="30" t="s">
        <v>43</v>
      </c>
      <c r="G18" s="31">
        <v>36337</v>
      </c>
      <c r="H18" s="32">
        <v>158.28</v>
      </c>
      <c r="I18" s="32">
        <v>4.17</v>
      </c>
      <c r="J18" s="33"/>
    </row>
    <row r="19" spans="2:10" x14ac:dyDescent="0.25">
      <c r="B19" s="1" t="s">
        <v>44</v>
      </c>
      <c r="C19" s="20" t="s">
        <v>45</v>
      </c>
      <c r="D19" s="29" t="s">
        <v>46</v>
      </c>
      <c r="E19" s="30"/>
      <c r="F19" s="30" t="s">
        <v>47</v>
      </c>
      <c r="G19" s="31">
        <v>8410</v>
      </c>
      <c r="H19" s="32">
        <v>138.56</v>
      </c>
      <c r="I19" s="32">
        <v>3.65</v>
      </c>
      <c r="J19" s="33"/>
    </row>
    <row r="20" spans="2:10" x14ac:dyDescent="0.25">
      <c r="B20" s="1" t="s">
        <v>48</v>
      </c>
      <c r="C20" s="20" t="s">
        <v>49</v>
      </c>
      <c r="D20" s="29" t="s">
        <v>50</v>
      </c>
      <c r="E20" s="30"/>
      <c r="F20" s="30" t="s">
        <v>51</v>
      </c>
      <c r="G20" s="31">
        <v>4880</v>
      </c>
      <c r="H20" s="32">
        <v>136.94</v>
      </c>
      <c r="I20" s="32">
        <v>3.6</v>
      </c>
      <c r="J20" s="33"/>
    </row>
    <row r="21" spans="2:10" x14ac:dyDescent="0.25">
      <c r="B21" s="1" t="s">
        <v>52</v>
      </c>
      <c r="C21" s="20" t="s">
        <v>53</v>
      </c>
      <c r="D21" s="29" t="s">
        <v>54</v>
      </c>
      <c r="E21" s="30"/>
      <c r="F21" s="30" t="s">
        <v>55</v>
      </c>
      <c r="G21" s="31">
        <v>2184</v>
      </c>
      <c r="H21" s="32">
        <v>120.78</v>
      </c>
      <c r="I21" s="32">
        <v>3.18</v>
      </c>
      <c r="J21" s="33"/>
    </row>
    <row r="22" spans="2:10" x14ac:dyDescent="0.25">
      <c r="B22" s="1" t="s">
        <v>56</v>
      </c>
      <c r="C22" s="20" t="s">
        <v>57</v>
      </c>
      <c r="D22" s="29" t="s">
        <v>58</v>
      </c>
      <c r="E22" s="30"/>
      <c r="F22" s="30" t="s">
        <v>22</v>
      </c>
      <c r="G22" s="31">
        <v>9419</v>
      </c>
      <c r="H22" s="32">
        <v>114.97</v>
      </c>
      <c r="I22" s="32">
        <v>3.03</v>
      </c>
      <c r="J22" s="33"/>
    </row>
    <row r="23" spans="2:10" x14ac:dyDescent="0.25">
      <c r="B23" s="1" t="s">
        <v>59</v>
      </c>
      <c r="C23" s="20" t="s">
        <v>60</v>
      </c>
      <c r="D23" s="29" t="s">
        <v>61</v>
      </c>
      <c r="E23" s="30"/>
      <c r="F23" s="30" t="s">
        <v>22</v>
      </c>
      <c r="G23" s="31">
        <v>7379</v>
      </c>
      <c r="H23" s="32">
        <v>107.39</v>
      </c>
      <c r="I23" s="32">
        <v>2.83</v>
      </c>
      <c r="J23" s="33"/>
    </row>
    <row r="24" spans="2:10" x14ac:dyDescent="0.25">
      <c r="B24" s="1" t="s">
        <v>62</v>
      </c>
      <c r="C24" s="20" t="s">
        <v>63</v>
      </c>
      <c r="D24" s="29" t="s">
        <v>64</v>
      </c>
      <c r="E24" s="30"/>
      <c r="F24" s="30" t="s">
        <v>65</v>
      </c>
      <c r="G24" s="31">
        <v>9139</v>
      </c>
      <c r="H24" s="32">
        <v>101.02</v>
      </c>
      <c r="I24" s="32">
        <v>2.66</v>
      </c>
      <c r="J24" s="33"/>
    </row>
    <row r="25" spans="2:10" x14ac:dyDescent="0.25">
      <c r="B25" s="1" t="s">
        <v>66</v>
      </c>
      <c r="C25" s="20" t="s">
        <v>67</v>
      </c>
      <c r="D25" s="29" t="s">
        <v>68</v>
      </c>
      <c r="E25" s="30"/>
      <c r="F25" s="30" t="s">
        <v>69</v>
      </c>
      <c r="G25" s="31">
        <v>38578</v>
      </c>
      <c r="H25" s="32">
        <v>100.8</v>
      </c>
      <c r="I25" s="32">
        <v>2.65</v>
      </c>
      <c r="J25" s="33"/>
    </row>
    <row r="26" spans="2:10" x14ac:dyDescent="0.25">
      <c r="B26" s="1" t="s">
        <v>70</v>
      </c>
      <c r="C26" s="20" t="s">
        <v>71</v>
      </c>
      <c r="D26" s="29" t="s">
        <v>72</v>
      </c>
      <c r="E26" s="30"/>
      <c r="F26" s="30" t="s">
        <v>47</v>
      </c>
      <c r="G26" s="31">
        <v>2453</v>
      </c>
      <c r="H26" s="32">
        <v>95.64</v>
      </c>
      <c r="I26" s="32">
        <v>2.52</v>
      </c>
      <c r="J26" s="33"/>
    </row>
    <row r="27" spans="2:10" x14ac:dyDescent="0.25">
      <c r="B27" s="1" t="s">
        <v>73</v>
      </c>
      <c r="C27" s="20" t="s">
        <v>74</v>
      </c>
      <c r="D27" s="29" t="s">
        <v>75</v>
      </c>
      <c r="E27" s="30"/>
      <c r="F27" s="30" t="s">
        <v>76</v>
      </c>
      <c r="G27" s="31">
        <v>15145</v>
      </c>
      <c r="H27" s="32">
        <v>94.77</v>
      </c>
      <c r="I27" s="32">
        <v>2.4900000000000002</v>
      </c>
      <c r="J27" s="33"/>
    </row>
    <row r="28" spans="2:10" x14ac:dyDescent="0.25">
      <c r="B28" s="1" t="s">
        <v>77</v>
      </c>
      <c r="C28" s="20" t="s">
        <v>78</v>
      </c>
      <c r="D28" s="29" t="s">
        <v>79</v>
      </c>
      <c r="E28" s="30"/>
      <c r="F28" s="30" t="s">
        <v>80</v>
      </c>
      <c r="G28" s="31">
        <v>7725</v>
      </c>
      <c r="H28" s="32">
        <v>93.59</v>
      </c>
      <c r="I28" s="32">
        <v>2.46</v>
      </c>
      <c r="J28" s="33"/>
    </row>
    <row r="29" spans="2:10" x14ac:dyDescent="0.25">
      <c r="B29" s="1" t="s">
        <v>81</v>
      </c>
      <c r="C29" s="20" t="s">
        <v>82</v>
      </c>
      <c r="D29" s="29" t="s">
        <v>83</v>
      </c>
      <c r="E29" s="30"/>
      <c r="F29" s="30" t="s">
        <v>84</v>
      </c>
      <c r="G29" s="31">
        <v>6301</v>
      </c>
      <c r="H29" s="32">
        <v>93.21</v>
      </c>
      <c r="I29" s="32">
        <v>2.4500000000000002</v>
      </c>
      <c r="J29" s="33"/>
    </row>
    <row r="30" spans="2:10" x14ac:dyDescent="0.25">
      <c r="B30" s="1" t="s">
        <v>85</v>
      </c>
      <c r="C30" s="20" t="s">
        <v>86</v>
      </c>
      <c r="D30" s="29" t="s">
        <v>87</v>
      </c>
      <c r="E30" s="30"/>
      <c r="F30" s="30" t="s">
        <v>88</v>
      </c>
      <c r="G30" s="31">
        <v>1972</v>
      </c>
      <c r="H30" s="32">
        <v>90.97</v>
      </c>
      <c r="I30" s="32">
        <v>2.39</v>
      </c>
      <c r="J30" s="33"/>
    </row>
    <row r="31" spans="2:10" x14ac:dyDescent="0.25">
      <c r="B31" s="1" t="s">
        <v>89</v>
      </c>
      <c r="C31" s="20" t="s">
        <v>90</v>
      </c>
      <c r="D31" s="29" t="s">
        <v>91</v>
      </c>
      <c r="E31" s="30"/>
      <c r="F31" s="30" t="s">
        <v>80</v>
      </c>
      <c r="G31" s="31">
        <v>1505</v>
      </c>
      <c r="H31" s="32">
        <v>87.11</v>
      </c>
      <c r="I31" s="32">
        <v>2.29</v>
      </c>
      <c r="J31" s="33"/>
    </row>
    <row r="32" spans="2:10" x14ac:dyDescent="0.25">
      <c r="B32" s="1" t="s">
        <v>92</v>
      </c>
      <c r="C32" s="20" t="s">
        <v>93</v>
      </c>
      <c r="D32" s="29" t="s">
        <v>94</v>
      </c>
      <c r="E32" s="30"/>
      <c r="F32" s="30" t="s">
        <v>80</v>
      </c>
      <c r="G32" s="31">
        <v>6749</v>
      </c>
      <c r="H32" s="32">
        <v>82.82</v>
      </c>
      <c r="I32" s="32">
        <v>2.1800000000000002</v>
      </c>
      <c r="J32" s="33"/>
    </row>
    <row r="33" spans="2:10" x14ac:dyDescent="0.25">
      <c r="B33" s="1" t="s">
        <v>95</v>
      </c>
      <c r="C33" s="20" t="s">
        <v>96</v>
      </c>
      <c r="D33" s="29" t="s">
        <v>97</v>
      </c>
      <c r="E33" s="30"/>
      <c r="F33" s="30" t="s">
        <v>47</v>
      </c>
      <c r="G33" s="31">
        <v>767</v>
      </c>
      <c r="H33" s="32">
        <v>81.33</v>
      </c>
      <c r="I33" s="32">
        <v>2.14</v>
      </c>
      <c r="J33" s="33"/>
    </row>
    <row r="34" spans="2:10" x14ac:dyDescent="0.25">
      <c r="B34" s="1" t="s">
        <v>98</v>
      </c>
      <c r="C34" s="20" t="s">
        <v>99</v>
      </c>
      <c r="D34" s="29" t="s">
        <v>100</v>
      </c>
      <c r="E34" s="30"/>
      <c r="F34" s="30" t="s">
        <v>101</v>
      </c>
      <c r="G34" s="31">
        <v>9023</v>
      </c>
      <c r="H34" s="32">
        <v>72.150000000000006</v>
      </c>
      <c r="I34" s="32">
        <v>1.9</v>
      </c>
      <c r="J34" s="33"/>
    </row>
    <row r="35" spans="2:10" x14ac:dyDescent="0.25">
      <c r="B35" s="1" t="s">
        <v>102</v>
      </c>
      <c r="C35" s="20" t="s">
        <v>103</v>
      </c>
      <c r="D35" s="29" t="s">
        <v>104</v>
      </c>
      <c r="E35" s="30"/>
      <c r="F35" s="30" t="s">
        <v>101</v>
      </c>
      <c r="G35" s="31">
        <v>56070</v>
      </c>
      <c r="H35" s="32">
        <v>71.739999999999995</v>
      </c>
      <c r="I35" s="32">
        <v>1.89</v>
      </c>
      <c r="J35" s="33"/>
    </row>
    <row r="36" spans="2:10" x14ac:dyDescent="0.25">
      <c r="B36" s="1" t="s">
        <v>105</v>
      </c>
      <c r="C36" s="20" t="s">
        <v>106</v>
      </c>
      <c r="D36" s="29" t="s">
        <v>107</v>
      </c>
      <c r="E36" s="30"/>
      <c r="F36" s="30" t="s">
        <v>108</v>
      </c>
      <c r="G36" s="31">
        <v>97618</v>
      </c>
      <c r="H36" s="32">
        <v>69.790000000000006</v>
      </c>
      <c r="I36" s="32">
        <v>1.84</v>
      </c>
      <c r="J36" s="33"/>
    </row>
    <row r="37" spans="2:10" x14ac:dyDescent="0.25">
      <c r="B37" s="1" t="s">
        <v>109</v>
      </c>
      <c r="C37" s="20" t="s">
        <v>110</v>
      </c>
      <c r="D37" s="29" t="s">
        <v>111</v>
      </c>
      <c r="E37" s="30"/>
      <c r="F37" s="30" t="s">
        <v>69</v>
      </c>
      <c r="G37" s="31">
        <v>33010</v>
      </c>
      <c r="H37" s="32">
        <v>68.97</v>
      </c>
      <c r="I37" s="32">
        <v>1.82</v>
      </c>
      <c r="J37" s="33"/>
    </row>
    <row r="38" spans="2:10" x14ac:dyDescent="0.25">
      <c r="B38" s="1" t="s">
        <v>112</v>
      </c>
      <c r="C38" s="20" t="s">
        <v>113</v>
      </c>
      <c r="D38" s="29" t="s">
        <v>114</v>
      </c>
      <c r="E38" s="30"/>
      <c r="F38" s="30" t="s">
        <v>47</v>
      </c>
      <c r="G38" s="31">
        <v>8674</v>
      </c>
      <c r="H38" s="32">
        <v>61.26</v>
      </c>
      <c r="I38" s="32">
        <v>1.61</v>
      </c>
      <c r="J38" s="33"/>
    </row>
    <row r="39" spans="2:10" x14ac:dyDescent="0.25">
      <c r="B39" s="1" t="s">
        <v>115</v>
      </c>
      <c r="C39" s="20" t="s">
        <v>116</v>
      </c>
      <c r="D39" s="29" t="s">
        <v>117</v>
      </c>
      <c r="E39" s="30"/>
      <c r="F39" s="30" t="s">
        <v>118</v>
      </c>
      <c r="G39" s="31">
        <v>2478</v>
      </c>
      <c r="H39" s="32">
        <v>58.89</v>
      </c>
      <c r="I39" s="32">
        <v>1.55</v>
      </c>
      <c r="J39" s="33"/>
    </row>
    <row r="40" spans="2:10" x14ac:dyDescent="0.25">
      <c r="B40" s="1" t="s">
        <v>119</v>
      </c>
      <c r="C40" s="20" t="s">
        <v>120</v>
      </c>
      <c r="D40" s="29" t="s">
        <v>121</v>
      </c>
      <c r="E40" s="30"/>
      <c r="F40" s="30" t="s">
        <v>122</v>
      </c>
      <c r="G40" s="31">
        <v>1393</v>
      </c>
      <c r="H40" s="32">
        <v>48.64</v>
      </c>
      <c r="I40" s="32">
        <v>1.28</v>
      </c>
      <c r="J40" s="33"/>
    </row>
    <row r="41" spans="2:10" x14ac:dyDescent="0.25">
      <c r="B41" s="1" t="s">
        <v>123</v>
      </c>
      <c r="C41" s="20" t="s">
        <v>124</v>
      </c>
      <c r="D41" s="29" t="s">
        <v>125</v>
      </c>
      <c r="E41" s="30"/>
      <c r="F41" s="30" t="s">
        <v>126</v>
      </c>
      <c r="G41" s="31">
        <v>49097</v>
      </c>
      <c r="H41" s="32">
        <v>37.35</v>
      </c>
      <c r="I41" s="32">
        <v>0.98</v>
      </c>
      <c r="J41" s="33"/>
    </row>
    <row r="42" spans="2:10" x14ac:dyDescent="0.25">
      <c r="C42" s="28" t="s">
        <v>127</v>
      </c>
      <c r="D42" s="29"/>
      <c r="E42" s="30"/>
      <c r="F42" s="30"/>
      <c r="G42" s="31"/>
      <c r="H42" s="35">
        <v>3729.63</v>
      </c>
      <c r="I42" s="35">
        <v>98.16</v>
      </c>
      <c r="J42" s="33"/>
    </row>
    <row r="43" spans="2:10" x14ac:dyDescent="0.25">
      <c r="C43" s="20"/>
      <c r="D43" s="29"/>
      <c r="E43" s="30"/>
      <c r="F43" s="30"/>
      <c r="G43" s="31"/>
      <c r="H43" s="32"/>
      <c r="I43" s="32"/>
      <c r="J43" s="33"/>
    </row>
    <row r="44" spans="2:10" x14ac:dyDescent="0.25">
      <c r="C44" s="28" t="s">
        <v>128</v>
      </c>
      <c r="D44" s="29"/>
      <c r="E44" s="30"/>
      <c r="F44" s="30"/>
      <c r="G44" s="31"/>
      <c r="H44" s="32" t="s">
        <v>129</v>
      </c>
      <c r="I44" s="32" t="s">
        <v>129</v>
      </c>
      <c r="J44" s="33"/>
    </row>
    <row r="45" spans="2:10" x14ac:dyDescent="0.25">
      <c r="C45" s="20"/>
      <c r="D45" s="29"/>
      <c r="E45" s="30"/>
      <c r="F45" s="30"/>
      <c r="G45" s="31"/>
      <c r="H45" s="32"/>
      <c r="I45" s="32"/>
      <c r="J45" s="33"/>
    </row>
    <row r="46" spans="2:10" x14ac:dyDescent="0.25">
      <c r="C46" s="28" t="s">
        <v>130</v>
      </c>
      <c r="D46" s="29"/>
      <c r="E46" s="30"/>
      <c r="F46" s="30"/>
      <c r="G46" s="31"/>
      <c r="H46" s="32" t="s">
        <v>129</v>
      </c>
      <c r="I46" s="32" t="s">
        <v>129</v>
      </c>
      <c r="J46" s="33"/>
    </row>
    <row r="47" spans="2:10" x14ac:dyDescent="0.25">
      <c r="C47" s="20"/>
      <c r="D47" s="29"/>
      <c r="E47" s="30"/>
      <c r="F47" s="30"/>
      <c r="G47" s="31"/>
      <c r="H47" s="32"/>
      <c r="I47" s="32"/>
      <c r="J47" s="33"/>
    </row>
    <row r="48" spans="2:10" x14ac:dyDescent="0.25">
      <c r="C48" s="28" t="s">
        <v>131</v>
      </c>
      <c r="D48" s="29"/>
      <c r="E48" s="30"/>
      <c r="F48" s="30"/>
      <c r="G48" s="31"/>
      <c r="H48" s="32"/>
      <c r="I48" s="32"/>
      <c r="J48" s="33"/>
    </row>
    <row r="49" spans="3:10" x14ac:dyDescent="0.25">
      <c r="C49" s="20"/>
      <c r="D49" s="29"/>
      <c r="E49" s="30"/>
      <c r="F49" s="30"/>
      <c r="G49" s="31"/>
      <c r="H49" s="32"/>
      <c r="I49" s="32"/>
      <c r="J49" s="33"/>
    </row>
    <row r="50" spans="3:10" x14ac:dyDescent="0.25">
      <c r="C50" s="28" t="s">
        <v>132</v>
      </c>
      <c r="D50" s="29"/>
      <c r="E50" s="30"/>
      <c r="F50" s="30"/>
      <c r="G50" s="31"/>
      <c r="H50" s="32" t="s">
        <v>129</v>
      </c>
      <c r="I50" s="32" t="s">
        <v>129</v>
      </c>
      <c r="J50" s="33"/>
    </row>
    <row r="51" spans="3:10" x14ac:dyDescent="0.25">
      <c r="C51" s="20"/>
      <c r="D51" s="29"/>
      <c r="E51" s="30"/>
      <c r="F51" s="30"/>
      <c r="G51" s="31"/>
      <c r="H51" s="32"/>
      <c r="I51" s="32"/>
      <c r="J51" s="33"/>
    </row>
    <row r="52" spans="3:10" x14ac:dyDescent="0.25">
      <c r="C52" s="28" t="s">
        <v>133</v>
      </c>
      <c r="D52" s="29"/>
      <c r="E52" s="30"/>
      <c r="F52" s="30"/>
      <c r="G52" s="31"/>
      <c r="H52" s="32" t="s">
        <v>129</v>
      </c>
      <c r="I52" s="32" t="s">
        <v>129</v>
      </c>
      <c r="J52" s="33"/>
    </row>
    <row r="53" spans="3:10" x14ac:dyDescent="0.25">
      <c r="C53" s="20"/>
      <c r="D53" s="29"/>
      <c r="E53" s="30"/>
      <c r="F53" s="30"/>
      <c r="G53" s="31"/>
      <c r="H53" s="32"/>
      <c r="I53" s="32"/>
      <c r="J53" s="33"/>
    </row>
    <row r="54" spans="3:10" x14ac:dyDescent="0.25">
      <c r="C54" s="28" t="s">
        <v>134</v>
      </c>
      <c r="D54" s="29"/>
      <c r="E54" s="30"/>
      <c r="F54" s="30"/>
      <c r="G54" s="31"/>
      <c r="H54" s="32" t="s">
        <v>129</v>
      </c>
      <c r="I54" s="32" t="s">
        <v>129</v>
      </c>
      <c r="J54" s="33"/>
    </row>
    <row r="55" spans="3:10" x14ac:dyDescent="0.25">
      <c r="C55" s="20"/>
      <c r="D55" s="29"/>
      <c r="E55" s="30"/>
      <c r="F55" s="30"/>
      <c r="G55" s="31"/>
      <c r="H55" s="32"/>
      <c r="I55" s="32"/>
      <c r="J55" s="33"/>
    </row>
    <row r="56" spans="3:10" x14ac:dyDescent="0.25">
      <c r="C56" s="28" t="s">
        <v>135</v>
      </c>
      <c r="D56" s="29"/>
      <c r="E56" s="30"/>
      <c r="F56" s="30"/>
      <c r="G56" s="31"/>
      <c r="H56" s="32" t="s">
        <v>129</v>
      </c>
      <c r="I56" s="32" t="s">
        <v>129</v>
      </c>
      <c r="J56" s="33"/>
    </row>
    <row r="57" spans="3:10" x14ac:dyDescent="0.25">
      <c r="C57" s="20"/>
      <c r="D57" s="29"/>
      <c r="E57" s="30"/>
      <c r="F57" s="30"/>
      <c r="G57" s="31"/>
      <c r="H57" s="32"/>
      <c r="I57" s="32"/>
      <c r="J57" s="33"/>
    </row>
    <row r="58" spans="3:10" x14ac:dyDescent="0.25">
      <c r="C58" s="28" t="s">
        <v>136</v>
      </c>
      <c r="D58" s="29"/>
      <c r="E58" s="30"/>
      <c r="F58" s="30"/>
      <c r="G58" s="31"/>
      <c r="H58" s="32" t="s">
        <v>129</v>
      </c>
      <c r="I58" s="32" t="s">
        <v>129</v>
      </c>
      <c r="J58" s="33"/>
    </row>
    <row r="59" spans="3:10" x14ac:dyDescent="0.25">
      <c r="C59" s="20"/>
      <c r="D59" s="29"/>
      <c r="E59" s="30"/>
      <c r="F59" s="30"/>
      <c r="G59" s="31"/>
      <c r="H59" s="32"/>
      <c r="I59" s="32"/>
      <c r="J59" s="33"/>
    </row>
    <row r="60" spans="3:10" x14ac:dyDescent="0.25">
      <c r="C60" s="28" t="s">
        <v>137</v>
      </c>
      <c r="D60" s="29"/>
      <c r="E60" s="30"/>
      <c r="F60" s="30"/>
      <c r="G60" s="31"/>
      <c r="H60" s="32"/>
      <c r="I60" s="32"/>
      <c r="J60" s="33"/>
    </row>
    <row r="61" spans="3:10" x14ac:dyDescent="0.25">
      <c r="C61" s="20"/>
      <c r="D61" s="29"/>
      <c r="E61" s="30"/>
      <c r="F61" s="30"/>
      <c r="G61" s="31"/>
      <c r="H61" s="32"/>
      <c r="I61" s="32"/>
      <c r="J61" s="33"/>
    </row>
    <row r="62" spans="3:10" x14ac:dyDescent="0.25">
      <c r="C62" s="28" t="s">
        <v>138</v>
      </c>
      <c r="D62" s="29"/>
      <c r="E62" s="30"/>
      <c r="F62" s="30"/>
      <c r="G62" s="31"/>
      <c r="H62" s="32" t="s">
        <v>129</v>
      </c>
      <c r="I62" s="32" t="s">
        <v>129</v>
      </c>
      <c r="J62" s="33"/>
    </row>
    <row r="63" spans="3:10" x14ac:dyDescent="0.25">
      <c r="C63" s="20"/>
      <c r="D63" s="29"/>
      <c r="E63" s="30"/>
      <c r="F63" s="30"/>
      <c r="G63" s="31"/>
      <c r="H63" s="32"/>
      <c r="I63" s="32"/>
      <c r="J63" s="33"/>
    </row>
    <row r="64" spans="3:10" x14ac:dyDescent="0.25">
      <c r="C64" s="28" t="s">
        <v>139</v>
      </c>
      <c r="D64" s="29"/>
      <c r="E64" s="30"/>
      <c r="F64" s="30"/>
      <c r="G64" s="31"/>
      <c r="H64" s="32" t="s">
        <v>129</v>
      </c>
      <c r="I64" s="32" t="s">
        <v>129</v>
      </c>
      <c r="J64" s="33"/>
    </row>
    <row r="65" spans="3:10" x14ac:dyDescent="0.25">
      <c r="C65" s="20"/>
      <c r="D65" s="29"/>
      <c r="E65" s="30"/>
      <c r="F65" s="30"/>
      <c r="G65" s="31"/>
      <c r="H65" s="32"/>
      <c r="I65" s="32"/>
      <c r="J65" s="33"/>
    </row>
    <row r="66" spans="3:10" x14ac:dyDescent="0.25">
      <c r="C66" s="28" t="s">
        <v>140</v>
      </c>
      <c r="D66" s="29"/>
      <c r="E66" s="30"/>
      <c r="F66" s="30"/>
      <c r="G66" s="31"/>
      <c r="H66" s="32" t="s">
        <v>129</v>
      </c>
      <c r="I66" s="32" t="s">
        <v>129</v>
      </c>
      <c r="J66" s="33"/>
    </row>
    <row r="67" spans="3:10" x14ac:dyDescent="0.25">
      <c r="C67" s="20"/>
      <c r="D67" s="29"/>
      <c r="E67" s="30"/>
      <c r="F67" s="30"/>
      <c r="G67" s="31"/>
      <c r="H67" s="32"/>
      <c r="I67" s="32"/>
      <c r="J67" s="33"/>
    </row>
    <row r="68" spans="3:10" x14ac:dyDescent="0.25">
      <c r="C68" s="28" t="s">
        <v>141</v>
      </c>
      <c r="D68" s="29"/>
      <c r="E68" s="30"/>
      <c r="F68" s="30"/>
      <c r="G68" s="31"/>
      <c r="H68" s="32" t="s">
        <v>129</v>
      </c>
      <c r="I68" s="32" t="s">
        <v>129</v>
      </c>
      <c r="J68" s="33"/>
    </row>
    <row r="69" spans="3:10" x14ac:dyDescent="0.25">
      <c r="C69" s="20"/>
      <c r="D69" s="29"/>
      <c r="E69" s="30"/>
      <c r="F69" s="30"/>
      <c r="G69" s="31"/>
      <c r="H69" s="32"/>
      <c r="I69" s="32"/>
      <c r="J69" s="33"/>
    </row>
    <row r="70" spans="3:10" x14ac:dyDescent="0.25">
      <c r="C70" s="28" t="s">
        <v>142</v>
      </c>
      <c r="D70" s="29"/>
      <c r="E70" s="30"/>
      <c r="F70" s="30"/>
      <c r="G70" s="31"/>
      <c r="H70" s="32"/>
      <c r="I70" s="32"/>
      <c r="J70" s="33"/>
    </row>
    <row r="71" spans="3:10" x14ac:dyDescent="0.25">
      <c r="C71" s="20"/>
      <c r="D71" s="29"/>
      <c r="E71" s="30"/>
      <c r="F71" s="30"/>
      <c r="G71" s="31"/>
      <c r="H71" s="32"/>
      <c r="I71" s="32"/>
      <c r="J71" s="33"/>
    </row>
    <row r="72" spans="3:10" x14ac:dyDescent="0.25">
      <c r="C72" s="28" t="s">
        <v>143</v>
      </c>
      <c r="D72" s="29"/>
      <c r="E72" s="30"/>
      <c r="F72" s="30"/>
      <c r="G72" s="31"/>
      <c r="H72" s="32" t="s">
        <v>129</v>
      </c>
      <c r="I72" s="32" t="s">
        <v>129</v>
      </c>
      <c r="J72" s="33"/>
    </row>
    <row r="73" spans="3:10" x14ac:dyDescent="0.25">
      <c r="C73" s="20"/>
      <c r="D73" s="29"/>
      <c r="E73" s="30"/>
      <c r="F73" s="30"/>
      <c r="G73" s="31"/>
      <c r="H73" s="32"/>
      <c r="I73" s="32"/>
      <c r="J73" s="33"/>
    </row>
    <row r="74" spans="3:10" x14ac:dyDescent="0.25">
      <c r="C74" s="28" t="s">
        <v>144</v>
      </c>
      <c r="D74" s="29"/>
      <c r="E74" s="30"/>
      <c r="F74" s="30"/>
      <c r="G74" s="31"/>
      <c r="H74" s="32" t="s">
        <v>129</v>
      </c>
      <c r="I74" s="32" t="s">
        <v>129</v>
      </c>
      <c r="J74" s="33"/>
    </row>
    <row r="75" spans="3:10" x14ac:dyDescent="0.25">
      <c r="C75" s="20"/>
      <c r="D75" s="29"/>
      <c r="E75" s="30"/>
      <c r="F75" s="30"/>
      <c r="G75" s="31"/>
      <c r="H75" s="32"/>
      <c r="I75" s="32"/>
      <c r="J75" s="33"/>
    </row>
    <row r="76" spans="3:10" x14ac:dyDescent="0.25">
      <c r="C76" s="28" t="s">
        <v>145</v>
      </c>
      <c r="D76" s="29"/>
      <c r="E76" s="30"/>
      <c r="F76" s="30"/>
      <c r="G76" s="31"/>
      <c r="H76" s="32" t="s">
        <v>129</v>
      </c>
      <c r="I76" s="32" t="s">
        <v>129</v>
      </c>
      <c r="J76" s="33"/>
    </row>
    <row r="77" spans="3:10" x14ac:dyDescent="0.25">
      <c r="C77" s="20"/>
      <c r="D77" s="29"/>
      <c r="E77" s="30"/>
      <c r="F77" s="30"/>
      <c r="G77" s="31"/>
      <c r="H77" s="32"/>
      <c r="I77" s="32"/>
      <c r="J77" s="33"/>
    </row>
    <row r="78" spans="3:10" x14ac:dyDescent="0.25">
      <c r="C78" s="28" t="s">
        <v>146</v>
      </c>
      <c r="D78" s="29"/>
      <c r="E78" s="30"/>
      <c r="F78" s="30"/>
      <c r="G78" s="31"/>
      <c r="H78" s="32" t="s">
        <v>129</v>
      </c>
      <c r="I78" s="32" t="s">
        <v>129</v>
      </c>
      <c r="J78" s="33"/>
    </row>
    <row r="79" spans="3:10" x14ac:dyDescent="0.25">
      <c r="C79" s="20"/>
      <c r="D79" s="29"/>
      <c r="E79" s="30"/>
      <c r="F79" s="30"/>
      <c r="G79" s="31"/>
      <c r="H79" s="32"/>
      <c r="I79" s="32"/>
      <c r="J79" s="33"/>
    </row>
    <row r="80" spans="3:10" x14ac:dyDescent="0.25">
      <c r="C80" s="28" t="s">
        <v>147</v>
      </c>
      <c r="D80" s="29"/>
      <c r="E80" s="30"/>
      <c r="F80" s="30"/>
      <c r="G80" s="31"/>
      <c r="H80" s="32" t="s">
        <v>129</v>
      </c>
      <c r="I80" s="32" t="s">
        <v>129</v>
      </c>
      <c r="J80" s="33"/>
    </row>
    <row r="81" spans="1:10" x14ac:dyDescent="0.25">
      <c r="C81" s="20"/>
      <c r="D81" s="29"/>
      <c r="E81" s="30"/>
      <c r="F81" s="30"/>
      <c r="G81" s="31"/>
      <c r="H81" s="32"/>
      <c r="I81" s="32"/>
      <c r="J81" s="33"/>
    </row>
    <row r="82" spans="1:10" x14ac:dyDescent="0.25">
      <c r="A82" s="26"/>
      <c r="B82" s="27"/>
      <c r="C82" s="28" t="s">
        <v>148</v>
      </c>
      <c r="D82" s="29"/>
      <c r="E82" s="30"/>
      <c r="F82" s="30"/>
      <c r="G82" s="31"/>
      <c r="H82" s="32"/>
      <c r="I82" s="32"/>
      <c r="J82" s="33"/>
    </row>
    <row r="83" spans="1:10" x14ac:dyDescent="0.25">
      <c r="B83" s="1"/>
      <c r="C83" s="20" t="s">
        <v>149</v>
      </c>
      <c r="D83" s="29"/>
      <c r="E83" s="30"/>
      <c r="F83" s="30"/>
      <c r="G83" s="31"/>
      <c r="H83" s="32">
        <v>70.34</v>
      </c>
      <c r="I83" s="32">
        <v>1.84</v>
      </c>
      <c r="J83" s="33"/>
    </row>
    <row r="84" spans="1:10" x14ac:dyDescent="0.25">
      <c r="C84" s="28" t="s">
        <v>127</v>
      </c>
      <c r="D84" s="29"/>
      <c r="E84" s="30"/>
      <c r="F84" s="30"/>
      <c r="G84" s="31"/>
      <c r="H84" s="35">
        <v>70.34</v>
      </c>
      <c r="I84" s="35">
        <v>1.84</v>
      </c>
      <c r="J84" s="33"/>
    </row>
    <row r="85" spans="1:10" x14ac:dyDescent="0.25">
      <c r="C85" s="20"/>
      <c r="D85" s="29"/>
      <c r="E85" s="30"/>
      <c r="F85" s="30"/>
      <c r="G85" s="31"/>
      <c r="H85" s="32"/>
      <c r="I85" s="32"/>
      <c r="J85" s="33"/>
    </row>
    <row r="86" spans="1:10" ht="14.25" thickBot="1" x14ac:dyDescent="0.3">
      <c r="C86" s="36" t="s">
        <v>150</v>
      </c>
      <c r="D86" s="37"/>
      <c r="E86" s="38"/>
      <c r="F86" s="39"/>
      <c r="G86" s="40"/>
      <c r="H86" s="41">
        <v>3799.97</v>
      </c>
      <c r="I86" s="41">
        <f>SUMIFS(I:I,C:C,"Total")</f>
        <v>100</v>
      </c>
      <c r="J86" s="42"/>
    </row>
    <row r="89" spans="1:10" x14ac:dyDescent="0.25">
      <c r="C89" s="11" t="s">
        <v>151</v>
      </c>
    </row>
    <row r="90" spans="1:10" x14ac:dyDescent="0.25">
      <c r="C90" s="2" t="s">
        <v>152</v>
      </c>
    </row>
    <row r="91" spans="1:10" x14ac:dyDescent="0.25">
      <c r="C91" s="2" t="s">
        <v>153</v>
      </c>
    </row>
    <row r="92" spans="1:10" x14ac:dyDescent="0.25">
      <c r="C92" s="2" t="s">
        <v>154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06C5A-26E7-4F5A-8531-B22C8FC136BB}">
  <dimension ref="B4:J18"/>
  <sheetViews>
    <sheetView workbookViewId="0"/>
  </sheetViews>
  <sheetFormatPr defaultRowHeight="15" x14ac:dyDescent="0.25"/>
  <cols>
    <col min="2" max="2" width="50.42578125" customWidth="1"/>
    <col min="3" max="3" width="7.42578125" bestFit="1" customWidth="1"/>
    <col min="4" max="4" width="11" bestFit="1" customWidth="1"/>
    <col min="5" max="5" width="7.42578125" bestFit="1" customWidth="1"/>
    <col min="6" max="6" width="11" bestFit="1" customWidth="1"/>
    <col min="7" max="7" width="7.42578125" bestFit="1" customWidth="1"/>
    <col min="8" max="8" width="11" bestFit="1" customWidth="1"/>
    <col min="9" max="9" width="7.42578125" bestFit="1" customWidth="1"/>
    <col min="10" max="10" width="15.28515625" customWidth="1"/>
  </cols>
  <sheetData>
    <row r="4" spans="2:10" ht="15.75" x14ac:dyDescent="0.25">
      <c r="B4" s="43" t="s">
        <v>155</v>
      </c>
      <c r="C4" s="44"/>
      <c r="D4" s="44"/>
      <c r="E4" s="44"/>
      <c r="F4" s="44"/>
      <c r="G4" s="44"/>
      <c r="H4" s="44"/>
      <c r="I4" s="44"/>
      <c r="J4" s="44"/>
    </row>
    <row r="5" spans="2:10" x14ac:dyDescent="0.25">
      <c r="B5" s="45" t="s">
        <v>156</v>
      </c>
      <c r="C5" s="50" t="s">
        <v>157</v>
      </c>
      <c r="D5" s="50"/>
      <c r="E5" s="50" t="s">
        <v>158</v>
      </c>
      <c r="F5" s="50"/>
      <c r="G5" s="50" t="s">
        <v>159</v>
      </c>
      <c r="H5" s="50"/>
      <c r="I5" s="50" t="s">
        <v>160</v>
      </c>
      <c r="J5" s="50"/>
    </row>
    <row r="6" spans="2:10" ht="63.75" x14ac:dyDescent="0.25">
      <c r="B6" s="46"/>
      <c r="C6" s="47" t="s">
        <v>161</v>
      </c>
      <c r="D6" s="47" t="s">
        <v>162</v>
      </c>
      <c r="E6" s="47" t="s">
        <v>161</v>
      </c>
      <c r="F6" s="47" t="s">
        <v>162</v>
      </c>
      <c r="G6" s="47" t="s">
        <v>161</v>
      </c>
      <c r="H6" s="47" t="s">
        <v>162</v>
      </c>
      <c r="I6" s="47" t="s">
        <v>161</v>
      </c>
      <c r="J6" s="47" t="s">
        <v>162</v>
      </c>
    </row>
    <row r="7" spans="2:10" x14ac:dyDescent="0.25">
      <c r="B7" s="48" t="s">
        <v>163</v>
      </c>
      <c r="C7" s="49">
        <v>9.6332342074434418</v>
      </c>
      <c r="D7" s="49">
        <v>10963.323420744346</v>
      </c>
      <c r="E7" s="49">
        <v>15.240990830097157</v>
      </c>
      <c r="F7" s="49">
        <v>15322.418136020149</v>
      </c>
      <c r="G7" s="49">
        <v>11.042669964374197</v>
      </c>
      <c r="H7" s="49">
        <v>16887.84008883953</v>
      </c>
      <c r="I7" s="49">
        <v>10.487683362990396</v>
      </c>
      <c r="J7" s="49">
        <v>121660</v>
      </c>
    </row>
    <row r="8" spans="2:10" x14ac:dyDescent="0.25">
      <c r="B8" s="48" t="s">
        <v>164</v>
      </c>
      <c r="C8" s="49">
        <v>10.097316648878518</v>
      </c>
      <c r="D8" s="49">
        <v>11009.731664887851</v>
      </c>
      <c r="E8" s="49">
        <v>18.186739765417581</v>
      </c>
      <c r="F8" s="49">
        <v>16508.448445889193</v>
      </c>
      <c r="G8" s="49">
        <v>14.757802026127308</v>
      </c>
      <c r="H8" s="49">
        <v>19902.659256165807</v>
      </c>
      <c r="I8" s="49">
        <v>12.168551160322272</v>
      </c>
      <c r="J8" s="49">
        <v>272221.01222660852</v>
      </c>
    </row>
    <row r="9" spans="2:10" x14ac:dyDescent="0.25">
      <c r="B9" s="48" t="s">
        <v>165</v>
      </c>
      <c r="C9" s="49">
        <v>8.4665975705390917</v>
      </c>
      <c r="D9" s="49">
        <v>10846.659757053909</v>
      </c>
      <c r="E9" s="49">
        <v>17.118015846042802</v>
      </c>
      <c r="F9" s="49">
        <v>16064.644470298446</v>
      </c>
      <c r="G9" s="49">
        <v>14.451605518387399</v>
      </c>
      <c r="H9" s="49">
        <v>19638.551254443326</v>
      </c>
      <c r="I9" s="49">
        <v>12.215756018287816</v>
      </c>
      <c r="J9" s="49">
        <v>275536.56896194682</v>
      </c>
    </row>
    <row r="10" spans="2:10" x14ac:dyDescent="0.25">
      <c r="B10" s="48" t="s">
        <v>166</v>
      </c>
      <c r="C10" s="51">
        <v>110.97</v>
      </c>
      <c r="D10" s="52"/>
      <c r="E10" s="51">
        <v>79.400000000000006</v>
      </c>
      <c r="F10" s="52"/>
      <c r="G10" s="51">
        <v>72.040000000000006</v>
      </c>
      <c r="H10" s="52"/>
      <c r="I10" s="51">
        <v>10</v>
      </c>
      <c r="J10" s="52"/>
    </row>
    <row r="12" spans="2:10" ht="15.75" x14ac:dyDescent="0.25">
      <c r="B12" s="43" t="s">
        <v>167</v>
      </c>
      <c r="C12" s="44"/>
      <c r="D12" s="44"/>
      <c r="E12" s="44"/>
      <c r="F12" s="44"/>
      <c r="G12" s="44"/>
      <c r="H12" s="44"/>
      <c r="I12" s="44"/>
      <c r="J12" s="44"/>
    </row>
    <row r="13" spans="2:10" x14ac:dyDescent="0.25">
      <c r="B13" s="45" t="s">
        <v>156</v>
      </c>
      <c r="C13" s="50" t="s">
        <v>157</v>
      </c>
      <c r="D13" s="50"/>
      <c r="E13" s="50" t="s">
        <v>158</v>
      </c>
      <c r="F13" s="50"/>
      <c r="G13" s="50" t="s">
        <v>159</v>
      </c>
      <c r="H13" s="50"/>
      <c r="I13" s="50" t="s">
        <v>160</v>
      </c>
      <c r="J13" s="50"/>
    </row>
    <row r="14" spans="2:10" ht="63.75" x14ac:dyDescent="0.25">
      <c r="B14" s="46"/>
      <c r="C14" s="47" t="s">
        <v>161</v>
      </c>
      <c r="D14" s="47" t="s">
        <v>162</v>
      </c>
      <c r="E14" s="47" t="s">
        <v>161</v>
      </c>
      <c r="F14" s="47" t="s">
        <v>162</v>
      </c>
      <c r="G14" s="47" t="s">
        <v>161</v>
      </c>
      <c r="H14" s="47" t="s">
        <v>162</v>
      </c>
      <c r="I14" s="47" t="s">
        <v>161</v>
      </c>
      <c r="J14" s="47" t="s">
        <v>162</v>
      </c>
    </row>
    <row r="15" spans="2:10" x14ac:dyDescent="0.25">
      <c r="B15" s="48" t="s">
        <v>163</v>
      </c>
      <c r="C15" s="49">
        <v>9.7231715652768216</v>
      </c>
      <c r="D15" s="49">
        <v>10972.317156527681</v>
      </c>
      <c r="E15" s="49">
        <v>15.333394425727519</v>
      </c>
      <c r="F15" s="49">
        <v>15359.406769525174</v>
      </c>
      <c r="G15" s="49">
        <v>11.195927749718603</v>
      </c>
      <c r="H15" s="49">
        <v>17004.766949152541</v>
      </c>
      <c r="I15" s="49">
        <v>10.192154732824088</v>
      </c>
      <c r="J15" s="49">
        <v>28845.462713387238</v>
      </c>
    </row>
    <row r="16" spans="2:10" x14ac:dyDescent="0.25">
      <c r="B16" s="48" t="s">
        <v>164</v>
      </c>
      <c r="C16" s="49">
        <v>10.097316648878518</v>
      </c>
      <c r="D16" s="49">
        <v>11009.731664887851</v>
      </c>
      <c r="E16" s="49">
        <v>18.186739765417581</v>
      </c>
      <c r="F16" s="49">
        <v>16508.448445889193</v>
      </c>
      <c r="G16" s="49">
        <v>14.757802026127308</v>
      </c>
      <c r="H16" s="49">
        <v>19902.659256165807</v>
      </c>
      <c r="I16" s="49">
        <v>13.453888866555342</v>
      </c>
      <c r="J16" s="49">
        <v>39660.42482467994</v>
      </c>
    </row>
    <row r="17" spans="2:10" x14ac:dyDescent="0.25">
      <c r="B17" s="48" t="s">
        <v>165</v>
      </c>
      <c r="C17" s="49">
        <v>8.4665975705390917</v>
      </c>
      <c r="D17" s="49">
        <v>10846.659757053909</v>
      </c>
      <c r="E17" s="49">
        <v>17.118015846042802</v>
      </c>
      <c r="F17" s="49">
        <v>16064.644470298446</v>
      </c>
      <c r="G17" s="49">
        <v>14.451605518387399</v>
      </c>
      <c r="H17" s="49">
        <v>19638.551254443326</v>
      </c>
      <c r="I17" s="49">
        <v>13.117559889731956</v>
      </c>
      <c r="J17" s="49">
        <v>38395.817976058228</v>
      </c>
    </row>
    <row r="18" spans="2:10" x14ac:dyDescent="0.25">
      <c r="B18" s="48" t="s">
        <v>168</v>
      </c>
      <c r="C18" s="51">
        <v>117.04</v>
      </c>
      <c r="D18" s="52"/>
      <c r="E18" s="51">
        <v>83.61</v>
      </c>
      <c r="F18" s="52"/>
      <c r="G18" s="51">
        <v>75.52</v>
      </c>
      <c r="H18" s="52"/>
      <c r="I18" s="51">
        <v>44.52</v>
      </c>
      <c r="J18" s="52"/>
    </row>
  </sheetData>
  <mergeCells count="16">
    <mergeCell ref="C13:D13"/>
    <mergeCell ref="E13:F13"/>
    <mergeCell ref="G13:H13"/>
    <mergeCell ref="I13:J13"/>
    <mergeCell ref="C18:D18"/>
    <mergeCell ref="E18:F18"/>
    <mergeCell ref="G18:H18"/>
    <mergeCell ref="I18:J18"/>
    <mergeCell ref="C5:D5"/>
    <mergeCell ref="E5:F5"/>
    <mergeCell ref="G5:H5"/>
    <mergeCell ref="I5:J5"/>
    <mergeCell ref="C10:D10"/>
    <mergeCell ref="E10:F10"/>
    <mergeCell ref="G10:H10"/>
    <mergeCell ref="I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22</vt:i4>
      </vt:variant>
    </vt:vector>
  </HeadingPairs>
  <TitlesOfParts>
    <vt:vector size="24" baseType="lpstr">
      <vt:lpstr>TBF</vt:lpstr>
      <vt:lpstr>TBF-Performance</vt:lpstr>
      <vt:lpstr>XDO_?AUM?</vt:lpstr>
      <vt:lpstr>XDO_?CLASS_3?</vt:lpstr>
      <vt:lpstr>XDO_?CLASS_4?</vt:lpstr>
      <vt:lpstr>XDO_?CS_1?</vt:lpstr>
      <vt:lpstr>XDO_?CS_2?</vt:lpstr>
      <vt:lpstr>XDO_?FINAL_ISIN?</vt:lpstr>
      <vt:lpstr>XDO_?FINAL_MV?</vt:lpstr>
      <vt:lpstr>XDO_?FINAL_NAME?</vt:lpstr>
      <vt:lpstr>XDO_?FINAL_PER_NET?</vt:lpstr>
      <vt:lpstr>XDO_?FINAL_QUANTITE?</vt:lpstr>
      <vt:lpstr>XDO_?IND_01?</vt:lpstr>
      <vt:lpstr>XDO_?LONG_DESC?</vt:lpstr>
      <vt:lpstr>XDO_?NAMCNAME?</vt:lpstr>
      <vt:lpstr>XDO_?NOVAL?</vt:lpstr>
      <vt:lpstr>XDO_?NPTF?</vt:lpstr>
      <vt:lpstr>XDO_?RATING?</vt:lpstr>
      <vt:lpstr>XDO_?REMARKS?</vt:lpstr>
      <vt:lpstr>XDO_?TDATE?</vt:lpstr>
      <vt:lpstr>XDO_?TITL?</vt:lpstr>
      <vt:lpstr>XDO_GROUP_?G_2?</vt:lpstr>
      <vt:lpstr>XDO_GROUP_?G_3?</vt:lpstr>
      <vt:lpstr>XDO_GROUP_?G_4?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sbisgfa.edelweissmf@sbisgcsl.co.in</dc:creator>
  <cp:lastModifiedBy>Madhura Shinde</cp:lastModifiedBy>
  <dcterms:created xsi:type="dcterms:W3CDTF">2023-12-01T11:45:20Z</dcterms:created>
  <dcterms:modified xsi:type="dcterms:W3CDTF">2023-12-07T04:04:12Z</dcterms:modified>
</cp:coreProperties>
</file>