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Performance'!$C$8:$C$55</definedName>
    <definedName name="XDO_?FINAL_ISIN?7?">'TISF-Risk-O-Meter &amp; Performance'!$D$10:$D$55</definedName>
    <definedName name="XDO_?FINAL_ISIN?8?">'TISF-Risk-O-Meter &amp; Performance'!$D$10:$D$97</definedName>
    <definedName name="XDO_?FINAL_MV?7?">'TISF-Risk-O-Meter &amp; Performance'!$H$10:$H$55</definedName>
    <definedName name="XDO_?FINAL_MV?8?">'TISF-Risk-O-Meter &amp; Performance'!$H$10:$H$97</definedName>
    <definedName name="XDO_?FINAL_NAME?7?">'TISF-Risk-O-Meter &amp; Performance'!$C$10:$C$55</definedName>
    <definedName name="XDO_?FINAL_NAME?8?">'TISF-Risk-O-Meter &amp; Performance'!$C$10:$C$97</definedName>
    <definedName name="XDO_?FINAL_PER_NET?7?">'TISF-Risk-O-Meter &amp; Performance'!$I$10:$I$55</definedName>
    <definedName name="XDO_?FINAL_PER_NET?8?">'TISF-Risk-O-Meter &amp; Performance'!$I$10:$I$97</definedName>
    <definedName name="XDO_?FINAL_QUANTITE?7?">'TISF-Risk-O-Meter &amp; Performance'!$G$10:$G$55</definedName>
    <definedName name="XDO_?FINAL_QUANTITE?8?">'TISF-Risk-O-Meter &amp; Performance'!$G$10:$G$97</definedName>
    <definedName name="XDO_?IND_01?7?">'TISF-Risk-O-Meter &amp; Performance'!$F$10:$F$55</definedName>
    <definedName name="XDO_?IND_01?8?">'TISF-Risk-O-Meter &amp; Performance'!$F$10:$F$97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Performance'!$B$10:$B$55</definedName>
    <definedName name="XDO_?NOVAL?8?">'TISF-Risk-O-Meter &amp; Performance'!$B$10:$B$97</definedName>
    <definedName name="XDO_?NPTF?4?">'TISF-Risk-O-Meter &amp; Performance'!$D$2:$D$55</definedName>
    <definedName name="XDO_?RATING?7?">'TISF-Risk-O-Meter &amp; Performance'!$E$10:$E$55</definedName>
    <definedName name="XDO_?RATING?8?">'TISF-Risk-O-Meter &amp; Performance'!$E$10:$E$97</definedName>
    <definedName name="XDO_?REMARKS?7?">'TISF-Risk-O-Meter &amp; Performance'!$J$10:$J$55</definedName>
    <definedName name="XDO_?REMARKS?8?">'TISF-Risk-O-Meter &amp; Performance'!$J$10:$J$97</definedName>
    <definedName name="XDO_?TITL?4?">'TISF-Risk-O-Meter &amp; Performance'!$A$8:$A$55</definedName>
    <definedName name="XDO_GROUP_?G_2?4?">'TISF-Risk-O-Meter &amp; Performance'!$2:$100</definedName>
    <definedName name="XDO_GROUP_?G_3?4?">'TISF-Risk-O-Meter &amp; Performance'!$8:$99</definedName>
    <definedName name="XDO_GROUP_?G_4?7?">'TISF-Risk-O-Meter &amp; Performance'!$B$10:$IV$55</definedName>
    <definedName name="XDO_GROUP_?G_4?8?">'TISF-Risk-O-Meter &amp; Performance'!$B$97:$IV$97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0" i="1"/>
</calcChain>
</file>

<file path=xl/sharedStrings.xml><?xml version="1.0" encoding="utf-8"?>
<sst xmlns="http://schemas.openxmlformats.org/spreadsheetml/2006/main" count="295" uniqueCount="217">
  <si>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</si>
  <si>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</si>
  <si>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</si>
  <si>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</si>
  <si>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</si>
  <si>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</si>
  <si>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</si>
  <si>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</si>
  <si>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</si>
  <si>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</si>
  <si>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</si>
  <si>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</si>
  <si>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</si>
  <si>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</si>
  <si>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</si>
  <si>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</si>
  <si>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</si>
  <si>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</si>
  <si>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</si>
  <si>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</si>
  <si>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</si>
  <si>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</si>
  <si>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</si>
  <si>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</si>
  <si>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</si>
  <si>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</si>
  <si>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</si>
  <si>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100016</t>
  </si>
  <si>
    <t>Gujarat Mineral Development Corporation Ltd.</t>
  </si>
  <si>
    <t>INE131A01031</t>
  </si>
  <si>
    <t>Minerals &amp; Mining</t>
  </si>
  <si>
    <t>100161</t>
  </si>
  <si>
    <t>Cummins India Ltd.</t>
  </si>
  <si>
    <t>INE298A01020</t>
  </si>
  <si>
    <t>Industrial Products</t>
  </si>
  <si>
    <t>101348</t>
  </si>
  <si>
    <t>Ami Organics Ltd.</t>
  </si>
  <si>
    <t>INE00FF01017</t>
  </si>
  <si>
    <t>Pharmaceuticals &amp; Biotechnology</t>
  </si>
  <si>
    <t>100271</t>
  </si>
  <si>
    <t>Balkrishna Industries Ltd.</t>
  </si>
  <si>
    <t>INE787D01026</t>
  </si>
  <si>
    <t>Auto Components</t>
  </si>
  <si>
    <t>100302</t>
  </si>
  <si>
    <t>DLF Ltd.</t>
  </si>
  <si>
    <t>INE271C01023</t>
  </si>
  <si>
    <t>Realty</t>
  </si>
  <si>
    <t>100816</t>
  </si>
  <si>
    <t>APL Apollo Tubes Ltd.</t>
  </si>
  <si>
    <t>INE702C01027</t>
  </si>
  <si>
    <t>100119</t>
  </si>
  <si>
    <t>Tata Motors Ltd.</t>
  </si>
  <si>
    <t>INE155A01022</t>
  </si>
  <si>
    <t>Automobiles</t>
  </si>
  <si>
    <t>100115</t>
  </si>
  <si>
    <t>Siemens Ltd.</t>
  </si>
  <si>
    <t>INE003A01024</t>
  </si>
  <si>
    <t>Electrical Equipment</t>
  </si>
  <si>
    <t>100014</t>
  </si>
  <si>
    <t>Mahindra &amp; Mahindra Ltd.</t>
  </si>
  <si>
    <t>INE101A01026</t>
  </si>
  <si>
    <t>100315</t>
  </si>
  <si>
    <t>Prestige Estates Projects Ltd.</t>
  </si>
  <si>
    <t>INE811K01011</t>
  </si>
  <si>
    <t>100095</t>
  </si>
  <si>
    <t>Bharti Airtel Ltd.</t>
  </si>
  <si>
    <t>INE397D01024</t>
  </si>
  <si>
    <t>Telecom - Services</t>
  </si>
  <si>
    <t>100747</t>
  </si>
  <si>
    <t>Mahindra Logistics Ltd.</t>
  </si>
  <si>
    <t>INE766P01016</t>
  </si>
  <si>
    <t>Transport Services</t>
  </si>
  <si>
    <t>100654</t>
  </si>
  <si>
    <t>Automotive Axles Ltd.</t>
  </si>
  <si>
    <t>INE449A01011</t>
  </si>
  <si>
    <t>100281</t>
  </si>
  <si>
    <t>Century Textiles &amp; Industries Ltd.</t>
  </si>
  <si>
    <t>INE055A01016</t>
  </si>
  <si>
    <t>Paper, Forest &amp; Jute Products</t>
  </si>
  <si>
    <t>101102</t>
  </si>
  <si>
    <t>ESAB India Ltd.</t>
  </si>
  <si>
    <t>INE284A01012</t>
  </si>
  <si>
    <t>101412</t>
  </si>
  <si>
    <t>Punjab Chemicals &amp; Crop Protection Ltd.</t>
  </si>
  <si>
    <t>INE277B01014</t>
  </si>
  <si>
    <t>Fertilizers &amp; Agrochemicals</t>
  </si>
  <si>
    <t>100446</t>
  </si>
  <si>
    <t>V.S.T Tillers Tractors Ltd.</t>
  </si>
  <si>
    <t>INE764D01017</t>
  </si>
  <si>
    <t>Agricultural, Commercial &amp; Construction Vehicles</t>
  </si>
  <si>
    <t>100335</t>
  </si>
  <si>
    <t>Kajaria Ceramics Ltd.</t>
  </si>
  <si>
    <t>INE217B01036</t>
  </si>
  <si>
    <t>Consumer Durables</t>
  </si>
  <si>
    <t>100082</t>
  </si>
  <si>
    <t>Ultratech Cement Ltd.</t>
  </si>
  <si>
    <t>INE481G01011</t>
  </si>
  <si>
    <t>Cement &amp; Cement Products</t>
  </si>
  <si>
    <t>100052</t>
  </si>
  <si>
    <t>The Great Eastern Shipping Company Ltd.</t>
  </si>
  <si>
    <t>INE017A01032</t>
  </si>
  <si>
    <t>100314</t>
  </si>
  <si>
    <t>SRF Ltd.</t>
  </si>
  <si>
    <t>INE647A01010</t>
  </si>
  <si>
    <t>Chemicals &amp; Petrochemicals</t>
  </si>
  <si>
    <t>100106</t>
  </si>
  <si>
    <t>Maruti Suzuki India Ltd.</t>
  </si>
  <si>
    <t>INE585B01010</t>
  </si>
  <si>
    <t>101493</t>
  </si>
  <si>
    <t>Meghmani Finechem Ltd.</t>
  </si>
  <si>
    <t>INE071N01016</t>
  </si>
  <si>
    <t>100406</t>
  </si>
  <si>
    <t>KSB Ltd.</t>
  </si>
  <si>
    <t>INE999A01015</t>
  </si>
  <si>
    <t>100417</t>
  </si>
  <si>
    <t>CEAT Ltd.</t>
  </si>
  <si>
    <t>INE482A01020</t>
  </si>
  <si>
    <t>100237</t>
  </si>
  <si>
    <t>SKF India Ltd.</t>
  </si>
  <si>
    <t>INE640A01023</t>
  </si>
  <si>
    <t>100843</t>
  </si>
  <si>
    <t>Dalmia Bharat Ltd.</t>
  </si>
  <si>
    <t>INE00R701025</t>
  </si>
  <si>
    <t>100512</t>
  </si>
  <si>
    <t>Elgi Equipments Ltd.</t>
  </si>
  <si>
    <t>INE285A01027</t>
  </si>
  <si>
    <t>100399</t>
  </si>
  <si>
    <t>Cholamandalam Investment &amp; Finance Co. Ltd.</t>
  </si>
  <si>
    <t>INE121A01024</t>
  </si>
  <si>
    <t>Finance</t>
  </si>
  <si>
    <t>100229</t>
  </si>
  <si>
    <t>NCC Ltd.</t>
  </si>
  <si>
    <t>INE868B01028</t>
  </si>
  <si>
    <t>100560</t>
  </si>
  <si>
    <t>NESCO Ltd.</t>
  </si>
  <si>
    <t>INE317F01035</t>
  </si>
  <si>
    <t>Commercial Services &amp; Supplies</t>
  </si>
  <si>
    <t>100282</t>
  </si>
  <si>
    <t>Blue Star Ltd.</t>
  </si>
  <si>
    <t>INE472A01039</t>
  </si>
  <si>
    <t>100896</t>
  </si>
  <si>
    <t>Polycab India Ltd.</t>
  </si>
  <si>
    <t>INE455K01017</t>
  </si>
  <si>
    <t>100553</t>
  </si>
  <si>
    <t>Kennametal India Ltd.</t>
  </si>
  <si>
    <t>INE717A01029</t>
  </si>
  <si>
    <t>Industrial Manufacturing</t>
  </si>
  <si>
    <t>100461</t>
  </si>
  <si>
    <t>Astral Limited</t>
  </si>
  <si>
    <t>INE006I01046</t>
  </si>
  <si>
    <t>100266</t>
  </si>
  <si>
    <t>Gujarat State Petronet Ltd.</t>
  </si>
  <si>
    <t>INE246F01010</t>
  </si>
  <si>
    <t>Gas</t>
  </si>
  <si>
    <t>100273</t>
  </si>
  <si>
    <t>Havells India Ltd.</t>
  </si>
  <si>
    <t>INE176B01034</t>
  </si>
  <si>
    <t>101564</t>
  </si>
  <si>
    <t>Borosil Renewables Ltd.</t>
  </si>
  <si>
    <t>INE666D01022</t>
  </si>
  <si>
    <t>100392</t>
  </si>
  <si>
    <t>Gujarat Narmada Valley Fertilizers &amp; Chemicals Ltd.</t>
  </si>
  <si>
    <t>INE113A01013</t>
  </si>
  <si>
    <t>101152</t>
  </si>
  <si>
    <t>Sumitomo Chemical India Ltd.</t>
  </si>
  <si>
    <t>INE258G01013</t>
  </si>
  <si>
    <t>100423</t>
  </si>
  <si>
    <t>Maharashtra Seamless Ltd.</t>
  </si>
  <si>
    <t>INE271B01025</t>
  </si>
  <si>
    <t>100143</t>
  </si>
  <si>
    <t>Thermax Ltd.</t>
  </si>
  <si>
    <t>INE152A01029</t>
  </si>
  <si>
    <t>101574</t>
  </si>
  <si>
    <t>Linde India Ltd.</t>
  </si>
  <si>
    <t>INE473A01011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</si>
  <si>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</si>
  <si>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</si>
  <si>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</si>
  <si>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</si>
  <si>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</si>
  <si>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</si>
  <si>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</si>
  <si>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</si>
  <si>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</si>
  <si>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</si>
  <si>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</si>
  <si>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</si>
  <si>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</si>
  <si>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</si>
  <si>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</si>
  <si>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</si>
  <si>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</si>
  <si>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</si>
  <si>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</si>
  <si>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</si>
  <si>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</si>
  <si>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</si>
  <si>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</si>
  <si>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</si>
  <si>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</si>
  <si>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</si>
  <si>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</si>
  <si>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</si>
  <si>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</si>
  <si>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</si>
  <si>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</si>
  <si>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</si>
  <si>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</si>
  <si>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</si>
  <si>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</si>
  <si>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</si>
  <si>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</si>
  <si>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</si>
  <si>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</si>
  <si>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July 29, 2022 : 38.31)</t>
  </si>
  <si>
    <t>Taurus Infrastructure Fund - Direct Plan Growth Option</t>
  </si>
  <si>
    <t>NAV [Rs.] Per Unit (as on July 29, 2022 : 40.55)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</si>
</sst>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1804</v>
      </c>
      <c r="H10" s="32">
        <v>45.26</v>
      </c>
      <c r="I10" s="32">
        <v>8.7100000000000009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1395</v>
      </c>
      <c r="H11" s="32">
        <v>25.22</v>
      </c>
      <c r="I11" s="32">
        <v>4.8600000000000003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3302</v>
      </c>
      <c r="H12" s="32">
        <v>25.22</v>
      </c>
      <c r="I12" s="32">
        <v>4.8600000000000003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12752</v>
      </c>
      <c r="H13" s="32">
        <v>20.52</v>
      </c>
      <c r="I13" s="32">
        <v>3.95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1663</v>
      </c>
      <c r="H14" s="32">
        <v>20.39</v>
      </c>
      <c r="I14" s="32">
        <v>3.93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1441</v>
      </c>
      <c r="H15" s="32">
        <v>14.96</v>
      </c>
      <c r="I15" s="32">
        <v>2.88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607</v>
      </c>
      <c r="H16" s="32">
        <v>14.02</v>
      </c>
      <c r="I16" s="32">
        <v>2.7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3129</v>
      </c>
      <c r="H17" s="32">
        <v>12.08</v>
      </c>
      <c r="I17" s="32">
        <v>2.33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34</v>
      </c>
      <c r="G18" s="31">
        <v>1256</v>
      </c>
      <c r="H18" s="32">
        <v>12.01</v>
      </c>
      <c r="I18" s="32">
        <v>2.31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2642</v>
      </c>
      <c r="H19" s="32">
        <v>11.88</v>
      </c>
      <c r="I19" s="32">
        <v>2.29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441</v>
      </c>
      <c r="H20" s="32">
        <v>11.87</v>
      </c>
      <c r="I20" s="32">
        <v>2.29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53</v>
      </c>
      <c r="G21" s="31">
        <v>991</v>
      </c>
      <c r="H21" s="32">
        <v>11.54</v>
      </c>
      <c r="I21" s="32">
        <v>2.2200000000000002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46</v>
      </c>
      <c r="G22" s="31">
        <v>2732</v>
      </c>
      <c r="H22" s="32">
        <v>11.3</v>
      </c>
      <c r="I22" s="32">
        <v>2.1800000000000002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1644</v>
      </c>
      <c r="H23" s="32">
        <v>11.14</v>
      </c>
      <c r="I23" s="32">
        <v>2.15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2392</v>
      </c>
      <c r="H24" s="32">
        <v>11.13</v>
      </c>
      <c r="I24" s="32">
        <v>2.14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42</v>
      </c>
      <c r="G25" s="31">
        <v>555</v>
      </c>
      <c r="H25" s="32">
        <v>10.85</v>
      </c>
      <c r="I25" s="32">
        <v>2.09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1279</v>
      </c>
      <c r="H26" s="32">
        <v>10.74</v>
      </c>
      <c r="I26" s="32">
        <v>2.0699999999999998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34</v>
      </c>
      <c r="G27" s="31">
        <v>317</v>
      </c>
      <c r="H27" s="32">
        <v>10.49</v>
      </c>
      <c r="I27" s="32">
        <v>2.02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774</v>
      </c>
      <c r="H28" s="32">
        <v>10.23</v>
      </c>
      <c r="I28" s="32">
        <v>1.97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364</v>
      </c>
      <c r="H29" s="32">
        <v>9.65</v>
      </c>
      <c r="I29" s="32">
        <v>1.86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808</v>
      </c>
      <c r="H30" s="32">
        <v>9.52</v>
      </c>
      <c r="I30" s="32">
        <v>1.83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141</v>
      </c>
      <c r="H31" s="32">
        <v>9.23</v>
      </c>
      <c r="I31" s="32">
        <v>1.78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71</v>
      </c>
      <c r="G32" s="31">
        <v>1933</v>
      </c>
      <c r="H32" s="32">
        <v>9.18</v>
      </c>
      <c r="I32" s="32">
        <v>1.77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367</v>
      </c>
      <c r="H33" s="32">
        <v>8.91</v>
      </c>
      <c r="I33" s="32">
        <v>1.72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53</v>
      </c>
      <c r="G34" s="31">
        <v>98</v>
      </c>
      <c r="H34" s="32">
        <v>8.6</v>
      </c>
      <c r="I34" s="32">
        <v>1.66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104</v>
      </c>
      <c r="G35" s="31">
        <v>568</v>
      </c>
      <c r="H35" s="32">
        <v>8.58</v>
      </c>
      <c r="I35" s="32">
        <v>1.65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34</v>
      </c>
      <c r="G36" s="31">
        <v>573</v>
      </c>
      <c r="H36" s="32">
        <v>8.4700000000000006</v>
      </c>
      <c r="I36" s="32">
        <v>1.63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42</v>
      </c>
      <c r="G37" s="31">
        <v>662</v>
      </c>
      <c r="H37" s="32">
        <v>8.34</v>
      </c>
      <c r="I37" s="32">
        <v>1.61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34</v>
      </c>
      <c r="G38" s="31">
        <v>195</v>
      </c>
      <c r="H38" s="32">
        <v>8.26</v>
      </c>
      <c r="I38" s="32">
        <v>1.59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97</v>
      </c>
      <c r="G39" s="31">
        <v>512</v>
      </c>
      <c r="H39" s="32">
        <v>8.19</v>
      </c>
      <c r="I39" s="32">
        <v>1.58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34</v>
      </c>
      <c r="G40" s="31">
        <v>2206</v>
      </c>
      <c r="H40" s="32">
        <v>8.17</v>
      </c>
      <c r="I40" s="32">
        <v>1.57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1164</v>
      </c>
      <c r="H41" s="32">
        <v>8.15</v>
      </c>
      <c r="I41" s="32">
        <v>1.57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22</v>
      </c>
      <c r="G42" s="31">
        <v>13882</v>
      </c>
      <c r="H42" s="32">
        <v>8.1300000000000008</v>
      </c>
      <c r="I42" s="32">
        <v>1.57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1338</v>
      </c>
      <c r="H43" s="32">
        <v>7.95</v>
      </c>
      <c r="I43" s="32">
        <v>1.53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93</v>
      </c>
      <c r="G44" s="31">
        <v>789</v>
      </c>
      <c r="H44" s="32">
        <v>7.77</v>
      </c>
      <c r="I44" s="32">
        <v>1.5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34</v>
      </c>
      <c r="G45" s="31">
        <v>306</v>
      </c>
      <c r="H45" s="32">
        <v>7.09</v>
      </c>
      <c r="I45" s="32">
        <v>1.36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299</v>
      </c>
      <c r="H46" s="32">
        <v>6.83</v>
      </c>
      <c r="I46" s="32">
        <v>1.32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34</v>
      </c>
      <c r="G47" s="31">
        <v>372</v>
      </c>
      <c r="H47" s="32">
        <v>6.75</v>
      </c>
      <c r="I47" s="32">
        <v>1.3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2746</v>
      </c>
      <c r="H48" s="32">
        <v>6.38</v>
      </c>
      <c r="I48" s="32">
        <v>1.23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93</v>
      </c>
      <c r="G49" s="31">
        <v>506</v>
      </c>
      <c r="H49" s="32">
        <v>6.32</v>
      </c>
      <c r="I49" s="32">
        <v>1.22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34</v>
      </c>
      <c r="G50" s="31">
        <v>997</v>
      </c>
      <c r="H50" s="32">
        <v>6.16</v>
      </c>
      <c r="I50" s="32">
        <v>1.19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104</v>
      </c>
      <c r="G51" s="31">
        <v>851</v>
      </c>
      <c r="H51" s="32">
        <v>6.14</v>
      </c>
      <c r="I51" s="32">
        <v>1.18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85</v>
      </c>
      <c r="G52" s="31">
        <v>1312</v>
      </c>
      <c r="H52" s="32">
        <v>5.92</v>
      </c>
      <c r="I52" s="32">
        <v>1.1399999999999999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34</v>
      </c>
      <c r="G53" s="31">
        <v>617</v>
      </c>
      <c r="H53" s="32">
        <v>4.49</v>
      </c>
      <c r="I53" s="32">
        <v>0.86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57</v>
      </c>
      <c r="G54" s="31">
        <v>216</v>
      </c>
      <c r="H54" s="32">
        <v>4.4400000000000004</v>
      </c>
      <c r="I54" s="32">
        <v>0.85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104</v>
      </c>
      <c r="G55" s="31">
        <v>114</v>
      </c>
      <c r="H55" s="32">
        <v>4.1500000000000004</v>
      </c>
      <c r="I55" s="32">
        <v>0.8</v>
      </c>
      <c r="J55" s="33"/>
    </row>
    <row r="56" spans="2:10">
      <c r="C56" s="28" t="s">
        <v>175</v>
      </c>
      <c r="D56" s="29"/>
      <c r="E56" s="30"/>
      <c r="F56" s="30"/>
      <c r="G56" s="31"/>
      <c r="H56" s="35">
        <v>502.62</v>
      </c>
      <c r="I56" s="35">
        <v>96.82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176</v>
      </c>
      <c r="D58" s="29"/>
      <c r="E58" s="30"/>
      <c r="F58" s="30"/>
      <c r="G58" s="31"/>
      <c r="H58" s="32" t="s">
        <v>177</v>
      </c>
      <c r="I58" s="32" t="s">
        <v>177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178</v>
      </c>
      <c r="D60" s="29"/>
      <c r="E60" s="30"/>
      <c r="F60" s="30"/>
      <c r="G60" s="31"/>
      <c r="H60" s="32" t="s">
        <v>177</v>
      </c>
      <c r="I60" s="32" t="s">
        <v>177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179</v>
      </c>
      <c r="D62" s="29"/>
      <c r="E62" s="30"/>
      <c r="F62" s="30"/>
      <c r="G62" s="31"/>
      <c r="H62" s="32"/>
      <c r="I62" s="32"/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180</v>
      </c>
      <c r="D64" s="29"/>
      <c r="E64" s="30"/>
      <c r="F64" s="30"/>
      <c r="G64" s="31"/>
      <c r="H64" s="32" t="s">
        <v>177</v>
      </c>
      <c r="I64" s="32" t="s">
        <v>177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181</v>
      </c>
      <c r="D66" s="29"/>
      <c r="E66" s="30"/>
      <c r="F66" s="30"/>
      <c r="G66" s="31"/>
      <c r="H66" s="32" t="s">
        <v>177</v>
      </c>
      <c r="I66" s="32" t="s">
        <v>177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182</v>
      </c>
      <c r="D68" s="29"/>
      <c r="E68" s="30"/>
      <c r="F68" s="30"/>
      <c r="G68" s="31"/>
      <c r="H68" s="32" t="s">
        <v>177</v>
      </c>
      <c r="I68" s="32" t="s">
        <v>177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183</v>
      </c>
      <c r="D70" s="29"/>
      <c r="E70" s="30"/>
      <c r="F70" s="30"/>
      <c r="G70" s="31"/>
      <c r="H70" s="32" t="s">
        <v>177</v>
      </c>
      <c r="I70" s="32" t="s">
        <v>177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184</v>
      </c>
      <c r="D72" s="29"/>
      <c r="E72" s="30"/>
      <c r="F72" s="30"/>
      <c r="G72" s="31"/>
      <c r="H72" s="32" t="s">
        <v>177</v>
      </c>
      <c r="I72" s="32" t="s">
        <v>177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185</v>
      </c>
      <c r="D74" s="29"/>
      <c r="E74" s="30"/>
      <c r="F74" s="30"/>
      <c r="G74" s="31"/>
      <c r="H74" s="32"/>
      <c r="I74" s="32"/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186</v>
      </c>
      <c r="D76" s="29"/>
      <c r="E76" s="30"/>
      <c r="F76" s="30"/>
      <c r="G76" s="31"/>
      <c r="H76" s="32" t="s">
        <v>177</v>
      </c>
      <c r="I76" s="32" t="s">
        <v>177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187</v>
      </c>
      <c r="D78" s="29"/>
      <c r="E78" s="30"/>
      <c r="F78" s="30"/>
      <c r="G78" s="31"/>
      <c r="H78" s="32" t="s">
        <v>177</v>
      </c>
      <c r="I78" s="32" t="s">
        <v>177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188</v>
      </c>
      <c r="D80" s="29"/>
      <c r="E80" s="30"/>
      <c r="F80" s="30"/>
      <c r="G80" s="31"/>
      <c r="H80" s="32" t="s">
        <v>177</v>
      </c>
      <c r="I80" s="32" t="s">
        <v>177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189</v>
      </c>
      <c r="D82" s="29"/>
      <c r="E82" s="30"/>
      <c r="F82" s="30"/>
      <c r="G82" s="31"/>
      <c r="H82" s="32" t="s">
        <v>177</v>
      </c>
      <c r="I82" s="32" t="s">
        <v>177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190</v>
      </c>
      <c r="D84" s="29"/>
      <c r="E84" s="30"/>
      <c r="F84" s="30"/>
      <c r="G84" s="31"/>
      <c r="H84" s="32"/>
      <c r="I84" s="32"/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191</v>
      </c>
      <c r="D86" s="29"/>
      <c r="E86" s="30"/>
      <c r="F86" s="30"/>
      <c r="G86" s="31"/>
      <c r="H86" s="32" t="s">
        <v>177</v>
      </c>
      <c r="I86" s="32" t="s">
        <v>177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192</v>
      </c>
      <c r="D88" s="29"/>
      <c r="E88" s="30"/>
      <c r="F88" s="30"/>
      <c r="G88" s="31"/>
      <c r="H88" s="32" t="s">
        <v>177</v>
      </c>
      <c r="I88" s="32" t="s">
        <v>177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193</v>
      </c>
      <c r="D90" s="29"/>
      <c r="E90" s="30"/>
      <c r="F90" s="30"/>
      <c r="G90" s="31"/>
      <c r="H90" s="32" t="s">
        <v>177</v>
      </c>
      <c r="I90" s="32" t="s">
        <v>177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194</v>
      </c>
      <c r="D92" s="29"/>
      <c r="E92" s="30"/>
      <c r="F92" s="30"/>
      <c r="G92" s="31"/>
      <c r="H92" s="32" t="s">
        <v>177</v>
      </c>
      <c r="I92" s="32" t="s">
        <v>177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C94" s="28" t="s">
        <v>195</v>
      </c>
      <c r="D94" s="29"/>
      <c r="E94" s="30"/>
      <c r="F94" s="30"/>
      <c r="G94" s="31"/>
      <c r="H94" s="32" t="s">
        <v>177</v>
      </c>
      <c r="I94" s="32" t="s">
        <v>177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>
      <c r="A96" s="26"/>
      <c r="B96" s="27"/>
      <c r="C96" s="28" t="s">
        <v>196</v>
      </c>
      <c r="D96" s="29"/>
      <c r="E96" s="30"/>
      <c r="F96" s="30"/>
      <c r="G96" s="31"/>
      <c r="H96" s="32"/>
      <c r="I96" s="32"/>
      <c r="J96" s="33"/>
    </row>
    <row r="97" spans="2:10">
      <c r="B97" s="1"/>
      <c r="C97" s="20" t="s">
        <v>197</v>
      </c>
      <c r="D97" s="29"/>
      <c r="E97" s="30"/>
      <c r="F97" s="30"/>
      <c r="G97" s="31"/>
      <c r="H97" s="32">
        <v>16.7</v>
      </c>
      <c r="I97" s="32">
        <v>3.18</v>
      </c>
      <c r="J97" s="33"/>
    </row>
    <row r="98" spans="2:10">
      <c r="C98" s="28" t="s">
        <v>175</v>
      </c>
      <c r="D98" s="29"/>
      <c r="E98" s="30"/>
      <c r="F98" s="30"/>
      <c r="G98" s="31"/>
      <c r="H98" s="35">
        <v>16.7</v>
      </c>
      <c r="I98" s="35">
        <v>3.18</v>
      </c>
      <c r="J98" s="33"/>
    </row>
    <row r="99" spans="2:10">
      <c r="C99" s="20"/>
      <c r="D99" s="29"/>
      <c r="E99" s="30"/>
      <c r="F99" s="30"/>
      <c r="G99" s="31"/>
      <c r="H99" s="32"/>
      <c r="I99" s="32"/>
      <c r="J99" s="33"/>
    </row>
    <row r="100" spans="2:10" ht="13.8" thickBot="1">
      <c r="C100" s="36" t="s">
        <v>198</v>
      </c>
      <c r="D100" s="37"/>
      <c r="E100" s="38"/>
      <c r="F100" s="39"/>
      <c r="G100" s="40"/>
      <c r="H100" s="41">
        <v>519.32000000000005</v>
      </c>
      <c r="I100" s="41">
        <f>SUMIFS(I:I,C:C,"Total")</f>
        <v>100</v>
      </c>
      <c r="J100" s="42"/>
    </row>
    <row r="103" spans="2:10">
      <c r="C103" s="11" t="s">
        <v>199</v>
      </c>
    </row>
    <row r="104" spans="2:10">
      <c r="C104" s="2" t="s">
        <v>200</v>
      </c>
    </row>
    <row r="105" spans="2:10">
      <c r="C105" s="2" t="s">
        <v>201</v>
      </c>
    </row>
    <row r="106" spans="2:10">
      <c r="C106" s="2" t="s">
        <v>202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6640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203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204</v>
      </c>
      <c r="B5" s="46" t="s">
        <v>205</v>
      </c>
      <c r="C5" s="46"/>
      <c r="D5" s="46" t="s">
        <v>206</v>
      </c>
      <c r="E5" s="46"/>
      <c r="F5" s="46" t="s">
        <v>207</v>
      </c>
      <c r="G5" s="46"/>
      <c r="H5" s="46" t="s">
        <v>208</v>
      </c>
      <c r="I5" s="46"/>
    </row>
    <row r="6" spans="1:9" ht="66">
      <c r="A6" s="47"/>
      <c r="B6" s="48" t="s">
        <v>209</v>
      </c>
      <c r="C6" s="48" t="s">
        <v>210</v>
      </c>
      <c r="D6" s="48" t="s">
        <v>209</v>
      </c>
      <c r="E6" s="48" t="s">
        <v>210</v>
      </c>
      <c r="F6" s="48" t="s">
        <v>209</v>
      </c>
      <c r="G6" s="48" t="s">
        <v>210</v>
      </c>
      <c r="H6" s="48" t="s">
        <v>209</v>
      </c>
      <c r="I6" s="48" t="s">
        <v>210</v>
      </c>
    </row>
    <row r="7" spans="1:9">
      <c r="A7" s="49" t="s">
        <v>211</v>
      </c>
      <c r="B7" s="50">
        <v>2.2690870261612428</v>
      </c>
      <c r="C7" s="50">
        <v>10226.908702616123</v>
      </c>
      <c r="D7" s="50">
        <v>19.183146199068002</v>
      </c>
      <c r="E7" s="50">
        <v>16921.378091872793</v>
      </c>
      <c r="F7" s="50">
        <v>10.462514650818466</v>
      </c>
      <c r="G7" s="50">
        <v>16442.060085836911</v>
      </c>
      <c r="H7" s="50">
        <v>9.1047728947668993</v>
      </c>
      <c r="I7" s="50">
        <v>38310</v>
      </c>
    </row>
    <row r="8" spans="1:9">
      <c r="A8" s="49" t="s">
        <v>212</v>
      </c>
      <c r="B8" s="50">
        <v>12.070649915169017</v>
      </c>
      <c r="C8" s="50">
        <v>11207.064991516902</v>
      </c>
      <c r="D8" s="50">
        <v>18.534559400176409</v>
      </c>
      <c r="E8" s="50">
        <v>16654.629248448437</v>
      </c>
      <c r="F8" s="50">
        <v>9.4723580831210796</v>
      </c>
      <c r="G8" s="50">
        <v>15722.527586358559</v>
      </c>
      <c r="H8" s="50">
        <v>4.9345869462015468</v>
      </c>
      <c r="I8" s="50">
        <v>21007.606247333275</v>
      </c>
    </row>
    <row r="9" spans="1:9">
      <c r="A9" s="49" t="s">
        <v>213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12.054831517507768</v>
      </c>
      <c r="I9" s="50">
        <v>57779.362253286075</v>
      </c>
    </row>
    <row r="10" spans="1:9">
      <c r="A10" s="49" t="s">
        <v>214</v>
      </c>
      <c r="B10" s="51">
        <v>37.46</v>
      </c>
      <c r="C10" s="52"/>
      <c r="D10" s="51">
        <v>22.64</v>
      </c>
      <c r="E10" s="52"/>
      <c r="F10" s="51">
        <v>23.3</v>
      </c>
      <c r="G10" s="52"/>
      <c r="H10" s="51">
        <v>10</v>
      </c>
      <c r="I10" s="52"/>
    </row>
    <row r="12" spans="1:9" ht="15.6">
      <c r="A12" s="43" t="s">
        <v>215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204</v>
      </c>
      <c r="B13" s="46" t="s">
        <v>205</v>
      </c>
      <c r="C13" s="46"/>
      <c r="D13" s="46" t="s">
        <v>206</v>
      </c>
      <c r="E13" s="46"/>
      <c r="F13" s="46" t="s">
        <v>207</v>
      </c>
      <c r="G13" s="46"/>
      <c r="H13" s="46" t="s">
        <v>208</v>
      </c>
      <c r="I13" s="46"/>
    </row>
    <row r="14" spans="1:9" ht="66">
      <c r="A14" s="47"/>
      <c r="B14" s="48" t="s">
        <v>209</v>
      </c>
      <c r="C14" s="48" t="s">
        <v>210</v>
      </c>
      <c r="D14" s="48" t="s">
        <v>209</v>
      </c>
      <c r="E14" s="48" t="s">
        <v>210</v>
      </c>
      <c r="F14" s="48" t="s">
        <v>209</v>
      </c>
      <c r="G14" s="48" t="s">
        <v>210</v>
      </c>
      <c r="H14" s="48" t="s">
        <v>209</v>
      </c>
      <c r="I14" s="48" t="s">
        <v>210</v>
      </c>
    </row>
    <row r="15" spans="1:9">
      <c r="A15" s="49" t="s">
        <v>211</v>
      </c>
      <c r="B15" s="50">
        <v>2.6842238541402663</v>
      </c>
      <c r="C15" s="50">
        <v>10268.422385414027</v>
      </c>
      <c r="D15" s="50">
        <v>19.691505634459737</v>
      </c>
      <c r="E15" s="50">
        <v>17138.630600169061</v>
      </c>
      <c r="F15" s="50">
        <v>10.955146030951358</v>
      </c>
      <c r="G15" s="50">
        <v>16811.774461028192</v>
      </c>
      <c r="H15" s="50">
        <v>12.775108469443452</v>
      </c>
      <c r="I15" s="50">
        <v>31630.265210608421</v>
      </c>
    </row>
    <row r="16" spans="1:9">
      <c r="A16" s="49" t="s">
        <v>212</v>
      </c>
      <c r="B16" s="50">
        <v>12.070649915169017</v>
      </c>
      <c r="C16" s="50">
        <v>11207.064991516902</v>
      </c>
      <c r="D16" s="50">
        <v>18.534559400176409</v>
      </c>
      <c r="E16" s="50">
        <v>16654.629248448437</v>
      </c>
      <c r="F16" s="50">
        <v>9.4723580831210796</v>
      </c>
      <c r="G16" s="50">
        <v>15722.527586358559</v>
      </c>
      <c r="H16" s="50">
        <v>8.4172994264812182</v>
      </c>
      <c r="I16" s="50">
        <v>21685.884179669822</v>
      </c>
    </row>
    <row r="17" spans="1:9">
      <c r="A17" s="49" t="s">
        <v>213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13.093776000526969</v>
      </c>
      <c r="I17" s="50">
        <v>32496.778123129268</v>
      </c>
    </row>
    <row r="18" spans="1:9">
      <c r="A18" s="49" t="s">
        <v>216</v>
      </c>
      <c r="B18" s="51">
        <v>39.49</v>
      </c>
      <c r="C18" s="52"/>
      <c r="D18" s="51">
        <v>23.66</v>
      </c>
      <c r="E18" s="52"/>
      <c r="F18" s="51">
        <v>24.12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2022-08-01T06:49:22Z</dcterms:created>
  <dcterms:modified xsi:type="dcterms:W3CDTF">2022-08-05T06:40:49Z</dcterms:modified>
</cp:coreProperties>
</file>