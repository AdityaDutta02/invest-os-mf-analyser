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2. Mar 2025\Monthly Portfolio Feb 2025\Ops\"/>
    </mc:Choice>
  </mc:AlternateContent>
  <xr:revisionPtr revIDLastSave="0" documentId="13_ncr:1_{912A8A6B-2265-4504-988A-7AF6DF066900}" xr6:coauthVersionLast="47" xr6:coauthVersionMax="47" xr10:uidLastSave="{00000000-0000-0000-0000-000000000000}"/>
  <bookViews>
    <workbookView xWindow="-120" yWindow="-120" windowWidth="20730" windowHeight="11040" xr2:uid="{B02861A9-819D-4AA8-903A-71BA764202E7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TTS!$C$8:$C$43</definedName>
    <definedName name="XDO_?FINAL_ISIN?16?">TTS!$D$10:$D$43</definedName>
    <definedName name="XDO_?FINAL_ISIN?17?">TTS!$D$10:$D$84</definedName>
    <definedName name="XDO_?FINAL_ISIN?18?">TTS!$D$10:$D$88</definedName>
    <definedName name="XDO_?FINAL_MV?16?">TTS!$H$10:$H$43</definedName>
    <definedName name="XDO_?FINAL_MV?17?">TTS!$H$10:$H$84</definedName>
    <definedName name="XDO_?FINAL_MV?18?">TTS!$H$10:$H$88</definedName>
    <definedName name="XDO_?FINAL_NAME?16?">TTS!$C$10:$C$43</definedName>
    <definedName name="XDO_?FINAL_NAME?17?">TTS!$C$10:$C$84</definedName>
    <definedName name="XDO_?FINAL_NAME?18?">TTS!$C$10:$C$88</definedName>
    <definedName name="XDO_?FINAL_PER_NET?16?">TTS!$I$10:$I$43</definedName>
    <definedName name="XDO_?FINAL_PER_NET?17?">TTS!$I$10:$I$84</definedName>
    <definedName name="XDO_?FINAL_PER_NET?18?">TTS!$I$10:$I$88</definedName>
    <definedName name="XDO_?FINAL_QUANTITE?16?">TTS!$G$10:$G$43</definedName>
    <definedName name="XDO_?FINAL_QUANTITE?17?">TTS!$G$10:$G$84</definedName>
    <definedName name="XDO_?FINAL_QUANTITE?18?">TTS!$G$10:$G$88</definedName>
    <definedName name="XDO_?IND_01?16?">TTS!$F$10:$F$43</definedName>
    <definedName name="XDO_?IND_01?17?">TTS!$F$10:$F$84</definedName>
    <definedName name="XDO_?IND_01?18?">TTS!$F$10:$F$88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6?">TTS!$B$10:$B$43</definedName>
    <definedName name="XDO_?NOVAL?17?">TTS!$B$10:$B$84</definedName>
    <definedName name="XDO_?NOVAL?18?">TTS!$B$10:$B$88</definedName>
    <definedName name="XDO_?NPTF?7?">TTS!$D$2:$D$43</definedName>
    <definedName name="XDO_?RATING?16?">TTS!$E$10:$E$43</definedName>
    <definedName name="XDO_?RATING?17?">TTS!$E$10:$E$84</definedName>
    <definedName name="XDO_?RATING?18?">TTS!$E$10:$E$88</definedName>
    <definedName name="XDO_?REMARKS?16?">TTS!$J$10:$J$43</definedName>
    <definedName name="XDO_?REMARKS?17?">TTS!$J$10:$J$84</definedName>
    <definedName name="XDO_?REMARKS?18?">TTS!$J$10:$J$88</definedName>
    <definedName name="XDO_?TITL?7?">TTS!$A$8:$A$43</definedName>
    <definedName name="XDO_GROUP_?G_2?7?">TTS!$2:$91</definedName>
    <definedName name="XDO_GROUP_?G_3?7?">TTS!$8:$90</definedName>
    <definedName name="XDO_GROUP_?G_4?16?">TTS!$B$10:$IV$43</definedName>
    <definedName name="XDO_GROUP_?G_4?17?">TTS!$B$84:$IV$84</definedName>
    <definedName name="XDO_GROUP_?G_4?18?">TTS!$B$88:$IV$88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</calcChain>
</file>

<file path=xl/sharedStrings.xml><?xml version="1.0" encoding="utf-8"?>
<sst xmlns="http://schemas.openxmlformats.org/spreadsheetml/2006/main" count="275" uniqueCount="203">
  <si>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</si>
  <si>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</si>
  <si>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</si>
  <si>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</si>
  <si>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</si>
  <si>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</si>
  <si>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</si>
  <si>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</si>
  <si>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</si>
  <si>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</si>
  <si>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</si>
  <si>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</si>
  <si>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</si>
  <si>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</si>
  <si>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</si>
  <si>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</si>
  <si>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</si>
  <si>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</si>
  <si>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</si>
  <si>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</si>
  <si>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</si>
  <si>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</si>
  <si>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</si>
  <si>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</si>
  <si>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</si>
  <si>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</si>
  <si>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100037</t>
  </si>
  <si>
    <t>HCL Technologies Ltd.</t>
  </si>
  <si>
    <t>INE860A01027</t>
  </si>
  <si>
    <t>IT - Software</t>
  </si>
  <si>
    <t>100003</t>
  </si>
  <si>
    <t>Infosys Ltd.</t>
  </si>
  <si>
    <t>INE009A01021</t>
  </si>
  <si>
    <t>100474</t>
  </si>
  <si>
    <t>Narayana Hrudayalaya Ltd.</t>
  </si>
  <si>
    <t>INE410P01011</t>
  </si>
  <si>
    <t>Healthcare Services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</si>
  <si>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</si>
  <si>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</si>
  <si>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</si>
  <si>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</si>
  <si>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</si>
  <si>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</si>
  <si>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</si>
  <si>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100147</t>
  </si>
  <si>
    <t>Tech Mahindra Ltd.</t>
  </si>
  <si>
    <t>INE669C01036</t>
  </si>
  <si>
    <t>100097</t>
  </si>
  <si>
    <t>Coal India Ltd.</t>
  </si>
  <si>
    <t>INE522F01014</t>
  </si>
  <si>
    <t>Consumable Fuels</t>
  </si>
  <si>
    <t>100112</t>
  </si>
  <si>
    <t>Punjab National Bank</t>
  </si>
  <si>
    <t>INE160A01022</t>
  </si>
  <si>
    <t>102094</t>
  </si>
  <si>
    <t>HBL Engineering Ltd.</t>
  </si>
  <si>
    <t>INE292B01021</t>
  </si>
  <si>
    <t>Auto Components</t>
  </si>
  <si>
    <t>100155</t>
  </si>
  <si>
    <t>Divi's Laboratories Ltd.</t>
  </si>
  <si>
    <t>INE361B01024</t>
  </si>
  <si>
    <t>Pharmaceuticals &amp; Biotechnology</t>
  </si>
  <si>
    <t>100153</t>
  </si>
  <si>
    <t>Cipla Ltd.</t>
  </si>
  <si>
    <t>INE059A01026</t>
  </si>
  <si>
    <t>100083</t>
  </si>
  <si>
    <t>Samvardhana Motherson International Ltd.</t>
  </si>
  <si>
    <t>INE775A01035</t>
  </si>
  <si>
    <t>102520</t>
  </si>
  <si>
    <t>Transrail Lighting Ltd.</t>
  </si>
  <si>
    <t>INE454P01035</t>
  </si>
  <si>
    <t>Electrical Equipment</t>
  </si>
  <si>
    <t>100014</t>
  </si>
  <si>
    <t>Mahindra &amp; Mahindra Ltd.</t>
  </si>
  <si>
    <t>INE101A01026</t>
  </si>
  <si>
    <t>Automobiles</t>
  </si>
  <si>
    <t>101178</t>
  </si>
  <si>
    <t>Computer Age Management Services Ltd.</t>
  </si>
  <si>
    <t>INE596I01012</t>
  </si>
  <si>
    <t>Capital Markets</t>
  </si>
  <si>
    <t>100399</t>
  </si>
  <si>
    <t>Cholamandalam Investment &amp; Finance Co. Ltd.</t>
  </si>
  <si>
    <t>INE121A01024</t>
  </si>
  <si>
    <t>100095</t>
  </si>
  <si>
    <t>Bharti Airtel Ltd.</t>
  </si>
  <si>
    <t>INE397D01024</t>
  </si>
  <si>
    <t>Telecom - Services</t>
  </si>
  <si>
    <t>100026</t>
  </si>
  <si>
    <t>Persistent Systems Ltd.</t>
  </si>
  <si>
    <t>INE262H01021</t>
  </si>
  <si>
    <t>100374</t>
  </si>
  <si>
    <t>CESC Ltd.</t>
  </si>
  <si>
    <t>INE486A01021</t>
  </si>
  <si>
    <t>Power</t>
  </si>
  <si>
    <t>100191</t>
  </si>
  <si>
    <t>Canara Bank</t>
  </si>
  <si>
    <t>INE476A01022</t>
  </si>
  <si>
    <t>102206</t>
  </si>
  <si>
    <t>Chemtech Industrial Valves Ltd.</t>
  </si>
  <si>
    <t>INE212P01011</t>
  </si>
  <si>
    <t>Industrial Manufacturing</t>
  </si>
  <si>
    <t>100759</t>
  </si>
  <si>
    <t>The New India Assurance Co. Ltd.</t>
  </si>
  <si>
    <t>INE470Y01017</t>
  </si>
  <si>
    <t>Insurance</t>
  </si>
  <si>
    <t>100133</t>
  </si>
  <si>
    <t>Oracle Financial Services Software Ltd.</t>
  </si>
  <si>
    <t>INE881D01027</t>
  </si>
  <si>
    <t>102449</t>
  </si>
  <si>
    <t>Swiggy Ltd.</t>
  </si>
  <si>
    <t>INE00H001014</t>
  </si>
  <si>
    <t>Retailing</t>
  </si>
  <si>
    <t>100566</t>
  </si>
  <si>
    <t>Laurus Labs Ltd.</t>
  </si>
  <si>
    <t>INE947Q01028</t>
  </si>
  <si>
    <t>100292</t>
  </si>
  <si>
    <t>Steel Authority of India Ltd.</t>
  </si>
  <si>
    <t>INE114A01011</t>
  </si>
  <si>
    <t>Ferrous Metals</t>
  </si>
  <si>
    <t>100080</t>
  </si>
  <si>
    <t>Dr. Reddy's Laboratories Ltd.</t>
  </si>
  <si>
    <t>INE089A01031</t>
  </si>
  <si>
    <t>100078</t>
  </si>
  <si>
    <t>Sanghi Industries Ltd.</t>
  </si>
  <si>
    <t>INE999B01013</t>
  </si>
  <si>
    <t>Cement &amp; Cement Products</t>
  </si>
  <si>
    <t>100659</t>
  </si>
  <si>
    <t>Visaka Industries Ltd.</t>
  </si>
  <si>
    <t>INE392A01021</t>
  </si>
  <si>
    <t>100227</t>
  </si>
  <si>
    <t>Jubilant Foodworks Ltd.</t>
  </si>
  <si>
    <t>INE797F01020</t>
  </si>
  <si>
    <t>Leisure Services</t>
  </si>
  <si>
    <t>102554</t>
  </si>
  <si>
    <t>ITC Hotels Ltd.</t>
  </si>
  <si>
    <t>INE379A01028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</si>
  <si>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</si>
  <si>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</si>
  <si>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</si>
  <si>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</si>
  <si>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</si>
  <si>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</si>
  <si>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</si>
  <si>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</si>
  <si>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</si>
  <si>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</si>
  <si>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</si>
  <si>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</si>
  <si>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</si>
  <si>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</si>
  <si>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</si>
  <si>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</si>
  <si>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</si>
  <si>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</si>
  <si>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</si>
  <si>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</si>
  <si>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</si>
  <si>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</si>
  <si>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303250100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</si>
  <si>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</si>
  <si>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</si>
  <si>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</si>
  <si>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</si>
  <si>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</si>
  <si>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</si>
  <si>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</si>
  <si>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</si>
  <si>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</si>
  <si>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</si>
  <si>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</si>
  <si>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</si>
  <si>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</si>
  <si>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</si>
  <si>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 31, 2025</t>
  </si>
  <si>
    <t>February 28,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</si>
  <si>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</si>
  <si>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</si>
  <si>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</si>
  <si>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</si>
  <si>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February 28, 2025.</t>
  </si>
  <si>
    <t>7. The Scheme did not declare any bonus during the month ended As on  February 28, 2025.</t>
  </si>
  <si>
    <t>8. Total outstanding exposure in derivative instruments as on As on  February 28, 2025 is Nil</t>
  </si>
  <si>
    <t>9. Total investments in Foreign Securities /ADRs/GDRs /Overseas ETFs as at As on  February 28, 2025 and its percentage to NAV is Nil.</t>
  </si>
  <si>
    <t>10. During the period, the portfolio turnover ratio is 0.63 times.</t>
  </si>
  <si>
    <t>      Portfolio Turnover Ratio = Lower of sales or purchase of securities divided by average AUM for 12 months ended As on  February 28, 2025</t>
  </si>
  <si>
    <t>11. The Scheme did not invest in repo transactions of corporate debt securities during the month ended As on  February 28, 2025.</t>
  </si>
  <si>
    <t>12. The Scheme did not invest in credit default swaps during the month ended As on  February 28, 2025.</t>
  </si>
  <si>
    <t>13. There are Nil instances of deviation from the valuation principles/guidelines during the month ended as on February 28, 2025.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</si>
  <si>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</si>
  <si>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</si>
  <si>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</si>
  <si>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</si>
  <si>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</si>
  <si>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</si>
  <si>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</si>
  <si>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</si>
  <si>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</si>
  <si>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</si>
  <si>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</si>
  <si>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</si>
  <si>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February 28,2025 :166.5)</t>
  </si>
  <si>
    <t>Taurus Elss Tax Saver Fund - Direct Plan Growth Option</t>
  </si>
  <si>
    <t>NAV [Rs.] Per Unit (as on February 28,2025 :181.09)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</si>
</sst>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B1FD8869-2678-472F-8FF3-9BB4D347ED31}"/>
    <cellStyle name="Hyperlink" xfId="2" builtinId="8"/>
    <cellStyle name="Normal" xfId="0" builtinId="0"/>
    <cellStyle name="Normal 2" xfId="4" xr:uid="{34E58C7D-3A1F-4219-94FA-BB97BC0DC8D6}"/>
    <cellStyle name="Style 1" xfId="3" xr:uid="{C0D2B321-95CE-4B0E-A38D-95F649F97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0</xdr:rowOff>
    </xdr:from>
    <xdr:to>
      <xdr:col>5</xdr:col>
      <xdr:colOff>236897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id="{71EAA1A0-F725-4443-ADE4-E6E6B619F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750" y="0"/>
          <a:ext cx="6999647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Feb_2025\Final\TMF_Monthly_Portfolio_Report_February%2025.xls" TargetMode="External"/><Relationship Id="rId1" Type="http://schemas.openxmlformats.org/officeDocument/2006/relationships/externalLinkPath" Target="file:///Q:\5.TMF\Reporting\Monthly%20Reports\Monthly%20Portfolio\2024-25\Feb_2025\Final\TMF_Monthly_Portfolio_Report_Februar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F9E8-7CE9-4463-A3D0-41C15E2901B3}">
  <dimension ref="A1:BB11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45716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41375</v>
      </c>
      <c r="H10" s="32">
        <v>716.24</v>
      </c>
      <c r="I10" s="32">
        <v>9.92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5200</v>
      </c>
      <c r="H11" s="32">
        <v>602.6</v>
      </c>
      <c r="I11" s="32">
        <v>8.35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41805</v>
      </c>
      <c r="H12" s="32">
        <v>502.96</v>
      </c>
      <c r="I12" s="32">
        <v>6.97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28191</v>
      </c>
      <c r="H13" s="32">
        <v>443.99</v>
      </c>
      <c r="I13" s="32">
        <v>6.15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29</v>
      </c>
      <c r="G14" s="31">
        <v>21339</v>
      </c>
      <c r="H14" s="32">
        <v>360.21</v>
      </c>
      <c r="I14" s="32">
        <v>4.99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23293</v>
      </c>
      <c r="H15" s="32">
        <v>336.43</v>
      </c>
      <c r="I15" s="32">
        <v>4.66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80000</v>
      </c>
      <c r="H16" s="32">
        <v>315.76</v>
      </c>
      <c r="I16" s="32">
        <v>4.38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28650</v>
      </c>
      <c r="H17" s="32">
        <v>291.04000000000002</v>
      </c>
      <c r="I17" s="32">
        <v>4.03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29</v>
      </c>
      <c r="G18" s="31">
        <v>18511</v>
      </c>
      <c r="H18" s="32">
        <v>275.61</v>
      </c>
      <c r="I18" s="32">
        <v>3.82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65000</v>
      </c>
      <c r="H19" s="32">
        <v>239.92</v>
      </c>
      <c r="I19" s="32">
        <v>3.32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258600</v>
      </c>
      <c r="H20" s="32">
        <v>225.89</v>
      </c>
      <c r="I20" s="32">
        <v>3.13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50393</v>
      </c>
      <c r="H21" s="32">
        <v>218.3</v>
      </c>
      <c r="I21" s="32">
        <v>3.02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3680</v>
      </c>
      <c r="H22" s="32">
        <v>201.57</v>
      </c>
      <c r="I22" s="32">
        <v>2.79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61</v>
      </c>
      <c r="G23" s="31">
        <v>13798</v>
      </c>
      <c r="H23" s="32">
        <v>194.68</v>
      </c>
      <c r="I23" s="32">
        <v>2.7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57</v>
      </c>
      <c r="G24" s="31">
        <v>146565</v>
      </c>
      <c r="H24" s="32">
        <v>173.75</v>
      </c>
      <c r="I24" s="32">
        <v>2.41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25973</v>
      </c>
      <c r="H25" s="32">
        <v>134.27000000000001</v>
      </c>
      <c r="I25" s="32">
        <v>1.86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4959</v>
      </c>
      <c r="H26" s="32">
        <v>128.13999999999999</v>
      </c>
      <c r="I26" s="32">
        <v>1.78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4035</v>
      </c>
      <c r="H27" s="32">
        <v>126.84</v>
      </c>
      <c r="I27" s="32">
        <v>1.76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22</v>
      </c>
      <c r="G28" s="31">
        <v>8835</v>
      </c>
      <c r="H28" s="32">
        <v>123.73</v>
      </c>
      <c r="I28" s="32">
        <v>1.71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4805</v>
      </c>
      <c r="H29" s="32">
        <v>75.42</v>
      </c>
      <c r="I29" s="32">
        <v>1.05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29</v>
      </c>
      <c r="G30" s="31">
        <v>1240</v>
      </c>
      <c r="H30" s="32">
        <v>65.680000000000007</v>
      </c>
      <c r="I30" s="32">
        <v>0.91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93</v>
      </c>
      <c r="G31" s="31">
        <v>48008</v>
      </c>
      <c r="H31" s="32">
        <v>62.7</v>
      </c>
      <c r="I31" s="32">
        <v>0.87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18</v>
      </c>
      <c r="G32" s="31">
        <v>75000</v>
      </c>
      <c r="H32" s="32">
        <v>60.68</v>
      </c>
      <c r="I32" s="32">
        <v>0.84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50000</v>
      </c>
      <c r="H33" s="32">
        <v>55.35</v>
      </c>
      <c r="I33" s="32">
        <v>0.77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38229</v>
      </c>
      <c r="H34" s="32">
        <v>54.3</v>
      </c>
      <c r="I34" s="32">
        <v>0.75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29</v>
      </c>
      <c r="G35" s="31">
        <v>680</v>
      </c>
      <c r="H35" s="32">
        <v>52.78</v>
      </c>
      <c r="I35" s="32">
        <v>0.73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15512</v>
      </c>
      <c r="H36" s="32">
        <v>51.92</v>
      </c>
      <c r="I36" s="32">
        <v>0.72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61</v>
      </c>
      <c r="G37" s="31">
        <v>9000</v>
      </c>
      <c r="H37" s="32">
        <v>47.51</v>
      </c>
      <c r="I37" s="32">
        <v>0.66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45110</v>
      </c>
      <c r="H38" s="32">
        <v>47.37</v>
      </c>
      <c r="I38" s="32">
        <v>0.66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61</v>
      </c>
      <c r="G39" s="31">
        <v>4225</v>
      </c>
      <c r="H39" s="32">
        <v>47.22</v>
      </c>
      <c r="I39" s="32">
        <v>0.65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72548</v>
      </c>
      <c r="H40" s="32">
        <v>37.68</v>
      </c>
      <c r="I40" s="32">
        <v>0.52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125</v>
      </c>
      <c r="G41" s="31">
        <v>38828</v>
      </c>
      <c r="H41" s="32">
        <v>25.56</v>
      </c>
      <c r="I41" s="32">
        <v>0.35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2241</v>
      </c>
      <c r="H42" s="32">
        <v>14.04</v>
      </c>
      <c r="I42" s="32">
        <v>0.19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132</v>
      </c>
      <c r="G43" s="31">
        <v>8000</v>
      </c>
      <c r="H43" s="32">
        <v>13.09</v>
      </c>
      <c r="I43" s="32">
        <v>0.18</v>
      </c>
      <c r="J43" s="33"/>
    </row>
    <row r="44" spans="2:10" x14ac:dyDescent="0.25">
      <c r="C44" s="28" t="s">
        <v>136</v>
      </c>
      <c r="D44" s="29"/>
      <c r="E44" s="30"/>
      <c r="F44" s="30"/>
      <c r="G44" s="31"/>
      <c r="H44" s="35">
        <v>6323.23</v>
      </c>
      <c r="I44" s="35">
        <v>87.6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137</v>
      </c>
      <c r="D46" s="29"/>
      <c r="E46" s="30"/>
      <c r="F46" s="30"/>
      <c r="G46" s="31"/>
      <c r="H46" s="32" t="s">
        <v>138</v>
      </c>
      <c r="I46" s="32" t="s">
        <v>138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139</v>
      </c>
      <c r="D48" s="29"/>
      <c r="E48" s="30"/>
      <c r="F48" s="30"/>
      <c r="G48" s="31"/>
      <c r="H48" s="32" t="s">
        <v>138</v>
      </c>
      <c r="I48" s="32" t="s">
        <v>138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140</v>
      </c>
      <c r="D50" s="29"/>
      <c r="E50" s="30"/>
      <c r="F50" s="30"/>
      <c r="G50" s="31"/>
      <c r="H50" s="32"/>
      <c r="I50" s="32"/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141</v>
      </c>
      <c r="D52" s="29"/>
      <c r="E52" s="30"/>
      <c r="F52" s="30"/>
      <c r="G52" s="31"/>
      <c r="H52" s="32" t="s">
        <v>138</v>
      </c>
      <c r="I52" s="32" t="s">
        <v>138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142</v>
      </c>
      <c r="D54" s="29"/>
      <c r="E54" s="30"/>
      <c r="F54" s="30"/>
      <c r="G54" s="31"/>
      <c r="H54" s="32" t="s">
        <v>138</v>
      </c>
      <c r="I54" s="32" t="s">
        <v>138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143</v>
      </c>
      <c r="D56" s="29"/>
      <c r="E56" s="30"/>
      <c r="F56" s="30"/>
      <c r="G56" s="31"/>
      <c r="H56" s="32" t="s">
        <v>138</v>
      </c>
      <c r="I56" s="32" t="s">
        <v>138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144</v>
      </c>
      <c r="D58" s="29"/>
      <c r="E58" s="30"/>
      <c r="F58" s="30"/>
      <c r="G58" s="31"/>
      <c r="H58" s="32" t="s">
        <v>138</v>
      </c>
      <c r="I58" s="32" t="s">
        <v>138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145</v>
      </c>
      <c r="D60" s="29"/>
      <c r="E60" s="30"/>
      <c r="F60" s="30"/>
      <c r="G60" s="31"/>
      <c r="H60" s="32" t="s">
        <v>138</v>
      </c>
      <c r="I60" s="32" t="s">
        <v>138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146</v>
      </c>
      <c r="D62" s="29"/>
      <c r="E62" s="30"/>
      <c r="F62" s="30"/>
      <c r="G62" s="31"/>
      <c r="H62" s="32"/>
      <c r="I62" s="32"/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147</v>
      </c>
      <c r="D64" s="29"/>
      <c r="E64" s="30"/>
      <c r="F64" s="30"/>
      <c r="G64" s="31"/>
      <c r="H64" s="32" t="s">
        <v>138</v>
      </c>
      <c r="I64" s="32" t="s">
        <v>138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148</v>
      </c>
      <c r="D66" s="29"/>
      <c r="E66" s="30"/>
      <c r="F66" s="30"/>
      <c r="G66" s="31"/>
      <c r="H66" s="32" t="s">
        <v>138</v>
      </c>
      <c r="I66" s="32" t="s">
        <v>138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149</v>
      </c>
      <c r="D68" s="29"/>
      <c r="E68" s="30"/>
      <c r="F68" s="30"/>
      <c r="G68" s="31"/>
      <c r="H68" s="32" t="s">
        <v>138</v>
      </c>
      <c r="I68" s="32" t="s">
        <v>138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C70" s="28" t="s">
        <v>150</v>
      </c>
      <c r="D70" s="29"/>
      <c r="E70" s="30"/>
      <c r="F70" s="30"/>
      <c r="G70" s="31"/>
      <c r="H70" s="32" t="s">
        <v>138</v>
      </c>
      <c r="I70" s="32" t="s">
        <v>138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x14ac:dyDescent="0.25">
      <c r="A72" s="26"/>
      <c r="B72" s="27"/>
      <c r="C72" s="28" t="s">
        <v>151</v>
      </c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152</v>
      </c>
      <c r="D73" s="29"/>
      <c r="E73" s="30"/>
      <c r="F73" s="30"/>
      <c r="G73" s="31"/>
      <c r="H73" s="32" t="s">
        <v>138</v>
      </c>
      <c r="I73" s="32" t="s">
        <v>138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A75" s="27"/>
      <c r="B75" s="27"/>
      <c r="C75" s="28" t="s">
        <v>153</v>
      </c>
      <c r="D75" s="29"/>
      <c r="E75" s="30"/>
      <c r="F75" s="30"/>
      <c r="G75" s="31"/>
      <c r="H75" s="32" t="s">
        <v>138</v>
      </c>
      <c r="I75" s="32" t="s">
        <v>138</v>
      </c>
      <c r="J75" s="33"/>
    </row>
    <row r="76" spans="1:10" x14ac:dyDescent="0.25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154</v>
      </c>
      <c r="D77" s="29"/>
      <c r="E77" s="30"/>
      <c r="F77" s="30"/>
      <c r="G77" s="31"/>
      <c r="H77" s="32" t="s">
        <v>138</v>
      </c>
      <c r="I77" s="32" t="s">
        <v>138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A79" s="27"/>
      <c r="B79" s="27"/>
      <c r="C79" s="28" t="s">
        <v>155</v>
      </c>
      <c r="D79" s="29"/>
      <c r="E79" s="30"/>
      <c r="F79" s="30"/>
      <c r="G79" s="31"/>
      <c r="H79" s="32" t="s">
        <v>138</v>
      </c>
      <c r="I79" s="32" t="s">
        <v>138</v>
      </c>
      <c r="J79" s="33"/>
    </row>
    <row r="80" spans="1:10" x14ac:dyDescent="0.25">
      <c r="A80" s="27"/>
      <c r="B80" s="27"/>
      <c r="C80" s="28"/>
      <c r="D80" s="29"/>
      <c r="E80" s="30"/>
      <c r="F80" s="30"/>
      <c r="G80" s="31"/>
      <c r="H80" s="32"/>
      <c r="I80" s="32"/>
      <c r="J80" s="33"/>
    </row>
    <row r="81" spans="1:10" x14ac:dyDescent="0.25">
      <c r="A81" s="27"/>
      <c r="B81" s="27"/>
      <c r="C81" s="28" t="s">
        <v>156</v>
      </c>
      <c r="D81" s="29"/>
      <c r="E81" s="30"/>
      <c r="F81" s="30"/>
      <c r="G81" s="31"/>
      <c r="H81" s="32" t="s">
        <v>138</v>
      </c>
      <c r="I81" s="32" t="s">
        <v>138</v>
      </c>
      <c r="J81" s="33"/>
    </row>
    <row r="82" spans="1:10" x14ac:dyDescent="0.25">
      <c r="A82" s="27"/>
      <c r="B82" s="27"/>
      <c r="C82" s="28"/>
      <c r="D82" s="29"/>
      <c r="E82" s="30"/>
      <c r="F82" s="30"/>
      <c r="G82" s="31"/>
      <c r="H82" s="32"/>
      <c r="I82" s="32"/>
      <c r="J82" s="33"/>
    </row>
    <row r="83" spans="1:10" x14ac:dyDescent="0.25">
      <c r="C83" s="34" t="s">
        <v>157</v>
      </c>
      <c r="D83" s="29"/>
      <c r="E83" s="30"/>
      <c r="F83" s="30"/>
      <c r="G83" s="31"/>
      <c r="H83" s="32"/>
      <c r="I83" s="32"/>
      <c r="J83" s="33"/>
    </row>
    <row r="84" spans="1:10" x14ac:dyDescent="0.25">
      <c r="B84" s="1" t="s">
        <v>158</v>
      </c>
      <c r="C84" s="20" t="s">
        <v>159</v>
      </c>
      <c r="D84" s="29"/>
      <c r="E84" s="30"/>
      <c r="F84" s="30"/>
      <c r="G84" s="31"/>
      <c r="H84" s="32">
        <v>499.82</v>
      </c>
      <c r="I84" s="32">
        <v>6.93</v>
      </c>
      <c r="J84" s="33"/>
    </row>
    <row r="85" spans="1:10" x14ac:dyDescent="0.25">
      <c r="C85" s="28" t="s">
        <v>136</v>
      </c>
      <c r="D85" s="29"/>
      <c r="E85" s="30"/>
      <c r="F85" s="30"/>
      <c r="G85" s="31"/>
      <c r="H85" s="35">
        <v>499.82</v>
      </c>
      <c r="I85" s="35">
        <v>6.93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A87" s="26"/>
      <c r="B87" s="27"/>
      <c r="C87" s="28" t="s">
        <v>160</v>
      </c>
      <c r="D87" s="29"/>
      <c r="E87" s="30"/>
      <c r="F87" s="30"/>
      <c r="G87" s="31"/>
      <c r="H87" s="32"/>
      <c r="I87" s="32"/>
      <c r="J87" s="33"/>
    </row>
    <row r="88" spans="1:10" x14ac:dyDescent="0.25">
      <c r="B88" s="1"/>
      <c r="C88" s="20" t="s">
        <v>161</v>
      </c>
      <c r="D88" s="29"/>
      <c r="E88" s="30"/>
      <c r="F88" s="30"/>
      <c r="G88" s="31"/>
      <c r="H88" s="32">
        <v>393.64</v>
      </c>
      <c r="I88" s="32">
        <v>5.47</v>
      </c>
      <c r="J88" s="33"/>
    </row>
    <row r="89" spans="1:10" x14ac:dyDescent="0.25">
      <c r="C89" s="28" t="s">
        <v>136</v>
      </c>
      <c r="D89" s="29"/>
      <c r="E89" s="30"/>
      <c r="F89" s="30"/>
      <c r="G89" s="31"/>
      <c r="H89" s="35">
        <v>393.64</v>
      </c>
      <c r="I89" s="35">
        <v>5.47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ht="14.25" thickBot="1" x14ac:dyDescent="0.3">
      <c r="C91" s="36" t="s">
        <v>162</v>
      </c>
      <c r="D91" s="37"/>
      <c r="E91" s="38"/>
      <c r="F91" s="39"/>
      <c r="G91" s="40"/>
      <c r="H91" s="41">
        <v>7216.69</v>
      </c>
      <c r="I91" s="41">
        <f>SUMIFS(I:I,C:C,"Total")</f>
        <v>100</v>
      </c>
      <c r="J91" s="42"/>
    </row>
    <row r="94" spans="1:10" x14ac:dyDescent="0.25">
      <c r="C94" s="11" t="s">
        <v>163</v>
      </c>
    </row>
    <row r="95" spans="1:10" x14ac:dyDescent="0.25">
      <c r="C95" s="2" t="s">
        <v>164</v>
      </c>
    </row>
    <row r="96" spans="1:10" x14ac:dyDescent="0.25">
      <c r="C96" s="2" t="s">
        <v>165</v>
      </c>
    </row>
    <row r="97" spans="3:5" x14ac:dyDescent="0.25">
      <c r="C97" s="2" t="s">
        <v>166</v>
      </c>
    </row>
    <row r="98" spans="3:5" x14ac:dyDescent="0.25">
      <c r="C98" s="2" t="s">
        <v>167</v>
      </c>
    </row>
    <row r="99" spans="3:5" x14ac:dyDescent="0.25">
      <c r="C99" s="2" t="s">
        <v>168</v>
      </c>
    </row>
    <row r="100" spans="3:5" x14ac:dyDescent="0.25">
      <c r="C100" s="2" t="s">
        <v>169</v>
      </c>
    </row>
    <row r="101" spans="3:5" x14ac:dyDescent="0.25">
      <c r="D101" s="2" t="s">
        <v>170</v>
      </c>
    </row>
    <row r="102" spans="3:5" x14ac:dyDescent="0.25">
      <c r="C102" s="2" t="s">
        <v>171</v>
      </c>
      <c r="D102" s="2" t="s">
        <v>172</v>
      </c>
      <c r="E102" s="2" t="s">
        <v>172</v>
      </c>
    </row>
    <row r="103" spans="3:5" x14ac:dyDescent="0.25">
      <c r="D103" s="2" t="s">
        <v>173</v>
      </c>
      <c r="E103" s="2" t="s">
        <v>174</v>
      </c>
    </row>
    <row r="104" spans="3:5" x14ac:dyDescent="0.25">
      <c r="C104" s="2" t="s">
        <v>175</v>
      </c>
      <c r="D104" s="2">
        <v>82.86</v>
      </c>
      <c r="E104" s="2">
        <v>78</v>
      </c>
    </row>
    <row r="105" spans="3:5" x14ac:dyDescent="0.25">
      <c r="C105" s="2" t="s">
        <v>176</v>
      </c>
      <c r="D105" s="2">
        <v>176.87</v>
      </c>
      <c r="E105" s="2">
        <v>166.5</v>
      </c>
    </row>
    <row r="106" spans="3:5" x14ac:dyDescent="0.25">
      <c r="C106" s="2" t="s">
        <v>177</v>
      </c>
      <c r="D106" s="2">
        <v>88.6</v>
      </c>
      <c r="E106" s="2">
        <v>83.46</v>
      </c>
    </row>
    <row r="107" spans="3:5" x14ac:dyDescent="0.25">
      <c r="C107" s="2" t="s">
        <v>178</v>
      </c>
      <c r="D107" s="2">
        <v>192.24</v>
      </c>
      <c r="E107" s="2">
        <v>181.09</v>
      </c>
    </row>
    <row r="109" spans="3:5" x14ac:dyDescent="0.25">
      <c r="C109" s="2" t="s">
        <v>179</v>
      </c>
    </row>
    <row r="110" spans="3:5" x14ac:dyDescent="0.25">
      <c r="C110" s="2" t="s">
        <v>180</v>
      </c>
    </row>
    <row r="111" spans="3:5" x14ac:dyDescent="0.25">
      <c r="C111" s="2" t="s">
        <v>181</v>
      </c>
    </row>
    <row r="112" spans="3:5" x14ac:dyDescent="0.25">
      <c r="C112" s="2" t="s">
        <v>182</v>
      </c>
    </row>
    <row r="113" spans="3:3" x14ac:dyDescent="0.25">
      <c r="C113" s="2" t="s">
        <v>183</v>
      </c>
    </row>
    <row r="114" spans="3:3" x14ac:dyDescent="0.25">
      <c r="C114" s="2" t="s">
        <v>184</v>
      </c>
    </row>
    <row r="115" spans="3:3" x14ac:dyDescent="0.25">
      <c r="C115" s="2" t="s">
        <v>185</v>
      </c>
    </row>
    <row r="116" spans="3:3" x14ac:dyDescent="0.25">
      <c r="C116" s="2" t="s">
        <v>186</v>
      </c>
    </row>
    <row r="117" spans="3:3" x14ac:dyDescent="0.25">
      <c r="C117" s="2" t="s">
        <v>187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1F19-F2BF-4987-BA64-76A9AB013FCB}">
  <dimension ref="C4:K18"/>
  <sheetViews>
    <sheetView workbookViewId="0"/>
  </sheetViews>
  <sheetFormatPr defaultRowHeight="15" x14ac:dyDescent="0.25"/>
  <cols>
    <col min="3" max="3" width="53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3" t="s">
        <v>188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189</v>
      </c>
      <c r="D5" s="46" t="s">
        <v>190</v>
      </c>
      <c r="E5" s="46"/>
      <c r="F5" s="46" t="s">
        <v>191</v>
      </c>
      <c r="G5" s="46"/>
      <c r="H5" s="46" t="s">
        <v>192</v>
      </c>
      <c r="I5" s="46"/>
      <c r="J5" s="47" t="s">
        <v>193</v>
      </c>
      <c r="K5" s="47"/>
    </row>
    <row r="6" spans="3:11" ht="63.75" x14ac:dyDescent="0.25">
      <c r="C6" s="48"/>
      <c r="D6" s="49" t="s">
        <v>194</v>
      </c>
      <c r="E6" s="49" t="s">
        <v>195</v>
      </c>
      <c r="F6" s="49" t="s">
        <v>194</v>
      </c>
      <c r="G6" s="49" t="s">
        <v>195</v>
      </c>
      <c r="H6" s="49" t="s">
        <v>194</v>
      </c>
      <c r="I6" s="49" t="s">
        <v>195</v>
      </c>
      <c r="J6" s="50" t="s">
        <v>194</v>
      </c>
      <c r="K6" s="50" t="s">
        <v>195</v>
      </c>
    </row>
    <row r="7" spans="3:11" x14ac:dyDescent="0.25">
      <c r="C7" s="51" t="s">
        <v>196</v>
      </c>
      <c r="D7" s="52">
        <v>1.4378</v>
      </c>
      <c r="E7" s="52">
        <v>10231.043382081849</v>
      </c>
      <c r="F7" s="52">
        <v>15.753299999999999</v>
      </c>
      <c r="G7" s="52">
        <v>15515.795359239586</v>
      </c>
      <c r="H7" s="52">
        <v>16.184699999999999</v>
      </c>
      <c r="I7" s="52">
        <v>21188.597607533724</v>
      </c>
      <c r="J7" s="52">
        <v>11.811</v>
      </c>
      <c r="K7" s="52">
        <v>166500</v>
      </c>
    </row>
    <row r="8" spans="3:11" x14ac:dyDescent="0.25">
      <c r="C8" s="51" t="s">
        <v>197</v>
      </c>
      <c r="D8" s="52">
        <v>-0.4143</v>
      </c>
      <c r="E8" s="52">
        <v>9958.57</v>
      </c>
      <c r="F8" s="52">
        <v>12.635999999999999</v>
      </c>
      <c r="G8" s="52">
        <v>14289.981199154563</v>
      </c>
      <c r="H8" s="52">
        <v>17.904299999999999</v>
      </c>
      <c r="I8" s="52">
        <v>22784.957407115573</v>
      </c>
      <c r="J8" s="52" t="s">
        <v>198</v>
      </c>
      <c r="K8" s="52" t="s">
        <v>198</v>
      </c>
    </row>
    <row r="9" spans="3:11" x14ac:dyDescent="0.25">
      <c r="C9" s="51" t="s">
        <v>199</v>
      </c>
      <c r="D9" s="52">
        <v>1.8946000000000001</v>
      </c>
      <c r="E9" s="52">
        <v>10189.459999999999</v>
      </c>
      <c r="F9" s="52">
        <v>10.923299999999999</v>
      </c>
      <c r="G9" s="52">
        <v>13647.97896451152</v>
      </c>
      <c r="H9" s="52">
        <v>15.940099999999999</v>
      </c>
      <c r="I9" s="52">
        <v>20949.243903360148</v>
      </c>
      <c r="J9" s="52">
        <v>12.8994</v>
      </c>
      <c r="K9" s="52">
        <v>334651.46255056007</v>
      </c>
    </row>
    <row r="10" spans="3:11" x14ac:dyDescent="0.25">
      <c r="C10" s="51" t="s">
        <v>200</v>
      </c>
      <c r="D10" s="53">
        <v>162.74</v>
      </c>
      <c r="E10" s="54"/>
      <c r="F10" s="53">
        <v>107.31</v>
      </c>
      <c r="G10" s="54"/>
      <c r="H10" s="53">
        <v>78.58</v>
      </c>
      <c r="I10" s="54"/>
      <c r="J10" s="53">
        <v>10</v>
      </c>
      <c r="K10" s="54"/>
    </row>
    <row r="12" spans="3:11" ht="15.75" x14ac:dyDescent="0.25">
      <c r="C12" s="43" t="s">
        <v>201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189</v>
      </c>
      <c r="D13" s="46" t="s">
        <v>190</v>
      </c>
      <c r="E13" s="46"/>
      <c r="F13" s="46" t="s">
        <v>191</v>
      </c>
      <c r="G13" s="46"/>
      <c r="H13" s="46" t="s">
        <v>192</v>
      </c>
      <c r="I13" s="46"/>
      <c r="J13" s="47" t="s">
        <v>193</v>
      </c>
      <c r="K13" s="47"/>
    </row>
    <row r="14" spans="3:11" ht="63.75" x14ac:dyDescent="0.25">
      <c r="C14" s="48"/>
      <c r="D14" s="49" t="s">
        <v>194</v>
      </c>
      <c r="E14" s="49" t="s">
        <v>195</v>
      </c>
      <c r="F14" s="49" t="s">
        <v>194</v>
      </c>
      <c r="G14" s="49" t="s">
        <v>195</v>
      </c>
      <c r="H14" s="49" t="s">
        <v>194</v>
      </c>
      <c r="I14" s="49" t="s">
        <v>195</v>
      </c>
      <c r="J14" s="50" t="s">
        <v>194</v>
      </c>
      <c r="K14" s="50" t="s">
        <v>195</v>
      </c>
    </row>
    <row r="15" spans="3:11" x14ac:dyDescent="0.25">
      <c r="C15" s="51" t="s">
        <v>196</v>
      </c>
      <c r="D15" s="52">
        <v>2.0857999999999999</v>
      </c>
      <c r="E15" s="52">
        <v>10296.810143856257</v>
      </c>
      <c r="F15" s="52">
        <v>16.503900000000002</v>
      </c>
      <c r="G15" s="52">
        <v>15819.865466934569</v>
      </c>
      <c r="H15" s="52">
        <v>17.0017</v>
      </c>
      <c r="I15" s="52">
        <v>21944.983034415902</v>
      </c>
      <c r="J15" s="52">
        <v>13.444000000000001</v>
      </c>
      <c r="K15" s="52">
        <v>46805.376066166966</v>
      </c>
    </row>
    <row r="16" spans="3:11" x14ac:dyDescent="0.25">
      <c r="C16" s="51" t="s">
        <v>197</v>
      </c>
      <c r="D16" s="52">
        <v>-0.4143</v>
      </c>
      <c r="E16" s="52">
        <v>9958.57</v>
      </c>
      <c r="F16" s="52">
        <v>12.635999999999999</v>
      </c>
      <c r="G16" s="52">
        <v>14289.981199154563</v>
      </c>
      <c r="H16" s="52">
        <v>17.904299999999999</v>
      </c>
      <c r="I16" s="52">
        <v>22784.957407115573</v>
      </c>
      <c r="J16" s="52">
        <v>13.6806</v>
      </c>
      <c r="K16" s="52">
        <v>47576.249936288645</v>
      </c>
    </row>
    <row r="17" spans="3:11" x14ac:dyDescent="0.25">
      <c r="C17" s="51" t="s">
        <v>199</v>
      </c>
      <c r="D17" s="52">
        <v>1.8946000000000001</v>
      </c>
      <c r="E17" s="52">
        <v>10189.459999999999</v>
      </c>
      <c r="F17" s="52">
        <v>10.923299999999999</v>
      </c>
      <c r="G17" s="52">
        <v>13647.97896451152</v>
      </c>
      <c r="H17" s="52">
        <v>15.940099999999999</v>
      </c>
      <c r="I17" s="52">
        <v>20949.243903360148</v>
      </c>
      <c r="J17" s="52">
        <v>12.694599999999999</v>
      </c>
      <c r="K17" s="52">
        <v>42792.661105268897</v>
      </c>
    </row>
    <row r="18" spans="3:11" x14ac:dyDescent="0.25">
      <c r="C18" s="51" t="s">
        <v>202</v>
      </c>
      <c r="D18" s="53">
        <v>175.87</v>
      </c>
      <c r="E18" s="54"/>
      <c r="F18" s="53">
        <v>114.47</v>
      </c>
      <c r="G18" s="54"/>
      <c r="H18" s="53">
        <v>82.52</v>
      </c>
      <c r="I18" s="54"/>
      <c r="J18" s="53">
        <v>38.69</v>
      </c>
      <c r="K18" s="54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XDO_?FINAL_ISIN?16?</vt:lpstr>
      <vt:lpstr>XDO_?FINAL_ISIN?17?</vt:lpstr>
      <vt:lpstr>XDO_?FINAL_ISIN?18?</vt:lpstr>
      <vt:lpstr>XDO_?FINAL_MV?16?</vt:lpstr>
      <vt:lpstr>XDO_?FINAL_MV?17?</vt:lpstr>
      <vt:lpstr>XDO_?FINAL_MV?18?</vt:lpstr>
      <vt:lpstr>XDO_?FINAL_NAME?16?</vt:lpstr>
      <vt:lpstr>XDO_?FINAL_NAME?17?</vt:lpstr>
      <vt:lpstr>XDO_?FINAL_NAME?18?</vt:lpstr>
      <vt:lpstr>XDO_?FINAL_PER_NET?16?</vt:lpstr>
      <vt:lpstr>XDO_?FINAL_PER_NET?17?</vt:lpstr>
      <vt:lpstr>XDO_?FINAL_PER_NET?18?</vt:lpstr>
      <vt:lpstr>XDO_?FINAL_QUANTITE?16?</vt:lpstr>
      <vt:lpstr>XDO_?FINAL_QUANTITE?17?</vt:lpstr>
      <vt:lpstr>XDO_?FINAL_QUANTITE?18?</vt:lpstr>
      <vt:lpstr>XDO_?IND_01?16?</vt:lpstr>
      <vt:lpstr>XDO_?IND_01?17?</vt:lpstr>
      <vt:lpstr>XDO_?IND_01?18?</vt:lpstr>
      <vt:lpstr>XDO_?NAMCNAME?7?</vt:lpstr>
      <vt:lpstr>XDO_?NOVAL?16?</vt:lpstr>
      <vt:lpstr>XDO_?NOVAL?17?</vt:lpstr>
      <vt:lpstr>XDO_?NOVAL?18?</vt:lpstr>
      <vt:lpstr>XDO_?NPTF?7?</vt:lpstr>
      <vt:lpstr>XDO_?RATING?16?</vt:lpstr>
      <vt:lpstr>XDO_?RATING?17?</vt:lpstr>
      <vt:lpstr>XDO_?RATING?18?</vt:lpstr>
      <vt:lpstr>XDO_?REMARKS?16?</vt:lpstr>
      <vt:lpstr>XDO_?REMARKS?17?</vt:lpstr>
      <vt:lpstr>XDO_?REMARKS?18?</vt:lpstr>
      <vt:lpstr>XDO_?TITL?7?</vt:lpstr>
      <vt:lpstr>XDO_GROUP_?G_2?7?</vt:lpstr>
      <vt:lpstr>XDO_GROUP_?G_3?7?</vt:lpstr>
      <vt:lpstr>XDO_GROUP_?G_4?16?</vt:lpstr>
      <vt:lpstr>XDO_GROUP_?G_4?17?</vt:lpstr>
      <vt:lpstr>XDO_GROUP_?G_4?18?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2025-03-06T12:10:54Z</dcterms:created>
  <dcterms:modified xsi:type="dcterms:W3CDTF">2025-03-06T15:13:09Z</dcterms:modified>
</cp:coreProperties>
</file>