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rusasset.sharepoint.com/sites/GURGAON-FILESERVER/Shared Documents/Fund Ops/Audit/All Audit/Operations/MIS Reports/FY2026-27/3. JUNE 2026/MONTHLY PORTFOLIO FINAL/Ops/"/>
    </mc:Choice>
  </mc:AlternateContent>
  <xr:revisionPtr revIDLastSave="1" documentId="13_ncr:1_{C7E17A1E-3E5C-4B0D-8B60-8313A4C0060C}" xr6:coauthVersionLast="47" xr6:coauthVersionMax="47" xr10:uidLastSave="{BFCCBBF6-80E7-48AF-9D9C-C07B3B63B9D5}"/>
  <bookViews>
    <workbookView xWindow="-120" yWindow="-120" windowWidth="20730" windowHeight="11040" xr2:uid="{2F6064FD-1958-43E2-9D0F-9A1ACA552D07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TBF!$C$8:$C$43</definedName>
    <definedName name="XDO_?CLASS_4?">TBF!$C$9</definedName>
    <definedName name="XDO_?CS_1?">TBF!$H$11</definedName>
    <definedName name="XDO_?CS_2?">TBF!$I$11</definedName>
    <definedName name="XDO_?FINAL_ISIN?">TBF!$D$10:$D$87</definedName>
    <definedName name="XDO_?FINAL_MV?">TBF!$H$10:$H$87</definedName>
    <definedName name="XDO_?FINAL_NAME?">TBF!$C$10:$C$87</definedName>
    <definedName name="XDO_?FINAL_PER_NET?">TBF!$I$10:$I$87</definedName>
    <definedName name="XDO_?FINAL_QUANTITE?">TBF!$G$10:$G$87</definedName>
    <definedName name="XDO_?IND_01?">TBF!$F$10:$F$87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TBF!$C$2:$C$43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TBF!$B$10:$B$87</definedName>
    <definedName name="XDO_?NPTF?">TBF!$D$2:$D$43</definedName>
    <definedName name="XDO_?RATING?">TBF!$E$10:$E$87</definedName>
    <definedName name="XDO_?REMARKS?">TBF!$J$10:$J$87</definedName>
    <definedName name="XDO_?TDATE?">TBF!$D$4</definedName>
    <definedName name="XDO_?TITL?">TBF!$A$8:$A$43</definedName>
    <definedName name="XDO_GROUP_?G_2?">TBF!$2:$90</definedName>
    <definedName name="XDO_GROUP_?G_3?">TBF!$8:$89</definedName>
    <definedName name="XDO_GROUP_?G_4?">TBF!$B$87:$IV$87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<sst xmlns="http://schemas.openxmlformats.org/spreadsheetml/2006/main" count="276" uniqueCount="202">
  <si>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</si>
  <si>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</si>
  <si>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</si>
  <si>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</si>
  <si>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</si>
  <si>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</si>
  <si>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</si>
  <si>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</si>
  <si>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</si>
  <si>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</si>
  <si>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</si>
  <si>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</si>
  <si>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</si>
  <si>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</si>
  <si>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</si>
  <si>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</si>
  <si>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</si>
  <si>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</si>
  <si>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</si>
  <si>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</si>
  <si>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</si>
  <si>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</si>
  <si>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</si>
  <si>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</si>
  <si>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</si>
  <si>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</si>
  <si>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</si>
  <si>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</si>
  <si>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</si>
  <si>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</si>
  <si>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</si>
  <si>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</si>
  <si>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</si>
  <si>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</si>
  <si>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</si>
  <si>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</si>
  <si>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</si>
  <si>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</si>
  <si>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</si>
  <si>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</si>
  <si>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</si>
  <si>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101184</t>
  </si>
  <si>
    <t>Mazagon Dock Shipbuilders Ltd.</t>
  </si>
  <si>
    <t>INE249Z01020</t>
  </si>
  <si>
    <t>Industrial Manufacturing</t>
  </si>
  <si>
    <t>100182</t>
  </si>
  <si>
    <t>Power Grid Corporation of India Ltd.</t>
  </si>
  <si>
    <t>INE752E01010</t>
  </si>
  <si>
    <t>Power</t>
  </si>
  <si>
    <t>100302</t>
  </si>
  <si>
    <t>DLF Ltd.</t>
  </si>
  <si>
    <t>INE271C01023</t>
  </si>
  <si>
    <t>Realty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</si>
  <si>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</si>
  <si>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</si>
  <si>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</si>
  <si>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</si>
  <si>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</si>
  <si>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</si>
  <si>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</si>
  <si>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100222</t>
  </si>
  <si>
    <t>The Indian Hotels Company Ltd.</t>
  </si>
  <si>
    <t>INE053A01029</t>
  </si>
  <si>
    <t>Leisure Services</t>
  </si>
  <si>
    <t>100037</t>
  </si>
  <si>
    <t>HCL Technologies Ltd.</t>
  </si>
  <si>
    <t>INE860A01027</t>
  </si>
  <si>
    <t>IT - Software</t>
  </si>
  <si>
    <t>100733</t>
  </si>
  <si>
    <t>General Insurance Corporation of India</t>
  </si>
  <si>
    <t>INE481Y01014</t>
  </si>
  <si>
    <t>Insurance</t>
  </si>
  <si>
    <t>100097</t>
  </si>
  <si>
    <t>Coal India Ltd.</t>
  </si>
  <si>
    <t>INE522F01014</t>
  </si>
  <si>
    <t>Consumable Fuels</t>
  </si>
  <si>
    <t>100177</t>
  </si>
  <si>
    <t>Grasim Industries Ltd.</t>
  </si>
  <si>
    <t>INE047A01021</t>
  </si>
  <si>
    <t>Cement &amp; Cement Products</t>
  </si>
  <si>
    <t>100185</t>
  </si>
  <si>
    <t>Tata Power Company Ltd.</t>
  </si>
  <si>
    <t>INE245A01021</t>
  </si>
  <si>
    <t>100026</t>
  </si>
  <si>
    <t>Persistent Systems Ltd.</t>
  </si>
  <si>
    <t>INE262H01021</t>
  </si>
  <si>
    <t>100677</t>
  </si>
  <si>
    <t>Dixon Technologies (India) Ltd.</t>
  </si>
  <si>
    <t>INE935N01020</t>
  </si>
  <si>
    <t>Consumer Durables</t>
  </si>
  <si>
    <t>100099</t>
  </si>
  <si>
    <t>Hindustan Unilever Ltd.</t>
  </si>
  <si>
    <t>INE030A01027</t>
  </si>
  <si>
    <t>100814</t>
  </si>
  <si>
    <t>HDFC Asset Management Co. Ltd.</t>
  </si>
  <si>
    <t>INE127D01025</t>
  </si>
  <si>
    <t>Capital Markets</t>
  </si>
  <si>
    <t>102678</t>
  </si>
  <si>
    <t>TATA Capital Ltd.</t>
  </si>
  <si>
    <t>INE976I01016</t>
  </si>
  <si>
    <t>Finance</t>
  </si>
  <si>
    <t>102823</t>
  </si>
  <si>
    <t>Insolation Energy Ltd.</t>
  </si>
  <si>
    <t>INE0LGX01024</t>
  </si>
  <si>
    <t>Electrical Equipment</t>
  </si>
  <si>
    <t>100260</t>
  </si>
  <si>
    <t>Solar Industries India Ltd.</t>
  </si>
  <si>
    <t>INE343H01029</t>
  </si>
  <si>
    <t>Chemicals &amp; Petrochemicals</t>
  </si>
  <si>
    <t>100138</t>
  </si>
  <si>
    <t>PVR Inox Ltd.</t>
  </si>
  <si>
    <t>INE191H01014</t>
  </si>
  <si>
    <t>Entertainment</t>
  </si>
  <si>
    <t>100280</t>
  </si>
  <si>
    <t>TVS Motor Company Ltd.</t>
  </si>
  <si>
    <t>INE494B01023</t>
  </si>
  <si>
    <t>100106</t>
  </si>
  <si>
    <t>Maruti Suzuki India Ltd.</t>
  </si>
  <si>
    <t>INE585B01010</t>
  </si>
  <si>
    <t>100081</t>
  </si>
  <si>
    <t>Titan Company Ltd.</t>
  </si>
  <si>
    <t>INE280A01028</t>
  </si>
  <si>
    <t>100008</t>
  </si>
  <si>
    <t>Sun Pharmaceutical Industries Ltd.</t>
  </si>
  <si>
    <t>INE044A01036</t>
  </si>
  <si>
    <t>100194</t>
  </si>
  <si>
    <t>Power Finance Corporation Ltd.</t>
  </si>
  <si>
    <t>INE134E01011</t>
  </si>
  <si>
    <t>100084</t>
  </si>
  <si>
    <t>ABB India Ltd.</t>
  </si>
  <si>
    <t>INE117A01022</t>
  </si>
  <si>
    <t>100474</t>
  </si>
  <si>
    <t>Narayana Hrudayalaya Ltd.</t>
  </si>
  <si>
    <t>INE410P01011</t>
  </si>
  <si>
    <t>Healthcare Services</t>
  </si>
  <si>
    <t>100111</t>
  </si>
  <si>
    <t>Oil &amp; Natural Gas Corporation Ltd.</t>
  </si>
  <si>
    <t>INE213A01029</t>
  </si>
  <si>
    <t>Oil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</si>
  <si>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</si>
  <si>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</si>
  <si>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</si>
  <si>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</si>
  <si>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</si>
  <si>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</si>
  <si>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</si>
  <si>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</si>
  <si>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</si>
  <si>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</si>
  <si>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</si>
  <si>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</si>
  <si>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</si>
  <si>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</si>
  <si>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</si>
  <si>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</si>
  <si>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</si>
  <si>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</si>
  <si>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</si>
  <si>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</si>
  <si>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</si>
  <si>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</si>
  <si>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</si>
  <si>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</si>
  <si>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</si>
  <si>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</si>
  <si>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</si>
  <si>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</si>
  <si>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</si>
  <si>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</si>
  <si>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</si>
  <si>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</si>
  <si>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</si>
  <si>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</si>
  <si>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</si>
  <si>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</si>
  <si>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</si>
  <si>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</si>
  <si>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</si>
  <si>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May 31, 2026.</t>
  </si>
  <si>
    <t>7. The Scheme did not declare any bonus during the month ended as on May 31, 2026.</t>
  </si>
  <si>
    <t>8. Total outstanding exposure in derivative instruments as on May 31, 2026 is Nil</t>
  </si>
  <si>
    <t>9. Total investments in Foreign Securities /ADRs/GDRs /Overseas ETFs as on May 31, 2026 and its percentage to NAV is Nil.</t>
  </si>
  <si>
    <t>10. During the period, the portfolio turnover ratio is 0.91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</si>
  <si>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</si>
  <si>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</si>
  <si>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 May 31, 2026.</t>
  </si>
  <si>
    <t>13. There are Nil instances of deviation from the valuation principles/guidelines during the month ended as on May 31st, 2026.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</si>
  <si>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</si>
  <si>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</si>
  <si>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</si>
  <si>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</si>
  <si>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</si>
  <si>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</si>
  <si>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</si>
  <si>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</si>
  <si>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</si>
  <si>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</si>
  <si>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</si>
  <si>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</si>
  <si>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May 29,2026 :152.69)</t>
  </si>
  <si>
    <t>Taurus Largecap Fund - Direct Plan Growth Option</t>
  </si>
  <si>
    <t>NAV [Rs.] Per Unit (as on May 29,2026 :161.83)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</si>
</sst>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14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D8DF2D67-E1E1-48A5-B8D8-B7C911B6CF39}"/>
    <cellStyle name="Hyperlink" xfId="2" builtinId="8"/>
    <cellStyle name="Normal" xfId="0" builtinId="0"/>
    <cellStyle name="Normal 2" xfId="4" xr:uid="{B90449E0-C92C-4DE7-B25E-3B8E374B238C}"/>
    <cellStyle name="Style 1" xfId="3" xr:uid="{75B14A0C-7C72-4D19-A668-BB11B96CB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256412</xdr:colOff>
      <xdr:row>0</xdr:row>
      <xdr:rowOff>1894416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4E0DE-4D94-4D7A-BA1E-F15F86ADF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0"/>
          <a:ext cx="7008579" cy="18944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file:///Q:\5.TMF\Reporting\Monthly%20Reports\Monthly%20Portfolio\2026-27\May_2026\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6644-0B8A-4FE3-A3B5-AF5F337D45C7}">
  <sheetPr codeName="Sheet1"/>
  <dimension ref="A1:BB116"/>
  <sheetViews>
    <sheetView showGridLines="0" tabSelected="1" zoomScale="90" zoomScaleNormal="90" workbookViewId="0">
      <selection activeCell="C99" sqref="C99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6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152721</v>
      </c>
      <c r="H10" s="32">
        <v>438.31</v>
      </c>
      <c r="I10" s="32">
        <v>8.67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6018</v>
      </c>
      <c r="H11" s="32">
        <v>400.81</v>
      </c>
      <c r="I11" s="32">
        <v>7.93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41827</v>
      </c>
      <c r="H12" s="32">
        <v>311.51</v>
      </c>
      <c r="I12" s="32">
        <v>6.16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24392</v>
      </c>
      <c r="H13" s="32">
        <v>306.36</v>
      </c>
      <c r="I13" s="32">
        <v>6.06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12779</v>
      </c>
      <c r="H14" s="32">
        <v>233.82</v>
      </c>
      <c r="I14" s="32">
        <v>4.62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17135</v>
      </c>
      <c r="H15" s="32">
        <v>226.28</v>
      </c>
      <c r="I15" s="32">
        <v>4.4800000000000004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26</v>
      </c>
      <c r="G16" s="31">
        <v>19735</v>
      </c>
      <c r="H16" s="32">
        <v>190.25</v>
      </c>
      <c r="I16" s="32">
        <v>3.76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7390</v>
      </c>
      <c r="H17" s="32">
        <v>181.59</v>
      </c>
      <c r="I17" s="32">
        <v>3.59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58197</v>
      </c>
      <c r="H18" s="32">
        <v>168.63</v>
      </c>
      <c r="I18" s="32">
        <v>3.34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23778</v>
      </c>
      <c r="H19" s="32">
        <v>140.80000000000001</v>
      </c>
      <c r="I19" s="32">
        <v>2.78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4380</v>
      </c>
      <c r="H20" s="32">
        <v>132.91999999999999</v>
      </c>
      <c r="I20" s="32">
        <v>2.63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26</v>
      </c>
      <c r="G21" s="31">
        <v>10176</v>
      </c>
      <c r="H21" s="32">
        <v>131.06</v>
      </c>
      <c r="I21" s="32">
        <v>2.59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18630</v>
      </c>
      <c r="H22" s="32">
        <v>122.05</v>
      </c>
      <c r="I22" s="32">
        <v>2.41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9885</v>
      </c>
      <c r="H23" s="32">
        <v>117.07</v>
      </c>
      <c r="I23" s="32">
        <v>2.3199999999999998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28719</v>
      </c>
      <c r="H24" s="32">
        <v>109.71</v>
      </c>
      <c r="I24" s="32">
        <v>2.17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23390</v>
      </c>
      <c r="H25" s="32">
        <v>107.03</v>
      </c>
      <c r="I25" s="32">
        <v>2.12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3430</v>
      </c>
      <c r="H26" s="32">
        <v>107.03</v>
      </c>
      <c r="I26" s="32">
        <v>2.12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48</v>
      </c>
      <c r="G27" s="31">
        <v>22680</v>
      </c>
      <c r="H27" s="32">
        <v>95.4</v>
      </c>
      <c r="I27" s="32">
        <v>1.89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67</v>
      </c>
      <c r="G28" s="31">
        <v>1767</v>
      </c>
      <c r="H28" s="32">
        <v>91.8</v>
      </c>
      <c r="I28" s="32">
        <v>1.82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778</v>
      </c>
      <c r="H29" s="32">
        <v>89.6</v>
      </c>
      <c r="I29" s="32">
        <v>1.77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18</v>
      </c>
      <c r="G30" s="31">
        <v>4119</v>
      </c>
      <c r="H30" s="32">
        <v>88.39</v>
      </c>
      <c r="I30" s="32">
        <v>1.75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3169</v>
      </c>
      <c r="H31" s="32">
        <v>85.14</v>
      </c>
      <c r="I31" s="32">
        <v>1.68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26598</v>
      </c>
      <c r="H32" s="32">
        <v>81.239999999999995</v>
      </c>
      <c r="I32" s="32">
        <v>1.61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63039</v>
      </c>
      <c r="H33" s="32">
        <v>79.489999999999995</v>
      </c>
      <c r="I33" s="32">
        <v>1.57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108</v>
      </c>
      <c r="G34" s="31">
        <v>411</v>
      </c>
      <c r="H34" s="32">
        <v>75.11</v>
      </c>
      <c r="I34" s="32">
        <v>1.49</v>
      </c>
      <c r="J34" s="33"/>
    </row>
    <row r="35" spans="2:10" x14ac:dyDescent="0.25">
      <c r="B35" s="1" t="s">
        <v>109</v>
      </c>
      <c r="C35" s="20" t="s">
        <v>110</v>
      </c>
      <c r="D35" s="29" t="s">
        <v>111</v>
      </c>
      <c r="E35" s="30"/>
      <c r="F35" s="30" t="s">
        <v>112</v>
      </c>
      <c r="G35" s="31">
        <v>7774</v>
      </c>
      <c r="H35" s="32">
        <v>74.87</v>
      </c>
      <c r="I35" s="32">
        <v>1.48</v>
      </c>
      <c r="J35" s="33"/>
    </row>
    <row r="36" spans="2:10" x14ac:dyDescent="0.25">
      <c r="B36" s="1" t="s">
        <v>113</v>
      </c>
      <c r="C36" s="20" t="s">
        <v>114</v>
      </c>
      <c r="D36" s="29" t="s">
        <v>115</v>
      </c>
      <c r="E36" s="30"/>
      <c r="F36" s="30" t="s">
        <v>56</v>
      </c>
      <c r="G36" s="31">
        <v>2005</v>
      </c>
      <c r="H36" s="32">
        <v>67.209999999999994</v>
      </c>
      <c r="I36" s="32">
        <v>1.33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56</v>
      </c>
      <c r="G37" s="31">
        <v>443</v>
      </c>
      <c r="H37" s="32">
        <v>58.12</v>
      </c>
      <c r="I37" s="32">
        <v>1.1499999999999999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89</v>
      </c>
      <c r="G38" s="31">
        <v>1393</v>
      </c>
      <c r="H38" s="32">
        <v>56.76</v>
      </c>
      <c r="I38" s="32">
        <v>1.1200000000000001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22</v>
      </c>
      <c r="G39" s="31">
        <v>3074</v>
      </c>
      <c r="H39" s="32">
        <v>55.36</v>
      </c>
      <c r="I39" s="32">
        <v>1.0900000000000001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100</v>
      </c>
      <c r="G40" s="31">
        <v>12408</v>
      </c>
      <c r="H40" s="32">
        <v>53.17</v>
      </c>
      <c r="I40" s="32">
        <v>1.05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104</v>
      </c>
      <c r="G41" s="31">
        <v>728</v>
      </c>
      <c r="H41" s="32">
        <v>52.63</v>
      </c>
      <c r="I41" s="32">
        <v>1.04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2692</v>
      </c>
      <c r="H42" s="32">
        <v>51.12</v>
      </c>
      <c r="I42" s="32">
        <v>1.01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3858</v>
      </c>
      <c r="H43" s="32">
        <v>10.26</v>
      </c>
      <c r="I43" s="32">
        <v>0.2</v>
      </c>
      <c r="J43" s="33"/>
    </row>
    <row r="44" spans="2:10" x14ac:dyDescent="0.25">
      <c r="C44" s="28" t="s">
        <v>139</v>
      </c>
      <c r="D44" s="29"/>
      <c r="E44" s="30"/>
      <c r="F44" s="30"/>
      <c r="G44" s="31"/>
      <c r="H44" s="35">
        <v>4590.8999999999996</v>
      </c>
      <c r="I44" s="35">
        <v>90.8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140</v>
      </c>
      <c r="D46" s="29"/>
      <c r="E46" s="30"/>
      <c r="F46" s="30"/>
      <c r="G46" s="31"/>
      <c r="H46" s="32" t="s">
        <v>141</v>
      </c>
      <c r="I46" s="32" t="s">
        <v>141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142</v>
      </c>
      <c r="D48" s="29"/>
      <c r="E48" s="30"/>
      <c r="F48" s="30"/>
      <c r="G48" s="31"/>
      <c r="H48" s="32" t="s">
        <v>141</v>
      </c>
      <c r="I48" s="32" t="s">
        <v>141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143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144</v>
      </c>
      <c r="D52" s="29"/>
      <c r="E52" s="30"/>
      <c r="F52" s="30"/>
      <c r="G52" s="31"/>
      <c r="H52" s="32" t="s">
        <v>141</v>
      </c>
      <c r="I52" s="32" t="s">
        <v>141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145</v>
      </c>
      <c r="D54" s="29"/>
      <c r="E54" s="30"/>
      <c r="F54" s="30"/>
      <c r="G54" s="31"/>
      <c r="H54" s="32" t="s">
        <v>141</v>
      </c>
      <c r="I54" s="32" t="s">
        <v>141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146</v>
      </c>
      <c r="D56" s="29"/>
      <c r="E56" s="30"/>
      <c r="F56" s="30"/>
      <c r="G56" s="31"/>
      <c r="H56" s="32" t="s">
        <v>141</v>
      </c>
      <c r="I56" s="32" t="s">
        <v>141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147</v>
      </c>
      <c r="D58" s="29"/>
      <c r="E58" s="30"/>
      <c r="F58" s="30"/>
      <c r="G58" s="31"/>
      <c r="H58" s="32" t="s">
        <v>141</v>
      </c>
      <c r="I58" s="32" t="s">
        <v>141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148</v>
      </c>
      <c r="D60" s="29"/>
      <c r="E60" s="30"/>
      <c r="F60" s="30"/>
      <c r="G60" s="31"/>
      <c r="H60" s="32" t="s">
        <v>141</v>
      </c>
      <c r="I60" s="32" t="s">
        <v>141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149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150</v>
      </c>
      <c r="D64" s="29"/>
      <c r="E64" s="30"/>
      <c r="F64" s="30"/>
      <c r="G64" s="31"/>
      <c r="H64" s="32" t="s">
        <v>141</v>
      </c>
      <c r="I64" s="32" t="s">
        <v>141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151</v>
      </c>
      <c r="D66" s="29"/>
      <c r="E66" s="30"/>
      <c r="F66" s="30"/>
      <c r="G66" s="31"/>
      <c r="H66" s="32" t="s">
        <v>141</v>
      </c>
      <c r="I66" s="32" t="s">
        <v>141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152</v>
      </c>
      <c r="D68" s="29"/>
      <c r="E68" s="30"/>
      <c r="F68" s="30"/>
      <c r="G68" s="31"/>
      <c r="H68" s="32" t="s">
        <v>141</v>
      </c>
      <c r="I68" s="32" t="s">
        <v>141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153</v>
      </c>
      <c r="D70" s="29"/>
      <c r="E70" s="30"/>
      <c r="F70" s="30"/>
      <c r="G70" s="31"/>
      <c r="H70" s="32" t="s">
        <v>141</v>
      </c>
      <c r="I70" s="32" t="s">
        <v>141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154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155</v>
      </c>
      <c r="D74" s="29"/>
      <c r="E74" s="30"/>
      <c r="F74" s="30"/>
      <c r="G74" s="31"/>
      <c r="H74" s="32" t="s">
        <v>141</v>
      </c>
      <c r="I74" s="32" t="s">
        <v>141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156</v>
      </c>
      <c r="D76" s="29"/>
      <c r="E76" s="30"/>
      <c r="F76" s="30"/>
      <c r="G76" s="31"/>
      <c r="H76" s="32" t="s">
        <v>141</v>
      </c>
      <c r="I76" s="32" t="s">
        <v>141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157</v>
      </c>
      <c r="D78" s="29"/>
      <c r="E78" s="30"/>
      <c r="F78" s="30"/>
      <c r="G78" s="31"/>
      <c r="H78" s="32" t="s">
        <v>141</v>
      </c>
      <c r="I78" s="32" t="s">
        <v>141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158</v>
      </c>
      <c r="D80" s="29"/>
      <c r="E80" s="30"/>
      <c r="F80" s="30"/>
      <c r="G80" s="31"/>
      <c r="H80" s="32" t="s">
        <v>141</v>
      </c>
      <c r="I80" s="32" t="s">
        <v>141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159</v>
      </c>
      <c r="D82" s="29"/>
      <c r="E82" s="30"/>
      <c r="F82" s="30"/>
      <c r="G82" s="31"/>
      <c r="H82" s="32" t="s">
        <v>141</v>
      </c>
      <c r="I82" s="32" t="s">
        <v>141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160</v>
      </c>
      <c r="D84" s="29"/>
      <c r="E84" s="30"/>
      <c r="F84" s="30"/>
      <c r="G84" s="31"/>
      <c r="H84" s="32" t="s">
        <v>141</v>
      </c>
      <c r="I84" s="32" t="s">
        <v>141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161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162</v>
      </c>
      <c r="D87" s="29"/>
      <c r="E87" s="30"/>
      <c r="F87" s="30"/>
      <c r="G87" s="31"/>
      <c r="H87" s="32">
        <v>464.81</v>
      </c>
      <c r="I87" s="32">
        <v>9.1999999999999993</v>
      </c>
      <c r="J87" s="33"/>
    </row>
    <row r="88" spans="1:10" x14ac:dyDescent="0.25">
      <c r="C88" s="28" t="s">
        <v>139</v>
      </c>
      <c r="D88" s="29"/>
      <c r="E88" s="30"/>
      <c r="F88" s="30"/>
      <c r="G88" s="31"/>
      <c r="H88" s="35">
        <v>464.81</v>
      </c>
      <c r="I88" s="35">
        <v>9.1999999999999993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163</v>
      </c>
      <c r="D90" s="37"/>
      <c r="E90" s="38"/>
      <c r="F90" s="39"/>
      <c r="G90" s="40"/>
      <c r="H90" s="41">
        <v>5055.71</v>
      </c>
      <c r="I90" s="41">
        <f>SUMIFS(I:I,C:C,"Total")</f>
        <v>100</v>
      </c>
      <c r="J90" s="42"/>
    </row>
    <row r="93" spans="1:10" x14ac:dyDescent="0.25">
      <c r="C93" s="11" t="s">
        <v>164</v>
      </c>
    </row>
    <row r="94" spans="1:10" x14ac:dyDescent="0.25">
      <c r="C94" s="2" t="s">
        <v>165</v>
      </c>
    </row>
    <row r="95" spans="1:10" x14ac:dyDescent="0.25">
      <c r="C95" s="2" t="s">
        <v>166</v>
      </c>
    </row>
    <row r="96" spans="1:10" x14ac:dyDescent="0.25">
      <c r="C96" s="2" t="s">
        <v>167</v>
      </c>
    </row>
    <row r="97" spans="3:5" x14ac:dyDescent="0.25">
      <c r="C97" s="2" t="s">
        <v>168</v>
      </c>
    </row>
    <row r="98" spans="3:5" x14ac:dyDescent="0.25">
      <c r="C98" s="2" t="s">
        <v>169</v>
      </c>
    </row>
    <row r="99" spans="3:5" ht="14.25" thickBot="1" x14ac:dyDescent="0.3">
      <c r="C99" s="2" t="s">
        <v>170</v>
      </c>
    </row>
    <row r="100" spans="3:5" ht="14.25" thickBot="1" x14ac:dyDescent="0.3">
      <c r="C100" s="43"/>
      <c r="D100" s="60" t="s">
        <v>171</v>
      </c>
      <c r="E100" s="61"/>
    </row>
    <row r="101" spans="3:5" x14ac:dyDescent="0.25">
      <c r="C101" s="44" t="s">
        <v>172</v>
      </c>
      <c r="D101" s="45" t="s">
        <v>173</v>
      </c>
      <c r="E101" s="45" t="s">
        <v>173</v>
      </c>
    </row>
    <row r="102" spans="3:5" ht="14.25" thickBot="1" x14ac:dyDescent="0.3">
      <c r="C102" s="46"/>
      <c r="D102" s="47">
        <v>46142</v>
      </c>
      <c r="E102" s="47">
        <v>46173</v>
      </c>
    </row>
    <row r="103" spans="3:5" ht="14.25" thickBot="1" x14ac:dyDescent="0.3">
      <c r="C103" s="48" t="s">
        <v>174</v>
      </c>
      <c r="D103" s="49">
        <v>68.739999999999995</v>
      </c>
      <c r="E103" s="49">
        <v>66.88</v>
      </c>
    </row>
    <row r="104" spans="3:5" ht="14.25" thickBot="1" x14ac:dyDescent="0.3">
      <c r="C104" s="48" t="s">
        <v>175</v>
      </c>
      <c r="D104" s="49">
        <v>156.91999999999999</v>
      </c>
      <c r="E104" s="49">
        <v>152.66999999999999</v>
      </c>
    </row>
    <row r="105" spans="3:5" ht="14.25" thickBot="1" x14ac:dyDescent="0.3">
      <c r="C105" s="48" t="s">
        <v>176</v>
      </c>
      <c r="D105" s="49">
        <v>73.239999999999995</v>
      </c>
      <c r="E105" s="49">
        <v>71.28</v>
      </c>
    </row>
    <row r="106" spans="3:5" ht="14.25" thickBot="1" x14ac:dyDescent="0.3">
      <c r="C106" s="48" t="s">
        <v>177</v>
      </c>
      <c r="D106" s="49">
        <v>166.27</v>
      </c>
      <c r="E106" s="49">
        <v>161.81</v>
      </c>
    </row>
    <row r="108" spans="3:5" x14ac:dyDescent="0.25">
      <c r="C108" s="2" t="s">
        <v>178</v>
      </c>
    </row>
    <row r="109" spans="3:5" x14ac:dyDescent="0.25">
      <c r="C109" s="2" t="s">
        <v>179</v>
      </c>
    </row>
    <row r="110" spans="3:5" x14ac:dyDescent="0.25">
      <c r="C110" s="2" t="s">
        <v>180</v>
      </c>
    </row>
    <row r="111" spans="3:5" x14ac:dyDescent="0.25">
      <c r="C111" s="2" t="s">
        <v>181</v>
      </c>
    </row>
    <row r="112" spans="3:5" x14ac:dyDescent="0.25">
      <c r="C112" s="2" t="s">
        <v>182</v>
      </c>
    </row>
    <row r="113" spans="3:3" x14ac:dyDescent="0.25">
      <c r="C113" s="2" t="s">
        <v>183</v>
      </c>
    </row>
    <row r="114" spans="3:3" x14ac:dyDescent="0.25">
      <c r="C114" s="2" t="s">
        <v>184</v>
      </c>
    </row>
    <row r="115" spans="3:3" x14ac:dyDescent="0.25">
      <c r="C115" s="2" t="s">
        <v>185</v>
      </c>
    </row>
    <row r="116" spans="3:3" x14ac:dyDescent="0.25">
      <c r="C116" s="50" t="s">
        <v>186</v>
      </c>
    </row>
  </sheetData>
  <mergeCells count="1">
    <mergeCell ref="D100:E10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2212-101B-4455-A29E-74706CB4EC05}">
  <dimension ref="C3:M17"/>
  <sheetViews>
    <sheetView topLeftCell="A3" workbookViewId="0">
      <selection activeCell="H7" sqref="H7"/>
    </sheetView>
  </sheetViews>
  <sheetFormatPr defaultRowHeight="15" x14ac:dyDescent="0.25"/>
  <cols>
    <col min="3" max="3" width="60.140625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1" t="s">
        <v>187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3:13" x14ac:dyDescent="0.25">
      <c r="C4" s="53" t="s">
        <v>188</v>
      </c>
      <c r="D4" s="62" t="s">
        <v>189</v>
      </c>
      <c r="E4" s="62"/>
      <c r="F4" s="62" t="s">
        <v>190</v>
      </c>
      <c r="G4" s="62"/>
      <c r="H4" s="62" t="s">
        <v>191</v>
      </c>
      <c r="I4" s="62"/>
      <c r="J4" s="63" t="s">
        <v>192</v>
      </c>
      <c r="K4" s="64"/>
      <c r="L4" s="65" t="s">
        <v>193</v>
      </c>
      <c r="M4" s="65"/>
    </row>
    <row r="5" spans="3:13" ht="63.75" x14ac:dyDescent="0.25">
      <c r="C5" s="54"/>
      <c r="D5" s="55" t="s">
        <v>194</v>
      </c>
      <c r="E5" s="55" t="s">
        <v>195</v>
      </c>
      <c r="F5" s="55" t="s">
        <v>194</v>
      </c>
      <c r="G5" s="55" t="s">
        <v>195</v>
      </c>
      <c r="H5" s="55" t="s">
        <v>194</v>
      </c>
      <c r="I5" s="55" t="s">
        <v>195</v>
      </c>
      <c r="J5" s="55" t="s">
        <v>194</v>
      </c>
      <c r="K5" s="55" t="s">
        <v>195</v>
      </c>
      <c r="L5" s="56" t="s">
        <v>194</v>
      </c>
      <c r="M5" s="56" t="s">
        <v>195</v>
      </c>
    </row>
    <row r="6" spans="3:13" x14ac:dyDescent="0.25">
      <c r="C6" s="57" t="s">
        <v>196</v>
      </c>
      <c r="D6" s="58">
        <v>-0.99209999999999998</v>
      </c>
      <c r="E6" s="58">
        <v>9900.7910776812332</v>
      </c>
      <c r="F6" s="58">
        <v>12.081799999999999</v>
      </c>
      <c r="G6" s="58">
        <v>14084.494050364357</v>
      </c>
      <c r="H6" s="58">
        <v>10.303800000000001</v>
      </c>
      <c r="I6" s="58">
        <v>16337.470575647338</v>
      </c>
      <c r="J6" s="58">
        <v>9.8861000000000008</v>
      </c>
      <c r="K6" s="58">
        <v>25696.735106024906</v>
      </c>
      <c r="L6" s="58">
        <v>10.411799999999999</v>
      </c>
      <c r="M6" s="58">
        <v>152690</v>
      </c>
    </row>
    <row r="7" spans="3:13" x14ac:dyDescent="0.25">
      <c r="C7" s="57" t="s">
        <v>197</v>
      </c>
      <c r="D7" s="58">
        <v>-2.5192999999999999</v>
      </c>
      <c r="E7" s="58">
        <v>9748.07</v>
      </c>
      <c r="F7" s="58">
        <v>11.0755</v>
      </c>
      <c r="G7" s="58">
        <v>13704.236051136188</v>
      </c>
      <c r="H7" s="58">
        <v>11.2563</v>
      </c>
      <c r="I7" s="58">
        <v>17046.022743398273</v>
      </c>
      <c r="J7" s="58">
        <v>13.180899999999999</v>
      </c>
      <c r="K7" s="58">
        <v>18572.301072845858</v>
      </c>
      <c r="L7" s="58"/>
      <c r="M7" s="58">
        <v>378765.29469121428</v>
      </c>
    </row>
    <row r="8" spans="3:13" x14ac:dyDescent="0.25">
      <c r="C8" s="57" t="s">
        <v>198</v>
      </c>
      <c r="D8" s="58">
        <v>-4.0838000000000001</v>
      </c>
      <c r="E8" s="58">
        <v>9591.619999999999</v>
      </c>
      <c r="F8" s="58">
        <v>9.4129000000000005</v>
      </c>
      <c r="G8" s="58">
        <v>13098.018141499084</v>
      </c>
      <c r="H8" s="58">
        <v>10.1014</v>
      </c>
      <c r="I8" s="58">
        <v>16179.466849099232</v>
      </c>
      <c r="J8" s="58">
        <v>12.550800000000001</v>
      </c>
      <c r="K8" s="58">
        <v>18061.047356176892</v>
      </c>
      <c r="L8" s="58">
        <v>12.0458</v>
      </c>
      <c r="M8" s="58">
        <v>350368.7880309131</v>
      </c>
    </row>
    <row r="9" spans="3:13" x14ac:dyDescent="0.25">
      <c r="C9" s="57" t="s">
        <v>199</v>
      </c>
      <c r="D9" s="66">
        <v>154.22</v>
      </c>
      <c r="E9" s="67"/>
      <c r="F9" s="66">
        <v>108.41</v>
      </c>
      <c r="G9" s="67"/>
      <c r="H9" s="66">
        <v>93.46</v>
      </c>
      <c r="I9" s="67"/>
      <c r="J9" s="66">
        <v>59.42</v>
      </c>
      <c r="K9" s="67"/>
      <c r="L9" s="66">
        <v>10</v>
      </c>
      <c r="M9" s="67"/>
    </row>
    <row r="11" spans="3:13" ht="15.75" x14ac:dyDescent="0.25">
      <c r="C11" s="51" t="s">
        <v>200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3:13" x14ac:dyDescent="0.25">
      <c r="C12" s="53" t="s">
        <v>188</v>
      </c>
      <c r="D12" s="62" t="s">
        <v>189</v>
      </c>
      <c r="E12" s="62"/>
      <c r="F12" s="62" t="s">
        <v>190</v>
      </c>
      <c r="G12" s="62"/>
      <c r="H12" s="62" t="s">
        <v>191</v>
      </c>
      <c r="I12" s="62"/>
      <c r="J12" s="63" t="s">
        <v>192</v>
      </c>
      <c r="K12" s="64"/>
      <c r="L12" s="65" t="s">
        <v>193</v>
      </c>
      <c r="M12" s="65"/>
    </row>
    <row r="13" spans="3:13" ht="63.75" x14ac:dyDescent="0.25">
      <c r="C13" s="54"/>
      <c r="D13" s="55" t="s">
        <v>194</v>
      </c>
      <c r="E13" s="55" t="s">
        <v>195</v>
      </c>
      <c r="F13" s="55" t="s">
        <v>194</v>
      </c>
      <c r="G13" s="55" t="s">
        <v>195</v>
      </c>
      <c r="H13" s="55" t="s">
        <v>194</v>
      </c>
      <c r="I13" s="55" t="s">
        <v>195</v>
      </c>
      <c r="J13" s="55" t="s">
        <v>194</v>
      </c>
      <c r="K13" s="55" t="s">
        <v>195</v>
      </c>
      <c r="L13" s="56" t="s">
        <v>194</v>
      </c>
      <c r="M13" s="56" t="s">
        <v>195</v>
      </c>
    </row>
    <row r="14" spans="3:13" x14ac:dyDescent="0.25">
      <c r="C14" s="57" t="s">
        <v>196</v>
      </c>
      <c r="D14" s="58">
        <v>-0.79079999999999995</v>
      </c>
      <c r="E14" s="58">
        <v>9920.9171162334496</v>
      </c>
      <c r="F14" s="58">
        <v>12.2478</v>
      </c>
      <c r="G14" s="58">
        <v>14147.215665705045</v>
      </c>
      <c r="H14" s="58">
        <v>10.438700000000001</v>
      </c>
      <c r="I14" s="58">
        <v>16437.785678009142</v>
      </c>
      <c r="J14" s="58">
        <v>10.2079</v>
      </c>
      <c r="K14" s="58">
        <v>26460.104643557886</v>
      </c>
      <c r="L14" s="58">
        <v>10.063499999999999</v>
      </c>
      <c r="M14" s="58">
        <v>36349.95507637017</v>
      </c>
    </row>
    <row r="15" spans="3:13" x14ac:dyDescent="0.25">
      <c r="C15" s="57" t="s">
        <v>197</v>
      </c>
      <c r="D15" s="58">
        <v>-2.5192999999999999</v>
      </c>
      <c r="E15" s="58">
        <v>9748.07</v>
      </c>
      <c r="F15" s="58">
        <v>11.0755</v>
      </c>
      <c r="G15" s="58">
        <v>13704.236051136188</v>
      </c>
      <c r="H15" s="58">
        <v>11.2563</v>
      </c>
      <c r="I15" s="58">
        <v>17046.022743398273</v>
      </c>
      <c r="J15" s="58">
        <v>13.180899999999999</v>
      </c>
      <c r="K15" s="58">
        <v>18572.301072845858</v>
      </c>
      <c r="L15" s="58">
        <v>12.61</v>
      </c>
      <c r="M15" s="58">
        <v>55625.86875157625</v>
      </c>
    </row>
    <row r="16" spans="3:13" x14ac:dyDescent="0.25">
      <c r="C16" s="57" t="s">
        <v>198</v>
      </c>
      <c r="D16" s="58">
        <v>-4.0838000000000001</v>
      </c>
      <c r="E16" s="58">
        <v>9591.619999999999</v>
      </c>
      <c r="F16" s="58">
        <v>9.4129000000000005</v>
      </c>
      <c r="G16" s="58">
        <v>13098.018141499084</v>
      </c>
      <c r="H16" s="58">
        <v>10.1014</v>
      </c>
      <c r="I16" s="58">
        <v>16179.466849099232</v>
      </c>
      <c r="J16" s="58">
        <v>12.550800000000001</v>
      </c>
      <c r="K16" s="58">
        <v>18061.047356176892</v>
      </c>
      <c r="L16" s="58">
        <v>12.0573</v>
      </c>
      <c r="M16" s="58">
        <v>46015.529222479578</v>
      </c>
    </row>
    <row r="17" spans="3:13" x14ac:dyDescent="0.25">
      <c r="C17" s="59" t="s">
        <v>201</v>
      </c>
      <c r="D17" s="66">
        <v>163.12</v>
      </c>
      <c r="E17" s="67"/>
      <c r="F17" s="66">
        <v>114.39</v>
      </c>
      <c r="G17" s="67"/>
      <c r="H17" s="66">
        <v>98.45</v>
      </c>
      <c r="I17" s="67"/>
      <c r="J17" s="66">
        <v>61.16</v>
      </c>
      <c r="K17" s="67"/>
      <c r="L17" s="66">
        <v>44.52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Props1.xml><?xml version="1.0" encoding="utf-8"?>
<ds:datastoreItem xmlns:ds="http://schemas.openxmlformats.org/officeDocument/2006/customXml" ds:itemID="{6EAB5D08-AE47-4921-B5B3-C9E53D7264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D602AD-7D63-48F6-BC5A-C0DA59566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99B76-3BE1-4C94-B410-CB9035BB7DC2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2026-06-04T14:36:47Z</dcterms:created>
  <dcterms:modified xsi:type="dcterms:W3CDTF">2026-06-08T09:22:33Z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