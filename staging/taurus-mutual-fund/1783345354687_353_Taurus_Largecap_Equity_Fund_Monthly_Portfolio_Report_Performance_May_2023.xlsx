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0730" windowHeight="11160"/>
  </bookViews>
  <sheets>
    <sheet name="TBF-Risk-o-meter &amp; Portfolio" sheetId="1" r:id="rId1"/>
    <sheet name="TBF-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Portfolio'!$C$8:$C$35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Portfolio'!$D$10:$D$78</definedName>
    <definedName name="XDO_?FINAL_MV?">'TBF-Risk-o-meter &amp; Portfolio'!$H$10:$H$78</definedName>
    <definedName name="XDO_?FINAL_NAME?">'TBF-Risk-o-meter &amp; Portfolio'!$C$10:$C$78</definedName>
    <definedName name="XDO_?FINAL_PER_NET?">'TBF-Risk-o-meter &amp; Portfolio'!$I$10:$I$78</definedName>
    <definedName name="XDO_?FINAL_QUANTITE?">'TBF-Risk-o-meter &amp; Portfolio'!$G$10:$G$78</definedName>
    <definedName name="XDO_?IND_01?">'TBF-Risk-o-meter &amp; Portfolio'!$F$10:$F$78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Portfolio'!$C$2:$C$35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Portfolio'!$B$10:$B$78</definedName>
    <definedName name="XDO_?NPTF?">'TBF-Risk-o-meter &amp; Portfolio'!$D$2:$D$35</definedName>
    <definedName name="XDO_?RATING?">'TBF-Risk-o-meter &amp; Portfolio'!$E$10:$E$78</definedName>
    <definedName name="XDO_?REMARKS?">'TBF-Risk-o-meter &amp; Portfolio'!$J$10:$J$78</definedName>
    <definedName name="XDO_?TDATE?">'TBF-Risk-o-meter &amp; Portfolio'!$D$4</definedName>
    <definedName name="XDO_?TITL?">'TBF-Risk-o-meter &amp; Portfolio'!$A$8:$A$35</definedName>
    <definedName name="XDO_GROUP_?G_2?">'TBF-Risk-o-meter &amp; Portfolio'!$2:$81</definedName>
    <definedName name="XDO_GROUP_?G_3?">'TBF-Risk-o-meter &amp; Portfolio'!$8:$80</definedName>
    <definedName name="XDO_GROUP_?G_4?">'TBF-Risk-o-meter &amp; Portfolio'!$B$78:$IV$78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1"/>
</calcChain>
</file>

<file path=xl/sharedStrings.xml><?xml version="1.0" encoding="utf-8"?>
<sst xmlns="http://schemas.openxmlformats.org/spreadsheetml/2006/main" count="216" uniqueCount="153">
  <si>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</si>
  <si>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</si>
  <si>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</si>
  <si>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</si>
  <si>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</si>
  <si>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</si>
  <si>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</si>
  <si>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</si>
  <si>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</si>
  <si>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</si>
  <si>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</si>
  <si>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</si>
  <si>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</si>
  <si>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</si>
  <si>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</si>
  <si>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100037</t>
  </si>
  <si>
    <t>HCL Technologies Ltd.</t>
  </si>
  <si>
    <t>INE860A01027</t>
  </si>
  <si>
    <t>IT - Software</t>
  </si>
  <si>
    <t>100147</t>
  </si>
  <si>
    <t>Tech Mahindra Ltd.</t>
  </si>
  <si>
    <t>INE669C01036</t>
  </si>
  <si>
    <t>100003</t>
  </si>
  <si>
    <t>Infosys Ltd.</t>
  </si>
  <si>
    <t>INE009A01021</t>
  </si>
  <si>
    <t>100001</t>
  </si>
  <si>
    <t>Housing Development Finance Corporation Ltd.</t>
  </si>
  <si>
    <t>INE001A01036</t>
  </si>
  <si>
    <t>Finance</t>
  </si>
  <si>
    <t>100097</t>
  </si>
  <si>
    <t>Coal India Ltd.</t>
  </si>
  <si>
    <t>INE522F01014</t>
  </si>
  <si>
    <t>Consumable Fuels</t>
  </si>
  <si>
    <t>100027</t>
  </si>
  <si>
    <t>Pidilite Industries Ltd.</t>
  </si>
  <si>
    <t>INE318A01026</t>
  </si>
  <si>
    <t>Chemicals &amp; Petrochemicals</t>
  </si>
  <si>
    <t>100012</t>
  </si>
  <si>
    <t>ICICI Bank Ltd.</t>
  </si>
  <si>
    <t>INE090A01021</t>
  </si>
  <si>
    <t>Banks</t>
  </si>
  <si>
    <t>100302</t>
  </si>
  <si>
    <t>DLF Ltd.</t>
  </si>
  <si>
    <t>INE271C01023</t>
  </si>
  <si>
    <t>Realty</t>
  </si>
  <si>
    <t>100314</t>
  </si>
  <si>
    <t>SRF Ltd.</t>
  </si>
  <si>
    <t>INE647A01010</t>
  </si>
  <si>
    <t>100024</t>
  </si>
  <si>
    <t>Axis Bank Ltd.</t>
  </si>
  <si>
    <t>INE238A01034</t>
  </si>
  <si>
    <t>100108</t>
  </si>
  <si>
    <t>Adani Ports and Special Economic Zone Ltd.</t>
  </si>
  <si>
    <t>INE742F01042</t>
  </si>
  <si>
    <t>Transport Infrastructure</t>
  </si>
  <si>
    <t>100014</t>
  </si>
  <si>
    <t>Mahindra &amp; Mahindra Ltd.</t>
  </si>
  <si>
    <t>INE101A01026</t>
  </si>
  <si>
    <t>Automobiles</t>
  </si>
  <si>
    <t>100128</t>
  </si>
  <si>
    <t>Eicher Motors Ltd.</t>
  </si>
  <si>
    <t>INE066A01021</t>
  </si>
  <si>
    <t>100172</t>
  </si>
  <si>
    <t>ACC Ltd.</t>
  </si>
  <si>
    <t>INE012A01025</t>
  </si>
  <si>
    <t>Cement &amp; Cement Products</t>
  </si>
  <si>
    <t>101178</t>
  </si>
  <si>
    <t>Computer Age Management Services Ltd.</t>
  </si>
  <si>
    <t>INE596I01012</t>
  </si>
  <si>
    <t>Capital Markets</t>
  </si>
  <si>
    <t>100081</t>
  </si>
  <si>
    <t>Titan Company Ltd.</t>
  </si>
  <si>
    <t>INE280A01028</t>
  </si>
  <si>
    <t>Consumer Durables</t>
  </si>
  <si>
    <t>100180</t>
  </si>
  <si>
    <t>Hindalco Industries Ltd.</t>
  </si>
  <si>
    <t>INE038A01020</t>
  </si>
  <si>
    <t>Non - Ferrous Metals</t>
  </si>
  <si>
    <t>100169</t>
  </si>
  <si>
    <t>Indian Oil Corporation Ltd.</t>
  </si>
  <si>
    <t>INE242A01010</t>
  </si>
  <si>
    <t>Petroleum Products</t>
  </si>
  <si>
    <t>100080</t>
  </si>
  <si>
    <t>Dr. Reddy's Laboratories Ltd.</t>
  </si>
  <si>
    <t>INE089A01023</t>
  </si>
  <si>
    <t>Pharmaceuticals &amp; Biotechnology</t>
  </si>
  <si>
    <t>100002</t>
  </si>
  <si>
    <t>Reliance Industries Ltd.</t>
  </si>
  <si>
    <t>INE002A01018</t>
  </si>
  <si>
    <t>100431</t>
  </si>
  <si>
    <t>Atul Auto Ltd.</t>
  </si>
  <si>
    <t>INE951D01028</t>
  </si>
  <si>
    <t>Agricultural, Commercial &amp; Construction Vehicles</t>
  </si>
  <si>
    <t>100029</t>
  </si>
  <si>
    <t>Mphasis Ltd.</t>
  </si>
  <si>
    <t>INE356A01018</t>
  </si>
  <si>
    <t>100099</t>
  </si>
  <si>
    <t>Hindustan Unilever Ltd.</t>
  </si>
  <si>
    <t>INE030A01027</t>
  </si>
  <si>
    <t>Diversified FMCG</t>
  </si>
  <si>
    <t>100159</t>
  </si>
  <si>
    <t>Sanofi India Ltd.</t>
  </si>
  <si>
    <t>INE058A01010</t>
  </si>
  <si>
    <t>100006</t>
  </si>
  <si>
    <t>HDFC Bank Ltd.</t>
  </si>
  <si>
    <t>INE040A01034</t>
  </si>
  <si>
    <t>100179</t>
  </si>
  <si>
    <t>Hero MotoCorp Ltd.</t>
  </si>
  <si>
    <t>INE158A01026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</si>
  <si>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</si>
  <si>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</si>
  <si>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</si>
  <si>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</si>
  <si>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</si>
  <si>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</si>
  <si>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</si>
  <si>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</si>
  <si>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</si>
  <si>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</si>
  <si>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</si>
  <si>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</si>
  <si>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</si>
  <si>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</si>
  <si>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</si>
  <si>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</si>
  <si>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</si>
  <si>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</si>
  <si>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</si>
  <si>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</si>
  <si>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</si>
  <si>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106230100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</si>
  <si>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</si>
  <si>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</si>
  <si>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</si>
  <si>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</si>
  <si>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</si>
  <si>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</si>
  <si>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</si>
  <si>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</si>
  <si>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</si>
  <si>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</si>
  <si>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</si>
  <si>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</si>
  <si>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</si>
  <si>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</si>
  <si>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</si>
  <si>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</si>
  <si>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</si>
  <si>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</si>
  <si>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</si>
  <si>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May 31, 2023 : 108.10)</t>
  </si>
  <si>
    <t>Taurus Largecap Equity Fund - Direct Plan Growth Option</t>
  </si>
  <si>
    <t>NAV [Rs.] Per Unit (as on May 31, 2023 : 114.07)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</si>
</sst>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Large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87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5.7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45077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21040</v>
      </c>
      <c r="H10" s="32">
        <v>241.03</v>
      </c>
      <c r="I10" s="32">
        <v>7.08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17700</v>
      </c>
      <c r="H11" s="32">
        <v>197.84</v>
      </c>
      <c r="I11" s="32">
        <v>5.81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14700</v>
      </c>
      <c r="H12" s="32">
        <v>194.35</v>
      </c>
      <c r="I12" s="32">
        <v>5.71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28</v>
      </c>
      <c r="G13" s="31">
        <v>7250</v>
      </c>
      <c r="H13" s="32">
        <v>191.38</v>
      </c>
      <c r="I13" s="32">
        <v>5.62</v>
      </c>
      <c r="J13" s="33"/>
    </row>
    <row r="14" spans="1:54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78500</v>
      </c>
      <c r="H14" s="32">
        <v>189.34</v>
      </c>
      <c r="I14" s="32">
        <v>5.56</v>
      </c>
      <c r="J14" s="33"/>
    </row>
    <row r="15" spans="1:54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7019</v>
      </c>
      <c r="H15" s="32">
        <v>183.22</v>
      </c>
      <c r="I15" s="32">
        <v>5.38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19245</v>
      </c>
      <c r="H16" s="32">
        <v>182.53</v>
      </c>
      <c r="I16" s="32">
        <v>5.36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37817</v>
      </c>
      <c r="H17" s="32">
        <v>179.54</v>
      </c>
      <c r="I17" s="32">
        <v>5.27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36</v>
      </c>
      <c r="G18" s="31">
        <v>6935</v>
      </c>
      <c r="H18" s="32">
        <v>175.34</v>
      </c>
      <c r="I18" s="32">
        <v>5.15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40</v>
      </c>
      <c r="G19" s="31">
        <v>17900</v>
      </c>
      <c r="H19" s="32">
        <v>163.72999999999999</v>
      </c>
      <c r="I19" s="32">
        <v>4.8099999999999996</v>
      </c>
      <c r="J19" s="33"/>
    </row>
    <row r="20" spans="2:10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20803</v>
      </c>
      <c r="H20" s="32">
        <v>153.37</v>
      </c>
      <c r="I20" s="32">
        <v>4.5</v>
      </c>
      <c r="J20" s="33"/>
    </row>
    <row r="21" spans="2:10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11321</v>
      </c>
      <c r="H21" s="32">
        <v>149.26</v>
      </c>
      <c r="I21" s="32">
        <v>4.38</v>
      </c>
      <c r="J21" s="33"/>
    </row>
    <row r="22" spans="2:10">
      <c r="B22" s="1" t="s">
        <v>59</v>
      </c>
      <c r="C22" s="20" t="s">
        <v>60</v>
      </c>
      <c r="D22" s="29" t="s">
        <v>61</v>
      </c>
      <c r="E22" s="30"/>
      <c r="F22" s="30" t="s">
        <v>58</v>
      </c>
      <c r="G22" s="31">
        <v>3450</v>
      </c>
      <c r="H22" s="32">
        <v>127.14</v>
      </c>
      <c r="I22" s="32">
        <v>3.73</v>
      </c>
      <c r="J22" s="33"/>
    </row>
    <row r="23" spans="2:10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7040</v>
      </c>
      <c r="H23" s="32">
        <v>125.58</v>
      </c>
      <c r="I23" s="32">
        <v>3.69</v>
      </c>
      <c r="J23" s="33"/>
    </row>
    <row r="24" spans="2:10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4880</v>
      </c>
      <c r="H24" s="32">
        <v>108.1</v>
      </c>
      <c r="I24" s="32">
        <v>3.17</v>
      </c>
      <c r="J24" s="33"/>
    </row>
    <row r="25" spans="2:10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3667</v>
      </c>
      <c r="H25" s="32">
        <v>103.5</v>
      </c>
      <c r="I25" s="32">
        <v>3.04</v>
      </c>
      <c r="J25" s="33"/>
    </row>
    <row r="26" spans="2:10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22605</v>
      </c>
      <c r="H26" s="32">
        <v>91.88</v>
      </c>
      <c r="I26" s="32">
        <v>2.7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98000</v>
      </c>
      <c r="H27" s="32">
        <v>88.29</v>
      </c>
      <c r="I27" s="32">
        <v>2.59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1930</v>
      </c>
      <c r="H28" s="32">
        <v>86.92</v>
      </c>
      <c r="I28" s="32">
        <v>2.5499999999999998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81</v>
      </c>
      <c r="G29" s="31">
        <v>2500</v>
      </c>
      <c r="H29" s="32">
        <v>61.87</v>
      </c>
      <c r="I29" s="32">
        <v>1.82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11413</v>
      </c>
      <c r="H30" s="32">
        <v>40.86</v>
      </c>
      <c r="I30" s="32">
        <v>1.2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18</v>
      </c>
      <c r="G31" s="31">
        <v>2000</v>
      </c>
      <c r="H31" s="32">
        <v>39.17</v>
      </c>
      <c r="I31" s="32">
        <v>1.1499999999999999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1100</v>
      </c>
      <c r="H32" s="32">
        <v>29.27</v>
      </c>
      <c r="I32" s="32">
        <v>0.86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85</v>
      </c>
      <c r="G33" s="31">
        <v>300</v>
      </c>
      <c r="H33" s="32">
        <v>20.38</v>
      </c>
      <c r="I33" s="32">
        <v>0.6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40</v>
      </c>
      <c r="G34" s="31">
        <v>1100</v>
      </c>
      <c r="H34" s="32">
        <v>17.72</v>
      </c>
      <c r="I34" s="32">
        <v>0.52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58</v>
      </c>
      <c r="G35" s="31">
        <v>500</v>
      </c>
      <c r="H35" s="32">
        <v>13.82</v>
      </c>
      <c r="I35" s="32">
        <v>0.41</v>
      </c>
      <c r="J35" s="33"/>
    </row>
    <row r="36" spans="2:10">
      <c r="C36" s="28" t="s">
        <v>109</v>
      </c>
      <c r="D36" s="29"/>
      <c r="E36" s="30"/>
      <c r="F36" s="30"/>
      <c r="G36" s="31"/>
      <c r="H36" s="35">
        <v>3155.43</v>
      </c>
      <c r="I36" s="35">
        <v>92.66</v>
      </c>
      <c r="J36" s="33"/>
    </row>
    <row r="37" spans="2:10">
      <c r="C37" s="20"/>
      <c r="D37" s="29"/>
      <c r="E37" s="30"/>
      <c r="F37" s="30"/>
      <c r="G37" s="31"/>
      <c r="H37" s="32"/>
      <c r="I37" s="32"/>
      <c r="J37" s="33"/>
    </row>
    <row r="38" spans="2:10">
      <c r="C38" s="28" t="s">
        <v>110</v>
      </c>
      <c r="D38" s="29"/>
      <c r="E38" s="30"/>
      <c r="F38" s="30"/>
      <c r="G38" s="31"/>
      <c r="H38" s="32" t="s">
        <v>111</v>
      </c>
      <c r="I38" s="32" t="s">
        <v>111</v>
      </c>
      <c r="J38" s="33"/>
    </row>
    <row r="39" spans="2:10">
      <c r="C39" s="20"/>
      <c r="D39" s="29"/>
      <c r="E39" s="30"/>
      <c r="F39" s="30"/>
      <c r="G39" s="31"/>
      <c r="H39" s="32"/>
      <c r="I39" s="32"/>
      <c r="J39" s="33"/>
    </row>
    <row r="40" spans="2:10">
      <c r="C40" s="28" t="s">
        <v>112</v>
      </c>
      <c r="D40" s="29"/>
      <c r="E40" s="30"/>
      <c r="F40" s="30"/>
      <c r="G40" s="31"/>
      <c r="H40" s="32" t="s">
        <v>111</v>
      </c>
      <c r="I40" s="32" t="s">
        <v>111</v>
      </c>
      <c r="J40" s="33"/>
    </row>
    <row r="41" spans="2:10">
      <c r="C41" s="20"/>
      <c r="D41" s="29"/>
      <c r="E41" s="30"/>
      <c r="F41" s="30"/>
      <c r="G41" s="31"/>
      <c r="H41" s="32"/>
      <c r="I41" s="32"/>
      <c r="J41" s="33"/>
    </row>
    <row r="42" spans="2:10">
      <c r="C42" s="28" t="s">
        <v>113</v>
      </c>
      <c r="D42" s="29"/>
      <c r="E42" s="30"/>
      <c r="F42" s="30"/>
      <c r="G42" s="31"/>
      <c r="H42" s="32"/>
      <c r="I42" s="32"/>
      <c r="J42" s="33"/>
    </row>
    <row r="43" spans="2:10">
      <c r="C43" s="20"/>
      <c r="D43" s="29"/>
      <c r="E43" s="30"/>
      <c r="F43" s="30"/>
      <c r="G43" s="31"/>
      <c r="H43" s="32"/>
      <c r="I43" s="32"/>
      <c r="J43" s="33"/>
    </row>
    <row r="44" spans="2:10">
      <c r="C44" s="28" t="s">
        <v>114</v>
      </c>
      <c r="D44" s="29"/>
      <c r="E44" s="30"/>
      <c r="F44" s="30"/>
      <c r="G44" s="31"/>
      <c r="H44" s="32" t="s">
        <v>111</v>
      </c>
      <c r="I44" s="32" t="s">
        <v>111</v>
      </c>
      <c r="J44" s="33"/>
    </row>
    <row r="45" spans="2:10">
      <c r="C45" s="20"/>
      <c r="D45" s="29"/>
      <c r="E45" s="30"/>
      <c r="F45" s="30"/>
      <c r="G45" s="31"/>
      <c r="H45" s="32"/>
      <c r="I45" s="32"/>
      <c r="J45" s="33"/>
    </row>
    <row r="46" spans="2:10">
      <c r="C46" s="28" t="s">
        <v>115</v>
      </c>
      <c r="D46" s="29"/>
      <c r="E46" s="30"/>
      <c r="F46" s="30"/>
      <c r="G46" s="31"/>
      <c r="H46" s="32" t="s">
        <v>111</v>
      </c>
      <c r="I46" s="32" t="s">
        <v>111</v>
      </c>
      <c r="J46" s="33"/>
    </row>
    <row r="47" spans="2:10">
      <c r="C47" s="20"/>
      <c r="D47" s="29"/>
      <c r="E47" s="30"/>
      <c r="F47" s="30"/>
      <c r="G47" s="31"/>
      <c r="H47" s="32"/>
      <c r="I47" s="32"/>
      <c r="J47" s="33"/>
    </row>
    <row r="48" spans="2:10">
      <c r="C48" s="28" t="s">
        <v>116</v>
      </c>
      <c r="D48" s="29"/>
      <c r="E48" s="30"/>
      <c r="F48" s="30"/>
      <c r="G48" s="31"/>
      <c r="H48" s="32" t="s">
        <v>111</v>
      </c>
      <c r="I48" s="32" t="s">
        <v>111</v>
      </c>
      <c r="J48" s="33"/>
    </row>
    <row r="49" spans="1:10">
      <c r="C49" s="20"/>
      <c r="D49" s="29"/>
      <c r="E49" s="30"/>
      <c r="F49" s="30"/>
      <c r="G49" s="31"/>
      <c r="H49" s="32"/>
      <c r="I49" s="32"/>
      <c r="J49" s="33"/>
    </row>
    <row r="50" spans="1:10">
      <c r="C50" s="28" t="s">
        <v>117</v>
      </c>
      <c r="D50" s="29"/>
      <c r="E50" s="30"/>
      <c r="F50" s="30"/>
      <c r="G50" s="31"/>
      <c r="H50" s="32" t="s">
        <v>111</v>
      </c>
      <c r="I50" s="32" t="s">
        <v>111</v>
      </c>
      <c r="J50" s="33"/>
    </row>
    <row r="51" spans="1:10">
      <c r="C51" s="20"/>
      <c r="D51" s="29"/>
      <c r="E51" s="30"/>
      <c r="F51" s="30"/>
      <c r="G51" s="31"/>
      <c r="H51" s="32"/>
      <c r="I51" s="32"/>
      <c r="J51" s="33"/>
    </row>
    <row r="52" spans="1:10">
      <c r="C52" s="28" t="s">
        <v>118</v>
      </c>
      <c r="D52" s="29"/>
      <c r="E52" s="30"/>
      <c r="F52" s="30"/>
      <c r="G52" s="31"/>
      <c r="H52" s="32" t="s">
        <v>111</v>
      </c>
      <c r="I52" s="32" t="s">
        <v>111</v>
      </c>
      <c r="J52" s="33"/>
    </row>
    <row r="53" spans="1:10">
      <c r="C53" s="20"/>
      <c r="D53" s="29"/>
      <c r="E53" s="30"/>
      <c r="F53" s="30"/>
      <c r="G53" s="31"/>
      <c r="H53" s="32"/>
      <c r="I53" s="32"/>
      <c r="J53" s="33"/>
    </row>
    <row r="54" spans="1:10">
      <c r="C54" s="28" t="s">
        <v>119</v>
      </c>
      <c r="D54" s="29"/>
      <c r="E54" s="30"/>
      <c r="F54" s="30"/>
      <c r="G54" s="31"/>
      <c r="H54" s="32"/>
      <c r="I54" s="32"/>
      <c r="J54" s="33"/>
    </row>
    <row r="55" spans="1:10">
      <c r="C55" s="20"/>
      <c r="D55" s="29"/>
      <c r="E55" s="30"/>
      <c r="F55" s="30"/>
      <c r="G55" s="31"/>
      <c r="H55" s="32"/>
      <c r="I55" s="32"/>
      <c r="J55" s="33"/>
    </row>
    <row r="56" spans="1:10">
      <c r="C56" s="28" t="s">
        <v>120</v>
      </c>
      <c r="D56" s="29"/>
      <c r="E56" s="30"/>
      <c r="F56" s="30"/>
      <c r="G56" s="31"/>
      <c r="H56" s="32" t="s">
        <v>111</v>
      </c>
      <c r="I56" s="32" t="s">
        <v>111</v>
      </c>
      <c r="J56" s="33"/>
    </row>
    <row r="57" spans="1:10">
      <c r="C57" s="20"/>
      <c r="D57" s="29"/>
      <c r="E57" s="30"/>
      <c r="F57" s="30"/>
      <c r="G57" s="31"/>
      <c r="H57" s="32"/>
      <c r="I57" s="32"/>
      <c r="J57" s="33"/>
    </row>
    <row r="58" spans="1:10">
      <c r="C58" s="28" t="s">
        <v>121</v>
      </c>
      <c r="D58" s="29"/>
      <c r="E58" s="30"/>
      <c r="F58" s="30"/>
      <c r="G58" s="31"/>
      <c r="H58" s="32" t="s">
        <v>111</v>
      </c>
      <c r="I58" s="32" t="s">
        <v>111</v>
      </c>
      <c r="J58" s="33"/>
    </row>
    <row r="59" spans="1:10">
      <c r="C59" s="20"/>
      <c r="D59" s="29"/>
      <c r="E59" s="30"/>
      <c r="F59" s="30"/>
      <c r="G59" s="31"/>
      <c r="H59" s="32"/>
      <c r="I59" s="32"/>
      <c r="J59" s="33"/>
    </row>
    <row r="60" spans="1:10">
      <c r="C60" s="28" t="s">
        <v>122</v>
      </c>
      <c r="D60" s="29"/>
      <c r="E60" s="30"/>
      <c r="F60" s="30"/>
      <c r="G60" s="31"/>
      <c r="H60" s="32" t="s">
        <v>111</v>
      </c>
      <c r="I60" s="32" t="s">
        <v>111</v>
      </c>
      <c r="J60" s="33"/>
    </row>
    <row r="61" spans="1:10">
      <c r="C61" s="20"/>
      <c r="D61" s="29"/>
      <c r="E61" s="30"/>
      <c r="F61" s="30"/>
      <c r="G61" s="31"/>
      <c r="H61" s="32"/>
      <c r="I61" s="32"/>
      <c r="J61" s="33"/>
    </row>
    <row r="62" spans="1:10">
      <c r="C62" s="28" t="s">
        <v>123</v>
      </c>
      <c r="D62" s="29"/>
      <c r="E62" s="30"/>
      <c r="F62" s="30"/>
      <c r="G62" s="31"/>
      <c r="H62" s="32" t="s">
        <v>111</v>
      </c>
      <c r="I62" s="32" t="s">
        <v>111</v>
      </c>
      <c r="J62" s="33"/>
    </row>
    <row r="63" spans="1:10">
      <c r="C63" s="20"/>
      <c r="D63" s="29"/>
      <c r="E63" s="30"/>
      <c r="F63" s="30"/>
      <c r="G63" s="31"/>
      <c r="H63" s="32"/>
      <c r="I63" s="32"/>
      <c r="J63" s="33"/>
    </row>
    <row r="64" spans="1:10">
      <c r="A64" s="26"/>
      <c r="B64" s="27"/>
      <c r="C64" s="28" t="s">
        <v>124</v>
      </c>
      <c r="D64" s="29"/>
      <c r="E64" s="30"/>
      <c r="F64" s="30"/>
      <c r="G64" s="31"/>
      <c r="H64" s="32"/>
      <c r="I64" s="32"/>
      <c r="J64" s="33"/>
    </row>
    <row r="65" spans="1:10">
      <c r="A65" s="27"/>
      <c r="B65" s="27"/>
      <c r="C65" s="28" t="s">
        <v>125</v>
      </c>
      <c r="D65" s="29"/>
      <c r="E65" s="30"/>
      <c r="F65" s="30"/>
      <c r="G65" s="31"/>
      <c r="H65" s="32" t="s">
        <v>111</v>
      </c>
      <c r="I65" s="32" t="s">
        <v>111</v>
      </c>
      <c r="J65" s="33"/>
    </row>
    <row r="66" spans="1:10">
      <c r="A66" s="27"/>
      <c r="B66" s="27"/>
      <c r="C66" s="28"/>
      <c r="D66" s="29"/>
      <c r="E66" s="30"/>
      <c r="F66" s="30"/>
      <c r="G66" s="31"/>
      <c r="H66" s="32"/>
      <c r="I66" s="32"/>
      <c r="J66" s="33"/>
    </row>
    <row r="67" spans="1:10">
      <c r="A67" s="27"/>
      <c r="B67" s="27"/>
      <c r="C67" s="28" t="s">
        <v>126</v>
      </c>
      <c r="D67" s="29"/>
      <c r="E67" s="30"/>
      <c r="F67" s="30"/>
      <c r="G67" s="31"/>
      <c r="H67" s="32" t="s">
        <v>111</v>
      </c>
      <c r="I67" s="32" t="s">
        <v>111</v>
      </c>
      <c r="J67" s="33"/>
    </row>
    <row r="68" spans="1:10">
      <c r="A68" s="27"/>
      <c r="B68" s="27"/>
      <c r="C68" s="28"/>
      <c r="D68" s="29"/>
      <c r="E68" s="30"/>
      <c r="F68" s="30"/>
      <c r="G68" s="31"/>
      <c r="H68" s="32"/>
      <c r="I68" s="32"/>
      <c r="J68" s="33"/>
    </row>
    <row r="69" spans="1:10">
      <c r="A69" s="27"/>
      <c r="B69" s="27"/>
      <c r="C69" s="28" t="s">
        <v>127</v>
      </c>
      <c r="D69" s="29"/>
      <c r="E69" s="30"/>
      <c r="F69" s="30"/>
      <c r="G69" s="31"/>
      <c r="H69" s="32" t="s">
        <v>111</v>
      </c>
      <c r="I69" s="32" t="s">
        <v>111</v>
      </c>
      <c r="J69" s="33"/>
    </row>
    <row r="70" spans="1:10">
      <c r="A70" s="27"/>
      <c r="B70" s="27"/>
      <c r="C70" s="28"/>
      <c r="D70" s="29"/>
      <c r="E70" s="30"/>
      <c r="F70" s="30"/>
      <c r="G70" s="31"/>
      <c r="H70" s="32"/>
      <c r="I70" s="32"/>
      <c r="J70" s="33"/>
    </row>
    <row r="71" spans="1:10">
      <c r="A71" s="27"/>
      <c r="B71" s="27"/>
      <c r="C71" s="28" t="s">
        <v>128</v>
      </c>
      <c r="D71" s="29"/>
      <c r="E71" s="30"/>
      <c r="F71" s="30"/>
      <c r="G71" s="31"/>
      <c r="H71" s="32" t="s">
        <v>111</v>
      </c>
      <c r="I71" s="32" t="s">
        <v>111</v>
      </c>
      <c r="J71" s="33"/>
    </row>
    <row r="72" spans="1:10">
      <c r="A72" s="27"/>
      <c r="B72" s="27"/>
      <c r="C72" s="28"/>
      <c r="D72" s="29"/>
      <c r="E72" s="30"/>
      <c r="F72" s="30"/>
      <c r="G72" s="31"/>
      <c r="H72" s="32"/>
      <c r="I72" s="32"/>
      <c r="J72" s="33"/>
    </row>
    <row r="73" spans="1:10">
      <c r="C73" s="34" t="s">
        <v>129</v>
      </c>
      <c r="D73" s="29"/>
      <c r="E73" s="30"/>
      <c r="F73" s="30"/>
      <c r="G73" s="31"/>
      <c r="H73" s="32"/>
      <c r="I73" s="32"/>
      <c r="J73" s="33"/>
    </row>
    <row r="74" spans="1:10">
      <c r="B74" s="1" t="s">
        <v>130</v>
      </c>
      <c r="C74" s="20" t="s">
        <v>131</v>
      </c>
      <c r="D74" s="29"/>
      <c r="E74" s="30"/>
      <c r="F74" s="30"/>
      <c r="G74" s="31"/>
      <c r="H74" s="32">
        <v>160</v>
      </c>
      <c r="I74" s="32">
        <v>4.7</v>
      </c>
      <c r="J74" s="33"/>
    </row>
    <row r="75" spans="1:10">
      <c r="C75" s="28" t="s">
        <v>109</v>
      </c>
      <c r="D75" s="29"/>
      <c r="E75" s="30"/>
      <c r="F75" s="30"/>
      <c r="G75" s="31"/>
      <c r="H75" s="35">
        <v>160</v>
      </c>
      <c r="I75" s="35">
        <v>4.7</v>
      </c>
      <c r="J75" s="33"/>
    </row>
    <row r="76" spans="1:10">
      <c r="C76" s="20"/>
      <c r="D76" s="29"/>
      <c r="E76" s="30"/>
      <c r="F76" s="30"/>
      <c r="G76" s="31"/>
      <c r="H76" s="32"/>
      <c r="I76" s="32"/>
      <c r="J76" s="33"/>
    </row>
    <row r="77" spans="1:10">
      <c r="A77" s="26"/>
      <c r="B77" s="27"/>
      <c r="C77" s="28" t="s">
        <v>132</v>
      </c>
      <c r="D77" s="29"/>
      <c r="E77" s="30"/>
      <c r="F77" s="30"/>
      <c r="G77" s="31"/>
      <c r="H77" s="32"/>
      <c r="I77" s="32"/>
      <c r="J77" s="33"/>
    </row>
    <row r="78" spans="1:10">
      <c r="B78" s="1"/>
      <c r="C78" s="20" t="s">
        <v>133</v>
      </c>
      <c r="D78" s="29"/>
      <c r="E78" s="30"/>
      <c r="F78" s="30"/>
      <c r="G78" s="31"/>
      <c r="H78" s="32">
        <v>90.96</v>
      </c>
      <c r="I78" s="32">
        <v>2.64</v>
      </c>
      <c r="J78" s="33"/>
    </row>
    <row r="79" spans="1:10">
      <c r="C79" s="28" t="s">
        <v>109</v>
      </c>
      <c r="D79" s="29"/>
      <c r="E79" s="30"/>
      <c r="F79" s="30"/>
      <c r="G79" s="31"/>
      <c r="H79" s="35">
        <v>90.96</v>
      </c>
      <c r="I79" s="35">
        <v>2.64</v>
      </c>
      <c r="J79" s="33"/>
    </row>
    <row r="80" spans="1:10">
      <c r="C80" s="20"/>
      <c r="D80" s="29"/>
      <c r="E80" s="30"/>
      <c r="F80" s="30"/>
      <c r="G80" s="31"/>
      <c r="H80" s="32"/>
      <c r="I80" s="32"/>
      <c r="J80" s="33"/>
    </row>
    <row r="81" spans="3:10" ht="13.5" thickBot="1">
      <c r="C81" s="36" t="s">
        <v>134</v>
      </c>
      <c r="D81" s="37"/>
      <c r="E81" s="38"/>
      <c r="F81" s="39"/>
      <c r="G81" s="40"/>
      <c r="H81" s="41">
        <v>3406.39</v>
      </c>
      <c r="I81" s="41">
        <f>SUMIFS(I:I,C:C,"Total")</f>
        <v>100</v>
      </c>
      <c r="J81" s="42"/>
    </row>
    <row r="84" spans="3:10">
      <c r="C84" s="11" t="s">
        <v>135</v>
      </c>
    </row>
    <row r="85" spans="3:10">
      <c r="C85" s="2" t="s">
        <v>136</v>
      </c>
    </row>
    <row r="86" spans="3:10">
      <c r="C86" s="2" t="s">
        <v>137</v>
      </c>
    </row>
    <row r="87" spans="3:10">
      <c r="C87" s="2" t="s">
        <v>138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3:J17"/>
  <sheetViews>
    <sheetView workbookViewId="0"/>
  </sheetViews>
  <sheetFormatPr defaultRowHeight="15"/>
  <cols>
    <col min="2" max="2" width="46.1406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2.42578125" bestFit="1" customWidth="1"/>
  </cols>
  <sheetData>
    <row r="3" spans="2:10" ht="15.75">
      <c r="B3" s="43" t="s">
        <v>139</v>
      </c>
      <c r="C3" s="44"/>
      <c r="D3" s="44"/>
      <c r="E3" s="44"/>
      <c r="F3" s="44"/>
      <c r="G3" s="44"/>
      <c r="H3" s="44"/>
      <c r="I3" s="44"/>
      <c r="J3" s="44"/>
    </row>
    <row r="4" spans="2:10">
      <c r="B4" s="45" t="s">
        <v>140</v>
      </c>
      <c r="C4" s="50" t="s">
        <v>141</v>
      </c>
      <c r="D4" s="50"/>
      <c r="E4" s="50" t="s">
        <v>142</v>
      </c>
      <c r="F4" s="50"/>
      <c r="G4" s="50" t="s">
        <v>143</v>
      </c>
      <c r="H4" s="50"/>
      <c r="I4" s="50" t="s">
        <v>144</v>
      </c>
      <c r="J4" s="50"/>
    </row>
    <row r="5" spans="2:10" ht="63.75">
      <c r="B5" s="46"/>
      <c r="C5" s="47" t="s">
        <v>145</v>
      </c>
      <c r="D5" s="47" t="s">
        <v>146</v>
      </c>
      <c r="E5" s="47" t="s">
        <v>145</v>
      </c>
      <c r="F5" s="47" t="s">
        <v>146</v>
      </c>
      <c r="G5" s="47" t="s">
        <v>145</v>
      </c>
      <c r="H5" s="47" t="s">
        <v>146</v>
      </c>
      <c r="I5" s="47" t="s">
        <v>145</v>
      </c>
      <c r="J5" s="47" t="s">
        <v>146</v>
      </c>
    </row>
    <row r="6" spans="2:10">
      <c r="B6" s="48" t="s">
        <v>147</v>
      </c>
      <c r="C6" s="49">
        <v>10.826327660446978</v>
      </c>
      <c r="D6" s="49">
        <v>11082.632766044699</v>
      </c>
      <c r="E6" s="49">
        <v>20.460575777788904</v>
      </c>
      <c r="F6" s="49">
        <v>17497.572029783099</v>
      </c>
      <c r="G6" s="49">
        <v>8.7018876142553658</v>
      </c>
      <c r="H6" s="49">
        <v>15180.452183682068</v>
      </c>
      <c r="I6" s="49">
        <v>10.221612808799074</v>
      </c>
      <c r="J6" s="49">
        <v>108100</v>
      </c>
    </row>
    <row r="7" spans="2:10">
      <c r="B7" s="48" t="s">
        <v>148</v>
      </c>
      <c r="C7" s="49">
        <v>13.490387895297594</v>
      </c>
      <c r="D7" s="49">
        <v>11349.038789529759</v>
      </c>
      <c r="E7" s="49">
        <v>26.568934904182306</v>
      </c>
      <c r="F7" s="49">
        <v>20275.957694309091</v>
      </c>
      <c r="G7" s="49">
        <v>12.83873149154946</v>
      </c>
      <c r="H7" s="49">
        <v>18293.254496145222</v>
      </c>
      <c r="I7" s="49">
        <v>12.002682168094836</v>
      </c>
      <c r="J7" s="49">
        <v>246461.00255025376</v>
      </c>
    </row>
    <row r="8" spans="2:10">
      <c r="B8" s="48" t="s">
        <v>149</v>
      </c>
      <c r="C8" s="49">
        <v>12.936501642450771</v>
      </c>
      <c r="D8" s="49">
        <v>11293.650164245077</v>
      </c>
      <c r="E8" s="49">
        <v>26.017411031737048</v>
      </c>
      <c r="F8" s="49">
        <v>20012.053672132919</v>
      </c>
      <c r="G8" s="49">
        <v>12.893398277148327</v>
      </c>
      <c r="H8" s="49">
        <v>18337.609960208683</v>
      </c>
      <c r="I8" s="49">
        <v>12.090674821327486</v>
      </c>
      <c r="J8" s="49">
        <v>251994.12690984091</v>
      </c>
    </row>
    <row r="9" spans="2:10">
      <c r="B9" s="48" t="s">
        <v>150</v>
      </c>
      <c r="C9" s="51">
        <v>97.54</v>
      </c>
      <c r="D9" s="52"/>
      <c r="E9" s="51">
        <v>61.78</v>
      </c>
      <c r="F9" s="52"/>
      <c r="G9" s="51">
        <v>71.209999999999994</v>
      </c>
      <c r="H9" s="52"/>
      <c r="I9" s="51">
        <v>10</v>
      </c>
      <c r="J9" s="52"/>
    </row>
    <row r="11" spans="2:10" ht="15.75">
      <c r="B11" s="43" t="s">
        <v>151</v>
      </c>
      <c r="C11" s="44"/>
      <c r="D11" s="44"/>
      <c r="E11" s="44"/>
      <c r="F11" s="44"/>
      <c r="G11" s="44"/>
      <c r="H11" s="44"/>
      <c r="I11" s="44"/>
      <c r="J11" s="44"/>
    </row>
    <row r="12" spans="2:10">
      <c r="B12" s="45" t="s">
        <v>140</v>
      </c>
      <c r="C12" s="50" t="s">
        <v>141</v>
      </c>
      <c r="D12" s="50"/>
      <c r="E12" s="50" t="s">
        <v>142</v>
      </c>
      <c r="F12" s="50"/>
      <c r="G12" s="50" t="s">
        <v>143</v>
      </c>
      <c r="H12" s="50"/>
      <c r="I12" s="50" t="s">
        <v>144</v>
      </c>
      <c r="J12" s="50"/>
    </row>
    <row r="13" spans="2:10" ht="63.75">
      <c r="B13" s="46"/>
      <c r="C13" s="47" t="s">
        <v>145</v>
      </c>
      <c r="D13" s="47" t="s">
        <v>146</v>
      </c>
      <c r="E13" s="47" t="s">
        <v>145</v>
      </c>
      <c r="F13" s="47" t="s">
        <v>146</v>
      </c>
      <c r="G13" s="47" t="s">
        <v>145</v>
      </c>
      <c r="H13" s="47" t="s">
        <v>146</v>
      </c>
      <c r="I13" s="47" t="s">
        <v>145</v>
      </c>
      <c r="J13" s="47" t="s">
        <v>146</v>
      </c>
    </row>
    <row r="14" spans="2:10">
      <c r="B14" s="48" t="s">
        <v>147</v>
      </c>
      <c r="C14" s="49">
        <v>10.919875534811352</v>
      </c>
      <c r="D14" s="49">
        <v>11091.987553481134</v>
      </c>
      <c r="E14" s="49">
        <v>20.56644806650143</v>
      </c>
      <c r="F14" s="49">
        <v>17543.832666871731</v>
      </c>
      <c r="G14" s="49">
        <v>8.9296374275195554</v>
      </c>
      <c r="H14" s="49">
        <v>15340.236686390532</v>
      </c>
      <c r="I14" s="49">
        <v>9.4556901538199067</v>
      </c>
      <c r="J14" s="49">
        <v>25622.192273135668</v>
      </c>
    </row>
    <row r="15" spans="2:10">
      <c r="B15" s="48" t="s">
        <v>148</v>
      </c>
      <c r="C15" s="49">
        <v>13.490387895297594</v>
      </c>
      <c r="D15" s="49">
        <v>11349.038789529759</v>
      </c>
      <c r="E15" s="49">
        <v>26.568934904182306</v>
      </c>
      <c r="F15" s="49">
        <v>20275.957694309091</v>
      </c>
      <c r="G15" s="49">
        <v>12.83873149154946</v>
      </c>
      <c r="H15" s="49">
        <v>18293.254496145222</v>
      </c>
      <c r="I15" s="49">
        <v>13.060962549020383</v>
      </c>
      <c r="J15" s="49">
        <v>35907.251808448993</v>
      </c>
    </row>
    <row r="16" spans="2:10">
      <c r="B16" s="48" t="s">
        <v>149</v>
      </c>
      <c r="C16" s="49">
        <v>12.936501642450771</v>
      </c>
      <c r="D16" s="49">
        <v>11293.650164245077</v>
      </c>
      <c r="E16" s="49">
        <v>26.017411031737048</v>
      </c>
      <c r="F16" s="49">
        <v>20012.053672132919</v>
      </c>
      <c r="G16" s="49">
        <v>12.893398277148327</v>
      </c>
      <c r="H16" s="49">
        <v>18337.609960208683</v>
      </c>
      <c r="I16" s="49">
        <v>12.819021137379071</v>
      </c>
      <c r="J16" s="49">
        <v>35115.08871746419</v>
      </c>
    </row>
    <row r="17" spans="2:10">
      <c r="B17" s="48" t="s">
        <v>152</v>
      </c>
      <c r="C17" s="51">
        <v>102.84</v>
      </c>
      <c r="D17" s="52"/>
      <c r="E17" s="51">
        <v>65.02</v>
      </c>
      <c r="F17" s="52"/>
      <c r="G17" s="51">
        <v>74.36</v>
      </c>
      <c r="H17" s="52"/>
      <c r="I17" s="51">
        <v>44.52</v>
      </c>
      <c r="J17" s="52"/>
    </row>
  </sheetData>
  <mergeCells count="16">
    <mergeCell ref="C4:D4"/>
    <mergeCell ref="E4:F4"/>
    <mergeCell ref="G4:H4"/>
    <mergeCell ref="I4:J4"/>
    <mergeCell ref="C9:D9"/>
    <mergeCell ref="E9:F9"/>
    <mergeCell ref="G9:H9"/>
    <mergeCell ref="I9:J9"/>
    <mergeCell ref="C12:D12"/>
    <mergeCell ref="E12:F12"/>
    <mergeCell ref="G12:H12"/>
    <mergeCell ref="I12:J12"/>
    <mergeCell ref="C17:D17"/>
    <mergeCell ref="E17:F17"/>
    <mergeCell ref="G17:H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TBF-Performance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MADHURA SHINDE</cp:lastModifiedBy>
  <dcterms:created xsi:type="dcterms:W3CDTF">2023-06-02T17:10:17Z</dcterms:created>
  <dcterms:modified xsi:type="dcterms:W3CDTF">2023-06-08T12:45:53Z</dcterms:modified>
</cp:coreProperties>
</file>