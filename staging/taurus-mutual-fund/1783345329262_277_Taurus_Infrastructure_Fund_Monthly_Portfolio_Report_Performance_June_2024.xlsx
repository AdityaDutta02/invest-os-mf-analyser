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LY 2024\Portfolio\Ops\"/>
    </mc:Choice>
  </mc:AlternateContent>
  <xr:revisionPtr revIDLastSave="0" documentId="13_ncr:1_{D8ADF06F-B484-470D-A810-4A92AC973C06}" xr6:coauthVersionLast="47" xr6:coauthVersionMax="47" xr10:uidLastSave="{00000000-0000-0000-0000-000000000000}"/>
  <bookViews>
    <workbookView xWindow="-120" yWindow="-120" windowWidth="20730" windowHeight="11040" xr2:uid="{3EA02542-E990-4FBB-8013-498346BAA5FD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TISF!$C$8:$C$46</definedName>
    <definedName name="XDO_?FINAL_ISIN?7?">TISF!$D$10:$D$46</definedName>
    <definedName name="XDO_?FINAL_ISIN?8?">TISF!$D$10:$D$90</definedName>
    <definedName name="XDO_?FINAL_MV?7?">TISF!$H$10:$H$46</definedName>
    <definedName name="XDO_?FINAL_MV?8?">TISF!$H$10:$H$90</definedName>
    <definedName name="XDO_?FINAL_NAME?7?">TISF!$C$10:$C$46</definedName>
    <definedName name="XDO_?FINAL_NAME?8?">TISF!$C$10:$C$90</definedName>
    <definedName name="XDO_?FINAL_PER_NET?7?">TISF!$I$10:$I$46</definedName>
    <definedName name="XDO_?FINAL_PER_NET?8?">TISF!$I$10:$I$90</definedName>
    <definedName name="XDO_?FINAL_QUANTITE?7?">TISF!$G$10:$G$46</definedName>
    <definedName name="XDO_?FINAL_QUANTITE?8?">TISF!$G$10:$G$90</definedName>
    <definedName name="XDO_?IND_01?7?">TISF!$F$10:$F$46</definedName>
    <definedName name="XDO_?IND_01?8?">TISF!$F$10:$F$90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TISF!$B$10:$B$46</definedName>
    <definedName name="XDO_?NOVAL?8?">TISF!$B$10:$B$90</definedName>
    <definedName name="XDO_?NPTF?4?">TISF!$D$2:$D$46</definedName>
    <definedName name="XDO_?RATING?7?">TISF!$E$10:$E$46</definedName>
    <definedName name="XDO_?RATING?8?">TISF!$E$10:$E$90</definedName>
    <definedName name="XDO_?REMARKS?7?">TISF!$J$10:$J$46</definedName>
    <definedName name="XDO_?REMARKS?8?">TISF!$J$10:$J$90</definedName>
    <definedName name="XDO_?TITL?4?">TISF!$A$8:$A$46</definedName>
    <definedName name="XDO_GROUP_?G_2?4?">TISF!$2:$93</definedName>
    <definedName name="XDO_GROUP_?G_3?4?">TISF!$8:$92</definedName>
    <definedName name="XDO_GROUP_?G_4?7?">TISF!$B$10:$IV$46</definedName>
    <definedName name="XDO_GROUP_?G_4?8?">TISF!$B$90:$IV$90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 l="1"/>
</calcChain>
</file>

<file path=xl/sharedStrings.xml><?xml version="1.0" encoding="utf-8"?>
<sst xmlns="http://schemas.openxmlformats.org/spreadsheetml/2006/main" count="264" uniqueCount="189">
  <si>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</si>
  <si>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</si>
  <si>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</si>
  <si>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</si>
  <si>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</si>
  <si>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</si>
  <si>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</si>
  <si>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</si>
  <si>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</si>
  <si>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</si>
  <si>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</si>
  <si>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</si>
  <si>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</si>
  <si>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</si>
  <si>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</si>
  <si>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</si>
  <si>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</si>
  <si>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</si>
  <si>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</si>
  <si>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</si>
  <si>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</si>
  <si>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</si>
  <si>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</si>
  <si>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</si>
  <si>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</si>
  <si>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</si>
  <si>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</si>
  <si>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100281</t>
  </si>
  <si>
    <t>Century Textiles &amp; Industries Ltd.</t>
  </si>
  <si>
    <t>INE055A01016</t>
  </si>
  <si>
    <t>Paper, Forest &amp; Jute Products</t>
  </si>
  <si>
    <t>102060</t>
  </si>
  <si>
    <t>Tarc Ltd.</t>
  </si>
  <si>
    <t>INE0EK901012</t>
  </si>
  <si>
    <t>Realty</t>
  </si>
  <si>
    <t>100035</t>
  </si>
  <si>
    <t>NMDC Ltd.</t>
  </si>
  <si>
    <t>INE584A01023</t>
  </si>
  <si>
    <t>Minerals &amp; Mining</t>
  </si>
  <si>
    <t>100174</t>
  </si>
  <si>
    <t>Vodafone Idea Ltd.</t>
  </si>
  <si>
    <t>INE669E01016</t>
  </si>
  <si>
    <t>100006</t>
  </si>
  <si>
    <t>HDFC Bank Ltd.</t>
  </si>
  <si>
    <t>INE040A01034</t>
  </si>
  <si>
    <t>Banks</t>
  </si>
  <si>
    <t>100181</t>
  </si>
  <si>
    <t>NTPC Ltd.</t>
  </si>
  <si>
    <t>INE733E01010</t>
  </si>
  <si>
    <t>Power</t>
  </si>
  <si>
    <t>100302</t>
  </si>
  <si>
    <t>DLF Ltd.</t>
  </si>
  <si>
    <t>INE271C01023</t>
  </si>
  <si>
    <t>101698</t>
  </si>
  <si>
    <t>Swan Energy Ltd.</t>
  </si>
  <si>
    <t>INE665A01038</t>
  </si>
  <si>
    <t>Diversified</t>
  </si>
  <si>
    <t>101800</t>
  </si>
  <si>
    <t>Hindware Home Innovation Ltd.</t>
  </si>
  <si>
    <t>INE05AN01011</t>
  </si>
  <si>
    <t>Consumer Durables</t>
  </si>
  <si>
    <t>100082</t>
  </si>
  <si>
    <t>Ultratech Cement Ltd.</t>
  </si>
  <si>
    <t>INE481G01011</t>
  </si>
  <si>
    <t>Cement &amp; Cement Products</t>
  </si>
  <si>
    <t>100292</t>
  </si>
  <si>
    <t>Steel Authority of India Ltd.</t>
  </si>
  <si>
    <t>INE114A01011</t>
  </si>
  <si>
    <t>Ferrous Metals</t>
  </si>
  <si>
    <t>100752</t>
  </si>
  <si>
    <t>Praj Industries Ltd.</t>
  </si>
  <si>
    <t>INE074A01025</t>
  </si>
  <si>
    <t>Industrial Manufacturing</t>
  </si>
  <si>
    <t>100177</t>
  </si>
  <si>
    <t>Grasim Industries Ltd.</t>
  </si>
  <si>
    <t>INE047A01021</t>
  </si>
  <si>
    <t>100571</t>
  </si>
  <si>
    <t>KNR Constructions Ltd.</t>
  </si>
  <si>
    <t>INE634I01029</t>
  </si>
  <si>
    <t>100643</t>
  </si>
  <si>
    <t>PSP Projects Ltd.</t>
  </si>
  <si>
    <t>INE488V01015</t>
  </si>
  <si>
    <t>100232</t>
  </si>
  <si>
    <t>Bharat Bijlee Ltd.</t>
  </si>
  <si>
    <t>INE464A01036</t>
  </si>
  <si>
    <t>Electrical Equipment</t>
  </si>
  <si>
    <t>100466</t>
  </si>
  <si>
    <t>Igarashi Motors India Ltd.</t>
  </si>
  <si>
    <t>INE188B01013</t>
  </si>
  <si>
    <t>Auto Components</t>
  </si>
  <si>
    <t>100362</t>
  </si>
  <si>
    <t>JSW Energy Ltd.</t>
  </si>
  <si>
    <t>INE121E01018</t>
  </si>
  <si>
    <t>100843</t>
  </si>
  <si>
    <t>Dalmia Bharat Ltd.</t>
  </si>
  <si>
    <t>INE00R701025</t>
  </si>
  <si>
    <t>100143</t>
  </si>
  <si>
    <t>Thermax Ltd.</t>
  </si>
  <si>
    <t>INE152A01029</t>
  </si>
  <si>
    <t>101949</t>
  </si>
  <si>
    <t>Samhi Hotels Ltd.</t>
  </si>
  <si>
    <t>INE08U801020</t>
  </si>
  <si>
    <t>Leisure Services</t>
  </si>
  <si>
    <t>100184</t>
  </si>
  <si>
    <t>Tata Steel Ltd.</t>
  </si>
  <si>
    <t>INE081A01020</t>
  </si>
  <si>
    <t>100748</t>
  </si>
  <si>
    <t>MM Forgings Ltd.</t>
  </si>
  <si>
    <t>INE227C01017</t>
  </si>
  <si>
    <t>100018</t>
  </si>
  <si>
    <t>Tata Communications Ltd.</t>
  </si>
  <si>
    <t>INE151A01013</t>
  </si>
  <si>
    <t>100038</t>
  </si>
  <si>
    <t>TV18 Broadcast Ltd.</t>
  </si>
  <si>
    <t>INE886H01027</t>
  </si>
  <si>
    <t>Entertainment</t>
  </si>
  <si>
    <t>100100</t>
  </si>
  <si>
    <t>Hindustan Petroleum Corporation Ltd.</t>
  </si>
  <si>
    <t>INE094A01015</t>
  </si>
  <si>
    <t>100461</t>
  </si>
  <si>
    <t>Astral Ltd.</t>
  </si>
  <si>
    <t>INE006I01046</t>
  </si>
  <si>
    <t>Industrial Products</t>
  </si>
  <si>
    <t>100441</t>
  </si>
  <si>
    <t>Mahanagar Gas Ltd.</t>
  </si>
  <si>
    <t>INE002S01010</t>
  </si>
  <si>
    <t>Gas</t>
  </si>
  <si>
    <t>100078</t>
  </si>
  <si>
    <t>Sanghi Industries Ltd.</t>
  </si>
  <si>
    <t>INE999B01013</t>
  </si>
  <si>
    <t>100697</t>
  </si>
  <si>
    <t>Jindal Saw Ltd.</t>
  </si>
  <si>
    <t>INE324A01024</t>
  </si>
  <si>
    <t>100219</t>
  </si>
  <si>
    <t>Indraprastha Gas Ltd.</t>
  </si>
  <si>
    <t>INE203G01027</t>
  </si>
  <si>
    <t>100182</t>
  </si>
  <si>
    <t>Power Grid Corporation of India Ltd.</t>
  </si>
  <si>
    <t>INE752E01010</t>
  </si>
  <si>
    <t>100115</t>
  </si>
  <si>
    <t>Siemens Ltd.</t>
  </si>
  <si>
    <t>INE003A01024</t>
  </si>
  <si>
    <t>5300003</t>
  </si>
  <si>
    <t>IN9047A01011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</si>
  <si>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</si>
  <si>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</si>
  <si>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</si>
  <si>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</si>
  <si>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</si>
  <si>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</si>
  <si>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</si>
  <si>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</si>
  <si>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</si>
  <si>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</si>
  <si>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</si>
  <si>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</si>
  <si>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</si>
  <si>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</si>
  <si>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</si>
  <si>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</si>
  <si>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</si>
  <si>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</si>
  <si>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</si>
  <si>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</si>
  <si>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</si>
  <si>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</si>
  <si>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</si>
  <si>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</si>
  <si>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</si>
  <si>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</si>
  <si>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Warrants, P** Partly Paid shares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</si>
  <si>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</si>
  <si>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</si>
  <si>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^^The Company has sent First Call Notice for Partly paid-up equity shares hence shares are suspended temporary for trading.</t>
  </si>
  <si>
    <t>^^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</si>
  <si>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</si>
  <si>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</si>
  <si>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</si>
  <si>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</si>
  <si>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</si>
  <si>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</si>
  <si>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</si>
  <si>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</si>
  <si>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</si>
  <si>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</si>
  <si>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</si>
  <si>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June 28, 2024 : 70.41)</t>
  </si>
  <si>
    <t>Taurus Infrastructure Fund - Direct Plan Growth Option</t>
  </si>
  <si>
    <t>NAV [Rs.] Per Unit (as on June 28, 2024 : 75.19)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</si>
</sst>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6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60DE5AFD-9A7B-4BFE-AA63-972E7226D313}"/>
    <cellStyle name="Hyperlink" xfId="2" builtinId="8"/>
    <cellStyle name="Normal" xfId="0" builtinId="0"/>
    <cellStyle name="Normal 2" xfId="4" xr:uid="{2FCBDE32-072F-4478-970B-83491D1539A1}"/>
    <cellStyle name="Style 1" xfId="3" xr:uid="{C3F0271F-4B01-438D-8BBF-4AAF3046F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29500" cy="1924050"/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210E6435-0146-495C-9843-EA1BF6E6E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2950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ne_2024\Client%20Report\TMF_Monthly_Portfolio_Report_June%2024.xls" TargetMode="External"/><Relationship Id="rId1" Type="http://schemas.openxmlformats.org/officeDocument/2006/relationships/externalLinkPath" Target="TMF_Monthly_Portfolio_Report_June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7468-0BDB-4ACC-BE40-F6AFF435D348}">
  <dimension ref="A1:BB10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70.819999999999993</v>
      </c>
      <c r="I10" s="32">
        <v>7.1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61.01</v>
      </c>
      <c r="I11" s="32">
        <v>6.12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1857</v>
      </c>
      <c r="H12" s="32">
        <v>58.16</v>
      </c>
      <c r="I12" s="32">
        <v>5.83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2431</v>
      </c>
      <c r="H13" s="32">
        <v>56.23</v>
      </c>
      <c r="I13" s="32">
        <v>5.64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24790</v>
      </c>
      <c r="H14" s="32">
        <v>47.29</v>
      </c>
      <c r="I14" s="32">
        <v>4.74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16500</v>
      </c>
      <c r="H15" s="32">
        <v>40.61</v>
      </c>
      <c r="I15" s="32">
        <v>4.07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18</v>
      </c>
      <c r="G16" s="31">
        <v>221121</v>
      </c>
      <c r="H16" s="32">
        <v>39.58</v>
      </c>
      <c r="I16" s="32">
        <v>3.97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2225</v>
      </c>
      <c r="H17" s="32">
        <v>37.46</v>
      </c>
      <c r="I17" s="32">
        <v>3.76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9787</v>
      </c>
      <c r="H18" s="32">
        <v>37.03</v>
      </c>
      <c r="I18" s="32">
        <v>3.71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34</v>
      </c>
      <c r="G19" s="31">
        <v>4454</v>
      </c>
      <c r="H19" s="32">
        <v>36.729999999999997</v>
      </c>
      <c r="I19" s="32">
        <v>3.68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6122</v>
      </c>
      <c r="H20" s="32">
        <v>35.979999999999997</v>
      </c>
      <c r="I20" s="32">
        <v>3.61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7964</v>
      </c>
      <c r="H21" s="32">
        <v>35.15</v>
      </c>
      <c r="I21" s="32">
        <v>3.52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280</v>
      </c>
      <c r="H22" s="32">
        <v>32.65</v>
      </c>
      <c r="I22" s="32">
        <v>3.27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20533</v>
      </c>
      <c r="H23" s="32">
        <v>30.54</v>
      </c>
      <c r="I23" s="32">
        <v>3.06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3854</v>
      </c>
      <c r="H24" s="32">
        <v>28.07</v>
      </c>
      <c r="I24" s="32">
        <v>2.81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64</v>
      </c>
      <c r="G25" s="31">
        <v>1015</v>
      </c>
      <c r="H25" s="32">
        <v>27.09</v>
      </c>
      <c r="I25" s="32">
        <v>2.72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22</v>
      </c>
      <c r="G26" s="31">
        <v>7470</v>
      </c>
      <c r="H26" s="32">
        <v>26.04</v>
      </c>
      <c r="I26" s="32">
        <v>2.61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22</v>
      </c>
      <c r="G27" s="31">
        <v>3478</v>
      </c>
      <c r="H27" s="32">
        <v>23.79</v>
      </c>
      <c r="I27" s="32">
        <v>2.39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490</v>
      </c>
      <c r="H28" s="32">
        <v>22.81</v>
      </c>
      <c r="I28" s="32">
        <v>2.29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4630</v>
      </c>
      <c r="H29" s="32">
        <v>22.47</v>
      </c>
      <c r="I29" s="32">
        <v>2.25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49</v>
      </c>
      <c r="G30" s="31">
        <v>3031</v>
      </c>
      <c r="H30" s="32">
        <v>22.27</v>
      </c>
      <c r="I30" s="32">
        <v>2.23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64</v>
      </c>
      <c r="G31" s="31">
        <v>1208</v>
      </c>
      <c r="H31" s="32">
        <v>21.92</v>
      </c>
      <c r="I31" s="32">
        <v>2.2000000000000002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85</v>
      </c>
      <c r="G32" s="31">
        <v>367</v>
      </c>
      <c r="H32" s="32">
        <v>19.63</v>
      </c>
      <c r="I32" s="32">
        <v>1.97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9355</v>
      </c>
      <c r="H33" s="32">
        <v>17.87</v>
      </c>
      <c r="I33" s="32">
        <v>1.79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68</v>
      </c>
      <c r="G34" s="31">
        <v>9293</v>
      </c>
      <c r="H34" s="32">
        <v>16.170000000000002</v>
      </c>
      <c r="I34" s="32">
        <v>1.62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89</v>
      </c>
      <c r="G35" s="31">
        <v>1123</v>
      </c>
      <c r="H35" s="32">
        <v>13.93</v>
      </c>
      <c r="I35" s="32">
        <v>1.4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18</v>
      </c>
      <c r="G36" s="31">
        <v>725</v>
      </c>
      <c r="H36" s="32">
        <v>13.44</v>
      </c>
      <c r="I36" s="32">
        <v>1.35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30575</v>
      </c>
      <c r="H37" s="32">
        <v>12.59</v>
      </c>
      <c r="I37" s="32">
        <v>1.26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26</v>
      </c>
      <c r="G38" s="31">
        <v>3392</v>
      </c>
      <c r="H38" s="32">
        <v>11.26</v>
      </c>
      <c r="I38" s="32">
        <v>1.1299999999999999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443</v>
      </c>
      <c r="H39" s="32">
        <v>10.54</v>
      </c>
      <c r="I39" s="32">
        <v>1.06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558</v>
      </c>
      <c r="H40" s="32">
        <v>8.91</v>
      </c>
      <c r="I40" s="32">
        <v>0.89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64</v>
      </c>
      <c r="G41" s="31">
        <v>8822</v>
      </c>
      <c r="H41" s="32">
        <v>8.74</v>
      </c>
      <c r="I41" s="32">
        <v>0.88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122</v>
      </c>
      <c r="G42" s="31">
        <v>1454</v>
      </c>
      <c r="H42" s="32">
        <v>7.9</v>
      </c>
      <c r="I42" s="32">
        <v>0.79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126</v>
      </c>
      <c r="G43" s="31">
        <v>1495</v>
      </c>
      <c r="H43" s="32">
        <v>7.53</v>
      </c>
      <c r="I43" s="32">
        <v>0.76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49</v>
      </c>
      <c r="G44" s="31">
        <v>2029</v>
      </c>
      <c r="H44" s="32">
        <v>6.71</v>
      </c>
      <c r="I44" s="32">
        <v>0.67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85</v>
      </c>
      <c r="G45" s="31">
        <v>87</v>
      </c>
      <c r="H45" s="32">
        <v>6.7</v>
      </c>
      <c r="I45" s="32">
        <v>0.67</v>
      </c>
      <c r="J45" s="33"/>
    </row>
    <row r="46" spans="2:10" x14ac:dyDescent="0.25">
      <c r="B46" s="1" t="s">
        <v>142</v>
      </c>
      <c r="C46" s="20" t="s">
        <v>74</v>
      </c>
      <c r="D46" s="29" t="s">
        <v>143</v>
      </c>
      <c r="E46" s="30"/>
      <c r="F46" s="30" t="s">
        <v>64</v>
      </c>
      <c r="G46" s="31">
        <v>34</v>
      </c>
      <c r="H46" s="32">
        <v>0.45</v>
      </c>
      <c r="I46" s="32">
        <v>0.04</v>
      </c>
      <c r="J46" s="33" t="s">
        <v>174</v>
      </c>
    </row>
    <row r="47" spans="2:10" x14ac:dyDescent="0.25">
      <c r="C47" s="28" t="s">
        <v>144</v>
      </c>
      <c r="D47" s="29"/>
      <c r="E47" s="30"/>
      <c r="F47" s="30"/>
      <c r="G47" s="31"/>
      <c r="H47" s="35">
        <v>976.07</v>
      </c>
      <c r="I47" s="35">
        <v>97.86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145</v>
      </c>
      <c r="D49" s="29"/>
      <c r="E49" s="30"/>
      <c r="F49" s="30"/>
      <c r="G49" s="31"/>
      <c r="H49" s="32" t="s">
        <v>146</v>
      </c>
      <c r="I49" s="32" t="s">
        <v>146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147</v>
      </c>
      <c r="D51" s="29"/>
      <c r="E51" s="30"/>
      <c r="F51" s="30"/>
      <c r="G51" s="31"/>
      <c r="H51" s="32" t="s">
        <v>146</v>
      </c>
      <c r="I51" s="32" t="s">
        <v>146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148</v>
      </c>
      <c r="D53" s="29"/>
      <c r="E53" s="30"/>
      <c r="F53" s="30"/>
      <c r="G53" s="31"/>
      <c r="H53" s="32"/>
      <c r="I53" s="32"/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149</v>
      </c>
      <c r="D55" s="29"/>
      <c r="E55" s="30"/>
      <c r="F55" s="30"/>
      <c r="G55" s="31"/>
      <c r="H55" s="32" t="s">
        <v>146</v>
      </c>
      <c r="I55" s="32" t="s">
        <v>146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150</v>
      </c>
      <c r="D57" s="29"/>
      <c r="E57" s="30"/>
      <c r="F57" s="30"/>
      <c r="G57" s="31"/>
      <c r="H57" s="32" t="s">
        <v>146</v>
      </c>
      <c r="I57" s="32" t="s">
        <v>146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151</v>
      </c>
      <c r="D59" s="29"/>
      <c r="E59" s="30"/>
      <c r="F59" s="30"/>
      <c r="G59" s="31"/>
      <c r="H59" s="32" t="s">
        <v>146</v>
      </c>
      <c r="I59" s="32" t="s">
        <v>146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152</v>
      </c>
      <c r="D61" s="29"/>
      <c r="E61" s="30"/>
      <c r="F61" s="30"/>
      <c r="G61" s="31"/>
      <c r="H61" s="32" t="s">
        <v>146</v>
      </c>
      <c r="I61" s="32" t="s">
        <v>146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153</v>
      </c>
      <c r="D63" s="29"/>
      <c r="E63" s="30"/>
      <c r="F63" s="30"/>
      <c r="G63" s="31"/>
      <c r="H63" s="32" t="s">
        <v>146</v>
      </c>
      <c r="I63" s="32" t="s">
        <v>146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154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155</v>
      </c>
      <c r="D67" s="29"/>
      <c r="E67" s="30"/>
      <c r="F67" s="30"/>
      <c r="G67" s="31"/>
      <c r="H67" s="32" t="s">
        <v>146</v>
      </c>
      <c r="I67" s="32" t="s">
        <v>146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156</v>
      </c>
      <c r="D69" s="29"/>
      <c r="E69" s="30"/>
      <c r="F69" s="30"/>
      <c r="G69" s="31"/>
      <c r="H69" s="32" t="s">
        <v>146</v>
      </c>
      <c r="I69" s="32" t="s">
        <v>146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157</v>
      </c>
      <c r="D71" s="29"/>
      <c r="E71" s="30"/>
      <c r="F71" s="30"/>
      <c r="G71" s="31"/>
      <c r="H71" s="32" t="s">
        <v>146</v>
      </c>
      <c r="I71" s="32" t="s">
        <v>146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158</v>
      </c>
      <c r="D73" s="29"/>
      <c r="E73" s="30"/>
      <c r="F73" s="30"/>
      <c r="G73" s="31"/>
      <c r="H73" s="32" t="s">
        <v>146</v>
      </c>
      <c r="I73" s="32" t="s">
        <v>146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159</v>
      </c>
      <c r="D75" s="29"/>
      <c r="E75" s="30"/>
      <c r="F75" s="30"/>
      <c r="G75" s="31"/>
      <c r="H75" s="32"/>
      <c r="I75" s="32"/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160</v>
      </c>
      <c r="D77" s="29"/>
      <c r="E77" s="30"/>
      <c r="F77" s="30"/>
      <c r="G77" s="31"/>
      <c r="H77" s="32" t="s">
        <v>146</v>
      </c>
      <c r="I77" s="32" t="s">
        <v>146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161</v>
      </c>
      <c r="D79" s="29"/>
      <c r="E79" s="30"/>
      <c r="F79" s="30"/>
      <c r="G79" s="31"/>
      <c r="H79" s="32" t="s">
        <v>146</v>
      </c>
      <c r="I79" s="32" t="s">
        <v>146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162</v>
      </c>
      <c r="D81" s="29"/>
      <c r="E81" s="30"/>
      <c r="F81" s="30"/>
      <c r="G81" s="31"/>
      <c r="H81" s="32" t="s">
        <v>146</v>
      </c>
      <c r="I81" s="32" t="s">
        <v>146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163</v>
      </c>
      <c r="D83" s="29"/>
      <c r="E83" s="30"/>
      <c r="F83" s="30"/>
      <c r="G83" s="31"/>
      <c r="H83" s="32" t="s">
        <v>146</v>
      </c>
      <c r="I83" s="32" t="s">
        <v>146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164</v>
      </c>
      <c r="D85" s="29"/>
      <c r="E85" s="30"/>
      <c r="F85" s="30"/>
      <c r="G85" s="31"/>
      <c r="H85" s="32" t="s">
        <v>146</v>
      </c>
      <c r="I85" s="32" t="s">
        <v>146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165</v>
      </c>
      <c r="D87" s="29"/>
      <c r="E87" s="30"/>
      <c r="F87" s="30"/>
      <c r="G87" s="31"/>
      <c r="H87" s="32" t="s">
        <v>146</v>
      </c>
      <c r="I87" s="32" t="s">
        <v>146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A89" s="26"/>
      <c r="B89" s="27"/>
      <c r="C89" s="28" t="s">
        <v>166</v>
      </c>
      <c r="D89" s="29"/>
      <c r="E89" s="30"/>
      <c r="F89" s="30"/>
      <c r="G89" s="31"/>
      <c r="H89" s="32"/>
      <c r="I89" s="32"/>
      <c r="J89" s="33"/>
    </row>
    <row r="90" spans="1:10" x14ac:dyDescent="0.25">
      <c r="B90" s="1"/>
      <c r="C90" s="20" t="s">
        <v>167</v>
      </c>
      <c r="D90" s="29"/>
      <c r="E90" s="30"/>
      <c r="F90" s="30"/>
      <c r="G90" s="31"/>
      <c r="H90" s="32">
        <v>21.37</v>
      </c>
      <c r="I90" s="32">
        <v>2.14</v>
      </c>
      <c r="J90" s="33"/>
    </row>
    <row r="91" spans="1:10" x14ac:dyDescent="0.25">
      <c r="C91" s="28" t="s">
        <v>144</v>
      </c>
      <c r="D91" s="29"/>
      <c r="E91" s="30"/>
      <c r="F91" s="30"/>
      <c r="G91" s="31"/>
      <c r="H91" s="35">
        <v>21.37</v>
      </c>
      <c r="I91" s="35">
        <v>2.14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ht="14.25" thickBot="1" x14ac:dyDescent="0.3">
      <c r="C93" s="36" t="s">
        <v>168</v>
      </c>
      <c r="D93" s="37"/>
      <c r="E93" s="38"/>
      <c r="F93" s="39"/>
      <c r="G93" s="40"/>
      <c r="H93" s="41">
        <v>997.44</v>
      </c>
      <c r="I93" s="41">
        <f>SUMIFS(I:I,C:C,"Total")</f>
        <v>100</v>
      </c>
      <c r="J93" s="42"/>
    </row>
    <row r="96" spans="1:10" x14ac:dyDescent="0.25">
      <c r="C96" s="11" t="s">
        <v>169</v>
      </c>
    </row>
    <row r="97" spans="3:3" x14ac:dyDescent="0.25">
      <c r="C97" s="2" t="s">
        <v>170</v>
      </c>
    </row>
    <row r="98" spans="3:3" ht="21" x14ac:dyDescent="0.35">
      <c r="C98" s="43" t="s">
        <v>173</v>
      </c>
    </row>
    <row r="99" spans="3:3" x14ac:dyDescent="0.25">
      <c r="C99" s="2" t="s">
        <v>171</v>
      </c>
    </row>
    <row r="100" spans="3:3" x14ac:dyDescent="0.25">
      <c r="C100" s="2" t="s">
        <v>172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9B60-B124-478C-B73F-C194001FFAE7}">
  <dimension ref="C4:K18"/>
  <sheetViews>
    <sheetView workbookViewId="0"/>
  </sheetViews>
  <sheetFormatPr defaultRowHeight="15" x14ac:dyDescent="0.25"/>
  <cols>
    <col min="3" max="3" width="45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4" spans="3:11" ht="15.75" x14ac:dyDescent="0.25">
      <c r="C4" s="44" t="s">
        <v>175</v>
      </c>
      <c r="D4" s="45"/>
      <c r="E4" s="45"/>
      <c r="F4" s="45"/>
      <c r="G4" s="45"/>
      <c r="H4" s="45"/>
      <c r="I4" s="45"/>
      <c r="J4" s="45"/>
      <c r="K4" s="45"/>
    </row>
    <row r="5" spans="3:11" x14ac:dyDescent="0.25">
      <c r="C5" s="46" t="s">
        <v>176</v>
      </c>
      <c r="D5" s="47" t="s">
        <v>177</v>
      </c>
      <c r="E5" s="47"/>
      <c r="F5" s="47" t="s">
        <v>178</v>
      </c>
      <c r="G5" s="47"/>
      <c r="H5" s="47" t="s">
        <v>179</v>
      </c>
      <c r="I5" s="47"/>
      <c r="J5" s="47" t="s">
        <v>180</v>
      </c>
      <c r="K5" s="47"/>
    </row>
    <row r="6" spans="3:11" ht="63.75" x14ac:dyDescent="0.25">
      <c r="C6" s="48"/>
      <c r="D6" s="49" t="s">
        <v>181</v>
      </c>
      <c r="E6" s="49" t="s">
        <v>182</v>
      </c>
      <c r="F6" s="49" t="s">
        <v>181</v>
      </c>
      <c r="G6" s="49" t="s">
        <v>182</v>
      </c>
      <c r="H6" s="49" t="s">
        <v>181</v>
      </c>
      <c r="I6" s="49" t="s">
        <v>182</v>
      </c>
      <c r="J6" s="49" t="s">
        <v>181</v>
      </c>
      <c r="K6" s="49" t="s">
        <v>182</v>
      </c>
    </row>
    <row r="7" spans="3:11" x14ac:dyDescent="0.25">
      <c r="C7" s="50" t="s">
        <v>183</v>
      </c>
      <c r="D7" s="51">
        <v>61.342804766269474</v>
      </c>
      <c r="E7" s="51">
        <v>16134.280476626946</v>
      </c>
      <c r="F7" s="51">
        <v>25.409594755691089</v>
      </c>
      <c r="G7" s="51">
        <v>19711.646136618139</v>
      </c>
      <c r="H7" s="51">
        <v>23.189106762568002</v>
      </c>
      <c r="I7" s="51">
        <v>28402.581686163772</v>
      </c>
      <c r="J7" s="51">
        <v>11.919854000611974</v>
      </c>
      <c r="K7" s="51">
        <v>70410</v>
      </c>
    </row>
    <row r="8" spans="3:11" x14ac:dyDescent="0.25">
      <c r="C8" s="50" t="s">
        <v>184</v>
      </c>
      <c r="D8" s="51">
        <v>60.763753340995798</v>
      </c>
      <c r="E8" s="51">
        <v>16076.375334099579</v>
      </c>
      <c r="F8" s="51">
        <v>29.61410899263872</v>
      </c>
      <c r="G8" s="51">
        <v>21774.93344092161</v>
      </c>
      <c r="H8" s="51">
        <v>23.75282950980051</v>
      </c>
      <c r="I8" s="51">
        <v>29025.231186060599</v>
      </c>
      <c r="J8" s="51">
        <v>8.3062776788538137</v>
      </c>
      <c r="K8" s="51">
        <v>39857.007206838804</v>
      </c>
    </row>
    <row r="9" spans="3:11" x14ac:dyDescent="0.25">
      <c r="C9" s="50" t="s">
        <v>185</v>
      </c>
      <c r="D9" s="51">
        <v>26.655749448050848</v>
      </c>
      <c r="E9" s="51">
        <v>12665.574944805085</v>
      </c>
      <c r="F9" s="51">
        <v>16.55232376873219</v>
      </c>
      <c r="G9" s="51">
        <v>15832.985358067599</v>
      </c>
      <c r="H9" s="51">
        <v>16.659532245726538</v>
      </c>
      <c r="I9" s="51">
        <v>21607.332439649079</v>
      </c>
      <c r="J9" s="51">
        <v>12.957036402221833</v>
      </c>
      <c r="K9" s="51">
        <v>82588.974065785704</v>
      </c>
    </row>
    <row r="10" spans="3:11" x14ac:dyDescent="0.25">
      <c r="C10" s="50" t="s">
        <v>186</v>
      </c>
      <c r="D10" s="52">
        <v>43.64</v>
      </c>
      <c r="E10" s="53"/>
      <c r="F10" s="52">
        <v>35.72</v>
      </c>
      <c r="G10" s="53"/>
      <c r="H10" s="52">
        <v>24.79</v>
      </c>
      <c r="I10" s="53"/>
      <c r="J10" s="52">
        <v>10</v>
      </c>
      <c r="K10" s="53"/>
    </row>
    <row r="12" spans="3:11" ht="15.75" x14ac:dyDescent="0.25">
      <c r="C12" s="44" t="s">
        <v>187</v>
      </c>
      <c r="D12" s="45"/>
      <c r="E12" s="45"/>
      <c r="F12" s="45"/>
      <c r="G12" s="45"/>
      <c r="H12" s="45"/>
      <c r="I12" s="45"/>
      <c r="J12" s="45"/>
      <c r="K12" s="45"/>
    </row>
    <row r="13" spans="3:11" x14ac:dyDescent="0.25">
      <c r="C13" s="46" t="s">
        <v>176</v>
      </c>
      <c r="D13" s="47" t="s">
        <v>177</v>
      </c>
      <c r="E13" s="47"/>
      <c r="F13" s="47" t="s">
        <v>178</v>
      </c>
      <c r="G13" s="47"/>
      <c r="H13" s="47" t="s">
        <v>179</v>
      </c>
      <c r="I13" s="47"/>
      <c r="J13" s="47" t="s">
        <v>180</v>
      </c>
      <c r="K13" s="47"/>
    </row>
    <row r="14" spans="3:11" ht="63.75" x14ac:dyDescent="0.25">
      <c r="C14" s="48"/>
      <c r="D14" s="49" t="s">
        <v>181</v>
      </c>
      <c r="E14" s="49" t="s">
        <v>182</v>
      </c>
      <c r="F14" s="49" t="s">
        <v>181</v>
      </c>
      <c r="G14" s="49" t="s">
        <v>182</v>
      </c>
      <c r="H14" s="49" t="s">
        <v>181</v>
      </c>
      <c r="I14" s="49" t="s">
        <v>182</v>
      </c>
      <c r="J14" s="49" t="s">
        <v>181</v>
      </c>
      <c r="K14" s="49" t="s">
        <v>182</v>
      </c>
    </row>
    <row r="15" spans="3:11" x14ac:dyDescent="0.25">
      <c r="C15" s="50" t="s">
        <v>183</v>
      </c>
      <c r="D15" s="51">
        <v>62.082345333045907</v>
      </c>
      <c r="E15" s="51">
        <v>16208.234533304591</v>
      </c>
      <c r="F15" s="51">
        <v>25.957267196170264</v>
      </c>
      <c r="G15" s="51">
        <v>19970.783532536519</v>
      </c>
      <c r="H15" s="51">
        <v>23.738324868119864</v>
      </c>
      <c r="I15" s="51">
        <v>29042.1011973735</v>
      </c>
      <c r="J15" s="51">
        <v>16.635336906855169</v>
      </c>
      <c r="K15" s="51">
        <v>58650.54602184087</v>
      </c>
    </row>
    <row r="16" spans="3:11" x14ac:dyDescent="0.25">
      <c r="C16" s="50" t="s">
        <v>184</v>
      </c>
      <c r="D16" s="51">
        <v>60.763753340995798</v>
      </c>
      <c r="E16" s="51">
        <v>16076.375334099579</v>
      </c>
      <c r="F16" s="51">
        <v>29.61410899263872</v>
      </c>
      <c r="G16" s="51">
        <v>21774.93344092161</v>
      </c>
      <c r="H16" s="51">
        <v>23.75282950980051</v>
      </c>
      <c r="I16" s="51">
        <v>29025.231186060599</v>
      </c>
      <c r="J16" s="51">
        <v>13.094169886333361</v>
      </c>
      <c r="K16" s="51">
        <v>41147.445672230031</v>
      </c>
    </row>
    <row r="17" spans="3:11" x14ac:dyDescent="0.25">
      <c r="C17" s="50" t="s">
        <v>185</v>
      </c>
      <c r="D17" s="51">
        <v>26.655749448050848</v>
      </c>
      <c r="E17" s="51">
        <v>12665.574944805085</v>
      </c>
      <c r="F17" s="51">
        <v>16.55232376873219</v>
      </c>
      <c r="G17" s="51">
        <v>15832.985358067599</v>
      </c>
      <c r="H17" s="51">
        <v>16.659532245726538</v>
      </c>
      <c r="I17" s="51">
        <v>21607.332439649079</v>
      </c>
      <c r="J17" s="51">
        <v>14.293271019100096</v>
      </c>
      <c r="K17" s="51">
        <v>46451.439192138874</v>
      </c>
    </row>
    <row r="18" spans="3:11" x14ac:dyDescent="0.25">
      <c r="C18" s="50" t="s">
        <v>188</v>
      </c>
      <c r="D18" s="52">
        <v>46.39</v>
      </c>
      <c r="E18" s="53"/>
      <c r="F18" s="52">
        <v>37.65</v>
      </c>
      <c r="G18" s="53"/>
      <c r="H18" s="52">
        <v>25.89</v>
      </c>
      <c r="I18" s="53"/>
      <c r="J18" s="52">
        <v>12.82</v>
      </c>
      <c r="K18" s="53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2024-07-01T11:16:46Z</dcterms:created>
  <dcterms:modified xsi:type="dcterms:W3CDTF">2024-07-08T12:58:40Z</dcterms:modified>
</cp:coreProperties>
</file>