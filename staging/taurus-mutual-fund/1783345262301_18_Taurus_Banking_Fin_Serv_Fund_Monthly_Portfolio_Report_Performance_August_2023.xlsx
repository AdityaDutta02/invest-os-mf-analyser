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25" windowHeight="10425"/>
  </bookViews>
  <sheets>
    <sheet name="TBFS-Risk-o-meter &amp; Portfolio" sheetId="1" r:id="rId1"/>
    <sheet name="TBFS-Performance" sheetId="2" r:id="rId2"/>
  </sheets>
  <externalReferences>
    <externalReference r:id="rId3"/>
  </externalReferences>
  <definedNames>
    <definedName name="XDO_?CLASS_3?1?">'TBFS-Risk-o-meter &amp; Portfolio'!$C$8:$C$29</definedName>
    <definedName name="XDO_?FINAL_ISIN?1?">'TBFS-Risk-o-meter &amp; Portfolio'!$D$10:$D$29</definedName>
    <definedName name="XDO_?FINAL_ISIN?2?">'TBFS-Risk-o-meter &amp; Portfolio'!$D$10:$D$71</definedName>
    <definedName name="XDO_?FINAL_MV?1?">'TBFS-Risk-o-meter &amp; Portfolio'!$H$10:$H$29</definedName>
    <definedName name="XDO_?FINAL_MV?2?">'TBFS-Risk-o-meter &amp; Portfolio'!$H$10:$H$71</definedName>
    <definedName name="XDO_?FINAL_NAME?1?">'TBFS-Risk-o-meter &amp; Portfolio'!$C$10:$C$29</definedName>
    <definedName name="XDO_?FINAL_NAME?2?">'TBFS-Risk-o-meter &amp; Portfolio'!$C$10:$C$71</definedName>
    <definedName name="XDO_?FINAL_PER_NET?1?">'TBFS-Risk-o-meter &amp; Portfolio'!$I$10:$I$29</definedName>
    <definedName name="XDO_?FINAL_PER_NET?2?">'TBFS-Risk-o-meter &amp; Portfolio'!$I$10:$I$71</definedName>
    <definedName name="XDO_?FINAL_QUANTITE?1?">'TBFS-Risk-o-meter &amp; Portfolio'!$G$10:$G$29</definedName>
    <definedName name="XDO_?FINAL_QUANTITE?2?">'TBFS-Risk-o-meter &amp; Portfolio'!$G$10:$G$71</definedName>
    <definedName name="XDO_?IND_01?1?">'TBFS-Risk-o-meter &amp; Portfolio'!$F$10:$F$29</definedName>
    <definedName name="XDO_?IND_01?2?">'TBFS-Risk-o-meter &amp; Portfolio'!$F$10:$F$71</definedName>
    <definedName name="XDO_?NAMC?">[1]TBF!#REF!</definedName>
    <definedName name="XDO_?NAMC?1?">'TBFS-Risk-o-meter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'TBFS-Risk-o-meter &amp; Portfolio'!$C$2:$C$29</definedName>
    <definedName name="XDO_?NDATE?">[1]TBF!#REF!</definedName>
    <definedName name="XDO_?NDATE?1?">'TBFS-Risk-o-meter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'TBFS-Risk-o-meter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'TBFS-Risk-o-meter &amp; Portfolio'!$B$10:$B$29</definedName>
    <definedName name="XDO_?NOVAL?2?">'TBFS-Risk-o-meter &amp; Portfolio'!$B$10:$B$71</definedName>
    <definedName name="XDO_?NPTF?1?">'TBFS-Risk-o-meter &amp; Portfolio'!$D$2:$D$29</definedName>
    <definedName name="XDO_?RATING?1?">'TBFS-Risk-o-meter &amp; Portfolio'!$E$10:$E$29</definedName>
    <definedName name="XDO_?RATING?2?">'TBFS-Risk-o-meter &amp; Portfolio'!$E$10:$E$71</definedName>
    <definedName name="XDO_?REMARKS?1?">'TBFS-Risk-o-meter &amp; Portfolio'!$J$10:$J$29</definedName>
    <definedName name="XDO_?REMARKS?2?">'TBFS-Risk-o-meter &amp; Portfolio'!$J$10:$J$71</definedName>
    <definedName name="XDO_?TITL?1?">'TBFS-Risk-o-meter &amp; Portfolio'!$A$8:$A$29</definedName>
    <definedName name="XDO_GROUP_?G_2?1?">'TBFS-Risk-o-meter &amp; Portfolio'!$2:$74</definedName>
    <definedName name="XDO_GROUP_?G_3?1?">'TBFS-Risk-o-meter &amp; Portfolio'!$8:$73</definedName>
    <definedName name="XDO_GROUP_?G_4?1?">'TBFS-Risk-o-meter &amp; Portfolio'!$B$10:$IV$29</definedName>
    <definedName name="XDO_GROUP_?G_4?2?">'TBFS-Risk-o-meter &amp; Portfolio'!$B$71:$IV$71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/>
</calcChain>
</file>

<file path=xl/sharedStrings.xml><?xml version="1.0" encoding="utf-8"?>
<sst xmlns="http://schemas.openxmlformats.org/spreadsheetml/2006/main" count="191" uniqueCount="121">
  <si>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</si>
  <si>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</si>
  <si>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</si>
  <si>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</si>
  <si>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</si>
  <si>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</si>
  <si>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</si>
  <si>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</si>
  <si>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</si>
  <si>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</si>
  <si>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</si>
  <si>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</si>
  <si>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</si>
  <si>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</si>
  <si>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</si>
  <si>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</si>
  <si>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</si>
  <si>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</si>
  <si>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</si>
  <si>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</si>
  <si>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</si>
  <si>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</si>
  <si>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</si>
  <si>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</si>
  <si>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</si>
  <si>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</si>
  <si>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</si>
  <si>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</si>
  <si>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</si>
  <si>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</si>
  <si>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</si>
  <si>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100013</t>
  </si>
  <si>
    <t>IndusInd Bank Ltd.</t>
  </si>
  <si>
    <t>INE095A01012</t>
  </si>
  <si>
    <t>100399</t>
  </si>
  <si>
    <t>Cholamandalam Investment &amp; Finance Co. Ltd.</t>
  </si>
  <si>
    <t>INE121A01024</t>
  </si>
  <si>
    <t>Finance</t>
  </si>
  <si>
    <t>100122</t>
  </si>
  <si>
    <t>Union Bank of India</t>
  </si>
  <si>
    <t>INE692A01016</t>
  </si>
  <si>
    <t>100092</t>
  </si>
  <si>
    <t>Bank of Baroda</t>
  </si>
  <si>
    <t>INE028A01039</t>
  </si>
  <si>
    <t>100055</t>
  </si>
  <si>
    <t>The Federal Bank Ltd.</t>
  </si>
  <si>
    <t>INE171A01029</t>
  </si>
  <si>
    <t>101550</t>
  </si>
  <si>
    <t>Life Insurance Corporation of India</t>
  </si>
  <si>
    <t>INE0J1Y01017</t>
  </si>
  <si>
    <t>Insurance</t>
  </si>
  <si>
    <t>100325</t>
  </si>
  <si>
    <t>Bajaj Holdings &amp; Investment Ltd.</t>
  </si>
  <si>
    <t>INE118A01012</t>
  </si>
  <si>
    <t>101783</t>
  </si>
  <si>
    <t>Five Star Business Finance Ltd.</t>
  </si>
  <si>
    <t>INE128S01021</t>
  </si>
  <si>
    <t>101210</t>
  </si>
  <si>
    <t>Credit Access Grameen Ltd.</t>
  </si>
  <si>
    <t>INE741K01010</t>
  </si>
  <si>
    <t>100361</t>
  </si>
  <si>
    <t>Bank of India</t>
  </si>
  <si>
    <t>INE084A01016</t>
  </si>
  <si>
    <t>101293</t>
  </si>
  <si>
    <t>UCO Bank</t>
  </si>
  <si>
    <t>INE691A01018</t>
  </si>
  <si>
    <t>101181</t>
  </si>
  <si>
    <t>UTI Asset Management Co. Ltd.</t>
  </si>
  <si>
    <t>INE094J01016</t>
  </si>
  <si>
    <t>Capital Markets</t>
  </si>
  <si>
    <t>100684</t>
  </si>
  <si>
    <t>SBI Life Insurance Co. Ltd.</t>
  </si>
  <si>
    <t>INE123W01016</t>
  </si>
  <si>
    <t>100774</t>
  </si>
  <si>
    <t>ICICI Securities Ltd.</t>
  </si>
  <si>
    <t>INE763G01038</t>
  </si>
  <si>
    <t>101178</t>
  </si>
  <si>
    <t>Computer Age Management Services Ltd.</t>
  </si>
  <si>
    <t>INE596I01012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</si>
  <si>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</si>
  <si>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</si>
  <si>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</si>
  <si>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</si>
  <si>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</si>
  <si>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</si>
  <si>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</si>
  <si>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</si>
  <si>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</si>
  <si>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</si>
  <si>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</si>
  <si>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</si>
  <si>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</si>
  <si>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</si>
  <si>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</si>
  <si>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</si>
  <si>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</si>
  <si>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</si>
  <si>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</si>
  <si>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</si>
  <si>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</si>
  <si>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</si>
  <si>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</si>
  <si>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</si>
  <si>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</si>
  <si>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</si>
  <si>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</si>
  <si>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</si>
  <si>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</si>
  <si>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</si>
  <si>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</si>
  <si>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</si>
  <si>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</si>
  <si>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</si>
  <si>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</si>
  <si>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</si>
  <si>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</si>
  <si>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</si>
  <si>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</si>
  <si>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August 31, 2023 : 41.01)</t>
  </si>
  <si>
    <t>Taurus Banking &amp; Financial Services Fund - Direct Plan Growth Option</t>
  </si>
  <si>
    <t>NAV [Rs.] Per Unit (as on August 31, 2023 : 45.18)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</si>
</sst>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banking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0"/>
  <sheetViews>
    <sheetView showGridLines="0" tabSelected="1" zoomScale="90" zoomScaleNormal="90" workbookViewId="0">
      <selection activeCell="C2" sqref="C2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4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>
      <c r="C2" s="6" t="s">
        <v>0</v>
      </c>
      <c r="D2" s="1" t="s">
        <v>1</v>
      </c>
      <c r="J2" s="9"/>
    </row>
    <row r="3" spans="1:54" ht="16.5">
      <c r="C3" s="11" t="s">
        <v>2</v>
      </c>
      <c r="D3" s="12" t="s">
        <v>3</v>
      </c>
    </row>
    <row r="4" spans="1:54" ht="15.75">
      <c r="C4" s="11" t="s">
        <v>4</v>
      </c>
      <c r="D4" s="13">
        <v>45169</v>
      </c>
    </row>
    <row r="5" spans="1:54" ht="14.25" thickBot="1">
      <c r="C5" s="11"/>
    </row>
    <row r="6" spans="1:54" ht="27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172.91</v>
      </c>
      <c r="I10" s="32">
        <v>18.52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160.97999999999999</v>
      </c>
      <c r="I11" s="32">
        <v>17.25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9625</v>
      </c>
      <c r="H12" s="32">
        <v>93.75</v>
      </c>
      <c r="I12" s="32">
        <v>10.039999999999999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16568</v>
      </c>
      <c r="H13" s="32">
        <v>93</v>
      </c>
      <c r="I13" s="32">
        <v>9.9600000000000009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4700</v>
      </c>
      <c r="H14" s="32">
        <v>82.7</v>
      </c>
      <c r="I14" s="32">
        <v>8.86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3250</v>
      </c>
      <c r="H15" s="32">
        <v>44.74</v>
      </c>
      <c r="I15" s="32">
        <v>4.79</v>
      </c>
      <c r="J15" s="33"/>
    </row>
    <row r="16" spans="1:54">
      <c r="B16" s="1" t="s">
        <v>34</v>
      </c>
      <c r="C16" s="20" t="s">
        <v>35</v>
      </c>
      <c r="D16" s="29" t="s">
        <v>36</v>
      </c>
      <c r="E16" s="30"/>
      <c r="F16" s="30" t="s">
        <v>37</v>
      </c>
      <c r="G16" s="31">
        <v>2894</v>
      </c>
      <c r="H16" s="32">
        <v>32.5</v>
      </c>
      <c r="I16" s="32">
        <v>3.48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35180</v>
      </c>
      <c r="H17" s="32">
        <v>30.22</v>
      </c>
      <c r="I17" s="32">
        <v>3.24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15383</v>
      </c>
      <c r="H18" s="32">
        <v>28.8</v>
      </c>
      <c r="I18" s="32">
        <v>3.08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19016</v>
      </c>
      <c r="H19" s="32">
        <v>27.36</v>
      </c>
      <c r="I19" s="32">
        <v>2.93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50</v>
      </c>
      <c r="G20" s="31">
        <v>4177</v>
      </c>
      <c r="H20" s="32">
        <v>26.95</v>
      </c>
      <c r="I20" s="32">
        <v>2.89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37</v>
      </c>
      <c r="G21" s="31">
        <v>346</v>
      </c>
      <c r="H21" s="32">
        <v>25.72</v>
      </c>
      <c r="I21" s="32">
        <v>2.76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37</v>
      </c>
      <c r="G22" s="31">
        <v>2653</v>
      </c>
      <c r="H22" s="32">
        <v>20.52</v>
      </c>
      <c r="I22" s="32">
        <v>2.2000000000000002</v>
      </c>
      <c r="J22" s="33"/>
    </row>
    <row r="23" spans="2:10">
      <c r="B23" s="1" t="s">
        <v>57</v>
      </c>
      <c r="C23" s="20" t="s">
        <v>58</v>
      </c>
      <c r="D23" s="29" t="s">
        <v>59</v>
      </c>
      <c r="E23" s="30"/>
      <c r="F23" s="30" t="s">
        <v>37</v>
      </c>
      <c r="G23" s="31">
        <v>1182</v>
      </c>
      <c r="H23" s="32">
        <v>16.71</v>
      </c>
      <c r="I23" s="32">
        <v>1.79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18</v>
      </c>
      <c r="G24" s="31">
        <v>18957</v>
      </c>
      <c r="H24" s="32">
        <v>16.29</v>
      </c>
      <c r="I24" s="32">
        <v>1.74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18</v>
      </c>
      <c r="G25" s="31">
        <v>52064</v>
      </c>
      <c r="H25" s="32">
        <v>16.2</v>
      </c>
      <c r="I25" s="32">
        <v>1.74</v>
      </c>
      <c r="J25" s="33"/>
    </row>
    <row r="26" spans="2:10">
      <c r="B26" s="1" t="s">
        <v>66</v>
      </c>
      <c r="C26" s="20" t="s">
        <v>67</v>
      </c>
      <c r="D26" s="29" t="s">
        <v>68</v>
      </c>
      <c r="E26" s="30"/>
      <c r="F26" s="30" t="s">
        <v>69</v>
      </c>
      <c r="G26" s="31">
        <v>1899</v>
      </c>
      <c r="H26" s="32">
        <v>14.22</v>
      </c>
      <c r="I26" s="32">
        <v>1.52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50</v>
      </c>
      <c r="G27" s="31">
        <v>796</v>
      </c>
      <c r="H27" s="32">
        <v>10.3</v>
      </c>
      <c r="I27" s="32">
        <v>1.1000000000000001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69</v>
      </c>
      <c r="G28" s="31">
        <v>1237</v>
      </c>
      <c r="H28" s="32">
        <v>7.71</v>
      </c>
      <c r="I28" s="32">
        <v>0.83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69</v>
      </c>
      <c r="G29" s="31">
        <v>194</v>
      </c>
      <c r="H29" s="32">
        <v>4.6100000000000003</v>
      </c>
      <c r="I29" s="32">
        <v>0.49</v>
      </c>
      <c r="J29" s="33"/>
    </row>
    <row r="30" spans="2:10">
      <c r="C30" s="28" t="s">
        <v>79</v>
      </c>
      <c r="D30" s="29"/>
      <c r="E30" s="30"/>
      <c r="F30" s="30"/>
      <c r="G30" s="31"/>
      <c r="H30" s="35">
        <v>926.19</v>
      </c>
      <c r="I30" s="35">
        <v>99.21</v>
      </c>
      <c r="J30" s="33"/>
    </row>
    <row r="31" spans="2:10">
      <c r="C31" s="20"/>
      <c r="D31" s="29"/>
      <c r="E31" s="30"/>
      <c r="F31" s="30"/>
      <c r="G31" s="31"/>
      <c r="H31" s="32"/>
      <c r="I31" s="32"/>
      <c r="J31" s="33"/>
    </row>
    <row r="32" spans="2:10">
      <c r="C32" s="28" t="s">
        <v>80</v>
      </c>
      <c r="D32" s="29"/>
      <c r="E32" s="30"/>
      <c r="F32" s="30"/>
      <c r="G32" s="31"/>
      <c r="H32" s="32" t="s">
        <v>81</v>
      </c>
      <c r="I32" s="32" t="s">
        <v>81</v>
      </c>
      <c r="J32" s="33"/>
    </row>
    <row r="33" spans="3:10">
      <c r="C33" s="20"/>
      <c r="D33" s="29"/>
      <c r="E33" s="30"/>
      <c r="F33" s="30"/>
      <c r="G33" s="31"/>
      <c r="H33" s="32"/>
      <c r="I33" s="32"/>
      <c r="J33" s="33"/>
    </row>
    <row r="34" spans="3:10">
      <c r="C34" s="28" t="s">
        <v>82</v>
      </c>
      <c r="D34" s="29"/>
      <c r="E34" s="30"/>
      <c r="F34" s="30"/>
      <c r="G34" s="31"/>
      <c r="H34" s="32" t="s">
        <v>81</v>
      </c>
      <c r="I34" s="32" t="s">
        <v>81</v>
      </c>
      <c r="J34" s="33"/>
    </row>
    <row r="35" spans="3:10">
      <c r="C35" s="20"/>
      <c r="D35" s="29"/>
      <c r="E35" s="30"/>
      <c r="F35" s="30"/>
      <c r="G35" s="31"/>
      <c r="H35" s="32"/>
      <c r="I35" s="32"/>
      <c r="J35" s="33"/>
    </row>
    <row r="36" spans="3:10">
      <c r="C36" s="28" t="s">
        <v>83</v>
      </c>
      <c r="D36" s="29"/>
      <c r="E36" s="30"/>
      <c r="F36" s="30"/>
      <c r="G36" s="31"/>
      <c r="H36" s="32"/>
      <c r="I36" s="32"/>
      <c r="J36" s="33"/>
    </row>
    <row r="37" spans="3:10">
      <c r="C37" s="20"/>
      <c r="D37" s="29"/>
      <c r="E37" s="30"/>
      <c r="F37" s="30"/>
      <c r="G37" s="31"/>
      <c r="H37" s="32"/>
      <c r="I37" s="32"/>
      <c r="J37" s="33"/>
    </row>
    <row r="38" spans="3:10">
      <c r="C38" s="28" t="s">
        <v>84</v>
      </c>
      <c r="D38" s="29"/>
      <c r="E38" s="30"/>
      <c r="F38" s="30"/>
      <c r="G38" s="31"/>
      <c r="H38" s="32" t="s">
        <v>81</v>
      </c>
      <c r="I38" s="32" t="s">
        <v>81</v>
      </c>
      <c r="J38" s="33"/>
    </row>
    <row r="39" spans="3:10">
      <c r="C39" s="20"/>
      <c r="D39" s="29"/>
      <c r="E39" s="30"/>
      <c r="F39" s="30"/>
      <c r="G39" s="31"/>
      <c r="H39" s="32"/>
      <c r="I39" s="32"/>
      <c r="J39" s="33"/>
    </row>
    <row r="40" spans="3:10">
      <c r="C40" s="28" t="s">
        <v>85</v>
      </c>
      <c r="D40" s="29"/>
      <c r="E40" s="30"/>
      <c r="F40" s="30"/>
      <c r="G40" s="31"/>
      <c r="H40" s="32" t="s">
        <v>81</v>
      </c>
      <c r="I40" s="32" t="s">
        <v>81</v>
      </c>
      <c r="J40" s="33"/>
    </row>
    <row r="41" spans="3:10">
      <c r="C41" s="20"/>
      <c r="D41" s="29"/>
      <c r="E41" s="30"/>
      <c r="F41" s="30"/>
      <c r="G41" s="31"/>
      <c r="H41" s="32"/>
      <c r="I41" s="32"/>
      <c r="J41" s="33"/>
    </row>
    <row r="42" spans="3:10">
      <c r="C42" s="28" t="s">
        <v>86</v>
      </c>
      <c r="D42" s="29"/>
      <c r="E42" s="30"/>
      <c r="F42" s="30"/>
      <c r="G42" s="31"/>
      <c r="H42" s="32" t="s">
        <v>81</v>
      </c>
      <c r="I42" s="32" t="s">
        <v>81</v>
      </c>
      <c r="J42" s="33"/>
    </row>
    <row r="43" spans="3:10">
      <c r="C43" s="20"/>
      <c r="D43" s="29"/>
      <c r="E43" s="30"/>
      <c r="F43" s="30"/>
      <c r="G43" s="31"/>
      <c r="H43" s="32"/>
      <c r="I43" s="32"/>
      <c r="J43" s="33"/>
    </row>
    <row r="44" spans="3:10">
      <c r="C44" s="28" t="s">
        <v>87</v>
      </c>
      <c r="D44" s="29"/>
      <c r="E44" s="30"/>
      <c r="F44" s="30"/>
      <c r="G44" s="31"/>
      <c r="H44" s="32" t="s">
        <v>81</v>
      </c>
      <c r="I44" s="32" t="s">
        <v>81</v>
      </c>
      <c r="J44" s="33"/>
    </row>
    <row r="45" spans="3:10">
      <c r="C45" s="20"/>
      <c r="D45" s="29"/>
      <c r="E45" s="30"/>
      <c r="F45" s="30"/>
      <c r="G45" s="31"/>
      <c r="H45" s="32"/>
      <c r="I45" s="32"/>
      <c r="J45" s="33"/>
    </row>
    <row r="46" spans="3:10">
      <c r="C46" s="28" t="s">
        <v>88</v>
      </c>
      <c r="D46" s="29"/>
      <c r="E46" s="30"/>
      <c r="F46" s="30"/>
      <c r="G46" s="31"/>
      <c r="H46" s="32" t="s">
        <v>81</v>
      </c>
      <c r="I46" s="32" t="s">
        <v>81</v>
      </c>
      <c r="J46" s="33"/>
    </row>
    <row r="47" spans="3:10">
      <c r="C47" s="20"/>
      <c r="D47" s="29"/>
      <c r="E47" s="30"/>
      <c r="F47" s="30"/>
      <c r="G47" s="31"/>
      <c r="H47" s="32"/>
      <c r="I47" s="32"/>
      <c r="J47" s="33"/>
    </row>
    <row r="48" spans="3:10">
      <c r="C48" s="28" t="s">
        <v>89</v>
      </c>
      <c r="D48" s="29"/>
      <c r="E48" s="30"/>
      <c r="F48" s="30"/>
      <c r="G48" s="31"/>
      <c r="H48" s="32"/>
      <c r="I48" s="32"/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90</v>
      </c>
      <c r="D50" s="29"/>
      <c r="E50" s="30"/>
      <c r="F50" s="30"/>
      <c r="G50" s="31"/>
      <c r="H50" s="32" t="s">
        <v>81</v>
      </c>
      <c r="I50" s="32" t="s">
        <v>81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91</v>
      </c>
      <c r="D52" s="29"/>
      <c r="E52" s="30"/>
      <c r="F52" s="30"/>
      <c r="G52" s="31"/>
      <c r="H52" s="32" t="s">
        <v>81</v>
      </c>
      <c r="I52" s="32" t="s">
        <v>81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92</v>
      </c>
      <c r="D54" s="29"/>
      <c r="E54" s="30"/>
      <c r="F54" s="30"/>
      <c r="G54" s="31"/>
      <c r="H54" s="32" t="s">
        <v>81</v>
      </c>
      <c r="I54" s="32" t="s">
        <v>81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93</v>
      </c>
      <c r="D56" s="29"/>
      <c r="E56" s="30"/>
      <c r="F56" s="30"/>
      <c r="G56" s="31"/>
      <c r="H56" s="32" t="s">
        <v>81</v>
      </c>
      <c r="I56" s="32" t="s">
        <v>81</v>
      </c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94</v>
      </c>
      <c r="D58" s="29"/>
      <c r="E58" s="30"/>
      <c r="F58" s="30"/>
      <c r="G58" s="31"/>
      <c r="H58" s="32"/>
      <c r="I58" s="32"/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95</v>
      </c>
      <c r="D60" s="29"/>
      <c r="E60" s="30"/>
      <c r="F60" s="30"/>
      <c r="G60" s="31"/>
      <c r="H60" s="32" t="s">
        <v>81</v>
      </c>
      <c r="I60" s="32" t="s">
        <v>81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96</v>
      </c>
      <c r="D62" s="29"/>
      <c r="E62" s="30"/>
      <c r="F62" s="30"/>
      <c r="G62" s="31"/>
      <c r="H62" s="32" t="s">
        <v>81</v>
      </c>
      <c r="I62" s="32" t="s">
        <v>81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97</v>
      </c>
      <c r="D64" s="29"/>
      <c r="E64" s="30"/>
      <c r="F64" s="30"/>
      <c r="G64" s="31"/>
      <c r="H64" s="32" t="s">
        <v>81</v>
      </c>
      <c r="I64" s="32" t="s">
        <v>81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98</v>
      </c>
      <c r="D66" s="29"/>
      <c r="E66" s="30"/>
      <c r="F66" s="30"/>
      <c r="G66" s="31"/>
      <c r="H66" s="32" t="s">
        <v>81</v>
      </c>
      <c r="I66" s="32" t="s">
        <v>81</v>
      </c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99</v>
      </c>
      <c r="D68" s="29"/>
      <c r="E68" s="30"/>
      <c r="F68" s="30"/>
      <c r="G68" s="31"/>
      <c r="H68" s="32" t="s">
        <v>81</v>
      </c>
      <c r="I68" s="32" t="s">
        <v>81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A70" s="26"/>
      <c r="B70" s="27"/>
      <c r="C70" s="28" t="s">
        <v>100</v>
      </c>
      <c r="D70" s="29"/>
      <c r="E70" s="30"/>
      <c r="F70" s="30"/>
      <c r="G70" s="31"/>
      <c r="H70" s="32"/>
      <c r="I70" s="32"/>
      <c r="J70" s="33"/>
    </row>
    <row r="71" spans="1:10">
      <c r="B71" s="1"/>
      <c r="C71" s="20" t="s">
        <v>101</v>
      </c>
      <c r="D71" s="29"/>
      <c r="E71" s="30"/>
      <c r="F71" s="30"/>
      <c r="G71" s="31"/>
      <c r="H71" s="32">
        <v>7.27</v>
      </c>
      <c r="I71" s="32">
        <v>0.79</v>
      </c>
      <c r="J71" s="33"/>
    </row>
    <row r="72" spans="1:10">
      <c r="C72" s="28" t="s">
        <v>79</v>
      </c>
      <c r="D72" s="29"/>
      <c r="E72" s="30"/>
      <c r="F72" s="30"/>
      <c r="G72" s="31"/>
      <c r="H72" s="35">
        <v>7.27</v>
      </c>
      <c r="I72" s="35">
        <v>0.79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 ht="14.25" thickBot="1">
      <c r="C74" s="36" t="s">
        <v>102</v>
      </c>
      <c r="D74" s="37"/>
      <c r="E74" s="38"/>
      <c r="F74" s="39"/>
      <c r="G74" s="40"/>
      <c r="H74" s="41">
        <v>933.46</v>
      </c>
      <c r="I74" s="41">
        <f>SUMIFS(I:I,C:C,"Total")</f>
        <v>100</v>
      </c>
      <c r="J74" s="42"/>
    </row>
    <row r="77" spans="1:10">
      <c r="C77" s="11" t="s">
        <v>103</v>
      </c>
    </row>
    <row r="78" spans="1:10">
      <c r="C78" s="2" t="s">
        <v>104</v>
      </c>
    </row>
    <row r="79" spans="1:10">
      <c r="C79" s="2" t="s">
        <v>105</v>
      </c>
    </row>
    <row r="80" spans="1:10">
      <c r="C80" s="2" t="s">
        <v>106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6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107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108</v>
      </c>
      <c r="C5" s="46" t="s">
        <v>109</v>
      </c>
      <c r="D5" s="46"/>
      <c r="E5" s="46" t="s">
        <v>110</v>
      </c>
      <c r="F5" s="46"/>
      <c r="G5" s="46" t="s">
        <v>111</v>
      </c>
      <c r="H5" s="46"/>
      <c r="I5" s="46" t="s">
        <v>112</v>
      </c>
      <c r="J5" s="46"/>
    </row>
    <row r="6" spans="2:10" ht="63.75">
      <c r="B6" s="47"/>
      <c r="C6" s="48" t="s">
        <v>113</v>
      </c>
      <c r="D6" s="48" t="s">
        <v>114</v>
      </c>
      <c r="E6" s="48" t="s">
        <v>113</v>
      </c>
      <c r="F6" s="48" t="s">
        <v>114</v>
      </c>
      <c r="G6" s="48" t="s">
        <v>113</v>
      </c>
      <c r="H6" s="48" t="s">
        <v>114</v>
      </c>
      <c r="I6" s="48" t="s">
        <v>113</v>
      </c>
      <c r="J6" s="48" t="s">
        <v>114</v>
      </c>
    </row>
    <row r="7" spans="2:10">
      <c r="B7" s="49" t="s">
        <v>115</v>
      </c>
      <c r="C7" s="50">
        <v>14.574388850453834</v>
      </c>
      <c r="D7" s="50">
        <v>11461.710452766907</v>
      </c>
      <c r="E7" s="50">
        <v>21.138090869810068</v>
      </c>
      <c r="F7" s="50">
        <v>17776.332899869958</v>
      </c>
      <c r="G7" s="50">
        <v>10.737846171229304</v>
      </c>
      <c r="H7" s="50">
        <v>16657.189277010559</v>
      </c>
      <c r="I7" s="50">
        <v>13.321014900962535</v>
      </c>
      <c r="J7" s="50">
        <v>41010</v>
      </c>
    </row>
    <row r="8" spans="2:10">
      <c r="B8" s="49" t="s">
        <v>116</v>
      </c>
      <c r="C8" s="50">
        <v>9.8866028320198538</v>
      </c>
      <c r="D8" s="50">
        <v>10988.660283201985</v>
      </c>
      <c r="E8" s="50">
        <v>23.102185260262399</v>
      </c>
      <c r="F8" s="50">
        <v>18655.087365088464</v>
      </c>
      <c r="G8" s="50">
        <v>9.7221568369113331</v>
      </c>
      <c r="H8" s="50">
        <v>15902.729810172959</v>
      </c>
      <c r="I8" s="50">
        <v>15.489636364008996</v>
      </c>
      <c r="J8" s="50">
        <v>50771.766899150047</v>
      </c>
    </row>
    <row r="9" spans="2:10">
      <c r="B9" s="49" t="s">
        <v>117</v>
      </c>
      <c r="C9" s="50">
        <v>9.5015556201178519</v>
      </c>
      <c r="D9" s="50">
        <v>10950.155562011785</v>
      </c>
      <c r="E9" s="50">
        <v>20.579901791269894</v>
      </c>
      <c r="F9" s="50">
        <v>17531.730153872704</v>
      </c>
      <c r="G9" s="50">
        <v>11.829978219909387</v>
      </c>
      <c r="H9" s="50">
        <v>17490.056062883898</v>
      </c>
      <c r="I9" s="50">
        <v>14.420850918079985</v>
      </c>
      <c r="J9" s="50">
        <v>45715.827355850204</v>
      </c>
    </row>
    <row r="10" spans="2:10">
      <c r="B10" s="49" t="s">
        <v>118</v>
      </c>
      <c r="C10" s="51">
        <v>35.78</v>
      </c>
      <c r="D10" s="52"/>
      <c r="E10" s="51">
        <v>23.07</v>
      </c>
      <c r="F10" s="52"/>
      <c r="G10" s="51">
        <v>24.62</v>
      </c>
      <c r="H10" s="52"/>
      <c r="I10" s="51">
        <v>10</v>
      </c>
      <c r="J10" s="52"/>
    </row>
    <row r="12" spans="2:10" ht="15.75">
      <c r="B12" s="43" t="s">
        <v>119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108</v>
      </c>
      <c r="C13" s="46" t="s">
        <v>109</v>
      </c>
      <c r="D13" s="46"/>
      <c r="E13" s="46" t="s">
        <v>110</v>
      </c>
      <c r="F13" s="46"/>
      <c r="G13" s="46" t="s">
        <v>111</v>
      </c>
      <c r="H13" s="46"/>
      <c r="I13" s="46" t="s">
        <v>112</v>
      </c>
      <c r="J13" s="46"/>
    </row>
    <row r="14" spans="2:10" ht="63.75">
      <c r="B14" s="47"/>
      <c r="C14" s="48" t="s">
        <v>113</v>
      </c>
      <c r="D14" s="48" t="s">
        <v>114</v>
      </c>
      <c r="E14" s="48" t="s">
        <v>113</v>
      </c>
      <c r="F14" s="48" t="s">
        <v>114</v>
      </c>
      <c r="G14" s="48" t="s">
        <v>113</v>
      </c>
      <c r="H14" s="48" t="s">
        <v>114</v>
      </c>
      <c r="I14" s="48" t="s">
        <v>113</v>
      </c>
      <c r="J14" s="48" t="s">
        <v>114</v>
      </c>
    </row>
    <row r="15" spans="2:10">
      <c r="B15" s="49" t="s">
        <v>115</v>
      </c>
      <c r="C15" s="50">
        <v>15.474798420320646</v>
      </c>
      <c r="D15" s="50">
        <v>11552.032728202506</v>
      </c>
      <c r="E15" s="50">
        <v>22.099761737454582</v>
      </c>
      <c r="F15" s="50">
        <v>18203.062046736504</v>
      </c>
      <c r="G15" s="50">
        <v>11.592509068429679</v>
      </c>
      <c r="H15" s="50">
        <v>17310.344827586207</v>
      </c>
      <c r="I15" s="50">
        <v>11.875939480980978</v>
      </c>
      <c r="J15" s="50">
        <v>33098.9010989011</v>
      </c>
    </row>
    <row r="16" spans="2:10">
      <c r="B16" s="49" t="s">
        <v>116</v>
      </c>
      <c r="C16" s="50">
        <v>9.8866028320198538</v>
      </c>
      <c r="D16" s="50">
        <v>10988.660283201985</v>
      </c>
      <c r="E16" s="50">
        <v>23.102185260262399</v>
      </c>
      <c r="F16" s="50">
        <v>18655.087365088464</v>
      </c>
      <c r="G16" s="50">
        <v>9.7221568369113331</v>
      </c>
      <c r="H16" s="50">
        <v>15902.729810172959</v>
      </c>
      <c r="I16" s="50">
        <v>12.863804280260926</v>
      </c>
      <c r="J16" s="50">
        <v>36352.585964633392</v>
      </c>
    </row>
    <row r="17" spans="2:10">
      <c r="B17" s="49" t="s">
        <v>117</v>
      </c>
      <c r="C17" s="50">
        <v>9.5015556201178519</v>
      </c>
      <c r="D17" s="50">
        <v>10950.155562011785</v>
      </c>
      <c r="E17" s="50">
        <v>20.579901791269894</v>
      </c>
      <c r="F17" s="50">
        <v>17531.730153872704</v>
      </c>
      <c r="G17" s="50">
        <v>11.829978219909387</v>
      </c>
      <c r="H17" s="50">
        <v>17490.056062883898</v>
      </c>
      <c r="I17" s="50">
        <v>12.951407617767563</v>
      </c>
      <c r="J17" s="50">
        <v>36654.666362116761</v>
      </c>
    </row>
    <row r="18" spans="2:10">
      <c r="B18" s="49" t="s">
        <v>120</v>
      </c>
      <c r="C18" s="51">
        <v>39.11</v>
      </c>
      <c r="D18" s="52"/>
      <c r="E18" s="51">
        <v>24.82</v>
      </c>
      <c r="F18" s="52"/>
      <c r="G18" s="51">
        <v>26.1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TBFS-Risk-o-meter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2023-09-02T11:45:10Z</dcterms:created>
  <dcterms:modified xsi:type="dcterms:W3CDTF">2023-09-08T09:52:13Z</dcterms:modified>
</cp:coreProperties>
</file>