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9. Dec 2024\Monthly Portfolio Nov 2024\Ops\"/>
    </mc:Choice>
  </mc:AlternateContent>
  <xr:revisionPtr revIDLastSave="0" documentId="13_ncr:1_{1C73FF53-ED6E-4376-8595-824B26D18657}" xr6:coauthVersionLast="47" xr6:coauthVersionMax="47" xr10:uidLastSave="{00000000-0000-0000-0000-000000000000}"/>
  <bookViews>
    <workbookView xWindow="-120" yWindow="-120" windowWidth="20730" windowHeight="11040" xr2:uid="{56F78D4C-0FFE-4217-904B-531B0650C99A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TISF!$C$8:$C$41</definedName>
    <definedName name="XDO_?FINAL_ISIN?7?">TISF!$D$10:$D$41</definedName>
    <definedName name="XDO_?FINAL_ISIN?8?">TISF!$D$10:$D$85</definedName>
    <definedName name="XDO_?FINAL_MV?7?">TISF!$H$10:$H$41</definedName>
    <definedName name="XDO_?FINAL_MV?8?">TISF!$H$10:$H$85</definedName>
    <definedName name="XDO_?FINAL_NAME?7?">TISF!$C$10:$C$41</definedName>
    <definedName name="XDO_?FINAL_NAME?8?">TISF!$C$10:$C$85</definedName>
    <definedName name="XDO_?FINAL_PER_NET?7?">TISF!$I$10:$I$41</definedName>
    <definedName name="XDO_?FINAL_PER_NET?8?">TISF!$I$10:$I$85</definedName>
    <definedName name="XDO_?FINAL_QUANTITE?7?">TISF!$G$10:$G$41</definedName>
    <definedName name="XDO_?FINAL_QUANTITE?8?">TISF!$G$10:$G$85</definedName>
    <definedName name="XDO_?IND_01?7?">TISF!$F$10:$F$41</definedName>
    <definedName name="XDO_?IND_01?8?">TISF!$F$10:$F$85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TISF!$B$10:$B$41</definedName>
    <definedName name="XDO_?NOVAL?8?">TISF!$B$10:$B$85</definedName>
    <definedName name="XDO_?NPTF?4?">TISF!$D$2:$D$41</definedName>
    <definedName name="XDO_?RATING?7?">TISF!$E$10:$E$41</definedName>
    <definedName name="XDO_?RATING?8?">TISF!$E$10:$E$85</definedName>
    <definedName name="XDO_?REMARKS?7?">TISF!$J$10:$J$41</definedName>
    <definedName name="XDO_?REMARKS?8?">TISF!$J$10:$J$85</definedName>
    <definedName name="XDO_?TITL?4?">TISF!$A$8:$A$41</definedName>
    <definedName name="XDO_GROUP_?G_2?4?">TISF!$2:$88</definedName>
    <definedName name="XDO_GROUP_?G_3?4?">TISF!$8:$87</definedName>
    <definedName name="XDO_GROUP_?G_4?7?">TISF!$B$10:$IV$41</definedName>
    <definedName name="XDO_GROUP_?G_4?8?">TISF!$B$85:$IV$85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<sst xmlns="http://schemas.openxmlformats.org/spreadsheetml/2006/main" count="264" uniqueCount="192">
  <si>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</si>
  <si>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</si>
  <si>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</si>
  <si>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</si>
  <si>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</si>
  <si>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</si>
  <si>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</si>
  <si>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</si>
  <si>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</si>
  <si>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</si>
  <si>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</si>
  <si>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</si>
  <si>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</si>
  <si>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</si>
  <si>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</si>
  <si>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</si>
  <si>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</si>
  <si>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</si>
  <si>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</si>
  <si>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</si>
  <si>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</si>
  <si>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</si>
  <si>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</si>
  <si>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</si>
  <si>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</si>
  <si>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</si>
  <si>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</si>
  <si>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102206</t>
  </si>
  <si>
    <t>Chemtech Industrial Valves Ltd.</t>
  </si>
  <si>
    <t>INE212P01011</t>
  </si>
  <si>
    <t>Industrial Manufacturing</t>
  </si>
  <si>
    <t>102447</t>
  </si>
  <si>
    <t>Afcons Infrastructure Ltd.</t>
  </si>
  <si>
    <t>INE101I01011</t>
  </si>
  <si>
    <t>102060</t>
  </si>
  <si>
    <t>Tarc Ltd.</t>
  </si>
  <si>
    <t>INE0EK901012</t>
  </si>
  <si>
    <t>Realty</t>
  </si>
  <si>
    <t>100302</t>
  </si>
  <si>
    <t>DLF Ltd.</t>
  </si>
  <si>
    <t>INE271C01023</t>
  </si>
  <si>
    <t>100752</t>
  </si>
  <si>
    <t>Praj Industries Ltd.</t>
  </si>
  <si>
    <t>INE074A01025</t>
  </si>
  <si>
    <t>100181</t>
  </si>
  <si>
    <t>NTPC Ltd.</t>
  </si>
  <si>
    <t>INE733E01010</t>
  </si>
  <si>
    <t>Power</t>
  </si>
  <si>
    <t>100281</t>
  </si>
  <si>
    <t>Aditya Birla Real Estate Ltd.</t>
  </si>
  <si>
    <t>INE055A01016</t>
  </si>
  <si>
    <t>Paper, Forest &amp; Jute Products</t>
  </si>
  <si>
    <t>100082</t>
  </si>
  <si>
    <t>Ultratech Cement Ltd.</t>
  </si>
  <si>
    <t>INE481G01011</t>
  </si>
  <si>
    <t>Cement &amp; Cement Products</t>
  </si>
  <si>
    <t>100182</t>
  </si>
  <si>
    <t>Power Grid Corporation of India Ltd.</t>
  </si>
  <si>
    <t>INE752E01010</t>
  </si>
  <si>
    <t>100365</t>
  </si>
  <si>
    <t>Ashok Leyland Ltd.</t>
  </si>
  <si>
    <t>INE208A01029</t>
  </si>
  <si>
    <t>Agricultural, Commercial &amp; Construction Vehicles</t>
  </si>
  <si>
    <t>102220</t>
  </si>
  <si>
    <t>Interarch Building Products Ltd.</t>
  </si>
  <si>
    <t>INE00M901018</t>
  </si>
  <si>
    <t>100177</t>
  </si>
  <si>
    <t>Grasim Industries Ltd.</t>
  </si>
  <si>
    <t>INE047A01021</t>
  </si>
  <si>
    <t>101800</t>
  </si>
  <si>
    <t>Hindware Home Innovation Ltd.</t>
  </si>
  <si>
    <t>INE05AN01011</t>
  </si>
  <si>
    <t>Consumer Durables</t>
  </si>
  <si>
    <t>100643</t>
  </si>
  <si>
    <t>PSP Projects Ltd.</t>
  </si>
  <si>
    <t>INE488V01015</t>
  </si>
  <si>
    <t>100292</t>
  </si>
  <si>
    <t>Steel Authority of India Ltd.</t>
  </si>
  <si>
    <t>INE114A01011</t>
  </si>
  <si>
    <t>Ferrous Metals</t>
  </si>
  <si>
    <t>100035</t>
  </si>
  <si>
    <t>NMDC Ltd.</t>
  </si>
  <si>
    <t>INE584A01023</t>
  </si>
  <si>
    <t>Minerals &amp; Mining</t>
  </si>
  <si>
    <t>100169</t>
  </si>
  <si>
    <t>Indian Oil Corporation Ltd.</t>
  </si>
  <si>
    <t>INE242A01010</t>
  </si>
  <si>
    <t>100843</t>
  </si>
  <si>
    <t>Dalmia Bharat Ltd.</t>
  </si>
  <si>
    <t>INE00R701025</t>
  </si>
  <si>
    <t>100174</t>
  </si>
  <si>
    <t>Vodafone Idea Ltd.</t>
  </si>
  <si>
    <t>INE669E01016</t>
  </si>
  <si>
    <t>100362</t>
  </si>
  <si>
    <t>JSW Energy Ltd.</t>
  </si>
  <si>
    <t>INE121E01018</t>
  </si>
  <si>
    <t>100111</t>
  </si>
  <si>
    <t>Oil &amp; Natural Gas Corporation Ltd.</t>
  </si>
  <si>
    <t>INE213A01029</t>
  </si>
  <si>
    <t>Oil</t>
  </si>
  <si>
    <t>100232</t>
  </si>
  <si>
    <t>Bharat Bijlee Ltd.</t>
  </si>
  <si>
    <t>INE464A01036</t>
  </si>
  <si>
    <t>Electrical Equipment</t>
  </si>
  <si>
    <t>100094</t>
  </si>
  <si>
    <t>Bharat Petroleum Corporation Ltd.</t>
  </si>
  <si>
    <t>INE029A01011</t>
  </si>
  <si>
    <t>101489</t>
  </si>
  <si>
    <t>Data Patterns (India) Ltd.</t>
  </si>
  <si>
    <t>INE0IX101010</t>
  </si>
  <si>
    <t>Aerospace &amp; Defense</t>
  </si>
  <si>
    <t>100006</t>
  </si>
  <si>
    <t>HDFC Bank Ltd.</t>
  </si>
  <si>
    <t>INE040A01034</t>
  </si>
  <si>
    <t>Banks</t>
  </si>
  <si>
    <t>100263</t>
  </si>
  <si>
    <t>BEML Ltd.</t>
  </si>
  <si>
    <t>INE258A01016</t>
  </si>
  <si>
    <t>100809</t>
  </si>
  <si>
    <t>Rites Ltd.</t>
  </si>
  <si>
    <t>INE320J01015</t>
  </si>
  <si>
    <t>100078</t>
  </si>
  <si>
    <t>Sanghi Industries Ltd.</t>
  </si>
  <si>
    <t>INE999B01013</t>
  </si>
  <si>
    <t>101698</t>
  </si>
  <si>
    <t>Swan Energy Ltd.</t>
  </si>
  <si>
    <t>INE665A01038</t>
  </si>
  <si>
    <t>Diversified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</si>
  <si>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</si>
  <si>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</si>
  <si>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</si>
  <si>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</si>
  <si>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</si>
  <si>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</si>
  <si>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</si>
  <si>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</si>
  <si>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</si>
  <si>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</si>
  <si>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</si>
  <si>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</si>
  <si>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</si>
  <si>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</si>
  <si>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</si>
  <si>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</si>
  <si>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</si>
  <si>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</si>
  <si>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</si>
  <si>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</si>
  <si>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</si>
  <si>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</si>
  <si>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</si>
  <si>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</si>
  <si>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</si>
  <si>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</si>
  <si>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</si>
  <si>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(1) Non Convertible Debentures and  Bonds are considered as Traded based on information provided by external agencies.</t>
  </si>
  <si>
    <t>(2) ^ The Name of the Industry is in accordance with Industry Classification as recommended by AMFI.</t>
  </si>
  <si>
    <t>(3)  Total NPAs provided for and its percentage to NAV is Nil.</t>
  </si>
  <si>
    <t>(4)  Total Value and percentage of illiquid equity shares is Nil.</t>
  </si>
  <si>
    <t>(5)  Net Assets Value per unit (in Rupees) are as follows:</t>
  </si>
  <si>
    <t>NAV per unit</t>
  </si>
  <si>
    <t>Plan/Option</t>
  </si>
  <si>
    <t>As on</t>
  </si>
  <si>
    <t>October 31, 2024</t>
  </si>
  <si>
    <t>November 30, 2024</t>
  </si>
  <si>
    <t>Regular Plan - IDCW</t>
  </si>
  <si>
    <t>Regular Plan - Growth</t>
  </si>
  <si>
    <t>Direct Plan - IDCW</t>
  </si>
  <si>
    <t>Direct Plan - Growth</t>
  </si>
  <si>
    <t>(6) The Scheme did not declare any dividend during the month ended As on  November 30, 2024.</t>
  </si>
  <si>
    <t>(7) The Scheme did not declare any bonus during the month ended As on  November 30, 2024.</t>
  </si>
  <si>
    <t>(8) Total outstanding exposure in derivative instruments as on As on  November 30, 2024 is Nil</t>
  </si>
  <si>
    <t>(9) Total investments in Foreign Securities /ADRs/GDRs /Overseas ETFs as at As on  November 30, 2024 and its percentage to NAV is Nil.</t>
  </si>
  <si>
    <t>(10) During the period, the portfolio turnover ratio is 1.10 times.</t>
  </si>
  <si>
    <t>      Portfolio Turnover Ratio = Lower of sales or purchase of securities divided by average AUM for 12 months ended As on  November 30, 2024</t>
  </si>
  <si>
    <t>(11) The Scheme did not invest in repo transactions of corporate debt securities during the month ended As on  November 30, 2024.</t>
  </si>
  <si>
    <t>(12) The Scheme did not invest in credit default swaps during the month ended As on  November 30, 2024.</t>
  </si>
  <si>
    <t>(13) There are Nil instances of deviation from the valuation principles/guidelines during the month ended as on November 30th, 2024.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</si>
  <si>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</si>
  <si>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</si>
  <si>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</si>
  <si>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</si>
  <si>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</si>
  <si>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</si>
  <si>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</si>
  <si>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</si>
  <si>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</si>
  <si>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</si>
  <si>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</si>
  <si>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November 29,2024 :69.27)</t>
  </si>
  <si>
    <t>Taurus Infrastructure Fund - Direct Plan Growth Option</t>
  </si>
  <si>
    <t>NAV [Rs.] Per Unit (as on November 29,2024 :74.08)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</si>
</sst>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41DB918A-F4CB-4369-8948-196F2EA27503}"/>
    <cellStyle name="Hyperlink" xfId="2" builtinId="8"/>
    <cellStyle name="Normal" xfId="0" builtinId="0"/>
    <cellStyle name="Normal 2" xfId="4" xr:uid="{A6E6471C-4719-4AC9-B3A3-36CD45591A73}"/>
    <cellStyle name="Style 1" xfId="3" xr:uid="{CCEFE91F-D6B9-4510-8018-3AA0E24B73D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2002536</xdr:rowOff>
    </xdr:to>
    <xdr:pic>
      <xdr:nvPicPr>
        <xdr:cNvPr id="3" name="Picture 2" descr="Product Label - 9th Dec 2024 - Infra.jpg">
          <a:extLst>
            <a:ext uri="{FF2B5EF4-FFF2-40B4-BE49-F238E27FC236}">
              <a16:creationId xmlns:a16="http://schemas.microsoft.com/office/drawing/2014/main" id="{9BAA0E30-127B-431E-BB15-CD44F707B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20025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Nov_2024\Final%20Report\TMF_Monthly_Portfolio_Report_November%2024.xls" TargetMode="External"/><Relationship Id="rId1" Type="http://schemas.openxmlformats.org/officeDocument/2006/relationships/externalLinkPath" Target="file:///Q:\5.TMF\Reporting\Monthly%20Reports\Monthly%20Portfolio\2024-25\Nov_2024\Final%20Report\TMF_Monthly_Portfolio_Report_November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4F90-3647-468E-99D4-64DCA0C7C02B}">
  <dimension ref="A1:BB114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45626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79.75</v>
      </c>
      <c r="I10" s="32">
        <v>8.0299999999999994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5416</v>
      </c>
      <c r="H11" s="32">
        <v>70</v>
      </c>
      <c r="I11" s="32">
        <v>7.05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1719</v>
      </c>
      <c r="H12" s="32">
        <v>64.05</v>
      </c>
      <c r="I12" s="32">
        <v>6.45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25000</v>
      </c>
      <c r="H13" s="32">
        <v>56.54</v>
      </c>
      <c r="I13" s="32">
        <v>5.69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26</v>
      </c>
      <c r="G14" s="31">
        <v>10800</v>
      </c>
      <c r="H14" s="32">
        <v>54.39</v>
      </c>
      <c r="I14" s="32">
        <v>5.48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23003</v>
      </c>
      <c r="H15" s="32">
        <v>50.87</v>
      </c>
      <c r="I15" s="32">
        <v>5.12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37</v>
      </c>
      <c r="G16" s="31">
        <v>4454</v>
      </c>
      <c r="H16" s="32">
        <v>36.65</v>
      </c>
      <c r="I16" s="32">
        <v>3.69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30</v>
      </c>
      <c r="G17" s="31">
        <v>4394</v>
      </c>
      <c r="H17" s="32">
        <v>36.17</v>
      </c>
      <c r="I17" s="32">
        <v>3.64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9787</v>
      </c>
      <c r="H18" s="32">
        <v>35.61</v>
      </c>
      <c r="I18" s="32">
        <v>3.58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1236</v>
      </c>
      <c r="H19" s="32">
        <v>33.94</v>
      </c>
      <c r="I19" s="32">
        <v>3.42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280</v>
      </c>
      <c r="H20" s="32">
        <v>31.36</v>
      </c>
      <c r="I20" s="32">
        <v>3.16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47</v>
      </c>
      <c r="G21" s="31">
        <v>8677</v>
      </c>
      <c r="H21" s="32">
        <v>28.6</v>
      </c>
      <c r="I21" s="32">
        <v>2.88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11848</v>
      </c>
      <c r="H22" s="32">
        <v>27.49</v>
      </c>
      <c r="I22" s="32">
        <v>2.77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26</v>
      </c>
      <c r="G23" s="31">
        <v>1736</v>
      </c>
      <c r="H23" s="32">
        <v>26.5</v>
      </c>
      <c r="I23" s="32">
        <v>2.67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55</v>
      </c>
      <c r="G24" s="31">
        <v>1015</v>
      </c>
      <c r="H24" s="32">
        <v>26.46</v>
      </c>
      <c r="I24" s="32">
        <v>2.66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8872</v>
      </c>
      <c r="H25" s="32">
        <v>25.56</v>
      </c>
      <c r="I25" s="32">
        <v>2.57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26</v>
      </c>
      <c r="G26" s="31">
        <v>3685</v>
      </c>
      <c r="H26" s="32">
        <v>24.73</v>
      </c>
      <c r="I26" s="32">
        <v>2.4900000000000002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20533</v>
      </c>
      <c r="H27" s="32">
        <v>24.04</v>
      </c>
      <c r="I27" s="32">
        <v>2.42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83</v>
      </c>
      <c r="G28" s="31">
        <v>10000</v>
      </c>
      <c r="H28" s="32">
        <v>23</v>
      </c>
      <c r="I28" s="32">
        <v>2.31</v>
      </c>
      <c r="J28" s="33"/>
    </row>
    <row r="29" spans="2:10" x14ac:dyDescent="0.25">
      <c r="B29" s="1" t="s">
        <v>84</v>
      </c>
      <c r="C29" s="20" t="s">
        <v>85</v>
      </c>
      <c r="D29" s="29" t="s">
        <v>86</v>
      </c>
      <c r="E29" s="30"/>
      <c r="F29" s="30" t="s">
        <v>22</v>
      </c>
      <c r="G29" s="31">
        <v>16067</v>
      </c>
      <c r="H29" s="32">
        <v>22.28</v>
      </c>
      <c r="I29" s="32">
        <v>2.2400000000000002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55</v>
      </c>
      <c r="G30" s="31">
        <v>1208</v>
      </c>
      <c r="H30" s="32">
        <v>21.97</v>
      </c>
      <c r="I30" s="32">
        <v>2.21</v>
      </c>
      <c r="J30" s="33"/>
    </row>
    <row r="31" spans="2:10" x14ac:dyDescent="0.25">
      <c r="B31" s="1" t="s">
        <v>90</v>
      </c>
      <c r="C31" s="20" t="s">
        <v>91</v>
      </c>
      <c r="D31" s="29" t="s">
        <v>92</v>
      </c>
      <c r="E31" s="30"/>
      <c r="F31" s="30" t="s">
        <v>18</v>
      </c>
      <c r="G31" s="31">
        <v>255518</v>
      </c>
      <c r="H31" s="32">
        <v>21.36</v>
      </c>
      <c r="I31" s="32">
        <v>2.15</v>
      </c>
      <c r="J31" s="33"/>
    </row>
    <row r="32" spans="2:10" x14ac:dyDescent="0.25">
      <c r="B32" s="1" t="s">
        <v>93</v>
      </c>
      <c r="C32" s="20" t="s">
        <v>94</v>
      </c>
      <c r="D32" s="29" t="s">
        <v>95</v>
      </c>
      <c r="E32" s="30"/>
      <c r="F32" s="30" t="s">
        <v>47</v>
      </c>
      <c r="G32" s="31">
        <v>3031</v>
      </c>
      <c r="H32" s="32">
        <v>19.84</v>
      </c>
      <c r="I32" s="32">
        <v>2</v>
      </c>
      <c r="J32" s="33"/>
    </row>
    <row r="33" spans="2:10" x14ac:dyDescent="0.25">
      <c r="B33" s="1" t="s">
        <v>96</v>
      </c>
      <c r="C33" s="20" t="s">
        <v>97</v>
      </c>
      <c r="D33" s="29" t="s">
        <v>98</v>
      </c>
      <c r="E33" s="30"/>
      <c r="F33" s="30" t="s">
        <v>99</v>
      </c>
      <c r="G33" s="31">
        <v>6894</v>
      </c>
      <c r="H33" s="32">
        <v>17.7</v>
      </c>
      <c r="I33" s="32">
        <v>1.78</v>
      </c>
      <c r="J33" s="33"/>
    </row>
    <row r="34" spans="2:10" x14ac:dyDescent="0.25">
      <c r="B34" s="1" t="s">
        <v>100</v>
      </c>
      <c r="C34" s="20" t="s">
        <v>101</v>
      </c>
      <c r="D34" s="29" t="s">
        <v>102</v>
      </c>
      <c r="E34" s="30"/>
      <c r="F34" s="30" t="s">
        <v>103</v>
      </c>
      <c r="G34" s="31">
        <v>404</v>
      </c>
      <c r="H34" s="32">
        <v>15.65</v>
      </c>
      <c r="I34" s="32">
        <v>1.58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22</v>
      </c>
      <c r="G35" s="31">
        <v>5104</v>
      </c>
      <c r="H35" s="32">
        <v>14.92</v>
      </c>
      <c r="I35" s="32">
        <v>1.5</v>
      </c>
      <c r="J35" s="33"/>
    </row>
    <row r="36" spans="2:10" x14ac:dyDescent="0.25">
      <c r="B36" s="1" t="s">
        <v>107</v>
      </c>
      <c r="C36" s="20" t="s">
        <v>108</v>
      </c>
      <c r="D36" s="29" t="s">
        <v>109</v>
      </c>
      <c r="E36" s="30"/>
      <c r="F36" s="30" t="s">
        <v>110</v>
      </c>
      <c r="G36" s="31">
        <v>549</v>
      </c>
      <c r="H36" s="32">
        <v>13.74</v>
      </c>
      <c r="I36" s="32">
        <v>1.38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114</v>
      </c>
      <c r="G37" s="31">
        <v>702</v>
      </c>
      <c r="H37" s="32">
        <v>12.62</v>
      </c>
      <c r="I37" s="32">
        <v>1.27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62</v>
      </c>
      <c r="G38" s="31">
        <v>280</v>
      </c>
      <c r="H38" s="32">
        <v>11.87</v>
      </c>
      <c r="I38" s="32">
        <v>1.19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26</v>
      </c>
      <c r="G39" s="31">
        <v>4136</v>
      </c>
      <c r="H39" s="32">
        <v>11.78</v>
      </c>
      <c r="I39" s="32">
        <v>1.19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55</v>
      </c>
      <c r="G40" s="31">
        <v>10000</v>
      </c>
      <c r="H40" s="32">
        <v>8.1199999999999992</v>
      </c>
      <c r="I40" s="32">
        <v>0.82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68</v>
      </c>
      <c r="H41" s="32">
        <v>0.42</v>
      </c>
      <c r="I41" s="32">
        <v>0.04</v>
      </c>
      <c r="J41" s="33"/>
    </row>
    <row r="42" spans="2:10" x14ac:dyDescent="0.25">
      <c r="C42" s="28" t="s">
        <v>128</v>
      </c>
      <c r="D42" s="29"/>
      <c r="E42" s="30"/>
      <c r="F42" s="30"/>
      <c r="G42" s="31"/>
      <c r="H42" s="35">
        <v>947.98</v>
      </c>
      <c r="I42" s="35">
        <v>95.43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129</v>
      </c>
      <c r="D44" s="29"/>
      <c r="E44" s="30"/>
      <c r="F44" s="30"/>
      <c r="G44" s="31"/>
      <c r="H44" s="32" t="s">
        <v>130</v>
      </c>
      <c r="I44" s="32" t="s">
        <v>130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131</v>
      </c>
      <c r="D46" s="29"/>
      <c r="E46" s="30"/>
      <c r="F46" s="30"/>
      <c r="G46" s="31"/>
      <c r="H46" s="32" t="s">
        <v>130</v>
      </c>
      <c r="I46" s="32" t="s">
        <v>130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132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133</v>
      </c>
      <c r="D50" s="29"/>
      <c r="E50" s="30"/>
      <c r="F50" s="30"/>
      <c r="G50" s="31"/>
      <c r="H50" s="32" t="s">
        <v>130</v>
      </c>
      <c r="I50" s="32" t="s">
        <v>130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134</v>
      </c>
      <c r="D52" s="29"/>
      <c r="E52" s="30"/>
      <c r="F52" s="30"/>
      <c r="G52" s="31"/>
      <c r="H52" s="32" t="s">
        <v>130</v>
      </c>
      <c r="I52" s="32" t="s">
        <v>130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135</v>
      </c>
      <c r="D54" s="29"/>
      <c r="E54" s="30"/>
      <c r="F54" s="30"/>
      <c r="G54" s="31"/>
      <c r="H54" s="32" t="s">
        <v>130</v>
      </c>
      <c r="I54" s="32" t="s">
        <v>130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136</v>
      </c>
      <c r="D56" s="29"/>
      <c r="E56" s="30"/>
      <c r="F56" s="30"/>
      <c r="G56" s="31"/>
      <c r="H56" s="32" t="s">
        <v>130</v>
      </c>
      <c r="I56" s="32" t="s">
        <v>130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137</v>
      </c>
      <c r="D58" s="29"/>
      <c r="E58" s="30"/>
      <c r="F58" s="30"/>
      <c r="G58" s="31"/>
      <c r="H58" s="32" t="s">
        <v>130</v>
      </c>
      <c r="I58" s="32" t="s">
        <v>130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138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139</v>
      </c>
      <c r="D62" s="29"/>
      <c r="E62" s="30"/>
      <c r="F62" s="30"/>
      <c r="G62" s="31"/>
      <c r="H62" s="32" t="s">
        <v>130</v>
      </c>
      <c r="I62" s="32" t="s">
        <v>130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140</v>
      </c>
      <c r="D64" s="29"/>
      <c r="E64" s="30"/>
      <c r="F64" s="30"/>
      <c r="G64" s="31"/>
      <c r="H64" s="32" t="s">
        <v>130</v>
      </c>
      <c r="I64" s="32" t="s">
        <v>130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141</v>
      </c>
      <c r="D66" s="29"/>
      <c r="E66" s="30"/>
      <c r="F66" s="30"/>
      <c r="G66" s="31"/>
      <c r="H66" s="32" t="s">
        <v>130</v>
      </c>
      <c r="I66" s="32" t="s">
        <v>130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142</v>
      </c>
      <c r="D68" s="29"/>
      <c r="E68" s="30"/>
      <c r="F68" s="30"/>
      <c r="G68" s="31"/>
      <c r="H68" s="32" t="s">
        <v>130</v>
      </c>
      <c r="I68" s="32" t="s">
        <v>130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143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144</v>
      </c>
      <c r="D72" s="29"/>
      <c r="E72" s="30"/>
      <c r="F72" s="30"/>
      <c r="G72" s="31"/>
      <c r="H72" s="32" t="s">
        <v>130</v>
      </c>
      <c r="I72" s="32" t="s">
        <v>130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145</v>
      </c>
      <c r="D74" s="29"/>
      <c r="E74" s="30"/>
      <c r="F74" s="30"/>
      <c r="G74" s="31"/>
      <c r="H74" s="32" t="s">
        <v>130</v>
      </c>
      <c r="I74" s="32" t="s">
        <v>130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146</v>
      </c>
      <c r="D76" s="29"/>
      <c r="E76" s="30"/>
      <c r="F76" s="30"/>
      <c r="G76" s="31"/>
      <c r="H76" s="32" t="s">
        <v>130</v>
      </c>
      <c r="I76" s="32" t="s">
        <v>130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147</v>
      </c>
      <c r="D78" s="29"/>
      <c r="E78" s="30"/>
      <c r="F78" s="30"/>
      <c r="G78" s="31"/>
      <c r="H78" s="32" t="s">
        <v>130</v>
      </c>
      <c r="I78" s="32" t="s">
        <v>130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148</v>
      </c>
      <c r="D80" s="29"/>
      <c r="E80" s="30"/>
      <c r="F80" s="30"/>
      <c r="G80" s="31"/>
      <c r="H80" s="32" t="s">
        <v>130</v>
      </c>
      <c r="I80" s="32" t="s">
        <v>130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149</v>
      </c>
      <c r="D82" s="29"/>
      <c r="E82" s="30"/>
      <c r="F82" s="30"/>
      <c r="G82" s="31"/>
      <c r="H82" s="32" t="s">
        <v>130</v>
      </c>
      <c r="I82" s="32" t="s">
        <v>130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150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151</v>
      </c>
      <c r="D85" s="29"/>
      <c r="E85" s="30"/>
      <c r="F85" s="30"/>
      <c r="G85" s="31"/>
      <c r="H85" s="32">
        <v>45.49</v>
      </c>
      <c r="I85" s="32">
        <v>4.57</v>
      </c>
      <c r="J85" s="33"/>
    </row>
    <row r="86" spans="1:10" x14ac:dyDescent="0.25">
      <c r="C86" s="28" t="s">
        <v>128</v>
      </c>
      <c r="D86" s="29"/>
      <c r="E86" s="30"/>
      <c r="F86" s="30"/>
      <c r="G86" s="31"/>
      <c r="H86" s="35">
        <v>45.49</v>
      </c>
      <c r="I86" s="35">
        <v>4.57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152</v>
      </c>
      <c r="D88" s="37"/>
      <c r="E88" s="38"/>
      <c r="F88" s="39"/>
      <c r="G88" s="40"/>
      <c r="H88" s="41">
        <v>993.47</v>
      </c>
      <c r="I88" s="41">
        <f>SUMIFS(I:I,C:C,"Total")</f>
        <v>100</v>
      </c>
      <c r="J88" s="42"/>
    </row>
    <row r="91" spans="1:10" x14ac:dyDescent="0.25">
      <c r="C91" s="11" t="s">
        <v>153</v>
      </c>
    </row>
    <row r="92" spans="1:10" x14ac:dyDescent="0.25">
      <c r="C92" s="2" t="s">
        <v>154</v>
      </c>
    </row>
    <row r="93" spans="1:10" x14ac:dyDescent="0.25">
      <c r="C93" s="2" t="s">
        <v>155</v>
      </c>
    </row>
    <row r="94" spans="1:10" x14ac:dyDescent="0.25">
      <c r="C94" s="2" t="s">
        <v>156</v>
      </c>
    </row>
    <row r="95" spans="1:10" x14ac:dyDescent="0.25">
      <c r="C95" s="2" t="s">
        <v>157</v>
      </c>
    </row>
    <row r="96" spans="1:10" x14ac:dyDescent="0.25">
      <c r="C96" s="2" t="s">
        <v>158</v>
      </c>
    </row>
    <row r="97" spans="3:5" x14ac:dyDescent="0.25">
      <c r="C97" s="2" t="s">
        <v>159</v>
      </c>
    </row>
    <row r="98" spans="3:5" x14ac:dyDescent="0.25">
      <c r="D98" s="2" t="s">
        <v>160</v>
      </c>
    </row>
    <row r="99" spans="3:5" x14ac:dyDescent="0.25">
      <c r="C99" s="2" t="s">
        <v>161</v>
      </c>
      <c r="D99" s="2" t="s">
        <v>162</v>
      </c>
      <c r="E99" s="2" t="s">
        <v>162</v>
      </c>
    </row>
    <row r="100" spans="3:5" x14ac:dyDescent="0.25">
      <c r="D100" s="2" t="s">
        <v>163</v>
      </c>
      <c r="E100" s="2" t="s">
        <v>164</v>
      </c>
    </row>
    <row r="101" spans="3:5" x14ac:dyDescent="0.25">
      <c r="C101" s="2" t="s">
        <v>165</v>
      </c>
      <c r="D101" s="2">
        <v>65.150000000000006</v>
      </c>
      <c r="E101" s="2">
        <v>65.06</v>
      </c>
    </row>
    <row r="102" spans="3:5" x14ac:dyDescent="0.25">
      <c r="C102" s="2" t="s">
        <v>166</v>
      </c>
      <c r="D102" s="2">
        <v>69.36</v>
      </c>
      <c r="E102" s="2">
        <v>69.27</v>
      </c>
    </row>
    <row r="103" spans="3:5" x14ac:dyDescent="0.25">
      <c r="C103" s="2" t="s">
        <v>167</v>
      </c>
      <c r="D103" s="2">
        <v>69.069999999999993</v>
      </c>
      <c r="E103" s="2">
        <v>68.989999999999995</v>
      </c>
    </row>
    <row r="104" spans="3:5" x14ac:dyDescent="0.25">
      <c r="C104" s="2" t="s">
        <v>168</v>
      </c>
      <c r="D104" s="2">
        <v>74.16</v>
      </c>
      <c r="E104" s="2">
        <v>74.08</v>
      </c>
    </row>
    <row r="106" spans="3:5" x14ac:dyDescent="0.25">
      <c r="C106" s="2" t="s">
        <v>169</v>
      </c>
    </row>
    <row r="107" spans="3:5" x14ac:dyDescent="0.25">
      <c r="C107" s="2" t="s">
        <v>170</v>
      </c>
    </row>
    <row r="108" spans="3:5" x14ac:dyDescent="0.25">
      <c r="C108" s="2" t="s">
        <v>171</v>
      </c>
    </row>
    <row r="109" spans="3:5" x14ac:dyDescent="0.25">
      <c r="C109" s="2" t="s">
        <v>172</v>
      </c>
    </row>
    <row r="110" spans="3:5" x14ac:dyDescent="0.25">
      <c r="C110" s="2" t="s">
        <v>173</v>
      </c>
    </row>
    <row r="111" spans="3:5" x14ac:dyDescent="0.25">
      <c r="C111" s="2" t="s">
        <v>174</v>
      </c>
    </row>
    <row r="112" spans="3:5" x14ac:dyDescent="0.25">
      <c r="C112" s="2" t="s">
        <v>175</v>
      </c>
    </row>
    <row r="113" spans="3:3" x14ac:dyDescent="0.25">
      <c r="C113" s="2" t="s">
        <v>176</v>
      </c>
    </row>
    <row r="114" spans="3:3" x14ac:dyDescent="0.25">
      <c r="C114" s="2" t="s">
        <v>177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BAD1-7260-41DC-8AE6-9CCC8FE4AE38}">
  <dimension ref="C3:K17"/>
  <sheetViews>
    <sheetView workbookViewId="0"/>
  </sheetViews>
  <sheetFormatPr defaultRowHeight="15" x14ac:dyDescent="0.25"/>
  <cols>
    <col min="3" max="3" width="49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178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179</v>
      </c>
      <c r="D4" s="51" t="s">
        <v>180</v>
      </c>
      <c r="E4" s="51"/>
      <c r="F4" s="51" t="s">
        <v>181</v>
      </c>
      <c r="G4" s="51"/>
      <c r="H4" s="51" t="s">
        <v>182</v>
      </c>
      <c r="I4" s="51"/>
      <c r="J4" s="52" t="s">
        <v>183</v>
      </c>
      <c r="K4" s="52"/>
    </row>
    <row r="5" spans="3:11" ht="63.75" x14ac:dyDescent="0.25">
      <c r="C5" s="46"/>
      <c r="D5" s="47" t="s">
        <v>184</v>
      </c>
      <c r="E5" s="47" t="s">
        <v>185</v>
      </c>
      <c r="F5" s="47" t="s">
        <v>184</v>
      </c>
      <c r="G5" s="47" t="s">
        <v>185</v>
      </c>
      <c r="H5" s="47" t="s">
        <v>184</v>
      </c>
      <c r="I5" s="47" t="s">
        <v>185</v>
      </c>
      <c r="J5" s="48" t="s">
        <v>184</v>
      </c>
      <c r="K5" s="48" t="s">
        <v>185</v>
      </c>
    </row>
    <row r="6" spans="3:11" x14ac:dyDescent="0.25">
      <c r="C6" s="49" t="s">
        <v>186</v>
      </c>
      <c r="D6" s="50">
        <v>30.895700000000001</v>
      </c>
      <c r="E6" s="50">
        <v>13206.863679694947</v>
      </c>
      <c r="F6" s="50">
        <v>22.796500000000002</v>
      </c>
      <c r="G6" s="50">
        <v>18656.073256127118</v>
      </c>
      <c r="H6" s="50">
        <v>23.157499999999999</v>
      </c>
      <c r="I6" s="50">
        <v>28366.093366093362</v>
      </c>
      <c r="J6" s="50">
        <v>11.52</v>
      </c>
      <c r="K6" s="50">
        <v>69270</v>
      </c>
    </row>
    <row r="7" spans="3:11" x14ac:dyDescent="0.25">
      <c r="C7" s="49" t="s">
        <v>187</v>
      </c>
      <c r="D7" s="50">
        <v>33.6678</v>
      </c>
      <c r="E7" s="50">
        <v>13366.78</v>
      </c>
      <c r="F7" s="50">
        <v>21.9802</v>
      </c>
      <c r="G7" s="50">
        <v>18149.640338788777</v>
      </c>
      <c r="H7" s="50">
        <v>22.846699999999998</v>
      </c>
      <c r="I7" s="50">
        <v>27978.052008269358</v>
      </c>
      <c r="J7" s="50">
        <v>7.8569000000000004</v>
      </c>
      <c r="K7" s="50">
        <v>38288.93814220155</v>
      </c>
    </row>
    <row r="8" spans="3:11" x14ac:dyDescent="0.25">
      <c r="C8" s="49" t="s">
        <v>188</v>
      </c>
      <c r="D8" s="50">
        <v>21.272200000000002</v>
      </c>
      <c r="E8" s="50">
        <v>12127.220000000001</v>
      </c>
      <c r="F8" s="50">
        <v>13.763500000000001</v>
      </c>
      <c r="G8" s="50">
        <v>14723.424536015229</v>
      </c>
      <c r="H8" s="50">
        <v>16.2056</v>
      </c>
      <c r="I8" s="50">
        <v>21190.211284671968</v>
      </c>
      <c r="J8" s="50">
        <v>12.690799999999999</v>
      </c>
      <c r="K8" s="50">
        <v>83378.819184918641</v>
      </c>
    </row>
    <row r="9" spans="3:11" x14ac:dyDescent="0.25">
      <c r="C9" s="49" t="s">
        <v>189</v>
      </c>
      <c r="D9" s="53">
        <v>52.45</v>
      </c>
      <c r="E9" s="54"/>
      <c r="F9" s="53">
        <v>37.130000000000003</v>
      </c>
      <c r="G9" s="54"/>
      <c r="H9" s="53">
        <v>24.42</v>
      </c>
      <c r="I9" s="54"/>
      <c r="J9" s="53">
        <v>10</v>
      </c>
      <c r="K9" s="54"/>
    </row>
    <row r="11" spans="3:11" ht="15.75" x14ac:dyDescent="0.25">
      <c r="C11" s="43" t="s">
        <v>190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179</v>
      </c>
      <c r="D12" s="51" t="s">
        <v>180</v>
      </c>
      <c r="E12" s="51"/>
      <c r="F12" s="51" t="s">
        <v>181</v>
      </c>
      <c r="G12" s="51"/>
      <c r="H12" s="51" t="s">
        <v>182</v>
      </c>
      <c r="I12" s="51"/>
      <c r="J12" s="52" t="s">
        <v>183</v>
      </c>
      <c r="K12" s="52"/>
    </row>
    <row r="13" spans="3:11" ht="63.75" x14ac:dyDescent="0.25">
      <c r="C13" s="46"/>
      <c r="D13" s="47" t="s">
        <v>184</v>
      </c>
      <c r="E13" s="47" t="s">
        <v>185</v>
      </c>
      <c r="F13" s="47" t="s">
        <v>184</v>
      </c>
      <c r="G13" s="47" t="s">
        <v>185</v>
      </c>
      <c r="H13" s="47" t="s">
        <v>184</v>
      </c>
      <c r="I13" s="47" t="s">
        <v>185</v>
      </c>
      <c r="J13" s="48" t="s">
        <v>184</v>
      </c>
      <c r="K13" s="48" t="s">
        <v>185</v>
      </c>
    </row>
    <row r="14" spans="3:11" x14ac:dyDescent="0.25">
      <c r="C14" s="49" t="s">
        <v>186</v>
      </c>
      <c r="D14" s="50">
        <v>31.464099999999998</v>
      </c>
      <c r="E14" s="50">
        <v>13264.100268576543</v>
      </c>
      <c r="F14" s="50">
        <v>23.3203</v>
      </c>
      <c r="G14" s="50">
        <v>18893.139505228257</v>
      </c>
      <c r="H14" s="50">
        <v>23.678100000000001</v>
      </c>
      <c r="I14" s="50">
        <v>28971.450919045754</v>
      </c>
      <c r="J14" s="50">
        <v>15.792899999999999</v>
      </c>
      <c r="K14" s="50">
        <v>57784.711388455537</v>
      </c>
    </row>
    <row r="15" spans="3:11" x14ac:dyDescent="0.25">
      <c r="C15" s="49" t="s">
        <v>187</v>
      </c>
      <c r="D15" s="50">
        <v>33.6678</v>
      </c>
      <c r="E15" s="50">
        <v>13366.78</v>
      </c>
      <c r="F15" s="50">
        <v>21.9802</v>
      </c>
      <c r="G15" s="50">
        <v>18149.640338788777</v>
      </c>
      <c r="H15" s="50">
        <v>22.846699999999998</v>
      </c>
      <c r="I15" s="50">
        <v>27978.052008269358</v>
      </c>
      <c r="J15" s="50">
        <v>12.1374</v>
      </c>
      <c r="K15" s="50">
        <v>39154.38485993669</v>
      </c>
    </row>
    <row r="16" spans="3:11" x14ac:dyDescent="0.25">
      <c r="C16" s="49" t="s">
        <v>188</v>
      </c>
      <c r="D16" s="50">
        <v>21.272200000000002</v>
      </c>
      <c r="E16" s="50">
        <v>12127.220000000001</v>
      </c>
      <c r="F16" s="50">
        <v>13.763500000000001</v>
      </c>
      <c r="G16" s="50">
        <v>14723.424536015229</v>
      </c>
      <c r="H16" s="50">
        <v>16.2056</v>
      </c>
      <c r="I16" s="50">
        <v>21190.211284671968</v>
      </c>
      <c r="J16" s="50">
        <v>13.776999999999999</v>
      </c>
      <c r="K16" s="50">
        <v>46547.134373880639</v>
      </c>
    </row>
    <row r="17" spans="3:11" x14ac:dyDescent="0.25">
      <c r="C17" s="49" t="s">
        <v>191</v>
      </c>
      <c r="D17" s="53">
        <v>55.85</v>
      </c>
      <c r="E17" s="54"/>
      <c r="F17" s="53">
        <v>39.21</v>
      </c>
      <c r="G17" s="54"/>
      <c r="H17" s="53">
        <v>25.57</v>
      </c>
      <c r="I17" s="54"/>
      <c r="J17" s="53">
        <v>12.82</v>
      </c>
      <c r="K17" s="54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Sagar Ghadigaonkar</cp:lastModifiedBy>
  <dcterms:created xsi:type="dcterms:W3CDTF">2024-12-05T10:08:38Z</dcterms:created>
  <dcterms:modified xsi:type="dcterms:W3CDTF">2024-12-09T07:51:11Z</dcterms:modified>
</cp:coreProperties>
</file>