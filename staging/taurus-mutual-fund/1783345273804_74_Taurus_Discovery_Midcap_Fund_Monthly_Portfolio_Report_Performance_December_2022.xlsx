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Portfolio'!$C$8:$C$45</definedName>
    <definedName name="XDO_?FINAL_ISIN?3?">'TDF-Risk-O-Meter &amp; Portfolio'!$D$10:$D$45</definedName>
    <definedName name="XDO_?FINAL_ISIN?4?">'TDF-Risk-O-Meter &amp; Portfolio'!$D$10:$D$87</definedName>
    <definedName name="XDO_?FINAL_MV?3?">'TDF-Risk-O-Meter &amp; Portfolio'!$H$10:$H$45</definedName>
    <definedName name="XDO_?FINAL_MV?4?">'TDF-Risk-O-Meter &amp; Portfolio'!$H$10:$H$87</definedName>
    <definedName name="XDO_?FINAL_NAME?3?">'TDF-Risk-O-Meter &amp; Portfolio'!$C$10:$C$45</definedName>
    <definedName name="XDO_?FINAL_NAME?4?">'TDF-Risk-O-Meter &amp; Portfolio'!$C$10:$C$87</definedName>
    <definedName name="XDO_?FINAL_PER_NET?3?">'TDF-Risk-O-Meter &amp; Portfolio'!$I$10:$I$45</definedName>
    <definedName name="XDO_?FINAL_PER_NET?4?">'TDF-Risk-O-Meter &amp; Portfolio'!$I$10:$I$87</definedName>
    <definedName name="XDO_?FINAL_QUANTITE?3?">'TDF-Risk-O-Meter &amp; Portfolio'!$G$10:$G$45</definedName>
    <definedName name="XDO_?FINAL_QUANTITE?4?">'TDF-Risk-O-Meter &amp; Portfolio'!$G$10:$G$87</definedName>
    <definedName name="XDO_?IND_01?3?">'TDF-Risk-O-Meter &amp; Portfolio'!$F$10:$F$45</definedName>
    <definedName name="XDO_?IND_01?4?">'TDF-Risk-O-Meter &amp; Portfolio'!$F$10:$F$87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Portfolio'!$C$2:$C$45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Portfolio'!$B$10:$B$45</definedName>
    <definedName name="XDO_?NOVAL?4?">'TDF-Risk-O-Meter &amp; Portfolio'!$B$10:$B$87</definedName>
    <definedName name="XDO_?NPTF?2?">'TDF-Risk-O-Meter &amp; Portfolio'!$D$2:$D$45</definedName>
    <definedName name="XDO_?RATING?3?">'TDF-Risk-O-Meter &amp; Portfolio'!$E$10:$E$45</definedName>
    <definedName name="XDO_?RATING?4?">'TDF-Risk-O-Meter &amp; Portfolio'!$E$10:$E$87</definedName>
    <definedName name="XDO_?REMARKS?3?">'TDF-Risk-O-Meter &amp; Portfolio'!$J$10:$J$45</definedName>
    <definedName name="XDO_?REMARKS?4?">'TDF-Risk-O-Meter &amp; Portfolio'!$J$10:$J$87</definedName>
    <definedName name="XDO_?TITL?2?">'TDF-Risk-O-Meter &amp; Portfolio'!$A$8:$A$45</definedName>
    <definedName name="XDO_GROUP_?G_2?2?">'TDF-Risk-O-Meter &amp; Portfolio'!$2:$90</definedName>
    <definedName name="XDO_GROUP_?G_3?2?">'TDF-Risk-O-Meter &amp; Portfolio'!$8:$89</definedName>
    <definedName name="XDO_GROUP_?G_4?3?">'TDF-Risk-O-Meter &amp; Portfolio'!$B$10:$IV$45</definedName>
    <definedName name="XDO_GROUP_?G_4?4?">'TDF-Risk-O-Meter &amp; Portfolio'!$B$87:$IV$87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/>
</calcChain>
</file>

<file path=xl/sharedStrings.xml><?xml version="1.0" encoding="utf-8"?>
<sst xmlns="http://schemas.openxmlformats.org/spreadsheetml/2006/main" count="256" uniqueCount="185">
  <si>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</si>
  <si>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</si>
  <si>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</si>
  <si>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</si>
  <si>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</si>
  <si>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</si>
  <si>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</si>
  <si>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</si>
  <si>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</si>
  <si>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</si>
  <si>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</si>
  <si>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</si>
  <si>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</si>
  <si>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</si>
  <si>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</si>
  <si>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</si>
  <si>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</si>
  <si>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</si>
  <si>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</si>
  <si>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100740</t>
  </si>
  <si>
    <t>Sterlite Technologies Ltd.</t>
  </si>
  <si>
    <t>INE089C01029</t>
  </si>
  <si>
    <t>Telecom - Services</t>
  </si>
  <si>
    <t>100281</t>
  </si>
  <si>
    <t>Century Textiles &amp; Industries Ltd.</t>
  </si>
  <si>
    <t>INE055A01016</t>
  </si>
  <si>
    <t>Paper, Forest &amp; Jute Products</t>
  </si>
  <si>
    <t>100398</t>
  </si>
  <si>
    <t>Aditya Birla Fashion and Retail Ltd.</t>
  </si>
  <si>
    <t>INE647O01011</t>
  </si>
  <si>
    <t>Retailing</t>
  </si>
  <si>
    <t>100476</t>
  </si>
  <si>
    <t>Caplin Point Laboratories Ltd.</t>
  </si>
  <si>
    <t>INE475E01026</t>
  </si>
  <si>
    <t>100055</t>
  </si>
  <si>
    <t>The Federal Bank Ltd.</t>
  </si>
  <si>
    <t>INE171A01029</t>
  </si>
  <si>
    <t>Banks</t>
  </si>
  <si>
    <t>100112</t>
  </si>
  <si>
    <t>Punjab National Bank</t>
  </si>
  <si>
    <t>INE160A01022</t>
  </si>
  <si>
    <t>100461</t>
  </si>
  <si>
    <t>Astral Limited</t>
  </si>
  <si>
    <t>INE006I01046</t>
  </si>
  <si>
    <t>Industrial Products</t>
  </si>
  <si>
    <t>100843</t>
  </si>
  <si>
    <t>Dalmia Bharat Ltd.</t>
  </si>
  <si>
    <t>INE00R701025</t>
  </si>
  <si>
    <t>Cement &amp; Cement Products</t>
  </si>
  <si>
    <t>100719</t>
  </si>
  <si>
    <t>Mayur Uniquoters Ltd.</t>
  </si>
  <si>
    <t>INE040D01038</t>
  </si>
  <si>
    <t>Consumer Durables</t>
  </si>
  <si>
    <t>100122</t>
  </si>
  <si>
    <t>Union Bank of India</t>
  </si>
  <si>
    <t>INE692A01016</t>
  </si>
  <si>
    <t>100371</t>
  </si>
  <si>
    <t>Sun TV Network Ltd.</t>
  </si>
  <si>
    <t>INE424H01027</t>
  </si>
  <si>
    <t>Entertainment</t>
  </si>
  <si>
    <t>100271</t>
  </si>
  <si>
    <t>Balkrishna Industries Ltd.</t>
  </si>
  <si>
    <t>INE787D01026</t>
  </si>
  <si>
    <t>Auto Components</t>
  </si>
  <si>
    <t>101152</t>
  </si>
  <si>
    <t>Sumitomo Chemical India Ltd.</t>
  </si>
  <si>
    <t>INE258G01013</t>
  </si>
  <si>
    <t>Fertilizers &amp; Agrochemicals</t>
  </si>
  <si>
    <t>100570</t>
  </si>
  <si>
    <t>K.P.R. Mill Ltd.</t>
  </si>
  <si>
    <t>INE930H01031</t>
  </si>
  <si>
    <t>Textiles &amp; Apparels</t>
  </si>
  <si>
    <t>101415</t>
  </si>
  <si>
    <t>HINDUSTAN OIL EXPLORATION CO.LTD.</t>
  </si>
  <si>
    <t>INE345A01011</t>
  </si>
  <si>
    <t>Oil</t>
  </si>
  <si>
    <t>101574</t>
  </si>
  <si>
    <t>Linde India Ltd.</t>
  </si>
  <si>
    <t>INE473A01011</t>
  </si>
  <si>
    <t>Chemicals &amp; Petrochemicals</t>
  </si>
  <si>
    <t>100088</t>
  </si>
  <si>
    <t>Bharat Heavy Electricals Ltd.</t>
  </si>
  <si>
    <t>INE257A01026</t>
  </si>
  <si>
    <t>Electrical Equipment</t>
  </si>
  <si>
    <t>100234</t>
  </si>
  <si>
    <t>Coforge Ltd.</t>
  </si>
  <si>
    <t>INE591G01017</t>
  </si>
  <si>
    <t>IT - Software</t>
  </si>
  <si>
    <t>100026</t>
  </si>
  <si>
    <t>Persistent Systems Ltd.</t>
  </si>
  <si>
    <t>INE262H01013</t>
  </si>
  <si>
    <t>100435</t>
  </si>
  <si>
    <t>Crompton Greaves Consumer Electricals Ltd.</t>
  </si>
  <si>
    <t>INE299U01018</t>
  </si>
  <si>
    <t>100161</t>
  </si>
  <si>
    <t>Cummins India Ltd.</t>
  </si>
  <si>
    <t>INE298A01020</t>
  </si>
  <si>
    <t>100090</t>
  </si>
  <si>
    <t>Bharat Forge Ltd.</t>
  </si>
  <si>
    <t>INE465A01025</t>
  </si>
  <si>
    <t>100068</t>
  </si>
  <si>
    <t>Kansai Nerolac Paints Ltd.</t>
  </si>
  <si>
    <t>INE531A01024</t>
  </si>
  <si>
    <t>100050</t>
  </si>
  <si>
    <t>Trent Ltd.</t>
  </si>
  <si>
    <t>INE849A01020</t>
  </si>
  <si>
    <t>100163</t>
  </si>
  <si>
    <t>Bosch Ltd.</t>
  </si>
  <si>
    <t>INE323A01026</t>
  </si>
  <si>
    <t>100116</t>
  </si>
  <si>
    <t>Sundaram Finance Ltd.</t>
  </si>
  <si>
    <t>INE660A01013</t>
  </si>
  <si>
    <t>Finance</t>
  </si>
  <si>
    <t>101800</t>
  </si>
  <si>
    <t>Hindware Home Innovation Ltd.</t>
  </si>
  <si>
    <t>INE05AN01011</t>
  </si>
  <si>
    <t>101522</t>
  </si>
  <si>
    <t>Hariom Pipe Industries Ltd.</t>
  </si>
  <si>
    <t>INE00EV01017</t>
  </si>
  <si>
    <t>100728</t>
  </si>
  <si>
    <t>Welspun Corp Ltd.</t>
  </si>
  <si>
    <t>INE191B01025</t>
  </si>
  <si>
    <t>100006</t>
  </si>
  <si>
    <t>HDFC Bank Ltd.</t>
  </si>
  <si>
    <t>INE040A01034</t>
  </si>
  <si>
    <t>100471</t>
  </si>
  <si>
    <t>Endurance Technologies Ltd.</t>
  </si>
  <si>
    <t>INE913H01037</t>
  </si>
  <si>
    <t>100222</t>
  </si>
  <si>
    <t>The Indian Hotels Company Ltd.</t>
  </si>
  <si>
    <t>INE053A01029</t>
  </si>
  <si>
    <t>Leisure Services</t>
  </si>
  <si>
    <t>100335</t>
  </si>
  <si>
    <t>Kajaria Ceramics Ltd.</t>
  </si>
  <si>
    <t>INE217B01036</t>
  </si>
  <si>
    <t>100284</t>
  </si>
  <si>
    <t>Dr. Lal Path labs Ltd.</t>
  </si>
  <si>
    <t>INE600L01024</t>
  </si>
  <si>
    <t>Healthcare Services</t>
  </si>
  <si>
    <t>100227</t>
  </si>
  <si>
    <t>Jubilant Foodworks Ltd.</t>
  </si>
  <si>
    <t>INE797F01020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</si>
  <si>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</si>
  <si>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</si>
  <si>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</si>
  <si>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</si>
  <si>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</si>
  <si>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</si>
  <si>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</si>
  <si>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</si>
  <si>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</si>
  <si>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</si>
  <si>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</si>
  <si>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</si>
  <si>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</si>
  <si>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</si>
  <si>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</si>
  <si>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</si>
  <si>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</si>
  <si>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</si>
  <si>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</si>
  <si>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</si>
  <si>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</si>
  <si>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</si>
  <si>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</si>
  <si>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</si>
  <si>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</si>
  <si>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</si>
  <si>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</si>
  <si>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</si>
  <si>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</si>
  <si>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</si>
  <si>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</si>
  <si>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</si>
  <si>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</si>
  <si>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</si>
  <si>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</si>
  <si>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</si>
  <si>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</si>
  <si>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</si>
  <si>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</si>
  <si>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December 30, 2022 : 77.42)</t>
  </si>
  <si>
    <t>Taurus Discovery (Midcap) Fund-Direct Plan-Growth Option</t>
  </si>
  <si>
    <t>NAV [Rs.] Per Unit (as on December 30, 2022 : 80.94)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</si>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</sst>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Discover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6"/>
  <sheetViews>
    <sheetView showGridLines="0" tabSelected="1" zoomScale="90" zoomScaleNormal="90" workbookViewId="0">
      <selection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69.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44926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51750</v>
      </c>
      <c r="H10" s="32">
        <v>499.62</v>
      </c>
      <c r="I10" s="32">
        <v>6.42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205000</v>
      </c>
      <c r="H11" s="32">
        <v>359.88</v>
      </c>
      <c r="I11" s="32">
        <v>4.62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49250</v>
      </c>
      <c r="H12" s="32">
        <v>353</v>
      </c>
      <c r="I12" s="32">
        <v>4.53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119500</v>
      </c>
      <c r="H13" s="32">
        <v>343.56</v>
      </c>
      <c r="I13" s="32">
        <v>4.41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46000</v>
      </c>
      <c r="H14" s="32">
        <v>327.75</v>
      </c>
      <c r="I14" s="32">
        <v>4.21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210000</v>
      </c>
      <c r="H15" s="32">
        <v>291.8</v>
      </c>
      <c r="I15" s="32">
        <v>3.75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37</v>
      </c>
      <c r="G16" s="31">
        <v>500000</v>
      </c>
      <c r="H16" s="32">
        <v>282.25</v>
      </c>
      <c r="I16" s="32">
        <v>3.63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14000</v>
      </c>
      <c r="H17" s="32">
        <v>274.95</v>
      </c>
      <c r="I17" s="32">
        <v>3.53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14500</v>
      </c>
      <c r="H18" s="32">
        <v>269.81</v>
      </c>
      <c r="I18" s="32">
        <v>3.47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65500</v>
      </c>
      <c r="H19" s="32">
        <v>269.76</v>
      </c>
      <c r="I19" s="32">
        <v>3.46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37</v>
      </c>
      <c r="G20" s="31">
        <v>330000</v>
      </c>
      <c r="H20" s="32">
        <v>265.32</v>
      </c>
      <c r="I20" s="32">
        <v>3.41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52000</v>
      </c>
      <c r="H21" s="32">
        <v>253.08</v>
      </c>
      <c r="I21" s="32">
        <v>3.25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11750</v>
      </c>
      <c r="H22" s="32">
        <v>250</v>
      </c>
      <c r="I22" s="32">
        <v>3.21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50000</v>
      </c>
      <c r="H23" s="32">
        <v>244.13</v>
      </c>
      <c r="I23" s="32">
        <v>3.14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47000</v>
      </c>
      <c r="H24" s="32">
        <v>242.9</v>
      </c>
      <c r="I24" s="32">
        <v>3.12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169000</v>
      </c>
      <c r="H25" s="32">
        <v>232.21</v>
      </c>
      <c r="I25" s="32">
        <v>2.98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6750</v>
      </c>
      <c r="H26" s="32">
        <v>231.41</v>
      </c>
      <c r="I26" s="32">
        <v>2.97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285000</v>
      </c>
      <c r="H27" s="32">
        <v>225.72</v>
      </c>
      <c r="I27" s="32">
        <v>2.9</v>
      </c>
      <c r="J27" s="33"/>
    </row>
    <row r="28" spans="2:10">
      <c r="B28" s="1" t="s">
        <v>84</v>
      </c>
      <c r="C28" s="20" t="s">
        <v>85</v>
      </c>
      <c r="D28" s="29" t="s">
        <v>86</v>
      </c>
      <c r="E28" s="30"/>
      <c r="F28" s="30" t="s">
        <v>87</v>
      </c>
      <c r="G28" s="31">
        <v>5750</v>
      </c>
      <c r="H28" s="32">
        <v>223.39</v>
      </c>
      <c r="I28" s="32">
        <v>2.87</v>
      </c>
      <c r="J28" s="33"/>
    </row>
    <row r="29" spans="2:10">
      <c r="B29" s="1" t="s">
        <v>88</v>
      </c>
      <c r="C29" s="20" t="s">
        <v>89</v>
      </c>
      <c r="D29" s="29" t="s">
        <v>90</v>
      </c>
      <c r="E29" s="30"/>
      <c r="F29" s="30" t="s">
        <v>87</v>
      </c>
      <c r="G29" s="31">
        <v>5600</v>
      </c>
      <c r="H29" s="32">
        <v>216.76</v>
      </c>
      <c r="I29" s="32">
        <v>2.78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52</v>
      </c>
      <c r="G30" s="31">
        <v>60000</v>
      </c>
      <c r="H30" s="32">
        <v>201.87</v>
      </c>
      <c r="I30" s="32">
        <v>2.59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44</v>
      </c>
      <c r="G31" s="31">
        <v>14500</v>
      </c>
      <c r="H31" s="32">
        <v>199.86</v>
      </c>
      <c r="I31" s="32">
        <v>2.57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44</v>
      </c>
      <c r="G32" s="31">
        <v>21000</v>
      </c>
      <c r="H32" s="32">
        <v>184.71</v>
      </c>
      <c r="I32" s="32">
        <v>2.37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52</v>
      </c>
      <c r="G33" s="31">
        <v>39000</v>
      </c>
      <c r="H33" s="32">
        <v>171.27</v>
      </c>
      <c r="I33" s="32">
        <v>2.2000000000000002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30</v>
      </c>
      <c r="G34" s="31">
        <v>11500</v>
      </c>
      <c r="H34" s="32">
        <v>155.32</v>
      </c>
      <c r="I34" s="32">
        <v>1.99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63</v>
      </c>
      <c r="G35" s="31">
        <v>875</v>
      </c>
      <c r="H35" s="32">
        <v>150.91999999999999</v>
      </c>
      <c r="I35" s="32">
        <v>1.94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6500</v>
      </c>
      <c r="H36" s="32">
        <v>150.09</v>
      </c>
      <c r="I36" s="32">
        <v>1.93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52</v>
      </c>
      <c r="G37" s="31">
        <v>32500</v>
      </c>
      <c r="H37" s="32">
        <v>144.30000000000001</v>
      </c>
      <c r="I37" s="32">
        <v>1.85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44</v>
      </c>
      <c r="G38" s="31">
        <v>40000</v>
      </c>
      <c r="H38" s="32">
        <v>143.74</v>
      </c>
      <c r="I38" s="32">
        <v>1.85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44</v>
      </c>
      <c r="G39" s="31">
        <v>58000</v>
      </c>
      <c r="H39" s="32">
        <v>137.43</v>
      </c>
      <c r="I39" s="32">
        <v>1.77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37</v>
      </c>
      <c r="G40" s="31">
        <v>6500</v>
      </c>
      <c r="H40" s="32">
        <v>105.77</v>
      </c>
      <c r="I40" s="32">
        <v>1.36</v>
      </c>
      <c r="J40" s="33"/>
    </row>
    <row r="41" spans="2:10">
      <c r="B41" s="1" t="s">
        <v>125</v>
      </c>
      <c r="C41" s="20" t="s">
        <v>126</v>
      </c>
      <c r="D41" s="29" t="s">
        <v>127</v>
      </c>
      <c r="E41" s="30"/>
      <c r="F41" s="30" t="s">
        <v>63</v>
      </c>
      <c r="G41" s="31">
        <v>6800</v>
      </c>
      <c r="H41" s="32">
        <v>93.86</v>
      </c>
      <c r="I41" s="32">
        <v>1.21</v>
      </c>
      <c r="J41" s="33"/>
    </row>
    <row r="42" spans="2:10">
      <c r="B42" s="1" t="s">
        <v>128</v>
      </c>
      <c r="C42" s="20" t="s">
        <v>129</v>
      </c>
      <c r="D42" s="29" t="s">
        <v>130</v>
      </c>
      <c r="E42" s="30"/>
      <c r="F42" s="30" t="s">
        <v>131</v>
      </c>
      <c r="G42" s="31">
        <v>26500</v>
      </c>
      <c r="H42" s="32">
        <v>84.42</v>
      </c>
      <c r="I42" s="32">
        <v>1.08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52</v>
      </c>
      <c r="G43" s="31">
        <v>7000</v>
      </c>
      <c r="H43" s="32">
        <v>81.02</v>
      </c>
      <c r="I43" s="32">
        <v>1.04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2900</v>
      </c>
      <c r="H44" s="32">
        <v>65.66</v>
      </c>
      <c r="I44" s="32">
        <v>0.84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131</v>
      </c>
      <c r="G45" s="31">
        <v>2750</v>
      </c>
      <c r="H45" s="32">
        <v>14.05</v>
      </c>
      <c r="I45" s="32">
        <v>0.18</v>
      </c>
      <c r="J45" s="33"/>
    </row>
    <row r="46" spans="2:10">
      <c r="C46" s="28" t="s">
        <v>142</v>
      </c>
      <c r="D46" s="29"/>
      <c r="E46" s="30"/>
      <c r="F46" s="30"/>
      <c r="G46" s="31"/>
      <c r="H46" s="35">
        <v>7741.59</v>
      </c>
      <c r="I46" s="35">
        <v>99.43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143</v>
      </c>
      <c r="D48" s="29"/>
      <c r="E48" s="30"/>
      <c r="F48" s="30"/>
      <c r="G48" s="31"/>
      <c r="H48" s="32" t="s">
        <v>144</v>
      </c>
      <c r="I48" s="32" t="s">
        <v>144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145</v>
      </c>
      <c r="D50" s="29"/>
      <c r="E50" s="30"/>
      <c r="F50" s="30"/>
      <c r="G50" s="31"/>
      <c r="H50" s="32" t="s">
        <v>144</v>
      </c>
      <c r="I50" s="32" t="s">
        <v>144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146</v>
      </c>
      <c r="D52" s="29"/>
      <c r="E52" s="30"/>
      <c r="F52" s="30"/>
      <c r="G52" s="31"/>
      <c r="H52" s="32"/>
      <c r="I52" s="32"/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147</v>
      </c>
      <c r="D54" s="29"/>
      <c r="E54" s="30"/>
      <c r="F54" s="30"/>
      <c r="G54" s="31"/>
      <c r="H54" s="32" t="s">
        <v>144</v>
      </c>
      <c r="I54" s="32" t="s">
        <v>144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148</v>
      </c>
      <c r="D56" s="29"/>
      <c r="E56" s="30"/>
      <c r="F56" s="30"/>
      <c r="G56" s="31"/>
      <c r="H56" s="32" t="s">
        <v>144</v>
      </c>
      <c r="I56" s="32" t="s">
        <v>144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149</v>
      </c>
      <c r="D58" s="29"/>
      <c r="E58" s="30"/>
      <c r="F58" s="30"/>
      <c r="G58" s="31"/>
      <c r="H58" s="32" t="s">
        <v>144</v>
      </c>
      <c r="I58" s="32" t="s">
        <v>144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150</v>
      </c>
      <c r="D60" s="29"/>
      <c r="E60" s="30"/>
      <c r="F60" s="30"/>
      <c r="G60" s="31"/>
      <c r="H60" s="32" t="s">
        <v>144</v>
      </c>
      <c r="I60" s="32" t="s">
        <v>144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151</v>
      </c>
      <c r="D62" s="29"/>
      <c r="E62" s="30"/>
      <c r="F62" s="30"/>
      <c r="G62" s="31"/>
      <c r="H62" s="32" t="s">
        <v>144</v>
      </c>
      <c r="I62" s="32" t="s">
        <v>144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152</v>
      </c>
      <c r="D64" s="29"/>
      <c r="E64" s="30"/>
      <c r="F64" s="30"/>
      <c r="G64" s="31"/>
      <c r="H64" s="32"/>
      <c r="I64" s="32"/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153</v>
      </c>
      <c r="D66" s="29"/>
      <c r="E66" s="30"/>
      <c r="F66" s="30"/>
      <c r="G66" s="31"/>
      <c r="H66" s="32" t="s">
        <v>144</v>
      </c>
      <c r="I66" s="32" t="s">
        <v>144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154</v>
      </c>
      <c r="D68" s="29"/>
      <c r="E68" s="30"/>
      <c r="F68" s="30"/>
      <c r="G68" s="31"/>
      <c r="H68" s="32" t="s">
        <v>144</v>
      </c>
      <c r="I68" s="32" t="s">
        <v>144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155</v>
      </c>
      <c r="D70" s="29"/>
      <c r="E70" s="30"/>
      <c r="F70" s="30"/>
      <c r="G70" s="31"/>
      <c r="H70" s="32" t="s">
        <v>144</v>
      </c>
      <c r="I70" s="32" t="s">
        <v>144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156</v>
      </c>
      <c r="D72" s="29"/>
      <c r="E72" s="30"/>
      <c r="F72" s="30"/>
      <c r="G72" s="31"/>
      <c r="H72" s="32" t="s">
        <v>144</v>
      </c>
      <c r="I72" s="32" t="s">
        <v>144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157</v>
      </c>
      <c r="D74" s="29"/>
      <c r="E74" s="30"/>
      <c r="F74" s="30"/>
      <c r="G74" s="31"/>
      <c r="H74" s="32"/>
      <c r="I74" s="32"/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158</v>
      </c>
      <c r="D76" s="29"/>
      <c r="E76" s="30"/>
      <c r="F76" s="30"/>
      <c r="G76" s="31"/>
      <c r="H76" s="32" t="s">
        <v>144</v>
      </c>
      <c r="I76" s="32" t="s">
        <v>144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159</v>
      </c>
      <c r="D78" s="29"/>
      <c r="E78" s="30"/>
      <c r="F78" s="30"/>
      <c r="G78" s="31"/>
      <c r="H78" s="32" t="s">
        <v>144</v>
      </c>
      <c r="I78" s="32" t="s">
        <v>144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160</v>
      </c>
      <c r="D80" s="29"/>
      <c r="E80" s="30"/>
      <c r="F80" s="30"/>
      <c r="G80" s="31"/>
      <c r="H80" s="32" t="s">
        <v>144</v>
      </c>
      <c r="I80" s="32" t="s">
        <v>144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161</v>
      </c>
      <c r="D82" s="29"/>
      <c r="E82" s="30"/>
      <c r="F82" s="30"/>
      <c r="G82" s="31"/>
      <c r="H82" s="32" t="s">
        <v>144</v>
      </c>
      <c r="I82" s="32" t="s">
        <v>144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162</v>
      </c>
      <c r="D84" s="29"/>
      <c r="E84" s="30"/>
      <c r="F84" s="30"/>
      <c r="G84" s="31"/>
      <c r="H84" s="32" t="s">
        <v>144</v>
      </c>
      <c r="I84" s="32" t="s">
        <v>144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A86" s="26"/>
      <c r="B86" s="27"/>
      <c r="C86" s="28" t="s">
        <v>163</v>
      </c>
      <c r="D86" s="29"/>
      <c r="E86" s="30"/>
      <c r="F86" s="30"/>
      <c r="G86" s="31"/>
      <c r="H86" s="32"/>
      <c r="I86" s="32"/>
      <c r="J86" s="33"/>
    </row>
    <row r="87" spans="1:10">
      <c r="B87" s="1"/>
      <c r="C87" s="20" t="s">
        <v>164</v>
      </c>
      <c r="D87" s="29"/>
      <c r="E87" s="30"/>
      <c r="F87" s="30"/>
      <c r="G87" s="31"/>
      <c r="H87" s="32">
        <v>44.26</v>
      </c>
      <c r="I87" s="32">
        <v>0.56999999999999995</v>
      </c>
      <c r="J87" s="33"/>
    </row>
    <row r="88" spans="1:10">
      <c r="C88" s="28" t="s">
        <v>142</v>
      </c>
      <c r="D88" s="29"/>
      <c r="E88" s="30"/>
      <c r="F88" s="30"/>
      <c r="G88" s="31"/>
      <c r="H88" s="35">
        <v>44.26</v>
      </c>
      <c r="I88" s="35">
        <v>0.56999999999999995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 ht="13.8" thickBot="1">
      <c r="C90" s="36" t="s">
        <v>165</v>
      </c>
      <c r="D90" s="37"/>
      <c r="E90" s="38"/>
      <c r="F90" s="39"/>
      <c r="G90" s="40"/>
      <c r="H90" s="41">
        <v>7785.85</v>
      </c>
      <c r="I90" s="41">
        <f>SUMIFS(I:I,C:C,"Total")</f>
        <v>100</v>
      </c>
      <c r="J90" s="42"/>
    </row>
    <row r="93" spans="1:10">
      <c r="C93" s="11" t="s">
        <v>166</v>
      </c>
    </row>
    <row r="94" spans="1:10">
      <c r="C94" s="2" t="s">
        <v>167</v>
      </c>
    </row>
    <row r="95" spans="1:10">
      <c r="C95" s="2" t="s">
        <v>168</v>
      </c>
    </row>
    <row r="96" spans="1:10">
      <c r="C96" s="2" t="s">
        <v>169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B20" sqref="B20"/>
    </sheetView>
  </sheetViews>
  <sheetFormatPr defaultRowHeight="14.4"/>
  <cols>
    <col min="2" max="2" width="47.6640625" customWidth="1"/>
    <col min="4" max="4" width="11" bestFit="1" customWidth="1"/>
    <col min="6" max="6" width="11" bestFit="1" customWidth="1"/>
    <col min="8" max="8" width="11" bestFit="1" customWidth="1"/>
    <col min="9" max="9" width="7.44140625" bestFit="1" customWidth="1"/>
    <col min="10" max="10" width="12" bestFit="1" customWidth="1"/>
  </cols>
  <sheetData>
    <row r="4" spans="2:10" ht="15.6">
      <c r="B4" s="43" t="s">
        <v>170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171</v>
      </c>
      <c r="C5" s="46" t="s">
        <v>172</v>
      </c>
      <c r="D5" s="46"/>
      <c r="E5" s="46" t="s">
        <v>173</v>
      </c>
      <c r="F5" s="46"/>
      <c r="G5" s="46" t="s">
        <v>174</v>
      </c>
      <c r="H5" s="46"/>
      <c r="I5" s="46" t="s">
        <v>175</v>
      </c>
      <c r="J5" s="46"/>
    </row>
    <row r="6" spans="2:10" ht="79.2">
      <c r="B6" s="47"/>
      <c r="C6" s="48" t="s">
        <v>176</v>
      </c>
      <c r="D6" s="48" t="s">
        <v>177</v>
      </c>
      <c r="E6" s="48" t="s">
        <v>176</v>
      </c>
      <c r="F6" s="48" t="s">
        <v>177</v>
      </c>
      <c r="G6" s="48" t="s">
        <v>176</v>
      </c>
      <c r="H6" s="48" t="s">
        <v>177</v>
      </c>
      <c r="I6" s="48" t="s">
        <v>176</v>
      </c>
      <c r="J6" s="48" t="s">
        <v>177</v>
      </c>
    </row>
    <row r="7" spans="2:10">
      <c r="B7" s="49" t="s">
        <v>178</v>
      </c>
      <c r="C7" s="50">
        <v>6.7420377774713991</v>
      </c>
      <c r="D7" s="50">
        <v>10674.20377774714</v>
      </c>
      <c r="E7" s="50">
        <v>21.140213818622744</v>
      </c>
      <c r="F7" s="50">
        <v>17777.267508610792</v>
      </c>
      <c r="G7" s="50">
        <v>10.917475582819636</v>
      </c>
      <c r="H7" s="50">
        <v>16797.569971794317</v>
      </c>
      <c r="I7" s="50">
        <v>7.4890468199521276</v>
      </c>
      <c r="J7" s="50">
        <v>77420</v>
      </c>
    </row>
    <row r="8" spans="2:10">
      <c r="B8" s="49" t="s">
        <v>179</v>
      </c>
      <c r="C8" s="50">
        <v>3.9133391448652688</v>
      </c>
      <c r="D8" s="50">
        <v>10391.333914486528</v>
      </c>
      <c r="E8" s="50">
        <v>24.572599231798552</v>
      </c>
      <c r="F8" s="50">
        <v>19331.590126979005</v>
      </c>
      <c r="G8" s="50">
        <v>11.177556141245248</v>
      </c>
      <c r="H8" s="50">
        <v>16985.784765165336</v>
      </c>
      <c r="I8" s="50">
        <v>0</v>
      </c>
      <c r="J8" s="50">
        <v>0</v>
      </c>
    </row>
    <row r="9" spans="2:10">
      <c r="B9" s="49" t="s">
        <v>180</v>
      </c>
      <c r="C9" s="50">
        <v>5.6914227994946387</v>
      </c>
      <c r="D9" s="50">
        <v>10569.142279949463</v>
      </c>
      <c r="E9" s="50">
        <v>15.520561759160877</v>
      </c>
      <c r="F9" s="50">
        <v>15416.219185269591</v>
      </c>
      <c r="G9" s="50">
        <v>12.838507957581768</v>
      </c>
      <c r="H9" s="50">
        <v>18293.073301820179</v>
      </c>
      <c r="I9" s="50">
        <v>10.820356558668909</v>
      </c>
      <c r="J9" s="50">
        <v>183816.03033026186</v>
      </c>
    </row>
    <row r="10" spans="2:10">
      <c r="B10" s="49" t="s">
        <v>181</v>
      </c>
      <c r="C10" s="51">
        <v>72.53</v>
      </c>
      <c r="D10" s="52"/>
      <c r="E10" s="51">
        <v>43.55</v>
      </c>
      <c r="F10" s="52"/>
      <c r="G10" s="51">
        <v>46.09</v>
      </c>
      <c r="H10" s="52"/>
      <c r="I10" s="51">
        <v>10</v>
      </c>
      <c r="J10" s="52"/>
    </row>
    <row r="12" spans="2:10" ht="15.6">
      <c r="B12" s="43" t="s">
        <v>182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171</v>
      </c>
      <c r="C13" s="46" t="s">
        <v>172</v>
      </c>
      <c r="D13" s="46"/>
      <c r="E13" s="46" t="s">
        <v>173</v>
      </c>
      <c r="F13" s="46"/>
      <c r="G13" s="46" t="s">
        <v>174</v>
      </c>
      <c r="H13" s="46"/>
      <c r="I13" s="46" t="s">
        <v>175</v>
      </c>
      <c r="J13" s="46"/>
    </row>
    <row r="14" spans="2:10" ht="79.2">
      <c r="B14" s="47"/>
      <c r="C14" s="48" t="s">
        <v>176</v>
      </c>
      <c r="D14" s="48" t="s">
        <v>177</v>
      </c>
      <c r="E14" s="48" t="s">
        <v>176</v>
      </c>
      <c r="F14" s="48" t="s">
        <v>177</v>
      </c>
      <c r="G14" s="48" t="s">
        <v>176</v>
      </c>
      <c r="H14" s="48" t="s">
        <v>177</v>
      </c>
      <c r="I14" s="48" t="s">
        <v>176</v>
      </c>
      <c r="J14" s="48" t="s">
        <v>177</v>
      </c>
    </row>
    <row r="15" spans="2:10">
      <c r="B15" s="49" t="s">
        <v>178</v>
      </c>
      <c r="C15" s="50">
        <v>7.1059944422389831</v>
      </c>
      <c r="D15" s="50">
        <v>10710.599444223899</v>
      </c>
      <c r="E15" s="50">
        <v>21.586983599199282</v>
      </c>
      <c r="F15" s="50">
        <v>17974.683544303796</v>
      </c>
      <c r="G15" s="50">
        <v>11.376344650175207</v>
      </c>
      <c r="H15" s="50">
        <v>17148.305084745763</v>
      </c>
      <c r="I15" s="50">
        <v>16.411118995716166</v>
      </c>
      <c r="J15" s="50">
        <v>45702.992659514392</v>
      </c>
    </row>
    <row r="16" spans="2:10">
      <c r="B16" s="49" t="s">
        <v>179</v>
      </c>
      <c r="C16" s="50">
        <v>3.9133391448652688</v>
      </c>
      <c r="D16" s="50">
        <v>10391.333914486528</v>
      </c>
      <c r="E16" s="50">
        <v>24.572599231798552</v>
      </c>
      <c r="F16" s="50">
        <v>19331.590126979005</v>
      </c>
      <c r="G16" s="50">
        <v>11.177556141245248</v>
      </c>
      <c r="H16" s="50">
        <v>16985.784765165336</v>
      </c>
      <c r="I16" s="50">
        <v>17.246730985674819</v>
      </c>
      <c r="J16" s="50">
        <v>49091.627224411015</v>
      </c>
    </row>
    <row r="17" spans="2:10">
      <c r="B17" s="49" t="s">
        <v>180</v>
      </c>
      <c r="C17" s="50">
        <v>5.6914227994946387</v>
      </c>
      <c r="D17" s="50">
        <v>10569.142279949463</v>
      </c>
      <c r="E17" s="50">
        <v>15.520561759160877</v>
      </c>
      <c r="F17" s="50">
        <v>15416.219185269591</v>
      </c>
      <c r="G17" s="50">
        <v>12.838507957581768</v>
      </c>
      <c r="H17" s="50">
        <v>18293.073301820179</v>
      </c>
      <c r="I17" s="50">
        <v>13.153580189400094</v>
      </c>
      <c r="J17" s="50">
        <v>34409.867177635853</v>
      </c>
    </row>
    <row r="18" spans="2:10">
      <c r="B18" s="49" t="s">
        <v>183</v>
      </c>
      <c r="C18" s="51">
        <v>75.569999999999993</v>
      </c>
      <c r="D18" s="52"/>
      <c r="E18" s="51">
        <v>45.03</v>
      </c>
      <c r="F18" s="52"/>
      <c r="G18" s="51">
        <v>47.2</v>
      </c>
      <c r="H18" s="52"/>
      <c r="I18" s="51">
        <v>17.71</v>
      </c>
      <c r="J18" s="52"/>
    </row>
    <row r="20" spans="2:10">
      <c r="B20" t="s">
        <v>184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2023-01-03T07:35:14Z</dcterms:created>
  <dcterms:modified xsi:type="dcterms:W3CDTF">2023-01-06T13:19:41Z</dcterms:modified>
</cp:coreProperties>
</file>