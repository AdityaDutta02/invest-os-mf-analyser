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Performance'!$C$8:$C$42</definedName>
    <definedName name="XDO_?FINAL_ISIN?5?">'TEF-Risk-O-Meter &amp; Performance'!$D$10:$D$42</definedName>
    <definedName name="XDO_?FINAL_ISIN?6?">'TEF-Risk-O-Meter &amp; Performance'!$D$10:$D$84</definedName>
    <definedName name="XDO_?FINAL_MV?5?">'TEF-Risk-O-Meter &amp; Performance'!$H$10:$H$42</definedName>
    <definedName name="XDO_?FINAL_MV?6?">'TEF-Risk-O-Meter &amp; Performance'!$H$10:$H$84</definedName>
    <definedName name="XDO_?FINAL_NAME?5?">'TEF-Risk-O-Meter &amp; Performance'!$C$10:$C$42</definedName>
    <definedName name="XDO_?FINAL_NAME?6?">'TEF-Risk-O-Meter &amp; Performance'!$C$10:$C$84</definedName>
    <definedName name="XDO_?FINAL_PER_NET?5?">'TEF-Risk-O-Meter &amp; Performance'!$I$10:$I$42</definedName>
    <definedName name="XDO_?FINAL_PER_NET?6?">'TEF-Risk-O-Meter &amp; Performance'!$I$10:$I$84</definedName>
    <definedName name="XDO_?FINAL_QUANTITE?5?">'TEF-Risk-O-Meter &amp; Performance'!$G$10:$G$42</definedName>
    <definedName name="XDO_?FINAL_QUANTITE?6?">'TEF-Risk-O-Meter &amp; Performance'!$G$10:$G$84</definedName>
    <definedName name="XDO_?IND_01?5?">'TEF-Risk-O-Meter &amp; Performance'!$F$10:$F$42</definedName>
    <definedName name="XDO_?IND_01?6?">'TEF-Risk-O-Meter &amp; Performance'!$F$10:$F$84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Performance'!$C$2:$C$42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Performance'!$B$10:$B$42</definedName>
    <definedName name="XDO_?NOVAL?6?">'TEF-Risk-O-Meter &amp; Performance'!$B$10:$B$84</definedName>
    <definedName name="XDO_?NPTF?3?">'TEF-Risk-O-Meter &amp; Performance'!$D$2:$D$42</definedName>
    <definedName name="XDO_?RATING?5?">'TEF-Risk-O-Meter &amp; Performance'!$E$10:$E$42</definedName>
    <definedName name="XDO_?RATING?6?">'TEF-Risk-O-Meter &amp; Performance'!$E$10:$E$84</definedName>
    <definedName name="XDO_?REMARKS?5?">'TEF-Risk-O-Meter &amp; Performance'!$J$10:$J$42</definedName>
    <definedName name="XDO_?REMARKS?6?">'TEF-Risk-O-Meter &amp; Performance'!$J$10:$J$84</definedName>
    <definedName name="XDO_?TITL?3?">'TEF-Risk-O-Meter &amp; Performance'!$A$8:$A$42</definedName>
    <definedName name="XDO_GROUP_?G_2?3?">'TEF-Risk-O-Meter &amp; Performance'!$2:$87</definedName>
    <definedName name="XDO_GROUP_?G_3?3?">'TEF-Risk-O-Meter &amp; Performance'!$8:$86</definedName>
    <definedName name="XDO_GROUP_?G_4?5?">'TEF-Risk-O-Meter &amp; Performance'!$B$10:$IV$42</definedName>
    <definedName name="XDO_GROUP_?G_4?6?">'TEF-Risk-O-Meter &amp; Performance'!$B$84:$IV$84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/>
</calcChain>
</file>

<file path=xl/sharedStrings.xml><?xml version="1.0" encoding="utf-8"?>
<sst xmlns="http://schemas.openxmlformats.org/spreadsheetml/2006/main" count="243" uniqueCount="175">
  <si>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</si>
  <si>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</si>
  <si>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</si>
  <si>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</si>
  <si>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</si>
  <si>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</si>
  <si>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</si>
  <si>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</si>
  <si>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</si>
  <si>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</si>
  <si>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</si>
  <si>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</si>
  <si>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</si>
  <si>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</si>
  <si>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</si>
  <si>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100178</t>
  </si>
  <si>
    <t>Ambuja Cements Ltd.</t>
  </si>
  <si>
    <t>INE079A01024</t>
  </si>
  <si>
    <t>Cement &amp; Cement Products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</si>
  <si>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</si>
  <si>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</si>
  <si>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</si>
  <si>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</si>
  <si>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</si>
  <si>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</si>
  <si>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</si>
  <si>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</si>
  <si>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100944</t>
  </si>
  <si>
    <t>Mishra Dhatu Nigam Ltd.</t>
  </si>
  <si>
    <t>INE099Z01011</t>
  </si>
  <si>
    <t>Aerospace &amp; Defense</t>
  </si>
  <si>
    <t>101670</t>
  </si>
  <si>
    <t>Patanjali Foods Ltd.</t>
  </si>
  <si>
    <t>INE619A01035</t>
  </si>
  <si>
    <t>Agricultural Food &amp; other Products</t>
  </si>
  <si>
    <t>100032</t>
  </si>
  <si>
    <t>Tata Consultancy Services Ltd.</t>
  </si>
  <si>
    <t>INE467B01029</t>
  </si>
  <si>
    <t>100570</t>
  </si>
  <si>
    <t>K.P.R. Mill Ltd.</t>
  </si>
  <si>
    <t>INE930H01031</t>
  </si>
  <si>
    <t>Textiles &amp; Apparels</t>
  </si>
  <si>
    <t>100474</t>
  </si>
  <si>
    <t>Narayana Hrudayalaya Ltd.</t>
  </si>
  <si>
    <t>INE410P01011</t>
  </si>
  <si>
    <t>Healthcare Services</t>
  </si>
  <si>
    <t>100176</t>
  </si>
  <si>
    <t>GAIL (India) Ltd.</t>
  </si>
  <si>
    <t>INE129A01019</t>
  </si>
  <si>
    <t>Gas</t>
  </si>
  <si>
    <t>100037</t>
  </si>
  <si>
    <t>HCL Technologies Ltd.</t>
  </si>
  <si>
    <t>INE860A01027</t>
  </si>
  <si>
    <t>100147</t>
  </si>
  <si>
    <t>Tech Mahindra Ltd.</t>
  </si>
  <si>
    <t>INE669C01036</t>
  </si>
  <si>
    <t>100008</t>
  </si>
  <si>
    <t>Sun Pharmaceutical Industries Ltd.</t>
  </si>
  <si>
    <t>INE044A01036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</si>
  <si>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</si>
  <si>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</si>
  <si>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</si>
  <si>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</si>
  <si>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</si>
  <si>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100821</t>
  </si>
  <si>
    <t>TTK Prestige Ltd.</t>
  </si>
  <si>
    <t>INE690A01028</t>
  </si>
  <si>
    <t>Consumer Durables</t>
  </si>
  <si>
    <t>100089</t>
  </si>
  <si>
    <t>Bharat Electronics Ltd.</t>
  </si>
  <si>
    <t>INE263A01024</t>
  </si>
  <si>
    <t>100367</t>
  </si>
  <si>
    <t>Exide Industries Ltd.</t>
  </si>
  <si>
    <t>INE302A01020</t>
  </si>
  <si>
    <t>Auto Components</t>
  </si>
  <si>
    <t>100370</t>
  </si>
  <si>
    <t>Biocon Ltd.</t>
  </si>
  <si>
    <t>INE376G01013</t>
  </si>
  <si>
    <t>100161</t>
  </si>
  <si>
    <t>Cummins India Ltd.</t>
  </si>
  <si>
    <t>INE298A01020</t>
  </si>
  <si>
    <t>Industrial Products</t>
  </si>
  <si>
    <t>100099</t>
  </si>
  <si>
    <t>Hindustan Unilever Ltd.</t>
  </si>
  <si>
    <t>INE030A01027</t>
  </si>
  <si>
    <t>Diversified FMCG</t>
  </si>
  <si>
    <t>100945</t>
  </si>
  <si>
    <t>Indian Railway Catering &amp; Tourism Corporation Ltd.</t>
  </si>
  <si>
    <t>INE335Y01020</t>
  </si>
  <si>
    <t>Leisure Services</t>
  </si>
  <si>
    <t>101229</t>
  </si>
  <si>
    <t>Jubilant Ingrevia Ltd.</t>
  </si>
  <si>
    <t>INE0BY001018</t>
  </si>
  <si>
    <t>Chemicals &amp; Petrochemicals</t>
  </si>
  <si>
    <t>100271</t>
  </si>
  <si>
    <t>Balkrishna Industries Ltd.</t>
  </si>
  <si>
    <t>INE787D01026</t>
  </si>
  <si>
    <t>100166</t>
  </si>
  <si>
    <t>Symphony Ltd.</t>
  </si>
  <si>
    <t>INE225D01027</t>
  </si>
  <si>
    <t>100153</t>
  </si>
  <si>
    <t>Cipla Ltd.</t>
  </si>
  <si>
    <t>INE059A01026</t>
  </si>
  <si>
    <t>100285</t>
  </si>
  <si>
    <t>Alkem Laboratories Ltd.</t>
  </si>
  <si>
    <t>INE540L01014</t>
  </si>
  <si>
    <t>100447</t>
  </si>
  <si>
    <t>LTIMindtree Ltd.</t>
  </si>
  <si>
    <t>INE214T01019</t>
  </si>
  <si>
    <t>101692</t>
  </si>
  <si>
    <t>PRINCE PIPES AND FITTINGS Ltd.</t>
  </si>
  <si>
    <t>INE689W01016</t>
  </si>
  <si>
    <t>100159</t>
  </si>
  <si>
    <t>Sanofi India Ltd.</t>
  </si>
  <si>
    <t>INE058A01010</t>
  </si>
  <si>
    <t>100132</t>
  </si>
  <si>
    <t>Info Edge (India) Ltd.</t>
  </si>
  <si>
    <t>INE663F01024</t>
  </si>
  <si>
    <t>Retailing</t>
  </si>
  <si>
    <t>100284</t>
  </si>
  <si>
    <t>Dr. Lal Path labs Ltd.</t>
  </si>
  <si>
    <t>INE600L01024</t>
  </si>
  <si>
    <t>100106</t>
  </si>
  <si>
    <t>Maruti Suzuki India Ltd.</t>
  </si>
  <si>
    <t>INE585B01010</t>
  </si>
  <si>
    <t>Automobiles</t>
  </si>
  <si>
    <t>100117</t>
  </si>
  <si>
    <t>Tata Elxsi Ltd.</t>
  </si>
  <si>
    <t>INE670A01012</t>
  </si>
  <si>
    <t>100689</t>
  </si>
  <si>
    <t>Godrej Agrovet Ltd.</t>
  </si>
  <si>
    <t>INE850D01014</t>
  </si>
  <si>
    <t>Food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</si>
  <si>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</si>
  <si>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</si>
  <si>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</si>
  <si>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</si>
  <si>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</si>
  <si>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</si>
  <si>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</si>
  <si>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</si>
  <si>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</si>
  <si>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</si>
  <si>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</si>
  <si>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</si>
  <si>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</si>
  <si>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</si>
  <si>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</si>
  <si>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</si>
  <si>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</si>
  <si>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</si>
  <si>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</si>
  <si>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</si>
  <si>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</si>
  <si>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</si>
  <si>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</si>
  <si>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</si>
  <si>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</si>
  <si>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</si>
  <si>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</si>
  <si>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</si>
  <si>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</si>
  <si>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</si>
  <si>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</si>
  <si>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</si>
  <si>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</si>
  <si>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</si>
  <si>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</si>
  <si>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</si>
  <si>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</si>
  <si>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</si>
  <si>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</si>
  <si>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December 30, 2022 : 84.09)</t>
  </si>
  <si>
    <t>Taurus Ethical Fund - Direct Plan Growth Option</t>
  </si>
  <si>
    <t>NAV [Rs.] Per Unit  (as on December 30, 2022 : 91.68)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</si>
</sst>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Ethical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3"/>
  <sheetViews>
    <sheetView showGridLines="0" tabSelected="1" zoomScale="90" zoomScaleNormal="90" workbookViewId="0">
      <selection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77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44926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89000</v>
      </c>
      <c r="H10" s="32">
        <v>466.45</v>
      </c>
      <c r="I10" s="32">
        <v>5.46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18000</v>
      </c>
      <c r="H11" s="32">
        <v>458.68</v>
      </c>
      <c r="I11" s="32">
        <v>5.37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30157</v>
      </c>
      <c r="H12" s="32">
        <v>454.98</v>
      </c>
      <c r="I12" s="32">
        <v>5.33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200000</v>
      </c>
      <c r="H13" s="32">
        <v>433.8</v>
      </c>
      <c r="I13" s="32">
        <v>5.08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32500</v>
      </c>
      <c r="H14" s="32">
        <v>387.76</v>
      </c>
      <c r="I14" s="32">
        <v>4.54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26</v>
      </c>
      <c r="G15" s="31">
        <v>11350</v>
      </c>
      <c r="H15" s="32">
        <v>369.92</v>
      </c>
      <c r="I15" s="32">
        <v>4.33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70281</v>
      </c>
      <c r="H16" s="32">
        <v>363.21</v>
      </c>
      <c r="I16" s="32">
        <v>4.25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45190</v>
      </c>
      <c r="H17" s="32">
        <v>343.2</v>
      </c>
      <c r="I17" s="32">
        <v>4.0199999999999996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340500</v>
      </c>
      <c r="H18" s="32">
        <v>327.22000000000003</v>
      </c>
      <c r="I18" s="32">
        <v>3.83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26</v>
      </c>
      <c r="G19" s="31">
        <v>31288</v>
      </c>
      <c r="H19" s="32">
        <v>325.08</v>
      </c>
      <c r="I19" s="32">
        <v>3.81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26</v>
      </c>
      <c r="G20" s="31">
        <v>28727</v>
      </c>
      <c r="H20" s="32">
        <v>292.01</v>
      </c>
      <c r="I20" s="32">
        <v>3.42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27500</v>
      </c>
      <c r="H21" s="32">
        <v>275.19</v>
      </c>
      <c r="I21" s="32">
        <v>3.22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34100</v>
      </c>
      <c r="H22" s="32">
        <v>244.41</v>
      </c>
      <c r="I22" s="32">
        <v>2.86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30010</v>
      </c>
      <c r="H23" s="32">
        <v>240.97</v>
      </c>
      <c r="I23" s="32">
        <v>2.82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30</v>
      </c>
      <c r="G24" s="31">
        <v>234668</v>
      </c>
      <c r="H24" s="32">
        <v>234.55</v>
      </c>
      <c r="I24" s="32">
        <v>2.75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117715</v>
      </c>
      <c r="H25" s="32">
        <v>212.18</v>
      </c>
      <c r="I25" s="32">
        <v>2.48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59</v>
      </c>
      <c r="G26" s="31">
        <v>76850</v>
      </c>
      <c r="H26" s="32">
        <v>201.19</v>
      </c>
      <c r="I26" s="32">
        <v>2.36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13618</v>
      </c>
      <c r="H27" s="32">
        <v>187.7</v>
      </c>
      <c r="I27" s="32">
        <v>2.2000000000000002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7250</v>
      </c>
      <c r="H28" s="32">
        <v>185.58</v>
      </c>
      <c r="I28" s="32">
        <v>2.17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28000</v>
      </c>
      <c r="H29" s="32">
        <v>179.13</v>
      </c>
      <c r="I29" s="32">
        <v>2.1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33560</v>
      </c>
      <c r="H30" s="32">
        <v>177.33</v>
      </c>
      <c r="I30" s="32">
        <v>2.08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74</v>
      </c>
      <c r="G31" s="31">
        <v>6600</v>
      </c>
      <c r="H31" s="32">
        <v>140.41999999999999</v>
      </c>
      <c r="I31" s="32">
        <v>1.64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67</v>
      </c>
      <c r="G32" s="31">
        <v>13330</v>
      </c>
      <c r="H32" s="32">
        <v>120.49</v>
      </c>
      <c r="I32" s="32">
        <v>1.41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59</v>
      </c>
      <c r="G33" s="31">
        <v>11140</v>
      </c>
      <c r="H33" s="32">
        <v>119.76</v>
      </c>
      <c r="I33" s="32">
        <v>1.4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59</v>
      </c>
      <c r="G34" s="31">
        <v>3654</v>
      </c>
      <c r="H34" s="32">
        <v>109.81</v>
      </c>
      <c r="I34" s="32">
        <v>1.29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26</v>
      </c>
      <c r="G35" s="31">
        <v>2470</v>
      </c>
      <c r="H35" s="32">
        <v>107.8</v>
      </c>
      <c r="I35" s="32">
        <v>1.26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81</v>
      </c>
      <c r="G36" s="31">
        <v>15000</v>
      </c>
      <c r="H36" s="32">
        <v>89.34</v>
      </c>
      <c r="I36" s="32">
        <v>1.05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59</v>
      </c>
      <c r="G37" s="31">
        <v>1500</v>
      </c>
      <c r="H37" s="32">
        <v>87.74</v>
      </c>
      <c r="I37" s="32">
        <v>1.03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2100</v>
      </c>
      <c r="H38" s="32">
        <v>82.69</v>
      </c>
      <c r="I38" s="32">
        <v>0.97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45</v>
      </c>
      <c r="G39" s="31">
        <v>3600</v>
      </c>
      <c r="H39" s="32">
        <v>81.5</v>
      </c>
      <c r="I39" s="32">
        <v>0.95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800</v>
      </c>
      <c r="H40" s="32">
        <v>67.22</v>
      </c>
      <c r="I40" s="32">
        <v>0.79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26</v>
      </c>
      <c r="G41" s="31">
        <v>800</v>
      </c>
      <c r="H41" s="32">
        <v>50.3</v>
      </c>
      <c r="I41" s="32">
        <v>0.59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10000</v>
      </c>
      <c r="H42" s="32">
        <v>46.97</v>
      </c>
      <c r="I42" s="32">
        <v>0.55000000000000004</v>
      </c>
      <c r="J42" s="33"/>
    </row>
    <row r="43" spans="2:10">
      <c r="C43" s="28" t="s">
        <v>133</v>
      </c>
      <c r="D43" s="29"/>
      <c r="E43" s="30"/>
      <c r="F43" s="30"/>
      <c r="G43" s="31"/>
      <c r="H43" s="35">
        <v>7464.58</v>
      </c>
      <c r="I43" s="35">
        <v>87.41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134</v>
      </c>
      <c r="D45" s="29"/>
      <c r="E45" s="30"/>
      <c r="F45" s="30"/>
      <c r="G45" s="31"/>
      <c r="H45" s="32" t="s">
        <v>135</v>
      </c>
      <c r="I45" s="32" t="s">
        <v>135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136</v>
      </c>
      <c r="D47" s="29"/>
      <c r="E47" s="30"/>
      <c r="F47" s="30"/>
      <c r="G47" s="31"/>
      <c r="H47" s="32" t="s">
        <v>135</v>
      </c>
      <c r="I47" s="32" t="s">
        <v>135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137</v>
      </c>
      <c r="D49" s="29"/>
      <c r="E49" s="30"/>
      <c r="F49" s="30"/>
      <c r="G49" s="31"/>
      <c r="H49" s="32"/>
      <c r="I49" s="32"/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138</v>
      </c>
      <c r="D51" s="29"/>
      <c r="E51" s="30"/>
      <c r="F51" s="30"/>
      <c r="G51" s="31"/>
      <c r="H51" s="32" t="s">
        <v>135</v>
      </c>
      <c r="I51" s="32" t="s">
        <v>135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139</v>
      </c>
      <c r="D53" s="29"/>
      <c r="E53" s="30"/>
      <c r="F53" s="30"/>
      <c r="G53" s="31"/>
      <c r="H53" s="32" t="s">
        <v>135</v>
      </c>
      <c r="I53" s="32" t="s">
        <v>135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140</v>
      </c>
      <c r="D55" s="29"/>
      <c r="E55" s="30"/>
      <c r="F55" s="30"/>
      <c r="G55" s="31"/>
      <c r="H55" s="32" t="s">
        <v>135</v>
      </c>
      <c r="I55" s="32" t="s">
        <v>135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141</v>
      </c>
      <c r="D57" s="29"/>
      <c r="E57" s="30"/>
      <c r="F57" s="30"/>
      <c r="G57" s="31"/>
      <c r="H57" s="32" t="s">
        <v>135</v>
      </c>
      <c r="I57" s="32" t="s">
        <v>135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142</v>
      </c>
      <c r="D59" s="29"/>
      <c r="E59" s="30"/>
      <c r="F59" s="30"/>
      <c r="G59" s="31"/>
      <c r="H59" s="32" t="s">
        <v>135</v>
      </c>
      <c r="I59" s="32" t="s">
        <v>135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143</v>
      </c>
      <c r="D61" s="29"/>
      <c r="E61" s="30"/>
      <c r="F61" s="30"/>
      <c r="G61" s="31"/>
      <c r="H61" s="32"/>
      <c r="I61" s="32"/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144</v>
      </c>
      <c r="D63" s="29"/>
      <c r="E63" s="30"/>
      <c r="F63" s="30"/>
      <c r="G63" s="31"/>
      <c r="H63" s="32" t="s">
        <v>135</v>
      </c>
      <c r="I63" s="32" t="s">
        <v>135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145</v>
      </c>
      <c r="D65" s="29"/>
      <c r="E65" s="30"/>
      <c r="F65" s="30"/>
      <c r="G65" s="31"/>
      <c r="H65" s="32" t="s">
        <v>135</v>
      </c>
      <c r="I65" s="32" t="s">
        <v>135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146</v>
      </c>
      <c r="D67" s="29"/>
      <c r="E67" s="30"/>
      <c r="F67" s="30"/>
      <c r="G67" s="31"/>
      <c r="H67" s="32" t="s">
        <v>135</v>
      </c>
      <c r="I67" s="32" t="s">
        <v>135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147</v>
      </c>
      <c r="D69" s="29"/>
      <c r="E69" s="30"/>
      <c r="F69" s="30"/>
      <c r="G69" s="31"/>
      <c r="H69" s="32" t="s">
        <v>135</v>
      </c>
      <c r="I69" s="32" t="s">
        <v>135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148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149</v>
      </c>
      <c r="D73" s="29"/>
      <c r="E73" s="30"/>
      <c r="F73" s="30"/>
      <c r="G73" s="31"/>
      <c r="H73" s="32" t="s">
        <v>135</v>
      </c>
      <c r="I73" s="32" t="s">
        <v>135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150</v>
      </c>
      <c r="D75" s="29"/>
      <c r="E75" s="30"/>
      <c r="F75" s="30"/>
      <c r="G75" s="31"/>
      <c r="H75" s="32" t="s">
        <v>135</v>
      </c>
      <c r="I75" s="32" t="s">
        <v>135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151</v>
      </c>
      <c r="D77" s="29"/>
      <c r="E77" s="30"/>
      <c r="F77" s="30"/>
      <c r="G77" s="31"/>
      <c r="H77" s="32" t="s">
        <v>135</v>
      </c>
      <c r="I77" s="32" t="s">
        <v>135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152</v>
      </c>
      <c r="D79" s="29"/>
      <c r="E79" s="30"/>
      <c r="F79" s="30"/>
      <c r="G79" s="31"/>
      <c r="H79" s="32" t="s">
        <v>135</v>
      </c>
      <c r="I79" s="32" t="s">
        <v>135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153</v>
      </c>
      <c r="D81" s="29"/>
      <c r="E81" s="30"/>
      <c r="F81" s="30"/>
      <c r="G81" s="31"/>
      <c r="H81" s="32" t="s">
        <v>135</v>
      </c>
      <c r="I81" s="32" t="s">
        <v>135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A83" s="26"/>
      <c r="B83" s="27"/>
      <c r="C83" s="28" t="s">
        <v>154</v>
      </c>
      <c r="D83" s="29"/>
      <c r="E83" s="30"/>
      <c r="F83" s="30"/>
      <c r="G83" s="31"/>
      <c r="H83" s="32"/>
      <c r="I83" s="32"/>
      <c r="J83" s="33"/>
    </row>
    <row r="84" spans="1:10">
      <c r="B84" s="1"/>
      <c r="C84" s="20" t="s">
        <v>155</v>
      </c>
      <c r="D84" s="29"/>
      <c r="E84" s="30"/>
      <c r="F84" s="30"/>
      <c r="G84" s="31"/>
      <c r="H84" s="32">
        <v>1075.28</v>
      </c>
      <c r="I84" s="32">
        <v>12.59</v>
      </c>
      <c r="J84" s="33"/>
    </row>
    <row r="85" spans="1:10">
      <c r="C85" s="28" t="s">
        <v>133</v>
      </c>
      <c r="D85" s="29"/>
      <c r="E85" s="30"/>
      <c r="F85" s="30"/>
      <c r="G85" s="31"/>
      <c r="H85" s="35">
        <v>1075.28</v>
      </c>
      <c r="I85" s="35">
        <v>12.59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 ht="13.8" thickBot="1">
      <c r="C87" s="36" t="s">
        <v>156</v>
      </c>
      <c r="D87" s="37"/>
      <c r="E87" s="38"/>
      <c r="F87" s="39"/>
      <c r="G87" s="40"/>
      <c r="H87" s="41">
        <v>8539.86</v>
      </c>
      <c r="I87" s="41">
        <f>SUMIFS(I:I,C:C,"Total")</f>
        <v>100</v>
      </c>
      <c r="J87" s="42"/>
    </row>
    <row r="90" spans="1:10">
      <c r="C90" s="11" t="s">
        <v>157</v>
      </c>
    </row>
    <row r="91" spans="1:10">
      <c r="C91" s="2" t="s">
        <v>158</v>
      </c>
    </row>
    <row r="92" spans="1:10">
      <c r="C92" s="2" t="s">
        <v>159</v>
      </c>
    </row>
    <row r="93" spans="1:10">
      <c r="C93" s="2" t="s">
        <v>160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M9" sqref="M9"/>
    </sheetView>
  </sheetViews>
  <sheetFormatPr defaultRowHeight="14.4"/>
  <cols>
    <col min="2" max="2" width="48.554687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6">
      <c r="B4" s="43" t="s">
        <v>161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162</v>
      </c>
      <c r="C5" s="46" t="s">
        <v>163</v>
      </c>
      <c r="D5" s="46"/>
      <c r="E5" s="46" t="s">
        <v>164</v>
      </c>
      <c r="F5" s="46"/>
      <c r="G5" s="46" t="s">
        <v>165</v>
      </c>
      <c r="H5" s="46"/>
      <c r="I5" s="46" t="s">
        <v>166</v>
      </c>
      <c r="J5" s="46"/>
    </row>
    <row r="6" spans="2:10" ht="79.2">
      <c r="B6" s="47"/>
      <c r="C6" s="48" t="s">
        <v>167</v>
      </c>
      <c r="D6" s="48" t="s">
        <v>168</v>
      </c>
      <c r="E6" s="48" t="s">
        <v>167</v>
      </c>
      <c r="F6" s="48" t="s">
        <v>168</v>
      </c>
      <c r="G6" s="48" t="s">
        <v>167</v>
      </c>
      <c r="H6" s="48" t="s">
        <v>168</v>
      </c>
      <c r="I6" s="48" t="s">
        <v>167</v>
      </c>
      <c r="J6" s="48" t="s">
        <v>168</v>
      </c>
    </row>
    <row r="7" spans="2:10">
      <c r="B7" s="49" t="s">
        <v>169</v>
      </c>
      <c r="C7" s="50">
        <v>-2.3231501916598951</v>
      </c>
      <c r="D7" s="50">
        <v>9767.6849808340103</v>
      </c>
      <c r="E7" s="50">
        <v>17.278627777846122</v>
      </c>
      <c r="F7" s="50">
        <v>16130.82677920583</v>
      </c>
      <c r="G7" s="50">
        <v>10.675967057214253</v>
      </c>
      <c r="H7" s="50">
        <v>16615.293420272676</v>
      </c>
      <c r="I7" s="50">
        <v>16.755566104023156</v>
      </c>
      <c r="J7" s="50">
        <v>84090</v>
      </c>
    </row>
    <row r="8" spans="2:10">
      <c r="B8" s="49" t="s">
        <v>170</v>
      </c>
      <c r="C8" s="50">
        <v>-5.351897857375965</v>
      </c>
      <c r="D8" s="50">
        <v>9464.810214262403</v>
      </c>
      <c r="E8" s="50">
        <v>20.852607156798907</v>
      </c>
      <c r="F8" s="50">
        <v>17650.94946994053</v>
      </c>
      <c r="G8" s="50">
        <v>13.518633857948025</v>
      </c>
      <c r="H8" s="50">
        <v>18851.060176247007</v>
      </c>
      <c r="I8" s="50">
        <v>16.536885077811704</v>
      </c>
      <c r="J8" s="50">
        <v>81916.441048315493</v>
      </c>
    </row>
    <row r="9" spans="2:10">
      <c r="B9" s="49" t="s">
        <v>171</v>
      </c>
      <c r="C9" s="50">
        <v>5.6914227994946387</v>
      </c>
      <c r="D9" s="50">
        <v>10569.142279949463</v>
      </c>
      <c r="E9" s="50">
        <v>15.520561759160877</v>
      </c>
      <c r="F9" s="50">
        <v>15416.219185269591</v>
      </c>
      <c r="G9" s="50">
        <v>12.838507957581768</v>
      </c>
      <c r="H9" s="50">
        <v>18293.073301820179</v>
      </c>
      <c r="I9" s="50">
        <v>14.670360146672223</v>
      </c>
      <c r="J9" s="50">
        <v>65615.396437976509</v>
      </c>
    </row>
    <row r="10" spans="2:10">
      <c r="B10" s="49" t="s">
        <v>172</v>
      </c>
      <c r="C10" s="51">
        <v>86.09</v>
      </c>
      <c r="D10" s="52"/>
      <c r="E10" s="51">
        <v>52.13</v>
      </c>
      <c r="F10" s="52"/>
      <c r="G10" s="51">
        <v>50.61</v>
      </c>
      <c r="H10" s="52"/>
      <c r="I10" s="51">
        <v>10</v>
      </c>
      <c r="J10" s="52"/>
    </row>
    <row r="12" spans="2:10" ht="15.6">
      <c r="B12" s="43" t="s">
        <v>173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162</v>
      </c>
      <c r="C13" s="46" t="s">
        <v>163</v>
      </c>
      <c r="D13" s="46"/>
      <c r="E13" s="46" t="s">
        <v>164</v>
      </c>
      <c r="F13" s="46"/>
      <c r="G13" s="46" t="s">
        <v>165</v>
      </c>
      <c r="H13" s="46"/>
      <c r="I13" s="46" t="s">
        <v>166</v>
      </c>
      <c r="J13" s="46"/>
    </row>
    <row r="14" spans="2:10" ht="79.2">
      <c r="B14" s="47"/>
      <c r="C14" s="48" t="s">
        <v>167</v>
      </c>
      <c r="D14" s="48" t="s">
        <v>168</v>
      </c>
      <c r="E14" s="48" t="s">
        <v>167</v>
      </c>
      <c r="F14" s="48" t="s">
        <v>168</v>
      </c>
      <c r="G14" s="48" t="s">
        <v>167</v>
      </c>
      <c r="H14" s="48" t="s">
        <v>168</v>
      </c>
      <c r="I14" s="48" t="s">
        <v>167</v>
      </c>
      <c r="J14" s="48" t="s">
        <v>168</v>
      </c>
    </row>
    <row r="15" spans="2:10">
      <c r="B15" s="49" t="s">
        <v>169</v>
      </c>
      <c r="C15" s="50">
        <v>-1.3450984612073613</v>
      </c>
      <c r="D15" s="50">
        <v>9865.4901538792637</v>
      </c>
      <c r="E15" s="50">
        <v>18.497085451170705</v>
      </c>
      <c r="F15" s="50">
        <v>16638.838475499095</v>
      </c>
      <c r="G15" s="50">
        <v>11.764523629099767</v>
      </c>
      <c r="H15" s="50">
        <v>17449.562238294635</v>
      </c>
      <c r="I15" s="50">
        <v>14.602649889943198</v>
      </c>
      <c r="J15" s="50">
        <v>39079.283887468031</v>
      </c>
    </row>
    <row r="16" spans="2:10">
      <c r="B16" s="49" t="s">
        <v>170</v>
      </c>
      <c r="C16" s="50">
        <v>-5.351897857375965</v>
      </c>
      <c r="D16" s="50">
        <v>9464.810214262403</v>
      </c>
      <c r="E16" s="50">
        <v>20.852607156798907</v>
      </c>
      <c r="F16" s="50">
        <v>17650.94946994053</v>
      </c>
      <c r="G16" s="50">
        <v>13.518633857948025</v>
      </c>
      <c r="H16" s="50">
        <v>18851.060176247007</v>
      </c>
      <c r="I16" s="50">
        <v>15.899517012206799</v>
      </c>
      <c r="J16" s="50">
        <v>43733.704011549591</v>
      </c>
    </row>
    <row r="17" spans="2:10">
      <c r="B17" s="49" t="s">
        <v>171</v>
      </c>
      <c r="C17" s="50">
        <v>5.6914227994946387</v>
      </c>
      <c r="D17" s="50">
        <v>10569.142279949463</v>
      </c>
      <c r="E17" s="50">
        <v>15.520561759160877</v>
      </c>
      <c r="F17" s="50">
        <v>15416.219185269591</v>
      </c>
      <c r="G17" s="50">
        <v>12.838507957581768</v>
      </c>
      <c r="H17" s="50">
        <v>18293.073301820179</v>
      </c>
      <c r="I17" s="50">
        <v>13.153580189400094</v>
      </c>
      <c r="J17" s="50">
        <v>34409.867177635853</v>
      </c>
    </row>
    <row r="18" spans="2:10">
      <c r="B18" s="49" t="s">
        <v>174</v>
      </c>
      <c r="C18" s="51">
        <v>92.93</v>
      </c>
      <c r="D18" s="52"/>
      <c r="E18" s="51">
        <v>55.1</v>
      </c>
      <c r="F18" s="52"/>
      <c r="G18" s="51">
        <v>52.54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2023-01-03T07:35:15Z</dcterms:created>
  <dcterms:modified xsi:type="dcterms:W3CDTF">2023-01-06T13:23:54Z</dcterms:modified>
</cp:coreProperties>
</file>