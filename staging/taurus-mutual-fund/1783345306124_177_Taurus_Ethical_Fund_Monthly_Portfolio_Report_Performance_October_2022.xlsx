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Performance'!$C$8:$C$53</definedName>
    <definedName name="XDO_?FINAL_ISIN?5?">'TEF-Risk-O-Meter &amp; Performance'!$D$10:$D$53</definedName>
    <definedName name="XDO_?FINAL_ISIN?6?">'TEF-Risk-O-Meter &amp; Performance'!$D$10:$D$95</definedName>
    <definedName name="XDO_?FINAL_MV?5?">'TEF-Risk-O-Meter &amp; Performance'!$H$10:$H$53</definedName>
    <definedName name="XDO_?FINAL_MV?6?">'TEF-Risk-O-Meter &amp; Performance'!$H$10:$H$95</definedName>
    <definedName name="XDO_?FINAL_NAME?5?">'TEF-Risk-O-Meter &amp; Performance'!$C$10:$C$53</definedName>
    <definedName name="XDO_?FINAL_NAME?6?">'TEF-Risk-O-Meter &amp; Performance'!$C$10:$C$95</definedName>
    <definedName name="XDO_?FINAL_PER_NET?5?">'TEF-Risk-O-Meter &amp; Performance'!$I$10:$I$53</definedName>
    <definedName name="XDO_?FINAL_PER_NET?6?">'TEF-Risk-O-Meter &amp; Performance'!$I$10:$I$95</definedName>
    <definedName name="XDO_?FINAL_QUANTITE?5?">'TEF-Risk-O-Meter &amp; Performance'!$G$10:$G$53</definedName>
    <definedName name="XDO_?FINAL_QUANTITE?6?">'TEF-Risk-O-Meter &amp; Performance'!$G$10:$G$95</definedName>
    <definedName name="XDO_?IND_01?5?">'TEF-Risk-O-Meter &amp; Performance'!$F$10:$F$53</definedName>
    <definedName name="XDO_?IND_01?6?">'TEF-Risk-O-Meter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Performance'!$B$10:$B$53</definedName>
    <definedName name="XDO_?NOVAL?6?">'TEF-Risk-O-Meter &amp; Performance'!$B$10:$B$95</definedName>
    <definedName name="XDO_?NPTF?3?">'TEF-Risk-O-Meter &amp; Performance'!$D$2:$D$53</definedName>
    <definedName name="XDO_?RATING?5?">'TEF-Risk-O-Meter &amp; Performance'!$E$10:$E$53</definedName>
    <definedName name="XDO_?RATING?6?">'TEF-Risk-O-Meter &amp; Performance'!$E$10:$E$95</definedName>
    <definedName name="XDO_?REMARKS?5?">'TEF-Risk-O-Meter &amp; Performance'!$J$10:$J$53</definedName>
    <definedName name="XDO_?REMARKS?6?">'TEF-Risk-O-Meter &amp; Performance'!$J$10:$J$95</definedName>
    <definedName name="XDO_?TITL?3?">'TEF-Risk-O-Meter &amp; Performance'!$A$8:$A$53</definedName>
    <definedName name="XDO_GROUP_?G_2?3?">'TEF-Risk-O-Meter &amp; Performance'!$2:$98</definedName>
    <definedName name="XDO_GROUP_?G_3?3?">'TEF-Risk-O-Meter &amp; Performance'!$8:$97</definedName>
    <definedName name="XDO_GROUP_?G_4?5?">'TEF-Risk-O-Meter &amp; Performance'!$B$10:$IV$53</definedName>
    <definedName name="XDO_GROUP_?G_4?6?">'TEF-Risk-O-Meter &amp; Performance'!$B$95:$IV$95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<sst xmlns="http://schemas.openxmlformats.org/spreadsheetml/2006/main" count="287" uniqueCount="207">
  <si>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</si>
  <si>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</si>
  <si>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</si>
  <si>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</si>
  <si>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</si>
  <si>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</si>
  <si>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</si>
  <si>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</si>
  <si>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</si>
  <si>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</si>
  <si>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</si>
  <si>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</si>
  <si>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</si>
  <si>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</si>
  <si>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</si>
  <si>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</si>
  <si>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</si>
  <si>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</si>
  <si>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</si>
  <si>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</si>
  <si>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</si>
  <si>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</si>
  <si>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</si>
  <si>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100106</t>
  </si>
  <si>
    <t>Maruti Suzuki India Ltd.</t>
  </si>
  <si>
    <t>INE585B01010</t>
  </si>
  <si>
    <t>Automobiles</t>
  </si>
  <si>
    <t>100032</t>
  </si>
  <si>
    <t>Tata Consultancy Services Ltd.</t>
  </si>
  <si>
    <t>INE467B01029</t>
  </si>
  <si>
    <t>100178</t>
  </si>
  <si>
    <t>Ambuja Cements Ltd.</t>
  </si>
  <si>
    <t>INE079A01024</t>
  </si>
  <si>
    <t>Cement &amp; Cement Products</t>
  </si>
  <si>
    <t>100273</t>
  </si>
  <si>
    <t>Havells India Ltd.</t>
  </si>
  <si>
    <t>INE176B01034</t>
  </si>
  <si>
    <t>Consumer Durables</t>
  </si>
  <si>
    <t>100281</t>
  </si>
  <si>
    <t>Century Textiles &amp; Industries Ltd.</t>
  </si>
  <si>
    <t>INE055A01016</t>
  </si>
  <si>
    <t>Paper, Forest &amp; Jute Products</t>
  </si>
  <si>
    <t>100115</t>
  </si>
  <si>
    <t>Siemens Ltd.</t>
  </si>
  <si>
    <t>INE003A01024</t>
  </si>
  <si>
    <t>Electrical Equipment</t>
  </si>
  <si>
    <t>100161</t>
  </si>
  <si>
    <t>Cummins India Ltd.</t>
  </si>
  <si>
    <t>INE298A01020</t>
  </si>
  <si>
    <t>Industrial Products</t>
  </si>
  <si>
    <t>100821</t>
  </si>
  <si>
    <t>TTK Prestige Ltd.</t>
  </si>
  <si>
    <t>INE690A01028</t>
  </si>
  <si>
    <t>100570</t>
  </si>
  <si>
    <t>K.P.R. Mill Ltd.</t>
  </si>
  <si>
    <t>INE930H01031</t>
  </si>
  <si>
    <t>Textiles &amp; Apparels</t>
  </si>
  <si>
    <t>100008</t>
  </si>
  <si>
    <t>Sun Pharmaceutical Industries Ltd.</t>
  </si>
  <si>
    <t>INE044A01036</t>
  </si>
  <si>
    <t>Pharmaceuticals &amp; Biotechnology</t>
  </si>
  <si>
    <t>100089</t>
  </si>
  <si>
    <t>Bharat Electronics Ltd.</t>
  </si>
  <si>
    <t>INE263A01024</t>
  </si>
  <si>
    <t>Aerospace &amp; Defense</t>
  </si>
  <si>
    <t>100707</t>
  </si>
  <si>
    <t>Cera Sanitaryware Ltd.</t>
  </si>
  <si>
    <t>INE739E01017</t>
  </si>
  <si>
    <t>100037</t>
  </si>
  <si>
    <t>HCL Technologies Ltd.</t>
  </si>
  <si>
    <t>INE860A01027</t>
  </si>
  <si>
    <t>100398</t>
  </si>
  <si>
    <t>Aditya Birla Fashion and Retail Ltd.</t>
  </si>
  <si>
    <t>INE647O01011</t>
  </si>
  <si>
    <t>Retailing</t>
  </si>
  <si>
    <t>100282</t>
  </si>
  <si>
    <t>Blue Star Ltd.</t>
  </si>
  <si>
    <t>INE472A01039</t>
  </si>
  <si>
    <t>100143</t>
  </si>
  <si>
    <t>Thermax Ltd.</t>
  </si>
  <si>
    <t>INE152A01029</t>
  </si>
  <si>
    <t>100020</t>
  </si>
  <si>
    <t>Tata Consumer Products Ltd.</t>
  </si>
  <si>
    <t>INE192A01025</t>
  </si>
  <si>
    <t>Agricultural Food &amp; other Products</t>
  </si>
  <si>
    <t>100099</t>
  </si>
  <si>
    <t>Hindustan Unilever Ltd.</t>
  </si>
  <si>
    <t>INE030A01027</t>
  </si>
  <si>
    <t>Diversified FMCG</t>
  </si>
  <si>
    <t>100474</t>
  </si>
  <si>
    <t>Narayana Hrudayalaya Ltd.</t>
  </si>
  <si>
    <t>INE410P01011</t>
  </si>
  <si>
    <t>Healthcare Services</t>
  </si>
  <si>
    <t>100090</t>
  </si>
  <si>
    <t>Bharat Forge Ltd.</t>
  </si>
  <si>
    <t>INE465A01025</t>
  </si>
  <si>
    <t>100221</t>
  </si>
  <si>
    <t>Sundram Fasteners Ltd.</t>
  </si>
  <si>
    <t>INE387A01021</t>
  </si>
  <si>
    <t>Auto Components</t>
  </si>
  <si>
    <t>100086</t>
  </si>
  <si>
    <t>Bata India Ltd.</t>
  </si>
  <si>
    <t>INE176A01028</t>
  </si>
  <si>
    <t>100843</t>
  </si>
  <si>
    <t>Dalmia Bharat Ltd.</t>
  </si>
  <si>
    <t>INE00R701025</t>
  </si>
  <si>
    <t>100200</t>
  </si>
  <si>
    <t>Page Industries Ltd.</t>
  </si>
  <si>
    <t>INE761H01022</t>
  </si>
  <si>
    <t>100260</t>
  </si>
  <si>
    <t>Solar Industries India Ltd.</t>
  </si>
  <si>
    <t>INE343H01029</t>
  </si>
  <si>
    <t>Chemicals &amp; Petrochemicals</t>
  </si>
  <si>
    <t>100128</t>
  </si>
  <si>
    <t>Eicher Motors Ltd.</t>
  </si>
  <si>
    <t>INE066A01021</t>
  </si>
  <si>
    <t>100130</t>
  </si>
  <si>
    <t>Gujarat Gas Ltd.</t>
  </si>
  <si>
    <t>INE844O01030</t>
  </si>
  <si>
    <t>Gas</t>
  </si>
  <si>
    <t>100461</t>
  </si>
  <si>
    <t>Astral Limited</t>
  </si>
  <si>
    <t>INE006I01046</t>
  </si>
  <si>
    <t>100386</t>
  </si>
  <si>
    <t>Carborundum Universal Ltd.</t>
  </si>
  <si>
    <t>INE120A01034</t>
  </si>
  <si>
    <t>100081</t>
  </si>
  <si>
    <t>Titan Company Ltd.</t>
  </si>
  <si>
    <t>INE280A01028</t>
  </si>
  <si>
    <t>100068</t>
  </si>
  <si>
    <t>Kansai Nerolac Paints Ltd.</t>
  </si>
  <si>
    <t>INE531A01024</t>
  </si>
  <si>
    <t>100203</t>
  </si>
  <si>
    <t>Greaves Cotton Ltd.</t>
  </si>
  <si>
    <t>INE224A01026</t>
  </si>
  <si>
    <t>100872</t>
  </si>
  <si>
    <t>KPIT Technologies Ltd.</t>
  </si>
  <si>
    <t>INE04I401011</t>
  </si>
  <si>
    <t>100447</t>
  </si>
  <si>
    <t>Larsen &amp; Toubro Infotech Ltd.</t>
  </si>
  <si>
    <t>INE214T01019</t>
  </si>
  <si>
    <t>100285</t>
  </si>
  <si>
    <t>Alkem Laboratories Ltd.</t>
  </si>
  <si>
    <t>INE540L01014</t>
  </si>
  <si>
    <t>100444</t>
  </si>
  <si>
    <t>PCBL Ltd.</t>
  </si>
  <si>
    <t>INE602A01031</t>
  </si>
  <si>
    <t>100476</t>
  </si>
  <si>
    <t>Caplin Point Laboratories Ltd.</t>
  </si>
  <si>
    <t>INE475E01026</t>
  </si>
  <si>
    <t>101102</t>
  </si>
  <si>
    <t>ESAB India Ltd.</t>
  </si>
  <si>
    <t>INE284A01012</t>
  </si>
  <si>
    <t>101229</t>
  </si>
  <si>
    <t>Jubilant Ingrevia Ltd.</t>
  </si>
  <si>
    <t>INE0BY001018</t>
  </si>
  <si>
    <t>100514</t>
  </si>
  <si>
    <t>Grindwell Norton Ltd.</t>
  </si>
  <si>
    <t>INE536A01023</t>
  </si>
  <si>
    <t>100406</t>
  </si>
  <si>
    <t>KSB Ltd.</t>
  </si>
  <si>
    <t>INE999A01015</t>
  </si>
  <si>
    <t>100512</t>
  </si>
  <si>
    <t>Elgi Equipments Ltd.</t>
  </si>
  <si>
    <t>INE285A01027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</si>
  <si>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</si>
  <si>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</si>
  <si>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</si>
  <si>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</si>
  <si>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</si>
  <si>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</si>
  <si>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</si>
  <si>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</si>
  <si>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</si>
  <si>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</si>
  <si>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</si>
  <si>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</si>
  <si>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</si>
  <si>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</si>
  <si>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</si>
  <si>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</si>
  <si>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</si>
  <si>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</si>
  <si>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</si>
  <si>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</si>
  <si>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</si>
  <si>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</si>
  <si>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</si>
  <si>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</si>
  <si>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</si>
  <si>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</si>
  <si>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</si>
  <si>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</si>
  <si>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</si>
  <si>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</si>
  <si>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</si>
  <si>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</si>
  <si>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</si>
  <si>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</si>
  <si>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</si>
  <si>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</si>
  <si>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</si>
  <si>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</si>
  <si>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</si>
  <si>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October 31, 2022 : 87.86)</t>
  </si>
  <si>
    <t>Taurus Ethical Fund - Direct Plan Growth Option</t>
  </si>
  <si>
    <t>NAV [Rs.] Per Unit  (as on October 31, 2022 : 95.60)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</si>
</sst>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2331720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1524001</xdr:colOff>
      <xdr:row>0</xdr:row>
      <xdr:rowOff>0</xdr:rowOff>
    </xdr:from>
    <xdr:to>
      <xdr:col>6</xdr:col>
      <xdr:colOff>692997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68584" y="0"/>
          <a:ext cx="232283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2.1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23911</v>
      </c>
      <c r="H10" s="32">
        <v>609.62</v>
      </c>
      <c r="I10" s="32">
        <v>6.98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30157</v>
      </c>
      <c r="H11" s="32">
        <v>463.78</v>
      </c>
      <c r="I11" s="32">
        <v>5.31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3914</v>
      </c>
      <c r="H12" s="32">
        <v>372.83</v>
      </c>
      <c r="I12" s="32">
        <v>4.2699999999999996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11350</v>
      </c>
      <c r="H13" s="32">
        <v>362.41</v>
      </c>
      <c r="I13" s="32">
        <v>4.1500000000000004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50025</v>
      </c>
      <c r="H14" s="32">
        <v>266.68</v>
      </c>
      <c r="I14" s="32">
        <v>3.05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21715</v>
      </c>
      <c r="H15" s="32">
        <v>263.99</v>
      </c>
      <c r="I15" s="32">
        <v>3.02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29167</v>
      </c>
      <c r="H16" s="32">
        <v>249.73</v>
      </c>
      <c r="I16" s="32">
        <v>2.86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8485</v>
      </c>
      <c r="H17" s="32">
        <v>248.06</v>
      </c>
      <c r="I17" s="32">
        <v>2.84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18158</v>
      </c>
      <c r="H18" s="32">
        <v>244.84</v>
      </c>
      <c r="I18" s="32">
        <v>2.8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37</v>
      </c>
      <c r="G19" s="31">
        <v>25625</v>
      </c>
      <c r="H19" s="32">
        <v>238.68</v>
      </c>
      <c r="I19" s="32">
        <v>2.73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41237</v>
      </c>
      <c r="H20" s="32">
        <v>227.3</v>
      </c>
      <c r="I20" s="32">
        <v>2.6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20935</v>
      </c>
      <c r="H21" s="32">
        <v>212.69</v>
      </c>
      <c r="I21" s="32">
        <v>2.4300000000000002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195068</v>
      </c>
      <c r="H22" s="32">
        <v>208.33</v>
      </c>
      <c r="I22" s="32">
        <v>2.38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37</v>
      </c>
      <c r="G23" s="31">
        <v>3637</v>
      </c>
      <c r="H23" s="32">
        <v>202.05</v>
      </c>
      <c r="I23" s="32">
        <v>2.31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22</v>
      </c>
      <c r="G24" s="31">
        <v>19358</v>
      </c>
      <c r="H24" s="32">
        <v>201.63</v>
      </c>
      <c r="I24" s="32">
        <v>2.31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56920</v>
      </c>
      <c r="H25" s="32">
        <v>201.44</v>
      </c>
      <c r="I25" s="32">
        <v>2.31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37</v>
      </c>
      <c r="G26" s="31">
        <v>16200</v>
      </c>
      <c r="H26" s="32">
        <v>199.98</v>
      </c>
      <c r="I26" s="32">
        <v>2.29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45</v>
      </c>
      <c r="G27" s="31">
        <v>9010</v>
      </c>
      <c r="H27" s="32">
        <v>195.28</v>
      </c>
      <c r="I27" s="32">
        <v>2.2400000000000002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24673</v>
      </c>
      <c r="H28" s="32">
        <v>190.01</v>
      </c>
      <c r="I28" s="32">
        <v>2.1800000000000002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7408</v>
      </c>
      <c r="H29" s="32">
        <v>188.76</v>
      </c>
      <c r="I29" s="32">
        <v>2.16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23140</v>
      </c>
      <c r="H30" s="32">
        <v>182.98</v>
      </c>
      <c r="I30" s="32">
        <v>2.09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49</v>
      </c>
      <c r="G31" s="31">
        <v>21157</v>
      </c>
      <c r="H31" s="32">
        <v>176.6</v>
      </c>
      <c r="I31" s="32">
        <v>2.02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18197</v>
      </c>
      <c r="H32" s="32">
        <v>170.44</v>
      </c>
      <c r="I32" s="32">
        <v>1.95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37</v>
      </c>
      <c r="G33" s="31">
        <v>9021</v>
      </c>
      <c r="H33" s="32">
        <v>165</v>
      </c>
      <c r="I33" s="32">
        <v>1.89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33</v>
      </c>
      <c r="G34" s="31">
        <v>9879</v>
      </c>
      <c r="H34" s="32">
        <v>158.16999999999999</v>
      </c>
      <c r="I34" s="32">
        <v>1.81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56</v>
      </c>
      <c r="G35" s="31">
        <v>316</v>
      </c>
      <c r="H35" s="32">
        <v>157.04</v>
      </c>
      <c r="I35" s="32">
        <v>1.8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3983</v>
      </c>
      <c r="H36" s="32">
        <v>155.6</v>
      </c>
      <c r="I36" s="32">
        <v>1.78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26</v>
      </c>
      <c r="G37" s="31">
        <v>3605</v>
      </c>
      <c r="H37" s="32">
        <v>138.66999999999999</v>
      </c>
      <c r="I37" s="32">
        <v>1.59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26147</v>
      </c>
      <c r="H38" s="32">
        <v>135.53</v>
      </c>
      <c r="I38" s="32">
        <v>1.55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49</v>
      </c>
      <c r="G39" s="31">
        <v>6592</v>
      </c>
      <c r="H39" s="32">
        <v>133.87</v>
      </c>
      <c r="I39" s="32">
        <v>1.53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49</v>
      </c>
      <c r="G40" s="31">
        <v>15035</v>
      </c>
      <c r="H40" s="32">
        <v>127.2</v>
      </c>
      <c r="I40" s="32">
        <v>1.46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37</v>
      </c>
      <c r="G41" s="31">
        <v>4556</v>
      </c>
      <c r="H41" s="32">
        <v>125.43</v>
      </c>
      <c r="I41" s="32">
        <v>1.44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37</v>
      </c>
      <c r="G42" s="31">
        <v>25230</v>
      </c>
      <c r="H42" s="32">
        <v>122.62</v>
      </c>
      <c r="I42" s="32">
        <v>1.4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49</v>
      </c>
      <c r="G43" s="31">
        <v>81039</v>
      </c>
      <c r="H43" s="32">
        <v>122.37</v>
      </c>
      <c r="I43" s="32">
        <v>1.4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22</v>
      </c>
      <c r="G44" s="31">
        <v>16839</v>
      </c>
      <c r="H44" s="32">
        <v>119.38</v>
      </c>
      <c r="I44" s="32">
        <v>1.37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22</v>
      </c>
      <c r="G45" s="31">
        <v>2470</v>
      </c>
      <c r="H45" s="32">
        <v>117.07</v>
      </c>
      <c r="I45" s="32">
        <v>1.34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60</v>
      </c>
      <c r="G46" s="31">
        <v>3654</v>
      </c>
      <c r="H46" s="32">
        <v>115.29</v>
      </c>
      <c r="I46" s="32">
        <v>1.32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112</v>
      </c>
      <c r="G47" s="31">
        <v>88868</v>
      </c>
      <c r="H47" s="32">
        <v>113</v>
      </c>
      <c r="I47" s="32">
        <v>1.29</v>
      </c>
      <c r="J47" s="33"/>
    </row>
    <row r="48" spans="2:10">
      <c r="B48" s="1" t="s">
        <v>147</v>
      </c>
      <c r="C48" s="20" t="s">
        <v>148</v>
      </c>
      <c r="D48" s="29" t="s">
        <v>149</v>
      </c>
      <c r="E48" s="30"/>
      <c r="F48" s="30" t="s">
        <v>60</v>
      </c>
      <c r="G48" s="31">
        <v>14715</v>
      </c>
      <c r="H48" s="32">
        <v>106.8</v>
      </c>
      <c r="I48" s="32">
        <v>1.22</v>
      </c>
      <c r="J48" s="33"/>
    </row>
    <row r="49" spans="2:10">
      <c r="B49" s="1" t="s">
        <v>150</v>
      </c>
      <c r="C49" s="20" t="s">
        <v>151</v>
      </c>
      <c r="D49" s="29" t="s">
        <v>152</v>
      </c>
      <c r="E49" s="30"/>
      <c r="F49" s="30" t="s">
        <v>49</v>
      </c>
      <c r="G49" s="31">
        <v>2935</v>
      </c>
      <c r="H49" s="32">
        <v>98.87</v>
      </c>
      <c r="I49" s="32">
        <v>1.1299999999999999</v>
      </c>
      <c r="J49" s="33"/>
    </row>
    <row r="50" spans="2:10">
      <c r="B50" s="1" t="s">
        <v>153</v>
      </c>
      <c r="C50" s="20" t="s">
        <v>154</v>
      </c>
      <c r="D50" s="29" t="s">
        <v>155</v>
      </c>
      <c r="E50" s="30"/>
      <c r="F50" s="30" t="s">
        <v>112</v>
      </c>
      <c r="G50" s="31">
        <v>18553</v>
      </c>
      <c r="H50" s="32">
        <v>95.3</v>
      </c>
      <c r="I50" s="32">
        <v>1.0900000000000001</v>
      </c>
      <c r="J50" s="33"/>
    </row>
    <row r="51" spans="2:10">
      <c r="B51" s="1" t="s">
        <v>156</v>
      </c>
      <c r="C51" s="20" t="s">
        <v>157</v>
      </c>
      <c r="D51" s="29" t="s">
        <v>158</v>
      </c>
      <c r="E51" s="30"/>
      <c r="F51" s="30" t="s">
        <v>49</v>
      </c>
      <c r="G51" s="31">
        <v>4338</v>
      </c>
      <c r="H51" s="32">
        <v>91.59</v>
      </c>
      <c r="I51" s="32">
        <v>1.05</v>
      </c>
      <c r="J51" s="33"/>
    </row>
    <row r="52" spans="2:10">
      <c r="B52" s="1" t="s">
        <v>159</v>
      </c>
      <c r="C52" s="20" t="s">
        <v>160</v>
      </c>
      <c r="D52" s="29" t="s">
        <v>161</v>
      </c>
      <c r="E52" s="30"/>
      <c r="F52" s="30" t="s">
        <v>49</v>
      </c>
      <c r="G52" s="31">
        <v>4172</v>
      </c>
      <c r="H52" s="32">
        <v>87.42</v>
      </c>
      <c r="I52" s="32">
        <v>1</v>
      </c>
      <c r="J52" s="33"/>
    </row>
    <row r="53" spans="2:10">
      <c r="B53" s="1" t="s">
        <v>162</v>
      </c>
      <c r="C53" s="20" t="s">
        <v>163</v>
      </c>
      <c r="D53" s="29" t="s">
        <v>164</v>
      </c>
      <c r="E53" s="30"/>
      <c r="F53" s="30" t="s">
        <v>49</v>
      </c>
      <c r="G53" s="31">
        <v>17010</v>
      </c>
      <c r="H53" s="32">
        <v>82.44</v>
      </c>
      <c r="I53" s="32">
        <v>0.94</v>
      </c>
      <c r="J53" s="33"/>
    </row>
    <row r="54" spans="2:10">
      <c r="C54" s="28" t="s">
        <v>165</v>
      </c>
      <c r="D54" s="29"/>
      <c r="E54" s="30"/>
      <c r="F54" s="30"/>
      <c r="G54" s="31"/>
      <c r="H54" s="35">
        <v>8446.77</v>
      </c>
      <c r="I54" s="35">
        <v>96.68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166</v>
      </c>
      <c r="D56" s="29"/>
      <c r="E56" s="30"/>
      <c r="F56" s="30"/>
      <c r="G56" s="31"/>
      <c r="H56" s="32" t="s">
        <v>167</v>
      </c>
      <c r="I56" s="32" t="s">
        <v>167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168</v>
      </c>
      <c r="D58" s="29"/>
      <c r="E58" s="30"/>
      <c r="F58" s="30"/>
      <c r="G58" s="31"/>
      <c r="H58" s="32" t="s">
        <v>167</v>
      </c>
      <c r="I58" s="32" t="s">
        <v>167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169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170</v>
      </c>
      <c r="D62" s="29"/>
      <c r="E62" s="30"/>
      <c r="F62" s="30"/>
      <c r="G62" s="31"/>
      <c r="H62" s="32" t="s">
        <v>167</v>
      </c>
      <c r="I62" s="32" t="s">
        <v>167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171</v>
      </c>
      <c r="D64" s="29"/>
      <c r="E64" s="30"/>
      <c r="F64" s="30"/>
      <c r="G64" s="31"/>
      <c r="H64" s="32" t="s">
        <v>167</v>
      </c>
      <c r="I64" s="32" t="s">
        <v>167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172</v>
      </c>
      <c r="D66" s="29"/>
      <c r="E66" s="30"/>
      <c r="F66" s="30"/>
      <c r="G66" s="31"/>
      <c r="H66" s="32" t="s">
        <v>167</v>
      </c>
      <c r="I66" s="32" t="s">
        <v>167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173</v>
      </c>
      <c r="D68" s="29"/>
      <c r="E68" s="30"/>
      <c r="F68" s="30"/>
      <c r="G68" s="31"/>
      <c r="H68" s="32" t="s">
        <v>167</v>
      </c>
      <c r="I68" s="32" t="s">
        <v>167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174</v>
      </c>
      <c r="D70" s="29"/>
      <c r="E70" s="30"/>
      <c r="F70" s="30"/>
      <c r="G70" s="31"/>
      <c r="H70" s="32" t="s">
        <v>167</v>
      </c>
      <c r="I70" s="32" t="s">
        <v>167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175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176</v>
      </c>
      <c r="D74" s="29"/>
      <c r="E74" s="30"/>
      <c r="F74" s="30"/>
      <c r="G74" s="31"/>
      <c r="H74" s="32" t="s">
        <v>167</v>
      </c>
      <c r="I74" s="32" t="s">
        <v>167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177</v>
      </c>
      <c r="D76" s="29"/>
      <c r="E76" s="30"/>
      <c r="F76" s="30"/>
      <c r="G76" s="31"/>
      <c r="H76" s="32" t="s">
        <v>167</v>
      </c>
      <c r="I76" s="32" t="s">
        <v>167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178</v>
      </c>
      <c r="D78" s="29"/>
      <c r="E78" s="30"/>
      <c r="F78" s="30"/>
      <c r="G78" s="31"/>
      <c r="H78" s="32" t="s">
        <v>167</v>
      </c>
      <c r="I78" s="32" t="s">
        <v>167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179</v>
      </c>
      <c r="D80" s="29"/>
      <c r="E80" s="30"/>
      <c r="F80" s="30"/>
      <c r="G80" s="31"/>
      <c r="H80" s="32" t="s">
        <v>167</v>
      </c>
      <c r="I80" s="32" t="s">
        <v>167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180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181</v>
      </c>
      <c r="D84" s="29"/>
      <c r="E84" s="30"/>
      <c r="F84" s="30"/>
      <c r="G84" s="31"/>
      <c r="H84" s="32" t="s">
        <v>167</v>
      </c>
      <c r="I84" s="32" t="s">
        <v>167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182</v>
      </c>
      <c r="D86" s="29"/>
      <c r="E86" s="30"/>
      <c r="F86" s="30"/>
      <c r="G86" s="31"/>
      <c r="H86" s="32" t="s">
        <v>167</v>
      </c>
      <c r="I86" s="32" t="s">
        <v>167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183</v>
      </c>
      <c r="D88" s="29"/>
      <c r="E88" s="30"/>
      <c r="F88" s="30"/>
      <c r="G88" s="31"/>
      <c r="H88" s="32" t="s">
        <v>167</v>
      </c>
      <c r="I88" s="32" t="s">
        <v>167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184</v>
      </c>
      <c r="D90" s="29"/>
      <c r="E90" s="30"/>
      <c r="F90" s="30"/>
      <c r="G90" s="31"/>
      <c r="H90" s="32" t="s">
        <v>167</v>
      </c>
      <c r="I90" s="32" t="s">
        <v>167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185</v>
      </c>
      <c r="D92" s="29"/>
      <c r="E92" s="30"/>
      <c r="F92" s="30"/>
      <c r="G92" s="31"/>
      <c r="H92" s="32" t="s">
        <v>167</v>
      </c>
      <c r="I92" s="32" t="s">
        <v>167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186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187</v>
      </c>
      <c r="D95" s="29"/>
      <c r="E95" s="30"/>
      <c r="F95" s="30"/>
      <c r="G95" s="31"/>
      <c r="H95" s="32">
        <v>288.41000000000003</v>
      </c>
      <c r="I95" s="32">
        <v>3.32</v>
      </c>
      <c r="J95" s="33"/>
    </row>
    <row r="96" spans="1:10">
      <c r="C96" s="28" t="s">
        <v>165</v>
      </c>
      <c r="D96" s="29"/>
      <c r="E96" s="30"/>
      <c r="F96" s="30"/>
      <c r="G96" s="31"/>
      <c r="H96" s="35">
        <v>288.41000000000003</v>
      </c>
      <c r="I96" s="35">
        <v>3.32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5" thickBot="1">
      <c r="C98" s="36" t="s">
        <v>188</v>
      </c>
      <c r="D98" s="37"/>
      <c r="E98" s="38"/>
      <c r="F98" s="39"/>
      <c r="G98" s="40"/>
      <c r="H98" s="41">
        <v>8735.18</v>
      </c>
      <c r="I98" s="41">
        <f>SUMIFS(I:I,C:C,"Total")</f>
        <v>100</v>
      </c>
      <c r="J98" s="42"/>
    </row>
    <row r="101" spans="3:10">
      <c r="C101" s="11" t="s">
        <v>189</v>
      </c>
    </row>
    <row r="102" spans="3:10">
      <c r="C102" s="2" t="s">
        <v>190</v>
      </c>
    </row>
    <row r="103" spans="3:10">
      <c r="C103" s="2" t="s">
        <v>191</v>
      </c>
    </row>
    <row r="104" spans="3:10">
      <c r="C104" s="2" t="s">
        <v>192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22" sqref="B22"/>
    </sheetView>
  </sheetViews>
  <sheetFormatPr defaultRowHeight="15"/>
  <cols>
    <col min="2" max="2" width="46.425781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>
      <c r="B4" s="43" t="s">
        <v>193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194</v>
      </c>
      <c r="C5" s="50" t="s">
        <v>195</v>
      </c>
      <c r="D5" s="50"/>
      <c r="E5" s="50" t="s">
        <v>196</v>
      </c>
      <c r="F5" s="50"/>
      <c r="G5" s="50" t="s">
        <v>197</v>
      </c>
      <c r="H5" s="50"/>
      <c r="I5" s="50" t="s">
        <v>198</v>
      </c>
      <c r="J5" s="50"/>
    </row>
    <row r="6" spans="2:10" ht="63.75">
      <c r="B6" s="46"/>
      <c r="C6" s="47" t="s">
        <v>199</v>
      </c>
      <c r="D6" s="47" t="s">
        <v>200</v>
      </c>
      <c r="E6" s="47" t="s">
        <v>199</v>
      </c>
      <c r="F6" s="47" t="s">
        <v>200</v>
      </c>
      <c r="G6" s="47" t="s">
        <v>199</v>
      </c>
      <c r="H6" s="47" t="s">
        <v>200</v>
      </c>
      <c r="I6" s="47" t="s">
        <v>199</v>
      </c>
      <c r="J6" s="47" t="s">
        <v>200</v>
      </c>
    </row>
    <row r="7" spans="2:10">
      <c r="B7" s="48" t="s">
        <v>201</v>
      </c>
      <c r="C7" s="49">
        <v>2.8167462279574673</v>
      </c>
      <c r="D7" s="49">
        <v>10283.239700374532</v>
      </c>
      <c r="E7" s="49">
        <v>17.87532505504479</v>
      </c>
      <c r="F7" s="49">
        <v>16385.676986199178</v>
      </c>
      <c r="G7" s="49">
        <v>13.162234229713343</v>
      </c>
      <c r="H7" s="49">
        <v>18563.279104162266</v>
      </c>
      <c r="I7" s="49">
        <v>17.353057584817442</v>
      </c>
      <c r="J7" s="49">
        <v>87860</v>
      </c>
    </row>
    <row r="8" spans="2:10">
      <c r="B8" s="48" t="s">
        <v>202</v>
      </c>
      <c r="C8" s="49">
        <v>0.7151339210427432</v>
      </c>
      <c r="D8" s="49">
        <v>10071.513392104274</v>
      </c>
      <c r="E8" s="49">
        <v>21.14699729798344</v>
      </c>
      <c r="F8" s="49">
        <v>17780.254092743126</v>
      </c>
      <c r="G8" s="49">
        <v>15.469023545308502</v>
      </c>
      <c r="H8" s="49">
        <v>20527.093771870208</v>
      </c>
      <c r="I8" s="49">
        <v>16.950930190979907</v>
      </c>
      <c r="J8" s="49">
        <v>83822.297791868332</v>
      </c>
    </row>
    <row r="9" spans="2:10">
      <c r="B9" s="48" t="s">
        <v>203</v>
      </c>
      <c r="C9" s="49">
        <v>3.3024534027818353</v>
      </c>
      <c r="D9" s="49">
        <v>10330.245340278183</v>
      </c>
      <c r="E9" s="49">
        <v>16.230902925925239</v>
      </c>
      <c r="F9" s="49">
        <v>15702.356556487057</v>
      </c>
      <c r="G9" s="49">
        <v>13.155552697674388</v>
      </c>
      <c r="H9" s="49">
        <v>18551.513690816424</v>
      </c>
      <c r="I9" s="49">
        <v>14.814138316543213</v>
      </c>
      <c r="J9" s="49">
        <v>65256.244338829041</v>
      </c>
    </row>
    <row r="10" spans="2:10">
      <c r="B10" s="48" t="s">
        <v>204</v>
      </c>
      <c r="C10" s="51">
        <v>85.44</v>
      </c>
      <c r="D10" s="52"/>
      <c r="E10" s="51">
        <v>53.62</v>
      </c>
      <c r="F10" s="52"/>
      <c r="G10" s="51">
        <v>47.33</v>
      </c>
      <c r="H10" s="52"/>
      <c r="I10" s="51">
        <v>10</v>
      </c>
      <c r="J10" s="52"/>
    </row>
    <row r="12" spans="2:10" ht="15.75">
      <c r="B12" s="43" t="s">
        <v>205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194</v>
      </c>
      <c r="C13" s="50" t="s">
        <v>195</v>
      </c>
      <c r="D13" s="50"/>
      <c r="E13" s="50" t="s">
        <v>196</v>
      </c>
      <c r="F13" s="50"/>
      <c r="G13" s="50" t="s">
        <v>197</v>
      </c>
      <c r="H13" s="50"/>
      <c r="I13" s="50" t="s">
        <v>198</v>
      </c>
      <c r="J13" s="50"/>
    </row>
    <row r="14" spans="2:10" ht="63.75">
      <c r="B14" s="46"/>
      <c r="C14" s="47" t="s">
        <v>199</v>
      </c>
      <c r="D14" s="47" t="s">
        <v>200</v>
      </c>
      <c r="E14" s="47" t="s">
        <v>199</v>
      </c>
      <c r="F14" s="47" t="s">
        <v>200</v>
      </c>
      <c r="G14" s="47" t="s">
        <v>199</v>
      </c>
      <c r="H14" s="47" t="s">
        <v>200</v>
      </c>
      <c r="I14" s="47" t="s">
        <v>199</v>
      </c>
      <c r="J14" s="47" t="s">
        <v>200</v>
      </c>
    </row>
    <row r="15" spans="2:10">
      <c r="B15" s="48" t="s">
        <v>201</v>
      </c>
      <c r="C15" s="49">
        <v>3.8351848332417227</v>
      </c>
      <c r="D15" s="49">
        <v>10385.659967409016</v>
      </c>
      <c r="E15" s="49">
        <v>19.05142904128121</v>
      </c>
      <c r="F15" s="49">
        <v>16881.51156630761</v>
      </c>
      <c r="G15" s="49">
        <v>14.260637463008408</v>
      </c>
      <c r="H15" s="49">
        <v>19482.372121459139</v>
      </c>
      <c r="I15" s="49">
        <v>15.354012079520896</v>
      </c>
      <c r="J15" s="49">
        <v>40750.213128729745</v>
      </c>
    </row>
    <row r="16" spans="2:10">
      <c r="B16" s="48" t="s">
        <v>202</v>
      </c>
      <c r="C16" s="49">
        <v>0.7151339210427432</v>
      </c>
      <c r="D16" s="49">
        <v>10071.513392104274</v>
      </c>
      <c r="E16" s="49">
        <v>21.14699729798344</v>
      </c>
      <c r="F16" s="49">
        <v>17780.254092743126</v>
      </c>
      <c r="G16" s="49">
        <v>15.469023545308502</v>
      </c>
      <c r="H16" s="49">
        <v>20527.093771870208</v>
      </c>
      <c r="I16" s="49">
        <v>16.457804866148518</v>
      </c>
      <c r="J16" s="49">
        <v>44751.641241948171</v>
      </c>
    </row>
    <row r="17" spans="2:10">
      <c r="B17" s="48" t="s">
        <v>203</v>
      </c>
      <c r="C17" s="49">
        <v>3.3024534027818353</v>
      </c>
      <c r="D17" s="49">
        <v>10330.245340278183</v>
      </c>
      <c r="E17" s="49">
        <v>16.230902925925239</v>
      </c>
      <c r="F17" s="49">
        <v>15702.356556487057</v>
      </c>
      <c r="G17" s="49">
        <v>13.155552697674388</v>
      </c>
      <c r="H17" s="49">
        <v>18551.513690816424</v>
      </c>
      <c r="I17" s="49">
        <v>13.324304509044559</v>
      </c>
      <c r="J17" s="49">
        <v>34221.638987716324</v>
      </c>
    </row>
    <row r="18" spans="2:10">
      <c r="B18" s="48" t="s">
        <v>206</v>
      </c>
      <c r="C18" s="51">
        <v>92.05</v>
      </c>
      <c r="D18" s="52"/>
      <c r="E18" s="51">
        <v>56.63</v>
      </c>
      <c r="F18" s="52"/>
      <c r="G18" s="51">
        <v>49.07</v>
      </c>
      <c r="H18" s="52"/>
      <c r="I18" s="51">
        <v>23.46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2022-11-01T16:51:52Z</dcterms:created>
  <dcterms:modified xsi:type="dcterms:W3CDTF">2022-11-09T10:52:38Z</dcterms:modified>
</cp:coreProperties>
</file>