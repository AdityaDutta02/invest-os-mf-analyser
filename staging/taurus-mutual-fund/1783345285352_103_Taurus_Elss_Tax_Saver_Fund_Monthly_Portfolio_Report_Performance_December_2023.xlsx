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JAN 2024\Portfolio\OPS\TMF_Monthly_Portfolio_Report_Dec 23\"/>
    </mc:Choice>
  </mc:AlternateContent>
  <xr:revisionPtr revIDLastSave="0" documentId="13_ncr:1_{481926A0-B9A2-4EBD-975E-681C354182DB}" xr6:coauthVersionLast="47" xr6:coauthVersionMax="47" xr10:uidLastSave="{00000000-0000-0000-0000-000000000000}"/>
  <bookViews>
    <workbookView xWindow="-120" yWindow="-120" windowWidth="20730" windowHeight="11160" xr2:uid="{80A54745-D93E-49DE-8808-833190ABAC74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TTS!$C$8:$C$40</definedName>
    <definedName name="XDO_?FINAL_ISIN?15?">TTS!$D$10:$D$40</definedName>
    <definedName name="XDO_?FINAL_ISIN?16?">TTS!$D$10:$D$79</definedName>
    <definedName name="XDO_?FINAL_ISIN?17?">TTS!$D$10:$D$83</definedName>
    <definedName name="XDO_?FINAL_MV?15?">TTS!$H$10:$H$40</definedName>
    <definedName name="XDO_?FINAL_MV?16?">TTS!$H$10:$H$79</definedName>
    <definedName name="XDO_?FINAL_MV?17?">TTS!$H$10:$H$83</definedName>
    <definedName name="XDO_?FINAL_NAME?15?">TTS!$C$10:$C$40</definedName>
    <definedName name="XDO_?FINAL_NAME?16?">TTS!$C$10:$C$79</definedName>
    <definedName name="XDO_?FINAL_NAME?17?">TTS!$C$10:$C$83</definedName>
    <definedName name="XDO_?FINAL_PER_NET?15?">TTS!$I$10:$I$40</definedName>
    <definedName name="XDO_?FINAL_PER_NET?16?">TTS!$I$10:$I$79</definedName>
    <definedName name="XDO_?FINAL_PER_NET?17?">TTS!$I$10:$I$83</definedName>
    <definedName name="XDO_?FINAL_QUANTITE?15?">TTS!$G$10:$G$40</definedName>
    <definedName name="XDO_?FINAL_QUANTITE?16?">TTS!$G$10:$G$79</definedName>
    <definedName name="XDO_?FINAL_QUANTITE?17?">TTS!$G$10:$G$83</definedName>
    <definedName name="XDO_?IND_01?15?">TTS!$F$10:$F$40</definedName>
    <definedName name="XDO_?IND_01?16?">TTS!$F$10:$F$79</definedName>
    <definedName name="XDO_?IND_01?17?">TTS!$F$10:$F$83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TTS!$B$10:$B$40</definedName>
    <definedName name="XDO_?NOVAL?16?">TTS!$B$10:$B$79</definedName>
    <definedName name="XDO_?NOVAL?17?">TTS!$B$10:$B$83</definedName>
    <definedName name="XDO_?NPTF?7?">TTS!$D$2:$D$40</definedName>
    <definedName name="XDO_?RATING?15?">TTS!$E$10:$E$40</definedName>
    <definedName name="XDO_?RATING?16?">TTS!$E$10:$E$79</definedName>
    <definedName name="XDO_?RATING?17?">TTS!$E$10:$E$83</definedName>
    <definedName name="XDO_?REMARKS?15?">TTS!$J$10:$J$40</definedName>
    <definedName name="XDO_?REMARKS?16?">TTS!$J$10:$J$79</definedName>
    <definedName name="XDO_?REMARKS?17?">TTS!$J$10:$J$83</definedName>
    <definedName name="XDO_?TITL?7?">TTS!$A$8:$A$40</definedName>
    <definedName name="XDO_GROUP_?G_2?7?">TTS!$2:$86</definedName>
    <definedName name="XDO_GROUP_?G_3?7?">TTS!$8:$85</definedName>
    <definedName name="XDO_GROUP_?G_4?15?">TTS!$B$10:$IV$40</definedName>
    <definedName name="XDO_GROUP_?G_4?16?">TTS!$B$79:$IV$79</definedName>
    <definedName name="XDO_GROUP_?G_4?17?">TTS!$B$83:$IV$83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</calcChain>
</file>

<file path=xl/sharedStrings.xml><?xml version="1.0" encoding="utf-8"?>
<sst xmlns="http://schemas.openxmlformats.org/spreadsheetml/2006/main" count="236" uniqueCount="174">
  <si>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</si>
  <si>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</si>
  <si>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</si>
  <si>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</si>
  <si>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</si>
  <si>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</si>
  <si>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</si>
  <si>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</si>
  <si>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</si>
  <si>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</si>
  <si>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</si>
  <si>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</si>
  <si>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</si>
  <si>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</si>
  <si>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</si>
  <si>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</si>
  <si>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</si>
  <si>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</si>
  <si>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</si>
  <si>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</si>
  <si>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</si>
  <si>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</si>
  <si>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</si>
  <si>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</si>
  <si>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</si>
  <si>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</si>
  <si>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</si>
  <si>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100147</t>
  </si>
  <si>
    <t>Tech Mahindra Ltd.</t>
  </si>
  <si>
    <t>INE669C01036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</si>
  <si>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</si>
  <si>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</si>
  <si>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</si>
  <si>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</si>
  <si>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</si>
  <si>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</si>
  <si>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</si>
  <si>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100045</t>
  </si>
  <si>
    <t>Gujarat Pipavav Port Ltd.</t>
  </si>
  <si>
    <t>INE517F01014</t>
  </si>
  <si>
    <t>Transport Infrastructure</t>
  </si>
  <si>
    <t>100012</t>
  </si>
  <si>
    <t>ICICI Bank Ltd.</t>
  </si>
  <si>
    <t>INE090A01021</t>
  </si>
  <si>
    <t>100097</t>
  </si>
  <si>
    <t>Coal India Ltd.</t>
  </si>
  <si>
    <t>INE522F01014</t>
  </si>
  <si>
    <t>Consumable Fuels</t>
  </si>
  <si>
    <t>100474</t>
  </si>
  <si>
    <t>Narayana Hrudayalaya Ltd.</t>
  </si>
  <si>
    <t>INE410P01011</t>
  </si>
  <si>
    <t>Healthcare Services</t>
  </si>
  <si>
    <t>100003</t>
  </si>
  <si>
    <t>Infosys Ltd.</t>
  </si>
  <si>
    <t>INE009A01021</t>
  </si>
  <si>
    <t>100035</t>
  </si>
  <si>
    <t>NMDC Ltd.</t>
  </si>
  <si>
    <t>INE584A01023</t>
  </si>
  <si>
    <t>Minerals &amp; Mining</t>
  </si>
  <si>
    <t>100263</t>
  </si>
  <si>
    <t>BEML Ltd.</t>
  </si>
  <si>
    <t>INE258A01016</t>
  </si>
  <si>
    <t>Agricultural, Commercial &amp; Construction Vehicles</t>
  </si>
  <si>
    <t>101181</t>
  </si>
  <si>
    <t>UTI Asset Management Co. Ltd.</t>
  </si>
  <si>
    <t>INE094J01016</t>
  </si>
  <si>
    <t>Capital Markets</t>
  </si>
  <si>
    <t>100172</t>
  </si>
  <si>
    <t>ACC Ltd.</t>
  </si>
  <si>
    <t>INE012A01025</t>
  </si>
  <si>
    <t>Cement &amp; Cement Products</t>
  </si>
  <si>
    <t>100153</t>
  </si>
  <si>
    <t>Cipla Ltd.</t>
  </si>
  <si>
    <t>INE059A01026</t>
  </si>
  <si>
    <t>Pharmaceuticals &amp; Biotechnology</t>
  </si>
  <si>
    <t>101178</t>
  </si>
  <si>
    <t>Computer Age Management Services Ltd.</t>
  </si>
  <si>
    <t>INE596I01012</t>
  </si>
  <si>
    <t>101946</t>
  </si>
  <si>
    <t>National Fertilizers Ltd.</t>
  </si>
  <si>
    <t>INE870D01012</t>
  </si>
  <si>
    <t>Fertilizers &amp; Agrochemicals</t>
  </si>
  <si>
    <t>100324</t>
  </si>
  <si>
    <t>NBCC (India) Ltd.</t>
  </si>
  <si>
    <t>INE095N01031</t>
  </si>
  <si>
    <t>Construction</t>
  </si>
  <si>
    <t>100096</t>
  </si>
  <si>
    <t>Container Corporation of India Ltd.</t>
  </si>
  <si>
    <t>INE111A01025</t>
  </si>
  <si>
    <t>Transport Services</t>
  </si>
  <si>
    <t>100747</t>
  </si>
  <si>
    <t>Mahindra Logistics Ltd.</t>
  </si>
  <si>
    <t>INE766P01016</t>
  </si>
  <si>
    <t>100080</t>
  </si>
  <si>
    <t>Dr. Reddy's Laboratories Ltd.</t>
  </si>
  <si>
    <t>INE089A01023</t>
  </si>
  <si>
    <t>100342</t>
  </si>
  <si>
    <t>Vardhman Textiles Ltd.</t>
  </si>
  <si>
    <t>INE825A01020</t>
  </si>
  <si>
    <t>Textiles &amp; Apparels</t>
  </si>
  <si>
    <t>100811</t>
  </si>
  <si>
    <t>NOCIL Ltd.</t>
  </si>
  <si>
    <t>INE163A01018</t>
  </si>
  <si>
    <t>Chemicals &amp; Petrochemicals</t>
  </si>
  <si>
    <t>100155</t>
  </si>
  <si>
    <t>Divi's Laboratories Ltd.</t>
  </si>
  <si>
    <t>INE361B01024</t>
  </si>
  <si>
    <t>100410</t>
  </si>
  <si>
    <t>Healthcare Global Enterprises Ltd.</t>
  </si>
  <si>
    <t>INE075I01017</t>
  </si>
  <si>
    <t>101966</t>
  </si>
  <si>
    <t>Cyient DLM Ltd.</t>
  </si>
  <si>
    <t>INE055S01018</t>
  </si>
  <si>
    <t>Industrial Manufacturing</t>
  </si>
  <si>
    <t>100130</t>
  </si>
  <si>
    <t>Gujarat Gas Ltd.</t>
  </si>
  <si>
    <t>INE844O01030</t>
  </si>
  <si>
    <t>Gas</t>
  </si>
  <si>
    <t>101967</t>
  </si>
  <si>
    <t>Globus Spirits Ltd.</t>
  </si>
  <si>
    <t>INE615I01010</t>
  </si>
  <si>
    <t>Beverages</t>
  </si>
  <si>
    <t>101214</t>
  </si>
  <si>
    <t>Antony Waste Handling Cell Ltd.</t>
  </si>
  <si>
    <t>INE01BK01022</t>
  </si>
  <si>
    <t>Other Utilities</t>
  </si>
  <si>
    <t>102041</t>
  </si>
  <si>
    <t>Happy Forgings Ltd.</t>
  </si>
  <si>
    <t>INE330T01021</t>
  </si>
  <si>
    <t>Industrial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</si>
  <si>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</si>
  <si>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</si>
  <si>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</si>
  <si>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</si>
  <si>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</si>
  <si>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</si>
  <si>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</si>
  <si>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</si>
  <si>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</si>
  <si>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</si>
  <si>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</si>
  <si>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</si>
  <si>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</si>
  <si>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</si>
  <si>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</si>
  <si>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</si>
  <si>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</si>
  <si>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</si>
  <si>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</si>
  <si>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</si>
  <si>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</si>
  <si>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101240100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</si>
  <si>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</si>
  <si>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</si>
  <si>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</si>
  <si>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</si>
  <si>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</si>
  <si>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</si>
  <si>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</si>
  <si>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</si>
  <si>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</si>
  <si>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</si>
  <si>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</si>
  <si>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</si>
  <si>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</si>
  <si>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</si>
  <si>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</si>
  <si>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</si>
  <si>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</si>
  <si>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</si>
  <si>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</si>
  <si>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December 29, 2023 : 152.23)</t>
  </si>
  <si>
    <t>Taurus Elss Tax Saver Fund - Direct Plan Growth Option</t>
  </si>
  <si>
    <t>NAV [Rs.] Per Unit (as on December 29, 2023 : 164.34)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</si>
</sst>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3" borderId="13" xfId="0" applyFont="1" applyFill="1" applyBorder="1"/>
    <xf numFmtId="0" fontId="12" fillId="3" borderId="13" xfId="0" applyFont="1" applyFill="1" applyBorder="1" applyAlignment="1">
      <alignment wrapText="1"/>
    </xf>
    <xf numFmtId="0" fontId="12" fillId="3" borderId="13" xfId="0" applyFont="1" applyFill="1" applyBorder="1" applyAlignment="1">
      <alignment horizontal="center" vertical="center" wrapText="1"/>
    </xf>
    <xf numFmtId="0" fontId="12" fillId="0" borderId="13" xfId="0" applyFont="1" applyBorder="1"/>
    <xf numFmtId="168" fontId="1" fillId="0" borderId="13" xfId="1" applyNumberFormat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EC37002-CF64-4ADA-9A96-D280479DDFCC}"/>
    <cellStyle name="Hyperlink" xfId="2" builtinId="8"/>
    <cellStyle name="Normal" xfId="0" builtinId="0"/>
    <cellStyle name="Normal 2" xfId="4" xr:uid="{44DE3088-97C9-47C2-ADDF-0FEA30C80A2B}"/>
    <cellStyle name="Style 1" xfId="3" xr:uid="{9C111E73-2CB3-4E80-92B4-82338A61CF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239945</xdr:colOff>
      <xdr:row>0</xdr:row>
      <xdr:rowOff>1923288</xdr:rowOff>
    </xdr:to>
    <xdr:pic>
      <xdr:nvPicPr>
        <xdr:cNvPr id="2" name="Picture 1" descr="Tax Prodcut label - 9th Dec 2022.jpg">
          <a:extLst>
            <a:ext uri="{FF2B5EF4-FFF2-40B4-BE49-F238E27FC236}">
              <a16:creationId xmlns:a16="http://schemas.microsoft.com/office/drawing/2014/main" id="{AB388926-7DD7-4EF0-906A-0EB41EAD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Dec%2023\Client%20Report\TMF_Monthly_Portfolio_Report_Dec%2023.xls" TargetMode="External"/><Relationship Id="rId1" Type="http://schemas.openxmlformats.org/officeDocument/2006/relationships/externalLinkPath" Target="TMF_Monthly_Portfolio_Report_Dec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34D2-8AA7-42D4-8872-32A0802B757F}">
  <dimension ref="A1:IV92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2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47243</v>
      </c>
      <c r="H10" s="32">
        <v>692.63</v>
      </c>
      <c r="I10" s="32">
        <v>9.77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37729</v>
      </c>
      <c r="H11" s="32">
        <v>645.03</v>
      </c>
      <c r="I11" s="32">
        <v>9.1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5500</v>
      </c>
      <c r="H12" s="32">
        <v>421.94</v>
      </c>
      <c r="I12" s="32">
        <v>5.95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31000</v>
      </c>
      <c r="H13" s="32">
        <v>394.51</v>
      </c>
      <c r="I13" s="32">
        <v>5.57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35000</v>
      </c>
      <c r="H14" s="32">
        <v>386.03</v>
      </c>
      <c r="I14" s="32">
        <v>5.45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80000</v>
      </c>
      <c r="H15" s="32">
        <v>369.88</v>
      </c>
      <c r="I15" s="32">
        <v>5.22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240000</v>
      </c>
      <c r="H16" s="32">
        <v>367.2</v>
      </c>
      <c r="I16" s="32">
        <v>5.18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36000</v>
      </c>
      <c r="H17" s="32">
        <v>358.72</v>
      </c>
      <c r="I17" s="32">
        <v>5.0599999999999996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80000</v>
      </c>
      <c r="H18" s="32">
        <v>300.76</v>
      </c>
      <c r="I18" s="32">
        <v>4.24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25000</v>
      </c>
      <c r="H19" s="32">
        <v>300</v>
      </c>
      <c r="I19" s="32">
        <v>4.2300000000000004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16361</v>
      </c>
      <c r="H20" s="32">
        <v>252.43</v>
      </c>
      <c r="I20" s="32">
        <v>3.56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100000</v>
      </c>
      <c r="H21" s="32">
        <v>209.35</v>
      </c>
      <c r="I21" s="32">
        <v>2.95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6882</v>
      </c>
      <c r="H22" s="32">
        <v>194.65</v>
      </c>
      <c r="I22" s="32">
        <v>2.75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22000</v>
      </c>
      <c r="H23" s="32">
        <v>190.71</v>
      </c>
      <c r="I23" s="32">
        <v>2.69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8139</v>
      </c>
      <c r="H24" s="32">
        <v>179.78</v>
      </c>
      <c r="I24" s="32">
        <v>2.54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13798</v>
      </c>
      <c r="H25" s="32">
        <v>172.03</v>
      </c>
      <c r="I25" s="32">
        <v>2.4300000000000002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66</v>
      </c>
      <c r="G26" s="31">
        <v>5500</v>
      </c>
      <c r="H26" s="32">
        <v>145.88999999999999</v>
      </c>
      <c r="I26" s="32">
        <v>2.06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156131</v>
      </c>
      <c r="H27" s="32">
        <v>142.41999999999999</v>
      </c>
      <c r="I27" s="32">
        <v>2.0099999999999998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158948</v>
      </c>
      <c r="H28" s="32">
        <v>129.62</v>
      </c>
      <c r="I28" s="32">
        <v>1.83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15000</v>
      </c>
      <c r="H29" s="32">
        <v>128.93</v>
      </c>
      <c r="I29" s="32">
        <v>1.82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89</v>
      </c>
      <c r="G30" s="31">
        <v>32413</v>
      </c>
      <c r="H30" s="32">
        <v>125.55</v>
      </c>
      <c r="I30" s="32">
        <v>1.77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74</v>
      </c>
      <c r="G31" s="31">
        <v>2087</v>
      </c>
      <c r="H31" s="32">
        <v>121</v>
      </c>
      <c r="I31" s="32">
        <v>1.71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30000</v>
      </c>
      <c r="H32" s="32">
        <v>115.52</v>
      </c>
      <c r="I32" s="32">
        <v>1.63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39865</v>
      </c>
      <c r="H33" s="32">
        <v>109.03</v>
      </c>
      <c r="I33" s="32">
        <v>1.54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74</v>
      </c>
      <c r="G34" s="31">
        <v>2780</v>
      </c>
      <c r="H34" s="32">
        <v>108.47</v>
      </c>
      <c r="I34" s="32">
        <v>1.53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51</v>
      </c>
      <c r="G35" s="31">
        <v>20000</v>
      </c>
      <c r="H35" s="32">
        <v>73.13</v>
      </c>
      <c r="I35" s="32">
        <v>1.03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6892</v>
      </c>
      <c r="H36" s="32">
        <v>46.52</v>
      </c>
      <c r="I36" s="32">
        <v>0.66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7660</v>
      </c>
      <c r="H37" s="32">
        <v>35.340000000000003</v>
      </c>
      <c r="I37" s="32">
        <v>0.5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3249</v>
      </c>
      <c r="H38" s="32">
        <v>28.38</v>
      </c>
      <c r="I38" s="32">
        <v>0.4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4330</v>
      </c>
      <c r="H39" s="32">
        <v>21</v>
      </c>
      <c r="I39" s="32">
        <v>0.3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129</v>
      </c>
      <c r="G40" s="31">
        <v>123</v>
      </c>
      <c r="H40" s="32">
        <v>1.27</v>
      </c>
      <c r="I40" s="32">
        <v>0.02</v>
      </c>
      <c r="J40" s="33"/>
    </row>
    <row r="41" spans="2:10" x14ac:dyDescent="0.25">
      <c r="C41" s="28" t="s">
        <v>130</v>
      </c>
      <c r="D41" s="29"/>
      <c r="E41" s="30"/>
      <c r="F41" s="30"/>
      <c r="G41" s="31"/>
      <c r="H41" s="35">
        <v>6767.72</v>
      </c>
      <c r="I41" s="35">
        <v>95.5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131</v>
      </c>
      <c r="D43" s="29"/>
      <c r="E43" s="30"/>
      <c r="F43" s="30"/>
      <c r="G43" s="31"/>
      <c r="H43" s="32" t="s">
        <v>132</v>
      </c>
      <c r="I43" s="32" t="s">
        <v>132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133</v>
      </c>
      <c r="D45" s="29"/>
      <c r="E45" s="30"/>
      <c r="F45" s="30"/>
      <c r="G45" s="31"/>
      <c r="H45" s="32" t="s">
        <v>132</v>
      </c>
      <c r="I45" s="32" t="s">
        <v>132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134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135</v>
      </c>
      <c r="D49" s="29"/>
      <c r="E49" s="30"/>
      <c r="F49" s="30"/>
      <c r="G49" s="31"/>
      <c r="H49" s="32" t="s">
        <v>132</v>
      </c>
      <c r="I49" s="32" t="s">
        <v>132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136</v>
      </c>
      <c r="D51" s="29"/>
      <c r="E51" s="30"/>
      <c r="F51" s="30"/>
      <c r="G51" s="31"/>
      <c r="H51" s="32" t="s">
        <v>132</v>
      </c>
      <c r="I51" s="32" t="s">
        <v>132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137</v>
      </c>
      <c r="D53" s="29"/>
      <c r="E53" s="30"/>
      <c r="F53" s="30"/>
      <c r="G53" s="31"/>
      <c r="H53" s="32" t="s">
        <v>132</v>
      </c>
      <c r="I53" s="32" t="s">
        <v>132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138</v>
      </c>
      <c r="D55" s="29"/>
      <c r="E55" s="30"/>
      <c r="F55" s="30"/>
      <c r="G55" s="31"/>
      <c r="H55" s="32" t="s">
        <v>132</v>
      </c>
      <c r="I55" s="32" t="s">
        <v>132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139</v>
      </c>
      <c r="D57" s="29"/>
      <c r="E57" s="30"/>
      <c r="F57" s="30"/>
      <c r="G57" s="31"/>
      <c r="H57" s="32" t="s">
        <v>132</v>
      </c>
      <c r="I57" s="32" t="s">
        <v>132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140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141</v>
      </c>
      <c r="D61" s="29"/>
      <c r="E61" s="30"/>
      <c r="F61" s="30"/>
      <c r="G61" s="31"/>
      <c r="H61" s="32" t="s">
        <v>132</v>
      </c>
      <c r="I61" s="32" t="s">
        <v>132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142</v>
      </c>
      <c r="D63" s="29"/>
      <c r="E63" s="30"/>
      <c r="F63" s="30"/>
      <c r="G63" s="31"/>
      <c r="H63" s="32" t="s">
        <v>132</v>
      </c>
      <c r="I63" s="32" t="s">
        <v>132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143</v>
      </c>
      <c r="D65" s="29"/>
      <c r="E65" s="30"/>
      <c r="F65" s="30"/>
      <c r="G65" s="31"/>
      <c r="H65" s="32" t="s">
        <v>132</v>
      </c>
      <c r="I65" s="32" t="s">
        <v>132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144</v>
      </c>
      <c r="D67" s="29"/>
      <c r="E67" s="30"/>
      <c r="F67" s="30"/>
      <c r="G67" s="31"/>
      <c r="H67" s="32" t="s">
        <v>132</v>
      </c>
      <c r="I67" s="32" t="s">
        <v>132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A69" s="26"/>
      <c r="B69" s="27"/>
      <c r="C69" s="28" t="s">
        <v>145</v>
      </c>
      <c r="D69" s="29"/>
      <c r="E69" s="30"/>
      <c r="F69" s="30"/>
      <c r="G69" s="31"/>
      <c r="H69" s="32"/>
      <c r="I69" s="32"/>
      <c r="J69" s="33"/>
    </row>
    <row r="70" spans="1:10" x14ac:dyDescent="0.25">
      <c r="A70" s="27"/>
      <c r="B70" s="27"/>
      <c r="C70" s="28" t="s">
        <v>146</v>
      </c>
      <c r="D70" s="29"/>
      <c r="E70" s="30"/>
      <c r="F70" s="30"/>
      <c r="G70" s="31"/>
      <c r="H70" s="32" t="s">
        <v>132</v>
      </c>
      <c r="I70" s="32" t="s">
        <v>132</v>
      </c>
      <c r="J70" s="33"/>
    </row>
    <row r="71" spans="1:10" x14ac:dyDescent="0.25">
      <c r="A71" s="27"/>
      <c r="B71" s="27"/>
      <c r="C71" s="28"/>
      <c r="D71" s="29"/>
      <c r="E71" s="30"/>
      <c r="F71" s="30"/>
      <c r="G71" s="31"/>
      <c r="H71" s="32"/>
      <c r="I71" s="32"/>
      <c r="J71" s="33"/>
    </row>
    <row r="72" spans="1:10" x14ac:dyDescent="0.25">
      <c r="A72" s="27"/>
      <c r="B72" s="27"/>
      <c r="C72" s="28" t="s">
        <v>147</v>
      </c>
      <c r="D72" s="29"/>
      <c r="E72" s="30"/>
      <c r="F72" s="30"/>
      <c r="G72" s="31"/>
      <c r="H72" s="32" t="s">
        <v>132</v>
      </c>
      <c r="I72" s="32" t="s">
        <v>132</v>
      </c>
      <c r="J72" s="33"/>
    </row>
    <row r="73" spans="1:10" x14ac:dyDescent="0.25">
      <c r="A73" s="27"/>
      <c r="B73" s="27"/>
      <c r="C73" s="28"/>
      <c r="D73" s="29"/>
      <c r="E73" s="30"/>
      <c r="F73" s="30"/>
      <c r="G73" s="31"/>
      <c r="H73" s="32"/>
      <c r="I73" s="32"/>
      <c r="J73" s="33"/>
    </row>
    <row r="74" spans="1:10" x14ac:dyDescent="0.25">
      <c r="A74" s="27"/>
      <c r="B74" s="27"/>
      <c r="C74" s="28" t="s">
        <v>148</v>
      </c>
      <c r="D74" s="29"/>
      <c r="E74" s="30"/>
      <c r="F74" s="30"/>
      <c r="G74" s="31"/>
      <c r="H74" s="32" t="s">
        <v>132</v>
      </c>
      <c r="I74" s="32" t="s">
        <v>132</v>
      </c>
      <c r="J74" s="33"/>
    </row>
    <row r="75" spans="1:10" x14ac:dyDescent="0.25">
      <c r="A75" s="27"/>
      <c r="B75" s="27"/>
      <c r="C75" s="28"/>
      <c r="D75" s="29"/>
      <c r="E75" s="30"/>
      <c r="F75" s="30"/>
      <c r="G75" s="31"/>
      <c r="H75" s="32"/>
      <c r="I75" s="32"/>
      <c r="J75" s="33"/>
    </row>
    <row r="76" spans="1:10" x14ac:dyDescent="0.25">
      <c r="A76" s="27"/>
      <c r="B76" s="27"/>
      <c r="C76" s="28" t="s">
        <v>149</v>
      </c>
      <c r="D76" s="29"/>
      <c r="E76" s="30"/>
      <c r="F76" s="30"/>
      <c r="G76" s="31"/>
      <c r="H76" s="32" t="s">
        <v>132</v>
      </c>
      <c r="I76" s="32" t="s">
        <v>132</v>
      </c>
      <c r="J76" s="33"/>
    </row>
    <row r="77" spans="1:10" x14ac:dyDescent="0.25">
      <c r="A77" s="27"/>
      <c r="B77" s="27"/>
      <c r="C77" s="28"/>
      <c r="D77" s="29"/>
      <c r="E77" s="30"/>
      <c r="F77" s="30"/>
      <c r="G77" s="31"/>
      <c r="H77" s="32"/>
      <c r="I77" s="32"/>
      <c r="J77" s="33"/>
    </row>
    <row r="78" spans="1:10" x14ac:dyDescent="0.25">
      <c r="C78" s="34" t="s">
        <v>150</v>
      </c>
      <c r="D78" s="29"/>
      <c r="E78" s="30"/>
      <c r="F78" s="30"/>
      <c r="G78" s="31"/>
      <c r="H78" s="32"/>
      <c r="I78" s="32"/>
      <c r="J78" s="33"/>
    </row>
    <row r="79" spans="1:10" x14ac:dyDescent="0.25">
      <c r="B79" s="1" t="s">
        <v>151</v>
      </c>
      <c r="C79" s="20" t="s">
        <v>152</v>
      </c>
      <c r="D79" s="29"/>
      <c r="E79" s="30"/>
      <c r="F79" s="30"/>
      <c r="G79" s="31"/>
      <c r="H79" s="32">
        <v>200</v>
      </c>
      <c r="I79" s="32">
        <v>2.82</v>
      </c>
      <c r="J79" s="33"/>
    </row>
    <row r="80" spans="1:10" x14ac:dyDescent="0.25">
      <c r="C80" s="28" t="s">
        <v>130</v>
      </c>
      <c r="D80" s="29"/>
      <c r="E80" s="30"/>
      <c r="F80" s="30"/>
      <c r="G80" s="31"/>
      <c r="H80" s="35">
        <v>200</v>
      </c>
      <c r="I80" s="35">
        <v>2.82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A82" s="26"/>
      <c r="B82" s="27"/>
      <c r="C82" s="28" t="s">
        <v>153</v>
      </c>
      <c r="D82" s="29"/>
      <c r="E82" s="30"/>
      <c r="F82" s="30"/>
      <c r="G82" s="31"/>
      <c r="H82" s="32"/>
      <c r="I82" s="32"/>
      <c r="J82" s="33"/>
    </row>
    <row r="83" spans="1:10" x14ac:dyDescent="0.25">
      <c r="B83" s="1"/>
      <c r="C83" s="20" t="s">
        <v>154</v>
      </c>
      <c r="D83" s="29"/>
      <c r="E83" s="30"/>
      <c r="F83" s="30"/>
      <c r="G83" s="31"/>
      <c r="H83" s="32">
        <v>120.15</v>
      </c>
      <c r="I83" s="32">
        <v>1.68</v>
      </c>
      <c r="J83" s="33"/>
    </row>
    <row r="84" spans="1:10" x14ac:dyDescent="0.25">
      <c r="C84" s="28" t="s">
        <v>130</v>
      </c>
      <c r="D84" s="29"/>
      <c r="E84" s="30"/>
      <c r="F84" s="30"/>
      <c r="G84" s="31"/>
      <c r="H84" s="35">
        <v>120.15</v>
      </c>
      <c r="I84" s="35">
        <v>1.68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ht="15.75" thickBot="1" x14ac:dyDescent="0.3">
      <c r="C86" s="36" t="s">
        <v>155</v>
      </c>
      <c r="D86" s="37"/>
      <c r="E86" s="38"/>
      <c r="F86" s="39"/>
      <c r="G86" s="40"/>
      <c r="H86" s="41">
        <v>7087.87</v>
      </c>
      <c r="I86" s="41">
        <f>SUMIFS(I:I,C:C,"Total")</f>
        <v>100</v>
      </c>
      <c r="J86" s="42"/>
    </row>
    <row r="89" spans="1:10" x14ac:dyDescent="0.25">
      <c r="C89" s="11" t="s">
        <v>156</v>
      </c>
    </row>
    <row r="90" spans="1:10" x14ac:dyDescent="0.25">
      <c r="C90" s="2" t="s">
        <v>157</v>
      </c>
    </row>
    <row r="91" spans="1:10" x14ac:dyDescent="0.25">
      <c r="C91" s="2" t="s">
        <v>158</v>
      </c>
    </row>
    <row r="92" spans="1:10" x14ac:dyDescent="0.25">
      <c r="C92" s="2" t="s">
        <v>159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5947-057D-401C-A278-92EAD2CC0903}">
  <dimension ref="B3:J17"/>
  <sheetViews>
    <sheetView workbookViewId="0"/>
  </sheetViews>
  <sheetFormatPr defaultRowHeight="15" x14ac:dyDescent="0.25"/>
  <cols>
    <col min="2" max="2" width="49.85546875" customWidth="1"/>
    <col min="4" max="4" width="11" customWidth="1"/>
    <col min="6" max="6" width="11.28515625" customWidth="1"/>
    <col min="8" max="8" width="10.7109375" customWidth="1"/>
    <col min="10" max="10" width="12.42578125" customWidth="1"/>
  </cols>
  <sheetData>
    <row r="3" spans="2:10" ht="15.75" x14ac:dyDescent="0.25">
      <c r="B3" s="43" t="s">
        <v>160</v>
      </c>
    </row>
    <row r="4" spans="2:10" x14ac:dyDescent="0.25">
      <c r="B4" s="44" t="s">
        <v>161</v>
      </c>
      <c r="C4" s="49" t="s">
        <v>162</v>
      </c>
      <c r="D4" s="49"/>
      <c r="E4" s="49" t="s">
        <v>163</v>
      </c>
      <c r="F4" s="49"/>
      <c r="G4" s="49" t="s">
        <v>164</v>
      </c>
      <c r="H4" s="49"/>
      <c r="I4" s="49" t="s">
        <v>165</v>
      </c>
      <c r="J4" s="49"/>
    </row>
    <row r="5" spans="2:10" ht="63.75" x14ac:dyDescent="0.25">
      <c r="B5" s="45"/>
      <c r="C5" s="46" t="s">
        <v>166</v>
      </c>
      <c r="D5" s="46" t="s">
        <v>167</v>
      </c>
      <c r="E5" s="46" t="s">
        <v>166</v>
      </c>
      <c r="F5" s="46" t="s">
        <v>167</v>
      </c>
      <c r="G5" s="46" t="s">
        <v>166</v>
      </c>
      <c r="H5" s="46" t="s">
        <v>167</v>
      </c>
      <c r="I5" s="46" t="s">
        <v>166</v>
      </c>
      <c r="J5" s="46" t="s">
        <v>167</v>
      </c>
    </row>
    <row r="6" spans="2:10" x14ac:dyDescent="0.25">
      <c r="B6" s="47" t="s">
        <v>168</v>
      </c>
      <c r="C6" s="48">
        <v>28.713959584002691</v>
      </c>
      <c r="D6" s="48">
        <v>12871.395958400271</v>
      </c>
      <c r="E6" s="48">
        <v>18.160179420700185</v>
      </c>
      <c r="F6" s="48">
        <v>16482.243395409267</v>
      </c>
      <c r="G6" s="48">
        <v>15.074366415834707</v>
      </c>
      <c r="H6" s="48">
        <v>20170.928845899034</v>
      </c>
      <c r="I6" s="48">
        <v>11.974942869342753</v>
      </c>
      <c r="J6" s="48">
        <v>152230</v>
      </c>
    </row>
    <row r="7" spans="2:10" x14ac:dyDescent="0.25">
      <c r="B7" s="47" t="s">
        <v>169</v>
      </c>
      <c r="C7" s="48">
        <v>26.546394619062919</v>
      </c>
      <c r="D7" s="48">
        <v>12654.639461906292</v>
      </c>
      <c r="E7" s="48">
        <v>20.436099973189137</v>
      </c>
      <c r="F7" s="48">
        <v>17469.080677278351</v>
      </c>
      <c r="G7" s="48">
        <v>17.639529010049813</v>
      </c>
      <c r="H7" s="48">
        <v>22530.269431670738</v>
      </c>
      <c r="I7" s="48">
        <v>0</v>
      </c>
      <c r="J7" s="48">
        <v>0</v>
      </c>
    </row>
    <row r="8" spans="2:10" x14ac:dyDescent="0.25">
      <c r="B8" s="47" t="s">
        <v>170</v>
      </c>
      <c r="C8" s="48">
        <v>21.300164056039627</v>
      </c>
      <c r="D8" s="48">
        <v>12130.016405603963</v>
      </c>
      <c r="E8" s="48">
        <v>17.240979467859585</v>
      </c>
      <c r="F8" s="48">
        <v>16115.297007580128</v>
      </c>
      <c r="G8" s="48">
        <v>16.247838958951345</v>
      </c>
      <c r="H8" s="48">
        <v>21228.750880739215</v>
      </c>
      <c r="I8" s="48">
        <v>13.116572489939315</v>
      </c>
      <c r="J8" s="48">
        <v>306283.06260756735</v>
      </c>
    </row>
    <row r="9" spans="2:10" x14ac:dyDescent="0.25">
      <c r="B9" s="47" t="s">
        <v>171</v>
      </c>
      <c r="C9" s="50">
        <v>118.27</v>
      </c>
      <c r="D9" s="51"/>
      <c r="E9" s="50">
        <v>92.36</v>
      </c>
      <c r="F9" s="51"/>
      <c r="G9" s="50">
        <v>75.47</v>
      </c>
      <c r="H9" s="51"/>
      <c r="I9" s="50">
        <v>10</v>
      </c>
      <c r="J9" s="51"/>
    </row>
    <row r="11" spans="2:10" ht="15.75" x14ac:dyDescent="0.25">
      <c r="B11" s="43" t="s">
        <v>172</v>
      </c>
    </row>
    <row r="12" spans="2:10" x14ac:dyDescent="0.25">
      <c r="B12" s="44" t="s">
        <v>161</v>
      </c>
      <c r="C12" s="49" t="s">
        <v>162</v>
      </c>
      <c r="D12" s="49"/>
      <c r="E12" s="49" t="s">
        <v>163</v>
      </c>
      <c r="F12" s="49"/>
      <c r="G12" s="49" t="s">
        <v>164</v>
      </c>
      <c r="H12" s="49"/>
      <c r="I12" s="49" t="s">
        <v>165</v>
      </c>
      <c r="J12" s="49"/>
    </row>
    <row r="13" spans="2:10" ht="63.75" x14ac:dyDescent="0.25">
      <c r="B13" s="45"/>
      <c r="C13" s="46" t="s">
        <v>166</v>
      </c>
      <c r="D13" s="46" t="s">
        <v>167</v>
      </c>
      <c r="E13" s="46" t="s">
        <v>166</v>
      </c>
      <c r="F13" s="46" t="s">
        <v>167</v>
      </c>
      <c r="G13" s="46" t="s">
        <v>166</v>
      </c>
      <c r="H13" s="46" t="s">
        <v>167</v>
      </c>
      <c r="I13" s="46" t="s">
        <v>166</v>
      </c>
      <c r="J13" s="46" t="s">
        <v>167</v>
      </c>
    </row>
    <row r="14" spans="2:10" x14ac:dyDescent="0.25">
      <c r="B14" s="47" t="s">
        <v>168</v>
      </c>
      <c r="C14" s="48">
        <v>29.564806054872285</v>
      </c>
      <c r="D14" s="48">
        <v>12956.480605487228</v>
      </c>
      <c r="E14" s="48">
        <v>18.953201359115756</v>
      </c>
      <c r="F14" s="48">
        <v>16815.716770694769</v>
      </c>
      <c r="G14" s="48">
        <v>15.8835809499706</v>
      </c>
      <c r="H14" s="48">
        <v>20889.792805389603</v>
      </c>
      <c r="I14" s="48">
        <v>14.056036738631605</v>
      </c>
      <c r="J14" s="48">
        <v>42476.092013440168</v>
      </c>
    </row>
    <row r="15" spans="2:10" x14ac:dyDescent="0.25">
      <c r="B15" s="47" t="s">
        <v>169</v>
      </c>
      <c r="C15" s="48">
        <v>26.546394619062919</v>
      </c>
      <c r="D15" s="48">
        <v>12654.639461906292</v>
      </c>
      <c r="E15" s="48">
        <v>20.436099973189137</v>
      </c>
      <c r="F15" s="48">
        <v>17469.080677278351</v>
      </c>
      <c r="G15" s="48">
        <v>17.639529010049813</v>
      </c>
      <c r="H15" s="48">
        <v>22530.269431670738</v>
      </c>
      <c r="I15" s="48">
        <v>14.982066727770405</v>
      </c>
      <c r="J15" s="48">
        <v>46426.410389036857</v>
      </c>
    </row>
    <row r="16" spans="2:10" x14ac:dyDescent="0.25">
      <c r="B16" s="47" t="s">
        <v>170</v>
      </c>
      <c r="C16" s="48">
        <v>21.300164056039627</v>
      </c>
      <c r="D16" s="48">
        <v>12130.016405603963</v>
      </c>
      <c r="E16" s="48">
        <v>17.240979467859585</v>
      </c>
      <c r="F16" s="48">
        <v>16115.297007580128</v>
      </c>
      <c r="G16" s="48">
        <v>16.247838958951345</v>
      </c>
      <c r="H16" s="48">
        <v>21228.750880739215</v>
      </c>
      <c r="I16" s="48">
        <v>13.87468272314778</v>
      </c>
      <c r="J16" s="48">
        <v>41739.225337937663</v>
      </c>
    </row>
    <row r="17" spans="2:10" x14ac:dyDescent="0.25">
      <c r="B17" s="47" t="s">
        <v>173</v>
      </c>
      <c r="C17" s="50">
        <v>126.84</v>
      </c>
      <c r="D17" s="51"/>
      <c r="E17" s="50">
        <v>97.73</v>
      </c>
      <c r="F17" s="51"/>
      <c r="G17" s="50">
        <v>78.67</v>
      </c>
      <c r="H17" s="51"/>
      <c r="I17" s="50">
        <v>38.69</v>
      </c>
      <c r="J17" s="51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 sbisgfa.edelweissmf</dc:creator>
  <cp:lastModifiedBy>Madhura Shinde</cp:lastModifiedBy>
  <dcterms:created xsi:type="dcterms:W3CDTF">2024-01-02T11:06:17Z</dcterms:created>
  <dcterms:modified xsi:type="dcterms:W3CDTF">2024-01-04T10:41:10Z</dcterms:modified>
</cp:coreProperties>
</file>