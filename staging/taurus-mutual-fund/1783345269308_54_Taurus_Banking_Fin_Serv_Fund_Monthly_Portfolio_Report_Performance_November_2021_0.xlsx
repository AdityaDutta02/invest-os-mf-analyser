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Portfolio'!$C$8:$C$27</definedName>
    <definedName name="XDO_?FINAL_ISIN?1?">'TBFS - Risk-O-Meter &amp; Portfolio'!$D$10:$D$27</definedName>
    <definedName name="XDO_?FINAL_ISIN?2?">'TBFS - Risk-O-Meter &amp; Portfolio'!$D$10:$D$69</definedName>
    <definedName name="XDO_?FINAL_MV?1?">'TBFS - Risk-O-Meter &amp; Portfolio'!$H$10:$H$27</definedName>
    <definedName name="XDO_?FINAL_MV?2?">'TBFS - Risk-O-Meter &amp; Portfolio'!$H$10:$H$69</definedName>
    <definedName name="XDO_?FINAL_NAME?1?">'TBFS - Risk-O-Meter &amp; Portfolio'!$C$10:$C$27</definedName>
    <definedName name="XDO_?FINAL_NAME?2?">'TBFS - Risk-O-Meter &amp; Portfolio'!$C$10:$C$69</definedName>
    <definedName name="XDO_?FINAL_PER_NET?1?">'TBFS - Risk-O-Meter &amp; Portfolio'!$I$10:$I$27</definedName>
    <definedName name="XDO_?FINAL_PER_NET?2?">'TBFS - Risk-O-Meter &amp; Portfolio'!$I$10:$I$69</definedName>
    <definedName name="XDO_?FINAL_QUANTITE?1?">'TBFS - Risk-O-Meter &amp; Portfolio'!$G$10:$G$27</definedName>
    <definedName name="XDO_?FINAL_QUANTITE?2?">'TBFS - Risk-O-Meter &amp; Portfolio'!$G$10:$G$69</definedName>
    <definedName name="XDO_?IND_01?1?">'TBFS - Risk-O-Meter &amp; Portfolio'!$F$10:$F$27</definedName>
    <definedName name="XDO_?IND_01?2?">'TBFS - Risk-O-Meter &amp; Portfolio'!$F$10:$F$69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Portfolio'!$C$2:$C$27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Portfolio'!$B$10:$B$27</definedName>
    <definedName name="XDO_?NOVAL?2?">'TBFS - Risk-O-Meter &amp; Portfolio'!$B$10:$B$69</definedName>
    <definedName name="XDO_?NPTF?1?">'TBFS - Risk-O-Meter &amp; Portfolio'!$D$2:$D$27</definedName>
    <definedName name="XDO_?RATING?1?">'TBFS - Risk-O-Meter &amp; Portfolio'!$E$10:$E$27</definedName>
    <definedName name="XDO_?RATING?2?">'TBFS - Risk-O-Meter &amp; Portfolio'!$E$10:$E$69</definedName>
    <definedName name="XDO_?REMARKS?1?">'TBFS - Risk-O-Meter &amp; Portfolio'!$J$10:$J$27</definedName>
    <definedName name="XDO_?REMARKS?2?">'TBFS - Risk-O-Meter &amp; Portfolio'!$J$10:$J$69</definedName>
    <definedName name="XDO_?TITL?1?">'TBFS - Risk-O-Meter &amp; Portfolio'!$A$8:$A$27</definedName>
    <definedName name="XDO_GROUP_?G_2?1?">'TBFS - Risk-O-Meter &amp; Portfolio'!$2:$72</definedName>
    <definedName name="XDO_GROUP_?G_3?1?">'TBFS - Risk-O-Meter &amp; Portfolio'!$8:$71</definedName>
    <definedName name="XDO_GROUP_?G_4?1?">'TBFS - Risk-O-Meter &amp; Portfolio'!$B$10:$IV$27</definedName>
    <definedName name="XDO_GROUP_?G_4?2?">'TBFS - Risk-O-Meter &amp; Portfolio'!$B$69:$IV$69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2" i="1"/>
</calcChain>
</file>

<file path=xl/sharedStrings.xml><?xml version="1.0" encoding="utf-8"?>
<sst xmlns="http://schemas.openxmlformats.org/spreadsheetml/2006/main" count="183" uniqueCount="115">
  <si>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</si>
  <si>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</si>
  <si>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</si>
  <si>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</si>
  <si>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</si>
  <si>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</si>
  <si>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</si>
  <si>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</si>
  <si>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</si>
  <si>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</si>
  <si>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</si>
  <si>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</si>
  <si>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</si>
  <si>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</si>
  <si>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</si>
  <si>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</si>
  <si>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</si>
  <si>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</si>
  <si>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</si>
  <si>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</si>
  <si>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</si>
  <si>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</si>
  <si>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</si>
  <si>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</si>
  <si>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</si>
  <si>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</si>
  <si>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</si>
  <si>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</si>
  <si>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100001</t>
  </si>
  <si>
    <t>Housing Development Finance Corporation Ltd.</t>
  </si>
  <si>
    <t>INE001A01036</t>
  </si>
  <si>
    <t>Finance</t>
  </si>
  <si>
    <t>100125</t>
  </si>
  <si>
    <t>Bajaj Finance Ltd.</t>
  </si>
  <si>
    <t>INE296A01024</t>
  </si>
  <si>
    <t>100024</t>
  </si>
  <si>
    <t>Axis Bank Ltd.</t>
  </si>
  <si>
    <t>INE238A01034</t>
  </si>
  <si>
    <t>100148</t>
  </si>
  <si>
    <t>Motilal Oswal Financial Services Ltd.</t>
  </si>
  <si>
    <t>INE338I01027</t>
  </si>
  <si>
    <t>Capital Markets</t>
  </si>
  <si>
    <t>100399</t>
  </si>
  <si>
    <t>Cholamandalam Investment &amp; Finance Co. Ltd.</t>
  </si>
  <si>
    <t>INE121A01024</t>
  </si>
  <si>
    <t>100235</t>
  </si>
  <si>
    <t>CRISIL Ltd.</t>
  </si>
  <si>
    <t>INE007A01025</t>
  </si>
  <si>
    <t>100036</t>
  </si>
  <si>
    <t>Mahindra &amp; Mahindra Financial Services Ltd.</t>
  </si>
  <si>
    <t>INE774D01024</t>
  </si>
  <si>
    <t>100116</t>
  </si>
  <si>
    <t>Sundaram Finance Ltd.</t>
  </si>
  <si>
    <t>INE660A01013</t>
  </si>
  <si>
    <t>100380</t>
  </si>
  <si>
    <t>Bajaj Finserv Ltd.</t>
  </si>
  <si>
    <t>INE918I01018</t>
  </si>
  <si>
    <t>Insurance</t>
  </si>
  <si>
    <t>100013</t>
  </si>
  <si>
    <t>IndusInd Bank Ltd.</t>
  </si>
  <si>
    <t>INE095A01012</t>
  </si>
  <si>
    <t>100092</t>
  </si>
  <si>
    <t>Bank of Baroda</t>
  </si>
  <si>
    <t>INE028A01039</t>
  </si>
  <si>
    <t>100453</t>
  </si>
  <si>
    <t>RBL Bank Ltd.</t>
  </si>
  <si>
    <t>INE976G01028</t>
  </si>
  <si>
    <t>100665</t>
  </si>
  <si>
    <t>Aditya Birla Capital Ltd.</t>
  </si>
  <si>
    <t>INE674K01013</t>
  </si>
  <si>
    <t>100706</t>
  </si>
  <si>
    <t>HDFC Life Insurance Company Ltd.</t>
  </si>
  <si>
    <t>INE795G01014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</si>
  <si>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</si>
  <si>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</si>
  <si>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</si>
  <si>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</si>
  <si>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</si>
  <si>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</si>
  <si>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</si>
  <si>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</si>
  <si>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</si>
  <si>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</si>
  <si>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</si>
  <si>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</si>
  <si>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</si>
  <si>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</si>
  <si>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</si>
  <si>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</si>
  <si>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</si>
  <si>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</si>
  <si>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</si>
  <si>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</si>
  <si>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</si>
  <si>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</si>
  <si>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</si>
  <si>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</si>
  <si>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</si>
  <si>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</si>
  <si>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</si>
  <si>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</si>
  <si>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</si>
  <si>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</si>
  <si>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</si>
  <si>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</si>
  <si>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</si>
  <si>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</si>
  <si>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</si>
  <si>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</si>
  <si>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</si>
  <si>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</si>
  <si>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</si>
  <si>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November 30, 2021 : 33.97)</t>
  </si>
  <si>
    <t>Taurus Banking &amp; Financial Services Fund - Direct Plan Growth Option</t>
  </si>
  <si>
    <t>NAV [Rs.] Per Unit (as on November 30, 2021 : 36.92)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</si>
</sst>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78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2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29657</v>
      </c>
      <c r="H10" s="32">
        <v>211.84</v>
      </c>
      <c r="I10" s="32">
        <v>23.4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12464</v>
      </c>
      <c r="H11" s="32">
        <v>186.16</v>
      </c>
      <c r="I11" s="32">
        <v>20.56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7317</v>
      </c>
      <c r="H12" s="32">
        <v>143.57</v>
      </c>
      <c r="I12" s="32">
        <v>15.86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18141</v>
      </c>
      <c r="H13" s="32">
        <v>83.56</v>
      </c>
      <c r="I13" s="32">
        <v>9.23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31</v>
      </c>
      <c r="G14" s="31">
        <v>1684</v>
      </c>
      <c r="H14" s="32">
        <v>45.07</v>
      </c>
      <c r="I14" s="32">
        <v>4.9800000000000004</v>
      </c>
      <c r="J14" s="33"/>
    </row>
    <row r="15" spans="1:54">
      <c r="B15" s="1" t="s">
        <v>32</v>
      </c>
      <c r="C15" s="20" t="s">
        <v>33</v>
      </c>
      <c r="D15" s="29" t="s">
        <v>34</v>
      </c>
      <c r="E15" s="30"/>
      <c r="F15" s="30" t="s">
        <v>31</v>
      </c>
      <c r="G15" s="31">
        <v>508</v>
      </c>
      <c r="H15" s="32">
        <v>35.520000000000003</v>
      </c>
      <c r="I15" s="32">
        <v>3.92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18</v>
      </c>
      <c r="G16" s="31">
        <v>5201</v>
      </c>
      <c r="H16" s="32">
        <v>34.17</v>
      </c>
      <c r="I16" s="32">
        <v>3.77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41</v>
      </c>
      <c r="G17" s="31">
        <v>3285</v>
      </c>
      <c r="H17" s="32">
        <v>30.89</v>
      </c>
      <c r="I17" s="32">
        <v>3.41</v>
      </c>
      <c r="J17" s="33"/>
    </row>
    <row r="18" spans="2:10">
      <c r="B18" s="1" t="s">
        <v>42</v>
      </c>
      <c r="C18" s="20" t="s">
        <v>43</v>
      </c>
      <c r="D18" s="29" t="s">
        <v>44</v>
      </c>
      <c r="E18" s="30"/>
      <c r="F18" s="30" t="s">
        <v>31</v>
      </c>
      <c r="G18" s="31">
        <v>4920</v>
      </c>
      <c r="H18" s="32">
        <v>27.09</v>
      </c>
      <c r="I18" s="32">
        <v>2.99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31</v>
      </c>
      <c r="G19" s="31">
        <v>738</v>
      </c>
      <c r="H19" s="32">
        <v>23.01</v>
      </c>
      <c r="I19" s="32">
        <v>2.54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31</v>
      </c>
      <c r="G20" s="31">
        <v>10027</v>
      </c>
      <c r="H20" s="32">
        <v>15.56</v>
      </c>
      <c r="I20" s="32">
        <v>1.72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31</v>
      </c>
      <c r="G21" s="31">
        <v>518</v>
      </c>
      <c r="H21" s="32">
        <v>11.71</v>
      </c>
      <c r="I21" s="32">
        <v>1.29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57</v>
      </c>
      <c r="G22" s="31">
        <v>60</v>
      </c>
      <c r="H22" s="32">
        <v>10.34</v>
      </c>
      <c r="I22" s="32">
        <v>1.1399999999999999</v>
      </c>
      <c r="J22" s="33"/>
    </row>
    <row r="23" spans="2:10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1057</v>
      </c>
      <c r="H23" s="32">
        <v>9.34</v>
      </c>
      <c r="I23" s="32">
        <v>1.03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18</v>
      </c>
      <c r="G24" s="31">
        <v>9567</v>
      </c>
      <c r="H24" s="32">
        <v>8.1999999999999993</v>
      </c>
      <c r="I24" s="32">
        <v>0.91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2726</v>
      </c>
      <c r="H25" s="32">
        <v>4.9800000000000004</v>
      </c>
      <c r="I25" s="32">
        <v>0.55000000000000004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31</v>
      </c>
      <c r="G26" s="31">
        <v>3870</v>
      </c>
      <c r="H26" s="32">
        <v>4.22</v>
      </c>
      <c r="I26" s="32">
        <v>0.47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57</v>
      </c>
      <c r="G27" s="31">
        <v>511</v>
      </c>
      <c r="H27" s="32">
        <v>3.46</v>
      </c>
      <c r="I27" s="32">
        <v>0.38</v>
      </c>
      <c r="J27" s="33"/>
    </row>
    <row r="28" spans="2:10">
      <c r="C28" s="28" t="s">
        <v>73</v>
      </c>
      <c r="D28" s="29"/>
      <c r="E28" s="30"/>
      <c r="F28" s="30"/>
      <c r="G28" s="31"/>
      <c r="H28" s="35">
        <v>888.69</v>
      </c>
      <c r="I28" s="35">
        <v>98.15</v>
      </c>
      <c r="J28" s="33"/>
    </row>
    <row r="29" spans="2:10">
      <c r="C29" s="20"/>
      <c r="D29" s="29"/>
      <c r="E29" s="30"/>
      <c r="F29" s="30"/>
      <c r="G29" s="31"/>
      <c r="H29" s="32"/>
      <c r="I29" s="32"/>
      <c r="J29" s="33"/>
    </row>
    <row r="30" spans="2:10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A68" s="26"/>
      <c r="B68" s="27"/>
      <c r="C68" s="28" t="s">
        <v>94</v>
      </c>
      <c r="D68" s="29"/>
      <c r="E68" s="30"/>
      <c r="F68" s="30"/>
      <c r="G68" s="31"/>
      <c r="H68" s="32"/>
      <c r="I68" s="32"/>
      <c r="J68" s="33"/>
    </row>
    <row r="69" spans="1:10">
      <c r="B69" s="1"/>
      <c r="C69" s="20" t="s">
        <v>95</v>
      </c>
      <c r="D69" s="29"/>
      <c r="E69" s="30"/>
      <c r="F69" s="30"/>
      <c r="G69" s="31"/>
      <c r="H69" s="32">
        <v>16.8</v>
      </c>
      <c r="I69" s="32">
        <v>1.85</v>
      </c>
      <c r="J69" s="33"/>
    </row>
    <row r="70" spans="1:10">
      <c r="C70" s="28" t="s">
        <v>73</v>
      </c>
      <c r="D70" s="29"/>
      <c r="E70" s="30"/>
      <c r="F70" s="30"/>
      <c r="G70" s="31"/>
      <c r="H70" s="35">
        <v>16.8</v>
      </c>
      <c r="I70" s="35">
        <v>1.85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 ht="13.8" thickBot="1">
      <c r="C72" s="36" t="s">
        <v>96</v>
      </c>
      <c r="D72" s="37"/>
      <c r="E72" s="38"/>
      <c r="F72" s="39"/>
      <c r="G72" s="40"/>
      <c r="H72" s="41">
        <v>905.49</v>
      </c>
      <c r="I72" s="41">
        <f>SUMIFS(I:I,C:C,"Total")</f>
        <v>100</v>
      </c>
      <c r="J72" s="42"/>
    </row>
    <row r="75" spans="1:10">
      <c r="C75" s="11" t="s">
        <v>97</v>
      </c>
    </row>
    <row r="76" spans="1:10">
      <c r="C76" s="2" t="s">
        <v>98</v>
      </c>
    </row>
    <row r="77" spans="1:10">
      <c r="C77" s="2" t="s">
        <v>99</v>
      </c>
    </row>
    <row r="78" spans="1:10">
      <c r="C78" s="2" t="s">
        <v>100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3" sqref="A3"/>
    </sheetView>
  </sheetViews>
  <sheetFormatPr defaultRowHeight="14.4"/>
  <cols>
    <col min="1" max="1" width="49.3320312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101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102</v>
      </c>
      <c r="B5" s="46" t="s">
        <v>103</v>
      </c>
      <c r="C5" s="46"/>
      <c r="D5" s="46" t="s">
        <v>104</v>
      </c>
      <c r="E5" s="46"/>
      <c r="F5" s="46" t="s">
        <v>105</v>
      </c>
      <c r="G5" s="46"/>
      <c r="H5" s="46" t="s">
        <v>106</v>
      </c>
      <c r="I5" s="46"/>
    </row>
    <row r="6" spans="1:9" ht="66">
      <c r="A6" s="47"/>
      <c r="B6" s="48" t="s">
        <v>107</v>
      </c>
      <c r="C6" s="48" t="s">
        <v>108</v>
      </c>
      <c r="D6" s="48" t="s">
        <v>107</v>
      </c>
      <c r="E6" s="48" t="s">
        <v>108</v>
      </c>
      <c r="F6" s="48" t="s">
        <v>107</v>
      </c>
      <c r="G6" s="48" t="s">
        <v>108</v>
      </c>
      <c r="H6" s="48" t="s">
        <v>107</v>
      </c>
      <c r="I6" s="48" t="s">
        <v>108</v>
      </c>
    </row>
    <row r="7" spans="1:9">
      <c r="A7" s="49" t="s">
        <v>109</v>
      </c>
      <c r="B7" s="50">
        <v>19.605259314760893</v>
      </c>
      <c r="C7" s="50">
        <v>11978.138222849084</v>
      </c>
      <c r="D7" s="50">
        <v>13.491999929419563</v>
      </c>
      <c r="E7" s="50">
        <v>14623.33189840723</v>
      </c>
      <c r="F7" s="50">
        <v>14.827350754761026</v>
      </c>
      <c r="G7" s="50">
        <v>19970.605526161078</v>
      </c>
      <c r="H7" s="50">
        <v>13.685214869589135</v>
      </c>
      <c r="I7" s="50">
        <v>33970</v>
      </c>
    </row>
    <row r="8" spans="1:9">
      <c r="A8" s="49" t="s">
        <v>110</v>
      </c>
      <c r="B8" s="50">
        <v>20.565292347026443</v>
      </c>
      <c r="C8" s="50">
        <v>12056.529234702644</v>
      </c>
      <c r="D8" s="50">
        <v>11.076636142590225</v>
      </c>
      <c r="E8" s="50">
        <v>13704.656579304052</v>
      </c>
      <c r="F8" s="50">
        <v>14.228375023437657</v>
      </c>
      <c r="G8" s="50">
        <v>19447.778233073939</v>
      </c>
      <c r="H8" s="50">
        <v>16.03909437434643</v>
      </c>
      <c r="I8" s="50">
        <v>41283.510555008477</v>
      </c>
    </row>
    <row r="9" spans="1:9">
      <c r="A9" s="49" t="s">
        <v>111</v>
      </c>
      <c r="B9" s="50">
        <v>32.187846590613979</v>
      </c>
      <c r="C9" s="50">
        <v>13218.784659061397</v>
      </c>
      <c r="D9" s="50">
        <v>17.38445951988956</v>
      </c>
      <c r="E9" s="50">
        <v>16174.53536931903</v>
      </c>
      <c r="F9" s="50">
        <v>17.036637939725139</v>
      </c>
      <c r="G9" s="50">
        <v>21958.829546129182</v>
      </c>
      <c r="H9" s="50">
        <v>15.48499203628586</v>
      </c>
      <c r="I9" s="50">
        <v>39442.342140287583</v>
      </c>
    </row>
    <row r="10" spans="1:9">
      <c r="A10" s="49" t="s">
        <v>112</v>
      </c>
      <c r="B10" s="51">
        <v>28.36</v>
      </c>
      <c r="C10" s="52"/>
      <c r="D10" s="51">
        <v>23.23</v>
      </c>
      <c r="E10" s="52"/>
      <c r="F10" s="51">
        <v>17.010000000000002</v>
      </c>
      <c r="G10" s="52"/>
      <c r="H10" s="51">
        <v>10</v>
      </c>
      <c r="I10" s="52"/>
    </row>
    <row r="12" spans="1:9" ht="15.6">
      <c r="A12" s="43" t="s">
        <v>113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102</v>
      </c>
      <c r="B13" s="46" t="s">
        <v>103</v>
      </c>
      <c r="C13" s="46"/>
      <c r="D13" s="46" t="s">
        <v>104</v>
      </c>
      <c r="E13" s="46"/>
      <c r="F13" s="46" t="s">
        <v>105</v>
      </c>
      <c r="G13" s="46"/>
      <c r="H13" s="46" t="s">
        <v>106</v>
      </c>
      <c r="I13" s="46"/>
    </row>
    <row r="14" spans="1:9" ht="66">
      <c r="A14" s="47"/>
      <c r="B14" s="48" t="s">
        <v>107</v>
      </c>
      <c r="C14" s="48" t="s">
        <v>108</v>
      </c>
      <c r="D14" s="48" t="s">
        <v>107</v>
      </c>
      <c r="E14" s="48" t="s">
        <v>108</v>
      </c>
      <c r="F14" s="48" t="s">
        <v>107</v>
      </c>
      <c r="G14" s="48" t="s">
        <v>108</v>
      </c>
      <c r="H14" s="48" t="s">
        <v>107</v>
      </c>
      <c r="I14" s="48" t="s">
        <v>108</v>
      </c>
    </row>
    <row r="15" spans="1:9">
      <c r="A15" s="49" t="s">
        <v>109</v>
      </c>
      <c r="B15" s="50">
        <v>20.547210765574242</v>
      </c>
      <c r="C15" s="50">
        <v>12073.250490516679</v>
      </c>
      <c r="D15" s="50">
        <v>14.369686053400166</v>
      </c>
      <c r="E15" s="50">
        <v>14965.545196595054</v>
      </c>
      <c r="F15" s="50">
        <v>15.856621857098684</v>
      </c>
      <c r="G15" s="50">
        <v>20882.352941176476</v>
      </c>
      <c r="H15" s="50">
        <v>11.803877667886598</v>
      </c>
      <c r="I15" s="50">
        <v>27047.61904761905</v>
      </c>
    </row>
    <row r="16" spans="1:9">
      <c r="A16" s="49" t="s">
        <v>110</v>
      </c>
      <c r="B16" s="50">
        <v>20.565292347026443</v>
      </c>
      <c r="C16" s="50">
        <v>12056.529234702644</v>
      </c>
      <c r="D16" s="50">
        <v>11.076636142590225</v>
      </c>
      <c r="E16" s="50">
        <v>13704.656579304052</v>
      </c>
      <c r="F16" s="50">
        <v>14.228375023437657</v>
      </c>
      <c r="G16" s="50">
        <v>19447.778233073939</v>
      </c>
      <c r="H16" s="50">
        <v>12.922764232471827</v>
      </c>
      <c r="I16" s="50">
        <v>29559.378639950286</v>
      </c>
    </row>
    <row r="17" spans="1:9">
      <c r="A17" s="49" t="s">
        <v>111</v>
      </c>
      <c r="B17" s="50">
        <v>32.187846590613979</v>
      </c>
      <c r="C17" s="50">
        <v>13218.784659061397</v>
      </c>
      <c r="D17" s="50">
        <v>17.38445951988956</v>
      </c>
      <c r="E17" s="50">
        <v>16174.53536931903</v>
      </c>
      <c r="F17" s="50">
        <v>17.036637939725139</v>
      </c>
      <c r="G17" s="50">
        <v>21958.829546129182</v>
      </c>
      <c r="H17" s="50">
        <v>13.781503913482362</v>
      </c>
      <c r="I17" s="50">
        <v>31625.42697550798</v>
      </c>
    </row>
    <row r="18" spans="1:9">
      <c r="A18" s="49" t="s">
        <v>114</v>
      </c>
      <c r="B18" s="51">
        <v>30.58</v>
      </c>
      <c r="C18" s="52"/>
      <c r="D18" s="51">
        <v>24.67</v>
      </c>
      <c r="E18" s="52"/>
      <c r="F18" s="51">
        <v>17.68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2021-12-03T10:22:23Z</dcterms:created>
  <dcterms:modified xsi:type="dcterms:W3CDTF">2021-12-08T06:17:55Z</dcterms:modified>
</cp:coreProperties>
</file>