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APR 2024\Portfolio\OPS\TMF_Monthly_Portfolio_Report_Mar 24\"/>
    </mc:Choice>
  </mc:AlternateContent>
  <xr:revisionPtr revIDLastSave="0" documentId="13_ncr:1_{D0690D8A-C394-4251-9818-68A7550E41BF}" xr6:coauthVersionLast="47" xr6:coauthVersionMax="47" xr10:uidLastSave="{00000000-0000-0000-0000-000000000000}"/>
  <bookViews>
    <workbookView xWindow="-120" yWindow="-120" windowWidth="20730" windowHeight="11040" xr2:uid="{131994BC-B820-4172-8FB4-F367B4396A49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TISF!$C$8:$C$47</definedName>
    <definedName name="XDO_?FINAL_ISIN?7?">TISF!$D$10:$D$47</definedName>
    <definedName name="XDO_?FINAL_ISIN?8?">TISF!$D$10:$D$91</definedName>
    <definedName name="XDO_?FINAL_MV?7?">TISF!$H$10:$H$47</definedName>
    <definedName name="XDO_?FINAL_MV?8?">TISF!$H$10:$H$91</definedName>
    <definedName name="XDO_?FINAL_NAME?7?">TISF!$C$10:$C$47</definedName>
    <definedName name="XDO_?FINAL_NAME?8?">TISF!$C$10:$C$91</definedName>
    <definedName name="XDO_?FINAL_PER_NET?7?">TISF!$I$10:$I$47</definedName>
    <definedName name="XDO_?FINAL_PER_NET?8?">TISF!$I$10:$I$91</definedName>
    <definedName name="XDO_?FINAL_QUANTITE?7?">TISF!$G$10:$G$47</definedName>
    <definedName name="XDO_?FINAL_QUANTITE?8?">TISF!$G$10:$G$91</definedName>
    <definedName name="XDO_?IND_01?7?">TISF!$F$10:$F$47</definedName>
    <definedName name="XDO_?IND_01?8?">TISF!$F$10:$F$91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TISF!$B$10:$B$47</definedName>
    <definedName name="XDO_?NOVAL?8?">TISF!$B$10:$B$91</definedName>
    <definedName name="XDO_?NPTF?4?">TISF!$D$2:$D$47</definedName>
    <definedName name="XDO_?RATING?7?">TISF!$E$10:$E$47</definedName>
    <definedName name="XDO_?RATING?8?">TISF!$E$10:$E$91</definedName>
    <definedName name="XDO_?REMARKS?7?">TISF!$J$10:$J$47</definedName>
    <definedName name="XDO_?REMARKS?8?">TISF!$J$10:$J$91</definedName>
    <definedName name="XDO_?TITL?4?">TISF!$A$8:$A$47</definedName>
    <definedName name="XDO_GROUP_?G_2?4?">TISF!$2:$94</definedName>
    <definedName name="XDO_GROUP_?G_3?4?">TISF!$8:$93</definedName>
    <definedName name="XDO_GROUP_?G_4?7?">TISF!$B$10:$IV$47</definedName>
    <definedName name="XDO_GROUP_?G_4?8?">TISF!$B$91:$IV$91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<sst xmlns="http://schemas.openxmlformats.org/spreadsheetml/2006/main" count="267" uniqueCount="193">
  <si>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</si>
  <si>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</si>
  <si>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</si>
  <si>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</si>
  <si>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</si>
  <si>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</si>
  <si>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</si>
  <si>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</si>
  <si>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</si>
  <si>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</si>
  <si>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</si>
  <si>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</si>
  <si>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</si>
  <si>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</si>
  <si>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</si>
  <si>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</si>
  <si>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</si>
  <si>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</si>
  <si>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</si>
  <si>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</si>
  <si>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</si>
  <si>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</si>
  <si>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</si>
  <si>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</si>
  <si>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</si>
  <si>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</si>
  <si>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</si>
  <si>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100281</t>
  </si>
  <si>
    <t>Century Textiles &amp; Industries Ltd.</t>
  </si>
  <si>
    <t>INE055A01016</t>
  </si>
  <si>
    <t>Paper, Forest &amp; Jute Products</t>
  </si>
  <si>
    <t>100302</t>
  </si>
  <si>
    <t>DLF Ltd.</t>
  </si>
  <si>
    <t>INE271C01023</t>
  </si>
  <si>
    <t>Realty</t>
  </si>
  <si>
    <t>100181</t>
  </si>
  <si>
    <t>NTPC Ltd.</t>
  </si>
  <si>
    <t>INE733E01010</t>
  </si>
  <si>
    <t>Power</t>
  </si>
  <si>
    <t>102060</t>
  </si>
  <si>
    <t>Tarc Ltd.</t>
  </si>
  <si>
    <t>INE0EK901012</t>
  </si>
  <si>
    <t>100035</t>
  </si>
  <si>
    <t>NMDC Ltd.</t>
  </si>
  <si>
    <t>INE584A01023</t>
  </si>
  <si>
    <t>Minerals &amp; Mining</t>
  </si>
  <si>
    <t>100091</t>
  </si>
  <si>
    <t>Indus Towers Ltd.</t>
  </si>
  <si>
    <t>INE121J01017</t>
  </si>
  <si>
    <t>100006</t>
  </si>
  <si>
    <t>HDFC Bank Ltd.</t>
  </si>
  <si>
    <t>INE040A01034</t>
  </si>
  <si>
    <t>Banks</t>
  </si>
  <si>
    <t>100292</t>
  </si>
  <si>
    <t>Steel Authority of India Ltd.</t>
  </si>
  <si>
    <t>INE114A01011</t>
  </si>
  <si>
    <t>Ferrous Metals</t>
  </si>
  <si>
    <t>100082</t>
  </si>
  <si>
    <t>Ultratech Cement Ltd.</t>
  </si>
  <si>
    <t>INE481G01011</t>
  </si>
  <si>
    <t>Cement &amp; Cement Products</t>
  </si>
  <si>
    <t>100752</t>
  </si>
  <si>
    <t>Praj Industries Ltd.</t>
  </si>
  <si>
    <t>INE074A01025</t>
  </si>
  <si>
    <t>Industrial Manufacturing</t>
  </si>
  <si>
    <t>100177</t>
  </si>
  <si>
    <t>Grasim Industries Ltd.</t>
  </si>
  <si>
    <t>INE047A01021</t>
  </si>
  <si>
    <t>100232</t>
  </si>
  <si>
    <t>Bharat Bijlee Ltd.</t>
  </si>
  <si>
    <t>INE464A01028</t>
  </si>
  <si>
    <t>Electrical Equipment</t>
  </si>
  <si>
    <t>100174</t>
  </si>
  <si>
    <t>Vodafone Idea Ltd.</t>
  </si>
  <si>
    <t>INE669E01016</t>
  </si>
  <si>
    <t>100184</t>
  </si>
  <si>
    <t>Tata Steel Ltd.</t>
  </si>
  <si>
    <t>INE081A01020</t>
  </si>
  <si>
    <t>101800</t>
  </si>
  <si>
    <t>Hindware Home Innovation Ltd.</t>
  </si>
  <si>
    <t>INE05AN01011</t>
  </si>
  <si>
    <t>Consumer Durables</t>
  </si>
  <si>
    <t>100362</t>
  </si>
  <si>
    <t>JSW Energy Ltd.</t>
  </si>
  <si>
    <t>INE121E01018</t>
  </si>
  <si>
    <t>100843</t>
  </si>
  <si>
    <t>Dalmia Bharat Ltd.</t>
  </si>
  <si>
    <t>INE00R701025</t>
  </si>
  <si>
    <t>100365</t>
  </si>
  <si>
    <t>Ashok Leyland Ltd.</t>
  </si>
  <si>
    <t>INE208A01029</t>
  </si>
  <si>
    <t>Agricultural, Commercial &amp; Construction Vehicles</t>
  </si>
  <si>
    <t>100441</t>
  </si>
  <si>
    <t>Mahanagar Gas Ltd.</t>
  </si>
  <si>
    <t>INE002S01010</t>
  </si>
  <si>
    <t>Gas</t>
  </si>
  <si>
    <t>100143</t>
  </si>
  <si>
    <t>Thermax Ltd.</t>
  </si>
  <si>
    <t>INE152A01029</t>
  </si>
  <si>
    <t>100643</t>
  </si>
  <si>
    <t>PSP Projects Ltd.</t>
  </si>
  <si>
    <t>INE488V01015</t>
  </si>
  <si>
    <t>100018</t>
  </si>
  <si>
    <t>Tata Communications Ltd.</t>
  </si>
  <si>
    <t>INE151A01013</t>
  </si>
  <si>
    <t>100090</t>
  </si>
  <si>
    <t>Bharat Forge Ltd.</t>
  </si>
  <si>
    <t>INE465A01025</t>
  </si>
  <si>
    <t>Auto Components</t>
  </si>
  <si>
    <t>100219</t>
  </si>
  <si>
    <t>Indraprastha Gas Ltd.</t>
  </si>
  <si>
    <t>INE203G01027</t>
  </si>
  <si>
    <t>100466</t>
  </si>
  <si>
    <t>Igarashi Motors India Ltd.</t>
  </si>
  <si>
    <t>INE188B01013</t>
  </si>
  <si>
    <t>100465</t>
  </si>
  <si>
    <t>Interglobe Aviation Ltd.</t>
  </si>
  <si>
    <t>INE646L01027</t>
  </si>
  <si>
    <t>Transport Services</t>
  </si>
  <si>
    <t>100271</t>
  </si>
  <si>
    <t>Balkrishna Industries Ltd.</t>
  </si>
  <si>
    <t>INE787D01026</t>
  </si>
  <si>
    <t>100096</t>
  </si>
  <si>
    <t>Container Corporation of India Ltd.</t>
  </si>
  <si>
    <t>INE111A01025</t>
  </si>
  <si>
    <t>100038</t>
  </si>
  <si>
    <t>TV18 Broadcast Ltd.</t>
  </si>
  <si>
    <t>INE886H01027</t>
  </si>
  <si>
    <t>Entertainment</t>
  </si>
  <si>
    <t>101718</t>
  </si>
  <si>
    <t>Faze Three Ltd.</t>
  </si>
  <si>
    <t>INE963C01033</t>
  </si>
  <si>
    <t>Textiles &amp; Apparels</t>
  </si>
  <si>
    <t>100743</t>
  </si>
  <si>
    <t>HeidelbergCement India Ltd.</t>
  </si>
  <si>
    <t>INE578A01017</t>
  </si>
  <si>
    <t>100571</t>
  </si>
  <si>
    <t>KNR Constructions Ltd.</t>
  </si>
  <si>
    <t>INE634I01029</t>
  </si>
  <si>
    <t>100180</t>
  </si>
  <si>
    <t>Hindalco Industries Ltd.</t>
  </si>
  <si>
    <t>INE038A01020</t>
  </si>
  <si>
    <t>Non - Ferrous Metals</t>
  </si>
  <si>
    <t>101848</t>
  </si>
  <si>
    <t>Shipping Corporation of India Land and Assets Ltd.</t>
  </si>
  <si>
    <t>INE0PB301013</t>
  </si>
  <si>
    <t>Finance</t>
  </si>
  <si>
    <t>5300003</t>
  </si>
  <si>
    <t>IN9047A01011</t>
  </si>
  <si>
    <t>PP*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</si>
  <si>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</si>
  <si>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</si>
  <si>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</si>
  <si>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</si>
  <si>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</si>
  <si>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</si>
  <si>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</si>
  <si>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</si>
  <si>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</si>
  <si>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</si>
  <si>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</si>
  <si>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</si>
  <si>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</si>
  <si>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</si>
  <si>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</si>
  <si>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</si>
  <si>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</si>
  <si>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</si>
  <si>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</si>
  <si>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</si>
  <si>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</si>
  <si>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</si>
  <si>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</si>
  <si>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</si>
  <si>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</si>
  <si>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</si>
  <si>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</si>
  <si>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</si>
  <si>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</si>
  <si>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</si>
  <si>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</si>
  <si>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</si>
  <si>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</si>
  <si>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</si>
  <si>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</si>
  <si>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</si>
  <si>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</si>
  <si>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</si>
  <si>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</si>
  <si>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March 31, 2024 : 60.63)</t>
  </si>
  <si>
    <t>Taurus Infrastructure Fund - Direct Plan Growth Option</t>
  </si>
  <si>
    <t>NAV [Rs.] Per Unit (as on March 31, 2024 : 64.66)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</si>
  <si>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PP* Partly Paid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</si>
</sst>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257F8B3-0BCC-4F8E-BC8C-366B7D30F056}"/>
    <cellStyle name="Hyperlink" xfId="2" builtinId="8"/>
    <cellStyle name="Normal" xfId="0" builtinId="0"/>
    <cellStyle name="Normal 2" xfId="4" xr:uid="{F59E612B-7FED-48F1-AD3C-7C12B39F4CEF}"/>
    <cellStyle name="Style 1" xfId="3" xr:uid="{F0533620-EDC3-4AFC-BD54-3D32844B96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1830917</xdr:rowOff>
    </xdr:to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9DDE169C-B3D7-48AB-8EFB-631C8C5CE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30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Mar%2024\Client%20Report\TMF_Monthly_Portfolio_Report_Mar%2024.xls" TargetMode="External"/><Relationship Id="rId1" Type="http://schemas.openxmlformats.org/officeDocument/2006/relationships/externalLinkPath" Target="TMF_Monthly_Portfolio_Report_Ma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0F56-6A5A-45A1-8883-6FA8F2456672}">
  <dimension ref="A1:IV100"/>
  <sheetViews>
    <sheetView showGridLines="0" tabSelected="1" zoomScale="90" zoomScaleNormal="90" workbookViewId="0">
      <selection activeCell="C98" sqref="C98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45382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1719</v>
      </c>
      <c r="H10" s="32">
        <v>64.88</v>
      </c>
      <c r="I10" s="32">
        <v>7.87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4900</v>
      </c>
      <c r="H11" s="32">
        <v>60.22</v>
      </c>
      <c r="I11" s="32">
        <v>7.31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1857</v>
      </c>
      <c r="H12" s="32">
        <v>55.28</v>
      </c>
      <c r="I12" s="32">
        <v>6.71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2831</v>
      </c>
      <c r="H13" s="32">
        <v>46.22</v>
      </c>
      <c r="I13" s="32">
        <v>5.61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4771</v>
      </c>
      <c r="H14" s="32">
        <v>42.86</v>
      </c>
      <c r="I14" s="32">
        <v>5.2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12085</v>
      </c>
      <c r="H15" s="32">
        <v>40.6</v>
      </c>
      <c r="I15" s="32">
        <v>4.93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34</v>
      </c>
      <c r="G16" s="31">
        <v>24790</v>
      </c>
      <c r="H16" s="32">
        <v>34.67</v>
      </c>
      <c r="I16" s="32">
        <v>4.21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45</v>
      </c>
      <c r="G17" s="31">
        <v>16500</v>
      </c>
      <c r="H17" s="32">
        <v>33.28</v>
      </c>
      <c r="I17" s="32">
        <v>4.04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22</v>
      </c>
      <c r="G18" s="31">
        <v>11425</v>
      </c>
      <c r="H18" s="32">
        <v>33.26</v>
      </c>
      <c r="I18" s="32">
        <v>4.04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2225</v>
      </c>
      <c r="H19" s="32">
        <v>32.22</v>
      </c>
      <c r="I19" s="32">
        <v>3.91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20533</v>
      </c>
      <c r="H20" s="32">
        <v>27.55</v>
      </c>
      <c r="I20" s="32">
        <v>3.34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280</v>
      </c>
      <c r="H21" s="32">
        <v>27.29</v>
      </c>
      <c r="I21" s="32">
        <v>3.31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5000</v>
      </c>
      <c r="H22" s="32">
        <v>26.64</v>
      </c>
      <c r="I22" s="32">
        <v>3.23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60</v>
      </c>
      <c r="G23" s="31">
        <v>1015</v>
      </c>
      <c r="H23" s="32">
        <v>23.23</v>
      </c>
      <c r="I23" s="32">
        <v>2.82</v>
      </c>
      <c r="J23" s="33"/>
    </row>
    <row r="24" spans="2:10" x14ac:dyDescent="0.25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315</v>
      </c>
      <c r="H24" s="32">
        <v>20.190000000000001</v>
      </c>
      <c r="I24" s="32">
        <v>2.4500000000000002</v>
      </c>
      <c r="J24" s="33"/>
    </row>
    <row r="25" spans="2:10" x14ac:dyDescent="0.25">
      <c r="B25" s="1" t="s">
        <v>72</v>
      </c>
      <c r="C25" s="20" t="s">
        <v>73</v>
      </c>
      <c r="D25" s="29" t="s">
        <v>74</v>
      </c>
      <c r="E25" s="30"/>
      <c r="F25" s="30" t="s">
        <v>22</v>
      </c>
      <c r="G25" s="31">
        <v>141456</v>
      </c>
      <c r="H25" s="32">
        <v>18.73</v>
      </c>
      <c r="I25" s="32">
        <v>2.27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56</v>
      </c>
      <c r="G26" s="31">
        <v>11885</v>
      </c>
      <c r="H26" s="32">
        <v>18.53</v>
      </c>
      <c r="I26" s="32">
        <v>2.25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4418</v>
      </c>
      <c r="H27" s="32">
        <v>16.57</v>
      </c>
      <c r="I27" s="32">
        <v>2.0099999999999998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38</v>
      </c>
      <c r="G28" s="31">
        <v>3031</v>
      </c>
      <c r="H28" s="32">
        <v>16.03</v>
      </c>
      <c r="I28" s="32">
        <v>1.95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60</v>
      </c>
      <c r="G29" s="31">
        <v>820</v>
      </c>
      <c r="H29" s="32">
        <v>15.93</v>
      </c>
      <c r="I29" s="32">
        <v>1.93</v>
      </c>
      <c r="J29" s="33"/>
    </row>
    <row r="30" spans="2:10" x14ac:dyDescent="0.25">
      <c r="B30" s="1" t="s">
        <v>88</v>
      </c>
      <c r="C30" s="20" t="s">
        <v>89</v>
      </c>
      <c r="D30" s="29" t="s">
        <v>90</v>
      </c>
      <c r="E30" s="30"/>
      <c r="F30" s="30" t="s">
        <v>91</v>
      </c>
      <c r="G30" s="31">
        <v>9240</v>
      </c>
      <c r="H30" s="32">
        <v>15.81</v>
      </c>
      <c r="I30" s="32">
        <v>1.92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1158</v>
      </c>
      <c r="H31" s="32">
        <v>15.79</v>
      </c>
      <c r="I31" s="32">
        <v>1.92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71</v>
      </c>
      <c r="G32" s="31">
        <v>367</v>
      </c>
      <c r="H32" s="32">
        <v>15.4</v>
      </c>
      <c r="I32" s="32">
        <v>1.87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18</v>
      </c>
      <c r="G33" s="31">
        <v>2229</v>
      </c>
      <c r="H33" s="32">
        <v>15.29</v>
      </c>
      <c r="I33" s="32">
        <v>1.86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22</v>
      </c>
      <c r="G34" s="31">
        <v>725</v>
      </c>
      <c r="H34" s="32">
        <v>14.58</v>
      </c>
      <c r="I34" s="32">
        <v>1.77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108</v>
      </c>
      <c r="G35" s="31">
        <v>1270</v>
      </c>
      <c r="H35" s="32">
        <v>14.34</v>
      </c>
      <c r="I35" s="32">
        <v>1.74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95</v>
      </c>
      <c r="G36" s="31">
        <v>2695</v>
      </c>
      <c r="H36" s="32">
        <v>11.61</v>
      </c>
      <c r="I36" s="32">
        <v>1.41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108</v>
      </c>
      <c r="G37" s="31">
        <v>2800</v>
      </c>
      <c r="H37" s="32">
        <v>11.49</v>
      </c>
      <c r="I37" s="32">
        <v>1.39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248</v>
      </c>
      <c r="H38" s="32">
        <v>8.7899999999999991</v>
      </c>
      <c r="I38" s="32">
        <v>1.07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108</v>
      </c>
      <c r="G39" s="31">
        <v>348</v>
      </c>
      <c r="H39" s="32">
        <v>8.07</v>
      </c>
      <c r="I39" s="32">
        <v>0.98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118</v>
      </c>
      <c r="G40" s="31">
        <v>825</v>
      </c>
      <c r="H40" s="32">
        <v>7.28</v>
      </c>
      <c r="I40" s="32">
        <v>0.88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14630</v>
      </c>
      <c r="H41" s="32">
        <v>6.74</v>
      </c>
      <c r="I41" s="32">
        <v>0.82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1747</v>
      </c>
      <c r="H42" s="32">
        <v>6.23</v>
      </c>
      <c r="I42" s="32">
        <v>0.76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60</v>
      </c>
      <c r="G43" s="31">
        <v>2603</v>
      </c>
      <c r="H43" s="32">
        <v>5.1100000000000003</v>
      </c>
      <c r="I43" s="32">
        <v>0.62</v>
      </c>
      <c r="J43" s="33"/>
    </row>
    <row r="44" spans="2:10" x14ac:dyDescent="0.25">
      <c r="B44" s="1" t="s">
        <v>136</v>
      </c>
      <c r="C44" s="20" t="s">
        <v>137</v>
      </c>
      <c r="D44" s="29" t="s">
        <v>138</v>
      </c>
      <c r="E44" s="30"/>
      <c r="F44" s="30" t="s">
        <v>18</v>
      </c>
      <c r="G44" s="31">
        <v>1500</v>
      </c>
      <c r="H44" s="32">
        <v>3.69</v>
      </c>
      <c r="I44" s="32">
        <v>0.45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334</v>
      </c>
      <c r="H45" s="32">
        <v>1.87</v>
      </c>
      <c r="I45" s="32">
        <v>0.23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146</v>
      </c>
      <c r="G46" s="31">
        <v>4000</v>
      </c>
      <c r="H46" s="32">
        <v>1.6</v>
      </c>
      <c r="I46" s="32">
        <v>0.19</v>
      </c>
      <c r="J46" s="33"/>
    </row>
    <row r="47" spans="2:10" x14ac:dyDescent="0.25">
      <c r="B47" s="1" t="s">
        <v>147</v>
      </c>
      <c r="C47" s="20" t="s">
        <v>66</v>
      </c>
      <c r="D47" s="29" t="s">
        <v>148</v>
      </c>
      <c r="E47" s="30"/>
      <c r="F47" s="30" t="s">
        <v>60</v>
      </c>
      <c r="G47" s="31">
        <v>34</v>
      </c>
      <c r="H47" s="32">
        <v>0.35</v>
      </c>
      <c r="I47" s="32">
        <v>0.04</v>
      </c>
      <c r="J47" s="33" t="s">
        <v>149</v>
      </c>
    </row>
    <row r="48" spans="2:10" x14ac:dyDescent="0.25">
      <c r="C48" s="28" t="s">
        <v>150</v>
      </c>
      <c r="D48" s="29"/>
      <c r="E48" s="30"/>
      <c r="F48" s="30"/>
      <c r="G48" s="31"/>
      <c r="H48" s="35">
        <v>818.22</v>
      </c>
      <c r="I48" s="35">
        <v>99.31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151</v>
      </c>
      <c r="D50" s="29"/>
      <c r="E50" s="30"/>
      <c r="F50" s="30"/>
      <c r="G50" s="31"/>
      <c r="H50" s="32" t="s">
        <v>152</v>
      </c>
      <c r="I50" s="32" t="s">
        <v>152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153</v>
      </c>
      <c r="D52" s="29"/>
      <c r="E52" s="30"/>
      <c r="F52" s="30"/>
      <c r="G52" s="31"/>
      <c r="H52" s="32" t="s">
        <v>152</v>
      </c>
      <c r="I52" s="32" t="s">
        <v>152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154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155</v>
      </c>
      <c r="D56" s="29"/>
      <c r="E56" s="30"/>
      <c r="F56" s="30"/>
      <c r="G56" s="31"/>
      <c r="H56" s="32" t="s">
        <v>152</v>
      </c>
      <c r="I56" s="32" t="s">
        <v>152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156</v>
      </c>
      <c r="D58" s="29"/>
      <c r="E58" s="30"/>
      <c r="F58" s="30"/>
      <c r="G58" s="31"/>
      <c r="H58" s="32" t="s">
        <v>152</v>
      </c>
      <c r="I58" s="32" t="s">
        <v>152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157</v>
      </c>
      <c r="D60" s="29"/>
      <c r="E60" s="30"/>
      <c r="F60" s="30"/>
      <c r="G60" s="31"/>
      <c r="H60" s="32" t="s">
        <v>152</v>
      </c>
      <c r="I60" s="32" t="s">
        <v>152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158</v>
      </c>
      <c r="D62" s="29"/>
      <c r="E62" s="30"/>
      <c r="F62" s="30"/>
      <c r="G62" s="31"/>
      <c r="H62" s="32" t="s">
        <v>152</v>
      </c>
      <c r="I62" s="32" t="s">
        <v>152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159</v>
      </c>
      <c r="D64" s="29"/>
      <c r="E64" s="30"/>
      <c r="F64" s="30"/>
      <c r="G64" s="31"/>
      <c r="H64" s="32" t="s">
        <v>152</v>
      </c>
      <c r="I64" s="32" t="s">
        <v>152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160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161</v>
      </c>
      <c r="D68" s="29"/>
      <c r="E68" s="30"/>
      <c r="F68" s="30"/>
      <c r="G68" s="31"/>
      <c r="H68" s="32" t="s">
        <v>152</v>
      </c>
      <c r="I68" s="32" t="s">
        <v>152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162</v>
      </c>
      <c r="D70" s="29"/>
      <c r="E70" s="30"/>
      <c r="F70" s="30"/>
      <c r="G70" s="31"/>
      <c r="H70" s="32" t="s">
        <v>152</v>
      </c>
      <c r="I70" s="32" t="s">
        <v>152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163</v>
      </c>
      <c r="D72" s="29"/>
      <c r="E72" s="30"/>
      <c r="F72" s="30"/>
      <c r="G72" s="31"/>
      <c r="H72" s="32" t="s">
        <v>152</v>
      </c>
      <c r="I72" s="32" t="s">
        <v>152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164</v>
      </c>
      <c r="D74" s="29"/>
      <c r="E74" s="30"/>
      <c r="F74" s="30"/>
      <c r="G74" s="31"/>
      <c r="H74" s="32" t="s">
        <v>152</v>
      </c>
      <c r="I74" s="32" t="s">
        <v>152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165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166</v>
      </c>
      <c r="D78" s="29"/>
      <c r="E78" s="30"/>
      <c r="F78" s="30"/>
      <c r="G78" s="31"/>
      <c r="H78" s="32" t="s">
        <v>152</v>
      </c>
      <c r="I78" s="32" t="s">
        <v>152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167</v>
      </c>
      <c r="D80" s="29"/>
      <c r="E80" s="30"/>
      <c r="F80" s="30"/>
      <c r="G80" s="31"/>
      <c r="H80" s="32" t="s">
        <v>152</v>
      </c>
      <c r="I80" s="32" t="s">
        <v>152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168</v>
      </c>
      <c r="D82" s="29"/>
      <c r="E82" s="30"/>
      <c r="F82" s="30"/>
      <c r="G82" s="31"/>
      <c r="H82" s="32" t="s">
        <v>152</v>
      </c>
      <c r="I82" s="32" t="s">
        <v>152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169</v>
      </c>
      <c r="D84" s="29"/>
      <c r="E84" s="30"/>
      <c r="F84" s="30"/>
      <c r="G84" s="31"/>
      <c r="H84" s="32" t="s">
        <v>152</v>
      </c>
      <c r="I84" s="32" t="s">
        <v>152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170</v>
      </c>
      <c r="D86" s="29"/>
      <c r="E86" s="30"/>
      <c r="F86" s="30"/>
      <c r="G86" s="31"/>
      <c r="H86" s="32" t="s">
        <v>152</v>
      </c>
      <c r="I86" s="32" t="s">
        <v>152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171</v>
      </c>
      <c r="D88" s="29"/>
      <c r="E88" s="30"/>
      <c r="F88" s="30"/>
      <c r="G88" s="31"/>
      <c r="H88" s="32" t="s">
        <v>152</v>
      </c>
      <c r="I88" s="32" t="s">
        <v>152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172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173</v>
      </c>
      <c r="D91" s="29"/>
      <c r="E91" s="30"/>
      <c r="F91" s="30"/>
      <c r="G91" s="31"/>
      <c r="H91" s="32">
        <v>5.89</v>
      </c>
      <c r="I91" s="32">
        <v>0.69</v>
      </c>
      <c r="J91" s="33"/>
    </row>
    <row r="92" spans="1:10" x14ac:dyDescent="0.25">
      <c r="C92" s="28" t="s">
        <v>150</v>
      </c>
      <c r="D92" s="29"/>
      <c r="E92" s="30"/>
      <c r="F92" s="30"/>
      <c r="G92" s="31"/>
      <c r="H92" s="35">
        <v>5.89</v>
      </c>
      <c r="I92" s="35">
        <v>0.69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5.75" thickBot="1" x14ac:dyDescent="0.3">
      <c r="C94" s="36" t="s">
        <v>174</v>
      </c>
      <c r="D94" s="37"/>
      <c r="E94" s="38"/>
      <c r="F94" s="39"/>
      <c r="G94" s="40"/>
      <c r="H94" s="41">
        <v>824.11</v>
      </c>
      <c r="I94" s="41">
        <f>SUMIFS(I:I,C:C,"Total")</f>
        <v>100</v>
      </c>
      <c r="J94" s="42"/>
    </row>
    <row r="97" spans="3:3" x14ac:dyDescent="0.25">
      <c r="C97" s="11" t="s">
        <v>175</v>
      </c>
    </row>
    <row r="98" spans="3:3" x14ac:dyDescent="0.25">
      <c r="C98" s="2" t="s">
        <v>192</v>
      </c>
    </row>
    <row r="99" spans="3:3" x14ac:dyDescent="0.25">
      <c r="C99" s="2" t="s">
        <v>176</v>
      </c>
    </row>
    <row r="100" spans="3:3" x14ac:dyDescent="0.25">
      <c r="C100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0FB10-0A7E-429B-8C6B-55AEBDF20982}">
  <dimension ref="B3:J17"/>
  <sheetViews>
    <sheetView workbookViewId="0"/>
  </sheetViews>
  <sheetFormatPr defaultRowHeight="15" x14ac:dyDescent="0.25"/>
  <cols>
    <col min="2" max="2" width="45.14062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3" spans="2:10" ht="15.75" x14ac:dyDescent="0.25">
      <c r="B3" s="43" t="s">
        <v>178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179</v>
      </c>
      <c r="C4" s="50" t="s">
        <v>180</v>
      </c>
      <c r="D4" s="50"/>
      <c r="E4" s="50" t="s">
        <v>181</v>
      </c>
      <c r="F4" s="50"/>
      <c r="G4" s="50" t="s">
        <v>182</v>
      </c>
      <c r="H4" s="50"/>
      <c r="I4" s="50" t="s">
        <v>183</v>
      </c>
      <c r="J4" s="50"/>
    </row>
    <row r="5" spans="2:10" ht="63.75" x14ac:dyDescent="0.25">
      <c r="B5" s="46"/>
      <c r="C5" s="47" t="s">
        <v>184</v>
      </c>
      <c r="D5" s="47" t="s">
        <v>185</v>
      </c>
      <c r="E5" s="47" t="s">
        <v>184</v>
      </c>
      <c r="F5" s="47" t="s">
        <v>185</v>
      </c>
      <c r="G5" s="47" t="s">
        <v>184</v>
      </c>
      <c r="H5" s="47" t="s">
        <v>185</v>
      </c>
      <c r="I5" s="47" t="s">
        <v>184</v>
      </c>
      <c r="J5" s="47" t="s">
        <v>185</v>
      </c>
    </row>
    <row r="6" spans="2:10" x14ac:dyDescent="0.25">
      <c r="B6" s="48" t="s">
        <v>186</v>
      </c>
      <c r="C6" s="49">
        <v>60.147646438647541</v>
      </c>
      <c r="D6" s="49">
        <v>16035.440359693204</v>
      </c>
      <c r="E6" s="49">
        <v>23.962246240117913</v>
      </c>
      <c r="F6" s="49">
        <v>19060.044011317197</v>
      </c>
      <c r="G6" s="49">
        <v>19.386366776855191</v>
      </c>
      <c r="H6" s="49">
        <v>24300.60120240481</v>
      </c>
      <c r="I6" s="49">
        <v>11.123068878304231</v>
      </c>
      <c r="J6" s="49">
        <v>60630</v>
      </c>
    </row>
    <row r="7" spans="2:10" x14ac:dyDescent="0.25">
      <c r="B7" s="48" t="s">
        <v>187</v>
      </c>
      <c r="C7" s="49">
        <v>64.984872458338799</v>
      </c>
      <c r="D7" s="49">
        <v>16498.48724583388</v>
      </c>
      <c r="E7" s="49">
        <v>28.18313817116449</v>
      </c>
      <c r="F7" s="49">
        <v>21061.664927339156</v>
      </c>
      <c r="G7" s="49">
        <v>22.699330614031823</v>
      </c>
      <c r="H7" s="49">
        <v>27810.638969228054</v>
      </c>
      <c r="I7" s="49">
        <v>7.8428940446000128</v>
      </c>
      <c r="J7" s="49">
        <v>36327.968455661772</v>
      </c>
    </row>
    <row r="8" spans="2:10" x14ac:dyDescent="0.25">
      <c r="B8" s="48" t="s">
        <v>188</v>
      </c>
      <c r="C8" s="49">
        <v>29.991061160818866</v>
      </c>
      <c r="D8" s="49">
        <v>12999.106116081886</v>
      </c>
      <c r="E8" s="49">
        <v>16.298056124779148</v>
      </c>
      <c r="F8" s="49">
        <v>15729.588715574562</v>
      </c>
      <c r="G8" s="49">
        <v>15.240203602027647</v>
      </c>
      <c r="H8" s="49">
        <v>20324.510021371232</v>
      </c>
      <c r="I8" s="49">
        <v>12.63720897736842</v>
      </c>
      <c r="J8" s="49">
        <v>76380.305357437101</v>
      </c>
    </row>
    <row r="9" spans="2:10" x14ac:dyDescent="0.25">
      <c r="B9" s="48" t="s">
        <v>189</v>
      </c>
      <c r="C9" s="51">
        <v>37.81</v>
      </c>
      <c r="D9" s="52"/>
      <c r="E9" s="51">
        <v>31.81</v>
      </c>
      <c r="F9" s="52"/>
      <c r="G9" s="51">
        <v>24.95</v>
      </c>
      <c r="H9" s="52"/>
      <c r="I9" s="51">
        <v>10</v>
      </c>
      <c r="J9" s="52"/>
    </row>
    <row r="11" spans="2:10" ht="15.75" x14ac:dyDescent="0.25">
      <c r="B11" s="43" t="s">
        <v>190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179</v>
      </c>
      <c r="C12" s="50" t="s">
        <v>180</v>
      </c>
      <c r="D12" s="50"/>
      <c r="E12" s="50" t="s">
        <v>181</v>
      </c>
      <c r="F12" s="50"/>
      <c r="G12" s="50" t="s">
        <v>182</v>
      </c>
      <c r="H12" s="50"/>
      <c r="I12" s="50" t="s">
        <v>183</v>
      </c>
      <c r="J12" s="50"/>
    </row>
    <row r="13" spans="2:10" ht="63.75" x14ac:dyDescent="0.25">
      <c r="B13" s="46"/>
      <c r="C13" s="47" t="s">
        <v>184</v>
      </c>
      <c r="D13" s="47" t="s">
        <v>185</v>
      </c>
      <c r="E13" s="47" t="s">
        <v>184</v>
      </c>
      <c r="F13" s="47" t="s">
        <v>185</v>
      </c>
      <c r="G13" s="47" t="s">
        <v>184</v>
      </c>
      <c r="H13" s="47" t="s">
        <v>185</v>
      </c>
      <c r="I13" s="47" t="s">
        <v>184</v>
      </c>
      <c r="J13" s="47" t="s">
        <v>185</v>
      </c>
    </row>
    <row r="14" spans="2:10" x14ac:dyDescent="0.25">
      <c r="B14" s="48" t="s">
        <v>186</v>
      </c>
      <c r="C14" s="49">
        <v>60.876496190785389</v>
      </c>
      <c r="D14" s="49">
        <v>16108.619830592925</v>
      </c>
      <c r="E14" s="49">
        <v>24.495394654744484</v>
      </c>
      <c r="F14" s="49">
        <v>19307.255897282768</v>
      </c>
      <c r="G14" s="49">
        <v>19.87438244748898</v>
      </c>
      <c r="H14" s="49">
        <v>24802.454929037205</v>
      </c>
      <c r="I14" s="49">
        <v>15.466247671253175</v>
      </c>
      <c r="J14" s="49">
        <v>50436.817472698902</v>
      </c>
    </row>
    <row r="15" spans="2:10" x14ac:dyDescent="0.25">
      <c r="B15" s="48" t="s">
        <v>187</v>
      </c>
      <c r="C15" s="49">
        <v>64.984872458338799</v>
      </c>
      <c r="D15" s="49">
        <v>16498.48724583388</v>
      </c>
      <c r="E15" s="49">
        <v>28.18313817116449</v>
      </c>
      <c r="F15" s="49">
        <v>21061.664927339156</v>
      </c>
      <c r="G15" s="49">
        <v>22.699330614031823</v>
      </c>
      <c r="H15" s="49">
        <v>27810.638969228054</v>
      </c>
      <c r="I15" s="49">
        <v>12.465546937813098</v>
      </c>
      <c r="J15" s="49">
        <v>37503.707726693567</v>
      </c>
    </row>
    <row r="16" spans="2:10" x14ac:dyDescent="0.25">
      <c r="B16" s="48" t="s">
        <v>188</v>
      </c>
      <c r="C16" s="49">
        <v>29.991061160818866</v>
      </c>
      <c r="D16" s="49">
        <v>12999.106116081886</v>
      </c>
      <c r="E16" s="49">
        <v>16.298056124779148</v>
      </c>
      <c r="F16" s="49">
        <v>15729.588715574562</v>
      </c>
      <c r="G16" s="49">
        <v>15.240203602027647</v>
      </c>
      <c r="H16" s="49">
        <v>20324.510021371232</v>
      </c>
      <c r="I16" s="49">
        <v>13.83119370039465</v>
      </c>
      <c r="J16" s="49">
        <v>42959.094580711593</v>
      </c>
    </row>
    <row r="17" spans="2:10" x14ac:dyDescent="0.25">
      <c r="B17" s="48" t="s">
        <v>191</v>
      </c>
      <c r="C17" s="51">
        <v>40.14</v>
      </c>
      <c r="D17" s="52"/>
      <c r="E17" s="51">
        <v>33.49</v>
      </c>
      <c r="F17" s="52"/>
      <c r="G17" s="51">
        <v>26.07</v>
      </c>
      <c r="H17" s="52"/>
      <c r="I17" s="51">
        <v>12.82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2024-03-31T14:03:33Z</dcterms:created>
  <dcterms:modified xsi:type="dcterms:W3CDTF">2024-04-08T10:16:25Z</dcterms:modified>
</cp:coreProperties>
</file>