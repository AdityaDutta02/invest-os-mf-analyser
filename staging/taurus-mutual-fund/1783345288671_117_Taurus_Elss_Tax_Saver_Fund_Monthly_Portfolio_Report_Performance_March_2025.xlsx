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. APR 2025\Monthly Portfolio Mar 2025\Ops\"/>
    </mc:Choice>
  </mc:AlternateContent>
  <xr:revisionPtr revIDLastSave="0" documentId="13_ncr:1_{0DA99099-60A9-4033-B704-E70C0095BE8C}" xr6:coauthVersionLast="47" xr6:coauthVersionMax="47" xr10:uidLastSave="{00000000-0000-0000-0000-000000000000}"/>
  <bookViews>
    <workbookView xWindow="-120" yWindow="-120" windowWidth="20730" windowHeight="11040" xr2:uid="{9CEAB7BC-68A0-4A38-9830-1AD64E77C357}"/>
  </bookViews>
  <sheets>
    <sheet name="TTS" sheetId="1" r:id="rId1"/>
    <sheet name="TTS Performance" sheetId="2" r:id="rId2"/>
  </sheets>
  <externalReferences>
    <externalReference r:id="rId3"/>
    <externalReference r:id="rId4"/>
    <externalReference r:id="rId5"/>
  </externalReferences>
  <definedNames>
    <definedName name="XDO_?CLASS_3?7?">TTS!$C$8:$C$41</definedName>
    <definedName name="XDO_?FINAL_ISIN?14?">TTS!$D$10:$D$41</definedName>
    <definedName name="XDO_?FINAL_ISIN?15?">TTS!$D$10:$D$85</definedName>
    <definedName name="XDO_?FINAL_MV?14?">TTS!$H$10:$H$41</definedName>
    <definedName name="XDO_?FINAL_MV?15?">TTS!$H$10:$H$85</definedName>
    <definedName name="XDO_?FINAL_NAME?14?">TTS!$C$10:$C$41</definedName>
    <definedName name="XDO_?FINAL_NAME?15?">TTS!$C$10:$C$85</definedName>
    <definedName name="XDO_?FINAL_PER_NET?14?">TTS!$I$10:$I$41</definedName>
    <definedName name="XDO_?FINAL_PER_NET?15?">TTS!$I$10:$I$85</definedName>
    <definedName name="XDO_?FINAL_QUANTITE?14?">TTS!$G$10:$G$41</definedName>
    <definedName name="XDO_?FINAL_QUANTITE?15?">TTS!$G$10:$G$85</definedName>
    <definedName name="XDO_?IND_01?14?">TTS!$F$10:$F$41</definedName>
    <definedName name="XDO_?IND_01?15?">TTS!$F$10:$F$85</definedName>
    <definedName name="XDO_?NAMC?" localSheetId="1">[1]TBF!#REF!</definedName>
    <definedName name="XDO_?NAMC?">[2]TBF!#REF!</definedName>
    <definedName name="XDO_?NAMC?1?" localSheetId="1">[1]TBFS!#REF!</definedName>
    <definedName name="XDO_?NAMC?1?">[2]TBFS!#REF!</definedName>
    <definedName name="XDO_?NAMC?2?" localSheetId="1">[1]TDF!#REF!</definedName>
    <definedName name="XDO_?NAMC?2?">[2]TDF!#REF!</definedName>
    <definedName name="XDO_?NAMC?3?" localSheetId="1">[1]TEF!#REF!</definedName>
    <definedName name="XDO_?NAMC?3?">[2]TEF!#REF!</definedName>
    <definedName name="XDO_?NAMC?4?" localSheetId="1">[1]TISF!#REF!</definedName>
    <definedName name="XDO_?NAMC?4?">[2]TISF!#REF!</definedName>
    <definedName name="XDO_?NAMC?5?" localSheetId="1">[1]TNI!#REF!</definedName>
    <definedName name="XDO_?NAMC?5?">[2]TNI!#REF!</definedName>
    <definedName name="XDO_?NAMC?6?" localSheetId="1">[1]TSS!#REF!</definedName>
    <definedName name="XDO_?NAMC?6?">[2]TSS!#REF!</definedName>
    <definedName name="XDO_?NAMC?7?" localSheetId="1">'[3]TTS-Risk-O-Meter &amp; Portfolio'!#REF!</definedName>
    <definedName name="XDO_?NAMC?7?">TTS!#REF!</definedName>
    <definedName name="XDO_?NAMCNAME?7?">TTS!$C$2:$C$41</definedName>
    <definedName name="XDO_?NDATE?" localSheetId="1">[1]TBF!#REF!</definedName>
    <definedName name="XDO_?NDATE?">[2]TBF!#REF!</definedName>
    <definedName name="XDO_?NDATE?1?" localSheetId="1">[1]TBFS!#REF!</definedName>
    <definedName name="XDO_?NDATE?1?">[2]TBFS!#REF!</definedName>
    <definedName name="XDO_?NDATE?2?" localSheetId="1">[1]TDF!#REF!</definedName>
    <definedName name="XDO_?NDATE?2?">[2]TDF!#REF!</definedName>
    <definedName name="XDO_?NDATE?3?" localSheetId="1">[1]TEF!#REF!</definedName>
    <definedName name="XDO_?NDATE?3?">[2]TEF!#REF!</definedName>
    <definedName name="XDO_?NDATE?4?" localSheetId="1">[1]TISF!#REF!</definedName>
    <definedName name="XDO_?NDATE?4?">[2]TISF!#REF!</definedName>
    <definedName name="XDO_?NDATE?5?" localSheetId="1">[1]TNI!#REF!</definedName>
    <definedName name="XDO_?NDATE?5?">[2]TNI!#REF!</definedName>
    <definedName name="XDO_?NDATE?6?" localSheetId="1">[1]TSS!#REF!</definedName>
    <definedName name="XDO_?NDATE?6?">[2]TSS!#REF!</definedName>
    <definedName name="XDO_?NDATE?7?" localSheetId="1">'[3]TTS-Risk-O-Meter &amp; Portfolio'!#REF!</definedName>
    <definedName name="XDO_?NDATE?7?">TTS!#REF!</definedName>
    <definedName name="XDO_?NNPTF?" localSheetId="1">[1]TBF!#REF!</definedName>
    <definedName name="XDO_?NNPTF?">[2]TBF!#REF!</definedName>
    <definedName name="XDO_?NNPTF?1?" localSheetId="1">[1]TBFS!#REF!</definedName>
    <definedName name="XDO_?NNPTF?1?">[2]TBFS!#REF!</definedName>
    <definedName name="XDO_?NNPTF?2?" localSheetId="1">[1]TDF!#REF!</definedName>
    <definedName name="XDO_?NNPTF?2?">[2]TDF!#REF!</definedName>
    <definedName name="XDO_?NNPTF?3?" localSheetId="1">[1]TEF!#REF!</definedName>
    <definedName name="XDO_?NNPTF?3?">[2]TEF!#REF!</definedName>
    <definedName name="XDO_?NNPTF?4?" localSheetId="1">[1]TISF!#REF!</definedName>
    <definedName name="XDO_?NNPTF?4?">[2]TISF!#REF!</definedName>
    <definedName name="XDO_?NNPTF?5?" localSheetId="1">[1]TNI!#REF!</definedName>
    <definedName name="XDO_?NNPTF?5?">[2]TNI!#REF!</definedName>
    <definedName name="XDO_?NNPTF?6?" localSheetId="1">[1]TSS!#REF!</definedName>
    <definedName name="XDO_?NNPTF?6?">[2]TSS!#REF!</definedName>
    <definedName name="XDO_?NNPTF?7?" localSheetId="1">'[3]TTS-Risk-O-Meter &amp; Portfolio'!#REF!</definedName>
    <definedName name="XDO_?NNPTF?7?">TTS!#REF!</definedName>
    <definedName name="XDO_?NOVAL?14?">TTS!$B$10:$B$41</definedName>
    <definedName name="XDO_?NOVAL?15?">TTS!$B$10:$B$85</definedName>
    <definedName name="XDO_?NPTF?7?">TTS!$D$2:$D$41</definedName>
    <definedName name="XDO_?RATING?14?">TTS!$E$10:$E$41</definedName>
    <definedName name="XDO_?RATING?15?">TTS!$E$10:$E$85</definedName>
    <definedName name="XDO_?REMARKS?14?">TTS!$J$10:$J$41</definedName>
    <definedName name="XDO_?REMARKS?15?">TTS!$J$10:$J$85</definedName>
    <definedName name="XDO_?TITL?7?">TTS!$A$8:$A$41</definedName>
    <definedName name="XDO_GROUP_?G_2?7?">TTS!$2:$88</definedName>
    <definedName name="XDO_GROUP_?G_3?7?">TTS!$8:$87</definedName>
    <definedName name="XDO_GROUP_?G_4?14?">TTS!$B$10:$IV$41</definedName>
    <definedName name="XDO_GROUP_?G_4?15?">TTS!$B$85:$IV$85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</calcChain>
</file>

<file path=xl/sharedStrings.xml><?xml version="1.0" encoding="utf-8"?>
<sst xmlns="http://schemas.openxmlformats.org/spreadsheetml/2006/main" count="267" uniqueCount="197">
  <si>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</si>
  <si>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</si>
  <si>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</si>
  <si>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</si>
  <si>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</si>
  <si>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</si>
  <si>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</si>
  <si>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</si>
  <si>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</si>
  <si>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</si>
  <si>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</si>
  <si>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</si>
  <si>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</si>
  <si>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</si>
  <si>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</si>
  <si>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</si>
  <si>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</si>
  <si>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</si>
  <si>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</si>
  <si>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100325</t>
  </si>
  <si>
    <t>Bajaj Holdings &amp; Investment Ltd.</t>
  </si>
  <si>
    <t>INE118A01012</t>
  </si>
  <si>
    <t>Finance</t>
  </si>
  <si>
    <t>100012</t>
  </si>
  <si>
    <t>ICICI Bank Ltd.</t>
  </si>
  <si>
    <t>INE090A01021</t>
  </si>
  <si>
    <t>100037</t>
  </si>
  <si>
    <t>HCL Technologies Ltd.</t>
  </si>
  <si>
    <t>INE860A01027</t>
  </si>
  <si>
    <t>IT - Software</t>
  </si>
  <si>
    <t>100474</t>
  </si>
  <si>
    <t>Narayana Hrudayalaya Ltd.</t>
  </si>
  <si>
    <t>INE410P01011</t>
  </si>
  <si>
    <t>Healthcare Services</t>
  </si>
  <si>
    <t>100003</t>
  </si>
  <si>
    <t>Infosys Ltd.</t>
  </si>
  <si>
    <t>INE009A01021</t>
  </si>
  <si>
    <t>100019</t>
  </si>
  <si>
    <t>ITC Ltd.</t>
  </si>
  <si>
    <t>INE154A01025</t>
  </si>
  <si>
    <t>Diversified FMCG</t>
  </si>
  <si>
    <t>100024</t>
  </si>
  <si>
    <t>Axis Bank Ltd.</t>
  </si>
  <si>
    <t>INE238A01034</t>
  </si>
  <si>
    <t>100097</t>
  </si>
  <si>
    <t>Coal India Ltd.</t>
  </si>
  <si>
    <t>INE522F01014</t>
  </si>
  <si>
    <t>Consumable Fuels</t>
  </si>
  <si>
    <t>100112</t>
  </si>
  <si>
    <t>Punjab National Bank</t>
  </si>
  <si>
    <t>INE160A01022</t>
  </si>
  <si>
    <t>102094</t>
  </si>
  <si>
    <t>HBL Engineering Ltd.</t>
  </si>
  <si>
    <t>INE292B01021</t>
  </si>
  <si>
    <t>Industrial Products</t>
  </si>
  <si>
    <t>100155</t>
  </si>
  <si>
    <t>Divi's Laboratories Ltd.</t>
  </si>
  <si>
    <t>INE361B01024</t>
  </si>
  <si>
    <t>Pharmaceuticals &amp; Biotechnology</t>
  </si>
  <si>
    <t>100153</t>
  </si>
  <si>
    <t>Cipla Ltd.</t>
  </si>
  <si>
    <t>INE059A01026</t>
  </si>
  <si>
    <t>100014</t>
  </si>
  <si>
    <t>Mahindra &amp; Mahindra Ltd.</t>
  </si>
  <si>
    <t>INE101A01026</t>
  </si>
  <si>
    <t>Automobiles</t>
  </si>
  <si>
    <t>100147</t>
  </si>
  <si>
    <t>Tech Mahindra Ltd.</t>
  </si>
  <si>
    <t>INE669C01036</t>
  </si>
  <si>
    <t>100083</t>
  </si>
  <si>
    <t>Samvardhana Motherson International Ltd.</t>
  </si>
  <si>
    <t>INE775A01035</t>
  </si>
  <si>
    <t>Auto Components</t>
  </si>
  <si>
    <t>102449</t>
  </si>
  <si>
    <t>Swiggy Ltd.</t>
  </si>
  <si>
    <t>INE00H001014</t>
  </si>
  <si>
    <t>Retailing</t>
  </si>
  <si>
    <t>101178</t>
  </si>
  <si>
    <t>Computer Age Management Services Ltd.</t>
  </si>
  <si>
    <t>INE596I01012</t>
  </si>
  <si>
    <t>Capital Markets</t>
  </si>
  <si>
    <t>100182</t>
  </si>
  <si>
    <t>Power Grid Corporation of India Ltd.</t>
  </si>
  <si>
    <t>INE752E01010</t>
  </si>
  <si>
    <t>Power</t>
  </si>
  <si>
    <t>100133</t>
  </si>
  <si>
    <t>Oracle Financial Services Software Ltd.</t>
  </si>
  <si>
    <t>INE881D01027</t>
  </si>
  <si>
    <t>102520</t>
  </si>
  <si>
    <t>Transrail Lighting Ltd.</t>
  </si>
  <si>
    <t>INE454P01035</t>
  </si>
  <si>
    <t>Electrical Equipment</t>
  </si>
  <si>
    <t>100095</t>
  </si>
  <si>
    <t>Bharti Airtel Ltd.</t>
  </si>
  <si>
    <t>INE397D01024</t>
  </si>
  <si>
    <t>Telecom - Services</t>
  </si>
  <si>
    <t>100191</t>
  </si>
  <si>
    <t>Canara Bank</t>
  </si>
  <si>
    <t>INE476A01022</t>
  </si>
  <si>
    <t>100026</t>
  </si>
  <si>
    <t>Persistent Systems Ltd.</t>
  </si>
  <si>
    <t>INE262H01021</t>
  </si>
  <si>
    <t>100759</t>
  </si>
  <si>
    <t>The New India Assurance Co. Ltd.</t>
  </si>
  <si>
    <t>INE470Y01017</t>
  </si>
  <si>
    <t>Insurance</t>
  </si>
  <si>
    <t>100399</t>
  </si>
  <si>
    <t>Cholamandalam Investment &amp; Finance Co. Ltd.</t>
  </si>
  <si>
    <t>INE121A01024</t>
  </si>
  <si>
    <t>102206</t>
  </si>
  <si>
    <t>Chemtech Industrial Valves Ltd.</t>
  </si>
  <si>
    <t>INE212P01011</t>
  </si>
  <si>
    <t>Industrial Manufacturing</t>
  </si>
  <si>
    <t>100292</t>
  </si>
  <si>
    <t>Steel Authority of India Ltd.</t>
  </si>
  <si>
    <t>INE114A01011</t>
  </si>
  <si>
    <t>Ferrous Metals</t>
  </si>
  <si>
    <t>100080</t>
  </si>
  <si>
    <t>Dr. Reddy's Laboratories Ltd.</t>
  </si>
  <si>
    <t>INE089A01031</t>
  </si>
  <si>
    <t>100078</t>
  </si>
  <si>
    <t>Sanghi Industries Ltd.</t>
  </si>
  <si>
    <t>INE999B01013</t>
  </si>
  <si>
    <t>Cement &amp; Cement Products</t>
  </si>
  <si>
    <t>100659</t>
  </si>
  <si>
    <t>Visaka Industries Ltd.</t>
  </si>
  <si>
    <t>INE392A01021</t>
  </si>
  <si>
    <t>100227</t>
  </si>
  <si>
    <t>Jubilant Foodworks Ltd.</t>
  </si>
  <si>
    <t>INE797F01020</t>
  </si>
  <si>
    <t>Leisure Services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</si>
  <si>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</si>
  <si>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</si>
  <si>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</si>
  <si>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</si>
  <si>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</si>
  <si>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</si>
  <si>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</si>
  <si>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</si>
  <si>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</si>
  <si>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</si>
  <si>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</si>
  <si>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</si>
  <si>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</si>
  <si>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</si>
  <si>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</si>
  <si>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</si>
  <si>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</si>
  <si>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</si>
  <si>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</si>
  <si>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</si>
  <si>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</si>
  <si>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</si>
  <si>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</si>
  <si>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</si>
  <si>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</si>
  <si>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</si>
  <si>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</si>
  <si>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</si>
  <si>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</si>
  <si>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</si>
  <si>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</si>
  <si>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</si>
  <si>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</si>
  <si>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</si>
  <si>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</si>
  <si>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February 28, 2025</t>
  </si>
  <si>
    <t>March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</si>
  <si>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</si>
  <si>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</si>
  <si>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</si>
  <si>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</si>
  <si>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March 31, 2025.</t>
  </si>
  <si>
    <t>7. The Scheme did not declare any bonus during the month ended As on  March 31, 2025.</t>
  </si>
  <si>
    <t>8. Total outstanding exposure in derivative instruments as on As on  March 31, 2025 is Nil</t>
  </si>
  <si>
    <t>9. Total investments in Foreign Securities /ADRs/GDRs /Overseas ETFs as at As on  March 31, 2025 and its percentage to NAV is Nil.</t>
  </si>
  <si>
    <t>10. During the period, the portfolio turnover ratio is 0.65 times.</t>
  </si>
  <si>
    <t>      Portfolio Turnover Ratio = Lower of sales or purchase of securities divided by average AUM for 12 months ended As on  March 31, 2025</t>
  </si>
  <si>
    <t>11. The Scheme did not invest in repo transactions of corporate debt securities during the month ended As on  March 31, 2025.</t>
  </si>
  <si>
    <t>12. The Scheme did not invest in credit default swaps during the month ended As on  March 31, 2025.</t>
  </si>
  <si>
    <t>13. There are Nil instances of deviation from the valuation principles/guidelines during the month ended as on March 31st, 2025.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</si>
  <si>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</si>
  <si>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</si>
  <si>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</si>
  <si>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</si>
  <si>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</si>
  <si>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</si>
  <si>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</si>
  <si>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</si>
  <si>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</si>
  <si>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-</t>
  </si>
  <si>
    <t>Nifty 50 TRI (Additional Benchmark)</t>
  </si>
  <si>
    <t>NAV [Rs.] Per Unit (as on March 28,2025 :174.88)</t>
  </si>
  <si>
    <t>Taurus Elss Tax Saver Fund - Direct Plan Growth Option</t>
  </si>
  <si>
    <t>NAV [Rs.] Per Unit (as on March 28,2025 :190.28)</t>
  </si>
  <si>
    <t>Scheme Returns calculated According to trading day 28.03.2025</t>
  </si>
  <si>
    <t>BSE 500 TRI (Benchmark)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</si>
</sst>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7" fontId="1" fillId="0" borderId="13" xfId="1" applyNumberFormat="1" applyBorder="1" applyAlignment="1">
      <alignment horizontal="center"/>
    </xf>
    <xf numFmtId="0" fontId="11" fillId="0" borderId="0" xfId="0" applyFont="1"/>
    <xf numFmtId="0" fontId="14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B783BE40-52AB-4833-AC57-2C451A6698C1}"/>
    <cellStyle name="Hyperlink" xfId="2" builtinId="8"/>
    <cellStyle name="Normal" xfId="0" builtinId="0"/>
    <cellStyle name="Normal 2" xfId="4" xr:uid="{E35C0BF0-BE32-45D8-BBE5-D3C61DFCD7F8}"/>
    <cellStyle name="Style 1" xfId="3" xr:uid="{96D0E353-AF5B-4E5B-80A6-20EA05F9D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1920240</xdr:rowOff>
    </xdr:to>
    <xdr:pic>
      <xdr:nvPicPr>
        <xdr:cNvPr id="2" name="Picture 1" descr="Product Label - 9th Dec 2024 - ELSS.jpg">
          <a:extLst>
            <a:ext uri="{FF2B5EF4-FFF2-40B4-BE49-F238E27FC236}">
              <a16:creationId xmlns:a16="http://schemas.microsoft.com/office/drawing/2014/main" id="{62EFE8CD-B323-49B7-A99A-3775C7FE1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20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Half%20Yearly%20Reports\2024-25\March%202025\Half%20Yearly%20Portfolio\Final%20Report\TMF_Half%20Yearly_Portfolio_Report_March%2025.xls" TargetMode="External"/><Relationship Id="rId1" Type="http://schemas.openxmlformats.org/officeDocument/2006/relationships/externalLinkPath" Target="file:///Q:\5.TMF\Reporting\Half%20Yearly%20Reports\2024-25\March%202025\Half%20Yearly%20Portfolio\Final%20Report\TMF_Half%20Yearly_Portfolio_Report_March%2025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Mar_2025\Final\TMF_Monthly_Portfolio_Report_March%2025.xls" TargetMode="External"/><Relationship Id="rId1" Type="http://schemas.openxmlformats.org/officeDocument/2006/relationships/externalLinkPath" Target="file:///Q:\5.TMF\Reporting\Monthly%20Reports\Monthly%20Portfolio\2024-25\Mar_2025\Final\TMF_Monthly_Portfolio_Report_March%2025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Audit\All%20Audit\Operations\MIS%20Reports\FY2025-26\1.%20APR%202025\Half%20Yearly%20Portfolio\Ops\TTS_Half%20Yearly_Portfolio_March%2025.xlsx" TargetMode="External"/><Relationship Id="rId1" Type="http://schemas.openxmlformats.org/officeDocument/2006/relationships/externalLinkPath" Target="/Audit/All%20Audit/Operations/MIS%20Reports/FY2025-26/1.%20APR%202025/Half%20Yearly%20Portfolio/Ops/TTS_Half%20Yearly_Portfolio_March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  <sheetName val="Annex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TS-Risk-O-Meter &amp; Portfolio"/>
      <sheetName val="TTS Performance"/>
      <sheetName val="Annexure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785D-3B84-4683-A07B-9146FA0495B9}">
  <dimension ref="A1:BB114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45747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41375</v>
      </c>
      <c r="H10" s="32">
        <v>756.54</v>
      </c>
      <c r="I10" s="32">
        <v>10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5200</v>
      </c>
      <c r="H11" s="32">
        <v>648.47</v>
      </c>
      <c r="I11" s="32">
        <v>8.57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41805</v>
      </c>
      <c r="H12" s="32">
        <v>563.70000000000005</v>
      </c>
      <c r="I12" s="32">
        <v>7.45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28191</v>
      </c>
      <c r="H13" s="32">
        <v>448.5</v>
      </c>
      <c r="I13" s="32">
        <v>5.93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23293</v>
      </c>
      <c r="H14" s="32">
        <v>393.97</v>
      </c>
      <c r="I14" s="32">
        <v>5.21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29</v>
      </c>
      <c r="G15" s="31">
        <v>21339</v>
      </c>
      <c r="H15" s="32">
        <v>335.11</v>
      </c>
      <c r="I15" s="32">
        <v>4.43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80000</v>
      </c>
      <c r="H16" s="32">
        <v>327.84</v>
      </c>
      <c r="I16" s="32">
        <v>4.33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28650</v>
      </c>
      <c r="H17" s="32">
        <v>315.69</v>
      </c>
      <c r="I17" s="32">
        <v>4.17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65000</v>
      </c>
      <c r="H18" s="32">
        <v>258.99</v>
      </c>
      <c r="I18" s="32">
        <v>3.42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258600</v>
      </c>
      <c r="H19" s="32">
        <v>248.59</v>
      </c>
      <c r="I19" s="32">
        <v>3.29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50393</v>
      </c>
      <c r="H20" s="32">
        <v>237.93</v>
      </c>
      <c r="I20" s="32">
        <v>3.15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3856</v>
      </c>
      <c r="H21" s="32">
        <v>222.61</v>
      </c>
      <c r="I21" s="32">
        <v>2.94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58</v>
      </c>
      <c r="G22" s="31">
        <v>13798</v>
      </c>
      <c r="H22" s="32">
        <v>198.93</v>
      </c>
      <c r="I22" s="32">
        <v>2.63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7337</v>
      </c>
      <c r="H23" s="32">
        <v>195.63</v>
      </c>
      <c r="I23" s="32">
        <v>2.59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29</v>
      </c>
      <c r="G24" s="31">
        <v>13694</v>
      </c>
      <c r="H24" s="32">
        <v>194.18</v>
      </c>
      <c r="I24" s="32">
        <v>2.57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146565</v>
      </c>
      <c r="H25" s="32">
        <v>192</v>
      </c>
      <c r="I25" s="32">
        <v>2.54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46514</v>
      </c>
      <c r="H26" s="32">
        <v>153.44999999999999</v>
      </c>
      <c r="I26" s="32">
        <v>2.0299999999999998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4035</v>
      </c>
      <c r="H27" s="32">
        <v>149.9</v>
      </c>
      <c r="I27" s="32">
        <v>1.98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49054</v>
      </c>
      <c r="H28" s="32">
        <v>142.47999999999999</v>
      </c>
      <c r="I28" s="32">
        <v>1.88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29</v>
      </c>
      <c r="G29" s="31">
        <v>1712</v>
      </c>
      <c r="H29" s="32">
        <v>134.28</v>
      </c>
      <c r="I29" s="32">
        <v>1.77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25973</v>
      </c>
      <c r="H30" s="32">
        <v>120.11</v>
      </c>
      <c r="I30" s="32">
        <v>1.59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4805</v>
      </c>
      <c r="H31" s="32">
        <v>83.17</v>
      </c>
      <c r="I31" s="32">
        <v>1.1000000000000001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18</v>
      </c>
      <c r="G32" s="31">
        <v>93200</v>
      </c>
      <c r="H32" s="32">
        <v>82.97</v>
      </c>
      <c r="I32" s="32">
        <v>1.1000000000000001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29</v>
      </c>
      <c r="G33" s="31">
        <v>1432</v>
      </c>
      <c r="H33" s="32">
        <v>78.790000000000006</v>
      </c>
      <c r="I33" s="32">
        <v>1.04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48599</v>
      </c>
      <c r="H34" s="32">
        <v>75.11</v>
      </c>
      <c r="I34" s="32">
        <v>0.99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22</v>
      </c>
      <c r="G35" s="31">
        <v>4335</v>
      </c>
      <c r="H35" s="32">
        <v>65.87</v>
      </c>
      <c r="I35" s="32">
        <v>0.87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50000</v>
      </c>
      <c r="H36" s="32">
        <v>53.85</v>
      </c>
      <c r="I36" s="32">
        <v>0.71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45110</v>
      </c>
      <c r="H37" s="32">
        <v>51.81</v>
      </c>
      <c r="I37" s="32">
        <v>0.68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58</v>
      </c>
      <c r="G38" s="31">
        <v>4225</v>
      </c>
      <c r="H38" s="32">
        <v>48.34</v>
      </c>
      <c r="I38" s="32">
        <v>0.64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72548</v>
      </c>
      <c r="H39" s="32">
        <v>43.05</v>
      </c>
      <c r="I39" s="32">
        <v>0.56999999999999995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123</v>
      </c>
      <c r="G40" s="31">
        <v>38828</v>
      </c>
      <c r="H40" s="32">
        <v>22.17</v>
      </c>
      <c r="I40" s="32">
        <v>0.28999999999999998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130</v>
      </c>
      <c r="G41" s="31">
        <v>2241</v>
      </c>
      <c r="H41" s="32">
        <v>14.89</v>
      </c>
      <c r="I41" s="32">
        <v>0.2</v>
      </c>
      <c r="J41" s="33"/>
    </row>
    <row r="42" spans="2:10" x14ac:dyDescent="0.25">
      <c r="C42" s="28" t="s">
        <v>131</v>
      </c>
      <c r="D42" s="29"/>
      <c r="E42" s="30"/>
      <c r="F42" s="30"/>
      <c r="G42" s="31"/>
      <c r="H42" s="35">
        <v>6858.92</v>
      </c>
      <c r="I42" s="35">
        <v>90.66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132</v>
      </c>
      <c r="D44" s="29"/>
      <c r="E44" s="30"/>
      <c r="F44" s="30"/>
      <c r="G44" s="31"/>
      <c r="H44" s="32" t="s">
        <v>133</v>
      </c>
      <c r="I44" s="32" t="s">
        <v>133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134</v>
      </c>
      <c r="D46" s="29"/>
      <c r="E46" s="30"/>
      <c r="F46" s="30"/>
      <c r="G46" s="31"/>
      <c r="H46" s="32" t="s">
        <v>133</v>
      </c>
      <c r="I46" s="32" t="s">
        <v>133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135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136</v>
      </c>
      <c r="D50" s="29"/>
      <c r="E50" s="30"/>
      <c r="F50" s="30"/>
      <c r="G50" s="31"/>
      <c r="H50" s="32" t="s">
        <v>133</v>
      </c>
      <c r="I50" s="32" t="s">
        <v>133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137</v>
      </c>
      <c r="D52" s="29"/>
      <c r="E52" s="30"/>
      <c r="F52" s="30"/>
      <c r="G52" s="31"/>
      <c r="H52" s="32" t="s">
        <v>133</v>
      </c>
      <c r="I52" s="32" t="s">
        <v>133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138</v>
      </c>
      <c r="D54" s="29"/>
      <c r="E54" s="30"/>
      <c r="F54" s="30"/>
      <c r="G54" s="31"/>
      <c r="H54" s="32" t="s">
        <v>133</v>
      </c>
      <c r="I54" s="32" t="s">
        <v>133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139</v>
      </c>
      <c r="D56" s="29"/>
      <c r="E56" s="30"/>
      <c r="F56" s="30"/>
      <c r="G56" s="31"/>
      <c r="H56" s="32" t="s">
        <v>133</v>
      </c>
      <c r="I56" s="32" t="s">
        <v>133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140</v>
      </c>
      <c r="D58" s="29"/>
      <c r="E58" s="30"/>
      <c r="F58" s="30"/>
      <c r="G58" s="31"/>
      <c r="H58" s="32" t="s">
        <v>133</v>
      </c>
      <c r="I58" s="32" t="s">
        <v>133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141</v>
      </c>
      <c r="D60" s="29"/>
      <c r="E60" s="30"/>
      <c r="F60" s="30"/>
      <c r="G60" s="31"/>
      <c r="H60" s="32"/>
      <c r="I60" s="32"/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142</v>
      </c>
      <c r="D62" s="29"/>
      <c r="E62" s="30"/>
      <c r="F62" s="30"/>
      <c r="G62" s="31"/>
      <c r="H62" s="32" t="s">
        <v>133</v>
      </c>
      <c r="I62" s="32" t="s">
        <v>133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143</v>
      </c>
      <c r="D64" s="29"/>
      <c r="E64" s="30"/>
      <c r="F64" s="30"/>
      <c r="G64" s="31"/>
      <c r="H64" s="32" t="s">
        <v>133</v>
      </c>
      <c r="I64" s="32" t="s">
        <v>133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144</v>
      </c>
      <c r="D66" s="29"/>
      <c r="E66" s="30"/>
      <c r="F66" s="30"/>
      <c r="G66" s="31"/>
      <c r="H66" s="32" t="s">
        <v>133</v>
      </c>
      <c r="I66" s="32" t="s">
        <v>133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145</v>
      </c>
      <c r="D68" s="29"/>
      <c r="E68" s="30"/>
      <c r="F68" s="30"/>
      <c r="G68" s="31"/>
      <c r="H68" s="32" t="s">
        <v>133</v>
      </c>
      <c r="I68" s="32" t="s">
        <v>133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146</v>
      </c>
      <c r="D70" s="29"/>
      <c r="E70" s="30"/>
      <c r="F70" s="30"/>
      <c r="G70" s="31"/>
      <c r="H70" s="32"/>
      <c r="I70" s="32"/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147</v>
      </c>
      <c r="D72" s="29"/>
      <c r="E72" s="30"/>
      <c r="F72" s="30"/>
      <c r="G72" s="31"/>
      <c r="H72" s="32" t="s">
        <v>133</v>
      </c>
      <c r="I72" s="32" t="s">
        <v>133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148</v>
      </c>
      <c r="D74" s="29"/>
      <c r="E74" s="30"/>
      <c r="F74" s="30"/>
      <c r="G74" s="31"/>
      <c r="H74" s="32" t="s">
        <v>133</v>
      </c>
      <c r="I74" s="32" t="s">
        <v>133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149</v>
      </c>
      <c r="D76" s="29"/>
      <c r="E76" s="30"/>
      <c r="F76" s="30"/>
      <c r="G76" s="31"/>
      <c r="H76" s="32" t="s">
        <v>133</v>
      </c>
      <c r="I76" s="32" t="s">
        <v>133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150</v>
      </c>
      <c r="D78" s="29"/>
      <c r="E78" s="30"/>
      <c r="F78" s="30"/>
      <c r="G78" s="31"/>
      <c r="H78" s="32" t="s">
        <v>133</v>
      </c>
      <c r="I78" s="32" t="s">
        <v>133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151</v>
      </c>
      <c r="D80" s="29"/>
      <c r="E80" s="30"/>
      <c r="F80" s="30"/>
      <c r="G80" s="31"/>
      <c r="H80" s="32" t="s">
        <v>133</v>
      </c>
      <c r="I80" s="32" t="s">
        <v>133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152</v>
      </c>
      <c r="D82" s="29"/>
      <c r="E82" s="30"/>
      <c r="F82" s="30"/>
      <c r="G82" s="31"/>
      <c r="H82" s="32" t="s">
        <v>133</v>
      </c>
      <c r="I82" s="32" t="s">
        <v>133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A84" s="26"/>
      <c r="B84" s="27"/>
      <c r="C84" s="28" t="s">
        <v>153</v>
      </c>
      <c r="D84" s="29"/>
      <c r="E84" s="30"/>
      <c r="F84" s="30"/>
      <c r="G84" s="31"/>
      <c r="H84" s="32"/>
      <c r="I84" s="32"/>
      <c r="J84" s="33"/>
    </row>
    <row r="85" spans="1:10" x14ac:dyDescent="0.25">
      <c r="B85" s="1"/>
      <c r="C85" s="20" t="s">
        <v>154</v>
      </c>
      <c r="D85" s="29"/>
      <c r="E85" s="30"/>
      <c r="F85" s="30"/>
      <c r="G85" s="31"/>
      <c r="H85" s="32">
        <v>706.21</v>
      </c>
      <c r="I85" s="32">
        <v>9.34</v>
      </c>
      <c r="J85" s="33"/>
    </row>
    <row r="86" spans="1:10" x14ac:dyDescent="0.25">
      <c r="C86" s="28" t="s">
        <v>131</v>
      </c>
      <c r="D86" s="29"/>
      <c r="E86" s="30"/>
      <c r="F86" s="30"/>
      <c r="G86" s="31"/>
      <c r="H86" s="35">
        <v>706.21</v>
      </c>
      <c r="I86" s="35">
        <v>9.34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ht="14.25" thickBot="1" x14ac:dyDescent="0.3">
      <c r="C88" s="36" t="s">
        <v>155</v>
      </c>
      <c r="D88" s="37"/>
      <c r="E88" s="38"/>
      <c r="F88" s="39"/>
      <c r="G88" s="40"/>
      <c r="H88" s="41">
        <v>7565.13</v>
      </c>
      <c r="I88" s="41">
        <f>SUMIFS(I:I,C:C,"Total")</f>
        <v>100</v>
      </c>
      <c r="J88" s="42"/>
    </row>
    <row r="91" spans="1:10" x14ac:dyDescent="0.25">
      <c r="C91" s="11" t="s">
        <v>156</v>
      </c>
    </row>
    <row r="92" spans="1:10" x14ac:dyDescent="0.25">
      <c r="C92" s="2" t="s">
        <v>157</v>
      </c>
    </row>
    <row r="93" spans="1:10" x14ac:dyDescent="0.25">
      <c r="C93" s="2" t="s">
        <v>158</v>
      </c>
    </row>
    <row r="94" spans="1:10" x14ac:dyDescent="0.25">
      <c r="C94" s="2" t="s">
        <v>159</v>
      </c>
    </row>
    <row r="95" spans="1:10" x14ac:dyDescent="0.25">
      <c r="C95" s="2" t="s">
        <v>160</v>
      </c>
    </row>
    <row r="96" spans="1:10" x14ac:dyDescent="0.25">
      <c r="C96" s="2" t="s">
        <v>161</v>
      </c>
    </row>
    <row r="97" spans="3:5" x14ac:dyDescent="0.25">
      <c r="C97" s="2" t="s">
        <v>162</v>
      </c>
    </row>
    <row r="98" spans="3:5" x14ac:dyDescent="0.25">
      <c r="D98" s="2" t="s">
        <v>163</v>
      </c>
    </row>
    <row r="99" spans="3:5" x14ac:dyDescent="0.25">
      <c r="C99" s="2" t="s">
        <v>164</v>
      </c>
      <c r="D99" s="2" t="s">
        <v>165</v>
      </c>
      <c r="E99" s="2" t="s">
        <v>165</v>
      </c>
    </row>
    <row r="100" spans="3:5" x14ac:dyDescent="0.25">
      <c r="D100" s="2" t="s">
        <v>166</v>
      </c>
      <c r="E100" s="2" t="s">
        <v>167</v>
      </c>
    </row>
    <row r="101" spans="3:5" x14ac:dyDescent="0.25">
      <c r="C101" s="2" t="s">
        <v>168</v>
      </c>
      <c r="D101" s="2">
        <v>78</v>
      </c>
      <c r="E101" s="2">
        <v>81.91</v>
      </c>
    </row>
    <row r="102" spans="3:5" x14ac:dyDescent="0.25">
      <c r="C102" s="2" t="s">
        <v>169</v>
      </c>
      <c r="D102" s="2">
        <v>166.5</v>
      </c>
      <c r="E102" s="2">
        <v>174.84</v>
      </c>
    </row>
    <row r="103" spans="3:5" x14ac:dyDescent="0.25">
      <c r="C103" s="2" t="s">
        <v>170</v>
      </c>
      <c r="D103" s="2">
        <v>83.46</v>
      </c>
      <c r="E103" s="2">
        <v>87.68</v>
      </c>
    </row>
    <row r="104" spans="3:5" x14ac:dyDescent="0.25">
      <c r="C104" s="2" t="s">
        <v>171</v>
      </c>
      <c r="D104" s="2">
        <v>181.09</v>
      </c>
      <c r="E104" s="2">
        <v>190.25</v>
      </c>
    </row>
    <row r="106" spans="3:5" x14ac:dyDescent="0.25">
      <c r="C106" s="2" t="s">
        <v>172</v>
      </c>
    </row>
    <row r="107" spans="3:5" x14ac:dyDescent="0.25">
      <c r="C107" s="2" t="s">
        <v>173</v>
      </c>
    </row>
    <row r="108" spans="3:5" x14ac:dyDescent="0.25">
      <c r="C108" s="2" t="s">
        <v>174</v>
      </c>
    </row>
    <row r="109" spans="3:5" x14ac:dyDescent="0.25">
      <c r="C109" s="2" t="s">
        <v>175</v>
      </c>
    </row>
    <row r="110" spans="3:5" x14ac:dyDescent="0.25">
      <c r="C110" s="2" t="s">
        <v>176</v>
      </c>
    </row>
    <row r="111" spans="3:5" x14ac:dyDescent="0.25">
      <c r="C111" s="2" t="s">
        <v>177</v>
      </c>
    </row>
    <row r="112" spans="3:5" x14ac:dyDescent="0.25">
      <c r="C112" s="2" t="s">
        <v>178</v>
      </c>
    </row>
    <row r="113" spans="3:3" x14ac:dyDescent="0.25">
      <c r="C113" s="2" t="s">
        <v>179</v>
      </c>
    </row>
    <row r="114" spans="3:3" x14ac:dyDescent="0.25">
      <c r="C114" s="2" t="s">
        <v>180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AB9F-4379-49BA-9D34-162BF1A0785C}">
  <dimension ref="B3:J19"/>
  <sheetViews>
    <sheetView workbookViewId="0"/>
  </sheetViews>
  <sheetFormatPr defaultRowHeight="15" x14ac:dyDescent="0.25"/>
  <cols>
    <col min="2" max="2" width="44.140625" customWidth="1"/>
    <col min="3" max="3" width="6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" bestFit="1" customWidth="1"/>
  </cols>
  <sheetData>
    <row r="3" spans="2:10" ht="15.75" x14ac:dyDescent="0.25">
      <c r="B3" s="43" t="s">
        <v>181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182</v>
      </c>
      <c r="C4" s="52" t="s">
        <v>183</v>
      </c>
      <c r="D4" s="52"/>
      <c r="E4" s="52" t="s">
        <v>184</v>
      </c>
      <c r="F4" s="52"/>
      <c r="G4" s="52" t="s">
        <v>185</v>
      </c>
      <c r="H4" s="52"/>
      <c r="I4" s="53" t="s">
        <v>186</v>
      </c>
      <c r="J4" s="53"/>
    </row>
    <row r="5" spans="2:10" ht="63.75" x14ac:dyDescent="0.25">
      <c r="B5" s="46"/>
      <c r="C5" s="47" t="s">
        <v>187</v>
      </c>
      <c r="D5" s="47" t="s">
        <v>188</v>
      </c>
      <c r="E5" s="47" t="s">
        <v>187</v>
      </c>
      <c r="F5" s="47" t="s">
        <v>188</v>
      </c>
      <c r="G5" s="47" t="s">
        <v>187</v>
      </c>
      <c r="H5" s="47" t="s">
        <v>188</v>
      </c>
      <c r="I5" s="48" t="s">
        <v>187</v>
      </c>
      <c r="J5" s="48" t="s">
        <v>188</v>
      </c>
    </row>
    <row r="6" spans="2:10" x14ac:dyDescent="0.25">
      <c r="B6" s="49" t="s">
        <v>189</v>
      </c>
      <c r="C6" s="50">
        <v>8.9934999999999992</v>
      </c>
      <c r="D6" s="50">
        <v>10899.345590526644</v>
      </c>
      <c r="E6" s="50">
        <v>16.607399999999998</v>
      </c>
      <c r="F6" s="50">
        <v>15862.131519274375</v>
      </c>
      <c r="G6" s="50">
        <v>23.565000000000001</v>
      </c>
      <c r="H6" s="50">
        <v>28839.05013192612</v>
      </c>
      <c r="I6" s="50">
        <v>11.9673</v>
      </c>
      <c r="J6" s="50">
        <v>174880</v>
      </c>
    </row>
    <row r="7" spans="2:10" x14ac:dyDescent="0.25">
      <c r="B7" s="49" t="s">
        <v>196</v>
      </c>
      <c r="C7" s="50">
        <v>5.9644000000000004</v>
      </c>
      <c r="D7" s="50">
        <v>10596.44</v>
      </c>
      <c r="E7" s="50">
        <v>14.3116</v>
      </c>
      <c r="F7" s="50">
        <v>14937.258973941851</v>
      </c>
      <c r="G7" s="50">
        <v>26.251000000000001</v>
      </c>
      <c r="H7" s="50">
        <v>32075.551602777035</v>
      </c>
      <c r="I7" s="50" t="s">
        <v>190</v>
      </c>
      <c r="J7" s="50" t="s">
        <v>190</v>
      </c>
    </row>
    <row r="8" spans="2:10" x14ac:dyDescent="0.25">
      <c r="B8" s="49" t="s">
        <v>191</v>
      </c>
      <c r="C8" s="50">
        <v>6.6536</v>
      </c>
      <c r="D8" s="50">
        <v>10665.359999999999</v>
      </c>
      <c r="E8" s="50">
        <v>12.262</v>
      </c>
      <c r="F8" s="50">
        <v>14148.106663687278</v>
      </c>
      <c r="G8" s="50">
        <v>23.486899999999999</v>
      </c>
      <c r="H8" s="50">
        <v>28714.710455893492</v>
      </c>
      <c r="I8" s="50">
        <v>13.1015</v>
      </c>
      <c r="J8" s="50">
        <v>355769.3519959728</v>
      </c>
    </row>
    <row r="9" spans="2:10" x14ac:dyDescent="0.25">
      <c r="B9" s="49" t="s">
        <v>192</v>
      </c>
      <c r="C9" s="54">
        <v>160.44999999999999</v>
      </c>
      <c r="D9" s="55"/>
      <c r="E9" s="54">
        <v>110.25</v>
      </c>
      <c r="F9" s="55"/>
      <c r="G9" s="54">
        <v>60.64</v>
      </c>
      <c r="H9" s="55"/>
      <c r="I9" s="54">
        <v>10</v>
      </c>
      <c r="J9" s="55"/>
    </row>
    <row r="11" spans="2:10" ht="15.75" x14ac:dyDescent="0.25">
      <c r="B11" s="43" t="s">
        <v>193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182</v>
      </c>
      <c r="C12" s="52" t="s">
        <v>183</v>
      </c>
      <c r="D12" s="52"/>
      <c r="E12" s="52" t="s">
        <v>184</v>
      </c>
      <c r="F12" s="52"/>
      <c r="G12" s="52" t="s">
        <v>185</v>
      </c>
      <c r="H12" s="52"/>
      <c r="I12" s="53" t="s">
        <v>186</v>
      </c>
      <c r="J12" s="53"/>
    </row>
    <row r="13" spans="2:10" ht="63.75" x14ac:dyDescent="0.25">
      <c r="B13" s="46"/>
      <c r="C13" s="47" t="s">
        <v>187</v>
      </c>
      <c r="D13" s="47" t="s">
        <v>188</v>
      </c>
      <c r="E13" s="47" t="s">
        <v>187</v>
      </c>
      <c r="F13" s="47" t="s">
        <v>188</v>
      </c>
      <c r="G13" s="47" t="s">
        <v>187</v>
      </c>
      <c r="H13" s="47" t="s">
        <v>188</v>
      </c>
      <c r="I13" s="48" t="s">
        <v>187</v>
      </c>
      <c r="J13" s="48" t="s">
        <v>188</v>
      </c>
    </row>
    <row r="14" spans="2:10" x14ac:dyDescent="0.25">
      <c r="B14" s="49" t="s">
        <v>189</v>
      </c>
      <c r="C14" s="50">
        <v>9.6715</v>
      </c>
      <c r="D14" s="50">
        <v>10967.1469740634</v>
      </c>
      <c r="E14" s="50">
        <v>17.3645</v>
      </c>
      <c r="F14" s="50">
        <v>16173.395665108372</v>
      </c>
      <c r="G14" s="50">
        <v>24.4206</v>
      </c>
      <c r="H14" s="50">
        <v>29852.525886413554</v>
      </c>
      <c r="I14" s="50">
        <v>13.813700000000001</v>
      </c>
      <c r="J14" s="50">
        <v>49180.666838976482</v>
      </c>
    </row>
    <row r="15" spans="2:10" x14ac:dyDescent="0.25">
      <c r="B15" s="49" t="s">
        <v>196</v>
      </c>
      <c r="C15" s="50">
        <v>5.9644000000000004</v>
      </c>
      <c r="D15" s="50">
        <v>10596.44</v>
      </c>
      <c r="E15" s="50">
        <v>14.3116</v>
      </c>
      <c r="F15" s="50">
        <v>14937.258973941851</v>
      </c>
      <c r="G15" s="50">
        <v>26.251000000000001</v>
      </c>
      <c r="H15" s="50">
        <v>32075.551602777035</v>
      </c>
      <c r="I15" s="50">
        <v>14.2463</v>
      </c>
      <c r="J15" s="50">
        <v>51056.522247960602</v>
      </c>
    </row>
    <row r="16" spans="2:10" x14ac:dyDescent="0.25">
      <c r="B16" s="49" t="s">
        <v>191</v>
      </c>
      <c r="C16" s="50">
        <v>6.6536</v>
      </c>
      <c r="D16" s="50">
        <v>10665.359999999999</v>
      </c>
      <c r="E16" s="50">
        <v>12.262</v>
      </c>
      <c r="F16" s="50">
        <v>14148.106663687278</v>
      </c>
      <c r="G16" s="50">
        <v>23.486899999999999</v>
      </c>
      <c r="H16" s="50">
        <v>28714.710455893492</v>
      </c>
      <c r="I16" s="50">
        <v>13.1746</v>
      </c>
      <c r="J16" s="50">
        <v>45493.1777597447</v>
      </c>
    </row>
    <row r="17" spans="2:10" x14ac:dyDescent="0.25">
      <c r="B17" s="49" t="s">
        <v>194</v>
      </c>
      <c r="C17" s="54">
        <v>173.5</v>
      </c>
      <c r="D17" s="55"/>
      <c r="E17" s="54">
        <v>117.65</v>
      </c>
      <c r="F17" s="55"/>
      <c r="G17" s="54">
        <v>63.74</v>
      </c>
      <c r="H17" s="55"/>
      <c r="I17" s="54">
        <v>38.69</v>
      </c>
      <c r="J17" s="55"/>
    </row>
    <row r="19" spans="2:10" x14ac:dyDescent="0.25">
      <c r="B19" s="51" t="s">
        <v>195</v>
      </c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</vt:lpstr>
      <vt:lpstr>TTS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2025-04-05T11:09:27Z</dcterms:created>
  <dcterms:modified xsi:type="dcterms:W3CDTF">2025-04-08T11:04:18Z</dcterms:modified>
</cp:coreProperties>
</file>