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Portfolio'!$C$8:$C$51</definedName>
    <definedName name="XDO_?FINAL_ISIN?3?">'TDF-Risk-O-Meter &amp; Portfolio'!$D$10:$D$51</definedName>
    <definedName name="XDO_?FINAL_ISIN?4?">'TDF-Risk-O-Meter &amp; Portfolio'!$D$10:$D$93</definedName>
    <definedName name="XDO_?FINAL_MV?3?">'TDF-Risk-O-Meter &amp; Portfolio'!$H$10:$H$51</definedName>
    <definedName name="XDO_?FINAL_MV?4?">'TDF-Risk-O-Meter &amp; Portfolio'!$H$10:$H$93</definedName>
    <definedName name="XDO_?FINAL_NAME?3?">'TDF-Risk-O-Meter &amp; Portfolio'!$C$10:$C$51</definedName>
    <definedName name="XDO_?FINAL_NAME?4?">'TDF-Risk-O-Meter &amp; Portfolio'!$C$10:$C$93</definedName>
    <definedName name="XDO_?FINAL_PER_NET?3?">'TDF-Risk-O-Meter &amp; Portfolio'!$I$10:$I$51</definedName>
    <definedName name="XDO_?FINAL_PER_NET?4?">'TDF-Risk-O-Meter &amp; Portfolio'!$I$10:$I$93</definedName>
    <definedName name="XDO_?FINAL_QUANTITE?3?">'TDF-Risk-O-Meter &amp; Portfolio'!$G$10:$G$51</definedName>
    <definedName name="XDO_?FINAL_QUANTITE?4?">'TDF-Risk-O-Meter &amp; Portfolio'!$G$10:$G$93</definedName>
    <definedName name="XDO_?IND_01?3?">'TDF-Risk-O-Meter &amp; Portfolio'!$F$10:$F$51</definedName>
    <definedName name="XDO_?IND_01?4?">'TDF-Risk-O-Meter &amp; Portfolio'!$F$10:$F$93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Portfolio'!$C$2:$C$51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Portfolio'!$B$10:$B$51</definedName>
    <definedName name="XDO_?NOVAL?4?">'TDF-Risk-O-Meter &amp; Portfolio'!$B$10:$B$93</definedName>
    <definedName name="XDO_?NPTF?2?">'TDF-Risk-O-Meter &amp; Portfolio'!$D$2:$D$51</definedName>
    <definedName name="XDO_?RATING?3?">'TDF-Risk-O-Meter &amp; Portfolio'!$E$10:$E$51</definedName>
    <definedName name="XDO_?RATING?4?">'TDF-Risk-O-Meter &amp; Portfolio'!$E$10:$E$93</definedName>
    <definedName name="XDO_?REMARKS?3?">'TDF-Risk-O-Meter &amp; Portfolio'!$J$10:$J$51</definedName>
    <definedName name="XDO_?REMARKS?4?">'TDF-Risk-O-Meter &amp; Portfolio'!$J$10:$J$93</definedName>
    <definedName name="XDO_?TITL?2?">'TDF-Risk-O-Meter &amp; Portfolio'!$A$8:$A$51</definedName>
    <definedName name="XDO_GROUP_?G_2?2?">'TDF-Risk-O-Meter &amp; Portfolio'!$2:$96</definedName>
    <definedName name="XDO_GROUP_?G_3?2?">'TDF-Risk-O-Meter &amp; Portfolio'!$8:$95</definedName>
    <definedName name="XDO_GROUP_?G_4?3?">'TDF-Risk-O-Meter &amp; Portfolio'!$B$10:$IV$51</definedName>
    <definedName name="XDO_GROUP_?G_4?4?">'TDF-Risk-O-Meter &amp; Portfolio'!$B$93:$IV$93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"/>
</calcChain>
</file>

<file path=xl/sharedStrings.xml><?xml version="1.0" encoding="utf-8"?>
<sst xmlns="http://schemas.openxmlformats.org/spreadsheetml/2006/main" count="280" uniqueCount="206">
  <si>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</si>
  <si>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</si>
  <si>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</si>
  <si>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</si>
  <si>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</si>
  <si>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</si>
  <si>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</si>
  <si>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</si>
  <si>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</si>
  <si>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</si>
  <si>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</si>
  <si>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</si>
  <si>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</si>
  <si>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</si>
  <si>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</si>
  <si>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</si>
  <si>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</si>
  <si>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</si>
  <si>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</si>
  <si>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101800</t>
  </si>
  <si>
    <t>Hindware Home Innovation Ltd.</t>
  </si>
  <si>
    <t>INE05AN01011</t>
  </si>
  <si>
    <t>Consumer Durables</t>
  </si>
  <si>
    <t>100281</t>
  </si>
  <si>
    <t>Century Textiles &amp; Industries Ltd.</t>
  </si>
  <si>
    <t>INE055A01016</t>
  </si>
  <si>
    <t>Paper, Forest &amp; Jute Products</t>
  </si>
  <si>
    <t>100719</t>
  </si>
  <si>
    <t>Mayur Uniquoters Ltd.</t>
  </si>
  <si>
    <t>INE040D01038</t>
  </si>
  <si>
    <t>100476</t>
  </si>
  <si>
    <t>Caplin Point Laboratories Ltd.</t>
  </si>
  <si>
    <t>INE475E01026</t>
  </si>
  <si>
    <t>100398</t>
  </si>
  <si>
    <t>Aditya Birla Fashion and Retail Ltd.</t>
  </si>
  <si>
    <t>INE647O01011</t>
  </si>
  <si>
    <t>Retailing</t>
  </si>
  <si>
    <t>100843</t>
  </si>
  <si>
    <t>Dalmia Bharat Ltd.</t>
  </si>
  <si>
    <t>INE00R701025</t>
  </si>
  <si>
    <t>Cement &amp; Cement Products</t>
  </si>
  <si>
    <t>100195</t>
  </si>
  <si>
    <t>REC Ltd.</t>
  </si>
  <si>
    <t>INE020B01018</t>
  </si>
  <si>
    <t>Finance</t>
  </si>
  <si>
    <t>100740</t>
  </si>
  <si>
    <t>Sterlite Technologies Ltd.</t>
  </si>
  <si>
    <t>INE089C01029</t>
  </si>
  <si>
    <t>Telecom - Services</t>
  </si>
  <si>
    <t>100570</t>
  </si>
  <si>
    <t>K.P.R. Mill Ltd.</t>
  </si>
  <si>
    <t>INE930H01031</t>
  </si>
  <si>
    <t>Textiles &amp; Apparels</t>
  </si>
  <si>
    <t>100461</t>
  </si>
  <si>
    <t>Astral Ltd.</t>
  </si>
  <si>
    <t>INE006I01046</t>
  </si>
  <si>
    <t>Industrial Products</t>
  </si>
  <si>
    <t>101415</t>
  </si>
  <si>
    <t>Hindustan Oil Exploration Co. Ltd.</t>
  </si>
  <si>
    <t>INE345A01011</t>
  </si>
  <si>
    <t>Oil</t>
  </si>
  <si>
    <t>100055</t>
  </si>
  <si>
    <t>The Federal Bank Ltd.</t>
  </si>
  <si>
    <t>INE171A01029</t>
  </si>
  <si>
    <t>Banks</t>
  </si>
  <si>
    <t>100234</t>
  </si>
  <si>
    <t>Coforge Ltd.</t>
  </si>
  <si>
    <t>INE591G01017</t>
  </si>
  <si>
    <t>IT - Software</t>
  </si>
  <si>
    <t>100088</t>
  </si>
  <si>
    <t>Bharat Heavy Electricals Ltd.</t>
  </si>
  <si>
    <t>INE257A01026</t>
  </si>
  <si>
    <t>Electrical Equipment</t>
  </si>
  <si>
    <t>101152</t>
  </si>
  <si>
    <t>Sumitomo Chemical India Ltd.</t>
  </si>
  <si>
    <t>INE258G01013</t>
  </si>
  <si>
    <t>Fertilizers &amp; Agrochemicals</t>
  </si>
  <si>
    <t>100112</t>
  </si>
  <si>
    <t>Punjab National Bank</t>
  </si>
  <si>
    <t>INE160A01022</t>
  </si>
  <si>
    <t>100271</t>
  </si>
  <si>
    <t>Balkrishna Industries Ltd.</t>
  </si>
  <si>
    <t>INE787D01026</t>
  </si>
  <si>
    <t>Auto Components</t>
  </si>
  <si>
    <t>100371</t>
  </si>
  <si>
    <t>Sun TV Network Ltd.</t>
  </si>
  <si>
    <t>INE424H01027</t>
  </si>
  <si>
    <t>Entertainment</t>
  </si>
  <si>
    <t>100116</t>
  </si>
  <si>
    <t>Sundaram Finance Ltd.</t>
  </si>
  <si>
    <t>INE660A01013</t>
  </si>
  <si>
    <t>100090</t>
  </si>
  <si>
    <t>Bharat Forge Ltd.</t>
  </si>
  <si>
    <t>INE465A01025</t>
  </si>
  <si>
    <t>100222</t>
  </si>
  <si>
    <t>The Indian Hotels Company Ltd.</t>
  </si>
  <si>
    <t>INE053A01029</t>
  </si>
  <si>
    <t>Leisure Services</t>
  </si>
  <si>
    <t>101574</t>
  </si>
  <si>
    <t>Linde India Ltd.</t>
  </si>
  <si>
    <t>INE473A01011</t>
  </si>
  <si>
    <t>Chemicals &amp; Petrochemicals</t>
  </si>
  <si>
    <t>100471</t>
  </si>
  <si>
    <t>Endurance Technologies Ltd.</t>
  </si>
  <si>
    <t>INE913H01037</t>
  </si>
  <si>
    <t>100435</t>
  </si>
  <si>
    <t>Crompton Greaves Consumer Electricals Ltd.</t>
  </si>
  <si>
    <t>INE299U01018</t>
  </si>
  <si>
    <t>100426</t>
  </si>
  <si>
    <t>Relaxo Footwears Ltd.</t>
  </si>
  <si>
    <t>INE131B01039</t>
  </si>
  <si>
    <t>100161</t>
  </si>
  <si>
    <t>Cummins India Ltd.</t>
  </si>
  <si>
    <t>INE298A01020</t>
  </si>
  <si>
    <t>100042</t>
  </si>
  <si>
    <t>LIC Housing Finance Ltd.</t>
  </si>
  <si>
    <t>INE115A01026</t>
  </si>
  <si>
    <t>100107</t>
  </si>
  <si>
    <t>Max Financial Services Ltd.</t>
  </si>
  <si>
    <t>INE180A01020</t>
  </si>
  <si>
    <t>Insurance</t>
  </si>
  <si>
    <t>100168</t>
  </si>
  <si>
    <t>Escorts Kubota Ltd.</t>
  </si>
  <si>
    <t>INE042A01014</t>
  </si>
  <si>
    <t>Agricultural, Commercial &amp; Construction Vehicles</t>
  </si>
  <si>
    <t>100335</t>
  </si>
  <si>
    <t>Kajaria Ceramics Ltd.</t>
  </si>
  <si>
    <t>INE217B01036</t>
  </si>
  <si>
    <t>100068</t>
  </si>
  <si>
    <t>Kansai Nerolac Paints Ltd.</t>
  </si>
  <si>
    <t>INE531A01024</t>
  </si>
  <si>
    <t>100728</t>
  </si>
  <si>
    <t>Welspun Corp Ltd.</t>
  </si>
  <si>
    <t>INE191B01025</t>
  </si>
  <si>
    <t>100242</t>
  </si>
  <si>
    <t>Schaeffler India Ltd.</t>
  </si>
  <si>
    <t>INE513A01022</t>
  </si>
  <si>
    <t>100026</t>
  </si>
  <si>
    <t>Persistent Systems Ltd.</t>
  </si>
  <si>
    <t>INE262H01013</t>
  </si>
  <si>
    <t>100227</t>
  </si>
  <si>
    <t>Jubilant Foodworks Ltd.</t>
  </si>
  <si>
    <t>INE797F01020</t>
  </si>
  <si>
    <t>100143</t>
  </si>
  <si>
    <t>Thermax Ltd.</t>
  </si>
  <si>
    <t>INE152A01029</t>
  </si>
  <si>
    <t>100814</t>
  </si>
  <si>
    <t>HDFC Asset Management Co. Ltd.</t>
  </si>
  <si>
    <t>INE127D01025</t>
  </si>
  <si>
    <t>Capital Markets</t>
  </si>
  <si>
    <t>100093</t>
  </si>
  <si>
    <t>Blue Dart Express Ltd.</t>
  </si>
  <si>
    <t>INE233B01017</t>
  </si>
  <si>
    <t>Transport Services</t>
  </si>
  <si>
    <t>100144</t>
  </si>
  <si>
    <t>Voltas Ltd.</t>
  </si>
  <si>
    <t>INE226A01021</t>
  </si>
  <si>
    <t>100665</t>
  </si>
  <si>
    <t>Aditya Birla Capital Ltd.</t>
  </si>
  <si>
    <t>INE674K01013</t>
  </si>
  <si>
    <t>101718</t>
  </si>
  <si>
    <t>Faze Three Ltd.</t>
  </si>
  <si>
    <t>INE963C01033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</si>
  <si>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</si>
  <si>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</si>
  <si>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</si>
  <si>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</si>
  <si>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</si>
  <si>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</si>
  <si>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</si>
  <si>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</si>
  <si>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</si>
  <si>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</si>
  <si>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</si>
  <si>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</si>
  <si>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</si>
  <si>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</si>
  <si>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</si>
  <si>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</si>
  <si>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</si>
  <si>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</si>
  <si>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</si>
  <si>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</si>
  <si>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</si>
  <si>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</si>
  <si>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</si>
  <si>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</si>
  <si>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</si>
  <si>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</si>
  <si>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</si>
  <si>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</si>
  <si>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</si>
  <si>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</si>
  <si>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</si>
  <si>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</si>
  <si>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</si>
  <si>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</si>
  <si>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</si>
  <si>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</si>
  <si>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</si>
  <si>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</si>
  <si>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</si>
  <si>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May 31, 2023 : 81.94)</t>
  </si>
  <si>
    <t>Taurus Discovery (Midcap) Fund-Direct Plan-Growth Option</t>
  </si>
  <si>
    <t>NAV [Rs.] Per Unit (as on May 31, 2023 : 85.79)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</si>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</sst>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2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3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51750</v>
      </c>
      <c r="H10" s="32">
        <v>629.88</v>
      </c>
      <c r="I10" s="32">
        <v>7.67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80000</v>
      </c>
      <c r="H11" s="32">
        <v>409.36</v>
      </c>
      <c r="I11" s="32">
        <v>4.99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50000</v>
      </c>
      <c r="H12" s="32">
        <v>398.98</v>
      </c>
      <c r="I12" s="32">
        <v>4.8600000000000003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65000</v>
      </c>
      <c r="H13" s="32">
        <v>310.7</v>
      </c>
      <c r="I13" s="32">
        <v>3.78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40000</v>
      </c>
      <c r="H14" s="32">
        <v>298.72000000000003</v>
      </c>
      <c r="I14" s="32">
        <v>3.64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135000</v>
      </c>
      <c r="H15" s="32">
        <v>271.49</v>
      </c>
      <c r="I15" s="32">
        <v>3.31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12400</v>
      </c>
      <c r="H16" s="32">
        <v>263.92</v>
      </c>
      <c r="I16" s="32">
        <v>3.22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185000</v>
      </c>
      <c r="H17" s="32">
        <v>261.77999999999997</v>
      </c>
      <c r="I17" s="32">
        <v>3.19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175000</v>
      </c>
      <c r="H18" s="32">
        <v>260.83999999999997</v>
      </c>
      <c r="I18" s="32">
        <v>3.18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44500</v>
      </c>
      <c r="H19" s="32">
        <v>255.63</v>
      </c>
      <c r="I19" s="32">
        <v>3.11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14000</v>
      </c>
      <c r="H20" s="32">
        <v>254.92</v>
      </c>
      <c r="I20" s="32">
        <v>3.11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140000</v>
      </c>
      <c r="H21" s="32">
        <v>254.66</v>
      </c>
      <c r="I21" s="32">
        <v>3.1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200000</v>
      </c>
      <c r="H22" s="32">
        <v>250.4</v>
      </c>
      <c r="I22" s="32">
        <v>3.05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5200</v>
      </c>
      <c r="H23" s="32">
        <v>236.45</v>
      </c>
      <c r="I23" s="32">
        <v>2.88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265000</v>
      </c>
      <c r="H24" s="32">
        <v>216.9</v>
      </c>
      <c r="I24" s="32">
        <v>2.64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52500</v>
      </c>
      <c r="H25" s="32">
        <v>209.08</v>
      </c>
      <c r="I25" s="32">
        <v>2.5499999999999998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64</v>
      </c>
      <c r="G26" s="31">
        <v>400000</v>
      </c>
      <c r="H26" s="32">
        <v>207.4</v>
      </c>
      <c r="I26" s="32">
        <v>2.5299999999999998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9000</v>
      </c>
      <c r="H27" s="32">
        <v>204.53</v>
      </c>
      <c r="I27" s="32">
        <v>2.4900000000000002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42500</v>
      </c>
      <c r="H28" s="32">
        <v>188.25</v>
      </c>
      <c r="I28" s="32">
        <v>2.29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44</v>
      </c>
      <c r="G29" s="31">
        <v>7250</v>
      </c>
      <c r="H29" s="32">
        <v>184.67</v>
      </c>
      <c r="I29" s="32">
        <v>2.25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56</v>
      </c>
      <c r="G30" s="31">
        <v>22750</v>
      </c>
      <c r="H30" s="32">
        <v>180.01</v>
      </c>
      <c r="I30" s="32">
        <v>2.19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45500</v>
      </c>
      <c r="H31" s="32">
        <v>177.11</v>
      </c>
      <c r="I31" s="32">
        <v>2.16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4000</v>
      </c>
      <c r="H32" s="32">
        <v>158.22999999999999</v>
      </c>
      <c r="I32" s="32">
        <v>1.93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83</v>
      </c>
      <c r="G33" s="31">
        <v>11000</v>
      </c>
      <c r="H33" s="32">
        <v>157.66999999999999</v>
      </c>
      <c r="I33" s="32">
        <v>1.92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22</v>
      </c>
      <c r="G34" s="31">
        <v>55000</v>
      </c>
      <c r="H34" s="32">
        <v>150.97999999999999</v>
      </c>
      <c r="I34" s="32">
        <v>1.84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22</v>
      </c>
      <c r="G35" s="31">
        <v>16000</v>
      </c>
      <c r="H35" s="32">
        <v>144.25</v>
      </c>
      <c r="I35" s="32">
        <v>1.76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56</v>
      </c>
      <c r="G36" s="31">
        <v>8000</v>
      </c>
      <c r="H36" s="32">
        <v>141.05000000000001</v>
      </c>
      <c r="I36" s="32">
        <v>1.72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44</v>
      </c>
      <c r="G37" s="31">
        <v>37000</v>
      </c>
      <c r="H37" s="32">
        <v>137.66</v>
      </c>
      <c r="I37" s="32">
        <v>1.68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19000</v>
      </c>
      <c r="H38" s="32">
        <v>134.32</v>
      </c>
      <c r="I38" s="32">
        <v>1.64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5700</v>
      </c>
      <c r="H39" s="32">
        <v>123.87</v>
      </c>
      <c r="I39" s="32">
        <v>1.51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22</v>
      </c>
      <c r="G40" s="31">
        <v>9250</v>
      </c>
      <c r="H40" s="32">
        <v>118.25</v>
      </c>
      <c r="I40" s="32">
        <v>1.44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22</v>
      </c>
      <c r="G41" s="31">
        <v>26000</v>
      </c>
      <c r="H41" s="32">
        <v>114.63</v>
      </c>
      <c r="I41" s="32">
        <v>1.4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56</v>
      </c>
      <c r="G42" s="31">
        <v>45000</v>
      </c>
      <c r="H42" s="32">
        <v>113.67</v>
      </c>
      <c r="I42" s="32">
        <v>1.38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83</v>
      </c>
      <c r="G43" s="31">
        <v>3750</v>
      </c>
      <c r="H43" s="32">
        <v>110.94</v>
      </c>
      <c r="I43" s="32">
        <v>1.35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68</v>
      </c>
      <c r="G44" s="31">
        <v>2000</v>
      </c>
      <c r="H44" s="32">
        <v>102.72</v>
      </c>
      <c r="I44" s="32">
        <v>1.25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97</v>
      </c>
      <c r="G45" s="31">
        <v>21000</v>
      </c>
      <c r="H45" s="32">
        <v>101.54</v>
      </c>
      <c r="I45" s="32">
        <v>1.24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72</v>
      </c>
      <c r="G46" s="31">
        <v>4300</v>
      </c>
      <c r="H46" s="32">
        <v>100.38</v>
      </c>
      <c r="I46" s="32">
        <v>1.22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5000</v>
      </c>
      <c r="H47" s="32">
        <v>98.17</v>
      </c>
      <c r="I47" s="32">
        <v>1.2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1550</v>
      </c>
      <c r="H48" s="32">
        <v>96.32</v>
      </c>
      <c r="I48" s="32">
        <v>1.17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22</v>
      </c>
      <c r="G49" s="31">
        <v>7250</v>
      </c>
      <c r="H49" s="32">
        <v>59.58</v>
      </c>
      <c r="I49" s="32">
        <v>0.73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44</v>
      </c>
      <c r="G50" s="31">
        <v>17026</v>
      </c>
      <c r="H50" s="32">
        <v>28.97</v>
      </c>
      <c r="I50" s="32">
        <v>0.35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52</v>
      </c>
      <c r="G51" s="31">
        <v>4469</v>
      </c>
      <c r="H51" s="32">
        <v>15.46</v>
      </c>
      <c r="I51" s="32">
        <v>0.19</v>
      </c>
      <c r="J51" s="33"/>
    </row>
    <row r="52" spans="2:10">
      <c r="C52" s="28" t="s">
        <v>163</v>
      </c>
      <c r="D52" s="29"/>
      <c r="E52" s="30"/>
      <c r="F52" s="30"/>
      <c r="G52" s="31"/>
      <c r="H52" s="35">
        <v>8134.34</v>
      </c>
      <c r="I52" s="35">
        <v>99.11</v>
      </c>
      <c r="J52" s="33"/>
    </row>
    <row r="53" spans="2:10">
      <c r="C53" s="20"/>
      <c r="D53" s="29"/>
      <c r="E53" s="30"/>
      <c r="F53" s="30"/>
      <c r="G53" s="31"/>
      <c r="H53" s="32"/>
      <c r="I53" s="32"/>
      <c r="J53" s="33"/>
    </row>
    <row r="54" spans="2:10">
      <c r="C54" s="28" t="s">
        <v>164</v>
      </c>
      <c r="D54" s="29"/>
      <c r="E54" s="30"/>
      <c r="F54" s="30"/>
      <c r="G54" s="31"/>
      <c r="H54" s="32" t="s">
        <v>165</v>
      </c>
      <c r="I54" s="32" t="s">
        <v>165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166</v>
      </c>
      <c r="D56" s="29"/>
      <c r="E56" s="30"/>
      <c r="F56" s="30"/>
      <c r="G56" s="31"/>
      <c r="H56" s="32" t="s">
        <v>165</v>
      </c>
      <c r="I56" s="32" t="s">
        <v>165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167</v>
      </c>
      <c r="D58" s="29"/>
      <c r="E58" s="30"/>
      <c r="F58" s="30"/>
      <c r="G58" s="31"/>
      <c r="H58" s="32"/>
      <c r="I58" s="32"/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168</v>
      </c>
      <c r="D60" s="29"/>
      <c r="E60" s="30"/>
      <c r="F60" s="30"/>
      <c r="G60" s="31"/>
      <c r="H60" s="32" t="s">
        <v>165</v>
      </c>
      <c r="I60" s="32" t="s">
        <v>165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169</v>
      </c>
      <c r="D62" s="29"/>
      <c r="E62" s="30"/>
      <c r="F62" s="30"/>
      <c r="G62" s="31"/>
      <c r="H62" s="32" t="s">
        <v>165</v>
      </c>
      <c r="I62" s="32" t="s">
        <v>165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170</v>
      </c>
      <c r="D64" s="29"/>
      <c r="E64" s="30"/>
      <c r="F64" s="30"/>
      <c r="G64" s="31"/>
      <c r="H64" s="32" t="s">
        <v>165</v>
      </c>
      <c r="I64" s="32" t="s">
        <v>165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171</v>
      </c>
      <c r="D66" s="29"/>
      <c r="E66" s="30"/>
      <c r="F66" s="30"/>
      <c r="G66" s="31"/>
      <c r="H66" s="32" t="s">
        <v>165</v>
      </c>
      <c r="I66" s="32" t="s">
        <v>165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172</v>
      </c>
      <c r="D68" s="29"/>
      <c r="E68" s="30"/>
      <c r="F68" s="30"/>
      <c r="G68" s="31"/>
      <c r="H68" s="32" t="s">
        <v>165</v>
      </c>
      <c r="I68" s="32" t="s">
        <v>165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173</v>
      </c>
      <c r="D70" s="29"/>
      <c r="E70" s="30"/>
      <c r="F70" s="30"/>
      <c r="G70" s="31"/>
      <c r="H70" s="32"/>
      <c r="I70" s="32"/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174</v>
      </c>
      <c r="D72" s="29"/>
      <c r="E72" s="30"/>
      <c r="F72" s="30"/>
      <c r="G72" s="31"/>
      <c r="H72" s="32" t="s">
        <v>165</v>
      </c>
      <c r="I72" s="32" t="s">
        <v>165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175</v>
      </c>
      <c r="D74" s="29"/>
      <c r="E74" s="30"/>
      <c r="F74" s="30"/>
      <c r="G74" s="31"/>
      <c r="H74" s="32" t="s">
        <v>165</v>
      </c>
      <c r="I74" s="32" t="s">
        <v>165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176</v>
      </c>
      <c r="D76" s="29"/>
      <c r="E76" s="30"/>
      <c r="F76" s="30"/>
      <c r="G76" s="31"/>
      <c r="H76" s="32" t="s">
        <v>165</v>
      </c>
      <c r="I76" s="32" t="s">
        <v>165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177</v>
      </c>
      <c r="D78" s="29"/>
      <c r="E78" s="30"/>
      <c r="F78" s="30"/>
      <c r="G78" s="31"/>
      <c r="H78" s="32" t="s">
        <v>165</v>
      </c>
      <c r="I78" s="32" t="s">
        <v>165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178</v>
      </c>
      <c r="D80" s="29"/>
      <c r="E80" s="30"/>
      <c r="F80" s="30"/>
      <c r="G80" s="31"/>
      <c r="H80" s="32"/>
      <c r="I80" s="32"/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179</v>
      </c>
      <c r="D82" s="29"/>
      <c r="E82" s="30"/>
      <c r="F82" s="30"/>
      <c r="G82" s="31"/>
      <c r="H82" s="32" t="s">
        <v>165</v>
      </c>
      <c r="I82" s="32" t="s">
        <v>165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180</v>
      </c>
      <c r="D84" s="29"/>
      <c r="E84" s="30"/>
      <c r="F84" s="30"/>
      <c r="G84" s="31"/>
      <c r="H84" s="32" t="s">
        <v>165</v>
      </c>
      <c r="I84" s="32" t="s">
        <v>165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181</v>
      </c>
      <c r="D86" s="29"/>
      <c r="E86" s="30"/>
      <c r="F86" s="30"/>
      <c r="G86" s="31"/>
      <c r="H86" s="32" t="s">
        <v>165</v>
      </c>
      <c r="I86" s="32" t="s">
        <v>165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182</v>
      </c>
      <c r="D88" s="29"/>
      <c r="E88" s="30"/>
      <c r="F88" s="30"/>
      <c r="G88" s="31"/>
      <c r="H88" s="32" t="s">
        <v>165</v>
      </c>
      <c r="I88" s="32" t="s">
        <v>165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183</v>
      </c>
      <c r="D90" s="29"/>
      <c r="E90" s="30"/>
      <c r="F90" s="30"/>
      <c r="G90" s="31"/>
      <c r="H90" s="32" t="s">
        <v>165</v>
      </c>
      <c r="I90" s="32" t="s">
        <v>165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A92" s="26"/>
      <c r="B92" s="27"/>
      <c r="C92" s="28" t="s">
        <v>184</v>
      </c>
      <c r="D92" s="29"/>
      <c r="E92" s="30"/>
      <c r="F92" s="30"/>
      <c r="G92" s="31"/>
      <c r="H92" s="32"/>
      <c r="I92" s="32"/>
      <c r="J92" s="33"/>
    </row>
    <row r="93" spans="1:10">
      <c r="B93" s="1"/>
      <c r="C93" s="20" t="s">
        <v>185</v>
      </c>
      <c r="D93" s="29"/>
      <c r="E93" s="30"/>
      <c r="F93" s="30"/>
      <c r="G93" s="31"/>
      <c r="H93" s="32">
        <v>74.69</v>
      </c>
      <c r="I93" s="32">
        <v>0.89</v>
      </c>
      <c r="J93" s="33"/>
    </row>
    <row r="94" spans="1:10">
      <c r="C94" s="28" t="s">
        <v>163</v>
      </c>
      <c r="D94" s="29"/>
      <c r="E94" s="30"/>
      <c r="F94" s="30"/>
      <c r="G94" s="31"/>
      <c r="H94" s="35">
        <v>74.69</v>
      </c>
      <c r="I94" s="35">
        <v>0.89</v>
      </c>
      <c r="J94" s="33"/>
    </row>
    <row r="95" spans="1:10">
      <c r="C95" s="20"/>
      <c r="D95" s="29"/>
      <c r="E95" s="30"/>
      <c r="F95" s="30"/>
      <c r="G95" s="31"/>
      <c r="H95" s="32"/>
      <c r="I95" s="32"/>
      <c r="J95" s="33"/>
    </row>
    <row r="96" spans="1:10" ht="13.5" thickBot="1">
      <c r="C96" s="36" t="s">
        <v>186</v>
      </c>
      <c r="D96" s="37"/>
      <c r="E96" s="38"/>
      <c r="F96" s="39"/>
      <c r="G96" s="40"/>
      <c r="H96" s="41">
        <v>8209.0300000000007</v>
      </c>
      <c r="I96" s="41">
        <f>SUMIFS(I:I,C:C,"Total")</f>
        <v>100</v>
      </c>
      <c r="J96" s="42"/>
    </row>
    <row r="99" spans="3:3">
      <c r="C99" s="11" t="s">
        <v>187</v>
      </c>
    </row>
    <row r="100" spans="3:3">
      <c r="C100" s="2" t="s">
        <v>188</v>
      </c>
    </row>
    <row r="101" spans="3:3">
      <c r="C101" s="2" t="s">
        <v>189</v>
      </c>
    </row>
    <row r="102" spans="3:3">
      <c r="C102" s="2" t="s">
        <v>190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5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191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192</v>
      </c>
      <c r="C5" s="46" t="s">
        <v>193</v>
      </c>
      <c r="D5" s="46"/>
      <c r="E5" s="46" t="s">
        <v>194</v>
      </c>
      <c r="F5" s="46"/>
      <c r="G5" s="46" t="s">
        <v>195</v>
      </c>
      <c r="H5" s="46"/>
      <c r="I5" s="46" t="s">
        <v>196</v>
      </c>
      <c r="J5" s="46"/>
    </row>
    <row r="6" spans="2:10" ht="63.75">
      <c r="B6" s="47"/>
      <c r="C6" s="48" t="s">
        <v>197</v>
      </c>
      <c r="D6" s="48" t="s">
        <v>198</v>
      </c>
      <c r="E6" s="48" t="s">
        <v>197</v>
      </c>
      <c r="F6" s="48" t="s">
        <v>198</v>
      </c>
      <c r="G6" s="48" t="s">
        <v>197</v>
      </c>
      <c r="H6" s="48" t="s">
        <v>198</v>
      </c>
      <c r="I6" s="48" t="s">
        <v>197</v>
      </c>
      <c r="J6" s="48" t="s">
        <v>198</v>
      </c>
    </row>
    <row r="7" spans="2:10">
      <c r="B7" s="49" t="s">
        <v>199</v>
      </c>
      <c r="C7" s="50">
        <v>20.873285145301644</v>
      </c>
      <c r="D7" s="50">
        <v>12087.328514530167</v>
      </c>
      <c r="E7" s="50">
        <v>27.84671068439506</v>
      </c>
      <c r="F7" s="50">
        <v>20924.412665985703</v>
      </c>
      <c r="G7" s="50">
        <v>12.657087713125081</v>
      </c>
      <c r="H7" s="50">
        <v>18152.414709791759</v>
      </c>
      <c r="I7" s="50">
        <v>7.5887746431554604</v>
      </c>
      <c r="J7" s="50">
        <v>81940</v>
      </c>
    </row>
    <row r="8" spans="2:10">
      <c r="B8" s="49" t="s">
        <v>200</v>
      </c>
      <c r="C8" s="50">
        <v>19.812271663047664</v>
      </c>
      <c r="D8" s="50">
        <v>11981.227166304767</v>
      </c>
      <c r="E8" s="50">
        <v>36.743657286672573</v>
      </c>
      <c r="F8" s="50">
        <v>25569.461014581098</v>
      </c>
      <c r="G8" s="50">
        <v>14.590985906714394</v>
      </c>
      <c r="H8" s="50">
        <v>19758.423049370074</v>
      </c>
      <c r="I8" s="50">
        <v>0</v>
      </c>
      <c r="J8" s="50">
        <v>0</v>
      </c>
    </row>
    <row r="9" spans="2:10">
      <c r="B9" s="49" t="s">
        <v>201</v>
      </c>
      <c r="C9" s="50">
        <v>12.936501642450771</v>
      </c>
      <c r="D9" s="50">
        <v>11293.650164245077</v>
      </c>
      <c r="E9" s="50">
        <v>26.017411031737048</v>
      </c>
      <c r="F9" s="50">
        <v>20012.053672132919</v>
      </c>
      <c r="G9" s="50">
        <v>12.893398277148327</v>
      </c>
      <c r="H9" s="50">
        <v>18337.609960208683</v>
      </c>
      <c r="I9" s="50">
        <v>10.761046793415252</v>
      </c>
      <c r="J9" s="50">
        <v>188920.78574759079</v>
      </c>
    </row>
    <row r="10" spans="2:10">
      <c r="B10" s="49" t="s">
        <v>202</v>
      </c>
      <c r="C10" s="51">
        <v>67.790000000000006</v>
      </c>
      <c r="D10" s="52"/>
      <c r="E10" s="51">
        <v>39.159999999999997</v>
      </c>
      <c r="F10" s="52"/>
      <c r="G10" s="51">
        <v>45.14</v>
      </c>
      <c r="H10" s="52"/>
      <c r="I10" s="51">
        <v>10</v>
      </c>
      <c r="J10" s="52"/>
    </row>
    <row r="12" spans="2:10" ht="15.75">
      <c r="B12" s="43" t="s">
        <v>203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192</v>
      </c>
      <c r="C13" s="46" t="s">
        <v>193</v>
      </c>
      <c r="D13" s="46"/>
      <c r="E13" s="46" t="s">
        <v>194</v>
      </c>
      <c r="F13" s="46"/>
      <c r="G13" s="46" t="s">
        <v>195</v>
      </c>
      <c r="H13" s="46"/>
      <c r="I13" s="46" t="s">
        <v>196</v>
      </c>
      <c r="J13" s="46"/>
    </row>
    <row r="14" spans="2:10" ht="63.75">
      <c r="B14" s="47"/>
      <c r="C14" s="48" t="s">
        <v>197</v>
      </c>
      <c r="D14" s="48" t="s">
        <v>198</v>
      </c>
      <c r="E14" s="48" t="s">
        <v>197</v>
      </c>
      <c r="F14" s="48" t="s">
        <v>198</v>
      </c>
      <c r="G14" s="48" t="s">
        <v>197</v>
      </c>
      <c r="H14" s="48" t="s">
        <v>198</v>
      </c>
      <c r="I14" s="48" t="s">
        <v>197</v>
      </c>
      <c r="J14" s="48" t="s">
        <v>198</v>
      </c>
    </row>
    <row r="15" spans="2:10">
      <c r="B15" s="49" t="s">
        <v>199</v>
      </c>
      <c r="C15" s="50">
        <v>21.27509188577892</v>
      </c>
      <c r="D15" s="50">
        <v>12127.509188577891</v>
      </c>
      <c r="E15" s="50">
        <v>28.306461011538488</v>
      </c>
      <c r="F15" s="50">
        <v>21151.380670611441</v>
      </c>
      <c r="G15" s="50">
        <v>13.120625370183369</v>
      </c>
      <c r="H15" s="50">
        <v>18529.157667386611</v>
      </c>
      <c r="I15" s="50">
        <v>16.354284540547368</v>
      </c>
      <c r="J15" s="50">
        <v>48441.558441558438</v>
      </c>
    </row>
    <row r="16" spans="2:10">
      <c r="B16" s="49" t="s">
        <v>200</v>
      </c>
      <c r="C16" s="50">
        <v>19.812271663047664</v>
      </c>
      <c r="D16" s="50">
        <v>11981.227166304767</v>
      </c>
      <c r="E16" s="50">
        <v>36.743657286672573</v>
      </c>
      <c r="F16" s="50">
        <v>25569.461014581098</v>
      </c>
      <c r="G16" s="50">
        <v>14.590985906714394</v>
      </c>
      <c r="H16" s="50">
        <v>19758.423049370074</v>
      </c>
      <c r="I16" s="50">
        <v>17.194858003902858</v>
      </c>
      <c r="J16" s="50">
        <v>52213.371585710898</v>
      </c>
    </row>
    <row r="17" spans="2:10">
      <c r="B17" s="49" t="s">
        <v>201</v>
      </c>
      <c r="C17" s="50">
        <v>12.936501642450771</v>
      </c>
      <c r="D17" s="50">
        <v>11293.650164245077</v>
      </c>
      <c r="E17" s="50">
        <v>26.017411031737048</v>
      </c>
      <c r="F17" s="50">
        <v>20012.053672132919</v>
      </c>
      <c r="G17" s="50">
        <v>12.893398277148327</v>
      </c>
      <c r="H17" s="50">
        <v>18337.609960208683</v>
      </c>
      <c r="I17" s="50">
        <v>12.892401427699873</v>
      </c>
      <c r="J17" s="50">
        <v>35365.411812067206</v>
      </c>
    </row>
    <row r="18" spans="2:10">
      <c r="B18" s="49" t="s">
        <v>204</v>
      </c>
      <c r="C18" s="51">
        <v>70.739999999999995</v>
      </c>
      <c r="D18" s="52"/>
      <c r="E18" s="51">
        <v>40.56</v>
      </c>
      <c r="F18" s="52"/>
      <c r="G18" s="51">
        <v>46.3</v>
      </c>
      <c r="H18" s="52"/>
      <c r="I18" s="51">
        <v>17.71</v>
      </c>
      <c r="J18" s="52"/>
    </row>
    <row r="20" spans="2:10">
      <c r="B20" t="s">
        <v>205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2023-06-02T17:10:22Z</dcterms:created>
  <dcterms:modified xsi:type="dcterms:W3CDTF">2023-06-07T10:40:17Z</dcterms:modified>
</cp:coreProperties>
</file>